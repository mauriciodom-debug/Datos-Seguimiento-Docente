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autoCompressPictures="0" defaultThemeVersion="124226"/>
  <mc:AlternateContent xmlns:mc="http://schemas.openxmlformats.org/markup-compatibility/2006">
    <mc:Choice Requires="x15">
      <x15ac:absPath xmlns:x15ac="http://schemas.microsoft.com/office/spreadsheetml/2010/11/ac" url="C:\Users\Tanita\Desktop\"/>
    </mc:Choice>
  </mc:AlternateContent>
  <xr:revisionPtr revIDLastSave="0" documentId="8_{55C470BF-AA15-4A0C-8F86-AEA48F1D00C0}" xr6:coauthVersionLast="45" xr6:coauthVersionMax="45" xr10:uidLastSave="{00000000-0000-0000-0000-000000000000}"/>
  <bookViews>
    <workbookView xWindow="-120" yWindow="-120" windowWidth="20730" windowHeight="11160" tabRatio="875" xr2:uid="{00000000-000D-0000-FFFF-FFFF00000000}"/>
  </bookViews>
  <sheets>
    <sheet name="Índice" sheetId="19" r:id="rId1"/>
    <sheet name="Matrícula Total 2021" sheetId="34" r:id="rId2"/>
    <sheet name="Evolución Matrícula Total" sheetId="25" r:id="rId3"/>
    <sheet name="Matrícula Pregrado 2021" sheetId="35" r:id="rId4"/>
    <sheet name="Evolución Matrícula Pregrado" sheetId="36" r:id="rId5"/>
    <sheet name="Matrícula Posgrado 2021" sheetId="29" r:id="rId6"/>
    <sheet name="Evolución Matrícula Posgrado" sheetId="28" r:id="rId7"/>
    <sheet name="Matrícula Postitulo 2021" sheetId="32" r:id="rId8"/>
    <sheet name="Evolución Matrícula Postítulo" sheetId="31" r:id="rId9"/>
    <sheet name="Listado de instituciones 2021" sheetId="33" r:id="rId10"/>
  </sheets>
  <definedNames>
    <definedName name="Matricula_Total_2019_por_tipo_de_institución_y_sexo" localSheetId="4">#REF!</definedName>
    <definedName name="Matricula_Total_2019_por_tipo_de_institución_y_sexo" localSheetId="3">#REF!</definedName>
    <definedName name="Matricula_Total_2019_por_tipo_de_institución_y_sexo">'Matrícula Total 2021'!$A$11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25" i="32" l="1"/>
  <c r="D25" i="32"/>
  <c r="E25" i="32"/>
  <c r="B25" i="32"/>
  <c r="Q45" i="31"/>
  <c r="R45" i="31"/>
  <c r="S45" i="31"/>
  <c r="T45" i="31"/>
  <c r="Q46" i="31"/>
  <c r="R46" i="31"/>
  <c r="S46" i="31"/>
  <c r="T46" i="31"/>
  <c r="R47" i="31"/>
  <c r="T47" i="31"/>
  <c r="R48" i="31"/>
  <c r="T48" i="31"/>
  <c r="Q49" i="31"/>
  <c r="R49" i="31"/>
  <c r="S49" i="31"/>
  <c r="T49" i="31"/>
  <c r="Q50" i="31"/>
  <c r="R50" i="31"/>
  <c r="S50" i="31"/>
  <c r="T50" i="31"/>
  <c r="Q51" i="31"/>
  <c r="R51" i="31"/>
  <c r="S51" i="31"/>
  <c r="T51" i="31"/>
  <c r="Q52" i="31"/>
  <c r="R52" i="31"/>
  <c r="S52" i="31"/>
  <c r="T52" i="31"/>
  <c r="Q53" i="31"/>
  <c r="R53" i="31"/>
  <c r="S53" i="31"/>
  <c r="T53" i="31"/>
  <c r="Q54" i="31"/>
  <c r="R54" i="31"/>
  <c r="S54" i="31"/>
  <c r="T54" i="31"/>
  <c r="Q55" i="31"/>
  <c r="R55" i="31"/>
  <c r="S55" i="31"/>
  <c r="T55" i="31"/>
  <c r="Q56" i="31"/>
  <c r="R56" i="31"/>
  <c r="S56" i="31"/>
  <c r="T56" i="31"/>
  <c r="Q57" i="31"/>
  <c r="R57" i="31"/>
  <c r="S57" i="31"/>
  <c r="T57" i="31"/>
  <c r="Q58" i="31"/>
  <c r="R58" i="31"/>
  <c r="S58" i="31"/>
  <c r="T58" i="31"/>
  <c r="Q59" i="31"/>
  <c r="R59" i="31"/>
  <c r="S59" i="31"/>
  <c r="T59" i="31"/>
  <c r="Q60" i="31"/>
  <c r="R60" i="31"/>
  <c r="S60" i="31"/>
  <c r="T60" i="31"/>
  <c r="Q61" i="31"/>
  <c r="R61" i="31"/>
  <c r="S61" i="31"/>
  <c r="T61" i="31"/>
  <c r="Q62" i="31"/>
  <c r="R62" i="31"/>
  <c r="S62" i="31"/>
  <c r="T62" i="31"/>
  <c r="T44" i="31"/>
  <c r="S44" i="31"/>
  <c r="R44" i="31"/>
  <c r="Q44" i="31"/>
  <c r="T13" i="31"/>
  <c r="T14" i="31"/>
  <c r="T15" i="31"/>
  <c r="T16" i="31"/>
  <c r="T17" i="31"/>
  <c r="T18" i="31"/>
  <c r="T12" i="31"/>
  <c r="T6" i="31"/>
  <c r="T7" i="31"/>
  <c r="T8" i="31"/>
  <c r="T5" i="31"/>
  <c r="Q12" i="31"/>
  <c r="Q13" i="31"/>
  <c r="Q14" i="31"/>
  <c r="Q15" i="31"/>
  <c r="Q16" i="31"/>
  <c r="Q18" i="31"/>
  <c r="T31" i="31"/>
  <c r="T40" i="31"/>
  <c r="S40" i="31"/>
  <c r="R40" i="31"/>
  <c r="Q40" i="31"/>
  <c r="T39" i="31"/>
  <c r="S39" i="31"/>
  <c r="R39" i="31"/>
  <c r="Q39" i="31"/>
  <c r="T38" i="31"/>
  <c r="S38" i="31"/>
  <c r="R38" i="31"/>
  <c r="Q38" i="31"/>
  <c r="T37" i="31"/>
  <c r="S37" i="31"/>
  <c r="R37" i="31"/>
  <c r="Q37" i="31"/>
  <c r="T36" i="31"/>
  <c r="S36" i="31"/>
  <c r="R36" i="31"/>
  <c r="Q36" i="31"/>
  <c r="T35" i="31"/>
  <c r="S35" i="31"/>
  <c r="R35" i="31"/>
  <c r="Q35" i="31"/>
  <c r="T34" i="31"/>
  <c r="S34" i="31"/>
  <c r="R34" i="31"/>
  <c r="Q34" i="31"/>
  <c r="T33" i="31"/>
  <c r="S33" i="31"/>
  <c r="R33" i="31"/>
  <c r="Q33" i="31"/>
  <c r="T32" i="31"/>
  <c r="S32" i="31"/>
  <c r="R32" i="31"/>
  <c r="Q32" i="31"/>
  <c r="S31" i="31"/>
  <c r="R31" i="31"/>
  <c r="Q31" i="31"/>
  <c r="T25" i="31"/>
  <c r="T26" i="31"/>
  <c r="T27" i="31"/>
  <c r="T24" i="31"/>
  <c r="S27" i="31"/>
  <c r="R27" i="31"/>
  <c r="Q27" i="31"/>
  <c r="S26" i="31"/>
  <c r="R26" i="31"/>
  <c r="Q26" i="31"/>
  <c r="S25" i="31"/>
  <c r="R25" i="31"/>
  <c r="Q25" i="31"/>
  <c r="S24" i="31"/>
  <c r="R24" i="31"/>
  <c r="Q24" i="31"/>
  <c r="S18" i="31"/>
  <c r="R18" i="31"/>
  <c r="S17" i="31"/>
  <c r="S16" i="31"/>
  <c r="R16" i="31"/>
  <c r="S15" i="31"/>
  <c r="R15" i="31"/>
  <c r="S14" i="31"/>
  <c r="R14" i="31"/>
  <c r="S13" i="31"/>
  <c r="R13" i="31"/>
  <c r="S12" i="31"/>
  <c r="R12" i="31"/>
  <c r="S8" i="31"/>
  <c r="R8" i="31"/>
  <c r="Q8" i="31"/>
  <c r="S7" i="31"/>
  <c r="R7" i="31"/>
  <c r="Q7" i="31"/>
  <c r="S6" i="31"/>
  <c r="R6" i="31"/>
  <c r="Q6" i="31"/>
  <c r="S5" i="31"/>
  <c r="R5" i="31"/>
  <c r="Q5" i="31"/>
  <c r="C41" i="29"/>
  <c r="D41" i="29"/>
  <c r="B41" i="29"/>
  <c r="T53" i="28"/>
  <c r="T54" i="28"/>
  <c r="T55" i="28"/>
  <c r="T56" i="28"/>
  <c r="T57" i="28"/>
  <c r="T58" i="28"/>
  <c r="T59" i="28"/>
  <c r="T60" i="28"/>
  <c r="T61" i="28"/>
  <c r="T52" i="28"/>
  <c r="T83" i="28"/>
  <c r="T84" i="28"/>
  <c r="T85" i="28"/>
  <c r="T86" i="28"/>
  <c r="T87" i="28"/>
  <c r="T88" i="28"/>
  <c r="T89" i="28"/>
  <c r="T90" i="28"/>
  <c r="T91" i="28"/>
  <c r="T92" i="28"/>
  <c r="T93" i="28"/>
  <c r="T94" i="28"/>
  <c r="T82" i="28"/>
  <c r="S94" i="28"/>
  <c r="R94" i="28"/>
  <c r="Q94" i="28"/>
  <c r="S93" i="28"/>
  <c r="R93" i="28"/>
  <c r="Q93" i="28"/>
  <c r="S92" i="28"/>
  <c r="R92" i="28"/>
  <c r="Q92" i="28"/>
  <c r="S91" i="28"/>
  <c r="R91" i="28"/>
  <c r="Q91" i="28"/>
  <c r="S90" i="28"/>
  <c r="R90" i="28"/>
  <c r="Q90" i="28"/>
  <c r="S89" i="28"/>
  <c r="R89" i="28"/>
  <c r="Q89" i="28"/>
  <c r="S88" i="28"/>
  <c r="R88" i="28"/>
  <c r="Q88" i="28"/>
  <c r="S87" i="28"/>
  <c r="Q87" i="28"/>
  <c r="Q86" i="28"/>
  <c r="S85" i="28"/>
  <c r="R85" i="28"/>
  <c r="Q85" i="28"/>
  <c r="S84" i="28"/>
  <c r="R84" i="28"/>
  <c r="Q84" i="28"/>
  <c r="S83" i="28"/>
  <c r="R83" i="28"/>
  <c r="Q83" i="28"/>
  <c r="S82" i="28"/>
  <c r="R82" i="28"/>
  <c r="Q82" i="28"/>
  <c r="Q69" i="28"/>
  <c r="R69" i="28"/>
  <c r="S69" i="28"/>
  <c r="T69" i="28"/>
  <c r="Q70" i="28"/>
  <c r="R70" i="28"/>
  <c r="T70" i="28"/>
  <c r="Q71" i="28"/>
  <c r="R71" i="28"/>
  <c r="S71" i="28"/>
  <c r="T71" i="28"/>
  <c r="Q72" i="28"/>
  <c r="R72" i="28"/>
  <c r="S72" i="28"/>
  <c r="T72" i="28"/>
  <c r="Q73" i="28"/>
  <c r="R73" i="28"/>
  <c r="S73" i="28"/>
  <c r="T73" i="28"/>
  <c r="Q74" i="28"/>
  <c r="R74" i="28"/>
  <c r="S74" i="28"/>
  <c r="T74" i="28"/>
  <c r="Q75" i="28"/>
  <c r="R75" i="28"/>
  <c r="S75" i="28"/>
  <c r="T75" i="28"/>
  <c r="Q76" i="28"/>
  <c r="R76" i="28"/>
  <c r="S76" i="28"/>
  <c r="T76" i="28"/>
  <c r="Q77" i="28"/>
  <c r="R77" i="28"/>
  <c r="S77" i="28"/>
  <c r="T77" i="28"/>
  <c r="Q78" i="28"/>
  <c r="R78" i="28"/>
  <c r="S78" i="28"/>
  <c r="T78" i="28"/>
  <c r="T68" i="28"/>
  <c r="S68" i="28"/>
  <c r="R68" i="28"/>
  <c r="Q68" i="28"/>
  <c r="T67" i="28"/>
  <c r="S67" i="28"/>
  <c r="R67" i="28"/>
  <c r="Q67" i="28"/>
  <c r="T66" i="28"/>
  <c r="S66" i="28"/>
  <c r="R66" i="28"/>
  <c r="Q66" i="28"/>
  <c r="T45" i="28"/>
  <c r="Q5" i="28"/>
  <c r="Q6" i="28"/>
  <c r="Q7" i="28"/>
  <c r="Q9" i="28"/>
  <c r="T36" i="28"/>
  <c r="T37" i="28"/>
  <c r="T38" i="28"/>
  <c r="T39" i="28"/>
  <c r="T40" i="28"/>
  <c r="T41" i="28"/>
  <c r="T42" i="28"/>
  <c r="T43" i="28"/>
  <c r="T44" i="28"/>
  <c r="T46" i="28"/>
  <c r="T47" i="28"/>
  <c r="T35" i="28"/>
  <c r="S61" i="28"/>
  <c r="R61" i="28"/>
  <c r="Q61" i="28"/>
  <c r="S60" i="28"/>
  <c r="R60" i="28"/>
  <c r="Q60" i="28"/>
  <c r="S59" i="28"/>
  <c r="R59" i="28"/>
  <c r="Q59" i="28"/>
  <c r="S58" i="28"/>
  <c r="R58" i="28"/>
  <c r="Q58" i="28"/>
  <c r="S57" i="28"/>
  <c r="R57" i="28"/>
  <c r="Q57" i="28"/>
  <c r="S56" i="28"/>
  <c r="R56" i="28"/>
  <c r="Q56" i="28"/>
  <c r="S55" i="28"/>
  <c r="R55" i="28"/>
  <c r="Q55" i="28"/>
  <c r="S54" i="28"/>
  <c r="R54" i="28"/>
  <c r="Q54" i="28"/>
  <c r="S53" i="28"/>
  <c r="R53" i="28"/>
  <c r="Q53" i="28"/>
  <c r="S52" i="28"/>
  <c r="R52" i="28"/>
  <c r="Q52" i="28"/>
  <c r="T30" i="28"/>
  <c r="T31" i="28"/>
  <c r="T29" i="28"/>
  <c r="S31" i="28"/>
  <c r="R31" i="28"/>
  <c r="Q31" i="28"/>
  <c r="S30" i="28"/>
  <c r="R30" i="28"/>
  <c r="Q30" i="28"/>
  <c r="S29" i="28"/>
  <c r="R29" i="28"/>
  <c r="Q29" i="28"/>
  <c r="S18" i="28"/>
  <c r="R18" i="28"/>
  <c r="Q18" i="28"/>
  <c r="S17" i="28"/>
  <c r="R17" i="28"/>
  <c r="Q17" i="28"/>
  <c r="S16" i="28"/>
  <c r="R16" i="28"/>
  <c r="Q16" i="28"/>
  <c r="S15" i="28"/>
  <c r="R15" i="28"/>
  <c r="Q15" i="28"/>
  <c r="T24" i="28"/>
  <c r="T25" i="28"/>
  <c r="T23" i="28"/>
  <c r="S47" i="28"/>
  <c r="R47" i="28"/>
  <c r="Q47" i="28"/>
  <c r="S46" i="28"/>
  <c r="S44" i="28"/>
  <c r="S43" i="28"/>
  <c r="R43" i="28"/>
  <c r="Q43" i="28"/>
  <c r="S42" i="28"/>
  <c r="R42" i="28"/>
  <c r="Q42" i="28"/>
  <c r="S41" i="28"/>
  <c r="R41" i="28"/>
  <c r="Q41" i="28"/>
  <c r="S40" i="28"/>
  <c r="R40" i="28"/>
  <c r="Q40" i="28"/>
  <c r="S39" i="28"/>
  <c r="R39" i="28"/>
  <c r="Q39" i="28"/>
  <c r="S38" i="28"/>
  <c r="R38" i="28"/>
  <c r="Q38" i="28"/>
  <c r="S37" i="28"/>
  <c r="R37" i="28"/>
  <c r="Q37" i="28"/>
  <c r="S36" i="28"/>
  <c r="R36" i="28"/>
  <c r="Q36" i="28"/>
  <c r="S35" i="28"/>
  <c r="R35" i="28"/>
  <c r="Q35" i="28"/>
  <c r="S25" i="28"/>
  <c r="R25" i="28"/>
  <c r="Q25" i="28"/>
  <c r="S24" i="28"/>
  <c r="R24" i="28"/>
  <c r="Q24" i="28"/>
  <c r="S23" i="28"/>
  <c r="R23" i="28"/>
  <c r="Q23" i="28"/>
  <c r="T16" i="28"/>
  <c r="T17" i="28"/>
  <c r="T18" i="28"/>
  <c r="T15" i="28"/>
  <c r="T9" i="28"/>
  <c r="S9" i="28"/>
  <c r="R9" i="28"/>
  <c r="T8" i="28"/>
  <c r="S8" i="28"/>
  <c r="T7" i="28"/>
  <c r="S7" i="28"/>
  <c r="R7" i="28"/>
  <c r="T6" i="28"/>
  <c r="S6" i="28"/>
  <c r="R6" i="28"/>
  <c r="T5" i="28"/>
  <c r="S5" i="28"/>
  <c r="R5" i="28"/>
  <c r="T111" i="25"/>
  <c r="S111" i="25"/>
  <c r="R111" i="25"/>
  <c r="Q111" i="25"/>
  <c r="T110" i="25"/>
  <c r="S110" i="25"/>
  <c r="R110" i="25"/>
  <c r="Q110" i="25"/>
  <c r="T109" i="25"/>
  <c r="S109" i="25"/>
  <c r="R109" i="25"/>
  <c r="Q109" i="25"/>
  <c r="T108" i="25"/>
  <c r="S108" i="25"/>
  <c r="R108" i="25"/>
  <c r="Q108" i="25"/>
  <c r="T107" i="25"/>
  <c r="S107" i="25"/>
  <c r="R107" i="25"/>
  <c r="Q107" i="25"/>
  <c r="T106" i="25"/>
  <c r="S106" i="25"/>
  <c r="R106" i="25"/>
  <c r="Q106" i="25"/>
  <c r="T105" i="25"/>
  <c r="S105" i="25"/>
  <c r="R105" i="25"/>
  <c r="Q105" i="25"/>
  <c r="T104" i="25"/>
  <c r="S104" i="25"/>
  <c r="R104" i="25"/>
  <c r="Q104" i="25"/>
  <c r="T103" i="25"/>
  <c r="S103" i="25"/>
  <c r="R103" i="25"/>
  <c r="Q103" i="25"/>
  <c r="T102" i="25"/>
  <c r="S102" i="25"/>
  <c r="R102" i="25"/>
  <c r="Q102" i="25"/>
  <c r="T101" i="25"/>
  <c r="S101" i="25"/>
  <c r="R101" i="25"/>
  <c r="Q101" i="25"/>
  <c r="T100" i="25"/>
  <c r="S100" i="25"/>
  <c r="R100" i="25"/>
  <c r="Q100" i="25"/>
  <c r="T99" i="25"/>
  <c r="S99" i="25"/>
  <c r="R99" i="25"/>
  <c r="Q99" i="25"/>
  <c r="T98" i="25"/>
  <c r="S98" i="25"/>
  <c r="R98" i="25"/>
  <c r="Q98" i="25"/>
  <c r="T97" i="25"/>
  <c r="S97" i="25"/>
  <c r="R97" i="25"/>
  <c r="Q97" i="25"/>
  <c r="T96" i="25"/>
  <c r="S96" i="25"/>
  <c r="R96" i="25"/>
  <c r="Q96" i="25"/>
  <c r="T95" i="25"/>
  <c r="S95" i="25"/>
  <c r="R95" i="25"/>
  <c r="Q95" i="25"/>
  <c r="C90" i="25"/>
  <c r="D90" i="25"/>
  <c r="E90" i="25"/>
  <c r="F90" i="25"/>
  <c r="G90" i="25"/>
  <c r="H90" i="25"/>
  <c r="I90" i="25"/>
  <c r="J90" i="25"/>
  <c r="K90" i="25"/>
  <c r="L90" i="25"/>
  <c r="M90" i="25"/>
  <c r="N90" i="25"/>
  <c r="O90" i="25"/>
  <c r="P90" i="25"/>
  <c r="T90" i="25"/>
  <c r="B90" i="25"/>
  <c r="T89" i="25"/>
  <c r="S89" i="25"/>
  <c r="R89" i="25"/>
  <c r="Q89" i="25"/>
  <c r="T88" i="25"/>
  <c r="S88" i="25"/>
  <c r="R88" i="25"/>
  <c r="Q88" i="25"/>
  <c r="T87" i="25"/>
  <c r="S87" i="25"/>
  <c r="R87" i="25"/>
  <c r="Q87" i="25"/>
  <c r="T86" i="25"/>
  <c r="S86" i="25"/>
  <c r="R86" i="25"/>
  <c r="Q86" i="25"/>
  <c r="T85" i="25"/>
  <c r="S85" i="25"/>
  <c r="R85" i="25"/>
  <c r="Q85" i="25"/>
  <c r="T84" i="25"/>
  <c r="S84" i="25"/>
  <c r="R84" i="25"/>
  <c r="Q84" i="25"/>
  <c r="T83" i="25"/>
  <c r="S83" i="25"/>
  <c r="R83" i="25"/>
  <c r="Q83" i="25"/>
  <c r="T71" i="25"/>
  <c r="S71" i="25"/>
  <c r="R71" i="25"/>
  <c r="Q71" i="25"/>
  <c r="T70" i="25"/>
  <c r="S70" i="25"/>
  <c r="T69" i="25"/>
  <c r="S69" i="25"/>
  <c r="T68" i="25"/>
  <c r="S68" i="25"/>
  <c r="T67" i="25"/>
  <c r="S67" i="25"/>
  <c r="T66" i="25"/>
  <c r="S66" i="25"/>
  <c r="R66" i="25"/>
  <c r="Q66" i="25"/>
  <c r="T65" i="25"/>
  <c r="S65" i="25"/>
  <c r="R65" i="25"/>
  <c r="Q65" i="25"/>
  <c r="T64" i="25"/>
  <c r="S64" i="25"/>
  <c r="R64" i="25"/>
  <c r="Q64" i="25"/>
  <c r="T63" i="25"/>
  <c r="S63" i="25"/>
  <c r="R63" i="25"/>
  <c r="Q63" i="25"/>
  <c r="T62" i="25"/>
  <c r="S62" i="25"/>
  <c r="R62" i="25"/>
  <c r="Q62" i="25"/>
  <c r="T61" i="25"/>
  <c r="S61" i="25"/>
  <c r="R61" i="25"/>
  <c r="Q61" i="25"/>
  <c r="T60" i="25"/>
  <c r="S60" i="25"/>
  <c r="R60" i="25"/>
  <c r="Q60" i="25"/>
  <c r="T59" i="25"/>
  <c r="S59" i="25"/>
  <c r="R59" i="25"/>
  <c r="Q59" i="25"/>
  <c r="T58" i="25"/>
  <c r="S58" i="25"/>
  <c r="R58" i="25"/>
  <c r="Q58" i="25"/>
  <c r="T57" i="25"/>
  <c r="S57" i="25"/>
  <c r="R57" i="25"/>
  <c r="Q57" i="25"/>
  <c r="T56" i="25"/>
  <c r="S56" i="25"/>
  <c r="R56" i="25"/>
  <c r="Q56" i="25"/>
  <c r="T55" i="25"/>
  <c r="S55" i="25"/>
  <c r="R55" i="25"/>
  <c r="Q55" i="25"/>
  <c r="T54" i="25"/>
  <c r="S54" i="25"/>
  <c r="R54" i="25"/>
  <c r="Q54" i="25"/>
  <c r="T53" i="25"/>
  <c r="S53" i="25"/>
  <c r="R53" i="25"/>
  <c r="Q53" i="25"/>
  <c r="T52" i="25"/>
  <c r="S52" i="25"/>
  <c r="R52" i="25"/>
  <c r="Q52" i="25"/>
  <c r="T51" i="25"/>
  <c r="S51" i="25"/>
  <c r="T50" i="25"/>
  <c r="S50" i="25"/>
  <c r="T49" i="25"/>
  <c r="S49" i="25"/>
  <c r="R49" i="25"/>
  <c r="Q49" i="25"/>
  <c r="T48" i="25"/>
  <c r="S48" i="25"/>
  <c r="R48" i="25"/>
  <c r="Q48" i="25"/>
  <c r="T47" i="25"/>
  <c r="S47" i="25"/>
  <c r="R47" i="25"/>
  <c r="Q47" i="25"/>
  <c r="T41" i="25"/>
  <c r="S41" i="25"/>
  <c r="R41" i="25"/>
  <c r="Q41" i="25"/>
  <c r="T40" i="25"/>
  <c r="S40" i="25"/>
  <c r="T39" i="25"/>
  <c r="S39" i="25"/>
  <c r="R39" i="25"/>
  <c r="Q39" i="25"/>
  <c r="T38" i="25"/>
  <c r="S38" i="25"/>
  <c r="R38" i="25"/>
  <c r="Q38" i="25"/>
  <c r="T37" i="25"/>
  <c r="S37" i="25"/>
  <c r="R37" i="25"/>
  <c r="Q37" i="25"/>
  <c r="T36" i="25"/>
  <c r="S36" i="25"/>
  <c r="R36" i="25"/>
  <c r="Q36" i="25"/>
  <c r="T35" i="25"/>
  <c r="S35" i="25"/>
  <c r="T34" i="25"/>
  <c r="S34" i="25"/>
  <c r="R34" i="25"/>
  <c r="Q34" i="25"/>
  <c r="Q20" i="25"/>
  <c r="Q78" i="25"/>
  <c r="R78" i="25"/>
  <c r="S78" i="25"/>
  <c r="T78" i="25"/>
  <c r="Q79" i="25"/>
  <c r="R79" i="25"/>
  <c r="S79" i="25"/>
  <c r="T79" i="25"/>
  <c r="T77" i="25"/>
  <c r="S77" i="25"/>
  <c r="R77" i="25"/>
  <c r="Q77" i="25"/>
  <c r="T7" i="25"/>
  <c r="T8" i="25"/>
  <c r="T9" i="25"/>
  <c r="S6" i="25"/>
  <c r="R6" i="25"/>
  <c r="Q6" i="25"/>
  <c r="T30" i="25"/>
  <c r="S30" i="25"/>
  <c r="R30" i="25"/>
  <c r="Q30" i="25"/>
  <c r="T29" i="25"/>
  <c r="S29" i="25"/>
  <c r="R29" i="25"/>
  <c r="Q29" i="25"/>
  <c r="T28" i="25"/>
  <c r="S28" i="25"/>
  <c r="R28" i="25"/>
  <c r="Q28" i="25"/>
  <c r="T27" i="25"/>
  <c r="S27" i="25"/>
  <c r="R27" i="25"/>
  <c r="Q27" i="25"/>
  <c r="T26" i="25"/>
  <c r="S26" i="25"/>
  <c r="R26" i="25"/>
  <c r="Q26" i="25"/>
  <c r="T25" i="25"/>
  <c r="S25" i="25"/>
  <c r="R25" i="25"/>
  <c r="Q25" i="25"/>
  <c r="T24" i="25"/>
  <c r="S24" i="25"/>
  <c r="R24" i="25"/>
  <c r="Q24" i="25"/>
  <c r="T23" i="25"/>
  <c r="S23" i="25"/>
  <c r="R23" i="25"/>
  <c r="Q23" i="25"/>
  <c r="T22" i="25"/>
  <c r="S22" i="25"/>
  <c r="R22" i="25"/>
  <c r="Q22" i="25"/>
  <c r="T21" i="25"/>
  <c r="S21" i="25"/>
  <c r="R21" i="25"/>
  <c r="Q21" i="25"/>
  <c r="T20" i="25"/>
  <c r="S20" i="25"/>
  <c r="R20" i="25"/>
  <c r="T16" i="25"/>
  <c r="S16" i="25"/>
  <c r="R16" i="25"/>
  <c r="Q16" i="25"/>
  <c r="T15" i="25"/>
  <c r="S15" i="25"/>
  <c r="R15" i="25"/>
  <c r="Q15" i="25"/>
  <c r="T14" i="25"/>
  <c r="S14" i="25"/>
  <c r="R14" i="25"/>
  <c r="Q14" i="25"/>
  <c r="T13" i="25"/>
  <c r="S13" i="25"/>
  <c r="R13" i="25"/>
  <c r="Q13" i="25"/>
  <c r="T6" i="25"/>
  <c r="Q7" i="25"/>
  <c r="R7" i="25"/>
  <c r="S7" i="25"/>
  <c r="Q8" i="25"/>
  <c r="R8" i="25"/>
  <c r="S8" i="25"/>
  <c r="Q9" i="25"/>
  <c r="R9" i="25"/>
  <c r="S9" i="25"/>
  <c r="P553" i="36"/>
  <c r="O553" i="36"/>
  <c r="N553" i="36"/>
  <c r="M553" i="36"/>
  <c r="L553" i="36"/>
  <c r="K553" i="36"/>
  <c r="J553" i="36"/>
  <c r="I553" i="36"/>
  <c r="H553" i="36"/>
  <c r="G553" i="36"/>
  <c r="F553" i="36"/>
  <c r="E553" i="36"/>
  <c r="D553" i="36"/>
  <c r="C553" i="36"/>
  <c r="B553" i="36"/>
  <c r="T552" i="36"/>
  <c r="S552" i="36"/>
  <c r="R552" i="36"/>
  <c r="Q552" i="36"/>
  <c r="T551" i="36"/>
  <c r="S551" i="36"/>
  <c r="R551" i="36"/>
  <c r="Q551" i="36"/>
  <c r="T550" i="36"/>
  <c r="S550" i="36"/>
  <c r="R550" i="36"/>
  <c r="Q550" i="36"/>
  <c r="T549" i="36"/>
  <c r="S549" i="36"/>
  <c r="R549" i="36"/>
  <c r="Q549" i="36"/>
  <c r="T548" i="36"/>
  <c r="S548" i="36"/>
  <c r="R548" i="36"/>
  <c r="Q548" i="36"/>
  <c r="T547" i="36"/>
  <c r="S547" i="36"/>
  <c r="R547" i="36"/>
  <c r="Q547" i="36"/>
  <c r="T546" i="36"/>
  <c r="S546" i="36"/>
  <c r="R546" i="36"/>
  <c r="Q546" i="36"/>
  <c r="T545" i="36"/>
  <c r="S545" i="36"/>
  <c r="R545" i="36"/>
  <c r="Q545" i="36"/>
  <c r="T544" i="36"/>
  <c r="S544" i="36"/>
  <c r="R544" i="36"/>
  <c r="Q544" i="36"/>
  <c r="P539" i="36"/>
  <c r="O539" i="36"/>
  <c r="N539" i="36"/>
  <c r="M539" i="36"/>
  <c r="L539" i="36"/>
  <c r="K539" i="36"/>
  <c r="J539" i="36"/>
  <c r="I539" i="36"/>
  <c r="H539" i="36"/>
  <c r="G539" i="36"/>
  <c r="F539" i="36"/>
  <c r="E539" i="36"/>
  <c r="D539" i="36"/>
  <c r="C539" i="36"/>
  <c r="B539" i="36"/>
  <c r="T538" i="36"/>
  <c r="S538" i="36"/>
  <c r="R538" i="36"/>
  <c r="Q538" i="36"/>
  <c r="T537" i="36"/>
  <c r="S537" i="36"/>
  <c r="R537" i="36"/>
  <c r="Q537" i="36"/>
  <c r="T536" i="36"/>
  <c r="S536" i="36"/>
  <c r="R536" i="36"/>
  <c r="Q536" i="36"/>
  <c r="T535" i="36"/>
  <c r="S535" i="36"/>
  <c r="R535" i="36"/>
  <c r="Q535" i="36"/>
  <c r="T534" i="36"/>
  <c r="S534" i="36"/>
  <c r="R534" i="36"/>
  <c r="Q534" i="36"/>
  <c r="T533" i="36"/>
  <c r="S533" i="36"/>
  <c r="R533" i="36"/>
  <c r="Q533" i="36"/>
  <c r="T532" i="36"/>
  <c r="S532" i="36"/>
  <c r="R532" i="36"/>
  <c r="Q532" i="36"/>
  <c r="T531" i="36"/>
  <c r="S531" i="36"/>
  <c r="R531" i="36"/>
  <c r="Q531" i="36"/>
  <c r="T530" i="36"/>
  <c r="S530" i="36"/>
  <c r="R530" i="36"/>
  <c r="Q530" i="36"/>
  <c r="S526" i="36"/>
  <c r="R526" i="36"/>
  <c r="Q526" i="36"/>
  <c r="R525" i="36"/>
  <c r="P525" i="36"/>
  <c r="Q525" i="36"/>
  <c r="O525" i="36"/>
  <c r="S525" i="36"/>
  <c r="N525" i="36"/>
  <c r="M525" i="36"/>
  <c r="L525" i="36"/>
  <c r="K525" i="36"/>
  <c r="J525" i="36"/>
  <c r="I525" i="36"/>
  <c r="H525" i="36"/>
  <c r="G525" i="36"/>
  <c r="F525" i="36"/>
  <c r="E525" i="36"/>
  <c r="D525" i="36"/>
  <c r="C525" i="36"/>
  <c r="B525" i="36"/>
  <c r="S524" i="36"/>
  <c r="R524" i="36"/>
  <c r="Q524" i="36"/>
  <c r="S523" i="36"/>
  <c r="R523" i="36"/>
  <c r="Q523" i="36"/>
  <c r="S522" i="36"/>
  <c r="R522" i="36"/>
  <c r="Q522" i="36"/>
  <c r="S521" i="36"/>
  <c r="T520" i="36"/>
  <c r="S520" i="36"/>
  <c r="R520" i="36"/>
  <c r="Q520" i="36"/>
  <c r="S516" i="36"/>
  <c r="R516" i="36"/>
  <c r="Q516" i="36"/>
  <c r="R515" i="36"/>
  <c r="P515" i="36"/>
  <c r="Q515" i="36"/>
  <c r="O515" i="36"/>
  <c r="S515" i="36"/>
  <c r="N515" i="36"/>
  <c r="M515" i="36"/>
  <c r="L515" i="36"/>
  <c r="K515" i="36"/>
  <c r="J515" i="36"/>
  <c r="I515" i="36"/>
  <c r="H515" i="36"/>
  <c r="G515" i="36"/>
  <c r="F515" i="36"/>
  <c r="E515" i="36"/>
  <c r="D515" i="36"/>
  <c r="C515" i="36"/>
  <c r="B515" i="36"/>
  <c r="S514" i="36"/>
  <c r="R514" i="36"/>
  <c r="Q514" i="36"/>
  <c r="S513" i="36"/>
  <c r="R513" i="36"/>
  <c r="Q513" i="36"/>
  <c r="S512" i="36"/>
  <c r="R512" i="36"/>
  <c r="Q512" i="36"/>
  <c r="S511" i="36"/>
  <c r="T510" i="36"/>
  <c r="S510" i="36"/>
  <c r="R510" i="36"/>
  <c r="Q510" i="36"/>
  <c r="S506" i="36"/>
  <c r="R506" i="36"/>
  <c r="Q506" i="36"/>
  <c r="R505" i="36"/>
  <c r="P505" i="36"/>
  <c r="Q505" i="36"/>
  <c r="O505" i="36"/>
  <c r="S505" i="36"/>
  <c r="N505" i="36"/>
  <c r="M505" i="36"/>
  <c r="L505" i="36"/>
  <c r="K505" i="36"/>
  <c r="J505" i="36"/>
  <c r="I505" i="36"/>
  <c r="H505" i="36"/>
  <c r="G505" i="36"/>
  <c r="F505" i="36"/>
  <c r="E505" i="36"/>
  <c r="D505" i="36"/>
  <c r="C505" i="36"/>
  <c r="B505" i="36"/>
  <c r="S504" i="36"/>
  <c r="R504" i="36"/>
  <c r="Q504" i="36"/>
  <c r="S503" i="36"/>
  <c r="R503" i="36"/>
  <c r="Q503" i="36"/>
  <c r="S502" i="36"/>
  <c r="R502" i="36"/>
  <c r="Q502" i="36"/>
  <c r="S501" i="36"/>
  <c r="T500" i="36"/>
  <c r="S500" i="36"/>
  <c r="R500" i="36"/>
  <c r="Q500" i="36"/>
  <c r="P496" i="36"/>
  <c r="R496" i="36"/>
  <c r="O496" i="36"/>
  <c r="O495" i="36"/>
  <c r="N496" i="36"/>
  <c r="M496" i="36"/>
  <c r="L496" i="36"/>
  <c r="L495" i="36"/>
  <c r="K496" i="36"/>
  <c r="K495" i="36"/>
  <c r="J496" i="36"/>
  <c r="I496" i="36"/>
  <c r="H496" i="36"/>
  <c r="H495" i="36"/>
  <c r="G496" i="36"/>
  <c r="G495" i="36"/>
  <c r="F496" i="36"/>
  <c r="E496" i="36"/>
  <c r="D496" i="36"/>
  <c r="D495" i="36"/>
  <c r="C496" i="36"/>
  <c r="C495" i="36"/>
  <c r="B496" i="36"/>
  <c r="N495" i="36"/>
  <c r="M495" i="36"/>
  <c r="J495" i="36"/>
  <c r="I495" i="36"/>
  <c r="F495" i="36"/>
  <c r="E495" i="36"/>
  <c r="B495" i="36"/>
  <c r="S494" i="36"/>
  <c r="R494" i="36"/>
  <c r="Q494" i="36"/>
  <c r="S493" i="36"/>
  <c r="R493" i="36"/>
  <c r="Q493" i="36"/>
  <c r="S492" i="36"/>
  <c r="R492" i="36"/>
  <c r="Q492" i="36"/>
  <c r="S491" i="36"/>
  <c r="S490" i="36"/>
  <c r="R490" i="36"/>
  <c r="Q490" i="36"/>
  <c r="S486" i="36"/>
  <c r="R486" i="36"/>
  <c r="Q486" i="36"/>
  <c r="R485" i="36"/>
  <c r="Q485" i="36"/>
  <c r="P485" i="36"/>
  <c r="O485" i="36"/>
  <c r="S485" i="36"/>
  <c r="N485" i="36"/>
  <c r="M485" i="36"/>
  <c r="L485" i="36"/>
  <c r="K485" i="36"/>
  <c r="J485" i="36"/>
  <c r="I485" i="36"/>
  <c r="H485" i="36"/>
  <c r="G485" i="36"/>
  <c r="F485" i="36"/>
  <c r="E485" i="36"/>
  <c r="D485" i="36"/>
  <c r="C485" i="36"/>
  <c r="B485" i="36"/>
  <c r="T484" i="36"/>
  <c r="S484" i="36"/>
  <c r="R484" i="36"/>
  <c r="Q484" i="36"/>
  <c r="T483" i="36"/>
  <c r="T486" i="36"/>
  <c r="S483" i="36"/>
  <c r="R483" i="36"/>
  <c r="Q483" i="36"/>
  <c r="S479" i="36"/>
  <c r="R479" i="36"/>
  <c r="Q479" i="36"/>
  <c r="P478" i="36"/>
  <c r="R478" i="36"/>
  <c r="O478" i="36"/>
  <c r="S478" i="36"/>
  <c r="N478" i="36"/>
  <c r="M478" i="36"/>
  <c r="L478" i="36"/>
  <c r="K478" i="36"/>
  <c r="J478" i="36"/>
  <c r="I478" i="36"/>
  <c r="H478" i="36"/>
  <c r="G478" i="36"/>
  <c r="F478" i="36"/>
  <c r="E478" i="36"/>
  <c r="D478" i="36"/>
  <c r="C478" i="36"/>
  <c r="B478" i="36"/>
  <c r="S477" i="36"/>
  <c r="R477" i="36"/>
  <c r="Q477" i="36"/>
  <c r="S476" i="36"/>
  <c r="R476" i="36"/>
  <c r="Q476" i="36"/>
  <c r="S472" i="36"/>
  <c r="R472" i="36"/>
  <c r="Q472" i="36"/>
  <c r="R471" i="36"/>
  <c r="Q471" i="36"/>
  <c r="P471" i="36"/>
  <c r="O471" i="36"/>
  <c r="S471" i="36"/>
  <c r="N471" i="36"/>
  <c r="M471" i="36"/>
  <c r="L471" i="36"/>
  <c r="K471" i="36"/>
  <c r="J471" i="36"/>
  <c r="I471" i="36"/>
  <c r="H471" i="36"/>
  <c r="G471" i="36"/>
  <c r="F471" i="36"/>
  <c r="E471" i="36"/>
  <c r="D471" i="36"/>
  <c r="C471" i="36"/>
  <c r="B471" i="36"/>
  <c r="T470" i="36"/>
  <c r="S470" i="36"/>
  <c r="R470" i="36"/>
  <c r="Q470" i="36"/>
  <c r="T469" i="36"/>
  <c r="T472" i="36"/>
  <c r="S469" i="36"/>
  <c r="R469" i="36"/>
  <c r="Q469" i="36"/>
  <c r="S465" i="36"/>
  <c r="R465" i="36"/>
  <c r="Q465" i="36"/>
  <c r="P464" i="36"/>
  <c r="R464" i="36"/>
  <c r="O464" i="36"/>
  <c r="S464" i="36"/>
  <c r="N464" i="36"/>
  <c r="M464" i="36"/>
  <c r="L464" i="36"/>
  <c r="K464" i="36"/>
  <c r="J464" i="36"/>
  <c r="I464" i="36"/>
  <c r="H464" i="36"/>
  <c r="G464" i="36"/>
  <c r="F464" i="36"/>
  <c r="E464" i="36"/>
  <c r="D464" i="36"/>
  <c r="C464" i="36"/>
  <c r="B464" i="36"/>
  <c r="S463" i="36"/>
  <c r="R463" i="36"/>
  <c r="Q463" i="36"/>
  <c r="S462" i="36"/>
  <c r="R462" i="36"/>
  <c r="Q462" i="36"/>
  <c r="T456" i="36"/>
  <c r="S456" i="36"/>
  <c r="R456" i="36"/>
  <c r="Q456" i="36"/>
  <c r="R455" i="36"/>
  <c r="P455" i="36"/>
  <c r="Q455" i="36"/>
  <c r="O455" i="36"/>
  <c r="S455" i="36"/>
  <c r="N455" i="36"/>
  <c r="M455" i="36"/>
  <c r="L455" i="36"/>
  <c r="K455" i="36"/>
  <c r="J455" i="36"/>
  <c r="I455" i="36"/>
  <c r="H455" i="36"/>
  <c r="G455" i="36"/>
  <c r="F455" i="36"/>
  <c r="E455" i="36"/>
  <c r="D455" i="36"/>
  <c r="C455" i="36"/>
  <c r="B455" i="36"/>
  <c r="T454" i="36"/>
  <c r="S454" i="36"/>
  <c r="R454" i="36"/>
  <c r="Q454" i="36"/>
  <c r="T453" i="36"/>
  <c r="S453" i="36"/>
  <c r="R453" i="36"/>
  <c r="Q453" i="36"/>
  <c r="T452" i="36"/>
  <c r="S452" i="36"/>
  <c r="R452" i="36"/>
  <c r="Q452" i="36"/>
  <c r="T451" i="36"/>
  <c r="S451" i="36"/>
  <c r="R451" i="36"/>
  <c r="Q451" i="36"/>
  <c r="T450" i="36"/>
  <c r="S450" i="36"/>
  <c r="R450" i="36"/>
  <c r="Q450" i="36"/>
  <c r="T449" i="36"/>
  <c r="S449" i="36"/>
  <c r="R449" i="36"/>
  <c r="Q449" i="36"/>
  <c r="R444" i="36"/>
  <c r="Q444" i="36"/>
  <c r="P444" i="36"/>
  <c r="O444" i="36"/>
  <c r="T444" i="36"/>
  <c r="N444" i="36"/>
  <c r="M444" i="36"/>
  <c r="L444" i="36"/>
  <c r="K444" i="36"/>
  <c r="J444" i="36"/>
  <c r="I444" i="36"/>
  <c r="H444" i="36"/>
  <c r="G444" i="36"/>
  <c r="F444" i="36"/>
  <c r="E444" i="36"/>
  <c r="D444" i="36"/>
  <c r="C444" i="36"/>
  <c r="B444" i="36"/>
  <c r="T443" i="36"/>
  <c r="S443" i="36"/>
  <c r="R443" i="36"/>
  <c r="Q443" i="36"/>
  <c r="T442" i="36"/>
  <c r="S442" i="36"/>
  <c r="R442" i="36"/>
  <c r="Q442" i="36"/>
  <c r="T441" i="36"/>
  <c r="S441" i="36"/>
  <c r="R441" i="36"/>
  <c r="Q441" i="36"/>
  <c r="T440" i="36"/>
  <c r="S440" i="36"/>
  <c r="R440" i="36"/>
  <c r="Q440" i="36"/>
  <c r="T439" i="36"/>
  <c r="S439" i="36"/>
  <c r="R439" i="36"/>
  <c r="Q439" i="36"/>
  <c r="T438" i="36"/>
  <c r="S438" i="36"/>
  <c r="R438" i="36"/>
  <c r="Q438" i="36"/>
  <c r="T437" i="36"/>
  <c r="S437" i="36"/>
  <c r="R437" i="36"/>
  <c r="Q437" i="36"/>
  <c r="T432" i="36"/>
  <c r="S432" i="36"/>
  <c r="R432" i="36"/>
  <c r="Q432" i="36"/>
  <c r="T431" i="36"/>
  <c r="P431" i="36"/>
  <c r="S431" i="36"/>
  <c r="O431" i="36"/>
  <c r="N431" i="36"/>
  <c r="M431" i="36"/>
  <c r="L431" i="36"/>
  <c r="K431" i="36"/>
  <c r="J431" i="36"/>
  <c r="I431" i="36"/>
  <c r="H431" i="36"/>
  <c r="G431" i="36"/>
  <c r="F431" i="36"/>
  <c r="E431" i="36"/>
  <c r="D431" i="36"/>
  <c r="C431" i="36"/>
  <c r="B431" i="36"/>
  <c r="T430" i="36"/>
  <c r="S430" i="36"/>
  <c r="R430" i="36"/>
  <c r="Q430" i="36"/>
  <c r="T429" i="36"/>
  <c r="S429" i="36"/>
  <c r="R429" i="36"/>
  <c r="Q429" i="36"/>
  <c r="T428" i="36"/>
  <c r="S428" i="36"/>
  <c r="R428" i="36"/>
  <c r="Q428" i="36"/>
  <c r="T427" i="36"/>
  <c r="S427" i="36"/>
  <c r="R427" i="36"/>
  <c r="Q427" i="36"/>
  <c r="T426" i="36"/>
  <c r="S426" i="36"/>
  <c r="R426" i="36"/>
  <c r="Q426" i="36"/>
  <c r="T425" i="36"/>
  <c r="S425" i="36"/>
  <c r="R425" i="36"/>
  <c r="Q425" i="36"/>
  <c r="R420" i="36"/>
  <c r="P420" i="36"/>
  <c r="Q420" i="36"/>
  <c r="O420" i="36"/>
  <c r="T420" i="36"/>
  <c r="N420" i="36"/>
  <c r="M420" i="36"/>
  <c r="L420" i="36"/>
  <c r="K420" i="36"/>
  <c r="J420" i="36"/>
  <c r="I420" i="36"/>
  <c r="H420" i="36"/>
  <c r="G420" i="36"/>
  <c r="F420" i="36"/>
  <c r="E420" i="36"/>
  <c r="D420" i="36"/>
  <c r="C420" i="36"/>
  <c r="B420" i="36"/>
  <c r="S419" i="36"/>
  <c r="R419" i="36"/>
  <c r="Q419" i="36"/>
  <c r="S418" i="36"/>
  <c r="R418" i="36"/>
  <c r="Q418" i="36"/>
  <c r="S417" i="36"/>
  <c r="R417" i="36"/>
  <c r="Q417" i="36"/>
  <c r="S416" i="36"/>
  <c r="R416" i="36"/>
  <c r="Q416" i="36"/>
  <c r="S415" i="36"/>
  <c r="R415" i="36"/>
  <c r="Q415" i="36"/>
  <c r="S414" i="36"/>
  <c r="R414" i="36"/>
  <c r="Q414" i="36"/>
  <c r="S413" i="36"/>
  <c r="R413" i="36"/>
  <c r="Q413" i="36"/>
  <c r="S407" i="36"/>
  <c r="R407" i="36"/>
  <c r="Q407" i="36"/>
  <c r="P406" i="36"/>
  <c r="T406" i="36"/>
  <c r="O406" i="36"/>
  <c r="N406" i="36"/>
  <c r="M406" i="36"/>
  <c r="L406" i="36"/>
  <c r="K406" i="36"/>
  <c r="J406" i="36"/>
  <c r="I406" i="36"/>
  <c r="H406" i="36"/>
  <c r="G406" i="36"/>
  <c r="F406" i="36"/>
  <c r="E406" i="36"/>
  <c r="D406" i="36"/>
  <c r="C406" i="36"/>
  <c r="B406" i="36"/>
  <c r="T405" i="36"/>
  <c r="S405" i="36"/>
  <c r="R405" i="36"/>
  <c r="Q405" i="36"/>
  <c r="T404" i="36"/>
  <c r="S404" i="36"/>
  <c r="R404" i="36"/>
  <c r="Q404" i="36"/>
  <c r="T403" i="36"/>
  <c r="S403" i="36"/>
  <c r="R403" i="36"/>
  <c r="Q403" i="36"/>
  <c r="T402" i="36"/>
  <c r="S402" i="36"/>
  <c r="R402" i="36"/>
  <c r="Q402" i="36"/>
  <c r="T401" i="36"/>
  <c r="S401" i="36"/>
  <c r="R401" i="36"/>
  <c r="Q401" i="36"/>
  <c r="T400" i="36"/>
  <c r="T407" i="36"/>
  <c r="S400" i="36"/>
  <c r="R400" i="36"/>
  <c r="Q400" i="36"/>
  <c r="R395" i="36"/>
  <c r="P395" i="36"/>
  <c r="Q395" i="36"/>
  <c r="O395" i="36"/>
  <c r="S395" i="36"/>
  <c r="N395" i="36"/>
  <c r="M395" i="36"/>
  <c r="L395" i="36"/>
  <c r="K395" i="36"/>
  <c r="J395" i="36"/>
  <c r="I395" i="36"/>
  <c r="H395" i="36"/>
  <c r="G395" i="36"/>
  <c r="F395" i="36"/>
  <c r="E395" i="36"/>
  <c r="D395" i="36"/>
  <c r="C395" i="36"/>
  <c r="B395" i="36"/>
  <c r="Q394" i="36"/>
  <c r="T393" i="36"/>
  <c r="S393" i="36"/>
  <c r="R393" i="36"/>
  <c r="Q393" i="36"/>
  <c r="T392" i="36"/>
  <c r="S392" i="36"/>
  <c r="R392" i="36"/>
  <c r="Q392" i="36"/>
  <c r="T391" i="36"/>
  <c r="S391" i="36"/>
  <c r="R391" i="36"/>
  <c r="Q391" i="36"/>
  <c r="T390" i="36"/>
  <c r="S390" i="36"/>
  <c r="R390" i="36"/>
  <c r="Q390" i="36"/>
  <c r="T389" i="36"/>
  <c r="S389" i="36"/>
  <c r="R389" i="36"/>
  <c r="Q389" i="36"/>
  <c r="T388" i="36"/>
  <c r="S388" i="36"/>
  <c r="R388" i="36"/>
  <c r="Q388" i="36"/>
  <c r="T382" i="36"/>
  <c r="S382" i="36"/>
  <c r="R382" i="36"/>
  <c r="Q382" i="36"/>
  <c r="P381" i="36"/>
  <c r="R381" i="36"/>
  <c r="O381" i="36"/>
  <c r="S381" i="36"/>
  <c r="N381" i="36"/>
  <c r="M381" i="36"/>
  <c r="L381" i="36"/>
  <c r="K381" i="36"/>
  <c r="J381" i="36"/>
  <c r="I381" i="36"/>
  <c r="H381" i="36"/>
  <c r="G381" i="36"/>
  <c r="F381" i="36"/>
  <c r="E381" i="36"/>
  <c r="D381" i="36"/>
  <c r="C381" i="36"/>
  <c r="B381" i="36"/>
  <c r="T380" i="36"/>
  <c r="S380" i="36"/>
  <c r="R380" i="36"/>
  <c r="Q380" i="36"/>
  <c r="T379" i="36"/>
  <c r="S379" i="36"/>
  <c r="R379" i="36"/>
  <c r="Q379" i="36"/>
  <c r="T378" i="36"/>
  <c r="S378" i="36"/>
  <c r="R378" i="36"/>
  <c r="Q378" i="36"/>
  <c r="T377" i="36"/>
  <c r="S377" i="36"/>
  <c r="R377" i="36"/>
  <c r="Q377" i="36"/>
  <c r="T376" i="36"/>
  <c r="S376" i="36"/>
  <c r="R376" i="36"/>
  <c r="Q376" i="36"/>
  <c r="T375" i="36"/>
  <c r="S375" i="36"/>
  <c r="R375" i="36"/>
  <c r="Q375" i="36"/>
  <c r="R370" i="36"/>
  <c r="P370" i="36"/>
  <c r="T370" i="36"/>
  <c r="O370" i="36"/>
  <c r="S370" i="36"/>
  <c r="N370" i="36"/>
  <c r="M370" i="36"/>
  <c r="L370" i="36"/>
  <c r="K370" i="36"/>
  <c r="J370" i="36"/>
  <c r="I370" i="36"/>
  <c r="H370" i="36"/>
  <c r="G370" i="36"/>
  <c r="Q370" i="36"/>
  <c r="F370" i="36"/>
  <c r="E370" i="36"/>
  <c r="D370" i="36"/>
  <c r="C370" i="36"/>
  <c r="B370" i="36"/>
  <c r="T369" i="36"/>
  <c r="S369" i="36"/>
  <c r="R369" i="36"/>
  <c r="Q369" i="36"/>
  <c r="T368" i="36"/>
  <c r="S368" i="36"/>
  <c r="R368" i="36"/>
  <c r="Q368" i="36"/>
  <c r="T367" i="36"/>
  <c r="S367" i="36"/>
  <c r="R367" i="36"/>
  <c r="Q367" i="36"/>
  <c r="T366" i="36"/>
  <c r="S366" i="36"/>
  <c r="R366" i="36"/>
  <c r="Q366" i="36"/>
  <c r="T365" i="36"/>
  <c r="S365" i="36"/>
  <c r="R365" i="36"/>
  <c r="Q365" i="36"/>
  <c r="T364" i="36"/>
  <c r="S364" i="36"/>
  <c r="R364" i="36"/>
  <c r="Q364" i="36"/>
  <c r="T363" i="36"/>
  <c r="S363" i="36"/>
  <c r="R363" i="36"/>
  <c r="Q363" i="36"/>
  <c r="T359" i="36"/>
  <c r="S359" i="36"/>
  <c r="R359" i="36"/>
  <c r="Q359" i="36"/>
  <c r="T358" i="36"/>
  <c r="S358" i="36"/>
  <c r="R358" i="36"/>
  <c r="Q358" i="36"/>
  <c r="T357" i="36"/>
  <c r="S357" i="36"/>
  <c r="R357" i="36"/>
  <c r="Q357" i="36"/>
  <c r="S353" i="36"/>
  <c r="R353" i="36"/>
  <c r="Q353" i="36"/>
  <c r="T352" i="36"/>
  <c r="S352" i="36"/>
  <c r="R352" i="36"/>
  <c r="Q352" i="36"/>
  <c r="T351" i="36"/>
  <c r="T353" i="36"/>
  <c r="S351" i="36"/>
  <c r="R351" i="36"/>
  <c r="Q351" i="36"/>
  <c r="S347" i="36"/>
  <c r="R347" i="36"/>
  <c r="Q347" i="36"/>
  <c r="T346" i="36"/>
  <c r="S346" i="36"/>
  <c r="R346" i="36"/>
  <c r="Q346" i="36"/>
  <c r="T345" i="36"/>
  <c r="T347" i="36"/>
  <c r="S345" i="36"/>
  <c r="R345" i="36"/>
  <c r="Q345" i="36"/>
  <c r="S341" i="36"/>
  <c r="R341" i="36"/>
  <c r="Q341" i="36"/>
  <c r="T340" i="36"/>
  <c r="S340" i="36"/>
  <c r="R340" i="36"/>
  <c r="Q340" i="36"/>
  <c r="T339" i="36"/>
  <c r="T341" i="36"/>
  <c r="S339" i="36"/>
  <c r="R339" i="36"/>
  <c r="Q339" i="36"/>
  <c r="S335" i="36"/>
  <c r="R335" i="36"/>
  <c r="Q335" i="36"/>
  <c r="T334" i="36"/>
  <c r="S334" i="36"/>
  <c r="R334" i="36"/>
  <c r="Q334" i="36"/>
  <c r="T333" i="36"/>
  <c r="T335" i="36"/>
  <c r="S333" i="36"/>
  <c r="R333" i="36"/>
  <c r="Q333" i="36"/>
  <c r="S329" i="36"/>
  <c r="R329" i="36"/>
  <c r="Q329" i="36"/>
  <c r="T328" i="36"/>
  <c r="S328" i="36"/>
  <c r="R328" i="36"/>
  <c r="Q328" i="36"/>
  <c r="T327" i="36"/>
  <c r="T329" i="36"/>
  <c r="S327" i="36"/>
  <c r="R327" i="36"/>
  <c r="Q327" i="36"/>
  <c r="S323" i="36"/>
  <c r="R323" i="36"/>
  <c r="Q323" i="36"/>
  <c r="T322" i="36"/>
  <c r="S322" i="36"/>
  <c r="R322" i="36"/>
  <c r="Q322" i="36"/>
  <c r="T321" i="36"/>
  <c r="T323" i="36"/>
  <c r="S321" i="36"/>
  <c r="R321" i="36"/>
  <c r="Q321" i="36"/>
  <c r="S317" i="36"/>
  <c r="R317" i="36"/>
  <c r="Q317" i="36"/>
  <c r="T316" i="36"/>
  <c r="S316" i="36"/>
  <c r="R316" i="36"/>
  <c r="Q316" i="36"/>
  <c r="T315" i="36"/>
  <c r="T317" i="36"/>
  <c r="S315" i="36"/>
  <c r="R315" i="36"/>
  <c r="Q315" i="36"/>
  <c r="T311" i="36"/>
  <c r="S311" i="36"/>
  <c r="R311" i="36"/>
  <c r="Q311" i="36"/>
  <c r="T310" i="36"/>
  <c r="S310" i="36"/>
  <c r="R310" i="36"/>
  <c r="Q310" i="36"/>
  <c r="T309" i="36"/>
  <c r="S309" i="36"/>
  <c r="R309" i="36"/>
  <c r="Q309" i="36"/>
  <c r="T308" i="36"/>
  <c r="S308" i="36"/>
  <c r="R308" i="36"/>
  <c r="Q308" i="36"/>
  <c r="T307" i="36"/>
  <c r="S307" i="36"/>
  <c r="R307" i="36"/>
  <c r="Q307" i="36"/>
  <c r="T306" i="36"/>
  <c r="S306" i="36"/>
  <c r="R306" i="36"/>
  <c r="Q306" i="36"/>
  <c r="T305" i="36"/>
  <c r="S305" i="36"/>
  <c r="R305" i="36"/>
  <c r="Q305" i="36"/>
  <c r="T304" i="36"/>
  <c r="S304" i="36"/>
  <c r="R304" i="36"/>
  <c r="Q304" i="36"/>
  <c r="T303" i="36"/>
  <c r="S303" i="36"/>
  <c r="R303" i="36"/>
  <c r="Q303" i="36"/>
  <c r="T302" i="36"/>
  <c r="S302" i="36"/>
  <c r="R302" i="36"/>
  <c r="Q302" i="36"/>
  <c r="T301" i="36"/>
  <c r="S301" i="36"/>
  <c r="R301" i="36"/>
  <c r="Q301" i="36"/>
  <c r="T300" i="36"/>
  <c r="S300" i="36"/>
  <c r="R300" i="36"/>
  <c r="Q300" i="36"/>
  <c r="T299" i="36"/>
  <c r="S299" i="36"/>
  <c r="R299" i="36"/>
  <c r="Q299" i="36"/>
  <c r="T298" i="36"/>
  <c r="S298" i="36"/>
  <c r="R298" i="36"/>
  <c r="Q298" i="36"/>
  <c r="T297" i="36"/>
  <c r="S297" i="36"/>
  <c r="R297" i="36"/>
  <c r="Q297" i="36"/>
  <c r="T296" i="36"/>
  <c r="S296" i="36"/>
  <c r="R296" i="36"/>
  <c r="Q296" i="36"/>
  <c r="T295" i="36"/>
  <c r="S295" i="36"/>
  <c r="R295" i="36"/>
  <c r="Q295" i="36"/>
  <c r="T294" i="36"/>
  <c r="S294" i="36"/>
  <c r="R294" i="36"/>
  <c r="Q294" i="36"/>
  <c r="T293" i="36"/>
  <c r="S293" i="36"/>
  <c r="R293" i="36"/>
  <c r="Q293" i="36"/>
  <c r="T292" i="36"/>
  <c r="S292" i="36"/>
  <c r="R292" i="36"/>
  <c r="Q292" i="36"/>
  <c r="T288" i="36"/>
  <c r="S288" i="36"/>
  <c r="R288" i="36"/>
  <c r="Q288" i="36"/>
  <c r="T287" i="36"/>
  <c r="S287" i="36"/>
  <c r="R287" i="36"/>
  <c r="Q287" i="36"/>
  <c r="T286" i="36"/>
  <c r="S286" i="36"/>
  <c r="R286" i="36"/>
  <c r="Q286" i="36"/>
  <c r="T285" i="36"/>
  <c r="S285" i="36"/>
  <c r="R285" i="36"/>
  <c r="Q285" i="36"/>
  <c r="T284" i="36"/>
  <c r="S284" i="36"/>
  <c r="R284" i="36"/>
  <c r="Q284" i="36"/>
  <c r="T283" i="36"/>
  <c r="S283" i="36"/>
  <c r="R283" i="36"/>
  <c r="Q283" i="36"/>
  <c r="T282" i="36"/>
  <c r="S282" i="36"/>
  <c r="R282" i="36"/>
  <c r="Q282" i="36"/>
  <c r="T281" i="36"/>
  <c r="S281" i="36"/>
  <c r="R281" i="36"/>
  <c r="Q281" i="36"/>
  <c r="T280" i="36"/>
  <c r="S280" i="36"/>
  <c r="R280" i="36"/>
  <c r="Q280" i="36"/>
  <c r="T279" i="36"/>
  <c r="S279" i="36"/>
  <c r="R279" i="36"/>
  <c r="Q279" i="36"/>
  <c r="T278" i="36"/>
  <c r="S278" i="36"/>
  <c r="R278" i="36"/>
  <c r="Q278" i="36"/>
  <c r="T277" i="36"/>
  <c r="S277" i="36"/>
  <c r="R277" i="36"/>
  <c r="Q277" i="36"/>
  <c r="T276" i="36"/>
  <c r="S276" i="36"/>
  <c r="R276" i="36"/>
  <c r="Q276" i="36"/>
  <c r="T275" i="36"/>
  <c r="S275" i="36"/>
  <c r="R275" i="36"/>
  <c r="Q275" i="36"/>
  <c r="T274" i="36"/>
  <c r="S274" i="36"/>
  <c r="R274" i="36"/>
  <c r="Q274" i="36"/>
  <c r="T273" i="36"/>
  <c r="S273" i="36"/>
  <c r="R273" i="36"/>
  <c r="Q273" i="36"/>
  <c r="T272" i="36"/>
  <c r="S272" i="36"/>
  <c r="R272" i="36"/>
  <c r="Q272" i="36"/>
  <c r="T271" i="36"/>
  <c r="S271" i="36"/>
  <c r="R271" i="36"/>
  <c r="Q271" i="36"/>
  <c r="T270" i="36"/>
  <c r="S270" i="36"/>
  <c r="R270" i="36"/>
  <c r="Q270" i="36"/>
  <c r="T269" i="36"/>
  <c r="S269" i="36"/>
  <c r="R269" i="36"/>
  <c r="Q269" i="36"/>
  <c r="T265" i="36"/>
  <c r="S265" i="36"/>
  <c r="R265" i="36"/>
  <c r="Q265" i="36"/>
  <c r="T264" i="36"/>
  <c r="S264" i="36"/>
  <c r="R264" i="36"/>
  <c r="Q264" i="36"/>
  <c r="T263" i="36"/>
  <c r="S263" i="36"/>
  <c r="R263" i="36"/>
  <c r="Q263" i="36"/>
  <c r="T262" i="36"/>
  <c r="S262" i="36"/>
  <c r="R262" i="36"/>
  <c r="Q262" i="36"/>
  <c r="T261" i="36"/>
  <c r="S261" i="36"/>
  <c r="R261" i="36"/>
  <c r="Q261" i="36"/>
  <c r="T260" i="36"/>
  <c r="S260" i="36"/>
  <c r="R260" i="36"/>
  <c r="Q260" i="36"/>
  <c r="T259" i="36"/>
  <c r="S259" i="36"/>
  <c r="R259" i="36"/>
  <c r="Q259" i="36"/>
  <c r="T258" i="36"/>
  <c r="S258" i="36"/>
  <c r="R258" i="36"/>
  <c r="Q258" i="36"/>
  <c r="T257" i="36"/>
  <c r="S257" i="36"/>
  <c r="R257" i="36"/>
  <c r="Q257" i="36"/>
  <c r="T256" i="36"/>
  <c r="S256" i="36"/>
  <c r="R256" i="36"/>
  <c r="Q256" i="36"/>
  <c r="T255" i="36"/>
  <c r="S255" i="36"/>
  <c r="R255" i="36"/>
  <c r="Q255" i="36"/>
  <c r="T254" i="36"/>
  <c r="S254" i="36"/>
  <c r="R254" i="36"/>
  <c r="Q254" i="36"/>
  <c r="T253" i="36"/>
  <c r="S253" i="36"/>
  <c r="R253" i="36"/>
  <c r="Q253" i="36"/>
  <c r="T252" i="36"/>
  <c r="S252" i="36"/>
  <c r="R252" i="36"/>
  <c r="Q252" i="36"/>
  <c r="T251" i="36"/>
  <c r="S251" i="36"/>
  <c r="R251" i="36"/>
  <c r="Q251" i="36"/>
  <c r="T250" i="36"/>
  <c r="S250" i="36"/>
  <c r="R250" i="36"/>
  <c r="Q250" i="36"/>
  <c r="T249" i="36"/>
  <c r="S249" i="36"/>
  <c r="R249" i="36"/>
  <c r="Q249" i="36"/>
  <c r="T248" i="36"/>
  <c r="S248" i="36"/>
  <c r="R248" i="36"/>
  <c r="Q248" i="36"/>
  <c r="T247" i="36"/>
  <c r="S247" i="36"/>
  <c r="R247" i="36"/>
  <c r="Q247" i="36"/>
  <c r="T246" i="36"/>
  <c r="S246" i="36"/>
  <c r="R246" i="36"/>
  <c r="Q246" i="36"/>
  <c r="T242" i="36"/>
  <c r="S242" i="36"/>
  <c r="R242" i="36"/>
  <c r="Q242" i="36"/>
  <c r="T241" i="36"/>
  <c r="S241" i="36"/>
  <c r="R241" i="36"/>
  <c r="Q241" i="36"/>
  <c r="T240" i="36"/>
  <c r="S240" i="36"/>
  <c r="R240" i="36"/>
  <c r="Q240" i="36"/>
  <c r="T239" i="36"/>
  <c r="S239" i="36"/>
  <c r="R239" i="36"/>
  <c r="Q239" i="36"/>
  <c r="T238" i="36"/>
  <c r="S238" i="36"/>
  <c r="R238" i="36"/>
  <c r="Q238" i="36"/>
  <c r="T237" i="36"/>
  <c r="S237" i="36"/>
  <c r="R237" i="36"/>
  <c r="Q237" i="36"/>
  <c r="T236" i="36"/>
  <c r="S236" i="36"/>
  <c r="R236" i="36"/>
  <c r="Q236" i="36"/>
  <c r="T235" i="36"/>
  <c r="S235" i="36"/>
  <c r="R235" i="36"/>
  <c r="Q235" i="36"/>
  <c r="T234" i="36"/>
  <c r="S234" i="36"/>
  <c r="R234" i="36"/>
  <c r="Q234" i="36"/>
  <c r="T233" i="36"/>
  <c r="S233" i="36"/>
  <c r="R233" i="36"/>
  <c r="Q233" i="36"/>
  <c r="T232" i="36"/>
  <c r="S232" i="36"/>
  <c r="R232" i="36"/>
  <c r="Q232" i="36"/>
  <c r="T231" i="36"/>
  <c r="S231" i="36"/>
  <c r="R231" i="36"/>
  <c r="Q231" i="36"/>
  <c r="T230" i="36"/>
  <c r="S230" i="36"/>
  <c r="R230" i="36"/>
  <c r="Q230" i="36"/>
  <c r="T229" i="36"/>
  <c r="S229" i="36"/>
  <c r="R229" i="36"/>
  <c r="Q229" i="36"/>
  <c r="T228" i="36"/>
  <c r="S228" i="36"/>
  <c r="R228" i="36"/>
  <c r="Q228" i="36"/>
  <c r="T227" i="36"/>
  <c r="S227" i="36"/>
  <c r="R227" i="36"/>
  <c r="Q227" i="36"/>
  <c r="T226" i="36"/>
  <c r="S226" i="36"/>
  <c r="R226" i="36"/>
  <c r="Q226" i="36"/>
  <c r="T225" i="36"/>
  <c r="S225" i="36"/>
  <c r="R225" i="36"/>
  <c r="Q225" i="36"/>
  <c r="T224" i="36"/>
  <c r="S224" i="36"/>
  <c r="R224" i="36"/>
  <c r="Q224" i="36"/>
  <c r="T223" i="36"/>
  <c r="S223" i="36"/>
  <c r="R223" i="36"/>
  <c r="Q223" i="36"/>
  <c r="T219" i="36"/>
  <c r="S219" i="36"/>
  <c r="R219" i="36"/>
  <c r="Q219" i="36"/>
  <c r="T218" i="36"/>
  <c r="S218" i="36"/>
  <c r="R218" i="36"/>
  <c r="Q218" i="36"/>
  <c r="T217" i="36"/>
  <c r="S217" i="36"/>
  <c r="R217" i="36"/>
  <c r="Q217" i="36"/>
  <c r="T216" i="36"/>
  <c r="S216" i="36"/>
  <c r="R216" i="36"/>
  <c r="Q216" i="36"/>
  <c r="T215" i="36"/>
  <c r="S215" i="36"/>
  <c r="R215" i="36"/>
  <c r="Q215" i="36"/>
  <c r="T214" i="36"/>
  <c r="S214" i="36"/>
  <c r="R214" i="36"/>
  <c r="Q214" i="36"/>
  <c r="T213" i="36"/>
  <c r="S213" i="36"/>
  <c r="R213" i="36"/>
  <c r="Q213" i="36"/>
  <c r="T212" i="36"/>
  <c r="S212" i="36"/>
  <c r="R212" i="36"/>
  <c r="Q212" i="36"/>
  <c r="T211" i="36"/>
  <c r="S211" i="36"/>
  <c r="R211" i="36"/>
  <c r="Q211" i="36"/>
  <c r="T210" i="36"/>
  <c r="S210" i="36"/>
  <c r="R210" i="36"/>
  <c r="Q210" i="36"/>
  <c r="T209" i="36"/>
  <c r="S209" i="36"/>
  <c r="R209" i="36"/>
  <c r="Q209" i="36"/>
  <c r="T208" i="36"/>
  <c r="S208" i="36"/>
  <c r="R208" i="36"/>
  <c r="Q208" i="36"/>
  <c r="T207" i="36"/>
  <c r="S207" i="36"/>
  <c r="R207" i="36"/>
  <c r="Q207" i="36"/>
  <c r="T206" i="36"/>
  <c r="S206" i="36"/>
  <c r="R206" i="36"/>
  <c r="Q206" i="36"/>
  <c r="T205" i="36"/>
  <c r="S205" i="36"/>
  <c r="R205" i="36"/>
  <c r="Q205" i="36"/>
  <c r="T204" i="36"/>
  <c r="S204" i="36"/>
  <c r="R204" i="36"/>
  <c r="Q204" i="36"/>
  <c r="T203" i="36"/>
  <c r="S203" i="36"/>
  <c r="R203" i="36"/>
  <c r="Q203" i="36"/>
  <c r="T202" i="36"/>
  <c r="S202" i="36"/>
  <c r="R202" i="36"/>
  <c r="Q202" i="36"/>
  <c r="T201" i="36"/>
  <c r="S201" i="36"/>
  <c r="R201" i="36"/>
  <c r="Q201" i="36"/>
  <c r="T200" i="36"/>
  <c r="S200" i="36"/>
  <c r="R200" i="36"/>
  <c r="Q200" i="36"/>
  <c r="T196" i="36"/>
  <c r="S196" i="36"/>
  <c r="R196" i="36"/>
  <c r="Q196" i="36"/>
  <c r="T195" i="36"/>
  <c r="S195" i="36"/>
  <c r="R195" i="36"/>
  <c r="Q195" i="36"/>
  <c r="T194" i="36"/>
  <c r="S194" i="36"/>
  <c r="R194" i="36"/>
  <c r="Q194" i="36"/>
  <c r="T193" i="36"/>
  <c r="S193" i="36"/>
  <c r="R193" i="36"/>
  <c r="Q193" i="36"/>
  <c r="T192" i="36"/>
  <c r="S192" i="36"/>
  <c r="R192" i="36"/>
  <c r="Q192" i="36"/>
  <c r="T191" i="36"/>
  <c r="S191" i="36"/>
  <c r="R191" i="36"/>
  <c r="Q191" i="36"/>
  <c r="T190" i="36"/>
  <c r="S190" i="36"/>
  <c r="R190" i="36"/>
  <c r="Q190" i="36"/>
  <c r="T189" i="36"/>
  <c r="S189" i="36"/>
  <c r="R189" i="36"/>
  <c r="Q189" i="36"/>
  <c r="T188" i="36"/>
  <c r="S188" i="36"/>
  <c r="R188" i="36"/>
  <c r="Q188" i="36"/>
  <c r="T187" i="36"/>
  <c r="S187" i="36"/>
  <c r="R187" i="36"/>
  <c r="Q187" i="36"/>
  <c r="T186" i="36"/>
  <c r="S186" i="36"/>
  <c r="R186" i="36"/>
  <c r="Q186" i="36"/>
  <c r="T185" i="36"/>
  <c r="S185" i="36"/>
  <c r="R185" i="36"/>
  <c r="Q185" i="36"/>
  <c r="T184" i="36"/>
  <c r="S184" i="36"/>
  <c r="R184" i="36"/>
  <c r="Q184" i="36"/>
  <c r="T183" i="36"/>
  <c r="S183" i="36"/>
  <c r="R183" i="36"/>
  <c r="Q183" i="36"/>
  <c r="T182" i="36"/>
  <c r="S182" i="36"/>
  <c r="R182" i="36"/>
  <c r="Q182" i="36"/>
  <c r="T181" i="36"/>
  <c r="S181" i="36"/>
  <c r="R181" i="36"/>
  <c r="Q181" i="36"/>
  <c r="T180" i="36"/>
  <c r="S180" i="36"/>
  <c r="R180" i="36"/>
  <c r="Q180" i="36"/>
  <c r="T179" i="36"/>
  <c r="S179" i="36"/>
  <c r="R179" i="36"/>
  <c r="Q179" i="36"/>
  <c r="T178" i="36"/>
  <c r="S178" i="36"/>
  <c r="R178" i="36"/>
  <c r="Q178" i="36"/>
  <c r="T177" i="36"/>
  <c r="S177" i="36"/>
  <c r="R177" i="36"/>
  <c r="Q177" i="36"/>
  <c r="T173" i="36"/>
  <c r="S173" i="36"/>
  <c r="R173" i="36"/>
  <c r="Q173" i="36"/>
  <c r="T172" i="36"/>
  <c r="Q172" i="36"/>
  <c r="T171" i="36"/>
  <c r="S171" i="36"/>
  <c r="R171" i="36"/>
  <c r="Q171" i="36"/>
  <c r="T170" i="36"/>
  <c r="S170" i="36"/>
  <c r="R170" i="36"/>
  <c r="Q170" i="36"/>
  <c r="T169" i="36"/>
  <c r="S169" i="36"/>
  <c r="R169" i="36"/>
  <c r="Q169" i="36"/>
  <c r="T168" i="36"/>
  <c r="S168" i="36"/>
  <c r="R168" i="36"/>
  <c r="Q168" i="36"/>
  <c r="T167" i="36"/>
  <c r="S167" i="36"/>
  <c r="R167" i="36"/>
  <c r="Q167" i="36"/>
  <c r="T166" i="36"/>
  <c r="S166" i="36"/>
  <c r="R166" i="36"/>
  <c r="Q166" i="36"/>
  <c r="T165" i="36"/>
  <c r="S165" i="36"/>
  <c r="R165" i="36"/>
  <c r="Q165" i="36"/>
  <c r="T164" i="36"/>
  <c r="S164" i="36"/>
  <c r="R164" i="36"/>
  <c r="Q164" i="36"/>
  <c r="T163" i="36"/>
  <c r="S163" i="36"/>
  <c r="R163" i="36"/>
  <c r="Q163" i="36"/>
  <c r="T162" i="36"/>
  <c r="S162" i="36"/>
  <c r="R162" i="36"/>
  <c r="Q162" i="36"/>
  <c r="T158" i="36"/>
  <c r="S158" i="36"/>
  <c r="R158" i="36"/>
  <c r="Q158" i="36"/>
  <c r="T157" i="36"/>
  <c r="Q157" i="36"/>
  <c r="T156" i="36"/>
  <c r="S156" i="36"/>
  <c r="R156" i="36"/>
  <c r="Q156" i="36"/>
  <c r="T155" i="36"/>
  <c r="S155" i="36"/>
  <c r="R155" i="36"/>
  <c r="Q155" i="36"/>
  <c r="T154" i="36"/>
  <c r="S154" i="36"/>
  <c r="R154" i="36"/>
  <c r="Q154" i="36"/>
  <c r="T153" i="36"/>
  <c r="S153" i="36"/>
  <c r="R153" i="36"/>
  <c r="Q153" i="36"/>
  <c r="T152" i="36"/>
  <c r="S152" i="36"/>
  <c r="R152" i="36"/>
  <c r="Q152" i="36"/>
  <c r="T151" i="36"/>
  <c r="S151" i="36"/>
  <c r="R151" i="36"/>
  <c r="Q151" i="36"/>
  <c r="T150" i="36"/>
  <c r="S150" i="36"/>
  <c r="R150" i="36"/>
  <c r="Q150" i="36"/>
  <c r="T149" i="36"/>
  <c r="S149" i="36"/>
  <c r="R149" i="36"/>
  <c r="Q149" i="36"/>
  <c r="T148" i="36"/>
  <c r="S148" i="36"/>
  <c r="R148" i="36"/>
  <c r="Q148" i="36"/>
  <c r="T147" i="36"/>
  <c r="S147" i="36"/>
  <c r="R147" i="36"/>
  <c r="Q147" i="36"/>
  <c r="T143" i="36"/>
  <c r="S143" i="36"/>
  <c r="R143" i="36"/>
  <c r="Q143" i="36"/>
  <c r="T142" i="36"/>
  <c r="S142" i="36"/>
  <c r="R142" i="36"/>
  <c r="Q142" i="36"/>
  <c r="T141" i="36"/>
  <c r="S141" i="36"/>
  <c r="R141" i="36"/>
  <c r="Q141" i="36"/>
  <c r="T140" i="36"/>
  <c r="S140" i="36"/>
  <c r="R140" i="36"/>
  <c r="Q140" i="36"/>
  <c r="T139" i="36"/>
  <c r="S139" i="36"/>
  <c r="R139" i="36"/>
  <c r="Q139" i="36"/>
  <c r="T138" i="36"/>
  <c r="S138" i="36"/>
  <c r="R138" i="36"/>
  <c r="Q138" i="36"/>
  <c r="T137" i="36"/>
  <c r="S137" i="36"/>
  <c r="R137" i="36"/>
  <c r="Q137" i="36"/>
  <c r="T136" i="36"/>
  <c r="S136" i="36"/>
  <c r="R136" i="36"/>
  <c r="Q136" i="36"/>
  <c r="T135" i="36"/>
  <c r="S135" i="36"/>
  <c r="R135" i="36"/>
  <c r="Q135" i="36"/>
  <c r="T134" i="36"/>
  <c r="S134" i="36"/>
  <c r="R134" i="36"/>
  <c r="Q134" i="36"/>
  <c r="T133" i="36"/>
  <c r="S133" i="36"/>
  <c r="R133" i="36"/>
  <c r="Q133" i="36"/>
  <c r="T132" i="36"/>
  <c r="S132" i="36"/>
  <c r="R132" i="36"/>
  <c r="Q132" i="36"/>
  <c r="T131" i="36"/>
  <c r="S131" i="36"/>
  <c r="R131" i="36"/>
  <c r="Q131" i="36"/>
  <c r="T130" i="36"/>
  <c r="R130" i="36"/>
  <c r="Q130" i="36"/>
  <c r="T129" i="36"/>
  <c r="S129" i="36"/>
  <c r="R129" i="36"/>
  <c r="Q129" i="36"/>
  <c r="T128" i="36"/>
  <c r="S128" i="36"/>
  <c r="R128" i="36"/>
  <c r="Q128" i="36"/>
  <c r="T127" i="36"/>
  <c r="S127" i="36"/>
  <c r="R127" i="36"/>
  <c r="Q127" i="36"/>
  <c r="T126" i="36"/>
  <c r="S126" i="36"/>
  <c r="R126" i="36"/>
  <c r="Q126" i="36"/>
  <c r="T125" i="36"/>
  <c r="S125" i="36"/>
  <c r="R125" i="36"/>
  <c r="Q125" i="36"/>
  <c r="T121" i="36"/>
  <c r="S121" i="36"/>
  <c r="R121" i="36"/>
  <c r="Q121" i="36"/>
  <c r="T120" i="36"/>
  <c r="S120" i="36"/>
  <c r="R120" i="36"/>
  <c r="Q120" i="36"/>
  <c r="T119" i="36"/>
  <c r="S119" i="36"/>
  <c r="R119" i="36"/>
  <c r="Q119" i="36"/>
  <c r="T118" i="36"/>
  <c r="S118" i="36"/>
  <c r="R118" i="36"/>
  <c r="Q118" i="36"/>
  <c r="T117" i="36"/>
  <c r="S117" i="36"/>
  <c r="R117" i="36"/>
  <c r="Q117" i="36"/>
  <c r="T116" i="36"/>
  <c r="S116" i="36"/>
  <c r="R116" i="36"/>
  <c r="Q116" i="36"/>
  <c r="T112" i="36"/>
  <c r="S112" i="36"/>
  <c r="R112" i="36"/>
  <c r="Q112" i="36"/>
  <c r="T111" i="36"/>
  <c r="S111" i="36"/>
  <c r="R111" i="36"/>
  <c r="Q111" i="36"/>
  <c r="T110" i="36"/>
  <c r="S110" i="36"/>
  <c r="R110" i="36"/>
  <c r="Q110" i="36"/>
  <c r="T109" i="36"/>
  <c r="S109" i="36"/>
  <c r="R109" i="36"/>
  <c r="Q109" i="36"/>
  <c r="T108" i="36"/>
  <c r="S108" i="36"/>
  <c r="R108" i="36"/>
  <c r="Q108" i="36"/>
  <c r="T107" i="36"/>
  <c r="S107" i="36"/>
  <c r="R107" i="36"/>
  <c r="Q107" i="36"/>
  <c r="T103" i="36"/>
  <c r="S103" i="36"/>
  <c r="R103" i="36"/>
  <c r="Q103" i="36"/>
  <c r="T102" i="36"/>
  <c r="S102" i="36"/>
  <c r="R102" i="36"/>
  <c r="Q102" i="36"/>
  <c r="T101" i="36"/>
  <c r="S101" i="36"/>
  <c r="R101" i="36"/>
  <c r="Q101" i="36"/>
  <c r="T100" i="36"/>
  <c r="S100" i="36"/>
  <c r="R100" i="36"/>
  <c r="Q100" i="36"/>
  <c r="T99" i="36"/>
  <c r="S99" i="36"/>
  <c r="R99" i="36"/>
  <c r="Q99" i="36"/>
  <c r="T98" i="36"/>
  <c r="S98" i="36"/>
  <c r="R98" i="36"/>
  <c r="Q98" i="36"/>
  <c r="T97" i="36"/>
  <c r="S97" i="36"/>
  <c r="R97" i="36"/>
  <c r="Q97" i="36"/>
  <c r="T96" i="36"/>
  <c r="S96" i="36"/>
  <c r="R96" i="36"/>
  <c r="Q96" i="36"/>
  <c r="T95" i="36"/>
  <c r="S95" i="36"/>
  <c r="R95" i="36"/>
  <c r="Q95" i="36"/>
  <c r="T94" i="36"/>
  <c r="S94" i="36"/>
  <c r="R94" i="36"/>
  <c r="Q94" i="36"/>
  <c r="T93" i="36"/>
  <c r="S93" i="36"/>
  <c r="R93" i="36"/>
  <c r="Q93" i="36"/>
  <c r="T92" i="36"/>
  <c r="S92" i="36"/>
  <c r="R92" i="36"/>
  <c r="Q92" i="36"/>
  <c r="T88" i="36"/>
  <c r="S88" i="36"/>
  <c r="R88" i="36"/>
  <c r="Q88" i="36"/>
  <c r="T87" i="36"/>
  <c r="S87" i="36"/>
  <c r="R87" i="36"/>
  <c r="Q87" i="36"/>
  <c r="T86" i="36"/>
  <c r="S86" i="36"/>
  <c r="R86" i="36"/>
  <c r="Q86" i="36"/>
  <c r="T85" i="36"/>
  <c r="S85" i="36"/>
  <c r="R85" i="36"/>
  <c r="Q85" i="36"/>
  <c r="T84" i="36"/>
  <c r="S84" i="36"/>
  <c r="R84" i="36"/>
  <c r="Q84" i="36"/>
  <c r="T83" i="36"/>
  <c r="S83" i="36"/>
  <c r="R83" i="36"/>
  <c r="Q83" i="36"/>
  <c r="T82" i="36"/>
  <c r="S82" i="36"/>
  <c r="R82" i="36"/>
  <c r="Q82" i="36"/>
  <c r="T81" i="36"/>
  <c r="S81" i="36"/>
  <c r="R81" i="36"/>
  <c r="Q81" i="36"/>
  <c r="T80" i="36"/>
  <c r="S80" i="36"/>
  <c r="R80" i="36"/>
  <c r="Q80" i="36"/>
  <c r="T79" i="36"/>
  <c r="S79" i="36"/>
  <c r="R79" i="36"/>
  <c r="Q79" i="36"/>
  <c r="T78" i="36"/>
  <c r="S78" i="36"/>
  <c r="R78" i="36"/>
  <c r="Q78" i="36"/>
  <c r="T77" i="36"/>
  <c r="S77" i="36"/>
  <c r="R77" i="36"/>
  <c r="Q77" i="36"/>
  <c r="P71" i="36"/>
  <c r="L71" i="36"/>
  <c r="H71" i="36"/>
  <c r="D71" i="36"/>
  <c r="R70" i="36"/>
  <c r="P70" i="36"/>
  <c r="Q70" i="36"/>
  <c r="O70" i="36"/>
  <c r="O71" i="36"/>
  <c r="N70" i="36"/>
  <c r="M70" i="36"/>
  <c r="L70" i="36"/>
  <c r="K70" i="36"/>
  <c r="K71" i="36"/>
  <c r="J70" i="36"/>
  <c r="I70" i="36"/>
  <c r="H70" i="36"/>
  <c r="G70" i="36"/>
  <c r="G71" i="36"/>
  <c r="F70" i="36"/>
  <c r="E70" i="36"/>
  <c r="D70" i="36"/>
  <c r="C70" i="36"/>
  <c r="C71" i="36"/>
  <c r="B70" i="36"/>
  <c r="R69" i="36"/>
  <c r="Q69" i="36"/>
  <c r="P69" i="36"/>
  <c r="T69" i="36"/>
  <c r="O69" i="36"/>
  <c r="S69" i="36"/>
  <c r="N69" i="36"/>
  <c r="N71" i="36"/>
  <c r="M69" i="36"/>
  <c r="M71" i="36"/>
  <c r="L69" i="36"/>
  <c r="K69" i="36"/>
  <c r="J69" i="36"/>
  <c r="J71" i="36"/>
  <c r="I69" i="36"/>
  <c r="I71" i="36"/>
  <c r="H69" i="36"/>
  <c r="G69" i="36"/>
  <c r="F69" i="36"/>
  <c r="F71" i="36"/>
  <c r="E69" i="36"/>
  <c r="E71" i="36"/>
  <c r="D69" i="36"/>
  <c r="C69" i="36"/>
  <c r="B69" i="36"/>
  <c r="B71" i="36"/>
  <c r="M63" i="36"/>
  <c r="I63" i="36"/>
  <c r="E63" i="36"/>
  <c r="P62" i="36"/>
  <c r="P63" i="36"/>
  <c r="O62" i="36"/>
  <c r="N62" i="36"/>
  <c r="M62" i="36"/>
  <c r="L62" i="36"/>
  <c r="L63" i="36"/>
  <c r="K62" i="36"/>
  <c r="J62" i="36"/>
  <c r="I62" i="36"/>
  <c r="H62" i="36"/>
  <c r="H63" i="36"/>
  <c r="G62" i="36"/>
  <c r="F62" i="36"/>
  <c r="E62" i="36"/>
  <c r="D62" i="36"/>
  <c r="D63" i="36"/>
  <c r="C62" i="36"/>
  <c r="B62" i="36"/>
  <c r="R61" i="36"/>
  <c r="P61" i="36"/>
  <c r="Q61" i="36"/>
  <c r="O61" i="36"/>
  <c r="O63" i="36"/>
  <c r="N61" i="36"/>
  <c r="N63" i="36"/>
  <c r="M61" i="36"/>
  <c r="L61" i="36"/>
  <c r="K61" i="36"/>
  <c r="K63" i="36"/>
  <c r="J61" i="36"/>
  <c r="J63" i="36"/>
  <c r="I61" i="36"/>
  <c r="H61" i="36"/>
  <c r="G61" i="36"/>
  <c r="G63" i="36"/>
  <c r="F61" i="36"/>
  <c r="F63" i="36"/>
  <c r="E61" i="36"/>
  <c r="D61" i="36"/>
  <c r="C61" i="36"/>
  <c r="C63" i="36"/>
  <c r="B61" i="36"/>
  <c r="B63" i="36"/>
  <c r="T57" i="36"/>
  <c r="S57" i="36"/>
  <c r="R57" i="36"/>
  <c r="Q57" i="36"/>
  <c r="T56" i="36"/>
  <c r="S56" i="36"/>
  <c r="R56" i="36"/>
  <c r="Q56" i="36"/>
  <c r="T55" i="36"/>
  <c r="S55" i="36"/>
  <c r="R55" i="36"/>
  <c r="Q55" i="36"/>
  <c r="T54" i="36"/>
  <c r="S54" i="36"/>
  <c r="R54" i="36"/>
  <c r="Q54" i="36"/>
  <c r="T53" i="36"/>
  <c r="S53" i="36"/>
  <c r="R53" i="36"/>
  <c r="Q53" i="36"/>
  <c r="T52" i="36"/>
  <c r="S52" i="36"/>
  <c r="R52" i="36"/>
  <c r="Q52" i="36"/>
  <c r="T48" i="36"/>
  <c r="S48" i="36"/>
  <c r="R48" i="36"/>
  <c r="Q48" i="36"/>
  <c r="T47" i="36"/>
  <c r="S47" i="36"/>
  <c r="R47" i="36"/>
  <c r="Q47" i="36"/>
  <c r="T46" i="36"/>
  <c r="S46" i="36"/>
  <c r="R46" i="36"/>
  <c r="Q46" i="36"/>
  <c r="T45" i="36"/>
  <c r="S45" i="36"/>
  <c r="R45" i="36"/>
  <c r="Q45" i="36"/>
  <c r="T44" i="36"/>
  <c r="S44" i="36"/>
  <c r="R44" i="36"/>
  <c r="Q44" i="36"/>
  <c r="T43" i="36"/>
  <c r="S43" i="36"/>
  <c r="R43" i="36"/>
  <c r="Q43" i="36"/>
  <c r="T38" i="36"/>
  <c r="S38" i="36"/>
  <c r="R38" i="36"/>
  <c r="Q38" i="36"/>
  <c r="T37" i="36"/>
  <c r="S37" i="36"/>
  <c r="R37" i="36"/>
  <c r="Q37" i="36"/>
  <c r="T36" i="36"/>
  <c r="S36" i="36"/>
  <c r="R36" i="36"/>
  <c r="Q36" i="36"/>
  <c r="T35" i="36"/>
  <c r="S35" i="36"/>
  <c r="R35" i="36"/>
  <c r="Q35" i="36"/>
  <c r="T34" i="36"/>
  <c r="S34" i="36"/>
  <c r="R34" i="36"/>
  <c r="Q34" i="36"/>
  <c r="T33" i="36"/>
  <c r="S33" i="36"/>
  <c r="T32" i="36"/>
  <c r="S32" i="36"/>
  <c r="R32" i="36"/>
  <c r="Q32" i="36"/>
  <c r="T26" i="36"/>
  <c r="S26" i="36"/>
  <c r="R26" i="36"/>
  <c r="Q26" i="36"/>
  <c r="T25" i="36"/>
  <c r="S25" i="36"/>
  <c r="T24" i="36"/>
  <c r="S24" i="36"/>
  <c r="R24" i="36"/>
  <c r="Q24" i="36"/>
  <c r="T23" i="36"/>
  <c r="S23" i="36"/>
  <c r="R23" i="36"/>
  <c r="Q23" i="36"/>
  <c r="T22" i="36"/>
  <c r="S22" i="36"/>
  <c r="R22" i="36"/>
  <c r="Q22" i="36"/>
  <c r="T21" i="36"/>
  <c r="S21" i="36"/>
  <c r="R21" i="36"/>
  <c r="Q21" i="36"/>
  <c r="T20" i="36"/>
  <c r="S20" i="36"/>
  <c r="T19" i="36"/>
  <c r="S19" i="36"/>
  <c r="R19" i="36"/>
  <c r="Q19" i="36"/>
  <c r="T15" i="36"/>
  <c r="S15" i="36"/>
  <c r="R15" i="36"/>
  <c r="Q15" i="36"/>
  <c r="T14" i="36"/>
  <c r="S14" i="36"/>
  <c r="R14" i="36"/>
  <c r="Q14" i="36"/>
  <c r="T13" i="36"/>
  <c r="S13" i="36"/>
  <c r="R13" i="36"/>
  <c r="Q13" i="36"/>
  <c r="T12" i="36"/>
  <c r="S12" i="36"/>
  <c r="R12" i="36"/>
  <c r="Q12" i="36"/>
  <c r="T8" i="36"/>
  <c r="S8" i="36"/>
  <c r="R8" i="36"/>
  <c r="Q8" i="36"/>
  <c r="T7" i="36"/>
  <c r="S7" i="36"/>
  <c r="R7" i="36"/>
  <c r="Q7" i="36"/>
  <c r="T6" i="36"/>
  <c r="S6" i="36"/>
  <c r="R6" i="36"/>
  <c r="Q6" i="36"/>
  <c r="T5" i="36"/>
  <c r="S5" i="36"/>
  <c r="R5" i="36"/>
  <c r="Q5" i="36"/>
  <c r="E48" i="35"/>
  <c r="E47" i="35"/>
  <c r="E46" i="35"/>
  <c r="E45" i="35"/>
  <c r="E44" i="35"/>
  <c r="E43" i="35"/>
  <c r="D43" i="35"/>
  <c r="E42" i="35"/>
  <c r="D41" i="35"/>
  <c r="D49" i="35"/>
  <c r="E49" i="35"/>
  <c r="E40" i="35"/>
  <c r="E39" i="35"/>
  <c r="E25" i="35"/>
  <c r="D25" i="35"/>
  <c r="C25" i="35"/>
  <c r="B25" i="35"/>
  <c r="T63" i="36"/>
  <c r="S63" i="36"/>
  <c r="R63" i="36"/>
  <c r="Q63" i="36"/>
  <c r="S71" i="36"/>
  <c r="S61" i="36"/>
  <c r="T62" i="36"/>
  <c r="S70" i="36"/>
  <c r="T71" i="36"/>
  <c r="S496" i="36"/>
  <c r="T61" i="36"/>
  <c r="Q62" i="36"/>
  <c r="T70" i="36"/>
  <c r="Q71" i="36"/>
  <c r="T381" i="36"/>
  <c r="S420" i="36"/>
  <c r="R62" i="36"/>
  <c r="R71" i="36"/>
  <c r="Q381" i="36"/>
  <c r="Q406" i="36"/>
  <c r="Q431" i="36"/>
  <c r="S444" i="36"/>
  <c r="T455" i="36"/>
  <c r="T462" i="36"/>
  <c r="T463" i="36"/>
  <c r="Q464" i="36"/>
  <c r="T476" i="36"/>
  <c r="T477" i="36"/>
  <c r="Q478" i="36"/>
  <c r="Q496" i="36"/>
  <c r="S62" i="36"/>
  <c r="T394" i="36"/>
  <c r="T395" i="36"/>
  <c r="T413" i="36"/>
  <c r="T414" i="36"/>
  <c r="T415" i="36"/>
  <c r="T416" i="36"/>
  <c r="T417" i="36"/>
  <c r="T418" i="36"/>
  <c r="T419" i="36"/>
  <c r="P495" i="36"/>
  <c r="T501" i="36"/>
  <c r="T502" i="36"/>
  <c r="T506" i="36"/>
  <c r="T503" i="36"/>
  <c r="T504" i="36"/>
  <c r="T511" i="36"/>
  <c r="T512" i="36"/>
  <c r="T513" i="36"/>
  <c r="T514" i="36"/>
  <c r="T516" i="36"/>
  <c r="T521" i="36"/>
  <c r="T522" i="36"/>
  <c r="T523" i="36"/>
  <c r="T524" i="36"/>
  <c r="T526" i="36"/>
  <c r="E41" i="35"/>
  <c r="S495" i="36"/>
  <c r="R495" i="36"/>
  <c r="Q495" i="36"/>
  <c r="T494" i="36"/>
  <c r="T493" i="36"/>
  <c r="T492" i="36"/>
  <c r="T491" i="36"/>
  <c r="T465" i="36"/>
  <c r="T479" i="36"/>
  <c r="T490" i="36"/>
  <c r="T496" i="36"/>
  <c r="Q90" i="25"/>
  <c r="R90" i="25"/>
  <c r="S90" i="25"/>
</calcChain>
</file>

<file path=xl/sharedStrings.xml><?xml version="1.0" encoding="utf-8"?>
<sst xmlns="http://schemas.openxmlformats.org/spreadsheetml/2006/main" count="1842" uniqueCount="503">
  <si>
    <t>Total general</t>
  </si>
  <si>
    <t>40 y más años</t>
  </si>
  <si>
    <t>Centros de Formación Técnica</t>
  </si>
  <si>
    <t>Institutos Profesionales</t>
  </si>
  <si>
    <t>Universidades</t>
  </si>
  <si>
    <t>Ingeniería Comercial</t>
  </si>
  <si>
    <t>Enfermería</t>
  </si>
  <si>
    <t>Derecho</t>
  </si>
  <si>
    <t>Psicología</t>
  </si>
  <si>
    <t>Kinesiología</t>
  </si>
  <si>
    <t>Contador Auditor</t>
  </si>
  <si>
    <t>Odontología</t>
  </si>
  <si>
    <t>Trabajo Social</t>
  </si>
  <si>
    <t>Medicina</t>
  </si>
  <si>
    <t>Nutrición y Dietética</t>
  </si>
  <si>
    <t>Arquitectura</t>
  </si>
  <si>
    <t>Ingeniería en Computación e Informática</t>
  </si>
  <si>
    <t>Ingeniería en Construcción</t>
  </si>
  <si>
    <t>Técnico en Enfermería</t>
  </si>
  <si>
    <t>Psicopedagogía</t>
  </si>
  <si>
    <t>Ingeniería en Prevención de Riesgos</t>
  </si>
  <si>
    <t>Técnico en Administración de Empresas</t>
  </si>
  <si>
    <t>Diseño Gráfico</t>
  </si>
  <si>
    <t>Construcción Civil</t>
  </si>
  <si>
    <t>Técnico en Construcción y Obras Civiles</t>
  </si>
  <si>
    <t>Técnico Asistente del Educador de Párvulos</t>
  </si>
  <si>
    <t>Técnico en Deporte, Recreación y Preparación Física</t>
  </si>
  <si>
    <t>Técnico en Electricidad y Electricidad Industrial</t>
  </si>
  <si>
    <t>Técnico en Contabilidad General</t>
  </si>
  <si>
    <t>Técnico en Mecánica Automotriz</t>
  </si>
  <si>
    <t>Técnico en Turismo y Hotelería</t>
  </si>
  <si>
    <t>Técnico en Mantenimiento Industrial</t>
  </si>
  <si>
    <t>Ingeniería en Mecánica Automotriz</t>
  </si>
  <si>
    <t>Técnico en Gastronomía y Cocina</t>
  </si>
  <si>
    <t>Técnico Asistente del Educador Diferencial</t>
  </si>
  <si>
    <t>Técnico en Servicio Social</t>
  </si>
  <si>
    <t>Técnico Dental y Asistente de Odontología</t>
  </si>
  <si>
    <t>Postítulo</t>
  </si>
  <si>
    <t>Posgrado</t>
  </si>
  <si>
    <t>15 a 19 años</t>
  </si>
  <si>
    <t>20 a 24 años</t>
  </si>
  <si>
    <t>25 a 29 años</t>
  </si>
  <si>
    <t>30 a 34 años</t>
  </si>
  <si>
    <t>35 a 39 años</t>
  </si>
  <si>
    <t>Técnico Agropecuario</t>
  </si>
  <si>
    <t>Técnico en Instrumentación, Automatización y Control Industrial</t>
  </si>
  <si>
    <t>Administración de Empresas e Ing. Asociadas</t>
  </si>
  <si>
    <t>Ingeniería Civil Industrial</t>
  </si>
  <si>
    <t>Región</t>
  </si>
  <si>
    <t>Administración y Comercio</t>
  </si>
  <si>
    <t>Agropecuaria</t>
  </si>
  <si>
    <t>Arte y Arquitectura</t>
  </si>
  <si>
    <t>Ciencias Básicas</t>
  </si>
  <si>
    <t>Ciencias Sociales</t>
  </si>
  <si>
    <t>Educación</t>
  </si>
  <si>
    <t>Humanidades</t>
  </si>
  <si>
    <t>Salud</t>
  </si>
  <si>
    <t>Tecnología</t>
  </si>
  <si>
    <t>Área</t>
  </si>
  <si>
    <t>Matrícula Total</t>
  </si>
  <si>
    <t>Jornada</t>
  </si>
  <si>
    <t>Establecimiento Municipal</t>
  </si>
  <si>
    <t>Establecimiento Particular Subvencionado</t>
  </si>
  <si>
    <t>Establecimiento Particular Pagado</t>
  </si>
  <si>
    <t>Tabla</t>
  </si>
  <si>
    <t>Matrícula Total de Postítulo</t>
  </si>
  <si>
    <t xml:space="preserve">Hoja </t>
  </si>
  <si>
    <t>Contenido</t>
  </si>
  <si>
    <t>CFT EDUCAP</t>
  </si>
  <si>
    <t>CFT ICEL</t>
  </si>
  <si>
    <t>CFT INACAP</t>
  </si>
  <si>
    <t>IP AIEP</t>
  </si>
  <si>
    <t>IP CIISA</t>
  </si>
  <si>
    <t>IP DUOC UC</t>
  </si>
  <si>
    <t>IP ESUCOMEX</t>
  </si>
  <si>
    <t>IP INACAP</t>
  </si>
  <si>
    <t xml:space="preserve">Matrícula Total </t>
  </si>
  <si>
    <t>Sin información</t>
  </si>
  <si>
    <t>Evolución de Matrícula Total por región</t>
  </si>
  <si>
    <t>Pregrado</t>
  </si>
  <si>
    <t>Evolución de Matrícula Total de Pregrado por tipo de institución</t>
  </si>
  <si>
    <t>Evolución de Matrícula Total de Pregrado por tipo de carrera</t>
  </si>
  <si>
    <t>Evolución de Matrícula Total de Pregrado por tipo de institución y carrera</t>
  </si>
  <si>
    <t>Evolución de Matrícula Total de Pregrado por jornada</t>
  </si>
  <si>
    <t>Evolución de Matrícula Total de Pregrado por área</t>
  </si>
  <si>
    <t>Evolución de Matrícula Total de Pregrado en carreras con mayor matrícula - CFT</t>
  </si>
  <si>
    <t>Evolución de Matrícula Total de Pregrado en carreras con mayor matrícula - IP</t>
  </si>
  <si>
    <t>Evolución de Matrícula Total de Pregrado en carreras con mayor matrícula - Universidades</t>
  </si>
  <si>
    <t>Evolución de Matrícula Total de Pregrado por rango de edad</t>
  </si>
  <si>
    <t>Evolución de Matrícula Total de Pregrado por tipo de establecimiento de origen</t>
  </si>
  <si>
    <t>Evolución de Matrícula Total de Pregrado por rango de edad - Universidades</t>
  </si>
  <si>
    <t>Evolución de Matrícula Total de Pregrado por tipo de establecimiento de origen - Universidades</t>
  </si>
  <si>
    <t>Tipo de institución</t>
  </si>
  <si>
    <t>Técnico de Nivel Superior</t>
  </si>
  <si>
    <t>Licenciatura no conducente a título</t>
  </si>
  <si>
    <t>Profesional con licenciatura previa</t>
  </si>
  <si>
    <t>Profesional sin licenciatura previa</t>
  </si>
  <si>
    <t>Tipo de carrera</t>
  </si>
  <si>
    <t>Carreras Profesionales Universitarias**</t>
  </si>
  <si>
    <t>Diurno</t>
  </si>
  <si>
    <t>Vespertino</t>
  </si>
  <si>
    <t>Semipresencial</t>
  </si>
  <si>
    <t>A Distancia</t>
  </si>
  <si>
    <t>Otro</t>
  </si>
  <si>
    <t>Sin área definida</t>
  </si>
  <si>
    <t>Rango de edad</t>
  </si>
  <si>
    <t xml:space="preserve">Tipo de establecimiento </t>
  </si>
  <si>
    <t>Tipo de programa</t>
  </si>
  <si>
    <t>Doctorado</t>
  </si>
  <si>
    <t>Magíster</t>
  </si>
  <si>
    <t xml:space="preserve">Tipo de universidad </t>
  </si>
  <si>
    <t>Tipo de universidad</t>
  </si>
  <si>
    <r>
      <t>Matrícula de 1</t>
    </r>
    <r>
      <rPr>
        <b/>
        <vertAlign val="superscript"/>
        <sz val="10"/>
        <color theme="1"/>
        <rFont val="Calibri"/>
        <family val="2"/>
        <scheme val="minor"/>
      </rPr>
      <t>er</t>
    </r>
    <r>
      <rPr>
        <b/>
        <sz val="10"/>
        <color theme="1"/>
        <rFont val="Calibri"/>
        <family val="2"/>
        <scheme val="minor"/>
      </rPr>
      <t xml:space="preserve"> año de Posgrado</t>
    </r>
  </si>
  <si>
    <t>Diplomado (superior a un semestre)</t>
  </si>
  <si>
    <t>Tipo de institución y carrera</t>
  </si>
  <si>
    <t>Postitulo</t>
  </si>
  <si>
    <t>Especialidad médica u odontológica</t>
  </si>
  <si>
    <t xml:space="preserve">Evolución de Matrícula Total por tipo de institución </t>
  </si>
  <si>
    <t>Evolución de Matrícula Total de Pregrado por rango de edad - CFT</t>
  </si>
  <si>
    <t>Evolución de Matrícula Total de Pregrado por rango de edad - IP</t>
  </si>
  <si>
    <t>Evolución de Matrícula Total de Pregrado por tipo de establecimiento de origen - CFT</t>
  </si>
  <si>
    <t>Evolución de Matrícula Total de Pregrado por tipo de establecimiento de origen - IP</t>
  </si>
  <si>
    <t>Tipo de institución y programa</t>
  </si>
  <si>
    <t>Nombre de la institución</t>
  </si>
  <si>
    <t>Promedio de edad</t>
  </si>
  <si>
    <t xml:space="preserve">Universidades </t>
  </si>
  <si>
    <r>
      <t>Promedio de edad Matrícula 1</t>
    </r>
    <r>
      <rPr>
        <b/>
        <vertAlign val="superscript"/>
        <sz val="10"/>
        <color theme="1"/>
        <rFont val="Calibri"/>
        <family val="2"/>
        <scheme val="minor"/>
      </rPr>
      <t>er</t>
    </r>
    <r>
      <rPr>
        <b/>
        <sz val="10"/>
        <color theme="1"/>
        <rFont val="Calibri"/>
        <family val="2"/>
        <scheme val="minor"/>
      </rPr>
      <t xml:space="preserve"> año</t>
    </r>
  </si>
  <si>
    <t>Promedio de edad Matrícula Total</t>
  </si>
  <si>
    <t>Índice de tablas</t>
  </si>
  <si>
    <t>Nivel de formación</t>
  </si>
  <si>
    <t>Evolución de Matrícula Total por rango de edad</t>
  </si>
  <si>
    <r>
      <t>Matrícula de 1</t>
    </r>
    <r>
      <rPr>
        <b/>
        <vertAlign val="superscript"/>
        <sz val="10"/>
        <rFont val="Calibri"/>
        <family val="2"/>
        <scheme val="minor"/>
      </rPr>
      <t>er</t>
    </r>
    <r>
      <rPr>
        <b/>
        <sz val="10"/>
        <rFont val="Calibri"/>
        <family val="2"/>
        <scheme val="minor"/>
      </rPr>
      <t xml:space="preserve"> año de Pregrado</t>
    </r>
  </si>
  <si>
    <r>
      <t>Evolución de Matrícula 1</t>
    </r>
    <r>
      <rPr>
        <b/>
        <vertAlign val="superscript"/>
        <sz val="12"/>
        <rFont val="Calibri"/>
        <family val="2"/>
        <scheme val="minor"/>
      </rPr>
      <t>er</t>
    </r>
    <r>
      <rPr>
        <b/>
        <sz val="12"/>
        <rFont val="Calibri"/>
        <family val="2"/>
        <scheme val="minor"/>
      </rPr>
      <t xml:space="preserve"> año de Pregrado por tipo de institución</t>
    </r>
  </si>
  <si>
    <r>
      <t>Evolución de Matrícula 1</t>
    </r>
    <r>
      <rPr>
        <b/>
        <vertAlign val="superscript"/>
        <sz val="12"/>
        <color theme="1"/>
        <rFont val="Calibri"/>
        <family val="2"/>
        <scheme val="minor"/>
      </rPr>
      <t xml:space="preserve">er </t>
    </r>
    <r>
      <rPr>
        <b/>
        <sz val="12"/>
        <color theme="1"/>
        <rFont val="Calibri"/>
        <family val="2"/>
        <scheme val="minor"/>
      </rPr>
      <t>año de Pregrado por tipo de carrera</t>
    </r>
  </si>
  <si>
    <r>
      <t>Evolución de Matrícula 1</t>
    </r>
    <r>
      <rPr>
        <b/>
        <vertAlign val="superscript"/>
        <sz val="12"/>
        <color theme="1"/>
        <rFont val="Calibri"/>
        <family val="2"/>
        <scheme val="minor"/>
      </rPr>
      <t>er</t>
    </r>
    <r>
      <rPr>
        <b/>
        <sz val="12"/>
        <color theme="1"/>
        <rFont val="Calibri"/>
        <family val="2"/>
        <scheme val="minor"/>
      </rPr>
      <t xml:space="preserve"> año de Pregrado por tipo de institución y carrera</t>
    </r>
  </si>
  <si>
    <r>
      <t>Evolución de Matrícula 1</t>
    </r>
    <r>
      <rPr>
        <b/>
        <vertAlign val="superscript"/>
        <sz val="12"/>
        <color theme="1"/>
        <rFont val="Calibri"/>
        <family val="2"/>
        <scheme val="minor"/>
      </rPr>
      <t xml:space="preserve">er </t>
    </r>
    <r>
      <rPr>
        <b/>
        <sz val="12"/>
        <color theme="1"/>
        <rFont val="Calibri"/>
        <family val="2"/>
        <scheme val="minor"/>
      </rPr>
      <t>año de Pregrado por jornada</t>
    </r>
  </si>
  <si>
    <r>
      <t>Evolución de Matrícula 1</t>
    </r>
    <r>
      <rPr>
        <b/>
        <vertAlign val="superscript"/>
        <sz val="12"/>
        <color theme="1"/>
        <rFont val="Calibri"/>
        <family val="2"/>
        <scheme val="minor"/>
      </rPr>
      <t>er</t>
    </r>
    <r>
      <rPr>
        <b/>
        <sz val="12"/>
        <color theme="1"/>
        <rFont val="Calibri"/>
        <family val="2"/>
        <scheme val="minor"/>
      </rPr>
      <t xml:space="preserve"> año de Pregrado por tipo de institución y jornada</t>
    </r>
  </si>
  <si>
    <r>
      <t>Evolución de Matrícula de 1</t>
    </r>
    <r>
      <rPr>
        <b/>
        <vertAlign val="superscript"/>
        <sz val="12"/>
        <color theme="1"/>
        <rFont val="Calibri"/>
        <family val="2"/>
        <scheme val="minor"/>
      </rPr>
      <t>er</t>
    </r>
    <r>
      <rPr>
        <b/>
        <sz val="12"/>
        <color theme="1"/>
        <rFont val="Calibri"/>
        <family val="2"/>
        <scheme val="minor"/>
      </rPr>
      <t xml:space="preserve"> año de Pregrado por área</t>
    </r>
  </si>
  <si>
    <r>
      <t>Evolución de Matrícula 1</t>
    </r>
    <r>
      <rPr>
        <b/>
        <vertAlign val="superscript"/>
        <sz val="12"/>
        <color theme="1"/>
        <rFont val="Calibri"/>
        <family val="2"/>
        <scheme val="minor"/>
      </rPr>
      <t>er</t>
    </r>
    <r>
      <rPr>
        <b/>
        <sz val="12"/>
        <color theme="1"/>
        <rFont val="Calibri"/>
        <family val="2"/>
        <scheme val="minor"/>
      </rPr>
      <t xml:space="preserve"> año de Pregrado en carreras con mayor matrícula - CFT</t>
    </r>
  </si>
  <si>
    <r>
      <t>Evolución de Matrícula 1</t>
    </r>
    <r>
      <rPr>
        <b/>
        <vertAlign val="superscript"/>
        <sz val="12"/>
        <color theme="1"/>
        <rFont val="Calibri"/>
        <family val="2"/>
        <scheme val="minor"/>
      </rPr>
      <t xml:space="preserve">er </t>
    </r>
    <r>
      <rPr>
        <b/>
        <sz val="12"/>
        <color theme="1"/>
        <rFont val="Calibri"/>
        <family val="2"/>
        <scheme val="minor"/>
      </rPr>
      <t>año de Pregrado en carreras con mayor matrícula - IP</t>
    </r>
  </si>
  <si>
    <r>
      <t>Evolución de Matrícula 1</t>
    </r>
    <r>
      <rPr>
        <b/>
        <vertAlign val="superscript"/>
        <sz val="12"/>
        <color theme="1"/>
        <rFont val="Calibri"/>
        <family val="2"/>
        <scheme val="minor"/>
      </rPr>
      <t>er</t>
    </r>
    <r>
      <rPr>
        <b/>
        <sz val="12"/>
        <color theme="1"/>
        <rFont val="Calibri"/>
        <family val="2"/>
        <scheme val="minor"/>
      </rPr>
      <t xml:space="preserve"> año de Pregrado en carreras con mayor matrícula - Universidades</t>
    </r>
  </si>
  <si>
    <t>Tecnología Médica</t>
  </si>
  <si>
    <t>INSTITUCIONES</t>
  </si>
  <si>
    <t>Evolución de Matrícula Total de Posgrado por tipo de programa</t>
  </si>
  <si>
    <r>
      <t>Evolución de Matrícula 1</t>
    </r>
    <r>
      <rPr>
        <b/>
        <vertAlign val="superscript"/>
        <sz val="12"/>
        <color theme="1"/>
        <rFont val="Calibri"/>
        <family val="2"/>
        <scheme val="minor"/>
      </rPr>
      <t>er</t>
    </r>
    <r>
      <rPr>
        <b/>
        <sz val="12"/>
        <color theme="1"/>
        <rFont val="Calibri"/>
        <family val="2"/>
        <scheme val="minor"/>
      </rPr>
      <t xml:space="preserve"> año de Posgrado por tipo de programa</t>
    </r>
  </si>
  <si>
    <t>Evolución de Matrícula Total de Postítulo por tipo de institución y programa</t>
  </si>
  <si>
    <t>Evolución de Matrícula Total de Postítulo por tipo de programa</t>
  </si>
  <si>
    <t>Evolución de Matrícula Total de Postítulo por tipo de institución</t>
  </si>
  <si>
    <t>Tipo de institución y jornada</t>
  </si>
  <si>
    <t xml:space="preserve">Matrícula Total de Postítulo por área y tipo de programa </t>
  </si>
  <si>
    <t>Matrícula Total de Postítulo por rango de edad y tipo de programa</t>
  </si>
  <si>
    <t xml:space="preserve">Matrícula Total de Postítulo por jornada y tipo de programa </t>
  </si>
  <si>
    <t xml:space="preserve">Matrícula Total de Postítulo por región y tipo de programa </t>
  </si>
  <si>
    <t>Evolución de Matrícula Total por nivel de formación</t>
  </si>
  <si>
    <t>Evolución de Matrícula Total por tipo de institución y nivel de formación</t>
  </si>
  <si>
    <t>n/a</t>
  </si>
  <si>
    <t>Técnico en Computación e Informática</t>
  </si>
  <si>
    <t>Técnico en Logística</t>
  </si>
  <si>
    <t>Matrícula Mujeres</t>
  </si>
  <si>
    <t>Matrícula Hombres</t>
  </si>
  <si>
    <t>Matrícula Total Mujeres</t>
  </si>
  <si>
    <t>Matrícula Total Hombres</t>
  </si>
  <si>
    <t>Ingeniería en Recursos Humanos</t>
  </si>
  <si>
    <t>Evolución de Matrícula Total de Pregrado por sexo</t>
  </si>
  <si>
    <t>Evolución de Matrícula Total de Pregrado por sexo - CFT</t>
  </si>
  <si>
    <t>Evolución de Matrícula Total de Pregrado por sexo - IP</t>
  </si>
  <si>
    <t>Evolución de Matrícula Total de Pregrado por sexo - Universidades</t>
  </si>
  <si>
    <t xml:space="preserve">Matrícula Total de Postítulo por sexo y tipo de programa </t>
  </si>
  <si>
    <t>Mujeres</t>
  </si>
  <si>
    <t>Hombres</t>
  </si>
  <si>
    <r>
      <t>Matrícula de 1</t>
    </r>
    <r>
      <rPr>
        <vertAlign val="superscript"/>
        <sz val="10"/>
        <color theme="1"/>
        <rFont val="Calibri"/>
        <family val="2"/>
        <scheme val="minor"/>
      </rPr>
      <t>er</t>
    </r>
    <r>
      <rPr>
        <sz val="10"/>
        <color theme="1"/>
        <rFont val="Calibri"/>
        <family val="2"/>
        <scheme val="minor"/>
      </rPr>
      <t xml:space="preserve"> año de Posgrado Mujer</t>
    </r>
  </si>
  <si>
    <t>CFT ALPES</t>
  </si>
  <si>
    <t>CFT CAMARA DE COMERCIO DE SANTIAGO</t>
  </si>
  <si>
    <t>CFT CEDUC - UCN</t>
  </si>
  <si>
    <t>CFT CENCO</t>
  </si>
  <si>
    <t>CFT CENTRO TECNOLOGICO SUPERIOR INFOMED</t>
  </si>
  <si>
    <t>CFT DE ENAC</t>
  </si>
  <si>
    <t>CFT DE TARAPACA</t>
  </si>
  <si>
    <t>CFT DEL MEDIO AMBIENTE</t>
  </si>
  <si>
    <t>CFT INSTITUTO CENTRAL DE CAPACITACION EDUCACIONAL ICCE</t>
  </si>
  <si>
    <t>CFT INSTITUTO SUPERIOR ALEMAN DE COMERCIO INSALCO</t>
  </si>
  <si>
    <t>CFT INSTITUTO SUPERIOR DE ESTUDIOS JURIDICOS CANON</t>
  </si>
  <si>
    <t>CFT IPROSEC</t>
  </si>
  <si>
    <t>CFT JUAN BOHON</t>
  </si>
  <si>
    <t>CFT LAPLACE</t>
  </si>
  <si>
    <t>CFT LOS LAGOS</t>
  </si>
  <si>
    <t>CFT LOTA-ARAUCO</t>
  </si>
  <si>
    <t>CFT MANPOWER</t>
  </si>
  <si>
    <t>CFT MASSACHUSETTS</t>
  </si>
  <si>
    <t>CFT PRODATA</t>
  </si>
  <si>
    <t>CFT PROFASOC</t>
  </si>
  <si>
    <t>CFT SANTO TOMAS</t>
  </si>
  <si>
    <t>CFT TEODORO WICKEL KLUWEN</t>
  </si>
  <si>
    <t>IP AGRARIO ADOLFO MATTHEI</t>
  </si>
  <si>
    <t>IP DE ARTE Y COMUNICACION ARCOS</t>
  </si>
  <si>
    <t>IP DE ARTES ESCENICAS KAREN CONNOLLY</t>
  </si>
  <si>
    <t>IP DE CHILE</t>
  </si>
  <si>
    <t>IP DE CIENCIAS DE LA COMPUTACION ACUARIO DATA</t>
  </si>
  <si>
    <t>IP DEL COMERCIO</t>
  </si>
  <si>
    <t>IP DEL VALLE CENTRAL</t>
  </si>
  <si>
    <t>IP DIEGO PORTALES</t>
  </si>
  <si>
    <t>IP DR. VIRGINIO GOMEZ G.</t>
  </si>
  <si>
    <t>IP EATRI INSTITUTO PROFESIONAL</t>
  </si>
  <si>
    <t>IP ESCUELA DE CINE DE CHILE</t>
  </si>
  <si>
    <t>IP ESCUELA DE CONTADORES AUDITORES DE SANTIAGO</t>
  </si>
  <si>
    <t>IP ESCUELA MODERNA DE MUSICA</t>
  </si>
  <si>
    <t>IP INSTITUTO DE ESTUDIOS BANCARIOS GUILLERMO SUBERCASEAUX</t>
  </si>
  <si>
    <t>IP INSTITUTO INTERNACIONAL DE ARTES CULINARIAS Y SERVICIOS</t>
  </si>
  <si>
    <t>IP INSTITUTO NACIONAL DEL FUTBOL</t>
  </si>
  <si>
    <t>IP INSTITUTO SUPERIOR DE ARTES Y CIENCIAS DE LA COMUNICACION</t>
  </si>
  <si>
    <t>IP IPG</t>
  </si>
  <si>
    <t>IP LIBERTADOR DE LOS ANDES</t>
  </si>
  <si>
    <t>IP LOS LAGOS</t>
  </si>
  <si>
    <t>IP LOS LEONES</t>
  </si>
  <si>
    <t>IP PROJAZZ</t>
  </si>
  <si>
    <t>IP PROVIDENCIA</t>
  </si>
  <si>
    <t>IP SANTO TOMAS</t>
  </si>
  <si>
    <t>IP VERTICAL</t>
  </si>
  <si>
    <t>PONTIFICIA UNIVERSIDAD CATOLICA DE CHILE</t>
  </si>
  <si>
    <t>PONTIFICIA UNIVERSIDAD CATOLICA DE VALPARAISO</t>
  </si>
  <si>
    <t>UNIVERSIDAD ACADEMIA DE HUMANISMO CRISTIANO</t>
  </si>
  <si>
    <t>UNIVERSIDAD ADOLFO IBAÑEZ</t>
  </si>
  <si>
    <t>UNIVERSIDAD ADVENTISTA DE CHILE</t>
  </si>
  <si>
    <t>UNIVERSIDAD ALBERTO HURTADO</t>
  </si>
  <si>
    <t>UNIVERSIDAD ANDRES BELLO</t>
  </si>
  <si>
    <t>UNIVERSIDAD ARTURO PRAT</t>
  </si>
  <si>
    <t>UNIVERSIDAD AUSTRAL DE CHILE</t>
  </si>
  <si>
    <t>UNIVERSIDAD AUTONOMA DE CHILE</t>
  </si>
  <si>
    <t>UNIVERSIDAD BOLIVARIANA</t>
  </si>
  <si>
    <t>UNIVERSIDAD CATOLICA DE LA SANTISIMA CONCEPCION</t>
  </si>
  <si>
    <t>UNIVERSIDAD CATOLICA DE TEMUCO</t>
  </si>
  <si>
    <t>UNIVERSIDAD CATOLICA DEL MAULE</t>
  </si>
  <si>
    <t>UNIVERSIDAD CATOLICA DEL NORTE</t>
  </si>
  <si>
    <t>UNIVERSIDAD CENTRAL DE CHILE</t>
  </si>
  <si>
    <t>UNIVERSIDAD CHILENO BRITANICA DE CULTURA</t>
  </si>
  <si>
    <t>UNIVERSIDAD DE ACONCAGUA</t>
  </si>
  <si>
    <t>UNIVERSIDAD DE ANTOFAGASTA</t>
  </si>
  <si>
    <t>UNIVERSIDAD DE ARTES, CIENCIAS Y COMUNICACION - UNIACC</t>
  </si>
  <si>
    <t>UNIVERSIDAD DE ATACAMA</t>
  </si>
  <si>
    <t>UNIVERSIDAD DE CHILE</t>
  </si>
  <si>
    <t>UNIVERSIDAD DE CONCEPCION</t>
  </si>
  <si>
    <t>UNIVERSIDAD DE LA FRONTERA</t>
  </si>
  <si>
    <t>UNIVERSIDAD DE LA SERENA</t>
  </si>
  <si>
    <t>UNIVERSIDAD DE LAS AMERICAS</t>
  </si>
  <si>
    <t>UNIVERSIDAD DE LOS ANDES</t>
  </si>
  <si>
    <t>UNIVERSIDAD DE LOS LAGOS</t>
  </si>
  <si>
    <t>UNIVERSIDAD DE MAGALLANES</t>
  </si>
  <si>
    <t>UNIVERSIDAD DE PLAYA ANCHA DE CIENCIAS DE LA EDUCACION</t>
  </si>
  <si>
    <t>UNIVERSIDAD DE SANTIAGO DE CHILE</t>
  </si>
  <si>
    <t>UNIVERSIDAD DE TALCA</t>
  </si>
  <si>
    <t>UNIVERSIDAD DE TARAPACA</t>
  </si>
  <si>
    <t>UNIVERSIDAD DE VALPARAISO</t>
  </si>
  <si>
    <t>UNIVERSIDAD DE VIÑA DEL MAR</t>
  </si>
  <si>
    <t>UNIVERSIDAD DEL BIO-BIO</t>
  </si>
  <si>
    <t>UNIVERSIDAD DEL DESARROLLO</t>
  </si>
  <si>
    <t>UNIVERSIDAD DIEGO PORTALES</t>
  </si>
  <si>
    <t>UNIVERSIDAD FINIS TERRAE</t>
  </si>
  <si>
    <t>UNIVERSIDAD GABRIELA MISTRAL</t>
  </si>
  <si>
    <t>UNIVERSIDAD LA REPUBLICA</t>
  </si>
  <si>
    <t>UNIVERSIDAD LOS LEONES</t>
  </si>
  <si>
    <t>UNIVERSIDAD MAYOR</t>
  </si>
  <si>
    <t>UNIVERSIDAD METROPOLITANA DE CIENCIAS DE LA EDUCACION</t>
  </si>
  <si>
    <t>UNIVERSIDAD MIGUEL DE CERVANTES</t>
  </si>
  <si>
    <t>UNIVERSIDAD PEDRO DE VALDIVIA</t>
  </si>
  <si>
    <t>UNIVERSIDAD SAN SEBASTIAN</t>
  </si>
  <si>
    <t>UNIVERSIDAD SANTO TOMAS</t>
  </si>
  <si>
    <t>UNIVERSIDAD SEK</t>
  </si>
  <si>
    <t>UNIVERSIDAD TECNICA FEDERICO SANTA MARIA</t>
  </si>
  <si>
    <t>UNIVERSIDAD TECNOLOGICA DE CHILE INACAP</t>
  </si>
  <si>
    <t>UNIVERSIDAD TECNOLOGICA METROPOLITANA</t>
  </si>
  <si>
    <t>Evolución de Matrícula Total por sexo</t>
  </si>
  <si>
    <t>Evolución de Matrícula Total de Pregrado por tipo de carrera agrupada</t>
  </si>
  <si>
    <r>
      <t>Evolución de Matrícula 1</t>
    </r>
    <r>
      <rPr>
        <b/>
        <vertAlign val="superscript"/>
        <sz val="12"/>
        <color theme="1"/>
        <rFont val="Calibri"/>
        <family val="2"/>
        <scheme val="minor"/>
      </rPr>
      <t>er</t>
    </r>
    <r>
      <rPr>
        <b/>
        <sz val="12"/>
        <color theme="1"/>
        <rFont val="Calibri"/>
        <family val="2"/>
        <scheme val="minor"/>
      </rPr>
      <t xml:space="preserve"> año de Pregrado por tipo de carrera agrupada</t>
    </r>
  </si>
  <si>
    <t>Sexo</t>
  </si>
  <si>
    <t>Evolución de Matrícula Total por tipo de institución</t>
  </si>
  <si>
    <t>Terapia Ocupacional</t>
  </si>
  <si>
    <r>
      <t>Matrícula 1</t>
    </r>
    <r>
      <rPr>
        <b/>
        <vertAlign val="superscript"/>
        <sz val="10"/>
        <color theme="1"/>
        <rFont val="Calibri"/>
        <family val="2"/>
        <scheme val="minor"/>
      </rPr>
      <t>er</t>
    </r>
    <r>
      <rPr>
        <b/>
        <sz val="10"/>
        <color theme="1"/>
        <rFont val="Calibri"/>
        <family val="2"/>
        <scheme val="minor"/>
      </rPr>
      <t xml:space="preserve"> año Hombres</t>
    </r>
  </si>
  <si>
    <t>UNIVERSIDAD DE AYSEN</t>
  </si>
  <si>
    <t>UNIVERSIDAD DE O'HIGGINS</t>
  </si>
  <si>
    <t>UNIVERSIDAD BERNARDO O'HIGGINS</t>
  </si>
  <si>
    <t>Arica y Parinacota</t>
  </si>
  <si>
    <t>Tarapacá</t>
  </si>
  <si>
    <t>Antofagasta</t>
  </si>
  <si>
    <t>Atacama</t>
  </si>
  <si>
    <t>Coquimbo</t>
  </si>
  <si>
    <t>Valparaíso</t>
  </si>
  <si>
    <t>Metropolitana</t>
  </si>
  <si>
    <t>Maule</t>
  </si>
  <si>
    <t>Araucanía</t>
  </si>
  <si>
    <t>Los Ríos</t>
  </si>
  <si>
    <t>Los Lagos</t>
  </si>
  <si>
    <t>Aysén</t>
  </si>
  <si>
    <t>Magallanes</t>
  </si>
  <si>
    <t>Biobío</t>
  </si>
  <si>
    <t>Volver al Índice</t>
  </si>
  <si>
    <t>Corporación de Administración Delegada</t>
  </si>
  <si>
    <t>La Araucanía</t>
  </si>
  <si>
    <t xml:space="preserve">Institutos Profesionales </t>
  </si>
  <si>
    <t>Carreras Técnico - Profesionales*</t>
  </si>
  <si>
    <t>U. Privadas</t>
  </si>
  <si>
    <t xml:space="preserve">Evolución de Matrícula Total de Posgrado por tipo de universidad </t>
  </si>
  <si>
    <r>
      <t>Evolución de Matrícula 1</t>
    </r>
    <r>
      <rPr>
        <b/>
        <vertAlign val="superscript"/>
        <sz val="12"/>
        <color theme="1"/>
        <rFont val="Calibri"/>
        <family val="2"/>
        <scheme val="minor"/>
      </rPr>
      <t>er</t>
    </r>
    <r>
      <rPr>
        <b/>
        <sz val="12"/>
        <color theme="1"/>
        <rFont val="Calibri"/>
        <family val="2"/>
        <scheme val="minor"/>
      </rPr>
      <t xml:space="preserve"> año de Posgrado por tipo de universidad </t>
    </r>
  </si>
  <si>
    <t xml:space="preserve">Evolución de Matrícula Total de Posgrado por tipo de universidad y programa </t>
  </si>
  <si>
    <r>
      <t>Evolución de Matrícula 1</t>
    </r>
    <r>
      <rPr>
        <b/>
        <vertAlign val="superscript"/>
        <sz val="12"/>
        <color theme="1"/>
        <rFont val="Calibri"/>
        <family val="2"/>
        <scheme val="minor"/>
      </rPr>
      <t>er</t>
    </r>
    <r>
      <rPr>
        <b/>
        <sz val="12"/>
        <color theme="1"/>
        <rFont val="Calibri"/>
        <family val="2"/>
        <scheme val="minor"/>
      </rPr>
      <t xml:space="preserve"> año de Posgrado por tipo de universidad y programa </t>
    </r>
  </si>
  <si>
    <t xml:space="preserve">Tipo de institución </t>
  </si>
  <si>
    <r>
      <t>Evolución de Matrícula 1</t>
    </r>
    <r>
      <rPr>
        <b/>
        <vertAlign val="superscript"/>
        <sz val="12"/>
        <rFont val="Calibri"/>
        <family val="2"/>
        <scheme val="minor"/>
      </rPr>
      <t xml:space="preserve">er </t>
    </r>
    <r>
      <rPr>
        <b/>
        <sz val="12"/>
        <rFont val="Calibri"/>
        <family val="2"/>
        <scheme val="minor"/>
      </rPr>
      <t xml:space="preserve">año de Pregrado por tipo de institución </t>
    </r>
  </si>
  <si>
    <t>Evolución de Matrícula Total de Posgrado por tipo de universidad y programa</t>
  </si>
  <si>
    <t>Fuente: Servicio de Información de Educación Superior (SIES), de Mineduc.</t>
  </si>
  <si>
    <t>Matrícula Total Pregrado</t>
  </si>
  <si>
    <t>Matrícula Total de Posgrado Mujer</t>
  </si>
  <si>
    <t>Matrícula Total de Posgrado Hombre</t>
  </si>
  <si>
    <t>Matrícula Total de Postítulo Mujer</t>
  </si>
  <si>
    <t>Matrícula Total de Postítulo Hombre</t>
  </si>
  <si>
    <t>Matrícula Total de Pregrado Mujer</t>
  </si>
  <si>
    <t>Matrícula Total de Pregrado Hombre</t>
  </si>
  <si>
    <r>
      <t>Matrícula Total   1</t>
    </r>
    <r>
      <rPr>
        <b/>
        <vertAlign val="superscript"/>
        <sz val="10"/>
        <color theme="1"/>
        <rFont val="Calibri"/>
        <family val="2"/>
        <scheme val="minor"/>
      </rPr>
      <t>er</t>
    </r>
    <r>
      <rPr>
        <b/>
        <sz val="10"/>
        <color theme="1"/>
        <rFont val="Calibri"/>
        <family val="2"/>
        <scheme val="minor"/>
      </rPr>
      <t xml:space="preserve"> año</t>
    </r>
  </si>
  <si>
    <r>
      <t>Matrícula Total    1</t>
    </r>
    <r>
      <rPr>
        <b/>
        <vertAlign val="superscript"/>
        <sz val="10"/>
        <color theme="1"/>
        <rFont val="Calibri"/>
        <family val="2"/>
        <scheme val="minor"/>
      </rPr>
      <t>er</t>
    </r>
    <r>
      <rPr>
        <b/>
        <sz val="10"/>
        <color theme="1"/>
        <rFont val="Calibri"/>
        <family val="2"/>
        <scheme val="minor"/>
      </rPr>
      <t xml:space="preserve"> año</t>
    </r>
  </si>
  <si>
    <t>Evolución de Matrícula 1er año de Pregrado por tipo de institución</t>
  </si>
  <si>
    <t>Evolución de Matrícula 1er año de Pregrado por tipo de carrera</t>
  </si>
  <si>
    <t>Evolución de Matrícula 1er año de Pregrado por tipo de carrera agrupada</t>
  </si>
  <si>
    <t>Evolución de Matrícula 1er año de Pregrado por tipo de institución y carrera</t>
  </si>
  <si>
    <t>Evolución de Matrícula 1er año de Pregrado por jornada</t>
  </si>
  <si>
    <t>Evolución de Matrícula 1er año de Pregrado por tipo de institución y jornada</t>
  </si>
  <si>
    <t>Evolución de Matrícula de 1er año de Pregrado por área</t>
  </si>
  <si>
    <t>Evolución de Matrícula 1er año de Pregrado en carreras con mayor matrícula - CFT</t>
  </si>
  <si>
    <t>Evolución de Matrícula 1er año de Pregrado en carreras con mayor matrícula - IP</t>
  </si>
  <si>
    <t>Evolución de Matrícula 1er año de Pregrado en carreras con mayor matrícula - Universidades</t>
  </si>
  <si>
    <t xml:space="preserve">Evolución de Matrícula 1er año de Posgrado por tipo de universidad </t>
  </si>
  <si>
    <t>Evolución de Matrícula 1er año de Posgrado por tipo de programa</t>
  </si>
  <si>
    <t>Centros de Formación Técnica Estatales</t>
  </si>
  <si>
    <t>CFT DE LA REGION DE LA ARAUCANIA</t>
  </si>
  <si>
    <t>CFT DE LA REGION DEL MAULE</t>
  </si>
  <si>
    <t>Evolución de Matrícula Total de Pregrado por tipo de institución 2</t>
  </si>
  <si>
    <t>Tipo de institución 2</t>
  </si>
  <si>
    <t>Evolución de Matrícula 1er año de Pregrado por tipo de institución 2</t>
  </si>
  <si>
    <t>Evolución de Matrícula Total de Pregrado por tipo de enseñanza del establecimiento secundario de origen  - Universidades</t>
  </si>
  <si>
    <t>Evolución de Matrícula Total de Pregrado por tipo de enseñanza del establecimiento secundario de origen - IP</t>
  </si>
  <si>
    <t>Evolución de Matrícula Total de Pregrado por tipo de enseñanza del establecimiento secundario de origen - CFT</t>
  </si>
  <si>
    <t>Evolución de Matrícula Total de Pregrado por tipo de enseñanza del establecimiento secundario de origen</t>
  </si>
  <si>
    <t>Evolución de Matrícula Total de Pregrado por tipo de enseñanza del establecimiento secundario de origen - Universidades</t>
  </si>
  <si>
    <t>Evolución de Matrícula Total por tipo de institución  2</t>
  </si>
  <si>
    <t>Evolución de Matrícula Total por tipo de institución 2 y nivel de formación</t>
  </si>
  <si>
    <t>Evolución de Matrícula Total por tipo de institución 2</t>
  </si>
  <si>
    <t xml:space="preserve">Evolución de Matrícula Total por tipo de institución 2 y nivel de formación </t>
  </si>
  <si>
    <t xml:space="preserve">Evolución de Matrícula 1er año de Posgrado por tipo de universidad y programa </t>
  </si>
  <si>
    <t xml:space="preserve">Evolución de Matrícula Total de Postítulo por tipo de institución 2 </t>
  </si>
  <si>
    <t>Evolución de Matrícula Total de Postítulo por tipo de institución 2</t>
  </si>
  <si>
    <t>NOTA: En caso de utilizar datos de esta base para notas periodísticas o estudios, se debe citar como fuente de los datos al Servicio de Información de Educación Superior (SIES), de Mineduc</t>
  </si>
  <si>
    <t>Ingeniería Civil, plan común y licenciatura en Ciencias de la Ingeniería</t>
  </si>
  <si>
    <t>Administración Gastronómica</t>
  </si>
  <si>
    <t>U. Cruch Estatal</t>
  </si>
  <si>
    <t>U. Cruch Privada</t>
  </si>
  <si>
    <t>*Incluye programas de Pregrado, Posgrado y Postítulo</t>
  </si>
  <si>
    <r>
      <t>Matrícula de 1</t>
    </r>
    <r>
      <rPr>
        <vertAlign val="superscript"/>
        <sz val="10"/>
        <color theme="1"/>
        <rFont val="Calibri"/>
        <family val="2"/>
        <scheme val="minor"/>
      </rPr>
      <t>er</t>
    </r>
    <r>
      <rPr>
        <sz val="10"/>
        <color theme="1"/>
        <rFont val="Calibri"/>
        <family val="2"/>
        <scheme val="minor"/>
      </rPr>
      <t xml:space="preserve"> año Hombre</t>
    </r>
  </si>
  <si>
    <t>Bachillerato, ciclo inicial o plan común</t>
  </si>
  <si>
    <r>
      <t>Matrícula 1</t>
    </r>
    <r>
      <rPr>
        <b/>
        <vertAlign val="superscript"/>
        <sz val="10"/>
        <color theme="1"/>
        <rFont val="Calibri"/>
        <family val="2"/>
        <scheme val="minor"/>
      </rPr>
      <t>er</t>
    </r>
    <r>
      <rPr>
        <b/>
        <sz val="10"/>
        <color theme="1"/>
        <rFont val="Calibri"/>
        <family val="2"/>
        <scheme val="minor"/>
      </rPr>
      <t xml:space="preserve"> año Mujeres</t>
    </r>
  </si>
  <si>
    <t>Acreditada</t>
  </si>
  <si>
    <t>No Acreditada</t>
  </si>
  <si>
    <t>*Incluye carreras Técnicas de Nivel Superior y Profesionales sin licenciatura.</t>
  </si>
  <si>
    <t>**Incluye carreras Profesionales con licenciatura, Licenciaturas no conducentes a título y planes comunes de universidades.</t>
  </si>
  <si>
    <t>Técnico - Profesional</t>
  </si>
  <si>
    <r>
      <t>Matrícula de 1</t>
    </r>
    <r>
      <rPr>
        <sz val="10"/>
        <color theme="1"/>
        <rFont val="Calibri"/>
        <family val="2"/>
        <scheme val="minor"/>
      </rPr>
      <t>er año de Posgrado Hombre</t>
    </r>
  </si>
  <si>
    <t>Postgrado</t>
  </si>
  <si>
    <t>Ñuble</t>
  </si>
  <si>
    <t>Medicina Veterinaria</t>
  </si>
  <si>
    <t>U. (* Carrera en Convenio)</t>
  </si>
  <si>
    <t>Cabe considerar que en el año 2019 las Universidades Alberto Hurtado y Diego Portales se han integrado formalmente al Consejo de Rectores (Cruch), lo que explica el aumento de estudiantes de U. Privadas Cruch en desmedro del total de estudiantes de U. Privadas.</t>
  </si>
  <si>
    <t>% de matrícula en Instituciones acreditadas</t>
  </si>
  <si>
    <t>Condición de acreditación*</t>
  </si>
  <si>
    <t xml:space="preserve">Matrícula Total de Postítulo por tipo de institución y programa </t>
  </si>
  <si>
    <t>CFT ACCIOMA</t>
  </si>
  <si>
    <t>CFT CENTRO DE ENSEÑANZA DE ALTA COSTURA PAULINA DIARD</t>
  </si>
  <si>
    <t>CFT DE LA INDUSTRIA GRAFICA</t>
  </si>
  <si>
    <t>CFT DE LA REGION DE COQUIMBO</t>
  </si>
  <si>
    <t>CFT DE LA REGION DE LOS LAGOS</t>
  </si>
  <si>
    <t>CFT DE LA REGION DE TARAPACA</t>
  </si>
  <si>
    <t>CFT ESCUELA CULINARIA FRANCESA</t>
  </si>
  <si>
    <t>CFT ESCUELA SUPERIOR DE ADMINISTRACION DE NEGOCIOS DEL NORTE - ESANE DEL NORTE</t>
  </si>
  <si>
    <t>CFT PUCV</t>
  </si>
  <si>
    <t>CFT SAN AGUSTIN</t>
  </si>
  <si>
    <t>IP CHILENO BRITANICO DE CULTURA</t>
  </si>
  <si>
    <t>IP ESCUELA DE MARINA MERCANTE PILOTO PARDO</t>
  </si>
  <si>
    <t>IP LATINOAMERICANO DE COMERCIO EXTERIOR - IPLACEX</t>
  </si>
  <si>
    <t>UNIVERSIDAD CATOLICA CARDENAL RAUL SILVA HENRIQUEZ</t>
  </si>
  <si>
    <t>Evolución de Matrícula Total de Pregrado por Condición de Acreditación por Tipo de Institución</t>
  </si>
  <si>
    <t>Servicios Locales de Educación</t>
  </si>
  <si>
    <t>Científico - Humanista</t>
  </si>
  <si>
    <t>*Considera la comparación por tipo de institución distinguiendo por situación de acreditación institucional (a mayo de cada año).</t>
  </si>
  <si>
    <t>Cabe considerar que a partir del año 2019 las Universidades Alberto Hurtado y Diego Portales y a partir del año 2020 la Universidad de Los Andes, se han integrado formalmente al Consejo de Rectores (Cruch), lo que explica el aumento de estudiantes de U. Privadas Cruch en desmedro del total de estudiantes de U. Privadas.</t>
  </si>
  <si>
    <t>Técnico Veterinario</t>
  </si>
  <si>
    <t>Ingeniería Civil en Computación e Informática</t>
  </si>
  <si>
    <t>Obstetricia y Puericultura</t>
  </si>
  <si>
    <t>Tipo de enseñanza</t>
  </si>
  <si>
    <t>Carreras en Convenio: refiere a programas que tienen estudiantes reubicados desde universidades en cierre a otras universidades.</t>
  </si>
  <si>
    <t>Evolución de Matrícula de 1er año de Pregrado por Condición de Acreditación por Tipo de Institución</t>
  </si>
  <si>
    <t>CFT DE LA REGION DE ANTOFAGASTA</t>
  </si>
  <si>
    <t>CFT DE LA REGION DE LOS RIOS</t>
  </si>
  <si>
    <t>CFT DE LA REGION DE MAGALLANES Y ANTARTICA CHILENA</t>
  </si>
  <si>
    <t>CFT DE LA REGION DE VALPARAISO</t>
  </si>
  <si>
    <t>CFT DE LA REGION METROPOLITANA DE SANTIAGO</t>
  </si>
  <si>
    <t>UNIVERSIDAD CATOLICA DEL MAULE (* CARRERA EN CONVENIO U. ARCIS)</t>
  </si>
  <si>
    <t>UNIVERSIDAD DE SANTIAGO DE CHILE (* CARRERA EN CONVENIO U. IBEROAMERICANA)</t>
  </si>
  <si>
    <t>UNIVERSIDAD TECNOLOGICA METROPOLITANA (* CARRERA EN CONVENIO U. PACIFICO)</t>
  </si>
  <si>
    <t>Especialidad Médica u Odontológica</t>
  </si>
  <si>
    <t>O'Higgins</t>
  </si>
  <si>
    <r>
      <t>Matrícula de 1</t>
    </r>
    <r>
      <rPr>
        <vertAlign val="superscript"/>
        <sz val="10"/>
        <color theme="1"/>
        <rFont val="Calibri"/>
        <family val="2"/>
        <scheme val="minor"/>
      </rPr>
      <t>er</t>
    </r>
    <r>
      <rPr>
        <sz val="10"/>
        <color theme="1"/>
        <rFont val="Calibri"/>
        <family val="2"/>
        <scheme val="minor"/>
      </rPr>
      <t xml:space="preserve"> año Mujer</t>
    </r>
  </si>
  <si>
    <t xml:space="preserve">Profesional sin licenciatura  </t>
  </si>
  <si>
    <t xml:space="preserve">Profesional con licenciatura </t>
  </si>
  <si>
    <t>Evolución de Matrícula Total de Pregrado por ccondición de acreditación por tipo de institución</t>
  </si>
  <si>
    <r>
      <t>Evolución de Matrícula 1</t>
    </r>
    <r>
      <rPr>
        <b/>
        <vertAlign val="superscript"/>
        <sz val="12"/>
        <color theme="1"/>
        <rFont val="Calibri"/>
        <family val="2"/>
        <scheme val="minor"/>
      </rPr>
      <t>er</t>
    </r>
    <r>
      <rPr>
        <b/>
        <sz val="12"/>
        <color theme="1"/>
        <rFont val="Calibri"/>
        <family val="2"/>
        <scheme val="minor"/>
      </rPr>
      <t xml:space="preserve"> año de Pregrado por condición de acreditación por tipo de institución</t>
    </r>
  </si>
  <si>
    <r>
      <t xml:space="preserve">Diplomado </t>
    </r>
    <r>
      <rPr>
        <sz val="11"/>
        <color theme="1"/>
        <rFont val="Calibri"/>
        <family val="2"/>
        <scheme val="minor"/>
      </rPr>
      <t>(superior a un semestre)</t>
    </r>
  </si>
  <si>
    <t>MATRÍCULA DE PREGRADO 2021</t>
  </si>
  <si>
    <t xml:space="preserve">Matrícula Total 2021 de Pregrado por sexo y tipo de institución </t>
  </si>
  <si>
    <t xml:space="preserve">Matrícula 1er año 2021 de Pregrado por sexo y tipo de institución </t>
  </si>
  <si>
    <t xml:space="preserve">Matrícula Total 2021 de Pregrado por rango de edad y tipo de institución </t>
  </si>
  <si>
    <t xml:space="preserve">Matrícula Total 2021 de Pregrado por tipo de carrera e institución </t>
  </si>
  <si>
    <t xml:space="preserve">Matrícula Total 2021 de Pregrado por área y tipo de institución </t>
  </si>
  <si>
    <t>Matrícula Total 2021 de Pregrado por área y sexo</t>
  </si>
  <si>
    <t xml:space="preserve">Matrícula Total 2021 de Pregrado por jornada y tipo de institución </t>
  </si>
  <si>
    <t>Matrícula Total 2021 de Pregrado por región y tipo de institución</t>
  </si>
  <si>
    <r>
      <t>Matrícula 1</t>
    </r>
    <r>
      <rPr>
        <b/>
        <vertAlign val="superscript"/>
        <sz val="12"/>
        <color theme="1"/>
        <rFont val="Calibri"/>
        <family val="2"/>
        <scheme val="minor"/>
      </rPr>
      <t>er</t>
    </r>
    <r>
      <rPr>
        <b/>
        <sz val="12"/>
        <color theme="1"/>
        <rFont val="Calibri"/>
        <family val="2"/>
        <scheme val="minor"/>
      </rPr>
      <t xml:space="preserve"> año 2021 de Pregrado por región y tipo de institución</t>
    </r>
  </si>
  <si>
    <t>Matrícula Total 2021 de Pregrado por región y sexo</t>
  </si>
  <si>
    <r>
      <t>Matrícula 1</t>
    </r>
    <r>
      <rPr>
        <b/>
        <vertAlign val="superscript"/>
        <sz val="12"/>
        <color theme="1"/>
        <rFont val="Calibri"/>
        <family val="2"/>
        <scheme val="minor"/>
      </rPr>
      <t>er</t>
    </r>
    <r>
      <rPr>
        <b/>
        <sz val="12"/>
        <color theme="1"/>
        <rFont val="Calibri"/>
        <family val="2"/>
        <scheme val="minor"/>
      </rPr>
      <t xml:space="preserve"> año 2021 de Pregrado por región y sexo</t>
    </r>
  </si>
  <si>
    <t>EVOLUCIÓN MATRÍCULA DE PREGRADO 2007 - 2021</t>
  </si>
  <si>
    <t>% Variación 2012 - 2021</t>
  </si>
  <si>
    <t>% Variación 2017 - 2021</t>
  </si>
  <si>
    <t>% Variación 2020 - 2021</t>
  </si>
  <si>
    <t>Distribución Matrícula 2021</t>
  </si>
  <si>
    <t>Universidades Estatales CRUCH</t>
  </si>
  <si>
    <t>Universidades Privadas CRUCH</t>
  </si>
  <si>
    <t>Universidades Privadas</t>
  </si>
  <si>
    <t>Universidades (* Carrera en Convenio)</t>
  </si>
  <si>
    <t>Profesional Sin Licenciatura</t>
  </si>
  <si>
    <t>Bachillerato, Ciclo Inicial o Plan Común</t>
  </si>
  <si>
    <t>Licenciatura No Conducente a Título</t>
  </si>
  <si>
    <t>Profesional Con Licenciatura</t>
  </si>
  <si>
    <t>Técnico en Farmacia</t>
  </si>
  <si>
    <t>Técnico en Peluquería y Estética</t>
  </si>
  <si>
    <t>Ingeniería en Electricidad</t>
  </si>
  <si>
    <t>Fonoaudiología</t>
  </si>
  <si>
    <t>Bachillerato y/o Licenciatura en Ciencias</t>
  </si>
  <si>
    <t>Química y Farmacia</t>
  </si>
  <si>
    <r>
      <t>Evolución de Matrícula 1</t>
    </r>
    <r>
      <rPr>
        <b/>
        <vertAlign val="superscript"/>
        <sz val="12"/>
        <color theme="1"/>
        <rFont val="Calibri"/>
        <family val="2"/>
        <scheme val="minor"/>
      </rPr>
      <t>er</t>
    </r>
    <r>
      <rPr>
        <b/>
        <sz val="12"/>
        <color theme="1"/>
        <rFont val="Calibri"/>
        <family val="2"/>
        <scheme val="minor"/>
      </rPr>
      <t xml:space="preserve"> año de Pregrado por sexo</t>
    </r>
  </si>
  <si>
    <r>
      <t>Evolución de Matrícula 1</t>
    </r>
    <r>
      <rPr>
        <b/>
        <vertAlign val="superscript"/>
        <sz val="12"/>
        <color theme="1"/>
        <rFont val="Calibri"/>
        <family val="2"/>
        <scheme val="minor"/>
      </rPr>
      <t>er</t>
    </r>
    <r>
      <rPr>
        <b/>
        <sz val="12"/>
        <color theme="1"/>
        <rFont val="Calibri"/>
        <family val="2"/>
        <scheme val="minor"/>
      </rPr>
      <t xml:space="preserve"> año de Pregrado por sexo - CFT</t>
    </r>
  </si>
  <si>
    <r>
      <t>Evolución de Matrícula 1</t>
    </r>
    <r>
      <rPr>
        <b/>
        <vertAlign val="superscript"/>
        <sz val="12"/>
        <color theme="1"/>
        <rFont val="Calibri"/>
        <family val="2"/>
        <scheme val="minor"/>
      </rPr>
      <t>er</t>
    </r>
    <r>
      <rPr>
        <b/>
        <sz val="12"/>
        <color theme="1"/>
        <rFont val="Calibri"/>
        <family val="2"/>
        <scheme val="minor"/>
      </rPr>
      <t xml:space="preserve"> año de Pregrado por sexo - IP</t>
    </r>
  </si>
  <si>
    <r>
      <t>Evolución de Matrícula 1</t>
    </r>
    <r>
      <rPr>
        <b/>
        <vertAlign val="superscript"/>
        <sz val="12"/>
        <color theme="1"/>
        <rFont val="Calibri"/>
        <family val="2"/>
        <scheme val="minor"/>
      </rPr>
      <t>er</t>
    </r>
    <r>
      <rPr>
        <b/>
        <sz val="12"/>
        <color theme="1"/>
        <rFont val="Calibri"/>
        <family val="2"/>
        <scheme val="minor"/>
      </rPr>
      <t xml:space="preserve"> año de Pregrado por sexo - Universidades</t>
    </r>
  </si>
  <si>
    <r>
      <t>Evolución de Matrícula 1</t>
    </r>
    <r>
      <rPr>
        <b/>
        <vertAlign val="superscript"/>
        <sz val="12"/>
        <color theme="1"/>
        <rFont val="Calibri"/>
        <family val="2"/>
        <scheme val="minor"/>
      </rPr>
      <t>er</t>
    </r>
    <r>
      <rPr>
        <b/>
        <sz val="12"/>
        <color theme="1"/>
        <rFont val="Calibri"/>
        <family val="2"/>
        <scheme val="minor"/>
      </rPr>
      <t xml:space="preserve"> año de Pregrado por rango de edad</t>
    </r>
  </si>
  <si>
    <t>Para los años 2010 a 2012, hay instituciones que solo entregaron  rangos de edad a nivel global y no para estudiantes de 1er año</t>
  </si>
  <si>
    <r>
      <t>Evolución de Matrícula 1</t>
    </r>
    <r>
      <rPr>
        <b/>
        <vertAlign val="superscript"/>
        <sz val="12"/>
        <color theme="1"/>
        <rFont val="Calibri"/>
        <family val="2"/>
        <scheme val="minor"/>
      </rPr>
      <t>er</t>
    </r>
    <r>
      <rPr>
        <b/>
        <sz val="12"/>
        <color theme="1"/>
        <rFont val="Calibri"/>
        <family val="2"/>
        <scheme val="minor"/>
      </rPr>
      <t xml:space="preserve"> año de Pregrado por rango de edad - CFT</t>
    </r>
  </si>
  <si>
    <t>Promedio de edad Matrícula 1er año</t>
  </si>
  <si>
    <r>
      <t>Evolución de Matrícula 1</t>
    </r>
    <r>
      <rPr>
        <b/>
        <vertAlign val="superscript"/>
        <sz val="12"/>
        <color theme="1"/>
        <rFont val="Calibri"/>
        <family val="2"/>
        <scheme val="minor"/>
      </rPr>
      <t>er</t>
    </r>
    <r>
      <rPr>
        <b/>
        <sz val="12"/>
        <color theme="1"/>
        <rFont val="Calibri"/>
        <family val="2"/>
        <scheme val="minor"/>
      </rPr>
      <t xml:space="preserve"> año de Pregrado por rango de edad - IP</t>
    </r>
  </si>
  <si>
    <r>
      <t>Evolución de Matrícula de 1</t>
    </r>
    <r>
      <rPr>
        <b/>
        <vertAlign val="superscript"/>
        <sz val="12"/>
        <color theme="1"/>
        <rFont val="Calibri"/>
        <family val="2"/>
        <scheme val="minor"/>
      </rPr>
      <t>er</t>
    </r>
    <r>
      <rPr>
        <b/>
        <sz val="12"/>
        <color theme="1"/>
        <rFont val="Calibri"/>
        <family val="2"/>
        <scheme val="minor"/>
      </rPr>
      <t xml:space="preserve"> año de Pregrado por rango de edad - Universidades</t>
    </r>
  </si>
  <si>
    <t>CFT BARROS ARANA</t>
  </si>
  <si>
    <t>CFT CEITEC</t>
  </si>
  <si>
    <t>CFT DE LA REGION DE ARICA Y PARINACOTA</t>
  </si>
  <si>
    <t>CFT DE LA REGION DE ATACAMA</t>
  </si>
  <si>
    <t>MATRÍCULA TOTAL 2021</t>
  </si>
  <si>
    <t>Matricula Total 2021 por tipo de institución y nivel de formación</t>
  </si>
  <si>
    <t>Matricula Total 2021 por tipo de institución y sexo</t>
  </si>
  <si>
    <t>Matricula Total 2021 por tipo de institución 2 y nivel de formación</t>
  </si>
  <si>
    <t>Matricula Total 2021 por tipo de institución 2 y sexo</t>
  </si>
  <si>
    <t>Matricula Total 2021 por región y sexo</t>
  </si>
  <si>
    <t>Matricula Total 2021 por área y sexo</t>
  </si>
  <si>
    <t>EVOLUCIÓN MATRÍCULA TOTAL 2007 - 2021</t>
  </si>
  <si>
    <t>EVOLUCIÓN MATRÍCULA DE POSGRADO 2007 - 2021</t>
  </si>
  <si>
    <t>Magister</t>
  </si>
  <si>
    <t>Evolución de Matrícula Total de Posgrado por tipo de programa y jornada</t>
  </si>
  <si>
    <r>
      <t>Evolución de Matrícula 1</t>
    </r>
    <r>
      <rPr>
        <b/>
        <vertAlign val="superscript"/>
        <sz val="12"/>
        <color theme="1"/>
        <rFont val="Calibri"/>
        <family val="2"/>
        <scheme val="minor"/>
      </rPr>
      <t>er</t>
    </r>
    <r>
      <rPr>
        <b/>
        <sz val="12"/>
        <color theme="1"/>
        <rFont val="Calibri"/>
        <family val="2"/>
        <scheme val="minor"/>
      </rPr>
      <t xml:space="preserve"> año de Posgrado por tipo de programa y jornada</t>
    </r>
  </si>
  <si>
    <t>MATRÍCULA DE POSGRADO 2021</t>
  </si>
  <si>
    <t xml:space="preserve">Matrícula Total 2021 de Posgrado por tipo de universidad y programa </t>
  </si>
  <si>
    <t xml:space="preserve">Matrícula 1er año 2021 de Posgrado por tipo de universidad y programa </t>
  </si>
  <si>
    <t xml:space="preserve">Matrícula Total 2021 de Posgrado por sexo y tipo de programa </t>
  </si>
  <si>
    <t>Matrícula Total 2021 de Posgrado</t>
  </si>
  <si>
    <t xml:space="preserve">Matrícula 1er año 2021 de Posgrado por sexo y tipo de programa </t>
  </si>
  <si>
    <t>Matrícula Total 2021 de Posgrado por rango de edad y tipo de programa</t>
  </si>
  <si>
    <t xml:space="preserve">Matrícula Total 2021 de Posgrado por área y tipo de programa </t>
  </si>
  <si>
    <t xml:space="preserve">Matrícula Total 2021 de Posgrado por jornada y tipo de programa </t>
  </si>
  <si>
    <t xml:space="preserve">Matrícula Total 2021 de Posgrado por región y tipo de programa </t>
  </si>
  <si>
    <t>EVOLUCIÓN MATRÍCULA DE POSTÍTULO 2007 - 2021</t>
  </si>
  <si>
    <t>Especialidad Médica U Odontológica</t>
  </si>
  <si>
    <t>Tipo de programa y jornada</t>
  </si>
  <si>
    <t>Evolución de Matrícula Total de Postítulo por tipo de programa y jornada</t>
  </si>
  <si>
    <t>MATRÍCULA DE POSTÍTULO 2021</t>
  </si>
  <si>
    <t>Instituciones participantes en proceso Matrícula 2021</t>
  </si>
  <si>
    <t>Matrícula Total Pregrado 2021</t>
  </si>
  <si>
    <t>Matrícula Total Posgrado 2021</t>
  </si>
  <si>
    <t>Matrícula Total Postítulo 2021</t>
  </si>
  <si>
    <t>Matrícula Total 2021</t>
  </si>
  <si>
    <t>INFORME MATRÍCULA 2021</t>
  </si>
  <si>
    <t>Matrícula 1er año 2021 de Pregrado por región y tipo de institución</t>
  </si>
  <si>
    <t>Matrícula 1er año 2021 de Pregrado por región y sexo</t>
  </si>
  <si>
    <t xml:space="preserve">Matrícula Total 2021 de Postítulo por tipo de institución y tipo de programa </t>
  </si>
  <si>
    <t>Listado instituciones con datos Matrícula 2021</t>
  </si>
  <si>
    <t>Evolución de Matrícula 1er año de Pregrado por sexo</t>
  </si>
  <si>
    <t>Evolución de Matrícula 1er año de Pregrado por sexo - CFT</t>
  </si>
  <si>
    <t>Evolución de Matrícula 1er año de Pregrado por sexo - IP</t>
  </si>
  <si>
    <t>Evolución de Matrícula 1er año de Pregrado por sexo - Universidades</t>
  </si>
  <si>
    <t>Evolución de Matrícula 1er año de Pregrado por rango de edad</t>
  </si>
  <si>
    <t>Evolución de Matrícula 1er año de Pregrado por rango de edad - CFT</t>
  </si>
  <si>
    <t>Evolución de Matrícula 1er año de Pregrado por rango de edad - IP</t>
  </si>
  <si>
    <t>Evolución de Matrícula de 1er año de Pregrado por rango de edad - Universidades</t>
  </si>
  <si>
    <t>Para los años 2010 a 2012, hay instituciones que solo entregaron rangos de edad a nivel global y no para estudiantes de 1er año</t>
  </si>
  <si>
    <t>Evolución de Matrícula 1er año de Posgrado por tipo de programa y jornada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</si>
</sst>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0\ _€_-;\-* #,##0.00\ _€_-;_-* &quot;-&quot;??\ _€_-;_-@_-"/>
    <numFmt numFmtId="165" formatCode="_-* #,##0_-;\-* #,##0_-;_-* &quot;-&quot;??_-;_-@_-"/>
    <numFmt numFmtId="166" formatCode="0.0%"/>
    <numFmt numFmtId="167" formatCode="_-* #,##0.0_-;\-* #,##0.0_-;_-* &quot;-&quot;??_-;_-@_-"/>
    <numFmt numFmtId="168" formatCode="_-* #,##0\ _€_-;\-* #,##0\ _€_-;_-* &quot;-&quot;??\ _€_-;_-@_-"/>
  </numFmts>
  <fonts count="33" x14ac:knownFonts="1">
    <font>
      <sz val="11"/>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1"/>
      <color indexed="8"/>
      <name val="Calibri"/>
      <family val="2"/>
    </font>
    <font>
      <sz val="10"/>
      <color theme="1"/>
      <name val="Calibri"/>
      <family val="2"/>
      <scheme val="minor"/>
    </font>
    <font>
      <sz val="10"/>
      <name val="Arial"/>
      <family val="2"/>
    </font>
    <font>
      <sz val="10"/>
      <name val="MS Sans Serif"/>
      <family val="2"/>
    </font>
    <font>
      <sz val="11"/>
      <color theme="1"/>
      <name val="Cambria"/>
      <family val="2"/>
      <scheme val="major"/>
    </font>
    <font>
      <b/>
      <sz val="10"/>
      <name val="Calibri"/>
      <family val="2"/>
      <scheme val="minor"/>
    </font>
    <font>
      <sz val="10"/>
      <name val="Calibri"/>
      <family val="2"/>
      <scheme val="minor"/>
    </font>
    <font>
      <u/>
      <sz val="11"/>
      <color theme="10"/>
      <name val="Calibri"/>
      <family val="2"/>
      <scheme val="minor"/>
    </font>
    <font>
      <b/>
      <sz val="14"/>
      <color theme="1"/>
      <name val="Calibri"/>
      <family val="2"/>
      <scheme val="minor"/>
    </font>
    <font>
      <vertAlign val="superscript"/>
      <sz val="10"/>
      <color theme="1"/>
      <name val="Calibri"/>
      <family val="2"/>
      <scheme val="minor"/>
    </font>
    <font>
      <b/>
      <vertAlign val="superscript"/>
      <sz val="10"/>
      <color theme="1"/>
      <name val="Calibri"/>
      <family val="2"/>
      <scheme val="minor"/>
    </font>
    <font>
      <b/>
      <sz val="11"/>
      <color rgb="FFFF0000"/>
      <name val="Calibri"/>
      <family val="2"/>
      <scheme val="minor"/>
    </font>
    <font>
      <b/>
      <sz val="12"/>
      <color theme="1"/>
      <name val="Calibri"/>
      <family val="2"/>
      <scheme val="minor"/>
    </font>
    <font>
      <b/>
      <vertAlign val="superscript"/>
      <sz val="12"/>
      <color theme="1"/>
      <name val="Calibri"/>
      <family val="2"/>
      <scheme val="minor"/>
    </font>
    <font>
      <b/>
      <sz val="26"/>
      <color theme="1"/>
      <name val="Calibri"/>
      <family val="2"/>
      <scheme val="minor"/>
    </font>
    <font>
      <i/>
      <sz val="10"/>
      <color theme="1"/>
      <name val="Calibri"/>
      <family val="2"/>
      <scheme val="minor"/>
    </font>
    <font>
      <b/>
      <sz val="10"/>
      <color rgb="FF000000"/>
      <name val="Calibri"/>
      <family val="2"/>
    </font>
    <font>
      <b/>
      <sz val="12"/>
      <name val="Calibri"/>
      <family val="2"/>
      <scheme val="minor"/>
    </font>
    <font>
      <b/>
      <vertAlign val="superscript"/>
      <sz val="10"/>
      <name val="Calibri"/>
      <family val="2"/>
      <scheme val="minor"/>
    </font>
    <font>
      <b/>
      <vertAlign val="superscript"/>
      <sz val="12"/>
      <name val="Calibri"/>
      <family val="2"/>
      <scheme val="minor"/>
    </font>
    <font>
      <sz val="11"/>
      <color rgb="FFFF0000"/>
      <name val="Calibri"/>
      <family val="2"/>
      <scheme val="minor"/>
    </font>
    <font>
      <b/>
      <sz val="16"/>
      <color theme="1"/>
      <name val="Calibri"/>
      <family val="2"/>
      <scheme val="minor"/>
    </font>
    <font>
      <b/>
      <sz val="16"/>
      <name val="Calibri"/>
      <family val="2"/>
      <scheme val="minor"/>
    </font>
    <font>
      <b/>
      <sz val="10"/>
      <color rgb="FFFF0000"/>
      <name val="Calibri"/>
      <family val="2"/>
      <scheme val="minor"/>
    </font>
    <font>
      <sz val="10"/>
      <color rgb="FFFF0000"/>
      <name val="Calibri"/>
      <family val="2"/>
      <scheme val="minor"/>
    </font>
    <font>
      <sz val="12"/>
      <color theme="1"/>
      <name val="Calibri"/>
      <family val="2"/>
      <scheme val="minor"/>
    </font>
  </fonts>
  <fills count="8">
    <fill>
      <patternFill patternType="none"/>
    </fill>
    <fill>
      <patternFill patternType="gray125"/>
    </fill>
    <fill>
      <patternFill patternType="solid">
        <fgColor theme="0"/>
        <bgColor indexed="64"/>
      </patternFill>
    </fill>
    <fill>
      <patternFill patternType="solid">
        <fgColor theme="0" tint="-0.14999847407452621"/>
        <bgColor theme="4" tint="0.79998168889431442"/>
      </patternFill>
    </fill>
    <fill>
      <patternFill patternType="solid">
        <fgColor theme="0" tint="-0.14999847407452621"/>
        <bgColor indexed="64"/>
      </patternFill>
    </fill>
    <fill>
      <patternFill patternType="solid">
        <fgColor theme="0" tint="-0.249977111117893"/>
        <bgColor theme="4" tint="0.79998168889431442"/>
      </patternFill>
    </fill>
    <fill>
      <patternFill patternType="solid">
        <fgColor theme="0" tint="-0.249977111117893"/>
        <bgColor indexed="64"/>
      </patternFill>
    </fill>
    <fill>
      <patternFill patternType="solid">
        <fgColor theme="6"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s>
  <cellStyleXfs count="18">
    <xf numFmtId="0" fontId="0" fillId="0" borderId="0"/>
    <xf numFmtId="43" fontId="4" fillId="0" borderId="0" applyFon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9" fillId="0" borderId="0"/>
    <xf numFmtId="9" fontId="10" fillId="0" borderId="0" applyFont="0" applyFill="0" applyBorder="0" applyAlignment="0" applyProtection="0"/>
    <xf numFmtId="0" fontId="11" fillId="0" borderId="0"/>
    <xf numFmtId="43" fontId="11"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9" fontId="4" fillId="0" borderId="0" applyFont="0" applyFill="0" applyBorder="0" applyAlignment="0" applyProtection="0"/>
    <xf numFmtId="0" fontId="14" fillId="0" borderId="0" applyNumberFormat="0" applyFill="0" applyBorder="0" applyAlignment="0" applyProtection="0"/>
    <xf numFmtId="164" fontId="4" fillId="0" borderId="0" applyFont="0" applyFill="0" applyBorder="0" applyAlignment="0" applyProtection="0"/>
    <xf numFmtId="164" fontId="4" fillId="0" borderId="0" applyFont="0" applyFill="0" applyBorder="0" applyAlignment="0" applyProtection="0"/>
  </cellStyleXfs>
  <cellXfs count="214">
    <xf numFmtId="0" fontId="0" fillId="0" borderId="0" xfId="0"/>
    <xf numFmtId="165" fontId="8" fillId="2" borderId="1" xfId="1" applyNumberFormat="1" applyFont="1" applyFill="1" applyBorder="1" applyAlignment="1">
      <alignment horizontal="left" vertical="center"/>
    </xf>
    <xf numFmtId="165" fontId="6" fillId="2" borderId="1" xfId="1" applyNumberFormat="1" applyFont="1" applyFill="1" applyBorder="1" applyAlignment="1">
      <alignment horizontal="left" vertical="center"/>
    </xf>
    <xf numFmtId="0" fontId="0" fillId="0" borderId="0" xfId="0" applyAlignment="1">
      <alignment vertical="center"/>
    </xf>
    <xf numFmtId="0" fontId="0" fillId="0" borderId="0" xfId="0" applyFont="1" applyAlignment="1">
      <alignment vertical="center"/>
    </xf>
    <xf numFmtId="0" fontId="8" fillId="0" borderId="0" xfId="0" applyFont="1" applyAlignment="1">
      <alignment vertical="center"/>
    </xf>
    <xf numFmtId="0" fontId="8" fillId="0" borderId="0" xfId="0" applyFont="1" applyAlignment="1">
      <alignment horizontal="center" vertical="center"/>
    </xf>
    <xf numFmtId="165" fontId="8" fillId="0" borderId="0" xfId="1" applyNumberFormat="1" applyFont="1" applyAlignment="1">
      <alignment horizontal="center" vertical="center"/>
    </xf>
    <xf numFmtId="165" fontId="8" fillId="0" borderId="1" xfId="1" applyNumberFormat="1" applyFont="1" applyBorder="1" applyAlignment="1">
      <alignment horizontal="center" vertical="center"/>
    </xf>
    <xf numFmtId="165" fontId="6" fillId="0" borderId="1" xfId="1" applyNumberFormat="1" applyFont="1" applyBorder="1" applyAlignment="1">
      <alignment horizontal="center" vertical="center"/>
    </xf>
    <xf numFmtId="0" fontId="0" fillId="0" borderId="0" xfId="0" applyFont="1" applyFill="1" applyBorder="1" applyAlignment="1">
      <alignment vertical="center"/>
    </xf>
    <xf numFmtId="0" fontId="6" fillId="0" borderId="0" xfId="0" applyFont="1" applyFill="1" applyBorder="1" applyAlignment="1">
      <alignment horizontal="center" vertical="center"/>
    </xf>
    <xf numFmtId="165" fontId="8" fillId="0" borderId="0" xfId="1" applyNumberFormat="1" applyFont="1" applyFill="1" applyBorder="1" applyAlignment="1">
      <alignment horizontal="left" vertical="center"/>
    </xf>
    <xf numFmtId="165" fontId="6" fillId="0" borderId="0" xfId="1" applyNumberFormat="1" applyFont="1" applyFill="1" applyBorder="1" applyAlignment="1">
      <alignment horizontal="left" vertical="center"/>
    </xf>
    <xf numFmtId="165" fontId="13" fillId="2" borderId="1" xfId="1" applyNumberFormat="1" applyFont="1" applyFill="1" applyBorder="1" applyAlignment="1">
      <alignment horizontal="left" vertical="center"/>
    </xf>
    <xf numFmtId="166" fontId="0" fillId="0" borderId="0" xfId="14" applyNumberFormat="1" applyFont="1" applyAlignment="1">
      <alignment vertical="center"/>
    </xf>
    <xf numFmtId="165" fontId="8" fillId="0" borderId="0" xfId="0" applyNumberFormat="1" applyFont="1" applyAlignment="1">
      <alignment vertical="center"/>
    </xf>
    <xf numFmtId="166" fontId="8" fillId="0" borderId="0" xfId="14" applyNumberFormat="1" applyFont="1" applyAlignment="1">
      <alignment horizontal="center" vertical="center"/>
    </xf>
    <xf numFmtId="0" fontId="0" fillId="2" borderId="0" xfId="0" applyFill="1" applyAlignment="1">
      <alignment vertical="center"/>
    </xf>
    <xf numFmtId="0" fontId="0" fillId="2" borderId="0" xfId="0" applyFill="1" applyAlignment="1">
      <alignment horizontal="center" vertical="center"/>
    </xf>
    <xf numFmtId="0" fontId="0" fillId="0" borderId="0" xfId="0" applyNumberFormat="1" applyAlignment="1">
      <alignment vertical="center"/>
    </xf>
    <xf numFmtId="0" fontId="8" fillId="0" borderId="0" xfId="0" applyNumberFormat="1" applyFont="1" applyAlignment="1">
      <alignment vertical="center"/>
    </xf>
    <xf numFmtId="166" fontId="8" fillId="0" borderId="0" xfId="14" applyNumberFormat="1" applyFont="1" applyAlignment="1">
      <alignment vertical="center"/>
    </xf>
    <xf numFmtId="0" fontId="15" fillId="0" borderId="0" xfId="0" applyFont="1" applyAlignment="1">
      <alignment vertical="center"/>
    </xf>
    <xf numFmtId="166" fontId="19" fillId="0" borderId="0" xfId="14" applyNumberFormat="1" applyFont="1" applyAlignment="1">
      <alignment vertical="center"/>
    </xf>
    <xf numFmtId="165" fontId="8" fillId="0" borderId="1" xfId="1" applyNumberFormat="1" applyFont="1" applyBorder="1" applyAlignment="1">
      <alignment vertical="center"/>
    </xf>
    <xf numFmtId="165" fontId="6" fillId="0" borderId="1" xfId="1" applyNumberFormat="1" applyFont="1" applyBorder="1" applyAlignment="1">
      <alignment vertical="center"/>
    </xf>
    <xf numFmtId="0" fontId="19" fillId="0" borderId="0" xfId="0" applyFont="1" applyAlignment="1">
      <alignment vertical="center"/>
    </xf>
    <xf numFmtId="166" fontId="14" fillId="0" borderId="0" xfId="15" applyNumberFormat="1" applyAlignment="1">
      <alignment vertical="center"/>
    </xf>
    <xf numFmtId="165" fontId="8" fillId="0" borderId="1" xfId="1" quotePrefix="1" applyNumberFormat="1" applyFont="1" applyBorder="1" applyAlignment="1">
      <alignment horizontal="center" vertical="center"/>
    </xf>
    <xf numFmtId="165" fontId="8" fillId="0" borderId="0" xfId="0" applyNumberFormat="1" applyFont="1" applyAlignment="1">
      <alignment horizontal="center" vertical="center"/>
    </xf>
    <xf numFmtId="165" fontId="8" fillId="0" borderId="1" xfId="1" applyNumberFormat="1" applyFont="1" applyFill="1" applyBorder="1" applyAlignment="1">
      <alignment horizontal="left" vertical="center"/>
    </xf>
    <xf numFmtId="0" fontId="8" fillId="0" borderId="0" xfId="0" applyNumberFormat="1" applyFont="1" applyAlignment="1">
      <alignment horizontal="center" vertical="center"/>
    </xf>
    <xf numFmtId="166" fontId="6" fillId="0" borderId="1" xfId="14" applyNumberFormat="1" applyFont="1" applyBorder="1" applyAlignment="1">
      <alignment horizontal="center" vertical="center"/>
    </xf>
    <xf numFmtId="0" fontId="0" fillId="0" borderId="0" xfId="0" applyFont="1" applyAlignment="1">
      <alignment horizontal="center" vertical="center"/>
    </xf>
    <xf numFmtId="0" fontId="0" fillId="0" borderId="0" xfId="0" applyNumberFormat="1" applyAlignment="1">
      <alignment horizontal="center" vertical="center"/>
    </xf>
    <xf numFmtId="166" fontId="0" fillId="0" borderId="0" xfId="14" applyNumberFormat="1" applyFont="1" applyAlignment="1">
      <alignment horizontal="center" vertical="center"/>
    </xf>
    <xf numFmtId="165" fontId="6" fillId="0" borderId="1" xfId="0" applyNumberFormat="1" applyFont="1" applyBorder="1" applyAlignment="1">
      <alignment vertical="center"/>
    </xf>
    <xf numFmtId="165" fontId="8" fillId="0" borderId="1" xfId="1" applyNumberFormat="1" applyFont="1" applyBorder="1" applyAlignment="1">
      <alignment horizontal="left" vertical="center"/>
    </xf>
    <xf numFmtId="0" fontId="0" fillId="0" borderId="0" xfId="0" applyAlignment="1">
      <alignment horizontal="center" vertical="center"/>
    </xf>
    <xf numFmtId="165" fontId="0" fillId="0" borderId="0" xfId="0" applyNumberFormat="1" applyAlignment="1">
      <alignment horizontal="center" vertical="center"/>
    </xf>
    <xf numFmtId="165" fontId="8" fillId="0" borderId="1" xfId="1" applyNumberFormat="1" applyFont="1" applyFill="1" applyBorder="1" applyAlignment="1">
      <alignment vertical="center"/>
    </xf>
    <xf numFmtId="0" fontId="15" fillId="0" borderId="0" xfId="0" applyFont="1" applyAlignment="1">
      <alignment horizontal="left" vertical="center"/>
    </xf>
    <xf numFmtId="0" fontId="0" fillId="0" borderId="0" xfId="0" applyAlignment="1">
      <alignment horizontal="left" vertical="center"/>
    </xf>
    <xf numFmtId="0" fontId="19" fillId="0" borderId="0" xfId="0" applyFont="1" applyAlignment="1">
      <alignment horizontal="left" vertical="center"/>
    </xf>
    <xf numFmtId="165" fontId="6" fillId="0" borderId="1" xfId="1" applyNumberFormat="1" applyFont="1" applyBorder="1" applyAlignment="1">
      <alignment horizontal="left" vertical="center"/>
    </xf>
    <xf numFmtId="0" fontId="24" fillId="0" borderId="0" xfId="0" applyFont="1" applyAlignment="1">
      <alignment horizontal="left" vertical="center"/>
    </xf>
    <xf numFmtId="165" fontId="0" fillId="0" borderId="0" xfId="0" applyNumberFormat="1" applyAlignment="1">
      <alignment vertical="center"/>
    </xf>
    <xf numFmtId="165" fontId="8" fillId="0" borderId="1" xfId="0" applyNumberFormat="1" applyFont="1" applyBorder="1" applyAlignment="1">
      <alignment vertical="center"/>
    </xf>
    <xf numFmtId="0" fontId="22" fillId="0" borderId="0" xfId="0" applyFont="1" applyAlignment="1">
      <alignment vertical="center"/>
    </xf>
    <xf numFmtId="0" fontId="0" fillId="0" borderId="0" xfId="0" applyFill="1" applyAlignment="1">
      <alignment vertical="center"/>
    </xf>
    <xf numFmtId="0" fontId="14" fillId="0" borderId="0" xfId="15" applyAlignment="1">
      <alignment vertical="center"/>
    </xf>
    <xf numFmtId="0" fontId="5" fillId="0" borderId="0" xfId="0" applyFont="1" applyAlignment="1">
      <alignment vertical="center"/>
    </xf>
    <xf numFmtId="166" fontId="0" fillId="0" borderId="0" xfId="14" applyNumberFormat="1" applyFont="1" applyAlignment="1">
      <alignment horizontal="left" vertical="center"/>
    </xf>
    <xf numFmtId="166" fontId="5" fillId="0" borderId="0" xfId="14" applyNumberFormat="1" applyFont="1" applyAlignment="1">
      <alignment horizontal="left" vertical="center"/>
    </xf>
    <xf numFmtId="166" fontId="5" fillId="0" borderId="0" xfId="14" applyNumberFormat="1" applyFont="1" applyAlignment="1">
      <alignment vertical="center"/>
    </xf>
    <xf numFmtId="165" fontId="8" fillId="0" borderId="1" xfId="1" applyNumberFormat="1" applyFont="1" applyFill="1" applyBorder="1" applyAlignment="1">
      <alignment horizontal="center" vertical="center"/>
    </xf>
    <xf numFmtId="0" fontId="0" fillId="0" borderId="0" xfId="0" applyFont="1" applyFill="1" applyBorder="1" applyAlignment="1">
      <alignment horizontal="center" vertical="center"/>
    </xf>
    <xf numFmtId="165" fontId="6" fillId="0" borderId="0" xfId="1" applyNumberFormat="1" applyFont="1" applyFill="1" applyBorder="1" applyAlignment="1">
      <alignment horizontal="center" vertical="center"/>
    </xf>
    <xf numFmtId="166" fontId="6" fillId="0" borderId="0" xfId="14" applyNumberFormat="1" applyFont="1" applyBorder="1" applyAlignment="1">
      <alignment vertical="center"/>
    </xf>
    <xf numFmtId="165" fontId="6" fillId="0" borderId="0" xfId="1" applyNumberFormat="1" applyFont="1" applyBorder="1" applyAlignment="1">
      <alignment vertical="center"/>
    </xf>
    <xf numFmtId="166" fontId="6" fillId="0" borderId="0" xfId="14" applyNumberFormat="1" applyFont="1" applyBorder="1" applyAlignment="1">
      <alignment horizontal="center" vertical="center"/>
    </xf>
    <xf numFmtId="165" fontId="8" fillId="0" borderId="0" xfId="1" applyNumberFormat="1" applyFont="1" applyAlignment="1">
      <alignment vertical="center"/>
    </xf>
    <xf numFmtId="165" fontId="6" fillId="0" borderId="0" xfId="1" applyNumberFormat="1" applyFont="1" applyAlignment="1">
      <alignment vertical="center"/>
    </xf>
    <xf numFmtId="0" fontId="5" fillId="2" borderId="0" xfId="0" applyFont="1" applyFill="1" applyAlignment="1">
      <alignment horizontal="center" vertical="center"/>
    </xf>
    <xf numFmtId="0" fontId="5" fillId="2" borderId="0" xfId="0" applyFont="1" applyFill="1" applyAlignment="1">
      <alignment vertical="center"/>
    </xf>
    <xf numFmtId="0" fontId="19" fillId="2" borderId="0" xfId="0" applyFont="1" applyFill="1" applyAlignment="1">
      <alignment vertical="center"/>
    </xf>
    <xf numFmtId="0" fontId="14" fillId="2" borderId="0" xfId="15" applyFill="1" applyAlignment="1">
      <alignment vertical="center"/>
    </xf>
    <xf numFmtId="0" fontId="0" fillId="2" borderId="0" xfId="0" quotePrefix="1" applyFill="1" applyAlignment="1">
      <alignment vertical="center"/>
    </xf>
    <xf numFmtId="0" fontId="18" fillId="2" borderId="0" xfId="0" applyFont="1" applyFill="1" applyAlignment="1">
      <alignment vertical="center"/>
    </xf>
    <xf numFmtId="165" fontId="13" fillId="0" borderId="1" xfId="1" applyNumberFormat="1" applyFont="1" applyBorder="1" applyAlignment="1">
      <alignment vertical="center"/>
    </xf>
    <xf numFmtId="165" fontId="0" fillId="0" borderId="0" xfId="1" applyNumberFormat="1" applyFont="1" applyAlignment="1">
      <alignment vertical="center"/>
    </xf>
    <xf numFmtId="165" fontId="15" fillId="0" borderId="0" xfId="1" applyNumberFormat="1" applyFont="1" applyAlignment="1">
      <alignment vertical="center"/>
    </xf>
    <xf numFmtId="165" fontId="13" fillId="0" borderId="1" xfId="1" applyNumberFormat="1" applyFont="1" applyFill="1" applyBorder="1" applyAlignment="1">
      <alignment horizontal="left" vertical="center"/>
    </xf>
    <xf numFmtId="165" fontId="14" fillId="0" borderId="0" xfId="1" applyNumberFormat="1" applyFont="1" applyAlignment="1">
      <alignment vertical="center"/>
    </xf>
    <xf numFmtId="165" fontId="3" fillId="0" borderId="1" xfId="1" applyNumberFormat="1" applyFont="1" applyBorder="1" applyAlignment="1">
      <alignment vertical="center"/>
    </xf>
    <xf numFmtId="43" fontId="3" fillId="0" borderId="1" xfId="2" applyFont="1" applyFill="1" applyBorder="1" applyAlignment="1">
      <alignment vertical="center"/>
    </xf>
    <xf numFmtId="0" fontId="28" fillId="0" borderId="0" xfId="0" applyFont="1" applyAlignment="1">
      <alignment vertical="center"/>
    </xf>
    <xf numFmtId="43" fontId="8" fillId="0" borderId="1" xfId="2" applyFont="1" applyBorder="1" applyAlignment="1">
      <alignment vertical="center"/>
    </xf>
    <xf numFmtId="43" fontId="6" fillId="0" borderId="1" xfId="2" applyFont="1" applyBorder="1" applyAlignment="1">
      <alignment vertical="center"/>
    </xf>
    <xf numFmtId="43" fontId="8" fillId="0" borderId="1" xfId="2" applyFont="1" applyBorder="1" applyAlignment="1">
      <alignment horizontal="left" vertical="center"/>
    </xf>
    <xf numFmtId="43" fontId="3" fillId="0" borderId="1" xfId="2" applyFont="1" applyBorder="1" applyAlignment="1">
      <alignment horizontal="left" vertical="center"/>
    </xf>
    <xf numFmtId="43" fontId="3" fillId="0" borderId="1" xfId="2" applyFont="1" applyBorder="1" applyAlignment="1">
      <alignment vertical="center"/>
    </xf>
    <xf numFmtId="0" fontId="28" fillId="0" borderId="0" xfId="0" applyFont="1" applyFill="1" applyAlignment="1">
      <alignment vertical="center"/>
    </xf>
    <xf numFmtId="43" fontId="3" fillId="0" borderId="1" xfId="2" applyFont="1" applyBorder="1" applyAlignment="1">
      <alignment horizontal="left" vertical="center" indent="1"/>
    </xf>
    <xf numFmtId="0" fontId="28" fillId="0" borderId="0" xfId="0" applyFont="1" applyAlignment="1">
      <alignment horizontal="left" vertical="center"/>
    </xf>
    <xf numFmtId="43" fontId="6" fillId="0" borderId="1" xfId="2" applyFont="1" applyBorder="1" applyAlignment="1">
      <alignment horizontal="left" vertical="center"/>
    </xf>
    <xf numFmtId="43" fontId="13" fillId="2" borderId="1" xfId="2" applyFont="1" applyFill="1" applyBorder="1" applyAlignment="1">
      <alignment horizontal="left" vertical="center"/>
    </xf>
    <xf numFmtId="43" fontId="12" fillId="2" borderId="1" xfId="2" applyFont="1" applyFill="1" applyBorder="1" applyAlignment="1">
      <alignment horizontal="left" vertical="center"/>
    </xf>
    <xf numFmtId="43" fontId="8" fillId="2" borderId="1" xfId="2" applyFont="1" applyFill="1" applyBorder="1" applyAlignment="1">
      <alignment horizontal="left" vertical="center"/>
    </xf>
    <xf numFmtId="43" fontId="8" fillId="0" borderId="1" xfId="2" applyFont="1" applyFill="1" applyBorder="1" applyAlignment="1">
      <alignment horizontal="left" vertical="center"/>
    </xf>
    <xf numFmtId="43" fontId="3" fillId="2" borderId="1" xfId="2" applyFont="1" applyFill="1" applyBorder="1" applyAlignment="1">
      <alignment horizontal="left" vertical="center"/>
    </xf>
    <xf numFmtId="165" fontId="3" fillId="2" borderId="1" xfId="1" applyNumberFormat="1" applyFont="1" applyFill="1" applyBorder="1" applyAlignment="1">
      <alignment horizontal="left" vertical="center"/>
    </xf>
    <xf numFmtId="43" fontId="8" fillId="2" borderId="2" xfId="2" applyFont="1" applyFill="1" applyBorder="1" applyAlignment="1">
      <alignment horizontal="left" vertical="center"/>
    </xf>
    <xf numFmtId="43" fontId="6" fillId="2" borderId="2" xfId="2" applyFont="1" applyFill="1" applyBorder="1" applyAlignment="1">
      <alignment horizontal="left" vertical="center"/>
    </xf>
    <xf numFmtId="43" fontId="6" fillId="0" borderId="1" xfId="2" applyFont="1" applyFill="1" applyBorder="1" applyAlignment="1">
      <alignment horizontal="left" vertical="center"/>
    </xf>
    <xf numFmtId="165" fontId="29" fillId="0" borderId="0" xfId="1" applyNumberFormat="1" applyFont="1" applyAlignment="1">
      <alignment vertical="center"/>
    </xf>
    <xf numFmtId="0" fontId="18" fillId="0" borderId="0" xfId="0" applyFont="1" applyAlignment="1"/>
    <xf numFmtId="43" fontId="2" fillId="0" borderId="1" xfId="2" applyFont="1" applyBorder="1" applyAlignment="1">
      <alignment vertical="center"/>
    </xf>
    <xf numFmtId="0" fontId="18" fillId="0" borderId="0" xfId="0" applyFont="1" applyAlignment="1">
      <alignment vertical="center"/>
    </xf>
    <xf numFmtId="0" fontId="14" fillId="0" borderId="0" xfId="15" quotePrefix="1" applyFill="1"/>
    <xf numFmtId="0" fontId="14" fillId="0" borderId="0" xfId="15" applyFill="1"/>
    <xf numFmtId="43" fontId="1" fillId="0" borderId="1" xfId="2" applyFont="1" applyBorder="1" applyAlignment="1">
      <alignment vertical="center"/>
    </xf>
    <xf numFmtId="166" fontId="1" fillId="0" borderId="1" xfId="14" applyNumberFormat="1" applyFont="1" applyBorder="1" applyAlignment="1">
      <alignment horizontal="center" vertical="center"/>
    </xf>
    <xf numFmtId="0" fontId="6" fillId="0" borderId="0" xfId="0" applyFont="1" applyAlignment="1">
      <alignment vertical="center"/>
    </xf>
    <xf numFmtId="43" fontId="12" fillId="2" borderId="0" xfId="2" applyFont="1" applyFill="1" applyBorder="1" applyAlignment="1">
      <alignment horizontal="left" vertical="center"/>
    </xf>
    <xf numFmtId="165" fontId="12" fillId="2" borderId="0" xfId="1" applyNumberFormat="1" applyFont="1" applyFill="1" applyBorder="1" applyAlignment="1">
      <alignment horizontal="left" vertical="center"/>
    </xf>
    <xf numFmtId="43" fontId="1" fillId="2" borderId="1" xfId="2" applyFont="1" applyFill="1" applyBorder="1" applyAlignment="1">
      <alignment horizontal="left" vertical="center"/>
    </xf>
    <xf numFmtId="165" fontId="6" fillId="0" borderId="1" xfId="1" applyNumberFormat="1" applyFont="1" applyFill="1" applyBorder="1" applyAlignment="1">
      <alignment horizontal="left" vertical="center"/>
    </xf>
    <xf numFmtId="165" fontId="6" fillId="0" borderId="1" xfId="1" applyNumberFormat="1" applyFont="1" applyFill="1" applyBorder="1" applyAlignment="1">
      <alignment vertical="center"/>
    </xf>
    <xf numFmtId="0" fontId="0" fillId="0" borderId="0" xfId="0" applyAlignment="1">
      <alignment vertical="center"/>
    </xf>
    <xf numFmtId="43" fontId="1" fillId="0" borderId="1" xfId="2" applyFont="1" applyBorder="1" applyAlignment="1">
      <alignment horizontal="left" vertical="center"/>
    </xf>
    <xf numFmtId="43" fontId="6" fillId="2" borderId="1" xfId="2" applyFont="1" applyFill="1" applyBorder="1" applyAlignment="1">
      <alignment horizontal="left" vertical="center"/>
    </xf>
    <xf numFmtId="165" fontId="1" fillId="2" borderId="1" xfId="1" applyNumberFormat="1" applyFont="1" applyFill="1" applyBorder="1" applyAlignment="1">
      <alignment horizontal="left" vertical="center"/>
    </xf>
    <xf numFmtId="165" fontId="6" fillId="0" borderId="1" xfId="2" applyNumberFormat="1" applyFont="1" applyBorder="1" applyAlignment="1">
      <alignment vertical="center"/>
    </xf>
    <xf numFmtId="165" fontId="1" fillId="0" borderId="1" xfId="1" applyNumberFormat="1" applyFont="1" applyBorder="1" applyAlignment="1">
      <alignment vertical="center"/>
    </xf>
    <xf numFmtId="166" fontId="31" fillId="0" borderId="0" xfId="14" applyNumberFormat="1" applyFont="1" applyAlignment="1">
      <alignment vertical="center"/>
    </xf>
    <xf numFmtId="0" fontId="0" fillId="4" borderId="1" xfId="0" applyFill="1" applyBorder="1" applyAlignment="1">
      <alignment horizontal="center" vertical="center"/>
    </xf>
    <xf numFmtId="0" fontId="5" fillId="4" borderId="1" xfId="0" applyFont="1" applyFill="1" applyBorder="1" applyAlignment="1">
      <alignment vertical="center"/>
    </xf>
    <xf numFmtId="166" fontId="5" fillId="4" borderId="1" xfId="14" applyNumberFormat="1" applyFont="1" applyFill="1" applyBorder="1" applyAlignment="1">
      <alignment horizontal="center" vertical="center"/>
    </xf>
    <xf numFmtId="166" fontId="30" fillId="0" borderId="0" xfId="14" applyNumberFormat="1" applyFont="1" applyAlignment="1">
      <alignment vertical="center"/>
    </xf>
    <xf numFmtId="0" fontId="8" fillId="0" borderId="1" xfId="0" applyFont="1" applyBorder="1" applyAlignment="1">
      <alignment horizontal="center" vertical="center"/>
    </xf>
    <xf numFmtId="165" fontId="6" fillId="0" borderId="1" xfId="1" quotePrefix="1" applyNumberFormat="1" applyFont="1" applyBorder="1" applyAlignment="1">
      <alignment horizontal="center" vertical="center"/>
    </xf>
    <xf numFmtId="165" fontId="1" fillId="0" borderId="1" xfId="1" applyNumberFormat="1" applyFont="1" applyBorder="1" applyAlignment="1">
      <alignment horizontal="center" vertical="center"/>
    </xf>
    <xf numFmtId="165" fontId="12" fillId="0" borderId="1" xfId="1" applyNumberFormat="1" applyFont="1" applyBorder="1" applyAlignment="1">
      <alignment vertical="center"/>
    </xf>
    <xf numFmtId="166" fontId="13" fillId="0" borderId="0" xfId="14" applyNumberFormat="1" applyFont="1" applyAlignment="1">
      <alignment vertical="center"/>
    </xf>
    <xf numFmtId="165" fontId="3" fillId="0" borderId="1" xfId="2" applyNumberFormat="1" applyFont="1" applyFill="1" applyBorder="1" applyAlignment="1">
      <alignment vertical="center"/>
    </xf>
    <xf numFmtId="43" fontId="6" fillId="2" borderId="0" xfId="2" applyFont="1" applyFill="1" applyBorder="1" applyAlignment="1">
      <alignment horizontal="left" vertical="center"/>
    </xf>
    <xf numFmtId="165" fontId="6" fillId="2" borderId="0" xfId="1" applyNumberFormat="1" applyFont="1" applyFill="1" applyBorder="1" applyAlignment="1">
      <alignment horizontal="left" vertical="center"/>
    </xf>
    <xf numFmtId="43" fontId="12" fillId="5" borderId="1" xfId="2" applyFont="1" applyFill="1" applyBorder="1" applyAlignment="1">
      <alignment horizontal="left" vertical="center" wrapText="1"/>
    </xf>
    <xf numFmtId="0" fontId="6" fillId="5" borderId="1" xfId="0" applyFont="1" applyFill="1" applyBorder="1" applyAlignment="1">
      <alignment horizontal="center" vertical="center"/>
    </xf>
    <xf numFmtId="0" fontId="6" fillId="5" borderId="1" xfId="0" applyFont="1" applyFill="1" applyBorder="1" applyAlignment="1">
      <alignment horizontal="center" vertical="center" wrapText="1"/>
    </xf>
    <xf numFmtId="165" fontId="1" fillId="0" borderId="1" xfId="1" applyNumberFormat="1" applyFont="1" applyBorder="1" applyAlignment="1">
      <alignment horizontal="left" vertical="center"/>
    </xf>
    <xf numFmtId="165" fontId="6" fillId="2" borderId="1" xfId="1" applyNumberFormat="1" applyFont="1" applyFill="1" applyBorder="1" applyAlignment="1">
      <alignment vertical="center"/>
    </xf>
    <xf numFmtId="0" fontId="8" fillId="0" borderId="0" xfId="0" applyNumberFormat="1" applyFont="1" applyAlignment="1">
      <alignment horizontal="left" vertical="center"/>
    </xf>
    <xf numFmtId="166" fontId="19" fillId="0" borderId="0" xfId="14" applyNumberFormat="1" applyFont="1" applyAlignment="1">
      <alignment horizontal="left" vertical="center"/>
    </xf>
    <xf numFmtId="0" fontId="6" fillId="5" borderId="1" xfId="0" applyFont="1" applyFill="1" applyBorder="1" applyAlignment="1">
      <alignment horizontal="left" vertical="center"/>
    </xf>
    <xf numFmtId="166" fontId="8" fillId="0" borderId="0" xfId="14" applyNumberFormat="1" applyFont="1" applyAlignment="1">
      <alignment horizontal="left" vertical="center"/>
    </xf>
    <xf numFmtId="166" fontId="6" fillId="0" borderId="0" xfId="14" applyNumberFormat="1" applyFont="1" applyBorder="1" applyAlignment="1">
      <alignment horizontal="left" vertical="center"/>
    </xf>
    <xf numFmtId="166" fontId="13" fillId="0" borderId="0" xfId="14" applyNumberFormat="1" applyFont="1" applyAlignment="1">
      <alignment horizontal="left" vertical="center"/>
    </xf>
    <xf numFmtId="166" fontId="30" fillId="0" borderId="0" xfId="14" applyNumberFormat="1" applyFont="1" applyAlignment="1">
      <alignment horizontal="left" vertical="center"/>
    </xf>
    <xf numFmtId="0" fontId="8" fillId="0" borderId="0" xfId="0" applyFont="1" applyAlignment="1">
      <alignment horizontal="left" vertical="center"/>
    </xf>
    <xf numFmtId="43" fontId="3" fillId="0" borderId="1" xfId="2" applyFont="1" applyFill="1" applyBorder="1" applyAlignment="1">
      <alignment horizontal="left" vertical="center"/>
    </xf>
    <xf numFmtId="0" fontId="18" fillId="0" borderId="0" xfId="0" applyFont="1" applyAlignment="1">
      <alignment horizontal="left" vertical="center"/>
    </xf>
    <xf numFmtId="166" fontId="14" fillId="0" borderId="0" xfId="15" applyNumberFormat="1" applyAlignment="1">
      <alignment horizontal="left" vertical="center"/>
    </xf>
    <xf numFmtId="0" fontId="0" fillId="0" borderId="0" xfId="0" applyFont="1" applyAlignment="1">
      <alignment horizontal="left" vertical="center"/>
    </xf>
    <xf numFmtId="0" fontId="0" fillId="0" borderId="0" xfId="0" applyNumberFormat="1" applyAlignment="1">
      <alignment horizontal="left" vertical="center"/>
    </xf>
    <xf numFmtId="0" fontId="0" fillId="2" borderId="0" xfId="0" applyFill="1" applyAlignment="1">
      <alignment horizontal="left" vertical="center"/>
    </xf>
    <xf numFmtId="43" fontId="6" fillId="5" borderId="1" xfId="2" applyFont="1" applyFill="1" applyBorder="1" applyAlignment="1">
      <alignment horizontal="left" vertical="center" wrapText="1"/>
    </xf>
    <xf numFmtId="165" fontId="1" fillId="0" borderId="1" xfId="1" applyNumberFormat="1" applyFont="1" applyFill="1" applyBorder="1" applyAlignment="1">
      <alignment vertical="center"/>
    </xf>
    <xf numFmtId="165" fontId="1" fillId="0" borderId="1" xfId="0" applyNumberFormat="1" applyFont="1" applyBorder="1" applyAlignment="1">
      <alignment vertical="center"/>
    </xf>
    <xf numFmtId="165" fontId="1" fillId="0" borderId="1" xfId="1" applyNumberFormat="1" applyFont="1" applyFill="1" applyBorder="1" applyAlignment="1">
      <alignment horizontal="left" vertical="center"/>
    </xf>
    <xf numFmtId="0" fontId="19" fillId="0" borderId="0" xfId="0" applyFont="1" applyFill="1" applyAlignment="1">
      <alignment horizontal="left" vertical="center"/>
    </xf>
    <xf numFmtId="165" fontId="3" fillId="0" borderId="1" xfId="1" applyNumberFormat="1" applyFont="1" applyBorder="1" applyAlignment="1">
      <alignment horizontal="left" vertical="center"/>
    </xf>
    <xf numFmtId="0" fontId="8" fillId="0" borderId="1" xfId="0" applyFont="1" applyBorder="1" applyAlignment="1">
      <alignment vertical="center"/>
    </xf>
    <xf numFmtId="165" fontId="8" fillId="0" borderId="1" xfId="2" applyNumberFormat="1" applyFont="1" applyBorder="1" applyAlignment="1">
      <alignment horizontal="left" vertical="center"/>
    </xf>
    <xf numFmtId="43" fontId="6" fillId="5" borderId="1" xfId="2" applyFont="1" applyFill="1" applyBorder="1" applyAlignment="1">
      <alignment horizontal="left" vertical="center"/>
    </xf>
    <xf numFmtId="43" fontId="6" fillId="6" borderId="1" xfId="2" applyFont="1" applyFill="1" applyBorder="1" applyAlignment="1">
      <alignment vertical="center"/>
    </xf>
    <xf numFmtId="165" fontId="6" fillId="6" borderId="1" xfId="1" applyNumberFormat="1" applyFont="1" applyFill="1" applyBorder="1" applyAlignment="1">
      <alignment horizontal="center" vertical="center" wrapText="1"/>
    </xf>
    <xf numFmtId="165" fontId="6" fillId="6" borderId="1" xfId="1" applyNumberFormat="1" applyFont="1" applyFill="1" applyBorder="1" applyAlignment="1">
      <alignment horizontal="center" vertical="center"/>
    </xf>
    <xf numFmtId="167" fontId="6" fillId="6" borderId="1" xfId="1" applyNumberFormat="1" applyFont="1" applyFill="1" applyBorder="1" applyAlignment="1">
      <alignment horizontal="center" vertical="center"/>
    </xf>
    <xf numFmtId="0" fontId="6" fillId="6" borderId="1" xfId="0" applyFont="1" applyFill="1" applyBorder="1" applyAlignment="1">
      <alignment horizontal="center" vertical="center" wrapText="1"/>
    </xf>
    <xf numFmtId="0" fontId="6" fillId="6" borderId="1" xfId="0" applyFont="1" applyFill="1" applyBorder="1" applyAlignment="1">
      <alignment horizontal="center" vertical="center"/>
    </xf>
    <xf numFmtId="0" fontId="6" fillId="6" borderId="3" xfId="0" applyFont="1" applyFill="1" applyBorder="1" applyAlignment="1">
      <alignment horizontal="center" vertical="center" wrapText="1"/>
    </xf>
    <xf numFmtId="168" fontId="6" fillId="6" borderId="1" xfId="1" applyNumberFormat="1" applyFont="1" applyFill="1" applyBorder="1" applyAlignment="1">
      <alignment horizontal="center" vertical="center" wrapText="1"/>
    </xf>
    <xf numFmtId="165" fontId="12" fillId="5" borderId="1" xfId="1" applyNumberFormat="1" applyFont="1" applyFill="1" applyBorder="1" applyAlignment="1">
      <alignment horizontal="left" vertical="center" wrapText="1"/>
    </xf>
    <xf numFmtId="165" fontId="12" fillId="5" borderId="1" xfId="1" applyNumberFormat="1" applyFont="1" applyFill="1" applyBorder="1" applyAlignment="1">
      <alignment horizontal="center" vertical="center" wrapText="1"/>
    </xf>
    <xf numFmtId="165" fontId="6" fillId="0" borderId="1" xfId="1" applyNumberFormat="1" applyFont="1" applyFill="1" applyBorder="1" applyAlignment="1">
      <alignment horizontal="center" vertical="center"/>
    </xf>
    <xf numFmtId="165" fontId="1" fillId="0" borderId="1" xfId="1" applyNumberFormat="1" applyFont="1" applyFill="1" applyBorder="1" applyAlignment="1">
      <alignment horizontal="center" vertical="center"/>
    </xf>
    <xf numFmtId="165" fontId="8" fillId="0" borderId="1" xfId="0" applyNumberFormat="1" applyFont="1" applyFill="1" applyBorder="1" applyAlignment="1">
      <alignment vertical="center"/>
    </xf>
    <xf numFmtId="165" fontId="6" fillId="0" borderId="1" xfId="0" applyNumberFormat="1" applyFont="1" applyFill="1" applyBorder="1" applyAlignment="1">
      <alignment vertical="center"/>
    </xf>
    <xf numFmtId="165" fontId="3" fillId="0" borderId="1" xfId="1" applyNumberFormat="1" applyFont="1" applyFill="1" applyBorder="1" applyAlignment="1">
      <alignment horizontal="left" vertical="center"/>
    </xf>
    <xf numFmtId="0" fontId="0" fillId="0" borderId="0" xfId="0" applyNumberFormat="1" applyFont="1" applyBorder="1" applyAlignment="1">
      <alignment vertical="center"/>
    </xf>
    <xf numFmtId="0" fontId="8" fillId="0" borderId="0" xfId="0" applyNumberFormat="1" applyFont="1" applyBorder="1" applyAlignment="1">
      <alignment vertical="center"/>
    </xf>
    <xf numFmtId="0" fontId="8" fillId="0" borderId="0" xfId="0" applyNumberFormat="1" applyFont="1" applyBorder="1" applyAlignment="1">
      <alignment horizontal="center" vertical="center"/>
    </xf>
    <xf numFmtId="0" fontId="8" fillId="0" borderId="0" xfId="0" applyFont="1" applyBorder="1" applyAlignment="1">
      <alignment vertical="center"/>
    </xf>
    <xf numFmtId="0" fontId="0" fillId="0" borderId="0" xfId="0" applyFont="1" applyBorder="1" applyAlignment="1">
      <alignment vertical="center"/>
    </xf>
    <xf numFmtId="0" fontId="8" fillId="0" borderId="0" xfId="0" applyNumberFormat="1" applyFont="1" applyBorder="1" applyAlignment="1">
      <alignment horizontal="left" vertical="center"/>
    </xf>
    <xf numFmtId="0" fontId="8" fillId="0" borderId="0" xfId="0" applyNumberFormat="1" applyFont="1" applyBorder="1" applyAlignment="1">
      <alignment horizontal="right"/>
    </xf>
    <xf numFmtId="0" fontId="32" fillId="0" borderId="0" xfId="0" applyNumberFormat="1" applyFont="1" applyBorder="1" applyAlignment="1">
      <alignment horizontal="left" vertical="top"/>
    </xf>
    <xf numFmtId="43" fontId="8" fillId="0" borderId="1" xfId="2" applyFont="1" applyBorder="1" applyAlignment="1">
      <alignment horizontal="left" vertical="center" indent="1"/>
    </xf>
    <xf numFmtId="43" fontId="8" fillId="2" borderId="1" xfId="2" applyFont="1" applyFill="1" applyBorder="1" applyAlignment="1">
      <alignment horizontal="left" vertical="center" indent="1"/>
    </xf>
    <xf numFmtId="43" fontId="1" fillId="2" borderId="1" xfId="2" applyFont="1" applyFill="1" applyBorder="1" applyAlignment="1">
      <alignment horizontal="left" vertical="center" indent="1"/>
    </xf>
    <xf numFmtId="165" fontId="1" fillId="0" borderId="0" xfId="1" applyNumberFormat="1" applyFont="1" applyAlignment="1">
      <alignment vertical="center"/>
    </xf>
    <xf numFmtId="0" fontId="1" fillId="0" borderId="0" xfId="0" applyFont="1" applyAlignment="1">
      <alignment vertical="center"/>
    </xf>
    <xf numFmtId="0" fontId="1" fillId="2" borderId="0" xfId="0" applyFont="1" applyFill="1" applyAlignment="1">
      <alignment vertical="center"/>
    </xf>
    <xf numFmtId="165" fontId="1" fillId="2" borderId="0" xfId="1" applyNumberFormat="1" applyFont="1" applyFill="1" applyAlignment="1">
      <alignment horizontal="center" vertical="center"/>
    </xf>
    <xf numFmtId="166" fontId="1" fillId="0" borderId="1" xfId="14" applyNumberFormat="1" applyFont="1" applyFill="1" applyBorder="1" applyAlignment="1">
      <alignment horizontal="center" vertical="center"/>
    </xf>
    <xf numFmtId="166" fontId="6" fillId="0" borderId="1" xfId="14" applyNumberFormat="1" applyFont="1" applyFill="1" applyBorder="1" applyAlignment="1">
      <alignment horizontal="center" vertical="center"/>
    </xf>
    <xf numFmtId="166" fontId="1" fillId="7" borderId="1" xfId="14" applyNumberFormat="1" applyFont="1" applyFill="1" applyBorder="1" applyAlignment="1">
      <alignment horizontal="center" vertical="center"/>
    </xf>
    <xf numFmtId="165" fontId="6" fillId="0" borderId="1" xfId="0" applyNumberFormat="1" applyFont="1" applyBorder="1" applyAlignment="1">
      <alignment horizontal="left" vertical="center"/>
    </xf>
    <xf numFmtId="43" fontId="1" fillId="0" borderId="1" xfId="2" applyFont="1" applyFill="1" applyBorder="1" applyAlignment="1">
      <alignment horizontal="left" vertical="center"/>
    </xf>
    <xf numFmtId="165" fontId="1" fillId="0" borderId="0" xfId="1" applyNumberFormat="1" applyFont="1" applyFill="1" applyBorder="1" applyAlignment="1">
      <alignment horizontal="center" vertical="center"/>
    </xf>
    <xf numFmtId="166" fontId="1" fillId="0" borderId="0" xfId="14" applyNumberFormat="1" applyFont="1" applyBorder="1" applyAlignment="1">
      <alignment horizontal="center" vertical="center"/>
    </xf>
    <xf numFmtId="43" fontId="1" fillId="0" borderId="0" xfId="2" applyFont="1" applyBorder="1" applyAlignment="1">
      <alignment horizontal="left" vertical="center"/>
    </xf>
    <xf numFmtId="165" fontId="1" fillId="0" borderId="0" xfId="1" applyNumberFormat="1" applyFont="1" applyFill="1" applyBorder="1" applyAlignment="1">
      <alignment horizontal="left" vertical="center"/>
    </xf>
    <xf numFmtId="167" fontId="6" fillId="4" borderId="1" xfId="2" applyNumberFormat="1" applyFont="1" applyFill="1" applyBorder="1" applyAlignment="1">
      <alignment horizontal="left" vertical="center"/>
    </xf>
    <xf numFmtId="167" fontId="6" fillId="4" borderId="1" xfId="1" applyNumberFormat="1" applyFont="1" applyFill="1" applyBorder="1" applyAlignment="1">
      <alignment horizontal="center" vertical="center"/>
    </xf>
    <xf numFmtId="167" fontId="6" fillId="4" borderId="1" xfId="14" applyNumberFormat="1" applyFont="1" applyFill="1" applyBorder="1" applyAlignment="1">
      <alignment horizontal="center" vertical="center"/>
    </xf>
    <xf numFmtId="167" fontId="1" fillId="4" borderId="1" xfId="14" applyNumberFormat="1" applyFont="1" applyFill="1" applyBorder="1" applyAlignment="1">
      <alignment horizontal="center" vertical="center"/>
    </xf>
    <xf numFmtId="43" fontId="6" fillId="4" borderId="1" xfId="2" applyFont="1" applyFill="1" applyBorder="1" applyAlignment="1">
      <alignment horizontal="left" vertical="center"/>
    </xf>
    <xf numFmtId="166" fontId="6" fillId="4" borderId="1" xfId="14" applyNumberFormat="1" applyFont="1" applyFill="1" applyBorder="1" applyAlignment="1">
      <alignment horizontal="center" vertical="center"/>
    </xf>
    <xf numFmtId="166" fontId="1" fillId="4" borderId="1" xfId="14" applyNumberFormat="1" applyFont="1" applyFill="1" applyBorder="1" applyAlignment="1">
      <alignment horizontal="center" vertical="center"/>
    </xf>
    <xf numFmtId="0" fontId="24" fillId="0" borderId="0" xfId="0" applyFont="1" applyAlignment="1">
      <alignment vertical="center"/>
    </xf>
    <xf numFmtId="0" fontId="27" fillId="0" borderId="0" xfId="0" applyFont="1" applyAlignment="1">
      <alignment vertical="center"/>
    </xf>
    <xf numFmtId="0" fontId="27" fillId="0" borderId="0" xfId="0" applyFont="1" applyAlignment="1">
      <alignment horizontal="center" vertical="center"/>
    </xf>
    <xf numFmtId="165" fontId="12" fillId="0" borderId="1" xfId="1" applyNumberFormat="1" applyFont="1" applyFill="1" applyBorder="1" applyAlignment="1">
      <alignment horizontal="left" vertical="center"/>
    </xf>
    <xf numFmtId="166" fontId="5" fillId="0" borderId="1" xfId="14" applyNumberFormat="1" applyFont="1" applyFill="1" applyBorder="1" applyAlignment="1">
      <alignment horizontal="center" vertical="center"/>
    </xf>
    <xf numFmtId="43" fontId="1" fillId="0" borderId="1" xfId="2" applyFont="1" applyBorder="1" applyAlignment="1">
      <alignment horizontal="left" vertical="center" indent="1"/>
    </xf>
    <xf numFmtId="166" fontId="4" fillId="0" borderId="1" xfId="14" applyNumberFormat="1" applyFont="1" applyFill="1" applyBorder="1" applyAlignment="1">
      <alignment horizontal="center" vertical="center"/>
    </xf>
    <xf numFmtId="167" fontId="6" fillId="4" borderId="1" xfId="1" applyNumberFormat="1" applyFont="1" applyFill="1" applyBorder="1" applyAlignment="1">
      <alignment vertical="center"/>
    </xf>
    <xf numFmtId="167" fontId="23" fillId="4" borderId="1" xfId="1" applyNumberFormat="1" applyFont="1" applyFill="1" applyBorder="1" applyAlignment="1">
      <alignment horizontal="center" vertical="center"/>
    </xf>
    <xf numFmtId="0" fontId="6" fillId="3" borderId="1" xfId="0" applyFont="1" applyFill="1" applyBorder="1" applyAlignment="1">
      <alignment horizontal="left" vertical="center"/>
    </xf>
    <xf numFmtId="0" fontId="21" fillId="2" borderId="0" xfId="0" applyFont="1" applyFill="1" applyAlignment="1">
      <alignment horizontal="left" vertical="center"/>
    </xf>
  </cellXfs>
  <cellStyles count="18">
    <cellStyle name="Hipervínculo" xfId="15" builtinId="8"/>
    <cellStyle name="Millares" xfId="1" builtinId="3"/>
    <cellStyle name="Millares 2" xfId="2" xr:uid="{00000000-0005-0000-0000-000002000000}"/>
    <cellStyle name="Millares 3" xfId="7" xr:uid="{00000000-0005-0000-0000-000003000000}"/>
    <cellStyle name="Millares 4" xfId="16" xr:uid="{00000000-0005-0000-0000-000004000000}"/>
    <cellStyle name="Millares 4 2" xfId="17" xr:uid="{00000000-0005-0000-0000-000005000000}"/>
    <cellStyle name="Normal" xfId="0" builtinId="0"/>
    <cellStyle name="Normal 2" xfId="4" xr:uid="{00000000-0005-0000-0000-000007000000}"/>
    <cellStyle name="Normal 2 2" xfId="8" xr:uid="{00000000-0005-0000-0000-000008000000}"/>
    <cellStyle name="Normal 3" xfId="6" xr:uid="{00000000-0005-0000-0000-000009000000}"/>
    <cellStyle name="Normal 3 2" xfId="9" xr:uid="{00000000-0005-0000-0000-00000A000000}"/>
    <cellStyle name="Normal 3 3" xfId="10" xr:uid="{00000000-0005-0000-0000-00000B000000}"/>
    <cellStyle name="Normal 3 4" xfId="11" xr:uid="{00000000-0005-0000-0000-00000C000000}"/>
    <cellStyle name="Normal 4" xfId="12" xr:uid="{00000000-0005-0000-0000-00000D000000}"/>
    <cellStyle name="Normal 5 2" xfId="13" xr:uid="{00000000-0005-0000-0000-00000E000000}"/>
    <cellStyle name="Porcentaje" xfId="14" builtinId="5"/>
    <cellStyle name="Porcentaje 2" xfId="3" xr:uid="{00000000-0005-0000-0000-000010000000}"/>
    <cellStyle name="Porcentual 2" xfId="5" xr:uid="{00000000-0005-0000-0000-00001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6496050</xdr:colOff>
      <xdr:row>0</xdr:row>
      <xdr:rowOff>0</xdr:rowOff>
    </xdr:from>
    <xdr:to>
      <xdr:col>4</xdr:col>
      <xdr:colOff>53480</xdr:colOff>
      <xdr:row>2</xdr:row>
      <xdr:rowOff>2691</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43850" y="0"/>
          <a:ext cx="1044080" cy="71706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866775</xdr:colOff>
      <xdr:row>0</xdr:row>
      <xdr:rowOff>9525</xdr:rowOff>
    </xdr:from>
    <xdr:to>
      <xdr:col>6</xdr:col>
      <xdr:colOff>291605</xdr:colOff>
      <xdr:row>2</xdr:row>
      <xdr:rowOff>50316</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695950" y="9525"/>
          <a:ext cx="1044080" cy="71706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645583</xdr:colOff>
      <xdr:row>0</xdr:row>
      <xdr:rowOff>0</xdr:rowOff>
    </xdr:from>
    <xdr:to>
      <xdr:col>19</xdr:col>
      <xdr:colOff>874746</xdr:colOff>
      <xdr:row>2</xdr:row>
      <xdr:rowOff>18566</xdr:rowOff>
    </xdr:to>
    <xdr:pic>
      <xdr:nvPicPr>
        <xdr:cNvPr id="4" name="Imagen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837583" y="0"/>
          <a:ext cx="1044080" cy="71706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876300</xdr:colOff>
      <xdr:row>0</xdr:row>
      <xdr:rowOff>0</xdr:rowOff>
    </xdr:from>
    <xdr:to>
      <xdr:col>5</xdr:col>
      <xdr:colOff>53480</xdr:colOff>
      <xdr:row>2</xdr:row>
      <xdr:rowOff>21741</xdr:rowOff>
    </xdr:to>
    <xdr:pic>
      <xdr:nvPicPr>
        <xdr:cNvPr id="2" name="Imagen 1">
          <a:extLst>
            <a:ext uri="{FF2B5EF4-FFF2-40B4-BE49-F238E27FC236}">
              <a16:creationId xmlns:a16="http://schemas.microsoft.com/office/drawing/2014/main" id="{8D0D546C-CF70-4245-8698-9E5D2B81420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038725" y="0"/>
          <a:ext cx="1044080" cy="71706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0</xdr:colOff>
      <xdr:row>0</xdr:row>
      <xdr:rowOff>0</xdr:rowOff>
    </xdr:from>
    <xdr:to>
      <xdr:col>19</xdr:col>
      <xdr:colOff>324414</xdr:colOff>
      <xdr:row>2</xdr:row>
      <xdr:rowOff>7983</xdr:rowOff>
    </xdr:to>
    <xdr:pic>
      <xdr:nvPicPr>
        <xdr:cNvPr id="2" name="Imagen 1">
          <a:extLst>
            <a:ext uri="{FF2B5EF4-FFF2-40B4-BE49-F238E27FC236}">
              <a16:creationId xmlns:a16="http://schemas.microsoft.com/office/drawing/2014/main" id="{EDF435DE-6A23-4E20-814D-77FA1C52A0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944475" y="0"/>
          <a:ext cx="1038789" cy="72235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704850</xdr:colOff>
      <xdr:row>0</xdr:row>
      <xdr:rowOff>0</xdr:rowOff>
    </xdr:from>
    <xdr:to>
      <xdr:col>4</xdr:col>
      <xdr:colOff>63005</xdr:colOff>
      <xdr:row>1</xdr:row>
      <xdr:rowOff>450366</xdr:rowOff>
    </xdr:to>
    <xdr:pic>
      <xdr:nvPicPr>
        <xdr:cNvPr id="4" name="Imagen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19525" y="0"/>
          <a:ext cx="1044080" cy="71706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666750</xdr:colOff>
      <xdr:row>0</xdr:row>
      <xdr:rowOff>9525</xdr:rowOff>
    </xdr:from>
    <xdr:to>
      <xdr:col>20</xdr:col>
      <xdr:colOff>53480</xdr:colOff>
      <xdr:row>2</xdr:row>
      <xdr:rowOff>12216</xdr:rowOff>
    </xdr:to>
    <xdr:pic>
      <xdr:nvPicPr>
        <xdr:cNvPr id="4" name="Imagen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010900" y="9525"/>
          <a:ext cx="1044080" cy="71706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1162050</xdr:colOff>
      <xdr:row>0</xdr:row>
      <xdr:rowOff>9525</xdr:rowOff>
    </xdr:from>
    <xdr:to>
      <xdr:col>5</xdr:col>
      <xdr:colOff>120155</xdr:colOff>
      <xdr:row>2</xdr:row>
      <xdr:rowOff>31266</xdr:rowOff>
    </xdr:to>
    <xdr:pic>
      <xdr:nvPicPr>
        <xdr:cNvPr id="3" name="Imagen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172075" y="9525"/>
          <a:ext cx="1044080" cy="71706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615157</xdr:colOff>
      <xdr:row>0</xdr:row>
      <xdr:rowOff>0</xdr:rowOff>
    </xdr:from>
    <xdr:to>
      <xdr:col>19</xdr:col>
      <xdr:colOff>865487</xdr:colOff>
      <xdr:row>1</xdr:row>
      <xdr:rowOff>449175</xdr:rowOff>
    </xdr:to>
    <xdr:pic>
      <xdr:nvPicPr>
        <xdr:cNvPr id="4" name="Imagen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035235" y="0"/>
          <a:ext cx="1044080" cy="71706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5</xdr:col>
      <xdr:colOff>485775</xdr:colOff>
      <xdr:row>0</xdr:row>
      <xdr:rowOff>0</xdr:rowOff>
    </xdr:from>
    <xdr:to>
      <xdr:col>7</xdr:col>
      <xdr:colOff>15380</xdr:colOff>
      <xdr:row>2</xdr:row>
      <xdr:rowOff>212241</xdr:rowOff>
    </xdr:to>
    <xdr:pic>
      <xdr:nvPicPr>
        <xdr:cNvPr id="2" name="Imagen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53375" y="0"/>
          <a:ext cx="1044080" cy="717066"/>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65"/>
  <sheetViews>
    <sheetView showGridLines="0" tabSelected="1" workbookViewId="0">
      <pane ySplit="2" topLeftCell="A3" activePane="bottomLeft" state="frozen"/>
      <selection pane="bottomLeft" activeCell="A2" sqref="A2"/>
    </sheetView>
  </sheetViews>
  <sheetFormatPr baseColWidth="10" defaultColWidth="10.85546875" defaultRowHeight="15" x14ac:dyDescent="0.25"/>
  <cols>
    <col min="1" max="2" width="10.85546875" style="19"/>
    <col min="3" max="3" width="101.42578125" style="18" customWidth="1"/>
    <col min="4" max="4" width="10.85546875" style="110"/>
    <col min="5" max="16384" width="10.85546875" style="3"/>
  </cols>
  <sheetData>
    <row r="1" spans="1:3" x14ac:dyDescent="0.25">
      <c r="C1" s="213" t="s">
        <v>488</v>
      </c>
    </row>
    <row r="2" spans="1:3" ht="41.25" customHeight="1" x14ac:dyDescent="0.25">
      <c r="C2" s="213"/>
    </row>
    <row r="4" spans="1:3" x14ac:dyDescent="0.25">
      <c r="A4" s="64" t="s">
        <v>66</v>
      </c>
      <c r="B4" s="64" t="s">
        <v>64</v>
      </c>
      <c r="C4" s="65" t="s">
        <v>67</v>
      </c>
    </row>
    <row r="5" spans="1:3" x14ac:dyDescent="0.25">
      <c r="A5" s="19">
        <v>1</v>
      </c>
      <c r="B5" s="19">
        <v>1</v>
      </c>
      <c r="C5" s="18" t="s">
        <v>128</v>
      </c>
    </row>
    <row r="7" spans="1:3" ht="15.75" x14ac:dyDescent="0.25">
      <c r="A7" s="64" t="s">
        <v>66</v>
      </c>
      <c r="B7" s="64" t="s">
        <v>64</v>
      </c>
      <c r="C7" s="66" t="s">
        <v>456</v>
      </c>
    </row>
    <row r="8" spans="1:3" x14ac:dyDescent="0.25">
      <c r="A8" s="19">
        <v>2</v>
      </c>
      <c r="B8" s="19">
        <v>1</v>
      </c>
      <c r="C8" s="100" t="s">
        <v>457</v>
      </c>
    </row>
    <row r="9" spans="1:3" x14ac:dyDescent="0.25">
      <c r="A9" s="19">
        <v>2</v>
      </c>
      <c r="B9" s="19">
        <v>2</v>
      </c>
      <c r="C9" s="101" t="s">
        <v>458</v>
      </c>
    </row>
    <row r="10" spans="1:3" x14ac:dyDescent="0.25">
      <c r="A10" s="19">
        <v>2</v>
      </c>
      <c r="B10" s="19">
        <v>3</v>
      </c>
      <c r="C10" s="101" t="s">
        <v>459</v>
      </c>
    </row>
    <row r="11" spans="1:3" x14ac:dyDescent="0.25">
      <c r="A11" s="19">
        <v>2</v>
      </c>
      <c r="B11" s="19">
        <v>4</v>
      </c>
      <c r="C11" s="101" t="s">
        <v>460</v>
      </c>
    </row>
    <row r="12" spans="1:3" x14ac:dyDescent="0.25">
      <c r="A12" s="19">
        <v>2</v>
      </c>
      <c r="B12" s="19">
        <v>5</v>
      </c>
      <c r="C12" s="101" t="s">
        <v>461</v>
      </c>
    </row>
    <row r="13" spans="1:3" x14ac:dyDescent="0.25">
      <c r="A13" s="19">
        <v>2</v>
      </c>
      <c r="B13" s="19">
        <v>6</v>
      </c>
      <c r="C13" s="101" t="s">
        <v>462</v>
      </c>
    </row>
    <row r="15" spans="1:3" ht="15.75" x14ac:dyDescent="0.25">
      <c r="A15" s="64" t="s">
        <v>66</v>
      </c>
      <c r="B15" s="64" t="s">
        <v>64</v>
      </c>
      <c r="C15" s="66" t="s">
        <v>463</v>
      </c>
    </row>
    <row r="16" spans="1:3" x14ac:dyDescent="0.25">
      <c r="A16" s="19">
        <v>3</v>
      </c>
      <c r="B16" s="19">
        <v>1</v>
      </c>
      <c r="C16" s="101" t="s">
        <v>153</v>
      </c>
    </row>
    <row r="17" spans="1:3" x14ac:dyDescent="0.25">
      <c r="A17" s="19">
        <v>3</v>
      </c>
      <c r="B17" s="19">
        <v>2</v>
      </c>
      <c r="C17" s="101" t="s">
        <v>117</v>
      </c>
    </row>
    <row r="18" spans="1:3" x14ac:dyDescent="0.25">
      <c r="A18" s="19">
        <v>3</v>
      </c>
      <c r="B18" s="19">
        <v>3</v>
      </c>
      <c r="C18" s="101" t="s">
        <v>154</v>
      </c>
    </row>
    <row r="19" spans="1:3" x14ac:dyDescent="0.25">
      <c r="A19" s="19">
        <v>3</v>
      </c>
      <c r="B19" s="19">
        <v>4</v>
      </c>
      <c r="C19" s="101" t="s">
        <v>342</v>
      </c>
    </row>
    <row r="20" spans="1:3" x14ac:dyDescent="0.25">
      <c r="A20" s="19">
        <v>3</v>
      </c>
      <c r="B20" s="19">
        <v>5</v>
      </c>
      <c r="C20" s="101" t="s">
        <v>343</v>
      </c>
    </row>
    <row r="21" spans="1:3" x14ac:dyDescent="0.25">
      <c r="A21" s="19">
        <v>3</v>
      </c>
      <c r="B21" s="19">
        <v>6</v>
      </c>
      <c r="C21" s="101" t="s">
        <v>270</v>
      </c>
    </row>
    <row r="22" spans="1:3" x14ac:dyDescent="0.25">
      <c r="A22" s="19">
        <v>3</v>
      </c>
      <c r="B22" s="19">
        <v>7</v>
      </c>
      <c r="C22" s="101" t="s">
        <v>130</v>
      </c>
    </row>
    <row r="23" spans="1:3" x14ac:dyDescent="0.25">
      <c r="A23" s="19">
        <v>3</v>
      </c>
      <c r="B23" s="19">
        <v>8</v>
      </c>
      <c r="C23" s="101" t="s">
        <v>78</v>
      </c>
    </row>
    <row r="25" spans="1:3" ht="15.75" x14ac:dyDescent="0.25">
      <c r="A25" s="64" t="s">
        <v>66</v>
      </c>
      <c r="B25" s="64" t="s">
        <v>64</v>
      </c>
      <c r="C25" s="66" t="s">
        <v>411</v>
      </c>
    </row>
    <row r="26" spans="1:3" x14ac:dyDescent="0.25">
      <c r="A26" s="19">
        <v>4</v>
      </c>
      <c r="B26" s="19">
        <v>1</v>
      </c>
      <c r="C26" s="101" t="s">
        <v>412</v>
      </c>
    </row>
    <row r="27" spans="1:3" x14ac:dyDescent="0.25">
      <c r="A27" s="19">
        <v>4</v>
      </c>
      <c r="B27" s="19">
        <v>2</v>
      </c>
      <c r="C27" s="101" t="s">
        <v>413</v>
      </c>
    </row>
    <row r="28" spans="1:3" x14ac:dyDescent="0.25">
      <c r="A28" s="19">
        <v>4</v>
      </c>
      <c r="B28" s="19">
        <v>3</v>
      </c>
      <c r="C28" s="101" t="s">
        <v>414</v>
      </c>
    </row>
    <row r="29" spans="1:3" x14ac:dyDescent="0.25">
      <c r="A29" s="19">
        <v>4</v>
      </c>
      <c r="B29" s="19">
        <v>4</v>
      </c>
      <c r="C29" s="101" t="s">
        <v>415</v>
      </c>
    </row>
    <row r="30" spans="1:3" x14ac:dyDescent="0.25">
      <c r="A30" s="19">
        <v>4</v>
      </c>
      <c r="B30" s="19">
        <v>5</v>
      </c>
      <c r="C30" s="101" t="s">
        <v>416</v>
      </c>
    </row>
    <row r="31" spans="1:3" x14ac:dyDescent="0.25">
      <c r="A31" s="19">
        <v>4</v>
      </c>
      <c r="B31" s="19">
        <v>6</v>
      </c>
      <c r="C31" s="101" t="s">
        <v>417</v>
      </c>
    </row>
    <row r="32" spans="1:3" x14ac:dyDescent="0.25">
      <c r="A32" s="19">
        <v>4</v>
      </c>
      <c r="B32" s="19">
        <v>7</v>
      </c>
      <c r="C32" s="101" t="s">
        <v>418</v>
      </c>
    </row>
    <row r="33" spans="1:3" x14ac:dyDescent="0.25">
      <c r="A33" s="19">
        <v>4</v>
      </c>
      <c r="B33" s="19">
        <v>8</v>
      </c>
      <c r="C33" s="101" t="s">
        <v>419</v>
      </c>
    </row>
    <row r="34" spans="1:3" x14ac:dyDescent="0.25">
      <c r="A34" s="19">
        <v>4</v>
      </c>
      <c r="B34" s="19">
        <v>9</v>
      </c>
      <c r="C34" s="101" t="s">
        <v>489</v>
      </c>
    </row>
    <row r="35" spans="1:3" x14ac:dyDescent="0.25">
      <c r="A35" s="19">
        <v>4</v>
      </c>
      <c r="B35" s="19">
        <v>10</v>
      </c>
      <c r="C35" s="101" t="s">
        <v>421</v>
      </c>
    </row>
    <row r="36" spans="1:3" x14ac:dyDescent="0.25">
      <c r="A36" s="19">
        <v>4</v>
      </c>
      <c r="B36" s="19">
        <v>11</v>
      </c>
      <c r="C36" s="101" t="s">
        <v>490</v>
      </c>
    </row>
    <row r="37" spans="1:3" x14ac:dyDescent="0.25">
      <c r="C37" s="67"/>
    </row>
    <row r="38" spans="1:3" ht="15.75" x14ac:dyDescent="0.25">
      <c r="A38" s="64" t="s">
        <v>66</v>
      </c>
      <c r="B38" s="64" t="s">
        <v>64</v>
      </c>
      <c r="C38" s="66" t="s">
        <v>423</v>
      </c>
    </row>
    <row r="39" spans="1:3" x14ac:dyDescent="0.25">
      <c r="A39" s="19">
        <v>5</v>
      </c>
      <c r="B39" s="19">
        <v>1</v>
      </c>
      <c r="C39" s="101" t="s">
        <v>80</v>
      </c>
    </row>
    <row r="40" spans="1:3" x14ac:dyDescent="0.25">
      <c r="A40" s="19">
        <v>5</v>
      </c>
      <c r="B40" s="19">
        <v>2</v>
      </c>
      <c r="C40" s="101" t="s">
        <v>317</v>
      </c>
    </row>
    <row r="41" spans="1:3" x14ac:dyDescent="0.25">
      <c r="A41" s="19">
        <v>5</v>
      </c>
      <c r="B41" s="19">
        <v>3</v>
      </c>
      <c r="C41" s="101" t="s">
        <v>332</v>
      </c>
    </row>
    <row r="42" spans="1:3" x14ac:dyDescent="0.25">
      <c r="A42" s="19">
        <v>5</v>
      </c>
      <c r="B42" s="19">
        <v>4</v>
      </c>
      <c r="C42" s="101" t="s">
        <v>334</v>
      </c>
    </row>
    <row r="43" spans="1:3" x14ac:dyDescent="0.25">
      <c r="A43" s="19">
        <v>5</v>
      </c>
      <c r="B43" s="19">
        <v>5</v>
      </c>
      <c r="C43" s="101" t="s">
        <v>81</v>
      </c>
    </row>
    <row r="44" spans="1:3" x14ac:dyDescent="0.25">
      <c r="A44" s="19">
        <v>5</v>
      </c>
      <c r="B44" s="19">
        <v>6</v>
      </c>
      <c r="C44" s="101" t="s">
        <v>318</v>
      </c>
    </row>
    <row r="45" spans="1:3" x14ac:dyDescent="0.25">
      <c r="A45" s="19">
        <v>5</v>
      </c>
      <c r="B45" s="19">
        <v>7</v>
      </c>
      <c r="C45" s="101" t="s">
        <v>271</v>
      </c>
    </row>
    <row r="46" spans="1:3" x14ac:dyDescent="0.25">
      <c r="A46" s="19">
        <v>5</v>
      </c>
      <c r="B46" s="19">
        <v>8</v>
      </c>
      <c r="C46" s="101" t="s">
        <v>319</v>
      </c>
    </row>
    <row r="47" spans="1:3" x14ac:dyDescent="0.25">
      <c r="A47" s="19">
        <v>5</v>
      </c>
      <c r="B47" s="19">
        <v>9</v>
      </c>
      <c r="C47" s="101" t="s">
        <v>82</v>
      </c>
    </row>
    <row r="48" spans="1:3" x14ac:dyDescent="0.25">
      <c r="A48" s="19">
        <v>5</v>
      </c>
      <c r="B48" s="19">
        <v>10</v>
      </c>
      <c r="C48" s="101" t="s">
        <v>320</v>
      </c>
    </row>
    <row r="49" spans="1:3" x14ac:dyDescent="0.25">
      <c r="A49" s="19">
        <v>5</v>
      </c>
      <c r="B49" s="19">
        <v>11</v>
      </c>
      <c r="C49" s="101" t="s">
        <v>83</v>
      </c>
    </row>
    <row r="50" spans="1:3" x14ac:dyDescent="0.25">
      <c r="A50" s="19">
        <v>5</v>
      </c>
      <c r="B50" s="19">
        <v>12</v>
      </c>
      <c r="C50" s="101" t="s">
        <v>321</v>
      </c>
    </row>
    <row r="51" spans="1:3" x14ac:dyDescent="0.25">
      <c r="A51" s="19">
        <v>5</v>
      </c>
      <c r="B51" s="19">
        <v>13</v>
      </c>
      <c r="C51" s="101" t="s">
        <v>322</v>
      </c>
    </row>
    <row r="52" spans="1:3" x14ac:dyDescent="0.25">
      <c r="A52" s="19">
        <v>5</v>
      </c>
      <c r="B52" s="19">
        <v>14</v>
      </c>
      <c r="C52" s="101" t="s">
        <v>84</v>
      </c>
    </row>
    <row r="53" spans="1:3" x14ac:dyDescent="0.25">
      <c r="A53" s="19">
        <v>5</v>
      </c>
      <c r="B53" s="19">
        <v>15</v>
      </c>
      <c r="C53" s="101" t="s">
        <v>323</v>
      </c>
    </row>
    <row r="54" spans="1:3" x14ac:dyDescent="0.25">
      <c r="A54" s="19">
        <v>5</v>
      </c>
      <c r="B54" s="19">
        <v>16</v>
      </c>
      <c r="C54" s="101" t="s">
        <v>85</v>
      </c>
    </row>
    <row r="55" spans="1:3" x14ac:dyDescent="0.25">
      <c r="A55" s="19">
        <v>5</v>
      </c>
      <c r="B55" s="19">
        <v>17</v>
      </c>
      <c r="C55" s="101" t="s">
        <v>324</v>
      </c>
    </row>
    <row r="56" spans="1:3" x14ac:dyDescent="0.25">
      <c r="A56" s="19">
        <v>5</v>
      </c>
      <c r="B56" s="19">
        <v>18</v>
      </c>
      <c r="C56" s="101" t="s">
        <v>86</v>
      </c>
    </row>
    <row r="57" spans="1:3" x14ac:dyDescent="0.25">
      <c r="A57" s="19">
        <v>5</v>
      </c>
      <c r="B57" s="19">
        <v>19</v>
      </c>
      <c r="C57" s="101" t="s">
        <v>325</v>
      </c>
    </row>
    <row r="58" spans="1:3" x14ac:dyDescent="0.25">
      <c r="A58" s="19">
        <v>5</v>
      </c>
      <c r="B58" s="19">
        <v>20</v>
      </c>
      <c r="C58" s="101" t="s">
        <v>87</v>
      </c>
    </row>
    <row r="59" spans="1:3" x14ac:dyDescent="0.25">
      <c r="A59" s="19">
        <v>5</v>
      </c>
      <c r="B59" s="19">
        <v>21</v>
      </c>
      <c r="C59" s="101" t="s">
        <v>326</v>
      </c>
    </row>
    <row r="60" spans="1:3" x14ac:dyDescent="0.25">
      <c r="A60" s="19">
        <v>5</v>
      </c>
      <c r="B60" s="19">
        <v>22</v>
      </c>
      <c r="C60" s="101" t="s">
        <v>163</v>
      </c>
    </row>
    <row r="61" spans="1:3" x14ac:dyDescent="0.25">
      <c r="A61" s="19">
        <v>5</v>
      </c>
      <c r="B61" s="19">
        <v>23</v>
      </c>
      <c r="C61" s="101" t="s">
        <v>493</v>
      </c>
    </row>
    <row r="62" spans="1:3" x14ac:dyDescent="0.25">
      <c r="A62" s="19">
        <v>5</v>
      </c>
      <c r="B62" s="19">
        <v>24</v>
      </c>
      <c r="C62" s="101" t="s">
        <v>164</v>
      </c>
    </row>
    <row r="63" spans="1:3" x14ac:dyDescent="0.25">
      <c r="A63" s="19">
        <v>5</v>
      </c>
      <c r="B63" s="19">
        <v>25</v>
      </c>
      <c r="C63" s="101" t="s">
        <v>494</v>
      </c>
    </row>
    <row r="64" spans="1:3" x14ac:dyDescent="0.25">
      <c r="A64" s="19">
        <v>5</v>
      </c>
      <c r="B64" s="19">
        <v>26</v>
      </c>
      <c r="C64" s="101" t="s">
        <v>165</v>
      </c>
    </row>
    <row r="65" spans="1:3" x14ac:dyDescent="0.25">
      <c r="A65" s="19">
        <v>5</v>
      </c>
      <c r="B65" s="19">
        <v>27</v>
      </c>
      <c r="C65" s="101" t="s">
        <v>495</v>
      </c>
    </row>
    <row r="66" spans="1:3" x14ac:dyDescent="0.25">
      <c r="A66" s="19">
        <v>5</v>
      </c>
      <c r="B66" s="19">
        <v>28</v>
      </c>
      <c r="C66" s="101" t="s">
        <v>166</v>
      </c>
    </row>
    <row r="67" spans="1:3" x14ac:dyDescent="0.25">
      <c r="A67" s="19">
        <v>5</v>
      </c>
      <c r="B67" s="19">
        <v>29</v>
      </c>
      <c r="C67" s="101" t="s">
        <v>496</v>
      </c>
    </row>
    <row r="68" spans="1:3" x14ac:dyDescent="0.25">
      <c r="A68" s="19">
        <v>5</v>
      </c>
      <c r="B68" s="19">
        <v>30</v>
      </c>
      <c r="C68" s="101" t="s">
        <v>88</v>
      </c>
    </row>
    <row r="69" spans="1:3" x14ac:dyDescent="0.25">
      <c r="A69" s="19">
        <v>5</v>
      </c>
      <c r="B69" s="19">
        <v>31</v>
      </c>
      <c r="C69" s="101" t="s">
        <v>497</v>
      </c>
    </row>
    <row r="70" spans="1:3" x14ac:dyDescent="0.25">
      <c r="A70" s="19">
        <v>5</v>
      </c>
      <c r="B70" s="19">
        <v>32</v>
      </c>
      <c r="C70" s="101" t="s">
        <v>118</v>
      </c>
    </row>
    <row r="71" spans="1:3" x14ac:dyDescent="0.25">
      <c r="A71" s="19">
        <v>5</v>
      </c>
      <c r="B71" s="19">
        <v>33</v>
      </c>
      <c r="C71" s="101" t="s">
        <v>498</v>
      </c>
    </row>
    <row r="72" spans="1:3" x14ac:dyDescent="0.25">
      <c r="A72" s="19">
        <v>5</v>
      </c>
      <c r="B72" s="19">
        <v>34</v>
      </c>
      <c r="C72" s="101" t="s">
        <v>119</v>
      </c>
    </row>
    <row r="73" spans="1:3" x14ac:dyDescent="0.25">
      <c r="A73" s="19">
        <v>5</v>
      </c>
      <c r="B73" s="19">
        <v>35</v>
      </c>
      <c r="C73" s="101" t="s">
        <v>499</v>
      </c>
    </row>
    <row r="74" spans="1:3" x14ac:dyDescent="0.25">
      <c r="A74" s="19">
        <v>5</v>
      </c>
      <c r="B74" s="19">
        <v>36</v>
      </c>
      <c r="C74" s="101" t="s">
        <v>90</v>
      </c>
    </row>
    <row r="75" spans="1:3" x14ac:dyDescent="0.25">
      <c r="A75" s="19">
        <v>5</v>
      </c>
      <c r="B75" s="19">
        <v>37</v>
      </c>
      <c r="C75" s="101" t="s">
        <v>500</v>
      </c>
    </row>
    <row r="76" spans="1:3" s="110" customFormat="1" x14ac:dyDescent="0.25">
      <c r="A76" s="19">
        <v>5</v>
      </c>
      <c r="B76" s="19">
        <v>38</v>
      </c>
      <c r="C76" s="101" t="s">
        <v>338</v>
      </c>
    </row>
    <row r="77" spans="1:3" s="110" customFormat="1" x14ac:dyDescent="0.25">
      <c r="A77" s="19">
        <v>5</v>
      </c>
      <c r="B77" s="19">
        <v>39</v>
      </c>
      <c r="C77" s="101" t="s">
        <v>337</v>
      </c>
    </row>
    <row r="78" spans="1:3" x14ac:dyDescent="0.25">
      <c r="A78" s="19">
        <v>5</v>
      </c>
      <c r="B78" s="19">
        <v>40</v>
      </c>
      <c r="C78" s="101" t="s">
        <v>336</v>
      </c>
    </row>
    <row r="79" spans="1:3" x14ac:dyDescent="0.25">
      <c r="A79" s="19">
        <v>5</v>
      </c>
      <c r="B79" s="19">
        <v>41</v>
      </c>
      <c r="C79" s="101" t="s">
        <v>339</v>
      </c>
    </row>
    <row r="80" spans="1:3" x14ac:dyDescent="0.25">
      <c r="A80" s="19">
        <v>5</v>
      </c>
      <c r="B80" s="19">
        <v>42</v>
      </c>
      <c r="C80" s="101" t="s">
        <v>89</v>
      </c>
    </row>
    <row r="81" spans="1:3" x14ac:dyDescent="0.25">
      <c r="A81" s="19">
        <v>5</v>
      </c>
      <c r="B81" s="19">
        <v>43</v>
      </c>
      <c r="C81" s="101" t="s">
        <v>120</v>
      </c>
    </row>
    <row r="82" spans="1:3" x14ac:dyDescent="0.25">
      <c r="A82" s="19">
        <v>5</v>
      </c>
      <c r="B82" s="19">
        <v>44</v>
      </c>
      <c r="C82" s="101" t="s">
        <v>121</v>
      </c>
    </row>
    <row r="83" spans="1:3" x14ac:dyDescent="0.25">
      <c r="A83" s="19">
        <v>5</v>
      </c>
      <c r="B83" s="19">
        <v>45</v>
      </c>
      <c r="C83" s="101" t="s">
        <v>91</v>
      </c>
    </row>
    <row r="84" spans="1:3" x14ac:dyDescent="0.25">
      <c r="A84" s="19">
        <v>5</v>
      </c>
      <c r="B84" s="19">
        <v>46</v>
      </c>
      <c r="C84" s="101" t="s">
        <v>384</v>
      </c>
    </row>
    <row r="85" spans="1:3" x14ac:dyDescent="0.25">
      <c r="A85" s="19">
        <v>5</v>
      </c>
      <c r="B85" s="19">
        <v>47</v>
      </c>
      <c r="C85" s="101" t="s">
        <v>394</v>
      </c>
    </row>
    <row r="88" spans="1:3" ht="15.75" x14ac:dyDescent="0.25">
      <c r="A88" s="64" t="s">
        <v>66</v>
      </c>
      <c r="B88" s="64" t="s">
        <v>64</v>
      </c>
      <c r="C88" s="66" t="s">
        <v>468</v>
      </c>
    </row>
    <row r="89" spans="1:3" x14ac:dyDescent="0.25">
      <c r="A89" s="19">
        <v>6</v>
      </c>
      <c r="B89" s="19">
        <v>1</v>
      </c>
      <c r="C89" s="101" t="s">
        <v>469</v>
      </c>
    </row>
    <row r="90" spans="1:3" x14ac:dyDescent="0.25">
      <c r="A90" s="19">
        <v>6</v>
      </c>
      <c r="B90" s="19">
        <v>2</v>
      </c>
      <c r="C90" s="101" t="s">
        <v>470</v>
      </c>
    </row>
    <row r="91" spans="1:3" x14ac:dyDescent="0.25">
      <c r="A91" s="19">
        <v>6</v>
      </c>
      <c r="B91" s="19">
        <v>3</v>
      </c>
      <c r="C91" s="101" t="s">
        <v>471</v>
      </c>
    </row>
    <row r="92" spans="1:3" x14ac:dyDescent="0.25">
      <c r="A92" s="19">
        <v>6</v>
      </c>
      <c r="B92" s="19">
        <v>4</v>
      </c>
      <c r="C92" s="101" t="s">
        <v>473</v>
      </c>
    </row>
    <row r="93" spans="1:3" x14ac:dyDescent="0.25">
      <c r="A93" s="19">
        <v>6</v>
      </c>
      <c r="B93" s="19">
        <v>5</v>
      </c>
      <c r="C93" s="101" t="s">
        <v>474</v>
      </c>
    </row>
    <row r="94" spans="1:3" x14ac:dyDescent="0.25">
      <c r="A94" s="19">
        <v>6</v>
      </c>
      <c r="B94" s="19">
        <v>6</v>
      </c>
      <c r="C94" s="101" t="s">
        <v>475</v>
      </c>
    </row>
    <row r="95" spans="1:3" x14ac:dyDescent="0.25">
      <c r="A95" s="19">
        <v>6</v>
      </c>
      <c r="B95" s="19">
        <v>7</v>
      </c>
      <c r="C95" s="101" t="s">
        <v>476</v>
      </c>
    </row>
    <row r="96" spans="1:3" x14ac:dyDescent="0.25">
      <c r="A96" s="19">
        <v>6</v>
      </c>
      <c r="B96" s="19">
        <v>8</v>
      </c>
      <c r="C96" s="101" t="s">
        <v>477</v>
      </c>
    </row>
    <row r="98" spans="1:3" ht="15.75" x14ac:dyDescent="0.25">
      <c r="A98" s="64" t="s">
        <v>66</v>
      </c>
      <c r="B98" s="64" t="s">
        <v>64</v>
      </c>
      <c r="C98" s="66" t="s">
        <v>464</v>
      </c>
    </row>
    <row r="99" spans="1:3" x14ac:dyDescent="0.25">
      <c r="A99" s="19">
        <v>7</v>
      </c>
      <c r="B99" s="19">
        <v>1</v>
      </c>
      <c r="C99" s="101" t="s">
        <v>300</v>
      </c>
    </row>
    <row r="100" spans="1:3" x14ac:dyDescent="0.25">
      <c r="A100" s="19">
        <v>7</v>
      </c>
      <c r="B100" s="19">
        <v>2</v>
      </c>
      <c r="C100" s="101" t="s">
        <v>327</v>
      </c>
    </row>
    <row r="101" spans="1:3" x14ac:dyDescent="0.25">
      <c r="A101" s="19">
        <v>7</v>
      </c>
      <c r="B101" s="19">
        <v>3</v>
      </c>
      <c r="C101" s="101" t="s">
        <v>143</v>
      </c>
    </row>
    <row r="102" spans="1:3" x14ac:dyDescent="0.25">
      <c r="A102" s="19">
        <v>7</v>
      </c>
      <c r="B102" s="19">
        <v>4</v>
      </c>
      <c r="C102" s="101" t="s">
        <v>328</v>
      </c>
    </row>
    <row r="103" spans="1:3" x14ac:dyDescent="0.25">
      <c r="A103" s="19">
        <v>7</v>
      </c>
      <c r="B103" s="19">
        <v>5</v>
      </c>
      <c r="C103" s="101" t="s">
        <v>306</v>
      </c>
    </row>
    <row r="104" spans="1:3" x14ac:dyDescent="0.25">
      <c r="A104" s="19">
        <v>7</v>
      </c>
      <c r="B104" s="19">
        <v>6</v>
      </c>
      <c r="C104" s="101" t="s">
        <v>344</v>
      </c>
    </row>
    <row r="105" spans="1:3" s="110" customFormat="1" x14ac:dyDescent="0.25">
      <c r="A105" s="19">
        <v>7</v>
      </c>
      <c r="B105" s="19">
        <v>7</v>
      </c>
      <c r="C105" s="101" t="s">
        <v>466</v>
      </c>
    </row>
    <row r="106" spans="1:3" s="110" customFormat="1" x14ac:dyDescent="0.25">
      <c r="A106" s="19">
        <v>7</v>
      </c>
      <c r="B106" s="19">
        <v>8</v>
      </c>
      <c r="C106" s="101" t="s">
        <v>502</v>
      </c>
    </row>
    <row r="108" spans="1:3" ht="15.75" x14ac:dyDescent="0.25">
      <c r="A108" s="64" t="s">
        <v>66</v>
      </c>
      <c r="B108" s="64" t="s">
        <v>64</v>
      </c>
      <c r="C108" s="66" t="s">
        <v>482</v>
      </c>
    </row>
    <row r="109" spans="1:3" x14ac:dyDescent="0.25">
      <c r="A109" s="19">
        <v>8</v>
      </c>
      <c r="B109" s="19">
        <v>1</v>
      </c>
      <c r="C109" s="101" t="s">
        <v>491</v>
      </c>
    </row>
    <row r="110" spans="1:3" x14ac:dyDescent="0.25">
      <c r="A110" s="19">
        <v>8</v>
      </c>
      <c r="B110" s="19">
        <v>2</v>
      </c>
      <c r="C110" s="101" t="s">
        <v>167</v>
      </c>
    </row>
    <row r="111" spans="1:3" x14ac:dyDescent="0.25">
      <c r="A111" s="19">
        <v>8</v>
      </c>
      <c r="B111" s="19">
        <v>3</v>
      </c>
      <c r="C111" s="101" t="s">
        <v>150</v>
      </c>
    </row>
    <row r="112" spans="1:3" x14ac:dyDescent="0.25">
      <c r="A112" s="19">
        <v>8</v>
      </c>
      <c r="B112" s="19">
        <v>4</v>
      </c>
      <c r="C112" s="101" t="s">
        <v>149</v>
      </c>
    </row>
    <row r="113" spans="1:3" x14ac:dyDescent="0.25">
      <c r="A113" s="19">
        <v>8</v>
      </c>
      <c r="B113" s="19">
        <v>5</v>
      </c>
      <c r="C113" s="101" t="s">
        <v>151</v>
      </c>
    </row>
    <row r="114" spans="1:3" x14ac:dyDescent="0.25">
      <c r="A114" s="19">
        <v>8</v>
      </c>
      <c r="B114" s="19">
        <v>6</v>
      </c>
      <c r="C114" s="101" t="s">
        <v>152</v>
      </c>
    </row>
    <row r="116" spans="1:3" ht="15.75" x14ac:dyDescent="0.25">
      <c r="A116" s="64" t="s">
        <v>66</v>
      </c>
      <c r="B116" s="64" t="s">
        <v>64</v>
      </c>
      <c r="C116" s="66" t="s">
        <v>478</v>
      </c>
    </row>
    <row r="117" spans="1:3" x14ac:dyDescent="0.25">
      <c r="A117" s="19">
        <v>9</v>
      </c>
      <c r="B117" s="19">
        <v>1</v>
      </c>
      <c r="C117" s="101" t="s">
        <v>147</v>
      </c>
    </row>
    <row r="118" spans="1:3" x14ac:dyDescent="0.25">
      <c r="A118" s="19">
        <v>9</v>
      </c>
      <c r="B118" s="19">
        <v>2</v>
      </c>
      <c r="C118" s="101" t="s">
        <v>346</v>
      </c>
    </row>
    <row r="119" spans="1:3" x14ac:dyDescent="0.25">
      <c r="A119" s="19">
        <v>9</v>
      </c>
      <c r="B119" s="19">
        <v>3</v>
      </c>
      <c r="C119" s="101" t="s">
        <v>146</v>
      </c>
    </row>
    <row r="120" spans="1:3" x14ac:dyDescent="0.25">
      <c r="A120" s="19">
        <v>9</v>
      </c>
      <c r="B120" s="19">
        <v>4</v>
      </c>
      <c r="C120" s="101" t="s">
        <v>145</v>
      </c>
    </row>
    <row r="121" spans="1:3" s="110" customFormat="1" x14ac:dyDescent="0.25">
      <c r="A121" s="19">
        <v>9</v>
      </c>
      <c r="B121" s="19">
        <v>5</v>
      </c>
      <c r="C121" s="101" t="s">
        <v>481</v>
      </c>
    </row>
    <row r="122" spans="1:3" x14ac:dyDescent="0.25">
      <c r="C122" s="68"/>
    </row>
    <row r="123" spans="1:3" x14ac:dyDescent="0.25">
      <c r="A123" s="64" t="s">
        <v>66</v>
      </c>
      <c r="B123" s="64" t="s">
        <v>64</v>
      </c>
      <c r="C123" s="65" t="s">
        <v>142</v>
      </c>
    </row>
    <row r="124" spans="1:3" x14ac:dyDescent="0.25">
      <c r="A124" s="19">
        <v>10</v>
      </c>
      <c r="B124" s="19">
        <v>1</v>
      </c>
      <c r="C124" s="51" t="s">
        <v>492</v>
      </c>
    </row>
    <row r="125" spans="1:3" x14ac:dyDescent="0.25">
      <c r="A125" s="18"/>
      <c r="B125" s="18"/>
    </row>
    <row r="126" spans="1:3" x14ac:dyDescent="0.25">
      <c r="A126" s="18"/>
      <c r="B126" s="18"/>
    </row>
    <row r="127" spans="1:3" x14ac:dyDescent="0.25">
      <c r="A127" s="69" t="s">
        <v>347</v>
      </c>
      <c r="B127" s="18"/>
    </row>
    <row r="128" spans="1:3" x14ac:dyDescent="0.25">
      <c r="A128" s="3"/>
      <c r="B128" s="3"/>
      <c r="C128" s="3"/>
    </row>
    <row r="129" spans="1:3" x14ac:dyDescent="0.25">
      <c r="A129" s="3"/>
      <c r="B129" s="3"/>
      <c r="C129" s="3"/>
    </row>
    <row r="130" spans="1:3" x14ac:dyDescent="0.25">
      <c r="A130" s="3"/>
      <c r="B130" s="3"/>
      <c r="C130" s="3"/>
    </row>
    <row r="131" spans="1:3" x14ac:dyDescent="0.25">
      <c r="A131" s="3"/>
      <c r="B131" s="3"/>
      <c r="C131" s="3"/>
    </row>
    <row r="132" spans="1:3" x14ac:dyDescent="0.25">
      <c r="A132" s="3"/>
      <c r="B132" s="3"/>
      <c r="C132" s="3"/>
    </row>
    <row r="133" spans="1:3" x14ac:dyDescent="0.25">
      <c r="A133" s="3"/>
      <c r="B133" s="3"/>
      <c r="C133" s="3"/>
    </row>
    <row r="134" spans="1:3" x14ac:dyDescent="0.25">
      <c r="A134" s="3"/>
      <c r="B134" s="3"/>
      <c r="C134" s="3"/>
    </row>
    <row r="135" spans="1:3" x14ac:dyDescent="0.25">
      <c r="A135" s="3"/>
      <c r="B135" s="3"/>
      <c r="C135" s="3"/>
    </row>
    <row r="136" spans="1:3" x14ac:dyDescent="0.25">
      <c r="A136" s="3"/>
      <c r="B136" s="3"/>
      <c r="C136" s="3"/>
    </row>
    <row r="137" spans="1:3" x14ac:dyDescent="0.25">
      <c r="A137" s="3"/>
      <c r="B137" s="3"/>
      <c r="C137" s="3"/>
    </row>
    <row r="138" spans="1:3" x14ac:dyDescent="0.25">
      <c r="A138" s="3"/>
      <c r="B138" s="3"/>
      <c r="C138" s="3"/>
    </row>
    <row r="139" spans="1:3" x14ac:dyDescent="0.25">
      <c r="A139" s="3"/>
      <c r="B139" s="3"/>
      <c r="C139" s="3"/>
    </row>
    <row r="140" spans="1:3" x14ac:dyDescent="0.25">
      <c r="A140" s="3"/>
      <c r="B140" s="3"/>
      <c r="C140" s="3"/>
    </row>
    <row r="141" spans="1:3" x14ac:dyDescent="0.25">
      <c r="A141" s="3"/>
      <c r="B141" s="3"/>
      <c r="C141" s="3"/>
    </row>
    <row r="142" spans="1:3" x14ac:dyDescent="0.25">
      <c r="A142" s="3"/>
      <c r="B142" s="3"/>
      <c r="C142" s="3"/>
    </row>
    <row r="143" spans="1:3" x14ac:dyDescent="0.25">
      <c r="A143" s="3"/>
      <c r="B143" s="3"/>
      <c r="C143" s="3"/>
    </row>
    <row r="144" spans="1:3" x14ac:dyDescent="0.25">
      <c r="A144" s="3"/>
      <c r="B144" s="3"/>
      <c r="C144" s="3"/>
    </row>
    <row r="145" spans="1:3" x14ac:dyDescent="0.25">
      <c r="A145" s="3"/>
      <c r="B145" s="3"/>
      <c r="C145" s="3"/>
    </row>
    <row r="146" spans="1:3" x14ac:dyDescent="0.25">
      <c r="A146" s="3"/>
      <c r="B146" s="3"/>
      <c r="C146" s="3"/>
    </row>
    <row r="147" spans="1:3" x14ac:dyDescent="0.25">
      <c r="A147" s="3"/>
      <c r="B147" s="3"/>
      <c r="C147" s="3"/>
    </row>
    <row r="148" spans="1:3" x14ac:dyDescent="0.25">
      <c r="A148" s="3"/>
      <c r="B148" s="3"/>
      <c r="C148" s="3"/>
    </row>
    <row r="149" spans="1:3" x14ac:dyDescent="0.25">
      <c r="A149" s="3"/>
      <c r="B149" s="3"/>
      <c r="C149" s="3"/>
    </row>
    <row r="150" spans="1:3" x14ac:dyDescent="0.25">
      <c r="A150" s="3"/>
      <c r="B150" s="3"/>
      <c r="C150" s="3"/>
    </row>
    <row r="151" spans="1:3" x14ac:dyDescent="0.25">
      <c r="A151" s="3"/>
      <c r="B151" s="3"/>
      <c r="C151" s="3"/>
    </row>
    <row r="152" spans="1:3" x14ac:dyDescent="0.25">
      <c r="A152" s="3"/>
      <c r="B152" s="3"/>
      <c r="C152" s="3"/>
    </row>
    <row r="153" spans="1:3" x14ac:dyDescent="0.25">
      <c r="A153" s="3"/>
      <c r="B153" s="3"/>
      <c r="C153" s="3"/>
    </row>
    <row r="154" spans="1:3" x14ac:dyDescent="0.25">
      <c r="A154" s="3"/>
      <c r="B154" s="3"/>
      <c r="C154" s="3"/>
    </row>
    <row r="155" spans="1:3" x14ac:dyDescent="0.25">
      <c r="A155" s="3"/>
      <c r="B155" s="3"/>
      <c r="C155" s="3"/>
    </row>
    <row r="156" spans="1:3" x14ac:dyDescent="0.25">
      <c r="A156" s="3"/>
      <c r="B156" s="3"/>
      <c r="C156" s="3"/>
    </row>
    <row r="157" spans="1:3" x14ac:dyDescent="0.25">
      <c r="A157" s="3"/>
      <c r="B157" s="3"/>
      <c r="C157" s="3"/>
    </row>
    <row r="158" spans="1:3" x14ac:dyDescent="0.25">
      <c r="A158" s="3"/>
      <c r="B158" s="3"/>
      <c r="C158" s="3"/>
    </row>
    <row r="159" spans="1:3" x14ac:dyDescent="0.25">
      <c r="A159" s="3"/>
      <c r="B159" s="3"/>
      <c r="C159" s="3"/>
    </row>
    <row r="160" spans="1:3" x14ac:dyDescent="0.25">
      <c r="A160" s="3"/>
      <c r="B160" s="3"/>
      <c r="C160" s="3"/>
    </row>
    <row r="161" spans="1:3" x14ac:dyDescent="0.25">
      <c r="A161" s="3"/>
      <c r="B161" s="3"/>
      <c r="C161" s="3"/>
    </row>
    <row r="162" spans="1:3" x14ac:dyDescent="0.25">
      <c r="A162" s="3"/>
      <c r="B162" s="3"/>
      <c r="C162" s="3"/>
    </row>
    <row r="163" spans="1:3" x14ac:dyDescent="0.25">
      <c r="A163" s="3"/>
      <c r="B163" s="3"/>
      <c r="C163" s="3"/>
    </row>
    <row r="164" spans="1:3" x14ac:dyDescent="0.25">
      <c r="A164" s="3"/>
      <c r="B164" s="3"/>
      <c r="C164" s="3"/>
    </row>
    <row r="165" spans="1:3" x14ac:dyDescent="0.25">
      <c r="A165" s="3"/>
      <c r="B165" s="3"/>
      <c r="C165" s="3"/>
    </row>
    <row r="166" spans="1:3" x14ac:dyDescent="0.25">
      <c r="A166" s="3"/>
      <c r="B166" s="3"/>
      <c r="C166" s="3"/>
    </row>
    <row r="167" spans="1:3" x14ac:dyDescent="0.25">
      <c r="A167" s="3"/>
      <c r="B167" s="3"/>
      <c r="C167" s="3"/>
    </row>
    <row r="168" spans="1:3" x14ac:dyDescent="0.25">
      <c r="A168" s="3"/>
      <c r="B168" s="3"/>
      <c r="C168" s="3"/>
    </row>
    <row r="169" spans="1:3" x14ac:dyDescent="0.25">
      <c r="A169" s="3"/>
      <c r="B169" s="3"/>
      <c r="C169" s="3"/>
    </row>
    <row r="170" spans="1:3" x14ac:dyDescent="0.25">
      <c r="A170" s="3"/>
      <c r="B170" s="3"/>
      <c r="C170" s="3"/>
    </row>
    <row r="171" spans="1:3" x14ac:dyDescent="0.25">
      <c r="A171" s="3"/>
      <c r="B171" s="3"/>
      <c r="C171" s="3"/>
    </row>
    <row r="172" spans="1:3" x14ac:dyDescent="0.25">
      <c r="A172" s="3"/>
      <c r="B172" s="3"/>
      <c r="C172" s="3"/>
    </row>
    <row r="173" spans="1:3" x14ac:dyDescent="0.25">
      <c r="A173" s="3"/>
      <c r="B173" s="3"/>
      <c r="C173" s="3"/>
    </row>
    <row r="174" spans="1:3" x14ac:dyDescent="0.25">
      <c r="A174" s="3"/>
      <c r="B174" s="3"/>
      <c r="C174" s="3"/>
    </row>
    <row r="175" spans="1:3" x14ac:dyDescent="0.25">
      <c r="A175" s="3"/>
      <c r="B175" s="3"/>
      <c r="C175" s="3"/>
    </row>
    <row r="176" spans="1:3" x14ac:dyDescent="0.25">
      <c r="A176" s="3"/>
      <c r="B176" s="3"/>
      <c r="C176" s="3"/>
    </row>
    <row r="177" spans="1:3" x14ac:dyDescent="0.25">
      <c r="A177" s="3"/>
      <c r="B177" s="3"/>
      <c r="C177" s="3"/>
    </row>
    <row r="178" spans="1:3" x14ac:dyDescent="0.25">
      <c r="A178" s="3"/>
      <c r="B178" s="3"/>
      <c r="C178" s="3"/>
    </row>
    <row r="179" spans="1:3" x14ac:dyDescent="0.25">
      <c r="A179" s="3"/>
      <c r="B179" s="3"/>
      <c r="C179" s="3"/>
    </row>
    <row r="180" spans="1:3" x14ac:dyDescent="0.25">
      <c r="A180" s="3"/>
      <c r="B180" s="3"/>
      <c r="C180" s="3"/>
    </row>
    <row r="181" spans="1:3" x14ac:dyDescent="0.25">
      <c r="A181" s="3"/>
      <c r="B181" s="3"/>
      <c r="C181" s="3"/>
    </row>
    <row r="182" spans="1:3" x14ac:dyDescent="0.25">
      <c r="A182" s="3"/>
      <c r="B182" s="3"/>
      <c r="C182" s="3"/>
    </row>
    <row r="183" spans="1:3" x14ac:dyDescent="0.25">
      <c r="A183" s="3"/>
      <c r="B183" s="3"/>
      <c r="C183" s="3"/>
    </row>
    <row r="184" spans="1:3" x14ac:dyDescent="0.25">
      <c r="A184" s="3"/>
      <c r="B184" s="3"/>
      <c r="C184" s="3"/>
    </row>
    <row r="185" spans="1:3" x14ac:dyDescent="0.25">
      <c r="A185" s="3"/>
      <c r="B185" s="3"/>
      <c r="C185" s="3"/>
    </row>
    <row r="186" spans="1:3" x14ac:dyDescent="0.25">
      <c r="A186" s="3"/>
      <c r="B186" s="3"/>
      <c r="C186" s="3"/>
    </row>
    <row r="187" spans="1:3" x14ac:dyDescent="0.25">
      <c r="A187" s="3"/>
      <c r="B187" s="3"/>
      <c r="C187" s="3"/>
    </row>
    <row r="188" spans="1:3" x14ac:dyDescent="0.25">
      <c r="A188" s="3"/>
      <c r="B188" s="3"/>
      <c r="C188" s="3"/>
    </row>
    <row r="189" spans="1:3" x14ac:dyDescent="0.25">
      <c r="A189" s="3"/>
      <c r="B189" s="3"/>
      <c r="C189" s="3"/>
    </row>
    <row r="190" spans="1:3" x14ac:dyDescent="0.25">
      <c r="A190" s="3"/>
      <c r="B190" s="3"/>
      <c r="C190" s="3"/>
    </row>
    <row r="191" spans="1:3" x14ac:dyDescent="0.25">
      <c r="A191" s="3"/>
      <c r="B191" s="3"/>
      <c r="C191" s="3"/>
    </row>
    <row r="192" spans="1:3" x14ac:dyDescent="0.25">
      <c r="A192" s="3"/>
      <c r="B192" s="3"/>
      <c r="C192" s="3"/>
    </row>
    <row r="193" spans="1:3" x14ac:dyDescent="0.25">
      <c r="A193" s="3"/>
      <c r="B193" s="3"/>
      <c r="C193" s="3"/>
    </row>
    <row r="194" spans="1:3" x14ac:dyDescent="0.25">
      <c r="A194" s="3"/>
      <c r="B194" s="3"/>
      <c r="C194" s="3"/>
    </row>
    <row r="195" spans="1:3" x14ac:dyDescent="0.25">
      <c r="A195" s="3"/>
      <c r="B195" s="3"/>
      <c r="C195" s="3"/>
    </row>
    <row r="196" spans="1:3" x14ac:dyDescent="0.25">
      <c r="A196" s="3"/>
      <c r="B196" s="3"/>
      <c r="C196" s="3"/>
    </row>
    <row r="197" spans="1:3" x14ac:dyDescent="0.25">
      <c r="A197" s="3"/>
      <c r="B197" s="3"/>
      <c r="C197" s="3"/>
    </row>
    <row r="198" spans="1:3" x14ac:dyDescent="0.25">
      <c r="A198" s="3"/>
      <c r="B198" s="3"/>
      <c r="C198" s="3"/>
    </row>
    <row r="199" spans="1:3" x14ac:dyDescent="0.25">
      <c r="A199" s="3"/>
      <c r="B199" s="3"/>
      <c r="C199" s="3"/>
    </row>
    <row r="200" spans="1:3" x14ac:dyDescent="0.25">
      <c r="A200" s="3"/>
      <c r="B200" s="3"/>
      <c r="C200" s="3"/>
    </row>
    <row r="201" spans="1:3" x14ac:dyDescent="0.25">
      <c r="A201" s="3"/>
      <c r="B201" s="3"/>
      <c r="C201" s="3"/>
    </row>
    <row r="202" spans="1:3" x14ac:dyDescent="0.25">
      <c r="A202" s="3"/>
      <c r="B202" s="3"/>
      <c r="C202" s="3"/>
    </row>
    <row r="203" spans="1:3" x14ac:dyDescent="0.25">
      <c r="A203" s="3"/>
      <c r="B203" s="3"/>
      <c r="C203" s="3"/>
    </row>
    <row r="204" spans="1:3" x14ac:dyDescent="0.25">
      <c r="A204" s="3"/>
      <c r="B204" s="3"/>
      <c r="C204" s="3"/>
    </row>
    <row r="205" spans="1:3" x14ac:dyDescent="0.25">
      <c r="A205" s="3"/>
      <c r="B205" s="3"/>
      <c r="C205" s="3"/>
    </row>
    <row r="206" spans="1:3" x14ac:dyDescent="0.25">
      <c r="A206" s="3"/>
      <c r="B206" s="3"/>
      <c r="C206" s="3"/>
    </row>
    <row r="207" spans="1:3" x14ac:dyDescent="0.25">
      <c r="A207" s="3"/>
      <c r="B207" s="3"/>
      <c r="C207" s="3"/>
    </row>
    <row r="208" spans="1:3" x14ac:dyDescent="0.25">
      <c r="A208" s="3"/>
      <c r="B208" s="3"/>
      <c r="C208" s="3"/>
    </row>
    <row r="209" spans="1:3" x14ac:dyDescent="0.25">
      <c r="A209" s="3"/>
      <c r="B209" s="3"/>
      <c r="C209" s="3"/>
    </row>
    <row r="210" spans="1:3" x14ac:dyDescent="0.25">
      <c r="A210" s="3"/>
      <c r="B210" s="3"/>
      <c r="C210" s="3"/>
    </row>
    <row r="211" spans="1:3" x14ac:dyDescent="0.25">
      <c r="A211" s="3"/>
      <c r="B211" s="3"/>
      <c r="C211" s="3"/>
    </row>
    <row r="212" spans="1:3" x14ac:dyDescent="0.25">
      <c r="A212" s="3"/>
      <c r="B212" s="3"/>
      <c r="C212" s="3"/>
    </row>
    <row r="213" spans="1:3" x14ac:dyDescent="0.25">
      <c r="A213" s="3"/>
      <c r="B213" s="3"/>
      <c r="C213" s="3"/>
    </row>
    <row r="214" spans="1:3" x14ac:dyDescent="0.25">
      <c r="A214" s="3"/>
      <c r="B214" s="3"/>
      <c r="C214" s="3"/>
    </row>
    <row r="215" spans="1:3" x14ac:dyDescent="0.25">
      <c r="A215" s="3"/>
      <c r="B215" s="3"/>
      <c r="C215" s="3"/>
    </row>
    <row r="216" spans="1:3" x14ac:dyDescent="0.25">
      <c r="A216" s="3"/>
      <c r="B216" s="3"/>
      <c r="C216" s="3"/>
    </row>
    <row r="217" spans="1:3" x14ac:dyDescent="0.25">
      <c r="A217" s="3"/>
      <c r="B217" s="3"/>
      <c r="C217" s="3"/>
    </row>
    <row r="218" spans="1:3" x14ac:dyDescent="0.25">
      <c r="A218" s="3"/>
      <c r="B218" s="3"/>
      <c r="C218" s="3"/>
    </row>
    <row r="219" spans="1:3" x14ac:dyDescent="0.25">
      <c r="A219" s="3"/>
      <c r="B219" s="3"/>
      <c r="C219" s="3"/>
    </row>
    <row r="220" spans="1:3" x14ac:dyDescent="0.25">
      <c r="A220" s="3"/>
      <c r="B220" s="3"/>
      <c r="C220" s="3"/>
    </row>
    <row r="221" spans="1:3" x14ac:dyDescent="0.25">
      <c r="A221" s="3"/>
      <c r="B221" s="3"/>
      <c r="C221" s="3"/>
    </row>
    <row r="222" spans="1:3" x14ac:dyDescent="0.25">
      <c r="A222" s="3"/>
      <c r="B222" s="3"/>
      <c r="C222" s="3"/>
    </row>
    <row r="223" spans="1:3" x14ac:dyDescent="0.25">
      <c r="A223" s="3"/>
      <c r="B223" s="3"/>
      <c r="C223" s="3"/>
    </row>
    <row r="224" spans="1:3" x14ac:dyDescent="0.25">
      <c r="A224" s="3"/>
      <c r="B224" s="3"/>
      <c r="C224" s="3"/>
    </row>
    <row r="225" spans="1:3" x14ac:dyDescent="0.25">
      <c r="A225" s="3"/>
      <c r="B225" s="3"/>
      <c r="C225" s="3"/>
    </row>
    <row r="226" spans="1:3" x14ac:dyDescent="0.25">
      <c r="A226" s="3"/>
      <c r="B226" s="3"/>
      <c r="C226" s="3"/>
    </row>
    <row r="227" spans="1:3" x14ac:dyDescent="0.25">
      <c r="A227" s="3"/>
      <c r="B227" s="3"/>
      <c r="C227" s="3"/>
    </row>
    <row r="228" spans="1:3" x14ac:dyDescent="0.25">
      <c r="A228" s="3"/>
      <c r="B228" s="3"/>
      <c r="C228" s="3"/>
    </row>
    <row r="229" spans="1:3" x14ac:dyDescent="0.25">
      <c r="A229" s="3"/>
      <c r="B229" s="3"/>
      <c r="C229" s="3"/>
    </row>
    <row r="230" spans="1:3" x14ac:dyDescent="0.25">
      <c r="A230" s="3"/>
      <c r="B230" s="3"/>
      <c r="C230" s="3"/>
    </row>
    <row r="231" spans="1:3" x14ac:dyDescent="0.25">
      <c r="A231" s="3"/>
      <c r="B231" s="3"/>
      <c r="C231" s="3"/>
    </row>
    <row r="232" spans="1:3" x14ac:dyDescent="0.25">
      <c r="A232" s="3"/>
      <c r="B232" s="3"/>
      <c r="C232" s="3"/>
    </row>
    <row r="233" spans="1:3" x14ac:dyDescent="0.25">
      <c r="A233" s="3"/>
      <c r="B233" s="3"/>
      <c r="C233" s="3"/>
    </row>
    <row r="234" spans="1:3" x14ac:dyDescent="0.25">
      <c r="A234" s="3"/>
      <c r="B234" s="3"/>
      <c r="C234" s="3"/>
    </row>
    <row r="235" spans="1:3" x14ac:dyDescent="0.25">
      <c r="A235" s="3"/>
      <c r="B235" s="3"/>
      <c r="C235" s="3"/>
    </row>
    <row r="236" spans="1:3" x14ac:dyDescent="0.25">
      <c r="A236" s="3"/>
      <c r="B236" s="3"/>
      <c r="C236" s="3"/>
    </row>
    <row r="237" spans="1:3" x14ac:dyDescent="0.25">
      <c r="A237" s="3"/>
      <c r="B237" s="3"/>
      <c r="C237" s="3"/>
    </row>
    <row r="238" spans="1:3" x14ac:dyDescent="0.25">
      <c r="A238" s="3"/>
      <c r="B238" s="3"/>
      <c r="C238" s="3"/>
    </row>
    <row r="239" spans="1:3" x14ac:dyDescent="0.25">
      <c r="A239" s="3"/>
      <c r="B239" s="3"/>
      <c r="C239" s="3"/>
    </row>
    <row r="240" spans="1:3" x14ac:dyDescent="0.25">
      <c r="A240" s="3"/>
      <c r="B240" s="3"/>
      <c r="C240" s="3"/>
    </row>
    <row r="241" spans="1:3" x14ac:dyDescent="0.25">
      <c r="A241" s="3"/>
      <c r="B241" s="3"/>
      <c r="C241" s="3"/>
    </row>
    <row r="242" spans="1:3" x14ac:dyDescent="0.25">
      <c r="A242" s="3"/>
      <c r="B242" s="3"/>
      <c r="C242" s="3"/>
    </row>
    <row r="243" spans="1:3" x14ac:dyDescent="0.25">
      <c r="A243" s="3"/>
      <c r="B243" s="3"/>
      <c r="C243" s="3"/>
    </row>
    <row r="244" spans="1:3" x14ac:dyDescent="0.25">
      <c r="A244" s="3"/>
      <c r="B244" s="3"/>
      <c r="C244" s="3"/>
    </row>
    <row r="245" spans="1:3" x14ac:dyDescent="0.25">
      <c r="A245" s="3"/>
      <c r="B245" s="3"/>
      <c r="C245" s="3"/>
    </row>
    <row r="246" spans="1:3" x14ac:dyDescent="0.25">
      <c r="A246" s="3"/>
      <c r="B246" s="3"/>
      <c r="C246" s="3"/>
    </row>
    <row r="247" spans="1:3" x14ac:dyDescent="0.25">
      <c r="A247" s="3"/>
      <c r="B247" s="3"/>
      <c r="C247" s="3"/>
    </row>
    <row r="248" spans="1:3" x14ac:dyDescent="0.25">
      <c r="A248" s="3"/>
      <c r="B248" s="3"/>
      <c r="C248" s="3"/>
    </row>
    <row r="249" spans="1:3" x14ac:dyDescent="0.25">
      <c r="A249" s="3"/>
      <c r="B249" s="3"/>
      <c r="C249" s="3"/>
    </row>
    <row r="250" spans="1:3" x14ac:dyDescent="0.25">
      <c r="A250" s="3"/>
      <c r="B250" s="3"/>
      <c r="C250" s="3"/>
    </row>
    <row r="251" spans="1:3" x14ac:dyDescent="0.25">
      <c r="A251" s="3"/>
      <c r="B251" s="3"/>
      <c r="C251" s="3"/>
    </row>
    <row r="252" spans="1:3" x14ac:dyDescent="0.25">
      <c r="A252" s="3"/>
      <c r="B252" s="3"/>
      <c r="C252" s="3"/>
    </row>
    <row r="253" spans="1:3" x14ac:dyDescent="0.25">
      <c r="A253" s="3"/>
      <c r="B253" s="3"/>
      <c r="C253" s="3"/>
    </row>
    <row r="254" spans="1:3" x14ac:dyDescent="0.25">
      <c r="A254" s="3"/>
      <c r="B254" s="3"/>
      <c r="C254" s="3"/>
    </row>
    <row r="255" spans="1:3" x14ac:dyDescent="0.25">
      <c r="A255" s="3"/>
      <c r="B255" s="3"/>
      <c r="C255" s="3"/>
    </row>
    <row r="256" spans="1:3" x14ac:dyDescent="0.25">
      <c r="A256" s="3"/>
      <c r="B256" s="3"/>
      <c r="C256" s="3"/>
    </row>
    <row r="257" spans="1:3" x14ac:dyDescent="0.25">
      <c r="A257" s="3"/>
      <c r="B257" s="3"/>
      <c r="C257" s="3"/>
    </row>
    <row r="258" spans="1:3" x14ac:dyDescent="0.25">
      <c r="A258" s="3"/>
      <c r="B258" s="3"/>
      <c r="C258" s="3"/>
    </row>
    <row r="259" spans="1:3" x14ac:dyDescent="0.25">
      <c r="A259" s="3"/>
      <c r="B259" s="3"/>
      <c r="C259" s="3"/>
    </row>
    <row r="260" spans="1:3" x14ac:dyDescent="0.25">
      <c r="A260" s="3"/>
      <c r="B260" s="3"/>
      <c r="C260" s="3"/>
    </row>
    <row r="261" spans="1:3" x14ac:dyDescent="0.25">
      <c r="A261" s="3"/>
      <c r="B261" s="3"/>
      <c r="C261" s="3"/>
    </row>
    <row r="262" spans="1:3" x14ac:dyDescent="0.25">
      <c r="A262" s="3"/>
      <c r="B262" s="3"/>
      <c r="C262" s="3"/>
    </row>
    <row r="263" spans="1:3" x14ac:dyDescent="0.25">
      <c r="A263" s="3"/>
      <c r="B263" s="3"/>
      <c r="C263" s="3"/>
    </row>
    <row r="264" spans="1:3" x14ac:dyDescent="0.25">
      <c r="A264" s="3"/>
      <c r="B264" s="3"/>
      <c r="C264" s="3"/>
    </row>
    <row r="265" spans="1:3" x14ac:dyDescent="0.25">
      <c r="A265" s="3"/>
      <c r="B265" s="3"/>
      <c r="C265" s="3"/>
    </row>
    <row r="266" spans="1:3" x14ac:dyDescent="0.25">
      <c r="A266" s="3"/>
      <c r="B266" s="3"/>
      <c r="C266" s="3"/>
    </row>
    <row r="267" spans="1:3" x14ac:dyDescent="0.25">
      <c r="A267" s="3"/>
      <c r="B267" s="3"/>
      <c r="C267" s="3"/>
    </row>
    <row r="268" spans="1:3" x14ac:dyDescent="0.25">
      <c r="A268" s="3"/>
      <c r="B268" s="3"/>
      <c r="C268" s="3"/>
    </row>
    <row r="269" spans="1:3" x14ac:dyDescent="0.25">
      <c r="A269" s="3"/>
      <c r="B269" s="3"/>
      <c r="C269" s="3"/>
    </row>
    <row r="270" spans="1:3" x14ac:dyDescent="0.25">
      <c r="A270" s="3"/>
      <c r="B270" s="3"/>
      <c r="C270" s="3"/>
    </row>
    <row r="271" spans="1:3" x14ac:dyDescent="0.25">
      <c r="A271" s="3"/>
      <c r="B271" s="3"/>
      <c r="C271" s="3"/>
    </row>
    <row r="272" spans="1:3" x14ac:dyDescent="0.25">
      <c r="A272" s="3"/>
      <c r="B272" s="3"/>
      <c r="C272" s="3"/>
    </row>
    <row r="273" spans="1:3" x14ac:dyDescent="0.25">
      <c r="A273" s="3"/>
      <c r="B273" s="3"/>
      <c r="C273" s="3"/>
    </row>
    <row r="274" spans="1:3" x14ac:dyDescent="0.25">
      <c r="A274" s="3"/>
      <c r="B274" s="3"/>
      <c r="C274" s="3"/>
    </row>
    <row r="275" spans="1:3" x14ac:dyDescent="0.25">
      <c r="A275" s="3"/>
      <c r="B275" s="3"/>
      <c r="C275" s="3"/>
    </row>
    <row r="276" spans="1:3" x14ac:dyDescent="0.25">
      <c r="A276" s="3"/>
      <c r="B276" s="3"/>
      <c r="C276" s="3"/>
    </row>
    <row r="277" spans="1:3" x14ac:dyDescent="0.25">
      <c r="A277" s="3"/>
      <c r="B277" s="3"/>
      <c r="C277" s="3"/>
    </row>
    <row r="278" spans="1:3" x14ac:dyDescent="0.25">
      <c r="A278" s="3"/>
      <c r="B278" s="3"/>
      <c r="C278" s="3"/>
    </row>
    <row r="279" spans="1:3" x14ac:dyDescent="0.25">
      <c r="A279" s="3"/>
      <c r="B279" s="3"/>
      <c r="C279" s="3"/>
    </row>
    <row r="280" spans="1:3" x14ac:dyDescent="0.25">
      <c r="A280" s="3"/>
      <c r="B280" s="3"/>
      <c r="C280" s="3"/>
    </row>
    <row r="281" spans="1:3" x14ac:dyDescent="0.25">
      <c r="A281" s="3"/>
      <c r="B281" s="3"/>
      <c r="C281" s="3"/>
    </row>
    <row r="282" spans="1:3" x14ac:dyDescent="0.25">
      <c r="A282" s="3"/>
      <c r="B282" s="3"/>
      <c r="C282" s="3"/>
    </row>
    <row r="283" spans="1:3" x14ac:dyDescent="0.25">
      <c r="A283" s="3"/>
      <c r="B283" s="3"/>
      <c r="C283" s="3"/>
    </row>
    <row r="284" spans="1:3" x14ac:dyDescent="0.25">
      <c r="A284" s="3"/>
      <c r="B284" s="3"/>
      <c r="C284" s="3"/>
    </row>
    <row r="285" spans="1:3" x14ac:dyDescent="0.25">
      <c r="A285" s="3"/>
      <c r="B285" s="3"/>
      <c r="C285" s="3"/>
    </row>
    <row r="286" spans="1:3" x14ac:dyDescent="0.25">
      <c r="A286" s="3"/>
      <c r="B286" s="3"/>
      <c r="C286" s="3"/>
    </row>
    <row r="287" spans="1:3" x14ac:dyDescent="0.25">
      <c r="A287" s="3"/>
      <c r="B287" s="3"/>
      <c r="C287" s="3"/>
    </row>
    <row r="288" spans="1:3" x14ac:dyDescent="0.25">
      <c r="A288" s="3"/>
      <c r="B288" s="3"/>
      <c r="C288" s="3"/>
    </row>
    <row r="289" spans="1:3" x14ac:dyDescent="0.25">
      <c r="A289" s="3"/>
      <c r="B289" s="3"/>
      <c r="C289" s="3"/>
    </row>
    <row r="290" spans="1:3" x14ac:dyDescent="0.25">
      <c r="A290" s="3"/>
      <c r="B290" s="3"/>
      <c r="C290" s="3"/>
    </row>
    <row r="291" spans="1:3" x14ac:dyDescent="0.25">
      <c r="A291" s="3"/>
      <c r="B291" s="3"/>
      <c r="C291" s="3"/>
    </row>
    <row r="292" spans="1:3" x14ac:dyDescent="0.25">
      <c r="A292" s="3"/>
      <c r="B292" s="3"/>
      <c r="C292" s="3"/>
    </row>
    <row r="293" spans="1:3" x14ac:dyDescent="0.25">
      <c r="A293" s="3"/>
      <c r="B293" s="3"/>
      <c r="C293" s="3"/>
    </row>
    <row r="294" spans="1:3" x14ac:dyDescent="0.25">
      <c r="A294" s="3"/>
      <c r="B294" s="3"/>
      <c r="C294" s="3"/>
    </row>
    <row r="295" spans="1:3" x14ac:dyDescent="0.25">
      <c r="A295" s="3"/>
      <c r="B295" s="3"/>
      <c r="C295" s="3"/>
    </row>
    <row r="296" spans="1:3" x14ac:dyDescent="0.25">
      <c r="A296" s="3"/>
      <c r="B296" s="3"/>
      <c r="C296" s="3"/>
    </row>
    <row r="297" spans="1:3" x14ac:dyDescent="0.25">
      <c r="A297" s="3"/>
      <c r="B297" s="3"/>
      <c r="C297" s="3"/>
    </row>
    <row r="298" spans="1:3" x14ac:dyDescent="0.25">
      <c r="A298" s="3"/>
      <c r="B298" s="3"/>
      <c r="C298" s="3"/>
    </row>
    <row r="299" spans="1:3" x14ac:dyDescent="0.25">
      <c r="A299" s="3"/>
      <c r="B299" s="3"/>
      <c r="C299" s="3"/>
    </row>
    <row r="300" spans="1:3" x14ac:dyDescent="0.25">
      <c r="A300" s="3"/>
      <c r="B300" s="3"/>
      <c r="C300" s="3"/>
    </row>
    <row r="301" spans="1:3" x14ac:dyDescent="0.25">
      <c r="A301" s="3"/>
      <c r="B301" s="3"/>
      <c r="C301" s="3"/>
    </row>
    <row r="302" spans="1:3" x14ac:dyDescent="0.25">
      <c r="A302" s="3"/>
      <c r="B302" s="3"/>
      <c r="C302" s="3"/>
    </row>
    <row r="303" spans="1:3" x14ac:dyDescent="0.25">
      <c r="A303" s="3"/>
      <c r="B303" s="3"/>
      <c r="C303" s="3"/>
    </row>
    <row r="304" spans="1:3" x14ac:dyDescent="0.25">
      <c r="A304" s="3"/>
      <c r="B304" s="3"/>
      <c r="C304" s="3"/>
    </row>
    <row r="305" spans="1:3" x14ac:dyDescent="0.25">
      <c r="A305" s="3"/>
      <c r="B305" s="3"/>
      <c r="C305" s="3"/>
    </row>
    <row r="306" spans="1:3" x14ac:dyDescent="0.25">
      <c r="A306" s="3"/>
      <c r="B306" s="3"/>
      <c r="C306" s="3"/>
    </row>
    <row r="307" spans="1:3" x14ac:dyDescent="0.25">
      <c r="A307" s="3"/>
      <c r="B307" s="3"/>
      <c r="C307" s="3"/>
    </row>
    <row r="308" spans="1:3" x14ac:dyDescent="0.25">
      <c r="A308" s="3"/>
      <c r="B308" s="3"/>
      <c r="C308" s="3"/>
    </row>
    <row r="309" spans="1:3" x14ac:dyDescent="0.25">
      <c r="A309" s="3"/>
      <c r="B309" s="3"/>
      <c r="C309" s="3"/>
    </row>
    <row r="310" spans="1:3" x14ac:dyDescent="0.25">
      <c r="A310" s="3"/>
      <c r="B310" s="3"/>
      <c r="C310" s="3"/>
    </row>
    <row r="311" spans="1:3" x14ac:dyDescent="0.25">
      <c r="A311" s="3"/>
      <c r="B311" s="3"/>
      <c r="C311" s="3"/>
    </row>
    <row r="312" spans="1:3" x14ac:dyDescent="0.25">
      <c r="A312" s="3"/>
      <c r="B312" s="3"/>
      <c r="C312" s="3"/>
    </row>
    <row r="313" spans="1:3" x14ac:dyDescent="0.25">
      <c r="A313" s="3"/>
      <c r="B313" s="3"/>
      <c r="C313" s="3"/>
    </row>
    <row r="314" spans="1:3" x14ac:dyDescent="0.25">
      <c r="A314" s="3"/>
      <c r="B314" s="3"/>
      <c r="C314" s="3"/>
    </row>
    <row r="315" spans="1:3" x14ac:dyDescent="0.25">
      <c r="A315" s="3"/>
      <c r="B315" s="3"/>
      <c r="C315" s="3"/>
    </row>
    <row r="316" spans="1:3" x14ac:dyDescent="0.25">
      <c r="A316" s="3"/>
      <c r="B316" s="3"/>
      <c r="C316" s="3"/>
    </row>
    <row r="317" spans="1:3" x14ac:dyDescent="0.25">
      <c r="A317" s="3"/>
      <c r="B317" s="3"/>
      <c r="C317" s="3"/>
    </row>
    <row r="318" spans="1:3" x14ac:dyDescent="0.25">
      <c r="A318" s="3"/>
      <c r="B318" s="3"/>
      <c r="C318" s="3"/>
    </row>
    <row r="319" spans="1:3" x14ac:dyDescent="0.25">
      <c r="A319" s="3"/>
      <c r="B319" s="3"/>
      <c r="C319" s="3"/>
    </row>
    <row r="320" spans="1:3" x14ac:dyDescent="0.25">
      <c r="A320" s="3"/>
      <c r="B320" s="3"/>
      <c r="C320" s="3"/>
    </row>
    <row r="321" spans="1:3" x14ac:dyDescent="0.25">
      <c r="A321" s="3"/>
      <c r="B321" s="3"/>
      <c r="C321" s="3"/>
    </row>
    <row r="322" spans="1:3" x14ac:dyDescent="0.25">
      <c r="A322" s="3"/>
      <c r="B322" s="3"/>
      <c r="C322" s="3"/>
    </row>
    <row r="323" spans="1:3" x14ac:dyDescent="0.25">
      <c r="A323" s="3"/>
      <c r="B323" s="3"/>
      <c r="C323" s="3"/>
    </row>
    <row r="324" spans="1:3" x14ac:dyDescent="0.25">
      <c r="A324" s="3"/>
      <c r="B324" s="3"/>
      <c r="C324" s="3"/>
    </row>
    <row r="325" spans="1:3" x14ac:dyDescent="0.25">
      <c r="A325" s="3"/>
      <c r="B325" s="3"/>
      <c r="C325" s="3"/>
    </row>
    <row r="326" spans="1:3" x14ac:dyDescent="0.25">
      <c r="A326" s="3"/>
      <c r="B326" s="3"/>
      <c r="C326" s="3"/>
    </row>
    <row r="327" spans="1:3" x14ac:dyDescent="0.25">
      <c r="A327" s="3"/>
      <c r="B327" s="3"/>
      <c r="C327" s="3"/>
    </row>
    <row r="328" spans="1:3" x14ac:dyDescent="0.25">
      <c r="A328" s="3"/>
      <c r="B328" s="3"/>
      <c r="C328" s="3"/>
    </row>
    <row r="329" spans="1:3" x14ac:dyDescent="0.25">
      <c r="A329" s="3"/>
      <c r="B329" s="3"/>
      <c r="C329" s="3"/>
    </row>
    <row r="330" spans="1:3" x14ac:dyDescent="0.25">
      <c r="A330" s="3"/>
      <c r="B330" s="3"/>
      <c r="C330" s="3"/>
    </row>
    <row r="331" spans="1:3" x14ac:dyDescent="0.25">
      <c r="A331" s="3"/>
      <c r="B331" s="3"/>
      <c r="C331" s="3"/>
    </row>
    <row r="332" spans="1:3" x14ac:dyDescent="0.25">
      <c r="A332" s="3"/>
      <c r="B332" s="3"/>
      <c r="C332" s="3"/>
    </row>
    <row r="333" spans="1:3" x14ac:dyDescent="0.25">
      <c r="A333" s="3"/>
      <c r="B333" s="3"/>
      <c r="C333" s="3"/>
    </row>
    <row r="334" spans="1:3" x14ac:dyDescent="0.25">
      <c r="A334" s="3"/>
      <c r="B334" s="3"/>
      <c r="C334" s="3"/>
    </row>
    <row r="335" spans="1:3" x14ac:dyDescent="0.25">
      <c r="A335" s="3"/>
      <c r="B335" s="3"/>
      <c r="C335" s="3"/>
    </row>
    <row r="336" spans="1:3" x14ac:dyDescent="0.25">
      <c r="A336" s="3"/>
      <c r="B336" s="3"/>
      <c r="C336" s="3"/>
    </row>
    <row r="337" spans="1:3" x14ac:dyDescent="0.25">
      <c r="A337" s="3"/>
      <c r="B337" s="3"/>
      <c r="C337" s="3"/>
    </row>
    <row r="338" spans="1:3" x14ac:dyDescent="0.25">
      <c r="A338" s="3"/>
      <c r="B338" s="3"/>
      <c r="C338" s="3"/>
    </row>
    <row r="339" spans="1:3" x14ac:dyDescent="0.25">
      <c r="A339" s="3"/>
      <c r="B339" s="3"/>
      <c r="C339" s="3"/>
    </row>
    <row r="340" spans="1:3" x14ac:dyDescent="0.25">
      <c r="A340" s="3"/>
      <c r="B340" s="3"/>
      <c r="C340" s="3"/>
    </row>
    <row r="341" spans="1:3" x14ac:dyDescent="0.25">
      <c r="A341" s="3"/>
      <c r="B341" s="3"/>
      <c r="C341" s="3"/>
    </row>
    <row r="342" spans="1:3" x14ac:dyDescent="0.25">
      <c r="A342" s="3"/>
      <c r="B342" s="3"/>
      <c r="C342" s="3"/>
    </row>
    <row r="343" spans="1:3" x14ac:dyDescent="0.25">
      <c r="A343" s="3"/>
      <c r="B343" s="3"/>
      <c r="C343" s="3"/>
    </row>
    <row r="344" spans="1:3" x14ac:dyDescent="0.25">
      <c r="A344" s="3"/>
      <c r="B344" s="3"/>
      <c r="C344" s="3"/>
    </row>
    <row r="345" spans="1:3" x14ac:dyDescent="0.25">
      <c r="A345" s="3"/>
      <c r="B345" s="3"/>
      <c r="C345" s="3"/>
    </row>
    <row r="346" spans="1:3" x14ac:dyDescent="0.25">
      <c r="A346" s="3"/>
      <c r="B346" s="3"/>
      <c r="C346" s="3"/>
    </row>
    <row r="347" spans="1:3" x14ac:dyDescent="0.25">
      <c r="A347" s="3"/>
      <c r="B347" s="3"/>
      <c r="C347" s="3"/>
    </row>
    <row r="348" spans="1:3" x14ac:dyDescent="0.25">
      <c r="A348" s="3"/>
      <c r="B348" s="3"/>
      <c r="C348" s="3"/>
    </row>
    <row r="349" spans="1:3" x14ac:dyDescent="0.25">
      <c r="A349" s="3"/>
      <c r="B349" s="3"/>
      <c r="C349" s="3"/>
    </row>
    <row r="350" spans="1:3" x14ac:dyDescent="0.25">
      <c r="A350" s="3"/>
      <c r="B350" s="3"/>
      <c r="C350" s="3"/>
    </row>
    <row r="351" spans="1:3" x14ac:dyDescent="0.25">
      <c r="A351" s="3"/>
      <c r="B351" s="3"/>
      <c r="C351" s="3"/>
    </row>
    <row r="352" spans="1:3" x14ac:dyDescent="0.25">
      <c r="A352" s="3"/>
      <c r="B352" s="3"/>
      <c r="C352" s="3"/>
    </row>
    <row r="353" spans="1:3" x14ac:dyDescent="0.25">
      <c r="A353" s="3"/>
      <c r="B353" s="3"/>
      <c r="C353" s="3"/>
    </row>
    <row r="354" spans="1:3" x14ac:dyDescent="0.25">
      <c r="A354" s="3"/>
      <c r="B354" s="3"/>
      <c r="C354" s="3"/>
    </row>
    <row r="355" spans="1:3" x14ac:dyDescent="0.25">
      <c r="A355" s="3"/>
      <c r="B355" s="3"/>
      <c r="C355" s="3"/>
    </row>
    <row r="356" spans="1:3" x14ac:dyDescent="0.25">
      <c r="A356" s="3"/>
      <c r="B356" s="3"/>
      <c r="C356" s="3"/>
    </row>
    <row r="357" spans="1:3" x14ac:dyDescent="0.25">
      <c r="A357" s="3"/>
      <c r="B357" s="3"/>
      <c r="C357" s="3"/>
    </row>
    <row r="358" spans="1:3" x14ac:dyDescent="0.25">
      <c r="A358" s="3"/>
      <c r="B358" s="3"/>
      <c r="C358" s="3"/>
    </row>
    <row r="359" spans="1:3" x14ac:dyDescent="0.25">
      <c r="A359" s="3"/>
      <c r="B359" s="3"/>
      <c r="C359" s="3"/>
    </row>
    <row r="360" spans="1:3" x14ac:dyDescent="0.25">
      <c r="A360" s="3"/>
      <c r="B360" s="3"/>
      <c r="C360" s="3"/>
    </row>
    <row r="361" spans="1:3" x14ac:dyDescent="0.25">
      <c r="A361" s="3"/>
      <c r="B361" s="3"/>
      <c r="C361" s="3"/>
    </row>
    <row r="362" spans="1:3" x14ac:dyDescent="0.25">
      <c r="A362" s="3"/>
      <c r="B362" s="3"/>
      <c r="C362" s="3"/>
    </row>
    <row r="363" spans="1:3" x14ac:dyDescent="0.25">
      <c r="A363" s="3"/>
      <c r="B363" s="3"/>
      <c r="C363" s="3"/>
    </row>
    <row r="364" spans="1:3" x14ac:dyDescent="0.25">
      <c r="A364" s="3"/>
      <c r="B364" s="3"/>
      <c r="C364" s="3"/>
    </row>
    <row r="365" spans="1:3" x14ac:dyDescent="0.25">
      <c r="A365" s="3"/>
      <c r="B365" s="3"/>
      <c r="C365" s="3"/>
    </row>
    <row r="366" spans="1:3" x14ac:dyDescent="0.25">
      <c r="A366" s="3"/>
      <c r="B366" s="3"/>
      <c r="C366" s="3"/>
    </row>
    <row r="367" spans="1:3" x14ac:dyDescent="0.25">
      <c r="A367" s="3"/>
      <c r="B367" s="3"/>
      <c r="C367" s="3"/>
    </row>
    <row r="368" spans="1:3" x14ac:dyDescent="0.25">
      <c r="A368" s="3"/>
      <c r="B368" s="3"/>
      <c r="C368" s="3"/>
    </row>
    <row r="369" spans="1:3" x14ac:dyDescent="0.25">
      <c r="A369" s="3"/>
      <c r="B369" s="3"/>
      <c r="C369" s="3"/>
    </row>
    <row r="370" spans="1:3" x14ac:dyDescent="0.25">
      <c r="A370" s="3"/>
      <c r="B370" s="3"/>
      <c r="C370" s="3"/>
    </row>
    <row r="371" spans="1:3" x14ac:dyDescent="0.25">
      <c r="A371" s="3"/>
      <c r="B371" s="3"/>
      <c r="C371" s="3"/>
    </row>
    <row r="372" spans="1:3" x14ac:dyDescent="0.25">
      <c r="A372" s="3"/>
      <c r="B372" s="3"/>
      <c r="C372" s="3"/>
    </row>
    <row r="373" spans="1:3" x14ac:dyDescent="0.25">
      <c r="A373" s="3"/>
      <c r="B373" s="3"/>
      <c r="C373" s="3"/>
    </row>
    <row r="374" spans="1:3" x14ac:dyDescent="0.25">
      <c r="A374" s="3"/>
      <c r="B374" s="3"/>
      <c r="C374" s="3"/>
    </row>
    <row r="375" spans="1:3" x14ac:dyDescent="0.25">
      <c r="A375" s="3"/>
      <c r="B375" s="3"/>
      <c r="C375" s="3"/>
    </row>
    <row r="376" spans="1:3" x14ac:dyDescent="0.25">
      <c r="A376" s="3"/>
      <c r="B376" s="3"/>
      <c r="C376" s="3"/>
    </row>
    <row r="377" spans="1:3" x14ac:dyDescent="0.25">
      <c r="A377" s="3"/>
      <c r="B377" s="3"/>
      <c r="C377" s="3"/>
    </row>
    <row r="378" spans="1:3" x14ac:dyDescent="0.25">
      <c r="A378" s="3"/>
      <c r="B378" s="3"/>
      <c r="C378" s="3"/>
    </row>
    <row r="379" spans="1:3" x14ac:dyDescent="0.25">
      <c r="A379" s="3"/>
      <c r="B379" s="3"/>
      <c r="C379" s="3"/>
    </row>
    <row r="380" spans="1:3" x14ac:dyDescent="0.25">
      <c r="A380" s="3"/>
      <c r="B380" s="3"/>
      <c r="C380" s="3"/>
    </row>
    <row r="381" spans="1:3" x14ac:dyDescent="0.25">
      <c r="A381" s="3"/>
      <c r="B381" s="3"/>
      <c r="C381" s="3"/>
    </row>
    <row r="382" spans="1:3" x14ac:dyDescent="0.25">
      <c r="A382" s="3"/>
      <c r="B382" s="3"/>
      <c r="C382" s="3"/>
    </row>
    <row r="383" spans="1:3" x14ac:dyDescent="0.25">
      <c r="A383" s="3"/>
      <c r="B383" s="3"/>
      <c r="C383" s="3"/>
    </row>
    <row r="384" spans="1:3" x14ac:dyDescent="0.25">
      <c r="A384" s="3"/>
      <c r="B384" s="3"/>
      <c r="C384" s="3"/>
    </row>
    <row r="385" spans="1:3" x14ac:dyDescent="0.25">
      <c r="A385" s="3"/>
      <c r="B385" s="3"/>
      <c r="C385" s="3"/>
    </row>
    <row r="386" spans="1:3" x14ac:dyDescent="0.25">
      <c r="A386" s="3"/>
      <c r="B386" s="3"/>
      <c r="C386" s="3"/>
    </row>
    <row r="387" spans="1:3" x14ac:dyDescent="0.25">
      <c r="A387" s="3"/>
      <c r="B387" s="3"/>
      <c r="C387" s="3"/>
    </row>
    <row r="388" spans="1:3" x14ac:dyDescent="0.25">
      <c r="A388" s="3"/>
      <c r="B388" s="3"/>
      <c r="C388" s="3"/>
    </row>
    <row r="389" spans="1:3" x14ac:dyDescent="0.25">
      <c r="A389" s="3"/>
      <c r="B389" s="3"/>
      <c r="C389" s="3"/>
    </row>
    <row r="390" spans="1:3" x14ac:dyDescent="0.25">
      <c r="A390" s="3"/>
      <c r="B390" s="3"/>
      <c r="C390" s="3"/>
    </row>
    <row r="391" spans="1:3" x14ac:dyDescent="0.25">
      <c r="A391" s="3"/>
      <c r="B391" s="3"/>
      <c r="C391" s="3"/>
    </row>
    <row r="392" spans="1:3" x14ac:dyDescent="0.25">
      <c r="A392" s="3"/>
      <c r="B392" s="3"/>
      <c r="C392" s="3"/>
    </row>
    <row r="393" spans="1:3" x14ac:dyDescent="0.25">
      <c r="A393" s="3"/>
      <c r="B393" s="3"/>
      <c r="C393" s="3"/>
    </row>
    <row r="394" spans="1:3" x14ac:dyDescent="0.25">
      <c r="A394" s="3"/>
      <c r="B394" s="3"/>
      <c r="C394" s="3"/>
    </row>
    <row r="395" spans="1:3" x14ac:dyDescent="0.25">
      <c r="A395" s="3"/>
      <c r="B395" s="3"/>
      <c r="C395" s="3"/>
    </row>
    <row r="396" spans="1:3" x14ac:dyDescent="0.25">
      <c r="A396" s="3"/>
      <c r="B396" s="3"/>
      <c r="C396" s="3"/>
    </row>
    <row r="397" spans="1:3" x14ac:dyDescent="0.25">
      <c r="A397" s="3"/>
      <c r="B397" s="3"/>
      <c r="C397" s="3"/>
    </row>
    <row r="398" spans="1:3" x14ac:dyDescent="0.25">
      <c r="A398" s="3"/>
      <c r="B398" s="3"/>
      <c r="C398" s="3"/>
    </row>
    <row r="399" spans="1:3" x14ac:dyDescent="0.25">
      <c r="A399" s="3"/>
      <c r="B399" s="3"/>
      <c r="C399" s="3"/>
    </row>
    <row r="400" spans="1:3" x14ac:dyDescent="0.25">
      <c r="A400" s="3"/>
      <c r="B400" s="3"/>
      <c r="C400" s="3"/>
    </row>
    <row r="401" spans="1:3" x14ac:dyDescent="0.25">
      <c r="A401" s="3"/>
      <c r="B401" s="3"/>
      <c r="C401" s="3"/>
    </row>
    <row r="402" spans="1:3" x14ac:dyDescent="0.25">
      <c r="A402" s="3"/>
      <c r="B402" s="3"/>
      <c r="C402" s="3"/>
    </row>
    <row r="403" spans="1:3" x14ac:dyDescent="0.25">
      <c r="A403" s="3"/>
      <c r="B403" s="3"/>
      <c r="C403" s="3"/>
    </row>
    <row r="404" spans="1:3" x14ac:dyDescent="0.25">
      <c r="A404" s="3"/>
      <c r="B404" s="3"/>
      <c r="C404" s="3"/>
    </row>
    <row r="405" spans="1:3" x14ac:dyDescent="0.25">
      <c r="A405" s="3"/>
      <c r="B405" s="3"/>
      <c r="C405" s="3"/>
    </row>
    <row r="406" spans="1:3" x14ac:dyDescent="0.25">
      <c r="A406" s="3"/>
      <c r="B406" s="3"/>
      <c r="C406" s="3"/>
    </row>
    <row r="407" spans="1:3" x14ac:dyDescent="0.25">
      <c r="A407" s="3"/>
      <c r="B407" s="3"/>
      <c r="C407" s="3"/>
    </row>
    <row r="408" spans="1:3" x14ac:dyDescent="0.25">
      <c r="A408" s="3"/>
      <c r="B408" s="3"/>
      <c r="C408" s="3"/>
    </row>
    <row r="409" spans="1:3" x14ac:dyDescent="0.25">
      <c r="A409" s="3"/>
      <c r="B409" s="3"/>
      <c r="C409" s="3"/>
    </row>
    <row r="410" spans="1:3" x14ac:dyDescent="0.25">
      <c r="A410" s="3"/>
      <c r="B410" s="3"/>
      <c r="C410" s="3"/>
    </row>
    <row r="411" spans="1:3" x14ac:dyDescent="0.25">
      <c r="A411" s="3"/>
      <c r="B411" s="3"/>
      <c r="C411" s="3"/>
    </row>
    <row r="412" spans="1:3" x14ac:dyDescent="0.25">
      <c r="A412" s="3"/>
      <c r="B412" s="3"/>
      <c r="C412" s="3"/>
    </row>
    <row r="413" spans="1:3" x14ac:dyDescent="0.25">
      <c r="A413" s="3"/>
      <c r="B413" s="3"/>
      <c r="C413" s="3"/>
    </row>
    <row r="414" spans="1:3" x14ac:dyDescent="0.25">
      <c r="A414" s="3"/>
      <c r="B414" s="3"/>
      <c r="C414" s="3"/>
    </row>
    <row r="415" spans="1:3" x14ac:dyDescent="0.25">
      <c r="A415" s="3"/>
      <c r="B415" s="3"/>
      <c r="C415" s="3"/>
    </row>
    <row r="416" spans="1:3" x14ac:dyDescent="0.25">
      <c r="A416" s="3"/>
      <c r="B416" s="3"/>
      <c r="C416" s="3"/>
    </row>
    <row r="417" spans="1:3" x14ac:dyDescent="0.25">
      <c r="A417" s="3"/>
      <c r="B417" s="3"/>
      <c r="C417" s="3"/>
    </row>
    <row r="418" spans="1:3" x14ac:dyDescent="0.25">
      <c r="A418" s="3"/>
      <c r="B418" s="3"/>
      <c r="C418" s="3"/>
    </row>
    <row r="419" spans="1:3" x14ac:dyDescent="0.25">
      <c r="A419" s="3"/>
      <c r="B419" s="3"/>
      <c r="C419" s="3"/>
    </row>
    <row r="420" spans="1:3" x14ac:dyDescent="0.25">
      <c r="A420" s="3"/>
      <c r="B420" s="3"/>
      <c r="C420" s="3"/>
    </row>
    <row r="421" spans="1:3" x14ac:dyDescent="0.25">
      <c r="A421" s="3"/>
      <c r="B421" s="3"/>
      <c r="C421" s="3"/>
    </row>
    <row r="422" spans="1:3" x14ac:dyDescent="0.25">
      <c r="A422" s="3"/>
      <c r="B422" s="3"/>
      <c r="C422" s="3"/>
    </row>
    <row r="423" spans="1:3" x14ac:dyDescent="0.25">
      <c r="A423" s="3"/>
      <c r="B423" s="3"/>
      <c r="C423" s="3"/>
    </row>
    <row r="424" spans="1:3" x14ac:dyDescent="0.25">
      <c r="A424" s="3"/>
      <c r="B424" s="3"/>
      <c r="C424" s="3"/>
    </row>
    <row r="425" spans="1:3" x14ac:dyDescent="0.25">
      <c r="A425" s="3"/>
      <c r="B425" s="3"/>
      <c r="C425" s="3"/>
    </row>
    <row r="426" spans="1:3" x14ac:dyDescent="0.25">
      <c r="A426" s="3"/>
      <c r="B426" s="3"/>
      <c r="C426" s="3"/>
    </row>
    <row r="427" spans="1:3" x14ac:dyDescent="0.25">
      <c r="A427" s="3"/>
      <c r="B427" s="3"/>
      <c r="C427" s="3"/>
    </row>
    <row r="428" spans="1:3" x14ac:dyDescent="0.25">
      <c r="A428" s="3"/>
      <c r="B428" s="3"/>
      <c r="C428" s="3"/>
    </row>
    <row r="429" spans="1:3" x14ac:dyDescent="0.25">
      <c r="A429" s="3"/>
      <c r="B429" s="3"/>
      <c r="C429" s="3"/>
    </row>
    <row r="430" spans="1:3" x14ac:dyDescent="0.25">
      <c r="A430" s="3"/>
      <c r="B430" s="3"/>
      <c r="C430" s="3"/>
    </row>
    <row r="431" spans="1:3" x14ac:dyDescent="0.25">
      <c r="A431" s="3"/>
      <c r="B431" s="3"/>
      <c r="C431" s="3"/>
    </row>
    <row r="432" spans="1:3" x14ac:dyDescent="0.25">
      <c r="A432" s="3"/>
      <c r="B432" s="3"/>
      <c r="C432" s="3"/>
    </row>
    <row r="433" spans="1:3" x14ac:dyDescent="0.25">
      <c r="A433" s="3"/>
      <c r="B433" s="3"/>
      <c r="C433" s="3"/>
    </row>
    <row r="434" spans="1:3" x14ac:dyDescent="0.25">
      <c r="A434" s="3"/>
      <c r="B434" s="3"/>
      <c r="C434" s="3"/>
    </row>
    <row r="435" spans="1:3" x14ac:dyDescent="0.25">
      <c r="A435" s="3"/>
      <c r="B435" s="3"/>
      <c r="C435" s="3"/>
    </row>
    <row r="436" spans="1:3" x14ac:dyDescent="0.25">
      <c r="A436" s="3"/>
      <c r="B436" s="3"/>
      <c r="C436" s="3"/>
    </row>
    <row r="437" spans="1:3" x14ac:dyDescent="0.25">
      <c r="A437" s="3"/>
      <c r="B437" s="3"/>
      <c r="C437" s="3"/>
    </row>
    <row r="438" spans="1:3" x14ac:dyDescent="0.25">
      <c r="A438" s="3"/>
      <c r="B438" s="3"/>
      <c r="C438" s="3"/>
    </row>
    <row r="439" spans="1:3" x14ac:dyDescent="0.25">
      <c r="A439" s="3"/>
      <c r="B439" s="3"/>
      <c r="C439" s="3"/>
    </row>
    <row r="440" spans="1:3" x14ac:dyDescent="0.25">
      <c r="A440" s="3"/>
      <c r="B440" s="3"/>
      <c r="C440" s="3"/>
    </row>
    <row r="441" spans="1:3" x14ac:dyDescent="0.25">
      <c r="A441" s="3"/>
      <c r="B441" s="3"/>
      <c r="C441" s="3"/>
    </row>
    <row r="442" spans="1:3" x14ac:dyDescent="0.25">
      <c r="A442" s="3"/>
      <c r="B442" s="3"/>
      <c r="C442" s="3"/>
    </row>
    <row r="443" spans="1:3" x14ac:dyDescent="0.25">
      <c r="A443" s="3"/>
      <c r="B443" s="3"/>
      <c r="C443" s="3"/>
    </row>
    <row r="444" spans="1:3" x14ac:dyDescent="0.25">
      <c r="A444" s="3"/>
      <c r="B444" s="3"/>
      <c r="C444" s="3"/>
    </row>
    <row r="445" spans="1:3" x14ac:dyDescent="0.25">
      <c r="A445" s="3"/>
      <c r="B445" s="3"/>
      <c r="C445" s="3"/>
    </row>
    <row r="446" spans="1:3" x14ac:dyDescent="0.25">
      <c r="A446" s="3"/>
      <c r="B446" s="3"/>
      <c r="C446" s="3"/>
    </row>
    <row r="447" spans="1:3" x14ac:dyDescent="0.25">
      <c r="A447" s="3"/>
      <c r="B447" s="3"/>
      <c r="C447" s="3"/>
    </row>
    <row r="448" spans="1:3" x14ac:dyDescent="0.25">
      <c r="A448" s="3"/>
      <c r="B448" s="3"/>
      <c r="C448" s="3"/>
    </row>
    <row r="449" spans="1:3" x14ac:dyDescent="0.25">
      <c r="A449" s="3"/>
      <c r="B449" s="3"/>
      <c r="C449" s="3"/>
    </row>
    <row r="450" spans="1:3" x14ac:dyDescent="0.25">
      <c r="A450" s="3"/>
      <c r="B450" s="3"/>
      <c r="C450" s="3"/>
    </row>
    <row r="451" spans="1:3" x14ac:dyDescent="0.25">
      <c r="A451" s="3"/>
      <c r="B451" s="3"/>
      <c r="C451" s="3"/>
    </row>
    <row r="452" spans="1:3" x14ac:dyDescent="0.25">
      <c r="A452" s="3"/>
      <c r="B452" s="3"/>
      <c r="C452" s="3"/>
    </row>
    <row r="453" spans="1:3" x14ac:dyDescent="0.25">
      <c r="A453" s="3"/>
      <c r="B453" s="3"/>
      <c r="C453" s="3"/>
    </row>
    <row r="454" spans="1:3" x14ac:dyDescent="0.25">
      <c r="A454" s="3"/>
      <c r="B454" s="3"/>
      <c r="C454" s="3"/>
    </row>
    <row r="455" spans="1:3" x14ac:dyDescent="0.25">
      <c r="A455" s="3"/>
      <c r="B455" s="3"/>
      <c r="C455" s="3"/>
    </row>
    <row r="456" spans="1:3" x14ac:dyDescent="0.25">
      <c r="A456" s="3"/>
      <c r="B456" s="3"/>
      <c r="C456" s="3"/>
    </row>
    <row r="457" spans="1:3" x14ac:dyDescent="0.25">
      <c r="A457" s="3"/>
      <c r="B457" s="3"/>
      <c r="C457" s="3"/>
    </row>
    <row r="458" spans="1:3" x14ac:dyDescent="0.25">
      <c r="A458" s="3"/>
      <c r="B458" s="3"/>
      <c r="C458" s="3"/>
    </row>
    <row r="459" spans="1:3" x14ac:dyDescent="0.25">
      <c r="A459" s="3"/>
      <c r="B459" s="3"/>
      <c r="C459" s="3"/>
    </row>
    <row r="460" spans="1:3" x14ac:dyDescent="0.25">
      <c r="A460" s="3"/>
      <c r="B460" s="3"/>
      <c r="C460" s="3"/>
    </row>
    <row r="461" spans="1:3" x14ac:dyDescent="0.25">
      <c r="A461" s="3"/>
      <c r="B461" s="3"/>
      <c r="C461" s="3"/>
    </row>
    <row r="462" spans="1:3" x14ac:dyDescent="0.25">
      <c r="A462" s="3"/>
      <c r="B462" s="3"/>
      <c r="C462" s="3"/>
    </row>
    <row r="463" spans="1:3" x14ac:dyDescent="0.25">
      <c r="A463" s="3"/>
      <c r="B463" s="3"/>
      <c r="C463" s="3"/>
    </row>
    <row r="464" spans="1:3" x14ac:dyDescent="0.25">
      <c r="A464" s="3"/>
      <c r="B464" s="3"/>
      <c r="C464" s="3"/>
    </row>
    <row r="465" spans="1:3" x14ac:dyDescent="0.25">
      <c r="A465" s="3"/>
      <c r="B465" s="3"/>
      <c r="C465" s="3"/>
    </row>
  </sheetData>
  <mergeCells count="1">
    <mergeCell ref="C1:C2"/>
  </mergeCells>
  <hyperlinks>
    <hyperlink ref="C8:C13" location="'Matrícula Total 2021'!A1" display="Matricula Total 2021 por tipo de institución y nivel de formación" xr:uid="{F0AEA3D4-0455-4C9E-92B8-728D20DBF0DF}"/>
    <hyperlink ref="C8" location="'Matrícula Total 2021'!A4" display="Matricula Total 2021 por tipo de institución y nivel de formación" xr:uid="{6D121802-BAC4-4A76-9F63-7D6117522247}"/>
    <hyperlink ref="C9" location="'Matrícula Total 2021'!A11" display="Matricula Total 2021 por tipo de institución y sexo" xr:uid="{36C1F564-96C7-48BE-8F34-A9337B1482BD}"/>
    <hyperlink ref="C10" location="'Matrícula Total 2021'!A18" display="Matricula Total 2021 por tipo de institución 2 y nivel de formación" xr:uid="{0C6B4908-20B1-4E2F-8CC6-F5C19627F2D1}"/>
    <hyperlink ref="C11" location="'Matrícula Total 2021'!A31" display="Matricula Total 2021 por tipo de institución 2 y sexo" xr:uid="{E546F569-58C4-45E2-B52B-ACEA2D6A2B74}"/>
    <hyperlink ref="C12" location="'Matrícula Total 2021'!A44" display="Matricula Total 2021 por región y sexo" xr:uid="{2A9E4228-963F-4CAC-AB7F-657E9FBD99F7}"/>
    <hyperlink ref="C13" location="'Matrícula Total 2021'!A64" display="Matricula Total 2021 por área y sexo" xr:uid="{5A9B634D-3986-4511-B76E-38B0486B607E}"/>
    <hyperlink ref="C16:C23" location="'Evolución Matrícula Total'!A1" display="Evolución de Matrícula Total por nivel de formación" xr:uid="{42746287-D564-4F91-B7D6-41621738D0E7}"/>
    <hyperlink ref="C16" location="'Evolución Matrícula Total'!A4" display="Evolución de Matrícula Total por nivel de formación" xr:uid="{88C2C8C4-045E-483F-BA5D-F3A7D5AB1510}"/>
    <hyperlink ref="C17" location="'Evolución Matrícula Total'!A11" display="Evolución de Matrícula Total por tipo de institución " xr:uid="{07B15F3E-6B84-450A-8F43-CF570C8D3D72}"/>
    <hyperlink ref="C18" location="'Evolución Matrícula Total'!A18" display="Evolución de Matrícula Total por tipo de institución y nivel de formación" xr:uid="{A847F1A9-D461-4A9E-9BD5-0B9A38B6D1A0}"/>
    <hyperlink ref="C19" location="'Evolución Matrícula Total'!A32" display="Evolución de Matrícula Total por tipo de institución 2" xr:uid="{B7A022F1-9FF4-4389-99FC-1EF6335D8973}"/>
    <hyperlink ref="C20" location="'Evolución Matrícula Total'!A45" display="Evolución de Matrícula Total por tipo de institución 2 y nivel de formación " xr:uid="{3C433387-C3C1-4424-9351-714C83A24B71}"/>
    <hyperlink ref="C21" location="'Evolución Matrícula Total'!A75" display="Evolución de Matrícula Total por sexo" xr:uid="{84B180E5-5541-41CF-9BF3-46A073AEEAF4}"/>
    <hyperlink ref="C22" location="'Evolución Matrícula Total'!A81" display="Evolución de Matrícula Total por rango de edad" xr:uid="{1E5D896D-3EB5-4568-9F01-C0AE87673C6E}"/>
    <hyperlink ref="C23" location="'Evolución Matrícula Total'!A93" display="Evolución de Matrícula Total por región" xr:uid="{715D81BB-FABC-4E88-8049-B3B62EF5C9AF}"/>
    <hyperlink ref="C26:C36" location="'Matrícula Pregrado 2021'!A1" display="Matrícula Total 2021 de Pregrado por sexo y tipo de institución " xr:uid="{7D9C5C8D-0B6A-4535-BBCE-A0D84109C280}"/>
    <hyperlink ref="C26" location="'Matrícula Pregrado 2021'!A4" display="Matrícula Total 2021 de Pregrado por sexo y tipo de institución " xr:uid="{8C17B5D6-C5B4-42BB-B072-CB5197081684}"/>
    <hyperlink ref="C27" location="'Matrícula Pregrado 2021'!A10" display="Matrícula 1er año 2021 de Pregrado por sexo y tipo de institución " xr:uid="{BEE5D735-6118-41A9-AB07-82FA8F057419}"/>
    <hyperlink ref="C28" location="'Matrícula Pregrado 2021'!A16" display="Matrícula Total 2021 de Pregrado por rango de edad y tipo de institución " xr:uid="{DE8545C6-3863-4487-A28A-2651B9E28DE1}"/>
    <hyperlink ref="C29" location="'Matrícula Pregrado 2021'!A28" display="Matrícula Total 2021 de Pregrado por tipo de carrera e institución " xr:uid="{D175E18A-28B8-4D27-8E4C-87CB31651604}"/>
    <hyperlink ref="C30" location="'Matrícula Pregrado 2021'!A37" display="Matrícula Total 2021 de Pregrado por área y tipo de institución " xr:uid="{5E0C5DCB-AF75-49B6-BA49-1EC3330320C9}"/>
    <hyperlink ref="C31" location="'Matrícula Pregrado 2021'!A51" display="Matrícula Total 2021 de Pregrado por área y sexo" xr:uid="{6772E2E0-EFC7-4519-810F-D17F097E8CB5}"/>
    <hyperlink ref="C32" location="'Matrícula Pregrado 2021'!A65" display="Matrícula Total 2021 de Pregrado por jornada y tipo de institución " xr:uid="{21F6E67D-C738-4954-8F31-4797B2624D0A}"/>
    <hyperlink ref="C33" location="'Matrícula Pregrado 2021'!A74" display="Matrícula Total 2021 de Pregrado por región y tipo de institución" xr:uid="{AF309362-F152-4113-BE67-AE244EB01740}"/>
    <hyperlink ref="C34" location="'Matrícula Pregrado 2021'!A94" display="Matrícula 1er año 2021 de Pregrado por región y tipo de institución" xr:uid="{F5C08E5B-5652-4728-9C1E-F8D5367BED89}"/>
    <hyperlink ref="C35" location="'Matrícula Pregrado 2021'!A114" display="Matrícula Total 2021 de Pregrado por región y sexo" xr:uid="{88F345A4-E389-43B4-8999-8E61F8734893}"/>
    <hyperlink ref="C36" location="'Matrícula Pregrado 2021'!A134" display="Matrícula 1er año 2021 de Pregrado por región y sexo" xr:uid="{8BFA4934-740E-4C0D-A3BF-DF62B6DFE402}"/>
    <hyperlink ref="C39:C85" location="'Evolución Matrícula Pregrado'!A1" display="Evolución de Matrícula Total de Pregrado por tipo de institución" xr:uid="{6A5960AB-D908-489B-B820-00498B186C35}"/>
    <hyperlink ref="C39" location="'Evolución Matrícula Pregrado'!A3" display="Evolución de Matrícula Total de Pregrado por tipo de institución" xr:uid="{F12554A1-64E1-47CC-A987-54704B6214EE}"/>
    <hyperlink ref="C40" location="'Evolución Matrícula Pregrado'!A10" display="Evolución de Matrícula 1er año de Pregrado por tipo de institución" xr:uid="{768869F8-4C07-44B3-A567-A7159D232272}"/>
    <hyperlink ref="C41" location="'Evolución Matrícula Pregrado'!A17" display="Evolución de Matrícula Total de Pregrado por tipo de institución 2" xr:uid="{0E2C46B6-3A1C-4CF9-82AE-0F94A7A55C92}"/>
    <hyperlink ref="C42" location="'Evolución Matrícula Pregrado'!A30" display="Evolución de Matrícula 1er año de Pregrado por tipo de institución 2" xr:uid="{BF4653ED-8D2B-4833-8301-EBE75D2E36A8}"/>
    <hyperlink ref="C43" location="'Evolución Matrícula Pregrado'!A41" display="Evolución de Matrícula Total de Pregrado por tipo de carrera" xr:uid="{507C572E-0BB7-4A01-93DE-84677EE3B341}"/>
    <hyperlink ref="C44" location="'Evolución Matrícula Pregrado'!A50" display="Evolución de Matrícula 1er año de Pregrado por tipo de carrera" xr:uid="{AC84A0FC-B593-4BD7-B3DE-C9EF8A8D1060}"/>
    <hyperlink ref="C45" location="'Evolución Matrícula Pregrado'!A59" display="Evolución de Matrícula Total de Pregrado por tipo de carrera agrupada" xr:uid="{54E7CB93-D8E1-49CA-9A78-F40B2AAE00FF}"/>
    <hyperlink ref="C46" location="'Evolución Matrícula Pregrado'!A67" display="Evolución de Matrícula 1er año de Pregrado por tipo de carrera agrupada" xr:uid="{2B88E492-82AA-4ECA-A9CE-D5C23911B142}"/>
    <hyperlink ref="C47" location="'Evolución Matrícula Pregrado'!A75" display="Evolución de Matrícula Total de Pregrado por tipo de institución y carrera" xr:uid="{5332C956-D3CC-4324-9810-26CD565F401B}"/>
    <hyperlink ref="C48" location="'Evolución Matrícula Pregrado'!A90" display="Evolución de Matrícula 1er año de Pregrado por tipo de institución y carrera" xr:uid="{BF1868B5-2F8C-45F3-837C-27125525B29B}"/>
    <hyperlink ref="C49" location="'Evolución Matrícula Pregrado'!A105" display="Evolución de Matrícula Total de Pregrado por jornada" xr:uid="{F68D7406-8B79-4423-BDEE-7D988992E48D}"/>
    <hyperlink ref="C50" location="'Evolución Matrícula Pregrado'!A114" display="Evolución de Matrícula 1er año de Pregrado por jornada" xr:uid="{CE4AF59F-C945-4A20-9175-E7ADE861E51B}"/>
    <hyperlink ref="C51" location="'Evolución Matrícula Pregrado'!A123" display="Evolución de Matrícula 1er año de Pregrado por tipo de institución y jornada" xr:uid="{7C25DA09-608E-41E7-82A9-CCB94B726374}"/>
    <hyperlink ref="C52" location="'Evolución Matrícula Pregrado'!A145" display="Evolución de Matrícula Total de Pregrado por área" xr:uid="{E092E26F-823B-4995-A884-31F56EE58234}"/>
    <hyperlink ref="C53" location="'Evolución Matrícula Pregrado'!A160" display="Evolución de Matrícula de 1er año de Pregrado por área" xr:uid="{2431D93A-7F7F-4EF3-A786-C4C52E93D2C1}"/>
    <hyperlink ref="C54" location="'Evolución Matrícula Pregrado'!A175" display="Evolución de Matrícula Total de Pregrado en carreras con mayor matrícula - CFT" xr:uid="{C0739C60-D631-4F4D-BFFB-12B013FDAA3A}"/>
    <hyperlink ref="C55" location="'Evolución Matrícula Pregrado'!A198" display="Evolución de Matrícula 1er año de Pregrado en carreras con mayor matrícula - CFT" xr:uid="{0A8E3402-D6A8-4544-96C7-03840B30D863}"/>
    <hyperlink ref="C56" location="'Evolución Matrícula Pregrado'!A221" display="Evolución de Matrícula Total de Pregrado en carreras con mayor matrícula - IP" xr:uid="{905DFDE6-8C5E-441F-AF89-B5C37214DA02}"/>
    <hyperlink ref="C57" location="'Evolución Matrícula Pregrado'!A244" display="Evolución de Matrícula 1er año de Pregrado en carreras con mayor matrícula - IP" xr:uid="{915CF5E5-865C-44B5-92AA-E6EDD1625851}"/>
    <hyperlink ref="C58" location="'Evolución Matrícula Pregrado'!A267" display="Evolución de Matrícula Total de Pregrado en carreras con mayor matrícula - Universidades" xr:uid="{9FD0DCB9-B534-4A93-8EB7-68D9424D1D6F}"/>
    <hyperlink ref="C59" location="'Evolución Matrícula Pregrado'!A290" display="Evolución de Matrícula 1er año de Pregrado en carreras con mayor matrícula - Universidades" xr:uid="{330344E6-B9E8-49FC-BF70-BA75DA7B32A1}"/>
    <hyperlink ref="C60" location="'Evolución Matrícula Pregrado'!A313" display="Evolución de Matrícula Total de Pregrado por sexo" xr:uid="{D5CB1DBC-C155-4E81-A91E-505B50FE3F1A}"/>
    <hyperlink ref="C61" location="'Evolución Matrícula Pregrado'!A319" display="Evolución de Matrícula 1er año de Pregrado por sexo" xr:uid="{C301CDBF-1C89-4124-A4FA-B961D40F0E28}"/>
    <hyperlink ref="C62" location="'Evolución Matrícula Pregrado'!A325" display="Evolución de Matrícula Total de Pregrado por sexo - CFT" xr:uid="{C4F11296-39ED-4647-8CE1-DBFDD1A1BCC8}"/>
    <hyperlink ref="C63" location="'Evolución Matrícula Pregrado'!A331" display="Evolución de Matrícula 1er año de Pregrado por sexo - CFT" xr:uid="{A7718CD0-990F-4577-97AD-7455B274D8B8}"/>
    <hyperlink ref="C64" location="'Evolución Matrícula Pregrado'!A337" display="Evolución de Matrícula Total de Pregrado por sexo - IP" xr:uid="{E4DE68D6-CEA2-4B2D-80CD-729F413D0A4F}"/>
    <hyperlink ref="C65" location="'Evolución Matrícula Pregrado'!A343" display="Evolución de Matrícula 1er año de Pregrado por sexo - IP" xr:uid="{C4A97879-DC71-41D4-BC22-553F3DFBB73F}"/>
    <hyperlink ref="C66" location="'Evolución Matrícula Pregrado'!A349" display="Evolución de Matrícula Total de Pregrado por sexo - Universidades" xr:uid="{E8FE4B46-4B11-4355-8CB4-CDEB781133DB}"/>
    <hyperlink ref="C67" location="'Evolución Matrícula Pregrado'!A355" display="Evolución de Matrícula 1er año de Pregrado por sexo - Universidades" xr:uid="{B31C9D10-9BF0-44D7-AAA6-837FBE00A1B5}"/>
    <hyperlink ref="C68" location="'Evolución Matrícula Pregrado'!A361" display="Evolución de Matrícula Total de Pregrado por rango de edad" xr:uid="{0D9EF929-F774-4DBD-9821-D0772241DEAD}"/>
    <hyperlink ref="C69" location="'Evolución Matrícula Pregrado'!A373" display="Evolución de Matrícula 1er año de Pregrado por rango de edad" xr:uid="{2DFAEC9C-7D3C-4AAE-A90D-1999E08E8471}"/>
    <hyperlink ref="C70" location="'Evolución Matrícula Pregrado'!A386" display="Evolución de Matrícula Total de Pregrado por rango de edad - CFT" xr:uid="{E08A0CC3-2814-492F-8164-8FFB21301959}"/>
    <hyperlink ref="C71" location="'Evolución Matrícula Pregrado'!A398" display="Evolución de Matrícula 1er año de Pregrado por rango de edad - CFT" xr:uid="{FF93EAAE-118D-4001-8764-CA00D43CEEA8}"/>
    <hyperlink ref="C72" location="'Evolución Matrícula Pregrado'!A411" display="Evolución de Matrícula Total de Pregrado por rango de edad - IP" xr:uid="{6DFC1443-3FC1-4C6D-A1BC-C511153DCC28}"/>
    <hyperlink ref="C73" location="'Evolución Matrícula Pregrado'!A423" display="Evolución de Matrícula 1er año de Pregrado por rango de edad - IP" xr:uid="{CE07F04D-5322-4FB5-8063-192694D09286}"/>
    <hyperlink ref="C74" location="'Evolución Matrícula Pregrado'!A435" display="Evolución de Matrícula Total de Pregrado por rango de edad - Universidades" xr:uid="{CD524ED1-6CEC-4E86-92FF-E23E9D8956B7}"/>
    <hyperlink ref="C75" location="'Evolución Matrícula Pregrado'!A447" display="Evolución de Matrícula de 1er año de Pregrado por rango de edad - Universidades" xr:uid="{C57907CD-2D2F-4858-A91C-728E976C350C}"/>
    <hyperlink ref="C76" location="'Evolución Matrícula Pregrado'!A460" display="Evolución de Matrícula Total de Pregrado por tipo de enseñanza del establecimiento secundario de origen" xr:uid="{ADDEA169-451E-4ED1-A5DD-D4DEB8C77972}"/>
    <hyperlink ref="C77" location="'Evolución Matrícula Pregrado'!A467" display="Evolución de Matrícula Total de Pregrado por tipo de enseñanza del establecimiento secundario de origen - CFT" xr:uid="{74DC7F9A-70AB-4AD3-91A9-3E01F7A887A5}"/>
    <hyperlink ref="C78" location="'Evolución Matrícula Pregrado'!A474" display="Evolución de Matrícula Total de Pregrado por tipo de enseñanza del establecimiento secundario de origen - IP" xr:uid="{48CFCC2E-D475-4F0D-B2C4-1C1B20DE1D16}"/>
    <hyperlink ref="C79" location="'Evolución Matrícula Pregrado'!A481" display="Evolución de Matrícula Total de Pregrado por tipo de enseñanza del establecimiento secundario de origen - Universidades" xr:uid="{9E423CE9-35DF-4F81-B352-10785D971068}"/>
    <hyperlink ref="C80" location="'Evolución Matrícula Pregrado'!A488" display="Evolución de Matrícula Total de Pregrado por tipo de establecimiento de origen" xr:uid="{E85F35BA-1D7F-4513-90B3-EC4FA5F8C064}"/>
    <hyperlink ref="C81" location="'Evolución Matrícula Pregrado'!A498" display="Evolución de Matrícula Total de Pregrado por tipo de establecimiento de origen - CFT" xr:uid="{E118E767-F13B-4F15-8590-CC7A3771EF2C}"/>
    <hyperlink ref="C82" location="'Evolución Matrícula Pregrado'!A508" display="Evolución de Matrícula Total de Pregrado por tipo de establecimiento de origen - IP" xr:uid="{30A08C9E-6B69-4BF4-B5E0-0AD0FF11D12F}"/>
    <hyperlink ref="C83" location="'Evolución Matrícula Pregrado'!A518" display="Evolución de Matrícula Total de Pregrado por tipo de establecimiento de origen - Universidades" xr:uid="{D94E55DC-0922-4B2B-BD38-0E4D1E44808E}"/>
    <hyperlink ref="C84" location="'Evolución Matrícula Pregrado'!A528" display="Evolución de Matrícula Total de Pregrado por Condición de Acreditación por Tipo de Institución" xr:uid="{0768DCEE-BE52-4C7B-9AB2-2A6F3ECE86C6}"/>
    <hyperlink ref="C85" location="'Evolución Matrícula Pregrado'!A542" display="Evolución de Matrícula de 1er año de Pregrado por Condición de Acreditación por Tipo de Institución" xr:uid="{3D0518A5-536C-4994-80A5-8C6B3BAD9480}"/>
    <hyperlink ref="C89:C96" location="'Matrícula Posgrado 2021'!A1" display="Matrícula Total 2021 de Posgrado por tipo de universidad y programa " xr:uid="{9F4FFD4B-E43B-4E2B-B800-192D229BCB90}"/>
    <hyperlink ref="C89" location="'Matrícula Posgrado 2021'!A3" display="Matrícula Total 2021 de Posgrado por tipo de universidad y programa " xr:uid="{D8980E26-1849-459F-904A-51A07C417643}"/>
    <hyperlink ref="C90" location="'Matrícula Posgrado 2021'!A13" display="Matrícula 1er año 2021 de Posgrado por tipo de universidad y programa " xr:uid="{0202AC65-038D-4A79-ACDA-0937437A1FA1}"/>
    <hyperlink ref="C91" location="'Matrícula Posgrado 2021'!A21" display="Matrícula Total 2021 de Posgrado por sexo y tipo de programa " xr:uid="{DEC72AF8-7B05-485F-B5C9-50E28EC9E6B2}"/>
    <hyperlink ref="C92" location="'Matrícula Posgrado 2021'!A27" display="Matrícula 1er año 2021 de Posgrado por sexo y tipo de programa " xr:uid="{97A85558-BA00-4D78-B5FF-D83F6DADF827}"/>
    <hyperlink ref="C93" location="'Matrícula Posgrado 2021'!A33" display="Matrícula Total 2021 de Posgrado por rango de edad y tipo de programa" xr:uid="{3F4919AD-EC95-4EA0-9006-745D2B2A1085}"/>
    <hyperlink ref="C94" location="'Matrícula Posgrado 2021'!A44" display="Matrícula Total 2021 de Posgrado por área y tipo de programa " xr:uid="{028EC7C7-A74C-472E-A6FF-A557B7F917EC}"/>
    <hyperlink ref="C95" location="'Matrícula Posgrado 2021'!A58" display="Matrícula Total 2021 de Posgrado por jornada y tipo de programa " xr:uid="{A13EE90C-7D97-4998-9E65-0A671D90E1DE}"/>
    <hyperlink ref="C96" location="'Matrícula Posgrado 2021'!A67" display="Matrícula Total 2021 de Posgrado por región y tipo de programa " xr:uid="{8DB23DEE-2D7F-428C-92FB-7BC692B95E09}"/>
    <hyperlink ref="C99:C106" location="'Evolución Matrícula Posgrado'!A1" display="Evolución de Matrícula Total de Posgrado por tipo de universidad " xr:uid="{09949DE9-65C0-4BAD-87D7-C5B34D81182B}"/>
    <hyperlink ref="C99" location="'Evolución Matrícula Posgrado'!A3" display="Evolución de Matrícula Total de Posgrado por tipo de universidad " xr:uid="{15C3F836-601B-4CBA-9279-0B90F2E91D09}"/>
    <hyperlink ref="C100" location="'Evolución Matrícula Posgrado'!A13" display="Evolución de Matrícula 1er año de Posgrado por tipo de universidad " xr:uid="{A7C237AC-A9AD-41CA-8D09-225A02AF37E4}"/>
    <hyperlink ref="C101" location="'Evolución Matrícula Posgrado'!A21" display="Evolución de Matrícula Total de Posgrado por tipo de programa" xr:uid="{E29DB977-4DBB-42AC-8DAA-4EA7F5AC0302}"/>
    <hyperlink ref="C102" location="'Evolución Matrícula Posgrado'!A27" display="Evolución de Matrícula 1er año de Posgrado por tipo de programa" xr:uid="{37B510C7-9C64-45DE-B1F0-078010733B4C}"/>
    <hyperlink ref="C103" location="'Evolución Matrícula Posgrado'!A33" display="Evolución de Matrícula Total de Posgrado por tipo de universidad y programa" xr:uid="{77EDFDDA-409C-4DF9-9CBE-32EA04C7EE53}"/>
    <hyperlink ref="C104" location="'Evolución Matrícula Posgrado'!A50" display="Evolución de Matrícula 1er año de Posgrado por tipo de universidad y programa " xr:uid="{E0858CF6-654D-4C6A-BBDC-2E78BB876874}"/>
    <hyperlink ref="C105" location="'Evolución Matrícula Posgrado'!A64" display="Evolución de Matrícula Total de Posgrado por tipo de programa y jornada" xr:uid="{8CFD8098-F6E4-4675-A4AE-952C7F33854B}"/>
    <hyperlink ref="C106" location="'Evolución Matrícula Posgrado'!A80" display="Evolución de Matrícula 1er año de Posgrado por tipo de programa y jornada" xr:uid="{6DA92F1F-E517-40FD-BD84-C74227F06471}"/>
    <hyperlink ref="C109:C114" location="'Matrícula Postitulo 2021'!A1" display="Matrícula Total 2021 de Postítulo por tipo de institución y tipo de programa " xr:uid="{9655C672-B124-4454-90D8-0098798E6FDD}"/>
    <hyperlink ref="C109" location="'Matrícula Postitulo 2021'!A3" display="Matrícula Total 2021 de Postítulo por tipo de institución y tipo de programa " xr:uid="{BAB5FFC4-C3A4-4EA0-881E-41869DA6F957}"/>
    <hyperlink ref="C110" location="'Matrícula Postitulo 2021'!A10" display="Matrícula Total de Postítulo por sexo y tipo de programa " xr:uid="{B7A1A3E4-9EE9-41C1-86F9-CB11D427CFE7}"/>
    <hyperlink ref="C111" location="'Matrícula Postitulo 2021'!A16" display="Matrícula Total de Postítulo por rango de edad y tipo de programa" xr:uid="{C3602CB9-0DFF-49C6-8949-B9F5BA2EBBAE}"/>
    <hyperlink ref="C112" location="'Matrícula Postitulo 2021'!A28" display="Matrícula Total de Postítulo por área y tipo de programa " xr:uid="{B9E9B0CA-F8F9-478C-8699-3AF0B9BA361A}"/>
    <hyperlink ref="C113" location="'Matrícula Postitulo 2021'!A42" display="Matrícula Total de Postítulo por jornada y tipo de programa " xr:uid="{CB044859-DF04-468A-AB9E-73BA8F4819D3}"/>
    <hyperlink ref="C114" location="'Matrícula Postitulo 2021'!A51" display="Matrícula Total de Postítulo por región y tipo de programa " xr:uid="{A0B4D722-0CED-45B4-893A-62076764112A}"/>
    <hyperlink ref="C117:C120" location="'Evolución Matrícula Postítulo'!A1" display="Evolución de Matrícula Total de Postítulo por tipo de institución" xr:uid="{705A349A-39E3-4A73-9EB1-C8F85DC9D544}"/>
    <hyperlink ref="C117" location="'Evolución Matrícula Postítulo'!A3" display="Evolución de Matrícula Total de Postítulo por tipo de institución" xr:uid="{5A3CE1C6-C45C-494D-8CA1-57143E7976A6}"/>
    <hyperlink ref="C118" location="'Evolución Matrícula Postítulo'!A10" display="Evolución de Matrícula Total de Postítulo por tipo de institución 2" xr:uid="{254C2EE2-1EA9-43AA-A37B-67F39927EBA1}"/>
    <hyperlink ref="C119" location="'Evolución Matrícula Postítulo'!A22" display="Evolución de Matrícula Total de Postítulo por tipo de programa" xr:uid="{197E6995-0319-4876-9863-C15822ACE3BA}"/>
    <hyperlink ref="C120" location="'Evolución Matrícula Postítulo'!A29" display="Evolución de Matrícula Total de Postítulo por tipo de institución y programa" xr:uid="{2790A307-302E-4A3E-B673-5F1E8528328F}"/>
    <hyperlink ref="C121" location="'Evolución Matrícula Postítulo'!A42" display="Evolución de Matrícula Total de Postítulo por tipo de programa y jornada" xr:uid="{2639B7F5-A11F-41AF-A4D0-001802872FDE}"/>
    <hyperlink ref="C124" location="'Listado de instituciones 2021'!A1" display="Listado instituciones con datos Matrícula 2021" xr:uid="{00000000-0004-0000-0000-000000000000}"/>
  </hyperlinks>
  <pageMargins left="0.70866141732283472" right="0.70866141732283472" top="0.74803149606299213" bottom="0.74803149606299213" header="0.31496062992125984" footer="0.31496062992125984"/>
  <pageSetup orientation="portrait"/>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XDU481"/>
  <sheetViews>
    <sheetView showGridLines="0" zoomScaleNormal="100" workbookViewId="0">
      <pane ySplit="2" topLeftCell="A11" activePane="bottomLeft" state="frozen"/>
      <selection pane="bottomLeft" activeCell="A11" sqref="A11"/>
    </sheetView>
  </sheetViews>
  <sheetFormatPr baseColWidth="10" defaultColWidth="10.85546875" defaultRowHeight="15" x14ac:dyDescent="0.25"/>
  <cols>
    <col min="1" max="1" width="33.42578125" style="18" customWidth="1"/>
    <col min="2" max="5" width="13.42578125" style="18" customWidth="1"/>
    <col min="6" max="6" width="10.85546875" style="3" customWidth="1"/>
    <col min="7" max="16384" width="10.85546875" style="3"/>
  </cols>
  <sheetData>
    <row r="1" spans="1:5" ht="21" x14ac:dyDescent="0.25">
      <c r="A1" s="83" t="s">
        <v>456</v>
      </c>
      <c r="B1" s="3"/>
      <c r="C1" s="3"/>
      <c r="D1" s="3"/>
      <c r="E1" s="3"/>
    </row>
    <row r="2" spans="1:5" ht="32.25" customHeight="1" x14ac:dyDescent="0.25">
      <c r="A2" s="50" t="s">
        <v>352</v>
      </c>
      <c r="B2" s="3"/>
      <c r="C2" s="3"/>
      <c r="D2" s="3"/>
      <c r="E2" s="3"/>
    </row>
    <row r="3" spans="1:5" x14ac:dyDescent="0.25">
      <c r="A3" s="3"/>
      <c r="B3" s="3"/>
      <c r="C3" s="3"/>
      <c r="D3" s="3"/>
      <c r="E3" s="3"/>
    </row>
    <row r="4" spans="1:5" ht="15.75" x14ac:dyDescent="0.25">
      <c r="A4" s="27" t="s">
        <v>457</v>
      </c>
      <c r="B4" s="3"/>
      <c r="C4" s="3"/>
      <c r="D4" s="3"/>
      <c r="E4" s="3"/>
    </row>
    <row r="5" spans="1:5" x14ac:dyDescent="0.25">
      <c r="A5" s="156" t="s">
        <v>92</v>
      </c>
      <c r="B5" s="130" t="s">
        <v>79</v>
      </c>
      <c r="C5" s="130" t="s">
        <v>38</v>
      </c>
      <c r="D5" s="130" t="s">
        <v>37</v>
      </c>
      <c r="E5" s="131" t="s">
        <v>59</v>
      </c>
    </row>
    <row r="6" spans="1:5" x14ac:dyDescent="0.25">
      <c r="A6" s="76" t="s">
        <v>2</v>
      </c>
      <c r="B6" s="25">
        <v>134496</v>
      </c>
      <c r="C6" s="25"/>
      <c r="D6" s="25">
        <v>14</v>
      </c>
      <c r="E6" s="25">
        <v>134510</v>
      </c>
    </row>
    <row r="7" spans="1:5" x14ac:dyDescent="0.25">
      <c r="A7" s="78" t="s">
        <v>3</v>
      </c>
      <c r="B7" s="25">
        <v>378538</v>
      </c>
      <c r="C7" s="25"/>
      <c r="D7" s="25">
        <v>1300</v>
      </c>
      <c r="E7" s="25">
        <v>379838</v>
      </c>
    </row>
    <row r="8" spans="1:5" x14ac:dyDescent="0.25">
      <c r="A8" s="78" t="s">
        <v>4</v>
      </c>
      <c r="B8" s="25">
        <v>691380</v>
      </c>
      <c r="C8" s="25">
        <v>53247</v>
      </c>
      <c r="D8" s="25">
        <v>35764</v>
      </c>
      <c r="E8" s="25">
        <v>780391</v>
      </c>
    </row>
    <row r="9" spans="1:5" x14ac:dyDescent="0.25">
      <c r="A9" s="79" t="s">
        <v>0</v>
      </c>
      <c r="B9" s="26">
        <v>1204414</v>
      </c>
      <c r="C9" s="26">
        <v>53247</v>
      </c>
      <c r="D9" s="26">
        <v>37078</v>
      </c>
      <c r="E9" s="26">
        <v>1294739</v>
      </c>
    </row>
    <row r="10" spans="1:5" x14ac:dyDescent="0.25">
      <c r="A10" s="3"/>
      <c r="B10" s="3"/>
      <c r="C10" s="3"/>
      <c r="D10" s="3"/>
      <c r="E10" s="3"/>
    </row>
    <row r="11" spans="1:5" ht="15.75" x14ac:dyDescent="0.25">
      <c r="A11" s="27" t="s">
        <v>458</v>
      </c>
      <c r="B11" s="3"/>
      <c r="C11" s="3"/>
      <c r="D11" s="3"/>
      <c r="E11" s="3"/>
    </row>
    <row r="12" spans="1:5" ht="25.5" x14ac:dyDescent="0.25">
      <c r="A12" s="156" t="s">
        <v>92</v>
      </c>
      <c r="B12" s="131" t="s">
        <v>158</v>
      </c>
      <c r="C12" s="131" t="s">
        <v>159</v>
      </c>
      <c r="D12" s="131" t="s">
        <v>59</v>
      </c>
      <c r="E12" s="3"/>
    </row>
    <row r="13" spans="1:5" x14ac:dyDescent="0.25">
      <c r="A13" s="78" t="s">
        <v>2</v>
      </c>
      <c r="B13" s="115">
        <v>77793</v>
      </c>
      <c r="C13" s="115">
        <v>56717</v>
      </c>
      <c r="D13" s="115">
        <v>134510</v>
      </c>
      <c r="E13" s="3"/>
    </row>
    <row r="14" spans="1:5" x14ac:dyDescent="0.25">
      <c r="A14" s="78" t="s">
        <v>3</v>
      </c>
      <c r="B14" s="115">
        <v>193712</v>
      </c>
      <c r="C14" s="115">
        <v>186126</v>
      </c>
      <c r="D14" s="115">
        <v>379838</v>
      </c>
      <c r="E14" s="3"/>
    </row>
    <row r="15" spans="1:5" x14ac:dyDescent="0.25">
      <c r="A15" s="78" t="s">
        <v>4</v>
      </c>
      <c r="B15" s="115">
        <v>429685</v>
      </c>
      <c r="C15" s="115">
        <v>350706</v>
      </c>
      <c r="D15" s="115">
        <v>780391</v>
      </c>
      <c r="E15" s="3"/>
    </row>
    <row r="16" spans="1:5" x14ac:dyDescent="0.25">
      <c r="A16" s="79" t="s">
        <v>0</v>
      </c>
      <c r="B16" s="26">
        <v>701190</v>
      </c>
      <c r="C16" s="26">
        <v>593549</v>
      </c>
      <c r="D16" s="26">
        <v>1294739</v>
      </c>
      <c r="E16" s="3"/>
    </row>
    <row r="17" spans="1:5" x14ac:dyDescent="0.25">
      <c r="A17" s="3"/>
      <c r="B17" s="3"/>
      <c r="C17" s="3"/>
      <c r="D17" s="3"/>
      <c r="E17" s="3"/>
    </row>
    <row r="18" spans="1:5" ht="15.75" x14ac:dyDescent="0.25">
      <c r="A18" s="27" t="s">
        <v>459</v>
      </c>
      <c r="B18" s="3"/>
      <c r="C18" s="3"/>
      <c r="D18" s="3"/>
      <c r="E18" s="3"/>
    </row>
    <row r="19" spans="1:5" x14ac:dyDescent="0.25">
      <c r="A19" s="156" t="s">
        <v>92</v>
      </c>
      <c r="B19" s="130" t="s">
        <v>79</v>
      </c>
      <c r="C19" s="130" t="s">
        <v>38</v>
      </c>
      <c r="D19" s="130" t="s">
        <v>37</v>
      </c>
      <c r="E19" s="131" t="s">
        <v>59</v>
      </c>
    </row>
    <row r="20" spans="1:5" x14ac:dyDescent="0.25">
      <c r="A20" s="78" t="s">
        <v>2</v>
      </c>
      <c r="B20" s="25">
        <v>127556</v>
      </c>
      <c r="C20" s="25"/>
      <c r="D20" s="25">
        <v>14</v>
      </c>
      <c r="E20" s="25">
        <v>127570</v>
      </c>
    </row>
    <row r="21" spans="1:5" x14ac:dyDescent="0.25">
      <c r="A21" s="102" t="s">
        <v>329</v>
      </c>
      <c r="B21" s="25">
        <v>6940</v>
      </c>
      <c r="C21" s="25"/>
      <c r="D21" s="25"/>
      <c r="E21" s="25">
        <v>6940</v>
      </c>
    </row>
    <row r="22" spans="1:5" x14ac:dyDescent="0.25">
      <c r="A22" s="78" t="s">
        <v>3</v>
      </c>
      <c r="B22" s="25">
        <v>378538</v>
      </c>
      <c r="C22" s="25"/>
      <c r="D22" s="25">
        <v>1300</v>
      </c>
      <c r="E22" s="25">
        <v>379838</v>
      </c>
    </row>
    <row r="23" spans="1:5" x14ac:dyDescent="0.25">
      <c r="A23" s="102" t="s">
        <v>350</v>
      </c>
      <c r="B23" s="25">
        <v>192961</v>
      </c>
      <c r="C23" s="25">
        <v>12304</v>
      </c>
      <c r="D23" s="25">
        <v>3713</v>
      </c>
      <c r="E23" s="25">
        <v>208978</v>
      </c>
    </row>
    <row r="24" spans="1:5" x14ac:dyDescent="0.25">
      <c r="A24" s="102" t="s">
        <v>351</v>
      </c>
      <c r="B24" s="25">
        <v>193168</v>
      </c>
      <c r="C24" s="25">
        <v>15330</v>
      </c>
      <c r="D24" s="25">
        <v>19566</v>
      </c>
      <c r="E24" s="25">
        <v>228064</v>
      </c>
    </row>
    <row r="25" spans="1:5" x14ac:dyDescent="0.25">
      <c r="A25" s="82" t="s">
        <v>299</v>
      </c>
      <c r="B25" s="25">
        <v>303657</v>
      </c>
      <c r="C25" s="25">
        <v>25326</v>
      </c>
      <c r="D25" s="25">
        <v>12485</v>
      </c>
      <c r="E25" s="25">
        <v>341468</v>
      </c>
    </row>
    <row r="26" spans="1:5" s="110" customFormat="1" x14ac:dyDescent="0.25">
      <c r="A26" s="102" t="s">
        <v>365</v>
      </c>
      <c r="B26" s="25">
        <v>1594</v>
      </c>
      <c r="C26" s="25">
        <v>287</v>
      </c>
      <c r="D26" s="25"/>
      <c r="E26" s="25">
        <v>1881</v>
      </c>
    </row>
    <row r="27" spans="1:5" x14ac:dyDescent="0.25">
      <c r="A27" s="79" t="s">
        <v>0</v>
      </c>
      <c r="B27" s="26">
        <v>1204414</v>
      </c>
      <c r="C27" s="26">
        <v>53247</v>
      </c>
      <c r="D27" s="26">
        <v>37078</v>
      </c>
      <c r="E27" s="26">
        <v>1294739</v>
      </c>
    </row>
    <row r="28" spans="1:5" s="110" customFormat="1" x14ac:dyDescent="0.25">
      <c r="A28" s="139" t="s">
        <v>388</v>
      </c>
      <c r="B28" s="60"/>
      <c r="C28" s="60"/>
      <c r="D28" s="60"/>
      <c r="E28" s="60"/>
    </row>
    <row r="29" spans="1:5" s="110" customFormat="1" x14ac:dyDescent="0.25">
      <c r="A29" s="139" t="s">
        <v>393</v>
      </c>
      <c r="B29" s="60"/>
      <c r="C29" s="60"/>
      <c r="D29" s="60"/>
      <c r="E29" s="60"/>
    </row>
    <row r="30" spans="1:5" x14ac:dyDescent="0.25">
      <c r="A30" s="3"/>
      <c r="B30" s="3"/>
      <c r="C30" s="3"/>
      <c r="D30" s="3"/>
      <c r="E30" s="3"/>
    </row>
    <row r="31" spans="1:5" ht="15.75" x14ac:dyDescent="0.25">
      <c r="A31" s="27" t="s">
        <v>460</v>
      </c>
      <c r="B31" s="3"/>
      <c r="C31" s="3"/>
      <c r="D31" s="3"/>
      <c r="E31" s="3"/>
    </row>
    <row r="32" spans="1:5" ht="25.5" x14ac:dyDescent="0.25">
      <c r="A32" s="156" t="s">
        <v>92</v>
      </c>
      <c r="B32" s="131" t="s">
        <v>158</v>
      </c>
      <c r="C32" s="131" t="s">
        <v>159</v>
      </c>
      <c r="D32" s="131" t="s">
        <v>59</v>
      </c>
      <c r="E32" s="3"/>
    </row>
    <row r="33" spans="1:16349" x14ac:dyDescent="0.25">
      <c r="A33" s="78" t="s">
        <v>2</v>
      </c>
      <c r="B33" s="25">
        <v>73534</v>
      </c>
      <c r="C33" s="25">
        <v>54036</v>
      </c>
      <c r="D33" s="25">
        <v>127570</v>
      </c>
      <c r="E33" s="3"/>
    </row>
    <row r="34" spans="1:16349" x14ac:dyDescent="0.25">
      <c r="A34" s="102" t="s">
        <v>329</v>
      </c>
      <c r="B34" s="25">
        <v>4259</v>
      </c>
      <c r="C34" s="25">
        <v>2681</v>
      </c>
      <c r="D34" s="25">
        <v>6940</v>
      </c>
      <c r="E34" s="3"/>
    </row>
    <row r="35" spans="1:16349" x14ac:dyDescent="0.25">
      <c r="A35" s="78" t="s">
        <v>3</v>
      </c>
      <c r="B35" s="25">
        <v>193712</v>
      </c>
      <c r="C35" s="25">
        <v>186126</v>
      </c>
      <c r="D35" s="25">
        <v>379838</v>
      </c>
      <c r="E35" s="3"/>
    </row>
    <row r="36" spans="1:16349" x14ac:dyDescent="0.25">
      <c r="A36" s="102" t="s">
        <v>350</v>
      </c>
      <c r="B36" s="25">
        <v>109173</v>
      </c>
      <c r="C36" s="25">
        <v>99805</v>
      </c>
      <c r="D36" s="25">
        <v>208978</v>
      </c>
      <c r="E36" s="3"/>
    </row>
    <row r="37" spans="1:16349" x14ac:dyDescent="0.25">
      <c r="A37" s="102" t="s">
        <v>351</v>
      </c>
      <c r="B37" s="25">
        <v>116314</v>
      </c>
      <c r="C37" s="25">
        <v>111750</v>
      </c>
      <c r="D37" s="25">
        <v>228064</v>
      </c>
      <c r="E37" s="3"/>
    </row>
    <row r="38" spans="1:16349" x14ac:dyDescent="0.25">
      <c r="A38" s="82" t="s">
        <v>299</v>
      </c>
      <c r="B38" s="25">
        <v>203119</v>
      </c>
      <c r="C38" s="25">
        <v>138349</v>
      </c>
      <c r="D38" s="25">
        <v>341468</v>
      </c>
      <c r="E38" s="3"/>
    </row>
    <row r="39" spans="1:16349" s="110" customFormat="1" x14ac:dyDescent="0.25">
      <c r="A39" s="102" t="s">
        <v>365</v>
      </c>
      <c r="B39" s="25">
        <v>1079</v>
      </c>
      <c r="C39" s="25">
        <v>802</v>
      </c>
      <c r="D39" s="25">
        <v>1881</v>
      </c>
    </row>
    <row r="40" spans="1:16349" x14ac:dyDescent="0.25">
      <c r="A40" s="79" t="s">
        <v>0</v>
      </c>
      <c r="B40" s="26">
        <v>701190</v>
      </c>
      <c r="C40" s="26">
        <v>593549</v>
      </c>
      <c r="D40" s="26">
        <v>1294739</v>
      </c>
      <c r="E40" s="3"/>
      <c r="H40" s="110"/>
      <c r="I40" s="110"/>
      <c r="J40" s="110"/>
      <c r="K40" s="110"/>
      <c r="L40" s="110"/>
      <c r="M40" s="110"/>
      <c r="N40" s="110"/>
      <c r="O40" s="110"/>
      <c r="P40" s="110"/>
      <c r="Q40" s="110"/>
      <c r="R40" s="110"/>
      <c r="S40" s="110"/>
      <c r="T40" s="110"/>
      <c r="U40" s="110"/>
      <c r="V40" s="110"/>
      <c r="W40" s="110"/>
      <c r="X40" s="110"/>
      <c r="Y40" s="110"/>
      <c r="Z40" s="110"/>
      <c r="AA40" s="110"/>
      <c r="AB40" s="110"/>
      <c r="AC40" s="110"/>
      <c r="AD40" s="110"/>
      <c r="AE40" s="110"/>
      <c r="AF40" s="110"/>
      <c r="AG40" s="110"/>
      <c r="AH40" s="110"/>
      <c r="AI40" s="110"/>
      <c r="AJ40" s="110"/>
      <c r="AK40" s="110"/>
      <c r="AL40" s="110"/>
      <c r="AM40" s="110"/>
      <c r="AN40" s="110"/>
      <c r="AO40" s="110"/>
      <c r="AP40" s="110"/>
      <c r="AQ40" s="110"/>
      <c r="AR40" s="110"/>
      <c r="AS40" s="110"/>
      <c r="AT40" s="110"/>
      <c r="AU40" s="110"/>
      <c r="AV40" s="110"/>
      <c r="AW40" s="110"/>
      <c r="AX40" s="110"/>
      <c r="AY40" s="110"/>
      <c r="AZ40" s="110"/>
      <c r="BA40" s="110"/>
      <c r="BB40" s="110"/>
      <c r="BC40" s="110"/>
      <c r="BD40" s="110"/>
      <c r="BE40" s="110"/>
      <c r="BF40" s="110"/>
      <c r="BG40" s="110"/>
      <c r="BH40" s="110"/>
      <c r="BI40" s="110"/>
      <c r="BJ40" s="110"/>
      <c r="BK40" s="110"/>
      <c r="BL40" s="110"/>
      <c r="BM40" s="110"/>
      <c r="BN40" s="110"/>
      <c r="BO40" s="110"/>
      <c r="BP40" s="110"/>
      <c r="BQ40" s="110"/>
      <c r="BR40" s="110"/>
      <c r="BS40" s="110"/>
      <c r="BT40" s="110"/>
      <c r="BU40" s="110"/>
      <c r="BV40" s="110"/>
      <c r="BW40" s="110"/>
      <c r="BX40" s="110"/>
      <c r="BY40" s="110"/>
      <c r="BZ40" s="110"/>
      <c r="CA40" s="110"/>
      <c r="CB40" s="110"/>
      <c r="CC40" s="110"/>
      <c r="CD40" s="110"/>
      <c r="CE40" s="110"/>
      <c r="CF40" s="110"/>
      <c r="CG40" s="110"/>
      <c r="CH40" s="110"/>
      <c r="CI40" s="110"/>
      <c r="CJ40" s="110"/>
      <c r="CK40" s="110"/>
      <c r="CL40" s="110"/>
      <c r="CM40" s="110"/>
      <c r="CN40" s="110"/>
      <c r="CO40" s="110"/>
      <c r="CP40" s="110"/>
      <c r="CQ40" s="110"/>
      <c r="CR40" s="110"/>
      <c r="CS40" s="110"/>
      <c r="CT40" s="110"/>
      <c r="CU40" s="110"/>
      <c r="CV40" s="110"/>
      <c r="CW40" s="110"/>
      <c r="CX40" s="110"/>
      <c r="CY40" s="110"/>
      <c r="CZ40" s="110"/>
      <c r="DA40" s="110"/>
      <c r="DB40" s="110"/>
      <c r="DC40" s="110"/>
      <c r="DD40" s="110"/>
      <c r="DE40" s="110"/>
      <c r="DF40" s="110"/>
      <c r="DG40" s="110"/>
      <c r="DH40" s="110"/>
      <c r="DI40" s="110"/>
      <c r="DJ40" s="110"/>
      <c r="DK40" s="110"/>
      <c r="DL40" s="110"/>
    </row>
    <row r="41" spans="1:16349" s="110" customFormat="1" x14ac:dyDescent="0.25">
      <c r="A41" s="139" t="s">
        <v>388</v>
      </c>
      <c r="DM41" s="139"/>
      <c r="DN41" s="139"/>
      <c r="DO41" s="139"/>
      <c r="DP41" s="139"/>
      <c r="DQ41" s="139"/>
      <c r="DR41" s="139"/>
      <c r="DS41" s="139"/>
      <c r="DT41" s="139"/>
      <c r="DU41" s="139"/>
      <c r="DV41" s="139"/>
      <c r="DW41" s="139"/>
      <c r="DX41" s="139"/>
      <c r="DY41" s="139"/>
      <c r="DZ41" s="139"/>
      <c r="EA41" s="139"/>
      <c r="EB41" s="139"/>
      <c r="EC41" s="139"/>
      <c r="ED41" s="139"/>
      <c r="EE41" s="139"/>
      <c r="EF41" s="139"/>
      <c r="EG41" s="139"/>
      <c r="EH41" s="139"/>
      <c r="EI41" s="139"/>
      <c r="EJ41" s="139"/>
      <c r="EK41" s="139"/>
      <c r="EL41" s="139"/>
      <c r="EM41" s="139"/>
      <c r="EN41" s="139"/>
      <c r="EO41" s="139"/>
      <c r="EP41" s="139"/>
      <c r="EQ41" s="139"/>
      <c r="ER41" s="139"/>
      <c r="ES41" s="139"/>
      <c r="ET41" s="139"/>
      <c r="EU41" s="139"/>
      <c r="EV41" s="139"/>
      <c r="EW41" s="139"/>
      <c r="EX41" s="139"/>
      <c r="EY41" s="139"/>
      <c r="EZ41" s="139"/>
      <c r="FA41" s="139"/>
      <c r="FB41" s="139"/>
      <c r="FC41" s="139"/>
      <c r="FD41" s="139"/>
      <c r="FE41" s="139"/>
      <c r="FF41" s="139"/>
      <c r="FG41" s="139"/>
      <c r="FH41" s="139"/>
      <c r="FI41" s="139"/>
      <c r="FJ41" s="139"/>
      <c r="FK41" s="139"/>
      <c r="FL41" s="139"/>
      <c r="FM41" s="139"/>
      <c r="FN41" s="139"/>
      <c r="FO41" s="139"/>
      <c r="FP41" s="139"/>
      <c r="FQ41" s="139"/>
      <c r="FR41" s="139"/>
      <c r="FS41" s="139"/>
      <c r="FT41" s="139"/>
      <c r="FU41" s="139"/>
      <c r="FV41" s="139"/>
      <c r="FW41" s="139"/>
      <c r="FX41" s="139"/>
      <c r="FY41" s="139"/>
      <c r="FZ41" s="139"/>
      <c r="GA41" s="139"/>
      <c r="GB41" s="139"/>
      <c r="GC41" s="139"/>
      <c r="GD41" s="139"/>
      <c r="GE41" s="139"/>
      <c r="GF41" s="139"/>
      <c r="GG41" s="139"/>
      <c r="GH41" s="139"/>
      <c r="GI41" s="139"/>
      <c r="GJ41" s="139"/>
      <c r="GK41" s="139"/>
      <c r="GL41" s="139"/>
      <c r="GM41" s="139"/>
      <c r="GN41" s="139"/>
      <c r="GO41" s="139"/>
      <c r="GP41" s="139"/>
      <c r="GQ41" s="139"/>
      <c r="GR41" s="139"/>
      <c r="GS41" s="139"/>
      <c r="GT41" s="139"/>
      <c r="GU41" s="139"/>
      <c r="GV41" s="139"/>
      <c r="GW41" s="139"/>
      <c r="GX41" s="139"/>
      <c r="GY41" s="139"/>
      <c r="GZ41" s="139"/>
      <c r="HA41" s="139"/>
      <c r="HB41" s="139"/>
      <c r="HC41" s="139"/>
      <c r="HD41" s="139"/>
      <c r="HE41" s="139"/>
      <c r="HF41" s="139"/>
      <c r="HG41" s="139"/>
      <c r="HH41" s="139"/>
      <c r="HI41" s="139"/>
      <c r="HJ41" s="139"/>
      <c r="HK41" s="139"/>
      <c r="HL41" s="139"/>
      <c r="HM41" s="139"/>
      <c r="HN41" s="139"/>
      <c r="HO41" s="139"/>
      <c r="HP41" s="139"/>
      <c r="HQ41" s="139"/>
      <c r="HR41" s="139"/>
      <c r="HS41" s="139"/>
      <c r="HT41" s="139"/>
      <c r="HU41" s="139"/>
      <c r="HV41" s="139"/>
      <c r="HW41" s="139"/>
      <c r="HX41" s="139"/>
      <c r="HY41" s="139"/>
      <c r="HZ41" s="139"/>
      <c r="IA41" s="139"/>
      <c r="IB41" s="139"/>
      <c r="IC41" s="139"/>
      <c r="ID41" s="139"/>
      <c r="IE41" s="139"/>
      <c r="IF41" s="139"/>
      <c r="IG41" s="139"/>
      <c r="IH41" s="139"/>
      <c r="II41" s="139"/>
      <c r="IJ41" s="139"/>
      <c r="IK41" s="139"/>
      <c r="IL41" s="139"/>
      <c r="IM41" s="139"/>
      <c r="IN41" s="139"/>
      <c r="IO41" s="139"/>
      <c r="IP41" s="139"/>
      <c r="IQ41" s="139"/>
      <c r="IR41" s="139"/>
      <c r="IS41" s="139"/>
      <c r="IT41" s="139"/>
      <c r="IU41" s="139"/>
      <c r="IV41" s="139"/>
      <c r="IW41" s="139"/>
      <c r="IX41" s="139"/>
      <c r="IY41" s="139"/>
      <c r="IZ41" s="139"/>
      <c r="JA41" s="139"/>
      <c r="JB41" s="139"/>
      <c r="JC41" s="139"/>
      <c r="JD41" s="139"/>
      <c r="JE41" s="139"/>
      <c r="JF41" s="139"/>
      <c r="JG41" s="139"/>
      <c r="JH41" s="139"/>
      <c r="JI41" s="139"/>
      <c r="JJ41" s="139"/>
      <c r="JK41" s="139"/>
      <c r="JL41" s="139"/>
      <c r="JM41" s="139"/>
      <c r="JN41" s="139"/>
      <c r="JO41" s="139"/>
      <c r="JP41" s="139"/>
      <c r="JQ41" s="139"/>
      <c r="JR41" s="139"/>
      <c r="JS41" s="139"/>
      <c r="JT41" s="139"/>
      <c r="JU41" s="139"/>
      <c r="JV41" s="139"/>
      <c r="JW41" s="139"/>
      <c r="JX41" s="139"/>
      <c r="JY41" s="139"/>
      <c r="JZ41" s="139"/>
      <c r="KA41" s="139"/>
      <c r="KB41" s="139"/>
      <c r="KC41" s="139"/>
      <c r="KD41" s="139"/>
      <c r="KE41" s="139"/>
      <c r="KF41" s="139"/>
      <c r="KG41" s="139"/>
      <c r="KH41" s="139"/>
      <c r="KI41" s="139"/>
      <c r="KJ41" s="139"/>
      <c r="KK41" s="139"/>
      <c r="KL41" s="139"/>
      <c r="KM41" s="139"/>
      <c r="KN41" s="139"/>
      <c r="KO41" s="139"/>
      <c r="KP41" s="139"/>
      <c r="KQ41" s="139"/>
      <c r="KR41" s="139"/>
      <c r="KS41" s="139"/>
      <c r="KT41" s="139"/>
      <c r="KU41" s="139"/>
      <c r="KV41" s="139"/>
      <c r="KW41" s="139"/>
      <c r="KX41" s="139"/>
      <c r="KY41" s="139"/>
      <c r="KZ41" s="139"/>
      <c r="LA41" s="139"/>
      <c r="LB41" s="139"/>
      <c r="LC41" s="139"/>
      <c r="LD41" s="139"/>
      <c r="LE41" s="139"/>
      <c r="LF41" s="139"/>
      <c r="LG41" s="139"/>
      <c r="LH41" s="139"/>
      <c r="LI41" s="139"/>
      <c r="LJ41" s="139"/>
      <c r="LK41" s="139"/>
      <c r="LL41" s="139"/>
      <c r="LM41" s="139"/>
      <c r="LN41" s="139"/>
      <c r="LO41" s="139"/>
      <c r="LP41" s="139"/>
      <c r="LQ41" s="139"/>
      <c r="LR41" s="139"/>
      <c r="LS41" s="139"/>
      <c r="LT41" s="139"/>
      <c r="LU41" s="139"/>
      <c r="LV41" s="139"/>
      <c r="LW41" s="139"/>
      <c r="LX41" s="139"/>
      <c r="LY41" s="139"/>
      <c r="LZ41" s="139"/>
      <c r="MA41" s="139"/>
      <c r="MB41" s="139"/>
      <c r="MC41" s="139"/>
      <c r="MD41" s="139"/>
      <c r="ME41" s="139"/>
      <c r="MF41" s="139"/>
      <c r="MG41" s="139"/>
      <c r="MH41" s="139"/>
      <c r="MI41" s="139"/>
      <c r="MJ41" s="139"/>
      <c r="MK41" s="139"/>
      <c r="ML41" s="139"/>
      <c r="MM41" s="139"/>
      <c r="MN41" s="139"/>
      <c r="MO41" s="139"/>
      <c r="MP41" s="139"/>
      <c r="MQ41" s="139"/>
      <c r="MR41" s="139"/>
      <c r="MS41" s="139"/>
      <c r="MT41" s="139"/>
      <c r="MU41" s="139"/>
      <c r="MV41" s="139"/>
      <c r="MW41" s="139"/>
      <c r="MX41" s="139"/>
      <c r="MY41" s="139"/>
      <c r="MZ41" s="139"/>
      <c r="NA41" s="139"/>
      <c r="NB41" s="139"/>
      <c r="NC41" s="139"/>
      <c r="ND41" s="139"/>
      <c r="NE41" s="139"/>
      <c r="NF41" s="139"/>
      <c r="NG41" s="139"/>
      <c r="NH41" s="139"/>
      <c r="NI41" s="139"/>
      <c r="NJ41" s="139"/>
      <c r="NK41" s="139"/>
      <c r="NL41" s="139"/>
      <c r="NM41" s="139"/>
      <c r="NN41" s="139"/>
      <c r="NO41" s="139"/>
      <c r="NP41" s="139"/>
      <c r="NQ41" s="139"/>
      <c r="NR41" s="139"/>
      <c r="NS41" s="139"/>
      <c r="NT41" s="139"/>
      <c r="NU41" s="139"/>
      <c r="NV41" s="139"/>
      <c r="NW41" s="139"/>
      <c r="NX41" s="139"/>
      <c r="NY41" s="139"/>
      <c r="NZ41" s="139"/>
      <c r="OA41" s="139"/>
      <c r="OB41" s="139"/>
      <c r="OC41" s="139"/>
      <c r="OD41" s="139"/>
      <c r="OE41" s="139"/>
      <c r="OF41" s="139"/>
      <c r="OG41" s="139"/>
      <c r="OH41" s="139"/>
      <c r="OI41" s="139"/>
      <c r="OJ41" s="139"/>
      <c r="OK41" s="139"/>
      <c r="OL41" s="139"/>
      <c r="OM41" s="139"/>
      <c r="ON41" s="139"/>
      <c r="OO41" s="139"/>
      <c r="OP41" s="139"/>
      <c r="OQ41" s="139"/>
      <c r="OR41" s="139"/>
      <c r="OS41" s="139"/>
      <c r="OT41" s="139"/>
      <c r="OU41" s="139"/>
      <c r="OV41" s="139"/>
      <c r="OW41" s="139"/>
      <c r="OX41" s="139"/>
      <c r="OY41" s="139"/>
      <c r="OZ41" s="139"/>
      <c r="PA41" s="139"/>
      <c r="PB41" s="139"/>
      <c r="PC41" s="139"/>
      <c r="PD41" s="139"/>
      <c r="PE41" s="139"/>
      <c r="PF41" s="139"/>
      <c r="PG41" s="139"/>
      <c r="PH41" s="139"/>
      <c r="PI41" s="139"/>
      <c r="PJ41" s="139"/>
      <c r="PK41" s="139"/>
      <c r="PL41" s="139"/>
      <c r="PM41" s="139"/>
      <c r="PN41" s="139"/>
      <c r="PO41" s="139"/>
      <c r="PP41" s="139"/>
      <c r="PQ41" s="139"/>
      <c r="PR41" s="139"/>
      <c r="PS41" s="139"/>
      <c r="PT41" s="139"/>
      <c r="PU41" s="139"/>
      <c r="PV41" s="139"/>
      <c r="PW41" s="139"/>
      <c r="PX41" s="139"/>
      <c r="PY41" s="139"/>
      <c r="PZ41" s="139"/>
      <c r="QA41" s="139"/>
      <c r="QB41" s="139"/>
      <c r="QC41" s="139"/>
      <c r="QD41" s="139"/>
      <c r="QE41" s="139"/>
      <c r="QF41" s="139"/>
      <c r="QG41" s="139"/>
      <c r="QH41" s="139"/>
      <c r="QI41" s="139"/>
      <c r="QJ41" s="139"/>
      <c r="QK41" s="139"/>
      <c r="QL41" s="139"/>
      <c r="QM41" s="139"/>
      <c r="QN41" s="139"/>
      <c r="QO41" s="139"/>
      <c r="QP41" s="139"/>
      <c r="QQ41" s="139"/>
      <c r="QR41" s="139"/>
      <c r="QS41" s="139"/>
      <c r="QT41" s="139"/>
      <c r="QU41" s="139"/>
      <c r="QV41" s="139"/>
      <c r="QW41" s="139"/>
      <c r="QX41" s="139"/>
      <c r="QY41" s="139"/>
      <c r="QZ41" s="139"/>
      <c r="RA41" s="139"/>
      <c r="RB41" s="139"/>
      <c r="RC41" s="139"/>
      <c r="RD41" s="139"/>
      <c r="RE41" s="139"/>
      <c r="RF41" s="139"/>
      <c r="RG41" s="139"/>
      <c r="RH41" s="139"/>
      <c r="RI41" s="139"/>
      <c r="RJ41" s="139"/>
      <c r="RK41" s="139"/>
      <c r="RL41" s="139"/>
      <c r="RM41" s="139"/>
      <c r="RN41" s="139"/>
      <c r="RO41" s="139"/>
      <c r="RP41" s="139"/>
      <c r="RQ41" s="139"/>
      <c r="RR41" s="139"/>
      <c r="RS41" s="139"/>
      <c r="RT41" s="139"/>
      <c r="RU41" s="139"/>
      <c r="RV41" s="139"/>
      <c r="RW41" s="139"/>
      <c r="RX41" s="139"/>
      <c r="RY41" s="139"/>
      <c r="RZ41" s="139"/>
      <c r="SA41" s="139"/>
      <c r="SB41" s="139"/>
      <c r="SC41" s="139"/>
      <c r="SD41" s="139"/>
      <c r="SE41" s="139"/>
      <c r="SF41" s="139"/>
      <c r="SG41" s="139"/>
      <c r="SH41" s="139"/>
      <c r="SI41" s="139"/>
      <c r="SJ41" s="139"/>
      <c r="SK41" s="139"/>
      <c r="SL41" s="139"/>
      <c r="SM41" s="139"/>
      <c r="SN41" s="139"/>
      <c r="SO41" s="139"/>
      <c r="SP41" s="139"/>
      <c r="SQ41" s="139"/>
      <c r="SR41" s="139"/>
      <c r="SS41" s="139"/>
      <c r="ST41" s="139"/>
      <c r="SU41" s="139"/>
      <c r="SV41" s="139"/>
      <c r="SW41" s="139"/>
      <c r="SX41" s="139"/>
      <c r="SY41" s="139"/>
      <c r="SZ41" s="139"/>
      <c r="TA41" s="139"/>
      <c r="TB41" s="139"/>
      <c r="TC41" s="139"/>
      <c r="TD41" s="139"/>
      <c r="TE41" s="139"/>
      <c r="TF41" s="139"/>
      <c r="TG41" s="139"/>
      <c r="TH41" s="139"/>
      <c r="TI41" s="139"/>
      <c r="TJ41" s="139"/>
      <c r="TK41" s="139"/>
      <c r="TL41" s="139"/>
      <c r="TM41" s="139"/>
      <c r="TN41" s="139"/>
      <c r="TO41" s="139"/>
      <c r="TP41" s="139"/>
      <c r="TQ41" s="139"/>
      <c r="TR41" s="139"/>
      <c r="TS41" s="139"/>
      <c r="TT41" s="139"/>
      <c r="TU41" s="139"/>
      <c r="TV41" s="139"/>
      <c r="TW41" s="139"/>
      <c r="TX41" s="139"/>
      <c r="TY41" s="139"/>
      <c r="TZ41" s="139"/>
      <c r="UA41" s="139"/>
      <c r="UB41" s="139"/>
      <c r="UC41" s="139"/>
      <c r="UD41" s="139"/>
      <c r="UE41" s="139"/>
      <c r="UF41" s="139"/>
      <c r="UG41" s="139"/>
      <c r="UH41" s="139"/>
      <c r="UI41" s="139"/>
      <c r="UJ41" s="139"/>
      <c r="UK41" s="139"/>
      <c r="UL41" s="139"/>
      <c r="UM41" s="139"/>
      <c r="UN41" s="139"/>
      <c r="UO41" s="139"/>
      <c r="UP41" s="139"/>
      <c r="UQ41" s="139"/>
      <c r="UR41" s="139"/>
      <c r="US41" s="139"/>
      <c r="UT41" s="139"/>
      <c r="UU41" s="139"/>
      <c r="UV41" s="139"/>
      <c r="UW41" s="139"/>
      <c r="UX41" s="139"/>
      <c r="UY41" s="139"/>
      <c r="UZ41" s="139"/>
      <c r="VA41" s="139"/>
      <c r="VB41" s="139"/>
      <c r="VC41" s="139"/>
      <c r="VD41" s="139"/>
      <c r="VE41" s="139"/>
      <c r="VF41" s="139"/>
      <c r="VG41" s="139"/>
      <c r="VH41" s="139"/>
      <c r="VI41" s="139"/>
      <c r="VJ41" s="139"/>
      <c r="VK41" s="139"/>
      <c r="VL41" s="139"/>
      <c r="VM41" s="139"/>
      <c r="VN41" s="139"/>
      <c r="VO41" s="139"/>
      <c r="VP41" s="139"/>
      <c r="VQ41" s="139"/>
      <c r="VR41" s="139"/>
      <c r="VS41" s="139"/>
      <c r="VT41" s="139"/>
      <c r="VU41" s="139"/>
      <c r="VV41" s="139"/>
      <c r="VW41" s="139"/>
      <c r="VX41" s="139"/>
      <c r="VY41" s="139"/>
      <c r="VZ41" s="139"/>
      <c r="WA41" s="139"/>
      <c r="WB41" s="139"/>
      <c r="WC41" s="139"/>
      <c r="WD41" s="139"/>
      <c r="WE41" s="139"/>
      <c r="WF41" s="139"/>
      <c r="WG41" s="139"/>
      <c r="WH41" s="139"/>
      <c r="WI41" s="139"/>
      <c r="WJ41" s="139"/>
      <c r="WK41" s="139"/>
      <c r="WL41" s="139"/>
      <c r="WM41" s="139"/>
      <c r="WN41" s="139"/>
      <c r="WO41" s="139"/>
      <c r="WP41" s="139"/>
      <c r="WQ41" s="139"/>
      <c r="WR41" s="139"/>
      <c r="WS41" s="139"/>
      <c r="WT41" s="139"/>
      <c r="WU41" s="139"/>
      <c r="WV41" s="139"/>
      <c r="WW41" s="139"/>
      <c r="WX41" s="139"/>
      <c r="WY41" s="139"/>
      <c r="WZ41" s="139"/>
      <c r="XA41" s="139"/>
      <c r="XB41" s="139"/>
      <c r="XC41" s="139"/>
      <c r="XD41" s="139"/>
      <c r="XE41" s="139"/>
      <c r="XF41" s="139"/>
      <c r="XG41" s="139"/>
      <c r="XH41" s="139"/>
      <c r="XI41" s="139"/>
      <c r="XJ41" s="139"/>
      <c r="XK41" s="139"/>
      <c r="XL41" s="139"/>
      <c r="XM41" s="139"/>
      <c r="XN41" s="139"/>
      <c r="XO41" s="139"/>
      <c r="XP41" s="139"/>
      <c r="XQ41" s="139"/>
      <c r="XR41" s="139"/>
      <c r="XS41" s="139"/>
      <c r="XT41" s="139"/>
      <c r="XU41" s="139"/>
      <c r="XV41" s="139"/>
      <c r="XW41" s="139"/>
      <c r="XX41" s="139"/>
      <c r="XY41" s="139"/>
      <c r="XZ41" s="139"/>
      <c r="YA41" s="139"/>
      <c r="YB41" s="139"/>
      <c r="YC41" s="139"/>
      <c r="YD41" s="139"/>
      <c r="YE41" s="139"/>
      <c r="YF41" s="139"/>
      <c r="YG41" s="139"/>
      <c r="YH41" s="139"/>
      <c r="YI41" s="139"/>
      <c r="YJ41" s="139"/>
      <c r="YK41" s="139"/>
      <c r="YL41" s="139"/>
      <c r="YM41" s="139"/>
      <c r="YN41" s="139"/>
      <c r="YO41" s="139"/>
      <c r="YP41" s="139"/>
      <c r="YQ41" s="139"/>
      <c r="YR41" s="139"/>
      <c r="YS41" s="139"/>
      <c r="YT41" s="139"/>
      <c r="YU41" s="139"/>
      <c r="YV41" s="139"/>
      <c r="YW41" s="139"/>
      <c r="YX41" s="139"/>
      <c r="YY41" s="139"/>
      <c r="YZ41" s="139"/>
      <c r="ZA41" s="139"/>
      <c r="ZB41" s="139"/>
      <c r="ZC41" s="139"/>
      <c r="ZD41" s="139"/>
      <c r="ZE41" s="139"/>
      <c r="ZF41" s="139"/>
      <c r="ZG41" s="139"/>
      <c r="ZH41" s="139"/>
      <c r="ZI41" s="139"/>
      <c r="ZJ41" s="139"/>
      <c r="ZK41" s="139"/>
      <c r="ZL41" s="139"/>
      <c r="ZM41" s="139"/>
      <c r="ZN41" s="139"/>
      <c r="ZO41" s="139"/>
      <c r="ZP41" s="139"/>
      <c r="ZQ41" s="139"/>
      <c r="ZR41" s="139"/>
      <c r="ZS41" s="139"/>
      <c r="ZT41" s="139"/>
      <c r="ZU41" s="139"/>
      <c r="ZV41" s="139"/>
      <c r="ZW41" s="139"/>
      <c r="ZX41" s="139"/>
      <c r="ZY41" s="139"/>
      <c r="ZZ41" s="139"/>
      <c r="AAA41" s="139"/>
      <c r="AAB41" s="139"/>
      <c r="AAC41" s="139"/>
      <c r="AAD41" s="139"/>
      <c r="AAE41" s="139"/>
      <c r="AAF41" s="139"/>
      <c r="AAG41" s="139"/>
      <c r="AAH41" s="139"/>
      <c r="AAI41" s="139"/>
      <c r="AAJ41" s="139"/>
      <c r="AAK41" s="139"/>
      <c r="AAL41" s="139"/>
      <c r="AAM41" s="139"/>
      <c r="AAN41" s="139"/>
      <c r="AAO41" s="139"/>
      <c r="AAP41" s="139"/>
      <c r="AAQ41" s="139"/>
      <c r="AAR41" s="139"/>
      <c r="AAS41" s="139"/>
      <c r="AAT41" s="139"/>
      <c r="AAU41" s="139"/>
      <c r="AAV41" s="139"/>
      <c r="AAW41" s="139"/>
      <c r="AAX41" s="139"/>
      <c r="AAY41" s="139"/>
      <c r="AAZ41" s="139"/>
      <c r="ABA41" s="139"/>
      <c r="ABB41" s="139"/>
      <c r="ABC41" s="139"/>
      <c r="ABD41" s="139"/>
      <c r="ABE41" s="139"/>
      <c r="ABF41" s="139"/>
      <c r="ABG41" s="139"/>
      <c r="ABH41" s="139"/>
      <c r="ABI41" s="139"/>
      <c r="ABJ41" s="139"/>
      <c r="ABK41" s="139"/>
      <c r="ABL41" s="139"/>
      <c r="ABM41" s="139"/>
      <c r="ABN41" s="139"/>
      <c r="ABO41" s="139"/>
      <c r="ABP41" s="139"/>
      <c r="ABQ41" s="139"/>
      <c r="ABR41" s="139"/>
      <c r="ABS41" s="139"/>
      <c r="ABT41" s="139"/>
      <c r="ABU41" s="139"/>
      <c r="ABV41" s="139"/>
      <c r="ABW41" s="139"/>
      <c r="ABX41" s="139"/>
      <c r="ABY41" s="139"/>
      <c r="ABZ41" s="139"/>
      <c r="ACA41" s="139"/>
      <c r="ACB41" s="139"/>
      <c r="ACC41" s="139"/>
      <c r="ACD41" s="139"/>
      <c r="ACE41" s="139"/>
      <c r="ACF41" s="139"/>
      <c r="ACG41" s="139"/>
      <c r="ACH41" s="139"/>
      <c r="ACI41" s="139"/>
      <c r="ACJ41" s="139"/>
      <c r="ACK41" s="139"/>
      <c r="ACL41" s="139"/>
      <c r="ACM41" s="139"/>
      <c r="ACN41" s="139"/>
      <c r="ACO41" s="139"/>
      <c r="ACP41" s="139"/>
      <c r="ACQ41" s="139"/>
      <c r="ACR41" s="139"/>
      <c r="ACS41" s="139"/>
      <c r="ACT41" s="139"/>
      <c r="ACU41" s="139"/>
      <c r="ACV41" s="139"/>
      <c r="ACW41" s="139"/>
      <c r="ACX41" s="139"/>
      <c r="ACY41" s="139"/>
      <c r="ACZ41" s="139"/>
      <c r="ADA41" s="139"/>
      <c r="ADB41" s="139"/>
      <c r="ADC41" s="139"/>
      <c r="ADD41" s="139"/>
      <c r="ADE41" s="139"/>
      <c r="ADF41" s="139"/>
      <c r="ADG41" s="139"/>
      <c r="ADH41" s="139"/>
      <c r="ADI41" s="139"/>
      <c r="ADJ41" s="139"/>
      <c r="ADK41" s="139"/>
      <c r="ADL41" s="139"/>
      <c r="ADM41" s="139"/>
      <c r="ADN41" s="139"/>
      <c r="ADO41" s="139"/>
      <c r="ADP41" s="139"/>
      <c r="ADQ41" s="139"/>
      <c r="ADR41" s="139"/>
      <c r="ADS41" s="139"/>
      <c r="ADT41" s="139"/>
      <c r="ADU41" s="139"/>
      <c r="ADV41" s="139"/>
      <c r="ADW41" s="139"/>
      <c r="ADX41" s="139"/>
      <c r="ADY41" s="139"/>
      <c r="ADZ41" s="139"/>
      <c r="AEA41" s="139"/>
      <c r="AEB41" s="139"/>
      <c r="AEC41" s="139"/>
      <c r="AED41" s="139"/>
      <c r="AEE41" s="139"/>
      <c r="AEF41" s="139"/>
      <c r="AEG41" s="139"/>
      <c r="AEH41" s="139"/>
      <c r="AEI41" s="139"/>
      <c r="AEJ41" s="139"/>
      <c r="AEK41" s="139"/>
      <c r="AEL41" s="139"/>
      <c r="AEM41" s="139"/>
      <c r="AEN41" s="139"/>
      <c r="AEO41" s="139"/>
      <c r="AEP41" s="139"/>
      <c r="AEQ41" s="139"/>
      <c r="AER41" s="139"/>
      <c r="AES41" s="139"/>
      <c r="AET41" s="139"/>
      <c r="AEU41" s="139"/>
      <c r="AEV41" s="139"/>
      <c r="AEW41" s="139"/>
      <c r="AEX41" s="139"/>
      <c r="AEY41" s="139"/>
      <c r="AEZ41" s="139"/>
      <c r="AFA41" s="139"/>
      <c r="AFB41" s="139"/>
      <c r="AFC41" s="139"/>
      <c r="AFD41" s="139"/>
      <c r="AFE41" s="139"/>
      <c r="AFF41" s="139"/>
      <c r="AFG41" s="139"/>
      <c r="AFH41" s="139"/>
      <c r="AFI41" s="139"/>
      <c r="AFJ41" s="139"/>
      <c r="AFK41" s="139"/>
      <c r="AFL41" s="139"/>
      <c r="AFM41" s="139"/>
      <c r="AFN41" s="139"/>
      <c r="AFO41" s="139"/>
      <c r="AFP41" s="139"/>
      <c r="AFQ41" s="139"/>
      <c r="AFR41" s="139"/>
      <c r="AFS41" s="139"/>
      <c r="AFT41" s="139"/>
      <c r="AFU41" s="139"/>
      <c r="AFV41" s="139"/>
      <c r="AFW41" s="139"/>
      <c r="AFX41" s="139"/>
      <c r="AFY41" s="139"/>
      <c r="AFZ41" s="139"/>
      <c r="AGA41" s="139"/>
      <c r="AGB41" s="139"/>
      <c r="AGC41" s="139"/>
      <c r="AGD41" s="139"/>
      <c r="AGE41" s="139"/>
      <c r="AGF41" s="139"/>
      <c r="AGG41" s="139"/>
      <c r="AGH41" s="139"/>
      <c r="AGI41" s="139"/>
      <c r="AGJ41" s="139"/>
      <c r="AGK41" s="139"/>
      <c r="AGL41" s="139"/>
      <c r="AGM41" s="139"/>
      <c r="AGN41" s="139"/>
      <c r="AGO41" s="139"/>
      <c r="AGP41" s="139"/>
      <c r="AGQ41" s="139"/>
      <c r="AGR41" s="139"/>
      <c r="AGS41" s="139"/>
      <c r="AGT41" s="139"/>
      <c r="AGU41" s="139"/>
      <c r="AGV41" s="139"/>
      <c r="AGW41" s="139"/>
      <c r="AGX41" s="139"/>
      <c r="AGY41" s="139"/>
      <c r="AGZ41" s="139"/>
      <c r="AHA41" s="139"/>
      <c r="AHB41" s="139"/>
      <c r="AHC41" s="139"/>
      <c r="AHD41" s="139"/>
      <c r="AHE41" s="139"/>
      <c r="AHF41" s="139"/>
      <c r="AHG41" s="139"/>
      <c r="AHH41" s="139"/>
      <c r="AHI41" s="139"/>
      <c r="AHJ41" s="139"/>
      <c r="AHK41" s="139"/>
      <c r="AHL41" s="139"/>
      <c r="AHM41" s="139"/>
      <c r="AHN41" s="139"/>
      <c r="AHO41" s="139"/>
      <c r="AHP41" s="139"/>
      <c r="AHQ41" s="139"/>
      <c r="AHR41" s="139"/>
      <c r="AHS41" s="139"/>
      <c r="AHT41" s="139"/>
      <c r="AHU41" s="139"/>
      <c r="AHV41" s="139"/>
      <c r="AHW41" s="139"/>
      <c r="AHX41" s="139"/>
      <c r="AHY41" s="139"/>
      <c r="AHZ41" s="139"/>
      <c r="AIA41" s="139"/>
      <c r="AIB41" s="139"/>
      <c r="AIC41" s="139"/>
      <c r="AID41" s="139"/>
      <c r="AIE41" s="139"/>
      <c r="AIF41" s="139"/>
      <c r="AIG41" s="139"/>
      <c r="AIH41" s="139"/>
      <c r="AII41" s="139"/>
      <c r="AIJ41" s="139"/>
      <c r="AIK41" s="139"/>
      <c r="AIL41" s="139"/>
      <c r="AIM41" s="139"/>
      <c r="AIN41" s="139"/>
      <c r="AIO41" s="139"/>
      <c r="AIP41" s="139"/>
      <c r="AIQ41" s="139"/>
      <c r="AIR41" s="139"/>
      <c r="AIS41" s="139"/>
      <c r="AIT41" s="139"/>
      <c r="AIU41" s="139"/>
      <c r="AIV41" s="139"/>
      <c r="AIW41" s="139"/>
      <c r="AIX41" s="139"/>
      <c r="AIY41" s="139"/>
      <c r="AIZ41" s="139"/>
      <c r="AJA41" s="139"/>
      <c r="AJB41" s="139"/>
      <c r="AJC41" s="139"/>
      <c r="AJD41" s="139"/>
      <c r="AJE41" s="139"/>
      <c r="AJF41" s="139"/>
      <c r="AJG41" s="139"/>
      <c r="AJH41" s="139"/>
      <c r="AJI41" s="139"/>
      <c r="AJJ41" s="139"/>
      <c r="AJK41" s="139"/>
      <c r="AJL41" s="139"/>
      <c r="AJM41" s="139"/>
      <c r="AJN41" s="139"/>
      <c r="AJO41" s="139"/>
      <c r="AJP41" s="139"/>
      <c r="AJQ41" s="139"/>
      <c r="AJR41" s="139"/>
      <c r="AJS41" s="139"/>
      <c r="AJT41" s="139"/>
      <c r="AJU41" s="139"/>
      <c r="AJV41" s="139"/>
      <c r="AJW41" s="139"/>
      <c r="AJX41" s="139"/>
      <c r="AJY41" s="139"/>
      <c r="AJZ41" s="139"/>
      <c r="AKA41" s="139"/>
      <c r="AKB41" s="139"/>
      <c r="AKC41" s="139"/>
      <c r="AKD41" s="139"/>
      <c r="AKE41" s="139"/>
      <c r="AKF41" s="139"/>
      <c r="AKG41" s="139"/>
      <c r="AKH41" s="139"/>
      <c r="AKI41" s="139"/>
      <c r="AKJ41" s="139"/>
      <c r="AKK41" s="139"/>
      <c r="AKL41" s="139"/>
      <c r="AKM41" s="139"/>
      <c r="AKN41" s="139"/>
      <c r="AKO41" s="139"/>
      <c r="AKP41" s="139"/>
      <c r="AKQ41" s="139"/>
      <c r="AKR41" s="139"/>
      <c r="AKS41" s="139"/>
      <c r="AKT41" s="139"/>
      <c r="AKU41" s="139"/>
      <c r="AKV41" s="139"/>
      <c r="AKW41" s="139"/>
      <c r="AKX41" s="139"/>
      <c r="AKY41" s="139"/>
      <c r="AKZ41" s="139"/>
      <c r="ALA41" s="139"/>
      <c r="ALB41" s="139"/>
      <c r="ALC41" s="139"/>
      <c r="ALD41" s="139"/>
      <c r="ALE41" s="139"/>
      <c r="ALF41" s="139"/>
      <c r="ALG41" s="139"/>
      <c r="ALH41" s="139"/>
      <c r="ALI41" s="139"/>
      <c r="ALJ41" s="139"/>
      <c r="ALK41" s="139"/>
      <c r="ALL41" s="139"/>
      <c r="ALM41" s="139"/>
      <c r="ALN41" s="139"/>
      <c r="ALO41" s="139"/>
      <c r="ALP41" s="139"/>
      <c r="ALQ41" s="139"/>
      <c r="ALR41" s="139"/>
      <c r="ALS41" s="139"/>
      <c r="ALT41" s="139"/>
      <c r="ALU41" s="139"/>
      <c r="ALV41" s="139"/>
      <c r="ALW41" s="139"/>
      <c r="ALX41" s="139"/>
      <c r="ALY41" s="139"/>
      <c r="ALZ41" s="139"/>
      <c r="AMA41" s="139"/>
      <c r="AMB41" s="139"/>
      <c r="AMC41" s="139"/>
      <c r="AMD41" s="139"/>
      <c r="AME41" s="139"/>
      <c r="AMF41" s="139"/>
      <c r="AMG41" s="139"/>
      <c r="AMH41" s="139"/>
      <c r="AMI41" s="139"/>
      <c r="AMJ41" s="139"/>
      <c r="AMK41" s="139"/>
      <c r="AML41" s="139"/>
      <c r="AMM41" s="139"/>
      <c r="AMN41" s="139"/>
      <c r="AMO41" s="139"/>
      <c r="AMP41" s="139"/>
      <c r="AMQ41" s="139"/>
      <c r="AMR41" s="139"/>
      <c r="AMS41" s="139"/>
      <c r="AMT41" s="139"/>
      <c r="AMU41" s="139"/>
      <c r="AMV41" s="139"/>
      <c r="AMW41" s="139"/>
      <c r="AMX41" s="139"/>
      <c r="AMY41" s="139"/>
      <c r="AMZ41" s="139"/>
      <c r="ANA41" s="139"/>
      <c r="ANB41" s="139"/>
      <c r="ANC41" s="139"/>
      <c r="AND41" s="139"/>
      <c r="ANE41" s="139"/>
      <c r="ANF41" s="139"/>
      <c r="ANG41" s="139"/>
      <c r="ANH41" s="139"/>
      <c r="ANI41" s="139"/>
      <c r="ANJ41" s="139"/>
      <c r="ANK41" s="139"/>
      <c r="ANL41" s="139"/>
      <c r="ANM41" s="139"/>
      <c r="ANN41" s="139"/>
      <c r="ANO41" s="139"/>
      <c r="ANP41" s="139"/>
      <c r="ANQ41" s="139"/>
      <c r="ANR41" s="139"/>
      <c r="ANS41" s="139"/>
      <c r="ANT41" s="139"/>
      <c r="ANU41" s="139"/>
      <c r="ANV41" s="139"/>
      <c r="ANW41" s="139"/>
      <c r="ANX41" s="139"/>
      <c r="ANY41" s="139"/>
      <c r="ANZ41" s="139"/>
      <c r="AOA41" s="139"/>
      <c r="AOB41" s="139"/>
      <c r="AOC41" s="139"/>
      <c r="AOD41" s="139"/>
      <c r="AOE41" s="139"/>
      <c r="AOF41" s="139"/>
      <c r="AOG41" s="139"/>
      <c r="AOH41" s="139"/>
      <c r="AOI41" s="139"/>
      <c r="AOJ41" s="139"/>
      <c r="AOK41" s="139"/>
      <c r="AOL41" s="139"/>
      <c r="AOM41" s="139"/>
      <c r="AON41" s="139"/>
      <c r="AOO41" s="139"/>
      <c r="AOP41" s="139"/>
      <c r="AOQ41" s="139"/>
      <c r="AOR41" s="139"/>
      <c r="AOS41" s="139"/>
      <c r="AOT41" s="139"/>
      <c r="AOU41" s="139"/>
      <c r="AOV41" s="139"/>
      <c r="AOW41" s="139"/>
      <c r="AOX41" s="139"/>
      <c r="AOY41" s="139"/>
      <c r="AOZ41" s="139"/>
      <c r="APA41" s="139"/>
      <c r="APB41" s="139"/>
      <c r="APC41" s="139"/>
      <c r="APD41" s="139"/>
      <c r="APE41" s="139"/>
      <c r="APF41" s="139"/>
      <c r="APG41" s="139"/>
      <c r="APH41" s="139"/>
      <c r="API41" s="139"/>
      <c r="APJ41" s="139"/>
      <c r="APK41" s="139"/>
      <c r="APL41" s="139"/>
      <c r="APM41" s="139"/>
      <c r="APN41" s="139"/>
      <c r="APO41" s="139"/>
      <c r="APP41" s="139"/>
      <c r="APQ41" s="139"/>
      <c r="APR41" s="139"/>
      <c r="APS41" s="139"/>
      <c r="APT41" s="139"/>
      <c r="APU41" s="139"/>
      <c r="APV41" s="139"/>
      <c r="APW41" s="139"/>
      <c r="APX41" s="139"/>
      <c r="APY41" s="139"/>
      <c r="APZ41" s="139"/>
      <c r="AQA41" s="139"/>
      <c r="AQB41" s="139"/>
      <c r="AQC41" s="139"/>
      <c r="AQD41" s="139"/>
      <c r="AQE41" s="139"/>
      <c r="AQF41" s="139"/>
      <c r="AQG41" s="139"/>
      <c r="AQH41" s="139"/>
      <c r="AQI41" s="139"/>
      <c r="AQJ41" s="139"/>
      <c r="AQK41" s="139"/>
      <c r="AQL41" s="139"/>
      <c r="AQM41" s="139"/>
      <c r="AQN41" s="139"/>
      <c r="AQO41" s="139"/>
      <c r="AQP41" s="139"/>
      <c r="AQQ41" s="139"/>
      <c r="AQR41" s="139"/>
      <c r="AQS41" s="139"/>
      <c r="AQT41" s="139"/>
      <c r="AQU41" s="139"/>
      <c r="AQV41" s="139"/>
      <c r="AQW41" s="139"/>
      <c r="AQX41" s="139"/>
      <c r="AQY41" s="139"/>
      <c r="AQZ41" s="139"/>
      <c r="ARA41" s="139"/>
      <c r="ARB41" s="139"/>
      <c r="ARC41" s="139"/>
      <c r="ARD41" s="139"/>
      <c r="ARE41" s="139"/>
      <c r="ARF41" s="139"/>
      <c r="ARG41" s="139"/>
      <c r="ARH41" s="139"/>
      <c r="ARI41" s="139"/>
      <c r="ARJ41" s="139"/>
      <c r="ARK41" s="139"/>
      <c r="ARL41" s="139"/>
      <c r="ARM41" s="139"/>
      <c r="ARN41" s="139"/>
      <c r="ARO41" s="139"/>
      <c r="ARP41" s="139"/>
      <c r="ARQ41" s="139"/>
      <c r="ARR41" s="139"/>
      <c r="ARS41" s="139"/>
      <c r="ART41" s="139"/>
      <c r="ARU41" s="139"/>
      <c r="ARV41" s="139"/>
      <c r="ARW41" s="139"/>
      <c r="ARX41" s="139"/>
      <c r="ARY41" s="139"/>
      <c r="ARZ41" s="139"/>
      <c r="ASA41" s="139"/>
      <c r="ASB41" s="139"/>
      <c r="ASC41" s="139"/>
      <c r="ASD41" s="139"/>
      <c r="ASE41" s="139"/>
      <c r="ASF41" s="139"/>
      <c r="ASG41" s="139"/>
      <c r="ASH41" s="139"/>
      <c r="ASI41" s="139"/>
      <c r="ASJ41" s="139"/>
      <c r="ASK41" s="139"/>
      <c r="ASL41" s="139"/>
      <c r="ASM41" s="139"/>
      <c r="ASN41" s="139"/>
      <c r="ASO41" s="139"/>
      <c r="ASP41" s="139"/>
      <c r="ASQ41" s="139"/>
      <c r="ASR41" s="139"/>
      <c r="ASS41" s="139"/>
      <c r="AST41" s="139"/>
      <c r="ASU41" s="139"/>
      <c r="ASV41" s="139"/>
      <c r="ASW41" s="139"/>
      <c r="ASX41" s="139"/>
      <c r="ASY41" s="139"/>
      <c r="ASZ41" s="139"/>
      <c r="ATA41" s="139"/>
      <c r="ATB41" s="139"/>
      <c r="ATC41" s="139"/>
      <c r="ATD41" s="139"/>
      <c r="ATE41" s="139"/>
      <c r="ATF41" s="139"/>
      <c r="ATG41" s="139"/>
      <c r="ATH41" s="139"/>
      <c r="ATI41" s="139"/>
      <c r="ATJ41" s="139"/>
      <c r="ATK41" s="139"/>
      <c r="ATL41" s="139"/>
      <c r="ATM41" s="139"/>
      <c r="ATN41" s="139"/>
      <c r="ATO41" s="139"/>
      <c r="ATP41" s="139"/>
      <c r="ATQ41" s="139"/>
      <c r="ATR41" s="139"/>
      <c r="ATS41" s="139"/>
      <c r="ATT41" s="139"/>
      <c r="ATU41" s="139"/>
      <c r="ATV41" s="139"/>
      <c r="ATW41" s="139"/>
      <c r="ATX41" s="139"/>
      <c r="ATY41" s="139"/>
      <c r="ATZ41" s="139"/>
      <c r="AUA41" s="139"/>
      <c r="AUB41" s="139"/>
      <c r="AUC41" s="139"/>
      <c r="AUD41" s="139"/>
      <c r="AUE41" s="139"/>
      <c r="AUF41" s="139"/>
      <c r="AUG41" s="139"/>
      <c r="AUH41" s="139"/>
      <c r="AUI41" s="139"/>
      <c r="AUJ41" s="139"/>
      <c r="AUK41" s="139"/>
      <c r="AUL41" s="139"/>
      <c r="AUM41" s="139"/>
      <c r="AUN41" s="139"/>
      <c r="AUO41" s="139"/>
      <c r="AUP41" s="139"/>
      <c r="AUQ41" s="139"/>
      <c r="AUR41" s="139"/>
      <c r="AUS41" s="139"/>
      <c r="AUT41" s="139"/>
      <c r="AUU41" s="139"/>
      <c r="AUV41" s="139"/>
      <c r="AUW41" s="139"/>
      <c r="AUX41" s="139"/>
      <c r="AUY41" s="139"/>
      <c r="AUZ41" s="139"/>
      <c r="AVA41" s="139"/>
      <c r="AVB41" s="139"/>
      <c r="AVC41" s="139"/>
      <c r="AVD41" s="139"/>
      <c r="AVE41" s="139"/>
      <c r="AVF41" s="139"/>
      <c r="AVG41" s="139"/>
      <c r="AVH41" s="139"/>
      <c r="AVI41" s="139"/>
      <c r="AVJ41" s="139"/>
      <c r="AVK41" s="139"/>
      <c r="AVL41" s="139"/>
      <c r="AVM41" s="139"/>
      <c r="AVN41" s="139"/>
      <c r="AVO41" s="139"/>
      <c r="AVP41" s="139"/>
      <c r="AVQ41" s="139"/>
      <c r="AVR41" s="139"/>
      <c r="AVS41" s="139"/>
      <c r="AVT41" s="139"/>
      <c r="AVU41" s="139"/>
      <c r="AVV41" s="139"/>
      <c r="AVW41" s="139"/>
      <c r="AVX41" s="139"/>
      <c r="AVY41" s="139"/>
      <c r="AVZ41" s="139"/>
      <c r="AWA41" s="139"/>
      <c r="AWB41" s="139"/>
      <c r="AWC41" s="139"/>
      <c r="AWD41" s="139"/>
      <c r="AWE41" s="139"/>
      <c r="AWF41" s="139"/>
      <c r="AWG41" s="139"/>
      <c r="AWH41" s="139"/>
      <c r="AWI41" s="139"/>
      <c r="AWJ41" s="139"/>
      <c r="AWK41" s="139"/>
      <c r="AWL41" s="139"/>
      <c r="AWM41" s="139"/>
      <c r="AWN41" s="139"/>
      <c r="AWO41" s="139"/>
      <c r="AWP41" s="139"/>
      <c r="AWQ41" s="139"/>
      <c r="AWR41" s="139"/>
      <c r="AWS41" s="139"/>
      <c r="AWT41" s="139"/>
      <c r="AWU41" s="139"/>
      <c r="AWV41" s="139"/>
      <c r="AWW41" s="139"/>
      <c r="AWX41" s="139"/>
      <c r="AWY41" s="139"/>
      <c r="AWZ41" s="139"/>
      <c r="AXA41" s="139"/>
      <c r="AXB41" s="139"/>
      <c r="AXC41" s="139"/>
      <c r="AXD41" s="139"/>
      <c r="AXE41" s="139"/>
      <c r="AXF41" s="139"/>
      <c r="AXG41" s="139"/>
      <c r="AXH41" s="139"/>
      <c r="AXI41" s="139"/>
      <c r="AXJ41" s="139"/>
      <c r="AXK41" s="139"/>
      <c r="AXL41" s="139"/>
      <c r="AXM41" s="139"/>
      <c r="AXN41" s="139"/>
      <c r="AXO41" s="139"/>
      <c r="AXP41" s="139"/>
      <c r="AXQ41" s="139"/>
      <c r="AXR41" s="139"/>
      <c r="AXS41" s="139"/>
      <c r="AXT41" s="139"/>
      <c r="AXU41" s="139"/>
      <c r="AXV41" s="139"/>
      <c r="AXW41" s="139"/>
      <c r="AXX41" s="139"/>
      <c r="AXY41" s="139"/>
      <c r="AXZ41" s="139"/>
      <c r="AYA41" s="139"/>
      <c r="AYB41" s="139"/>
      <c r="AYC41" s="139"/>
      <c r="AYD41" s="139"/>
      <c r="AYE41" s="139"/>
      <c r="AYF41" s="139"/>
      <c r="AYG41" s="139"/>
      <c r="AYH41" s="139"/>
      <c r="AYI41" s="139"/>
      <c r="AYJ41" s="139"/>
      <c r="AYK41" s="139"/>
      <c r="AYL41" s="139"/>
      <c r="AYM41" s="139"/>
      <c r="AYN41" s="139"/>
      <c r="AYO41" s="139"/>
      <c r="AYP41" s="139"/>
      <c r="AYQ41" s="139"/>
      <c r="AYR41" s="139"/>
      <c r="AYS41" s="139"/>
      <c r="AYT41" s="139"/>
      <c r="AYU41" s="139"/>
      <c r="AYV41" s="139"/>
      <c r="AYW41" s="139"/>
      <c r="AYX41" s="139"/>
      <c r="AYY41" s="139"/>
      <c r="AYZ41" s="139"/>
      <c r="AZA41" s="139"/>
      <c r="AZB41" s="139"/>
      <c r="AZC41" s="139"/>
      <c r="AZD41" s="139"/>
      <c r="AZE41" s="139"/>
      <c r="AZF41" s="139"/>
      <c r="AZG41" s="139"/>
      <c r="AZH41" s="139"/>
      <c r="AZI41" s="139"/>
      <c r="AZJ41" s="139"/>
      <c r="AZK41" s="139"/>
      <c r="AZL41" s="139"/>
      <c r="AZM41" s="139"/>
      <c r="AZN41" s="139"/>
      <c r="AZO41" s="139"/>
      <c r="AZP41" s="139"/>
      <c r="AZQ41" s="139"/>
      <c r="AZR41" s="139"/>
      <c r="AZS41" s="139"/>
      <c r="AZT41" s="139"/>
      <c r="AZU41" s="139"/>
      <c r="AZV41" s="139"/>
      <c r="AZW41" s="139"/>
      <c r="AZX41" s="139"/>
      <c r="AZY41" s="139"/>
      <c r="AZZ41" s="139"/>
      <c r="BAA41" s="139"/>
      <c r="BAB41" s="139"/>
      <c r="BAC41" s="139"/>
      <c r="BAD41" s="139"/>
      <c r="BAE41" s="139"/>
      <c r="BAF41" s="139"/>
      <c r="BAG41" s="139"/>
      <c r="BAH41" s="139"/>
      <c r="BAI41" s="139"/>
      <c r="BAJ41" s="139"/>
      <c r="BAK41" s="139"/>
      <c r="BAL41" s="139"/>
      <c r="BAM41" s="139"/>
      <c r="BAN41" s="139"/>
      <c r="BAO41" s="139"/>
      <c r="BAP41" s="139"/>
      <c r="BAQ41" s="139"/>
      <c r="BAR41" s="139"/>
      <c r="BAS41" s="139"/>
      <c r="BAT41" s="139"/>
      <c r="BAU41" s="139"/>
      <c r="BAV41" s="139"/>
      <c r="BAW41" s="139"/>
      <c r="BAX41" s="139"/>
      <c r="BAY41" s="139"/>
      <c r="BAZ41" s="139"/>
      <c r="BBA41" s="139"/>
      <c r="BBB41" s="139"/>
      <c r="BBC41" s="139"/>
      <c r="BBD41" s="139"/>
      <c r="BBE41" s="139"/>
      <c r="BBF41" s="139"/>
      <c r="BBG41" s="139"/>
      <c r="BBH41" s="139"/>
      <c r="BBI41" s="139"/>
      <c r="BBJ41" s="139"/>
      <c r="BBK41" s="139"/>
      <c r="BBL41" s="139"/>
      <c r="BBM41" s="139"/>
      <c r="BBN41" s="139"/>
      <c r="BBO41" s="139"/>
      <c r="BBP41" s="139"/>
      <c r="BBQ41" s="139"/>
      <c r="BBR41" s="139"/>
      <c r="BBS41" s="139"/>
      <c r="BBT41" s="139"/>
      <c r="BBU41" s="139"/>
      <c r="BBV41" s="139"/>
      <c r="BBW41" s="139"/>
      <c r="BBX41" s="139"/>
      <c r="BBY41" s="139"/>
      <c r="BBZ41" s="139"/>
      <c r="BCA41" s="139"/>
      <c r="BCB41" s="139"/>
      <c r="BCC41" s="139"/>
      <c r="BCD41" s="139"/>
      <c r="BCE41" s="139"/>
      <c r="BCF41" s="139"/>
      <c r="BCG41" s="139"/>
      <c r="BCH41" s="139"/>
      <c r="BCI41" s="139"/>
      <c r="BCJ41" s="139"/>
      <c r="BCK41" s="139"/>
      <c r="BCL41" s="139"/>
      <c r="BCM41" s="139"/>
      <c r="BCN41" s="139"/>
      <c r="BCO41" s="139"/>
      <c r="BCP41" s="139"/>
      <c r="BCQ41" s="139"/>
      <c r="BCR41" s="139"/>
      <c r="BCS41" s="139"/>
      <c r="BCT41" s="139"/>
      <c r="BCU41" s="139"/>
      <c r="BCV41" s="139"/>
      <c r="BCW41" s="139"/>
      <c r="BCX41" s="139"/>
      <c r="BCY41" s="139"/>
      <c r="BCZ41" s="139"/>
      <c r="BDA41" s="139"/>
      <c r="BDB41" s="139"/>
      <c r="BDC41" s="139"/>
      <c r="BDD41" s="139"/>
      <c r="BDE41" s="139"/>
      <c r="BDF41" s="139"/>
      <c r="BDG41" s="139"/>
      <c r="BDH41" s="139"/>
      <c r="BDI41" s="139"/>
      <c r="BDJ41" s="139"/>
      <c r="BDK41" s="139"/>
      <c r="BDL41" s="139"/>
      <c r="BDM41" s="139"/>
      <c r="BDN41" s="139"/>
      <c r="BDO41" s="139"/>
      <c r="BDP41" s="139"/>
      <c r="BDQ41" s="139"/>
      <c r="BDR41" s="139"/>
      <c r="BDS41" s="139"/>
      <c r="BDT41" s="139"/>
      <c r="BDU41" s="139"/>
      <c r="BDV41" s="139"/>
      <c r="BDW41" s="139"/>
      <c r="BDX41" s="139"/>
      <c r="BDY41" s="139"/>
      <c r="BDZ41" s="139"/>
      <c r="BEA41" s="139"/>
      <c r="BEB41" s="139"/>
      <c r="BEC41" s="139"/>
      <c r="BED41" s="139"/>
      <c r="BEE41" s="139"/>
      <c r="BEF41" s="139"/>
      <c r="BEG41" s="139"/>
      <c r="BEH41" s="139"/>
      <c r="BEI41" s="139"/>
      <c r="BEJ41" s="139"/>
      <c r="BEK41" s="139"/>
      <c r="BEL41" s="139"/>
      <c r="BEM41" s="139"/>
      <c r="BEN41" s="139"/>
      <c r="BEO41" s="139"/>
      <c r="BEP41" s="139"/>
      <c r="BEQ41" s="139"/>
      <c r="BER41" s="139"/>
      <c r="BES41" s="139"/>
      <c r="BET41" s="139"/>
      <c r="BEU41" s="139"/>
      <c r="BEV41" s="139"/>
      <c r="BEW41" s="139"/>
      <c r="BEX41" s="139"/>
      <c r="BEY41" s="139"/>
      <c r="BEZ41" s="139"/>
      <c r="BFA41" s="139"/>
      <c r="BFB41" s="139"/>
      <c r="BFC41" s="139"/>
      <c r="BFD41" s="139"/>
      <c r="BFE41" s="139"/>
      <c r="BFF41" s="139"/>
      <c r="BFG41" s="139"/>
      <c r="BFH41" s="139"/>
      <c r="BFI41" s="139"/>
      <c r="BFJ41" s="139"/>
      <c r="BFK41" s="139"/>
      <c r="BFL41" s="139"/>
      <c r="BFM41" s="139"/>
      <c r="BFN41" s="139"/>
      <c r="BFO41" s="139"/>
      <c r="BFP41" s="139"/>
      <c r="BFQ41" s="139"/>
      <c r="BFR41" s="139"/>
      <c r="BFS41" s="139"/>
      <c r="BFT41" s="139"/>
      <c r="BFU41" s="139"/>
      <c r="BFV41" s="139"/>
      <c r="BFW41" s="139"/>
      <c r="BFX41" s="139"/>
      <c r="BFY41" s="139"/>
      <c r="BFZ41" s="139"/>
      <c r="BGA41" s="139"/>
      <c r="BGB41" s="139"/>
      <c r="BGC41" s="139"/>
      <c r="BGD41" s="139"/>
      <c r="BGE41" s="139"/>
      <c r="BGF41" s="139"/>
      <c r="BGG41" s="139"/>
      <c r="BGH41" s="139"/>
      <c r="BGI41" s="139"/>
      <c r="BGJ41" s="139"/>
      <c r="BGK41" s="139"/>
      <c r="BGL41" s="139"/>
      <c r="BGM41" s="139"/>
      <c r="BGN41" s="139"/>
      <c r="BGO41" s="139"/>
      <c r="BGP41" s="139"/>
      <c r="BGQ41" s="139"/>
      <c r="BGR41" s="139"/>
      <c r="BGS41" s="139"/>
      <c r="BGT41" s="139"/>
      <c r="BGU41" s="139"/>
      <c r="BGV41" s="139"/>
      <c r="BGW41" s="139"/>
      <c r="BGX41" s="139"/>
      <c r="BGY41" s="139"/>
      <c r="BGZ41" s="139"/>
      <c r="BHA41" s="139"/>
      <c r="BHB41" s="139"/>
      <c r="BHC41" s="139"/>
      <c r="BHD41" s="139"/>
      <c r="BHE41" s="139"/>
      <c r="BHF41" s="139"/>
      <c r="BHG41" s="139"/>
      <c r="BHH41" s="139"/>
      <c r="BHI41" s="139"/>
      <c r="BHJ41" s="139"/>
      <c r="BHK41" s="139"/>
      <c r="BHL41" s="139"/>
      <c r="BHM41" s="139"/>
      <c r="BHN41" s="139"/>
      <c r="BHO41" s="139"/>
      <c r="BHP41" s="139"/>
      <c r="BHQ41" s="139"/>
      <c r="BHR41" s="139"/>
      <c r="BHS41" s="139"/>
      <c r="BHT41" s="139"/>
      <c r="BHU41" s="139"/>
      <c r="BHV41" s="139"/>
      <c r="BHW41" s="139"/>
      <c r="BHX41" s="139"/>
      <c r="BHY41" s="139"/>
      <c r="BHZ41" s="139"/>
      <c r="BIA41" s="139"/>
      <c r="BIB41" s="139"/>
      <c r="BIC41" s="139"/>
      <c r="BID41" s="139"/>
      <c r="BIE41" s="139"/>
      <c r="BIF41" s="139"/>
      <c r="BIG41" s="139"/>
      <c r="BIH41" s="139"/>
      <c r="BII41" s="139"/>
      <c r="BIJ41" s="139"/>
      <c r="BIK41" s="139"/>
      <c r="BIL41" s="139"/>
      <c r="BIM41" s="139"/>
      <c r="BIN41" s="139"/>
      <c r="BIO41" s="139"/>
      <c r="BIP41" s="139"/>
      <c r="BIQ41" s="139"/>
      <c r="BIR41" s="139"/>
      <c r="BIS41" s="139"/>
      <c r="BIT41" s="139"/>
      <c r="BIU41" s="139"/>
      <c r="BIV41" s="139"/>
      <c r="BIW41" s="139"/>
      <c r="BIX41" s="139"/>
      <c r="BIY41" s="139"/>
      <c r="BIZ41" s="139"/>
      <c r="BJA41" s="139"/>
      <c r="BJB41" s="139"/>
      <c r="BJC41" s="139"/>
      <c r="BJD41" s="139"/>
      <c r="BJE41" s="139"/>
      <c r="BJF41" s="139"/>
      <c r="BJG41" s="139"/>
      <c r="BJH41" s="139"/>
      <c r="BJI41" s="139"/>
      <c r="BJJ41" s="139"/>
      <c r="BJK41" s="139"/>
      <c r="BJL41" s="139"/>
      <c r="BJM41" s="139"/>
      <c r="BJN41" s="139"/>
      <c r="BJO41" s="139"/>
      <c r="BJP41" s="139"/>
      <c r="BJQ41" s="139"/>
      <c r="BJR41" s="139"/>
      <c r="BJS41" s="139"/>
      <c r="BJT41" s="139"/>
      <c r="BJU41" s="139"/>
      <c r="BJV41" s="139"/>
      <c r="BJW41" s="139"/>
      <c r="BJX41" s="139"/>
      <c r="BJY41" s="139"/>
      <c r="BJZ41" s="139"/>
      <c r="BKA41" s="139"/>
      <c r="BKB41" s="139"/>
      <c r="BKC41" s="139"/>
      <c r="BKD41" s="139"/>
      <c r="BKE41" s="139"/>
      <c r="BKF41" s="139"/>
      <c r="BKG41" s="139"/>
      <c r="BKH41" s="139"/>
      <c r="BKI41" s="139"/>
      <c r="BKJ41" s="139"/>
      <c r="BKK41" s="139"/>
      <c r="BKL41" s="139"/>
      <c r="BKM41" s="139"/>
      <c r="BKN41" s="139"/>
      <c r="BKO41" s="139"/>
      <c r="BKP41" s="139"/>
      <c r="BKQ41" s="139"/>
      <c r="BKR41" s="139"/>
      <c r="BKS41" s="139"/>
      <c r="BKT41" s="139"/>
      <c r="BKU41" s="139"/>
      <c r="BKV41" s="139"/>
      <c r="BKW41" s="139"/>
      <c r="BKX41" s="139"/>
      <c r="BKY41" s="139"/>
      <c r="BKZ41" s="139"/>
      <c r="BLA41" s="139"/>
      <c r="BLB41" s="139"/>
      <c r="BLC41" s="139"/>
      <c r="BLD41" s="139"/>
      <c r="BLE41" s="139"/>
      <c r="BLF41" s="139"/>
      <c r="BLG41" s="139"/>
      <c r="BLH41" s="139"/>
      <c r="BLI41" s="139"/>
      <c r="BLJ41" s="139"/>
      <c r="BLK41" s="139"/>
      <c r="BLL41" s="139"/>
      <c r="BLM41" s="139"/>
      <c r="BLN41" s="139"/>
      <c r="BLO41" s="139"/>
      <c r="BLP41" s="139"/>
      <c r="BLQ41" s="139"/>
      <c r="BLR41" s="139"/>
      <c r="BLS41" s="139"/>
      <c r="BLT41" s="139"/>
      <c r="BLU41" s="139"/>
      <c r="BLV41" s="139"/>
      <c r="BLW41" s="139"/>
      <c r="BLX41" s="139"/>
      <c r="BLY41" s="139"/>
      <c r="BLZ41" s="139"/>
      <c r="BMA41" s="139"/>
      <c r="BMB41" s="139"/>
      <c r="BMC41" s="139"/>
      <c r="BMD41" s="139"/>
      <c r="BME41" s="139"/>
      <c r="BMF41" s="139"/>
      <c r="BMG41" s="139"/>
      <c r="BMH41" s="139"/>
      <c r="BMI41" s="139"/>
      <c r="BMJ41" s="139"/>
      <c r="BMK41" s="139"/>
      <c r="BML41" s="139"/>
      <c r="BMM41" s="139"/>
      <c r="BMN41" s="139"/>
      <c r="BMO41" s="139"/>
      <c r="BMP41" s="139"/>
      <c r="BMQ41" s="139"/>
      <c r="BMR41" s="139"/>
      <c r="BMS41" s="139"/>
      <c r="BMT41" s="139"/>
      <c r="BMU41" s="139"/>
      <c r="BMV41" s="139"/>
      <c r="BMW41" s="139"/>
      <c r="BMX41" s="139"/>
      <c r="BMY41" s="139"/>
      <c r="BMZ41" s="139"/>
      <c r="BNA41" s="139"/>
      <c r="BNB41" s="139"/>
      <c r="BNC41" s="139"/>
      <c r="BND41" s="139"/>
      <c r="BNE41" s="139"/>
      <c r="BNF41" s="139"/>
      <c r="BNG41" s="139"/>
      <c r="BNH41" s="139"/>
      <c r="BNI41" s="139"/>
      <c r="BNJ41" s="139"/>
      <c r="BNK41" s="139"/>
      <c r="BNL41" s="139"/>
      <c r="BNM41" s="139"/>
      <c r="BNN41" s="139"/>
      <c r="BNO41" s="139"/>
      <c r="BNP41" s="139"/>
      <c r="BNQ41" s="139"/>
      <c r="BNR41" s="139"/>
      <c r="BNS41" s="139"/>
      <c r="BNT41" s="139"/>
      <c r="BNU41" s="139"/>
      <c r="BNV41" s="139"/>
      <c r="BNW41" s="139"/>
      <c r="BNX41" s="139"/>
      <c r="BNY41" s="139"/>
      <c r="BNZ41" s="139"/>
      <c r="BOA41" s="139"/>
      <c r="BOB41" s="139"/>
      <c r="BOC41" s="139"/>
      <c r="BOD41" s="139"/>
      <c r="BOE41" s="139"/>
      <c r="BOF41" s="139"/>
      <c r="BOG41" s="139"/>
      <c r="BOH41" s="139"/>
      <c r="BOI41" s="139"/>
      <c r="BOJ41" s="139"/>
      <c r="BOK41" s="139"/>
      <c r="BOL41" s="139"/>
      <c r="BOM41" s="139"/>
      <c r="BON41" s="139"/>
      <c r="BOO41" s="139"/>
      <c r="BOP41" s="139"/>
      <c r="BOQ41" s="139"/>
      <c r="BOR41" s="139"/>
      <c r="BOS41" s="139"/>
      <c r="BOT41" s="139"/>
      <c r="BOU41" s="139"/>
      <c r="BOV41" s="139"/>
      <c r="BOW41" s="139"/>
      <c r="BOX41" s="139"/>
      <c r="BOY41" s="139"/>
      <c r="BOZ41" s="139"/>
      <c r="BPA41" s="139"/>
      <c r="BPB41" s="139"/>
      <c r="BPC41" s="139"/>
      <c r="BPD41" s="139"/>
      <c r="BPE41" s="139"/>
      <c r="BPF41" s="139"/>
      <c r="BPG41" s="139"/>
      <c r="BPH41" s="139"/>
      <c r="BPI41" s="139"/>
      <c r="BPJ41" s="139"/>
      <c r="BPK41" s="139"/>
      <c r="BPL41" s="139"/>
      <c r="BPM41" s="139"/>
      <c r="BPN41" s="139"/>
      <c r="BPO41" s="139"/>
      <c r="BPP41" s="139"/>
      <c r="BPQ41" s="139"/>
      <c r="BPR41" s="139"/>
      <c r="BPS41" s="139"/>
      <c r="BPT41" s="139"/>
      <c r="BPU41" s="139"/>
      <c r="BPV41" s="139"/>
      <c r="BPW41" s="139"/>
      <c r="BPX41" s="139"/>
      <c r="BPY41" s="139"/>
      <c r="BPZ41" s="139"/>
      <c r="BQA41" s="139"/>
      <c r="BQB41" s="139"/>
      <c r="BQC41" s="139"/>
      <c r="BQD41" s="139"/>
      <c r="BQE41" s="139"/>
      <c r="BQF41" s="139"/>
      <c r="BQG41" s="139"/>
      <c r="BQH41" s="139"/>
      <c r="BQI41" s="139"/>
      <c r="BQJ41" s="139"/>
      <c r="BQK41" s="139"/>
      <c r="BQL41" s="139"/>
      <c r="BQM41" s="139"/>
      <c r="BQN41" s="139"/>
      <c r="BQO41" s="139"/>
      <c r="BQP41" s="139"/>
      <c r="BQQ41" s="139"/>
      <c r="BQR41" s="139"/>
      <c r="BQS41" s="139"/>
      <c r="BQT41" s="139"/>
      <c r="BQU41" s="139"/>
      <c r="BQV41" s="139"/>
      <c r="BQW41" s="139"/>
      <c r="BQX41" s="139"/>
      <c r="BQY41" s="139"/>
      <c r="BQZ41" s="139"/>
      <c r="BRA41" s="139"/>
      <c r="BRB41" s="139"/>
      <c r="BRC41" s="139"/>
      <c r="BRD41" s="139"/>
      <c r="BRE41" s="139"/>
      <c r="BRF41" s="139"/>
      <c r="BRG41" s="139"/>
      <c r="BRH41" s="139"/>
      <c r="BRI41" s="139"/>
      <c r="BRJ41" s="139"/>
      <c r="BRK41" s="139"/>
      <c r="BRL41" s="139"/>
      <c r="BRM41" s="139"/>
      <c r="BRN41" s="139"/>
      <c r="BRO41" s="139"/>
      <c r="BRP41" s="139"/>
      <c r="BRQ41" s="139"/>
      <c r="BRR41" s="139"/>
      <c r="BRS41" s="139"/>
      <c r="BRT41" s="139"/>
      <c r="BRU41" s="139"/>
      <c r="BRV41" s="139"/>
      <c r="BRW41" s="139"/>
      <c r="BRX41" s="139"/>
      <c r="BRY41" s="139"/>
      <c r="BRZ41" s="139"/>
      <c r="BSA41" s="139"/>
      <c r="BSB41" s="139"/>
      <c r="BSC41" s="139"/>
      <c r="BSD41" s="139"/>
      <c r="BSE41" s="139"/>
      <c r="BSF41" s="139"/>
      <c r="BSG41" s="139"/>
      <c r="BSH41" s="139"/>
      <c r="BSI41" s="139"/>
      <c r="BSJ41" s="139"/>
      <c r="BSK41" s="139"/>
      <c r="BSL41" s="139"/>
      <c r="BSM41" s="139"/>
      <c r="BSN41" s="139"/>
      <c r="BSO41" s="139"/>
      <c r="BSP41" s="139"/>
      <c r="BSQ41" s="139"/>
      <c r="BSR41" s="139"/>
      <c r="BSS41" s="139"/>
      <c r="BST41" s="139"/>
      <c r="BSU41" s="139"/>
      <c r="BSV41" s="139"/>
      <c r="BSW41" s="139"/>
      <c r="BSX41" s="139"/>
      <c r="BSY41" s="139"/>
      <c r="BSZ41" s="139"/>
      <c r="BTA41" s="139"/>
      <c r="BTB41" s="139"/>
      <c r="BTC41" s="139"/>
      <c r="BTD41" s="139"/>
      <c r="BTE41" s="139"/>
      <c r="BTF41" s="139"/>
      <c r="BTG41" s="139"/>
      <c r="BTH41" s="139"/>
      <c r="BTI41" s="139"/>
      <c r="BTJ41" s="139"/>
      <c r="BTK41" s="139"/>
      <c r="BTL41" s="139"/>
      <c r="BTM41" s="139"/>
      <c r="BTN41" s="139"/>
      <c r="BTO41" s="139"/>
      <c r="BTP41" s="139"/>
      <c r="BTQ41" s="139"/>
      <c r="BTR41" s="139"/>
      <c r="BTS41" s="139"/>
      <c r="BTT41" s="139"/>
      <c r="BTU41" s="139"/>
      <c r="BTV41" s="139"/>
      <c r="BTW41" s="139"/>
      <c r="BTX41" s="139"/>
      <c r="BTY41" s="139"/>
      <c r="BTZ41" s="139"/>
      <c r="BUA41" s="139"/>
      <c r="BUB41" s="139"/>
      <c r="BUC41" s="139"/>
      <c r="BUD41" s="139"/>
      <c r="BUE41" s="139"/>
      <c r="BUF41" s="139"/>
      <c r="BUG41" s="139"/>
      <c r="BUH41" s="139"/>
      <c r="BUI41" s="139"/>
      <c r="BUJ41" s="139"/>
      <c r="BUK41" s="139"/>
      <c r="BUL41" s="139"/>
      <c r="BUM41" s="139"/>
      <c r="BUN41" s="139"/>
      <c r="BUO41" s="139"/>
      <c r="BUP41" s="139"/>
      <c r="BUQ41" s="139"/>
      <c r="BUR41" s="139"/>
      <c r="BUS41" s="139"/>
      <c r="BUT41" s="139"/>
      <c r="BUU41" s="139"/>
      <c r="BUV41" s="139"/>
      <c r="BUW41" s="139"/>
      <c r="BUX41" s="139"/>
      <c r="BUY41" s="139"/>
      <c r="BUZ41" s="139"/>
      <c r="BVA41" s="139"/>
      <c r="BVB41" s="139"/>
      <c r="BVC41" s="139"/>
      <c r="BVD41" s="139"/>
      <c r="BVE41" s="139"/>
      <c r="BVF41" s="139"/>
      <c r="BVG41" s="139"/>
      <c r="BVH41" s="139"/>
      <c r="BVI41" s="139"/>
      <c r="BVJ41" s="139"/>
      <c r="BVK41" s="139"/>
      <c r="BVL41" s="139"/>
      <c r="BVM41" s="139"/>
      <c r="BVN41" s="139"/>
      <c r="BVO41" s="139"/>
      <c r="BVP41" s="139"/>
      <c r="BVQ41" s="139"/>
      <c r="BVR41" s="139"/>
      <c r="BVS41" s="139"/>
      <c r="BVT41" s="139"/>
      <c r="BVU41" s="139"/>
      <c r="BVV41" s="139"/>
      <c r="BVW41" s="139"/>
      <c r="BVX41" s="139"/>
      <c r="BVY41" s="139"/>
      <c r="BVZ41" s="139"/>
      <c r="BWA41" s="139"/>
      <c r="BWB41" s="139"/>
      <c r="BWC41" s="139"/>
      <c r="BWD41" s="139"/>
      <c r="BWE41" s="139"/>
      <c r="BWF41" s="139"/>
      <c r="BWG41" s="139"/>
      <c r="BWH41" s="139"/>
      <c r="BWI41" s="139"/>
      <c r="BWJ41" s="139"/>
      <c r="BWK41" s="139"/>
      <c r="BWL41" s="139"/>
      <c r="BWM41" s="139"/>
      <c r="BWN41" s="139"/>
      <c r="BWO41" s="139"/>
      <c r="BWP41" s="139"/>
      <c r="BWQ41" s="139"/>
      <c r="BWR41" s="139"/>
      <c r="BWS41" s="139"/>
      <c r="BWT41" s="139"/>
      <c r="BWU41" s="139"/>
      <c r="BWV41" s="139"/>
      <c r="BWW41" s="139"/>
      <c r="BWX41" s="139"/>
      <c r="BWY41" s="139"/>
      <c r="BWZ41" s="139"/>
      <c r="BXA41" s="139"/>
      <c r="BXB41" s="139"/>
      <c r="BXC41" s="139"/>
      <c r="BXD41" s="139"/>
      <c r="BXE41" s="139"/>
      <c r="BXF41" s="139"/>
      <c r="BXG41" s="139"/>
      <c r="BXH41" s="139"/>
      <c r="BXI41" s="139"/>
      <c r="BXJ41" s="139"/>
      <c r="BXK41" s="139"/>
      <c r="BXL41" s="139"/>
      <c r="BXM41" s="139"/>
      <c r="BXN41" s="139"/>
      <c r="BXO41" s="139"/>
      <c r="BXP41" s="139"/>
      <c r="BXQ41" s="139"/>
      <c r="BXR41" s="139"/>
      <c r="BXS41" s="139"/>
      <c r="BXT41" s="139"/>
      <c r="BXU41" s="139"/>
      <c r="BXV41" s="139"/>
      <c r="BXW41" s="139"/>
      <c r="BXX41" s="139"/>
      <c r="BXY41" s="139"/>
      <c r="BXZ41" s="139"/>
      <c r="BYA41" s="139"/>
      <c r="BYB41" s="139"/>
      <c r="BYC41" s="139"/>
      <c r="BYD41" s="139"/>
      <c r="BYE41" s="139"/>
      <c r="BYF41" s="139"/>
      <c r="BYG41" s="139"/>
      <c r="BYH41" s="139"/>
      <c r="BYI41" s="139"/>
      <c r="BYJ41" s="139"/>
      <c r="BYK41" s="139"/>
      <c r="BYL41" s="139"/>
      <c r="BYM41" s="139"/>
      <c r="BYN41" s="139"/>
      <c r="BYO41" s="139"/>
      <c r="BYP41" s="139"/>
      <c r="BYQ41" s="139"/>
      <c r="BYR41" s="139"/>
      <c r="BYS41" s="139"/>
      <c r="BYT41" s="139"/>
      <c r="BYU41" s="139"/>
      <c r="BYV41" s="139"/>
      <c r="BYW41" s="139"/>
      <c r="BYX41" s="139"/>
      <c r="BYY41" s="139"/>
      <c r="BYZ41" s="139"/>
      <c r="BZA41" s="139"/>
      <c r="BZB41" s="139"/>
      <c r="BZC41" s="139"/>
      <c r="BZD41" s="139"/>
      <c r="BZE41" s="139"/>
      <c r="BZF41" s="139"/>
      <c r="BZG41" s="139"/>
      <c r="BZH41" s="139"/>
      <c r="BZI41" s="139"/>
      <c r="BZJ41" s="139"/>
      <c r="BZK41" s="139"/>
      <c r="BZL41" s="139"/>
      <c r="BZM41" s="139"/>
      <c r="BZN41" s="139"/>
      <c r="BZO41" s="139"/>
      <c r="BZP41" s="139"/>
      <c r="BZQ41" s="139"/>
      <c r="BZR41" s="139"/>
      <c r="BZS41" s="139"/>
      <c r="BZT41" s="139"/>
      <c r="BZU41" s="139"/>
      <c r="BZV41" s="139"/>
      <c r="BZW41" s="139"/>
      <c r="BZX41" s="139"/>
      <c r="BZY41" s="139"/>
      <c r="BZZ41" s="139"/>
      <c r="CAA41" s="139"/>
      <c r="CAB41" s="139"/>
      <c r="CAC41" s="139"/>
      <c r="CAD41" s="139"/>
      <c r="CAE41" s="139"/>
      <c r="CAF41" s="139"/>
      <c r="CAG41" s="139"/>
      <c r="CAH41" s="139"/>
      <c r="CAI41" s="139"/>
      <c r="CAJ41" s="139"/>
      <c r="CAK41" s="139"/>
      <c r="CAL41" s="139"/>
      <c r="CAM41" s="139"/>
      <c r="CAN41" s="139"/>
      <c r="CAO41" s="139"/>
      <c r="CAP41" s="139"/>
      <c r="CAQ41" s="139"/>
      <c r="CAR41" s="139"/>
      <c r="CAS41" s="139"/>
      <c r="CAT41" s="139"/>
      <c r="CAU41" s="139"/>
      <c r="CAV41" s="139"/>
      <c r="CAW41" s="139"/>
      <c r="CAX41" s="139"/>
      <c r="CAY41" s="139"/>
      <c r="CAZ41" s="139"/>
      <c r="CBA41" s="139"/>
      <c r="CBB41" s="139"/>
      <c r="CBC41" s="139"/>
      <c r="CBD41" s="139"/>
      <c r="CBE41" s="139"/>
      <c r="CBF41" s="139"/>
      <c r="CBG41" s="139"/>
      <c r="CBH41" s="139"/>
      <c r="CBI41" s="139"/>
      <c r="CBJ41" s="139"/>
      <c r="CBK41" s="139"/>
      <c r="CBL41" s="139"/>
      <c r="CBM41" s="139"/>
      <c r="CBN41" s="139"/>
      <c r="CBO41" s="139"/>
      <c r="CBP41" s="139"/>
      <c r="CBQ41" s="139"/>
      <c r="CBR41" s="139"/>
      <c r="CBS41" s="139"/>
      <c r="CBT41" s="139"/>
      <c r="CBU41" s="139"/>
      <c r="CBV41" s="139"/>
      <c r="CBW41" s="139"/>
      <c r="CBX41" s="139"/>
      <c r="CBY41" s="139"/>
      <c r="CBZ41" s="139"/>
      <c r="CCA41" s="139"/>
      <c r="CCB41" s="139"/>
      <c r="CCC41" s="139"/>
      <c r="CCD41" s="139"/>
      <c r="CCE41" s="139"/>
      <c r="CCF41" s="139"/>
      <c r="CCG41" s="139"/>
      <c r="CCH41" s="139"/>
      <c r="CCI41" s="139"/>
      <c r="CCJ41" s="139"/>
      <c r="CCK41" s="139"/>
      <c r="CCL41" s="139"/>
      <c r="CCM41" s="139"/>
      <c r="CCN41" s="139"/>
      <c r="CCO41" s="139"/>
      <c r="CCP41" s="139"/>
      <c r="CCQ41" s="139"/>
      <c r="CCR41" s="139"/>
      <c r="CCS41" s="139"/>
      <c r="CCT41" s="139"/>
      <c r="CCU41" s="139"/>
      <c r="CCV41" s="139"/>
      <c r="CCW41" s="139"/>
      <c r="CCX41" s="139"/>
      <c r="CCY41" s="139"/>
      <c r="CCZ41" s="139"/>
      <c r="CDA41" s="139"/>
      <c r="CDB41" s="139"/>
      <c r="CDC41" s="139"/>
      <c r="CDD41" s="139"/>
      <c r="CDE41" s="139"/>
      <c r="CDF41" s="139"/>
      <c r="CDG41" s="139"/>
      <c r="CDH41" s="139"/>
      <c r="CDI41" s="139"/>
      <c r="CDJ41" s="139"/>
      <c r="CDK41" s="139"/>
      <c r="CDL41" s="139"/>
      <c r="CDM41" s="139"/>
      <c r="CDN41" s="139"/>
      <c r="CDO41" s="139"/>
      <c r="CDP41" s="139"/>
      <c r="CDQ41" s="139"/>
      <c r="CDR41" s="139"/>
      <c r="CDS41" s="139"/>
      <c r="CDT41" s="139"/>
      <c r="CDU41" s="139"/>
      <c r="CDV41" s="139"/>
      <c r="CDW41" s="139"/>
      <c r="CDX41" s="139"/>
      <c r="CDY41" s="139"/>
      <c r="CDZ41" s="139"/>
      <c r="CEA41" s="139"/>
      <c r="CEB41" s="139"/>
      <c r="CEC41" s="139"/>
      <c r="CED41" s="139"/>
      <c r="CEE41" s="139"/>
      <c r="CEF41" s="139"/>
      <c r="CEG41" s="139"/>
      <c r="CEH41" s="139"/>
      <c r="CEI41" s="139"/>
      <c r="CEJ41" s="139"/>
      <c r="CEK41" s="139"/>
      <c r="CEL41" s="139"/>
      <c r="CEM41" s="139"/>
      <c r="CEN41" s="139"/>
      <c r="CEO41" s="139"/>
      <c r="CEP41" s="139"/>
      <c r="CEQ41" s="139"/>
      <c r="CER41" s="139"/>
      <c r="CES41" s="139"/>
      <c r="CET41" s="139"/>
      <c r="CEU41" s="139"/>
      <c r="CEV41" s="139"/>
      <c r="CEW41" s="139"/>
      <c r="CEX41" s="139"/>
      <c r="CEY41" s="139"/>
      <c r="CEZ41" s="139"/>
      <c r="CFA41" s="139"/>
      <c r="CFB41" s="139"/>
      <c r="CFC41" s="139"/>
      <c r="CFD41" s="139"/>
      <c r="CFE41" s="139"/>
      <c r="CFF41" s="139"/>
      <c r="CFG41" s="139"/>
      <c r="CFH41" s="139"/>
      <c r="CFI41" s="139"/>
      <c r="CFJ41" s="139"/>
      <c r="CFK41" s="139"/>
      <c r="CFL41" s="139"/>
      <c r="CFM41" s="139"/>
      <c r="CFN41" s="139"/>
      <c r="CFO41" s="139"/>
      <c r="CFP41" s="139"/>
      <c r="CFQ41" s="139"/>
      <c r="CFR41" s="139"/>
      <c r="CFS41" s="139"/>
      <c r="CFT41" s="139"/>
      <c r="CFU41" s="139"/>
      <c r="CFV41" s="139"/>
      <c r="CFW41" s="139"/>
      <c r="CFX41" s="139"/>
      <c r="CFY41" s="139"/>
      <c r="CFZ41" s="139"/>
      <c r="CGA41" s="139"/>
      <c r="CGB41" s="139"/>
      <c r="CGC41" s="139"/>
      <c r="CGD41" s="139"/>
      <c r="CGE41" s="139"/>
      <c r="CGF41" s="139"/>
      <c r="CGG41" s="139"/>
      <c r="CGH41" s="139"/>
      <c r="CGI41" s="139"/>
      <c r="CGJ41" s="139"/>
      <c r="CGK41" s="139"/>
      <c r="CGL41" s="139"/>
      <c r="CGM41" s="139"/>
      <c r="CGN41" s="139"/>
      <c r="CGO41" s="139"/>
      <c r="CGP41" s="139"/>
      <c r="CGQ41" s="139"/>
      <c r="CGR41" s="139"/>
      <c r="CGS41" s="139"/>
      <c r="CGT41" s="139"/>
      <c r="CGU41" s="139"/>
      <c r="CGV41" s="139"/>
      <c r="CGW41" s="139"/>
      <c r="CGX41" s="139"/>
      <c r="CGY41" s="139"/>
      <c r="CGZ41" s="139"/>
      <c r="CHA41" s="139"/>
      <c r="CHB41" s="139"/>
      <c r="CHC41" s="139"/>
      <c r="CHD41" s="139"/>
      <c r="CHE41" s="139"/>
      <c r="CHF41" s="139"/>
      <c r="CHG41" s="139"/>
      <c r="CHH41" s="139"/>
      <c r="CHI41" s="139"/>
      <c r="CHJ41" s="139"/>
      <c r="CHK41" s="139"/>
      <c r="CHL41" s="139"/>
      <c r="CHM41" s="139"/>
      <c r="CHN41" s="139"/>
      <c r="CHO41" s="139"/>
      <c r="CHP41" s="139"/>
      <c r="CHQ41" s="139"/>
      <c r="CHR41" s="139"/>
      <c r="CHS41" s="139"/>
      <c r="CHT41" s="139"/>
      <c r="CHU41" s="139"/>
      <c r="CHV41" s="139"/>
      <c r="CHW41" s="139"/>
      <c r="CHX41" s="139"/>
      <c r="CHY41" s="139"/>
      <c r="CHZ41" s="139"/>
      <c r="CIA41" s="139"/>
      <c r="CIB41" s="139"/>
      <c r="CIC41" s="139"/>
      <c r="CID41" s="139"/>
      <c r="CIE41" s="139"/>
      <c r="CIF41" s="139"/>
      <c r="CIG41" s="139"/>
      <c r="CIH41" s="139"/>
      <c r="CII41" s="139"/>
      <c r="CIJ41" s="139"/>
      <c r="CIK41" s="139"/>
      <c r="CIL41" s="139"/>
      <c r="CIM41" s="139"/>
      <c r="CIN41" s="139"/>
      <c r="CIO41" s="139"/>
      <c r="CIP41" s="139"/>
      <c r="CIQ41" s="139"/>
      <c r="CIR41" s="139"/>
      <c r="CIS41" s="139"/>
      <c r="CIT41" s="139"/>
      <c r="CIU41" s="139"/>
      <c r="CIV41" s="139"/>
      <c r="CIW41" s="139"/>
      <c r="CIX41" s="139"/>
      <c r="CIY41" s="139"/>
      <c r="CIZ41" s="139"/>
      <c r="CJA41" s="139"/>
      <c r="CJB41" s="139"/>
      <c r="CJC41" s="139"/>
      <c r="CJD41" s="139"/>
      <c r="CJE41" s="139"/>
      <c r="CJF41" s="139"/>
      <c r="CJG41" s="139"/>
      <c r="CJH41" s="139"/>
      <c r="CJI41" s="139"/>
      <c r="CJJ41" s="139"/>
      <c r="CJK41" s="139"/>
      <c r="CJL41" s="139"/>
      <c r="CJM41" s="139"/>
      <c r="CJN41" s="139"/>
      <c r="CJO41" s="139"/>
      <c r="CJP41" s="139"/>
      <c r="CJQ41" s="139"/>
      <c r="CJR41" s="139"/>
      <c r="CJS41" s="139"/>
      <c r="CJT41" s="139"/>
      <c r="CJU41" s="139"/>
      <c r="CJV41" s="139"/>
      <c r="CJW41" s="139"/>
      <c r="CJX41" s="139"/>
      <c r="CJY41" s="139"/>
      <c r="CJZ41" s="139"/>
      <c r="CKA41" s="139"/>
      <c r="CKB41" s="139"/>
      <c r="CKC41" s="139"/>
      <c r="CKD41" s="139"/>
      <c r="CKE41" s="139"/>
      <c r="CKF41" s="139"/>
      <c r="CKG41" s="139"/>
      <c r="CKH41" s="139"/>
      <c r="CKI41" s="139"/>
      <c r="CKJ41" s="139"/>
      <c r="CKK41" s="139"/>
      <c r="CKL41" s="139"/>
      <c r="CKM41" s="139"/>
      <c r="CKN41" s="139"/>
      <c r="CKO41" s="139"/>
      <c r="CKP41" s="139"/>
      <c r="CKQ41" s="139"/>
      <c r="CKR41" s="139"/>
      <c r="CKS41" s="139"/>
      <c r="CKT41" s="139"/>
      <c r="CKU41" s="139"/>
      <c r="CKV41" s="139"/>
      <c r="CKW41" s="139"/>
      <c r="CKX41" s="139"/>
      <c r="CKY41" s="139"/>
      <c r="CKZ41" s="139"/>
      <c r="CLA41" s="139"/>
      <c r="CLB41" s="139"/>
      <c r="CLC41" s="139"/>
      <c r="CLD41" s="139"/>
      <c r="CLE41" s="139"/>
      <c r="CLF41" s="139"/>
      <c r="CLG41" s="139"/>
      <c r="CLH41" s="139"/>
      <c r="CLI41" s="139"/>
      <c r="CLJ41" s="139"/>
      <c r="CLK41" s="139"/>
      <c r="CLL41" s="139"/>
      <c r="CLM41" s="139"/>
      <c r="CLN41" s="139"/>
      <c r="CLO41" s="139"/>
      <c r="CLP41" s="139"/>
      <c r="CLQ41" s="139"/>
      <c r="CLR41" s="139"/>
      <c r="CLS41" s="139"/>
      <c r="CLT41" s="139"/>
      <c r="CLU41" s="139"/>
      <c r="CLV41" s="139"/>
      <c r="CLW41" s="139"/>
      <c r="CLX41" s="139"/>
      <c r="CLY41" s="139"/>
      <c r="CLZ41" s="139"/>
      <c r="CMA41" s="139"/>
      <c r="CMB41" s="139"/>
      <c r="CMC41" s="139"/>
      <c r="CMD41" s="139"/>
      <c r="CME41" s="139"/>
      <c r="CMF41" s="139"/>
      <c r="CMG41" s="139"/>
      <c r="CMH41" s="139"/>
      <c r="CMI41" s="139"/>
      <c r="CMJ41" s="139"/>
      <c r="CMK41" s="139"/>
      <c r="CML41" s="139"/>
      <c r="CMM41" s="139"/>
      <c r="CMN41" s="139"/>
      <c r="CMO41" s="139"/>
      <c r="CMP41" s="139"/>
      <c r="CMQ41" s="139"/>
      <c r="CMR41" s="139"/>
      <c r="CMS41" s="139"/>
      <c r="CMT41" s="139"/>
      <c r="CMU41" s="139"/>
      <c r="CMV41" s="139"/>
      <c r="CMW41" s="139"/>
      <c r="CMX41" s="139"/>
      <c r="CMY41" s="139"/>
      <c r="CMZ41" s="139"/>
      <c r="CNA41" s="139"/>
      <c r="CNB41" s="139"/>
      <c r="CNC41" s="139"/>
      <c r="CND41" s="139"/>
      <c r="CNE41" s="139"/>
      <c r="CNF41" s="139"/>
      <c r="CNG41" s="139"/>
      <c r="CNH41" s="139"/>
      <c r="CNI41" s="139"/>
      <c r="CNJ41" s="139"/>
      <c r="CNK41" s="139"/>
      <c r="CNL41" s="139"/>
      <c r="CNM41" s="139"/>
      <c r="CNN41" s="139"/>
      <c r="CNO41" s="139"/>
      <c r="CNP41" s="139"/>
      <c r="CNQ41" s="139"/>
      <c r="CNR41" s="139"/>
      <c r="CNS41" s="139"/>
      <c r="CNT41" s="139"/>
      <c r="CNU41" s="139"/>
      <c r="CNV41" s="139"/>
      <c r="CNW41" s="139"/>
      <c r="CNX41" s="139"/>
      <c r="CNY41" s="139"/>
      <c r="CNZ41" s="139"/>
      <c r="COA41" s="139"/>
      <c r="COB41" s="139"/>
      <c r="COC41" s="139"/>
      <c r="COD41" s="139"/>
      <c r="COE41" s="139"/>
      <c r="COF41" s="139"/>
      <c r="COG41" s="139"/>
      <c r="COH41" s="139"/>
      <c r="COI41" s="139"/>
      <c r="COJ41" s="139"/>
      <c r="COK41" s="139"/>
      <c r="COL41" s="139"/>
      <c r="COM41" s="139"/>
      <c r="CON41" s="139"/>
      <c r="COO41" s="139"/>
      <c r="COP41" s="139"/>
      <c r="COQ41" s="139"/>
      <c r="COR41" s="139"/>
      <c r="COS41" s="139"/>
      <c r="COT41" s="139"/>
      <c r="COU41" s="139"/>
      <c r="COV41" s="139"/>
      <c r="COW41" s="139"/>
      <c r="COX41" s="139"/>
      <c r="COY41" s="139"/>
      <c r="COZ41" s="139"/>
      <c r="CPA41" s="139"/>
      <c r="CPB41" s="139"/>
      <c r="CPC41" s="139"/>
      <c r="CPD41" s="139"/>
      <c r="CPE41" s="139"/>
      <c r="CPF41" s="139"/>
      <c r="CPG41" s="139"/>
      <c r="CPH41" s="139"/>
      <c r="CPI41" s="139"/>
      <c r="CPJ41" s="139"/>
      <c r="CPK41" s="139"/>
      <c r="CPL41" s="139"/>
      <c r="CPM41" s="139"/>
      <c r="CPN41" s="139"/>
      <c r="CPO41" s="139"/>
      <c r="CPP41" s="139"/>
      <c r="CPQ41" s="139"/>
      <c r="CPR41" s="139"/>
      <c r="CPS41" s="139"/>
      <c r="CPT41" s="139"/>
      <c r="CPU41" s="139"/>
      <c r="CPV41" s="139"/>
      <c r="CPW41" s="139"/>
      <c r="CPX41" s="139"/>
      <c r="CPY41" s="139"/>
      <c r="CPZ41" s="139"/>
      <c r="CQA41" s="139"/>
      <c r="CQB41" s="139"/>
      <c r="CQC41" s="139"/>
      <c r="CQD41" s="139"/>
      <c r="CQE41" s="139"/>
      <c r="CQF41" s="139"/>
      <c r="CQG41" s="139"/>
      <c r="CQH41" s="139"/>
      <c r="CQI41" s="139"/>
      <c r="CQJ41" s="139"/>
      <c r="CQK41" s="139"/>
      <c r="CQL41" s="139"/>
      <c r="CQM41" s="139"/>
      <c r="CQN41" s="139"/>
      <c r="CQO41" s="139"/>
      <c r="CQP41" s="139"/>
      <c r="CQQ41" s="139"/>
      <c r="CQR41" s="139"/>
      <c r="CQS41" s="139"/>
      <c r="CQT41" s="139"/>
      <c r="CQU41" s="139"/>
      <c r="CQV41" s="139"/>
      <c r="CQW41" s="139"/>
      <c r="CQX41" s="139"/>
      <c r="CQY41" s="139"/>
      <c r="CQZ41" s="139"/>
      <c r="CRA41" s="139"/>
      <c r="CRB41" s="139"/>
      <c r="CRC41" s="139"/>
      <c r="CRD41" s="139"/>
      <c r="CRE41" s="139"/>
      <c r="CRF41" s="139"/>
      <c r="CRG41" s="139"/>
      <c r="CRH41" s="139"/>
      <c r="CRI41" s="139"/>
      <c r="CRJ41" s="139"/>
      <c r="CRK41" s="139"/>
      <c r="CRL41" s="139"/>
      <c r="CRM41" s="139"/>
      <c r="CRN41" s="139"/>
      <c r="CRO41" s="139"/>
      <c r="CRP41" s="139"/>
      <c r="CRQ41" s="139"/>
      <c r="CRR41" s="139"/>
      <c r="CRS41" s="139"/>
      <c r="CRT41" s="139"/>
      <c r="CRU41" s="139"/>
      <c r="CRV41" s="139"/>
      <c r="CRW41" s="139"/>
      <c r="CRX41" s="139"/>
      <c r="CRY41" s="139"/>
      <c r="CRZ41" s="139"/>
      <c r="CSA41" s="139"/>
      <c r="CSB41" s="139"/>
      <c r="CSC41" s="139"/>
      <c r="CSD41" s="139"/>
      <c r="CSE41" s="139"/>
      <c r="CSF41" s="139"/>
      <c r="CSG41" s="139"/>
      <c r="CSH41" s="139"/>
      <c r="CSI41" s="139"/>
      <c r="CSJ41" s="139"/>
      <c r="CSK41" s="139"/>
      <c r="CSL41" s="139"/>
      <c r="CSM41" s="139"/>
      <c r="CSN41" s="139"/>
      <c r="CSO41" s="139"/>
      <c r="CSP41" s="139"/>
      <c r="CSQ41" s="139"/>
      <c r="CSR41" s="139"/>
      <c r="CSS41" s="139"/>
      <c r="CST41" s="139"/>
      <c r="CSU41" s="139"/>
      <c r="CSV41" s="139"/>
      <c r="CSW41" s="139"/>
      <c r="CSX41" s="139"/>
      <c r="CSY41" s="139"/>
      <c r="CSZ41" s="139"/>
      <c r="CTA41" s="139"/>
      <c r="CTB41" s="139"/>
      <c r="CTC41" s="139"/>
      <c r="CTD41" s="139"/>
      <c r="CTE41" s="139"/>
      <c r="CTF41" s="139"/>
      <c r="CTG41" s="139"/>
      <c r="CTH41" s="139"/>
      <c r="CTI41" s="139"/>
      <c r="CTJ41" s="139"/>
      <c r="CTK41" s="139"/>
      <c r="CTL41" s="139"/>
      <c r="CTM41" s="139"/>
      <c r="CTN41" s="139"/>
      <c r="CTO41" s="139"/>
      <c r="CTP41" s="139"/>
      <c r="CTQ41" s="139"/>
      <c r="CTR41" s="139"/>
      <c r="CTS41" s="139"/>
      <c r="CTT41" s="139"/>
      <c r="CTU41" s="139"/>
      <c r="CTV41" s="139"/>
      <c r="CTW41" s="139"/>
      <c r="CTX41" s="139"/>
      <c r="CTY41" s="139"/>
      <c r="CTZ41" s="139"/>
      <c r="CUA41" s="139"/>
      <c r="CUB41" s="139"/>
      <c r="CUC41" s="139"/>
      <c r="CUD41" s="139"/>
      <c r="CUE41" s="139"/>
      <c r="CUF41" s="139"/>
      <c r="CUG41" s="139"/>
      <c r="CUH41" s="139"/>
      <c r="CUI41" s="139"/>
      <c r="CUJ41" s="139"/>
      <c r="CUK41" s="139"/>
      <c r="CUL41" s="139"/>
      <c r="CUM41" s="139"/>
      <c r="CUN41" s="139"/>
      <c r="CUO41" s="139"/>
      <c r="CUP41" s="139"/>
      <c r="CUQ41" s="139"/>
      <c r="CUR41" s="139"/>
      <c r="CUS41" s="139"/>
      <c r="CUT41" s="139"/>
      <c r="CUU41" s="139"/>
      <c r="CUV41" s="139"/>
      <c r="CUW41" s="139"/>
      <c r="CUX41" s="139"/>
      <c r="CUY41" s="139"/>
      <c r="CUZ41" s="139"/>
      <c r="CVA41" s="139"/>
      <c r="CVB41" s="139"/>
      <c r="CVC41" s="139"/>
      <c r="CVD41" s="139"/>
      <c r="CVE41" s="139"/>
      <c r="CVF41" s="139"/>
      <c r="CVG41" s="139"/>
      <c r="CVH41" s="139"/>
      <c r="CVI41" s="139"/>
      <c r="CVJ41" s="139"/>
      <c r="CVK41" s="139"/>
      <c r="CVL41" s="139"/>
      <c r="CVM41" s="139"/>
      <c r="CVN41" s="139"/>
      <c r="CVO41" s="139"/>
      <c r="CVP41" s="139"/>
      <c r="CVQ41" s="139"/>
      <c r="CVR41" s="139"/>
      <c r="CVS41" s="139"/>
      <c r="CVT41" s="139"/>
      <c r="CVU41" s="139"/>
      <c r="CVV41" s="139"/>
      <c r="CVW41" s="139"/>
      <c r="CVX41" s="139"/>
      <c r="CVY41" s="139"/>
      <c r="CVZ41" s="139"/>
      <c r="CWA41" s="139"/>
      <c r="CWB41" s="139"/>
      <c r="CWC41" s="139"/>
      <c r="CWD41" s="139"/>
      <c r="CWE41" s="139"/>
      <c r="CWF41" s="139"/>
      <c r="CWG41" s="139"/>
      <c r="CWH41" s="139"/>
      <c r="CWI41" s="139"/>
      <c r="CWJ41" s="139"/>
      <c r="CWK41" s="139"/>
      <c r="CWL41" s="139"/>
      <c r="CWM41" s="139"/>
      <c r="CWN41" s="139"/>
      <c r="CWO41" s="139"/>
      <c r="CWP41" s="139"/>
      <c r="CWQ41" s="139"/>
      <c r="CWR41" s="139"/>
      <c r="CWS41" s="139"/>
      <c r="CWT41" s="139"/>
      <c r="CWU41" s="139"/>
      <c r="CWV41" s="139"/>
      <c r="CWW41" s="139"/>
      <c r="CWX41" s="139"/>
      <c r="CWY41" s="139"/>
      <c r="CWZ41" s="139"/>
      <c r="CXA41" s="139"/>
      <c r="CXB41" s="139"/>
      <c r="CXC41" s="139"/>
      <c r="CXD41" s="139"/>
      <c r="CXE41" s="139"/>
      <c r="CXF41" s="139"/>
      <c r="CXG41" s="139"/>
      <c r="CXH41" s="139"/>
      <c r="CXI41" s="139"/>
      <c r="CXJ41" s="139"/>
      <c r="CXK41" s="139"/>
      <c r="CXL41" s="139"/>
      <c r="CXM41" s="139"/>
      <c r="CXN41" s="139"/>
      <c r="CXO41" s="139"/>
      <c r="CXP41" s="139"/>
      <c r="CXQ41" s="139"/>
      <c r="CXR41" s="139"/>
      <c r="CXS41" s="139"/>
      <c r="CXT41" s="139"/>
      <c r="CXU41" s="139"/>
      <c r="CXV41" s="139"/>
      <c r="CXW41" s="139"/>
      <c r="CXX41" s="139"/>
      <c r="CXY41" s="139"/>
      <c r="CXZ41" s="139"/>
      <c r="CYA41" s="139"/>
      <c r="CYB41" s="139"/>
      <c r="CYC41" s="139"/>
      <c r="CYD41" s="139"/>
      <c r="CYE41" s="139"/>
      <c r="CYF41" s="139"/>
      <c r="CYG41" s="139"/>
      <c r="CYH41" s="139"/>
      <c r="CYI41" s="139"/>
      <c r="CYJ41" s="139"/>
      <c r="CYK41" s="139"/>
      <c r="CYL41" s="139"/>
      <c r="CYM41" s="139"/>
      <c r="CYN41" s="139"/>
      <c r="CYO41" s="139"/>
      <c r="CYP41" s="139"/>
      <c r="CYQ41" s="139"/>
      <c r="CYR41" s="139"/>
      <c r="CYS41" s="139"/>
      <c r="CYT41" s="139"/>
      <c r="CYU41" s="139"/>
      <c r="CYV41" s="139"/>
      <c r="CYW41" s="139"/>
      <c r="CYX41" s="139"/>
      <c r="CYY41" s="139"/>
      <c r="CYZ41" s="139"/>
      <c r="CZA41" s="139"/>
      <c r="CZB41" s="139"/>
      <c r="CZC41" s="139"/>
      <c r="CZD41" s="139"/>
      <c r="CZE41" s="139"/>
      <c r="CZF41" s="139"/>
      <c r="CZG41" s="139"/>
      <c r="CZH41" s="139"/>
      <c r="CZI41" s="139"/>
      <c r="CZJ41" s="139"/>
      <c r="CZK41" s="139"/>
      <c r="CZL41" s="139"/>
      <c r="CZM41" s="139"/>
      <c r="CZN41" s="139"/>
      <c r="CZO41" s="139"/>
      <c r="CZP41" s="139"/>
      <c r="CZQ41" s="139"/>
      <c r="CZR41" s="139"/>
      <c r="CZS41" s="139"/>
      <c r="CZT41" s="139"/>
      <c r="CZU41" s="139"/>
      <c r="CZV41" s="139"/>
      <c r="CZW41" s="139"/>
      <c r="CZX41" s="139"/>
      <c r="CZY41" s="139"/>
      <c r="CZZ41" s="139"/>
      <c r="DAA41" s="139"/>
      <c r="DAB41" s="139"/>
      <c r="DAC41" s="139"/>
      <c r="DAD41" s="139"/>
      <c r="DAE41" s="139"/>
      <c r="DAF41" s="139"/>
      <c r="DAG41" s="139"/>
      <c r="DAH41" s="139"/>
      <c r="DAI41" s="139"/>
      <c r="DAJ41" s="139"/>
      <c r="DAK41" s="139"/>
      <c r="DAL41" s="139"/>
      <c r="DAM41" s="139"/>
      <c r="DAN41" s="139"/>
      <c r="DAO41" s="139"/>
      <c r="DAP41" s="139"/>
      <c r="DAQ41" s="139"/>
      <c r="DAR41" s="139"/>
      <c r="DAS41" s="139"/>
      <c r="DAT41" s="139"/>
      <c r="DAU41" s="139"/>
      <c r="DAV41" s="139"/>
      <c r="DAW41" s="139"/>
      <c r="DAX41" s="139"/>
      <c r="DAY41" s="139"/>
      <c r="DAZ41" s="139"/>
      <c r="DBA41" s="139"/>
      <c r="DBB41" s="139"/>
      <c r="DBC41" s="139"/>
      <c r="DBD41" s="139"/>
      <c r="DBE41" s="139"/>
      <c r="DBF41" s="139"/>
      <c r="DBG41" s="139"/>
      <c r="DBH41" s="139"/>
      <c r="DBI41" s="139"/>
      <c r="DBJ41" s="139"/>
      <c r="DBK41" s="139"/>
      <c r="DBL41" s="139"/>
      <c r="DBM41" s="139"/>
      <c r="DBN41" s="139"/>
      <c r="DBO41" s="139"/>
      <c r="DBP41" s="139"/>
      <c r="DBQ41" s="139"/>
      <c r="DBR41" s="139"/>
      <c r="DBS41" s="139"/>
      <c r="DBT41" s="139"/>
      <c r="DBU41" s="139"/>
      <c r="DBV41" s="139"/>
      <c r="DBW41" s="139"/>
      <c r="DBX41" s="139"/>
      <c r="DBY41" s="139"/>
      <c r="DBZ41" s="139"/>
      <c r="DCA41" s="139"/>
      <c r="DCB41" s="139"/>
      <c r="DCC41" s="139"/>
      <c r="DCD41" s="139"/>
      <c r="DCE41" s="139"/>
      <c r="DCF41" s="139"/>
      <c r="DCG41" s="139"/>
      <c r="DCH41" s="139"/>
      <c r="DCI41" s="139"/>
      <c r="DCJ41" s="139"/>
      <c r="DCK41" s="139"/>
      <c r="DCL41" s="139"/>
      <c r="DCM41" s="139"/>
      <c r="DCN41" s="139"/>
      <c r="DCO41" s="139"/>
      <c r="DCP41" s="139"/>
      <c r="DCQ41" s="139"/>
      <c r="DCR41" s="139"/>
      <c r="DCS41" s="139"/>
      <c r="DCT41" s="139"/>
      <c r="DCU41" s="139"/>
      <c r="DCV41" s="139"/>
      <c r="DCW41" s="139"/>
      <c r="DCX41" s="139"/>
      <c r="DCY41" s="139"/>
      <c r="DCZ41" s="139"/>
      <c r="DDA41" s="139"/>
      <c r="DDB41" s="139"/>
      <c r="DDC41" s="139"/>
      <c r="DDD41" s="139"/>
      <c r="DDE41" s="139"/>
      <c r="DDF41" s="139"/>
      <c r="DDG41" s="139"/>
      <c r="DDH41" s="139"/>
      <c r="DDI41" s="139"/>
      <c r="DDJ41" s="139"/>
      <c r="DDK41" s="139"/>
      <c r="DDL41" s="139"/>
      <c r="DDM41" s="139"/>
      <c r="DDN41" s="139"/>
      <c r="DDO41" s="139"/>
      <c r="DDP41" s="139"/>
      <c r="DDQ41" s="139"/>
      <c r="DDR41" s="139"/>
      <c r="DDS41" s="139"/>
      <c r="DDT41" s="139"/>
      <c r="DDU41" s="139"/>
      <c r="DDV41" s="139"/>
      <c r="DDW41" s="139"/>
      <c r="DDX41" s="139"/>
      <c r="DDY41" s="139"/>
      <c r="DDZ41" s="139"/>
      <c r="DEA41" s="139"/>
      <c r="DEB41" s="139"/>
      <c r="DEC41" s="139"/>
      <c r="DED41" s="139"/>
      <c r="DEE41" s="139"/>
      <c r="DEF41" s="139"/>
      <c r="DEG41" s="139"/>
      <c r="DEH41" s="139"/>
      <c r="DEI41" s="139"/>
      <c r="DEJ41" s="139"/>
      <c r="DEK41" s="139"/>
      <c r="DEL41" s="139"/>
      <c r="DEM41" s="139"/>
      <c r="DEN41" s="139"/>
      <c r="DEO41" s="139"/>
      <c r="DEP41" s="139"/>
      <c r="DEQ41" s="139"/>
      <c r="DER41" s="139"/>
      <c r="DES41" s="139"/>
      <c r="DET41" s="139"/>
      <c r="DEU41" s="139"/>
      <c r="DEV41" s="139"/>
      <c r="DEW41" s="139"/>
      <c r="DEX41" s="139"/>
      <c r="DEY41" s="139"/>
      <c r="DEZ41" s="139"/>
      <c r="DFA41" s="139"/>
      <c r="DFB41" s="139"/>
      <c r="DFC41" s="139"/>
      <c r="DFD41" s="139"/>
      <c r="DFE41" s="139"/>
      <c r="DFF41" s="139"/>
      <c r="DFG41" s="139"/>
      <c r="DFH41" s="139"/>
      <c r="DFI41" s="139"/>
      <c r="DFJ41" s="139"/>
      <c r="DFK41" s="139"/>
      <c r="DFL41" s="139"/>
      <c r="DFM41" s="139"/>
      <c r="DFN41" s="139"/>
      <c r="DFO41" s="139"/>
      <c r="DFP41" s="139"/>
      <c r="DFQ41" s="139"/>
      <c r="DFR41" s="139"/>
      <c r="DFS41" s="139"/>
      <c r="DFT41" s="139"/>
      <c r="DFU41" s="139"/>
      <c r="DFV41" s="139"/>
      <c r="DFW41" s="139"/>
      <c r="DFX41" s="139"/>
      <c r="DFY41" s="139"/>
      <c r="DFZ41" s="139"/>
      <c r="DGA41" s="139"/>
      <c r="DGB41" s="139"/>
      <c r="DGC41" s="139"/>
      <c r="DGD41" s="139"/>
      <c r="DGE41" s="139"/>
      <c r="DGF41" s="139"/>
      <c r="DGG41" s="139"/>
      <c r="DGH41" s="139"/>
      <c r="DGI41" s="139"/>
      <c r="DGJ41" s="139"/>
      <c r="DGK41" s="139"/>
      <c r="DGL41" s="139"/>
      <c r="DGM41" s="139"/>
      <c r="DGN41" s="139"/>
      <c r="DGO41" s="139"/>
      <c r="DGP41" s="139"/>
      <c r="DGQ41" s="139"/>
      <c r="DGR41" s="139"/>
      <c r="DGS41" s="139"/>
      <c r="DGT41" s="139"/>
      <c r="DGU41" s="139"/>
      <c r="DGV41" s="139"/>
      <c r="DGW41" s="139"/>
      <c r="DGX41" s="139"/>
      <c r="DGY41" s="139"/>
      <c r="DGZ41" s="139"/>
      <c r="DHA41" s="139"/>
      <c r="DHB41" s="139"/>
      <c r="DHC41" s="139"/>
      <c r="DHD41" s="139"/>
      <c r="DHE41" s="139"/>
      <c r="DHF41" s="139"/>
      <c r="DHG41" s="139"/>
      <c r="DHH41" s="139"/>
      <c r="DHI41" s="139"/>
      <c r="DHJ41" s="139"/>
      <c r="DHK41" s="139"/>
      <c r="DHL41" s="139"/>
      <c r="DHM41" s="139"/>
      <c r="DHN41" s="139"/>
      <c r="DHO41" s="139"/>
      <c r="DHP41" s="139"/>
      <c r="DHQ41" s="139"/>
      <c r="DHR41" s="139"/>
      <c r="DHS41" s="139"/>
      <c r="DHT41" s="139"/>
      <c r="DHU41" s="139"/>
      <c r="DHV41" s="139"/>
      <c r="DHW41" s="139"/>
      <c r="DHX41" s="139"/>
      <c r="DHY41" s="139"/>
      <c r="DHZ41" s="139"/>
      <c r="DIA41" s="139"/>
      <c r="DIB41" s="139"/>
      <c r="DIC41" s="139"/>
      <c r="DID41" s="139"/>
      <c r="DIE41" s="139"/>
      <c r="DIF41" s="139"/>
      <c r="DIG41" s="139"/>
      <c r="DIH41" s="139"/>
      <c r="DII41" s="139"/>
      <c r="DIJ41" s="139"/>
      <c r="DIK41" s="139"/>
      <c r="DIL41" s="139"/>
      <c r="DIM41" s="139"/>
      <c r="DIN41" s="139"/>
      <c r="DIO41" s="139"/>
      <c r="DIP41" s="139"/>
      <c r="DIQ41" s="139"/>
      <c r="DIR41" s="139"/>
      <c r="DIS41" s="139"/>
      <c r="DIT41" s="139"/>
      <c r="DIU41" s="139"/>
      <c r="DIV41" s="139"/>
      <c r="DIW41" s="139"/>
      <c r="DIX41" s="139"/>
      <c r="DIY41" s="139"/>
      <c r="DIZ41" s="139"/>
      <c r="DJA41" s="139"/>
      <c r="DJB41" s="139"/>
      <c r="DJC41" s="139"/>
      <c r="DJD41" s="139"/>
      <c r="DJE41" s="139"/>
      <c r="DJF41" s="139"/>
      <c r="DJG41" s="139"/>
      <c r="DJH41" s="139"/>
      <c r="DJI41" s="139"/>
      <c r="DJJ41" s="139"/>
      <c r="DJK41" s="139"/>
      <c r="DJL41" s="139"/>
      <c r="DJM41" s="139"/>
      <c r="DJN41" s="139"/>
      <c r="DJO41" s="139"/>
      <c r="DJP41" s="139"/>
      <c r="DJQ41" s="139"/>
      <c r="DJR41" s="139"/>
      <c r="DJS41" s="139"/>
      <c r="DJT41" s="139"/>
      <c r="DJU41" s="139"/>
      <c r="DJV41" s="139"/>
      <c r="DJW41" s="139"/>
      <c r="DJX41" s="139"/>
      <c r="DJY41" s="139"/>
      <c r="DJZ41" s="139"/>
      <c r="DKA41" s="139"/>
      <c r="DKB41" s="139"/>
      <c r="DKC41" s="139"/>
      <c r="DKD41" s="139"/>
      <c r="DKE41" s="139"/>
      <c r="DKF41" s="139"/>
      <c r="DKG41" s="139"/>
      <c r="DKH41" s="139"/>
      <c r="DKI41" s="139"/>
      <c r="DKJ41" s="139"/>
      <c r="DKK41" s="139"/>
      <c r="DKL41" s="139"/>
      <c r="DKM41" s="139"/>
      <c r="DKN41" s="139"/>
      <c r="DKO41" s="139"/>
      <c r="DKP41" s="139"/>
      <c r="DKQ41" s="139"/>
      <c r="DKR41" s="139"/>
      <c r="DKS41" s="139"/>
      <c r="DKT41" s="139"/>
      <c r="DKU41" s="139"/>
      <c r="DKV41" s="139"/>
      <c r="DKW41" s="139"/>
      <c r="DKX41" s="139"/>
      <c r="DKY41" s="139"/>
      <c r="DKZ41" s="139"/>
      <c r="DLA41" s="139"/>
      <c r="DLB41" s="139"/>
      <c r="DLC41" s="139"/>
      <c r="DLD41" s="139"/>
      <c r="DLE41" s="139"/>
      <c r="DLF41" s="139"/>
      <c r="DLG41" s="139"/>
      <c r="DLH41" s="139"/>
      <c r="DLI41" s="139"/>
      <c r="DLJ41" s="139"/>
      <c r="DLK41" s="139"/>
      <c r="DLL41" s="139"/>
      <c r="DLM41" s="139"/>
      <c r="DLN41" s="139"/>
      <c r="DLO41" s="139"/>
      <c r="DLP41" s="139"/>
      <c r="DLQ41" s="139"/>
      <c r="DLR41" s="139"/>
      <c r="DLS41" s="139"/>
      <c r="DLT41" s="139"/>
      <c r="DLU41" s="139"/>
      <c r="DLV41" s="139"/>
      <c r="DLW41" s="139"/>
      <c r="DLX41" s="139"/>
      <c r="DLY41" s="139"/>
      <c r="DLZ41" s="139"/>
      <c r="DMA41" s="139"/>
      <c r="DMB41" s="139"/>
      <c r="DMC41" s="139"/>
      <c r="DMD41" s="139"/>
      <c r="DME41" s="139"/>
      <c r="DMF41" s="139"/>
      <c r="DMG41" s="139"/>
      <c r="DMH41" s="139"/>
      <c r="DMI41" s="139"/>
      <c r="DMJ41" s="139"/>
      <c r="DMK41" s="139"/>
      <c r="DML41" s="139"/>
      <c r="DMM41" s="139"/>
      <c r="DMN41" s="139"/>
      <c r="DMO41" s="139"/>
      <c r="DMP41" s="139"/>
      <c r="DMQ41" s="139"/>
      <c r="DMR41" s="139"/>
      <c r="DMS41" s="139"/>
      <c r="DMT41" s="139"/>
      <c r="DMU41" s="139"/>
      <c r="DMV41" s="139"/>
      <c r="DMW41" s="139"/>
      <c r="DMX41" s="139"/>
      <c r="DMY41" s="139"/>
      <c r="DMZ41" s="139"/>
      <c r="DNA41" s="139"/>
      <c r="DNB41" s="139"/>
      <c r="DNC41" s="139"/>
      <c r="DND41" s="139"/>
      <c r="DNE41" s="139"/>
      <c r="DNF41" s="139"/>
      <c r="DNG41" s="139"/>
      <c r="DNH41" s="139"/>
      <c r="DNI41" s="139"/>
      <c r="DNJ41" s="139"/>
      <c r="DNK41" s="139"/>
      <c r="DNL41" s="139"/>
      <c r="DNM41" s="139"/>
      <c r="DNN41" s="139"/>
      <c r="DNO41" s="139"/>
      <c r="DNP41" s="139"/>
      <c r="DNQ41" s="139"/>
      <c r="DNR41" s="139"/>
      <c r="DNS41" s="139"/>
      <c r="DNT41" s="139"/>
      <c r="DNU41" s="139"/>
      <c r="DNV41" s="139"/>
      <c r="DNW41" s="139"/>
      <c r="DNX41" s="139"/>
      <c r="DNY41" s="139"/>
      <c r="DNZ41" s="139"/>
      <c r="DOA41" s="139"/>
      <c r="DOB41" s="139"/>
      <c r="DOC41" s="139"/>
      <c r="DOD41" s="139"/>
      <c r="DOE41" s="139"/>
      <c r="DOF41" s="139"/>
      <c r="DOG41" s="139"/>
      <c r="DOH41" s="139"/>
      <c r="DOI41" s="139"/>
      <c r="DOJ41" s="139"/>
      <c r="DOK41" s="139"/>
      <c r="DOL41" s="139"/>
      <c r="DOM41" s="139"/>
      <c r="DON41" s="139"/>
      <c r="DOO41" s="139"/>
      <c r="DOP41" s="139"/>
      <c r="DOQ41" s="139"/>
      <c r="DOR41" s="139"/>
      <c r="DOS41" s="139"/>
      <c r="DOT41" s="139"/>
      <c r="DOU41" s="139"/>
      <c r="DOV41" s="139"/>
      <c r="DOW41" s="139"/>
      <c r="DOX41" s="139"/>
      <c r="DOY41" s="139"/>
      <c r="DOZ41" s="139"/>
      <c r="DPA41" s="139"/>
      <c r="DPB41" s="139"/>
      <c r="DPC41" s="139"/>
      <c r="DPD41" s="139"/>
      <c r="DPE41" s="139"/>
      <c r="DPF41" s="139"/>
      <c r="DPG41" s="139"/>
      <c r="DPH41" s="139"/>
      <c r="DPI41" s="139"/>
      <c r="DPJ41" s="139"/>
      <c r="DPK41" s="139"/>
      <c r="DPL41" s="139"/>
      <c r="DPM41" s="139"/>
      <c r="DPN41" s="139"/>
      <c r="DPO41" s="139"/>
      <c r="DPP41" s="139"/>
      <c r="DPQ41" s="139"/>
      <c r="DPR41" s="139"/>
      <c r="DPS41" s="139"/>
      <c r="DPT41" s="139"/>
      <c r="DPU41" s="139"/>
      <c r="DPV41" s="139"/>
      <c r="DPW41" s="139"/>
      <c r="DPX41" s="139"/>
      <c r="DPY41" s="139"/>
      <c r="DPZ41" s="139"/>
      <c r="DQA41" s="139"/>
      <c r="DQB41" s="139"/>
      <c r="DQC41" s="139"/>
      <c r="DQD41" s="139"/>
      <c r="DQE41" s="139"/>
      <c r="DQF41" s="139"/>
      <c r="DQG41" s="139"/>
      <c r="DQH41" s="139"/>
      <c r="DQI41" s="139"/>
      <c r="DQJ41" s="139"/>
      <c r="DQK41" s="139"/>
      <c r="DQL41" s="139"/>
      <c r="DQM41" s="139"/>
      <c r="DQN41" s="139"/>
      <c r="DQO41" s="139"/>
      <c r="DQP41" s="139"/>
      <c r="DQQ41" s="139"/>
      <c r="DQR41" s="139"/>
      <c r="DQS41" s="139"/>
      <c r="DQT41" s="139"/>
      <c r="DQU41" s="139"/>
      <c r="DQV41" s="139"/>
      <c r="DQW41" s="139"/>
      <c r="DQX41" s="139"/>
      <c r="DQY41" s="139"/>
      <c r="DQZ41" s="139"/>
      <c r="DRA41" s="139"/>
      <c r="DRB41" s="139"/>
      <c r="DRC41" s="139"/>
      <c r="DRD41" s="139"/>
      <c r="DRE41" s="139"/>
      <c r="DRF41" s="139"/>
      <c r="DRG41" s="139"/>
      <c r="DRH41" s="139"/>
      <c r="DRI41" s="139"/>
      <c r="DRJ41" s="139"/>
      <c r="DRK41" s="139"/>
      <c r="DRL41" s="139"/>
      <c r="DRM41" s="139"/>
      <c r="DRN41" s="139"/>
      <c r="DRO41" s="139"/>
      <c r="DRP41" s="139"/>
      <c r="DRQ41" s="139"/>
      <c r="DRR41" s="139"/>
      <c r="DRS41" s="139"/>
      <c r="DRT41" s="139"/>
      <c r="DRU41" s="139"/>
      <c r="DRV41" s="139"/>
      <c r="DRW41" s="139"/>
      <c r="DRX41" s="139"/>
      <c r="DRY41" s="139"/>
      <c r="DRZ41" s="139"/>
      <c r="DSA41" s="139"/>
      <c r="DSB41" s="139"/>
      <c r="DSC41" s="139"/>
      <c r="DSD41" s="139"/>
      <c r="DSE41" s="139"/>
      <c r="DSF41" s="139"/>
      <c r="DSG41" s="139"/>
      <c r="DSH41" s="139"/>
      <c r="DSI41" s="139"/>
      <c r="DSJ41" s="139"/>
      <c r="DSK41" s="139"/>
      <c r="DSL41" s="139"/>
      <c r="DSM41" s="139"/>
      <c r="DSN41" s="139"/>
      <c r="DSO41" s="139"/>
      <c r="DSP41" s="139"/>
      <c r="DSQ41" s="139"/>
      <c r="DSR41" s="139"/>
      <c r="DSS41" s="139"/>
      <c r="DST41" s="139"/>
      <c r="DSU41" s="139"/>
      <c r="DSV41" s="139"/>
      <c r="DSW41" s="139"/>
      <c r="DSX41" s="139"/>
      <c r="DSY41" s="139"/>
      <c r="DSZ41" s="139"/>
      <c r="DTA41" s="139"/>
      <c r="DTB41" s="139"/>
      <c r="DTC41" s="139"/>
      <c r="DTD41" s="139"/>
      <c r="DTE41" s="139"/>
      <c r="DTF41" s="139"/>
      <c r="DTG41" s="139"/>
      <c r="DTH41" s="139"/>
      <c r="DTI41" s="139"/>
      <c r="DTJ41" s="139"/>
      <c r="DTK41" s="139"/>
      <c r="DTL41" s="139"/>
      <c r="DTM41" s="139"/>
      <c r="DTN41" s="139"/>
      <c r="DTO41" s="139"/>
      <c r="DTP41" s="139"/>
      <c r="DTQ41" s="139"/>
      <c r="DTR41" s="139"/>
      <c r="DTS41" s="139"/>
      <c r="DTT41" s="139"/>
      <c r="DTU41" s="139"/>
      <c r="DTV41" s="139"/>
      <c r="DTW41" s="139"/>
      <c r="DTX41" s="139"/>
      <c r="DTY41" s="139"/>
      <c r="DTZ41" s="139"/>
      <c r="DUA41" s="139"/>
      <c r="DUB41" s="139"/>
      <c r="DUC41" s="139"/>
      <c r="DUD41" s="139"/>
      <c r="DUE41" s="139"/>
      <c r="DUF41" s="139"/>
      <c r="DUG41" s="139"/>
      <c r="DUH41" s="139"/>
      <c r="DUI41" s="139"/>
      <c r="DUJ41" s="139"/>
      <c r="DUK41" s="139"/>
      <c r="DUL41" s="139"/>
      <c r="DUM41" s="139"/>
      <c r="DUN41" s="139"/>
      <c r="DUO41" s="139"/>
      <c r="DUP41" s="139"/>
      <c r="DUQ41" s="139"/>
      <c r="DUR41" s="139"/>
      <c r="DUS41" s="139"/>
      <c r="DUT41" s="139"/>
      <c r="DUU41" s="139"/>
      <c r="DUV41" s="139"/>
      <c r="DUW41" s="139"/>
      <c r="DUX41" s="139"/>
      <c r="DUY41" s="139"/>
      <c r="DUZ41" s="139"/>
      <c r="DVA41" s="139"/>
      <c r="DVB41" s="139"/>
      <c r="DVC41" s="139"/>
      <c r="DVD41" s="139"/>
      <c r="DVE41" s="139"/>
      <c r="DVF41" s="139"/>
      <c r="DVG41" s="139"/>
      <c r="DVH41" s="139"/>
      <c r="DVI41" s="139"/>
      <c r="DVJ41" s="139"/>
      <c r="DVK41" s="139"/>
      <c r="DVL41" s="139"/>
      <c r="DVM41" s="139"/>
      <c r="DVN41" s="139"/>
      <c r="DVO41" s="139"/>
      <c r="DVP41" s="139"/>
      <c r="DVQ41" s="139"/>
      <c r="DVR41" s="139"/>
      <c r="DVS41" s="139"/>
      <c r="DVT41" s="139"/>
      <c r="DVU41" s="139"/>
      <c r="DVV41" s="139"/>
      <c r="DVW41" s="139"/>
      <c r="DVX41" s="139"/>
      <c r="DVY41" s="139"/>
      <c r="DVZ41" s="139"/>
      <c r="DWA41" s="139"/>
      <c r="DWB41" s="139"/>
      <c r="DWC41" s="139"/>
      <c r="DWD41" s="139"/>
      <c r="DWE41" s="139"/>
      <c r="DWF41" s="139"/>
      <c r="DWG41" s="139"/>
      <c r="DWH41" s="139"/>
      <c r="DWI41" s="139"/>
      <c r="DWJ41" s="139"/>
      <c r="DWK41" s="139"/>
      <c r="DWL41" s="139"/>
      <c r="DWM41" s="139"/>
      <c r="DWN41" s="139"/>
      <c r="DWO41" s="139"/>
      <c r="DWP41" s="139"/>
      <c r="DWQ41" s="139"/>
      <c r="DWR41" s="139"/>
      <c r="DWS41" s="139"/>
      <c r="DWT41" s="139"/>
      <c r="DWU41" s="139"/>
      <c r="DWV41" s="139"/>
      <c r="DWW41" s="139"/>
      <c r="DWX41" s="139"/>
      <c r="DWY41" s="139"/>
      <c r="DWZ41" s="139"/>
      <c r="DXA41" s="139"/>
      <c r="DXB41" s="139"/>
      <c r="DXC41" s="139"/>
      <c r="DXD41" s="139"/>
      <c r="DXE41" s="139"/>
      <c r="DXF41" s="139"/>
      <c r="DXG41" s="139"/>
      <c r="DXH41" s="139"/>
      <c r="DXI41" s="139"/>
      <c r="DXJ41" s="139"/>
      <c r="DXK41" s="139"/>
      <c r="DXL41" s="139"/>
      <c r="DXM41" s="139"/>
      <c r="DXN41" s="139"/>
      <c r="DXO41" s="139"/>
      <c r="DXP41" s="139"/>
      <c r="DXQ41" s="139"/>
      <c r="DXR41" s="139"/>
      <c r="DXS41" s="139"/>
      <c r="DXT41" s="139"/>
      <c r="DXU41" s="139"/>
      <c r="DXV41" s="139"/>
      <c r="DXW41" s="139"/>
      <c r="DXX41" s="139"/>
      <c r="DXY41" s="139"/>
      <c r="DXZ41" s="139"/>
      <c r="DYA41" s="139"/>
      <c r="DYB41" s="139"/>
      <c r="DYC41" s="139"/>
      <c r="DYD41" s="139"/>
      <c r="DYE41" s="139"/>
      <c r="DYF41" s="139"/>
      <c r="DYG41" s="139"/>
      <c r="DYH41" s="139"/>
      <c r="DYI41" s="139"/>
      <c r="DYJ41" s="139"/>
      <c r="DYK41" s="139"/>
      <c r="DYL41" s="139"/>
      <c r="DYM41" s="139"/>
      <c r="DYN41" s="139"/>
      <c r="DYO41" s="139"/>
      <c r="DYP41" s="139"/>
      <c r="DYQ41" s="139"/>
      <c r="DYR41" s="139"/>
      <c r="DYS41" s="139"/>
      <c r="DYT41" s="139"/>
      <c r="DYU41" s="139"/>
      <c r="DYV41" s="139"/>
      <c r="DYW41" s="139"/>
      <c r="DYX41" s="139"/>
      <c r="DYY41" s="139"/>
      <c r="DYZ41" s="139"/>
      <c r="DZA41" s="139"/>
      <c r="DZB41" s="139"/>
      <c r="DZC41" s="139"/>
      <c r="DZD41" s="139"/>
      <c r="DZE41" s="139"/>
      <c r="DZF41" s="139"/>
      <c r="DZG41" s="139"/>
      <c r="DZH41" s="139"/>
      <c r="DZI41" s="139"/>
      <c r="DZJ41" s="139"/>
      <c r="DZK41" s="139"/>
      <c r="DZL41" s="139"/>
      <c r="DZM41" s="139"/>
      <c r="DZN41" s="139"/>
      <c r="DZO41" s="139"/>
      <c r="DZP41" s="139"/>
      <c r="DZQ41" s="139"/>
      <c r="DZR41" s="139"/>
      <c r="DZS41" s="139"/>
      <c r="DZT41" s="139"/>
      <c r="DZU41" s="139"/>
      <c r="DZV41" s="139"/>
      <c r="DZW41" s="139"/>
      <c r="DZX41" s="139"/>
      <c r="DZY41" s="139"/>
      <c r="DZZ41" s="139"/>
      <c r="EAA41" s="139"/>
      <c r="EAB41" s="139"/>
      <c r="EAC41" s="139"/>
      <c r="EAD41" s="139"/>
      <c r="EAE41" s="139"/>
      <c r="EAF41" s="139"/>
      <c r="EAG41" s="139"/>
      <c r="EAH41" s="139"/>
      <c r="EAI41" s="139"/>
      <c r="EAJ41" s="139"/>
      <c r="EAK41" s="139"/>
      <c r="EAL41" s="139"/>
      <c r="EAM41" s="139"/>
      <c r="EAN41" s="139"/>
      <c r="EAO41" s="139"/>
      <c r="EAP41" s="139"/>
      <c r="EAQ41" s="139"/>
      <c r="EAR41" s="139"/>
      <c r="EAS41" s="139"/>
      <c r="EAT41" s="139"/>
      <c r="EAU41" s="139"/>
      <c r="EAV41" s="139"/>
      <c r="EAW41" s="139"/>
      <c r="EAX41" s="139"/>
      <c r="EAY41" s="139"/>
      <c r="EAZ41" s="139"/>
      <c r="EBA41" s="139"/>
      <c r="EBB41" s="139"/>
      <c r="EBC41" s="139"/>
      <c r="EBD41" s="139"/>
      <c r="EBE41" s="139"/>
      <c r="EBF41" s="139"/>
      <c r="EBG41" s="139"/>
      <c r="EBH41" s="139"/>
      <c r="EBI41" s="139"/>
      <c r="EBJ41" s="139"/>
      <c r="EBK41" s="139"/>
      <c r="EBL41" s="139"/>
      <c r="EBM41" s="139"/>
      <c r="EBN41" s="139"/>
      <c r="EBO41" s="139"/>
      <c r="EBP41" s="139"/>
      <c r="EBQ41" s="139"/>
      <c r="EBR41" s="139"/>
      <c r="EBS41" s="139"/>
      <c r="EBT41" s="139"/>
      <c r="EBU41" s="139"/>
      <c r="EBV41" s="139"/>
      <c r="EBW41" s="139"/>
      <c r="EBX41" s="139"/>
      <c r="EBY41" s="139"/>
      <c r="EBZ41" s="139"/>
      <c r="ECA41" s="139"/>
      <c r="ECB41" s="139"/>
      <c r="ECC41" s="139"/>
      <c r="ECD41" s="139"/>
      <c r="ECE41" s="139"/>
      <c r="ECF41" s="139"/>
      <c r="ECG41" s="139"/>
      <c r="ECH41" s="139"/>
      <c r="ECI41" s="139"/>
      <c r="ECJ41" s="139"/>
      <c r="ECK41" s="139"/>
      <c r="ECL41" s="139"/>
      <c r="ECM41" s="139"/>
      <c r="ECN41" s="139"/>
      <c r="ECO41" s="139"/>
      <c r="ECP41" s="139"/>
      <c r="ECQ41" s="139"/>
      <c r="ECR41" s="139"/>
      <c r="ECS41" s="139"/>
      <c r="ECT41" s="139"/>
      <c r="ECU41" s="139"/>
      <c r="ECV41" s="139"/>
      <c r="ECW41" s="139"/>
      <c r="ECX41" s="139"/>
      <c r="ECY41" s="139"/>
      <c r="ECZ41" s="139"/>
      <c r="EDA41" s="139"/>
      <c r="EDB41" s="139"/>
      <c r="EDC41" s="139"/>
      <c r="EDD41" s="139"/>
      <c r="EDE41" s="139"/>
      <c r="EDF41" s="139"/>
      <c r="EDG41" s="139"/>
      <c r="EDH41" s="139"/>
      <c r="EDI41" s="139"/>
      <c r="EDJ41" s="139"/>
      <c r="EDK41" s="139"/>
      <c r="EDL41" s="139"/>
      <c r="EDM41" s="139"/>
      <c r="EDN41" s="139"/>
      <c r="EDO41" s="139"/>
      <c r="EDP41" s="139"/>
      <c r="EDQ41" s="139"/>
      <c r="EDR41" s="139"/>
      <c r="EDS41" s="139"/>
      <c r="EDT41" s="139"/>
      <c r="EDU41" s="139"/>
      <c r="EDV41" s="139"/>
      <c r="EDW41" s="139"/>
      <c r="EDX41" s="139"/>
      <c r="EDY41" s="139"/>
      <c r="EDZ41" s="139"/>
      <c r="EEA41" s="139"/>
      <c r="EEB41" s="139"/>
      <c r="EEC41" s="139"/>
      <c r="EED41" s="139"/>
      <c r="EEE41" s="139"/>
      <c r="EEF41" s="139"/>
      <c r="EEG41" s="139"/>
      <c r="EEH41" s="139"/>
      <c r="EEI41" s="139"/>
      <c r="EEJ41" s="139"/>
      <c r="EEK41" s="139"/>
      <c r="EEL41" s="139"/>
      <c r="EEM41" s="139"/>
      <c r="EEN41" s="139"/>
      <c r="EEO41" s="139"/>
      <c r="EEP41" s="139"/>
      <c r="EEQ41" s="139"/>
      <c r="EER41" s="139"/>
      <c r="EES41" s="139"/>
      <c r="EET41" s="139"/>
      <c r="EEU41" s="139"/>
      <c r="EEV41" s="139"/>
      <c r="EEW41" s="139"/>
      <c r="EEX41" s="139"/>
      <c r="EEY41" s="139"/>
      <c r="EEZ41" s="139"/>
      <c r="EFA41" s="139"/>
      <c r="EFB41" s="139"/>
      <c r="EFC41" s="139"/>
      <c r="EFD41" s="139"/>
      <c r="EFE41" s="139"/>
      <c r="EFF41" s="139"/>
      <c r="EFG41" s="139"/>
      <c r="EFH41" s="139"/>
      <c r="EFI41" s="139"/>
      <c r="EFJ41" s="139"/>
      <c r="EFK41" s="139"/>
      <c r="EFL41" s="139"/>
      <c r="EFM41" s="139"/>
      <c r="EFN41" s="139"/>
      <c r="EFO41" s="139"/>
      <c r="EFP41" s="139"/>
      <c r="EFQ41" s="139"/>
      <c r="EFR41" s="139"/>
      <c r="EFS41" s="139"/>
      <c r="EFT41" s="139"/>
      <c r="EFU41" s="139"/>
      <c r="EFV41" s="139"/>
      <c r="EFW41" s="139"/>
      <c r="EFX41" s="139"/>
      <c r="EFY41" s="139"/>
      <c r="EFZ41" s="139"/>
      <c r="EGA41" s="139"/>
      <c r="EGB41" s="139"/>
      <c r="EGC41" s="139"/>
      <c r="EGD41" s="139"/>
      <c r="EGE41" s="139"/>
      <c r="EGF41" s="139"/>
      <c r="EGG41" s="139"/>
      <c r="EGH41" s="139"/>
      <c r="EGI41" s="139"/>
      <c r="EGJ41" s="139"/>
      <c r="EGK41" s="139"/>
      <c r="EGL41" s="139"/>
      <c r="EGM41" s="139"/>
      <c r="EGN41" s="139"/>
      <c r="EGO41" s="139"/>
      <c r="EGP41" s="139"/>
      <c r="EGQ41" s="139"/>
      <c r="EGR41" s="139"/>
      <c r="EGS41" s="139"/>
      <c r="EGT41" s="139"/>
      <c r="EGU41" s="139"/>
      <c r="EGV41" s="139"/>
      <c r="EGW41" s="139"/>
      <c r="EGX41" s="139"/>
      <c r="EGY41" s="139"/>
      <c r="EGZ41" s="139"/>
      <c r="EHA41" s="139"/>
      <c r="EHB41" s="139"/>
      <c r="EHC41" s="139"/>
      <c r="EHD41" s="139"/>
      <c r="EHE41" s="139"/>
      <c r="EHF41" s="139"/>
      <c r="EHG41" s="139"/>
      <c r="EHH41" s="139"/>
      <c r="EHI41" s="139"/>
      <c r="EHJ41" s="139"/>
      <c r="EHK41" s="139"/>
      <c r="EHL41" s="139"/>
      <c r="EHM41" s="139"/>
      <c r="EHN41" s="139"/>
      <c r="EHO41" s="139"/>
      <c r="EHP41" s="139"/>
      <c r="EHQ41" s="139"/>
      <c r="EHR41" s="139"/>
      <c r="EHS41" s="139"/>
      <c r="EHT41" s="139"/>
      <c r="EHU41" s="139"/>
      <c r="EHV41" s="139"/>
      <c r="EHW41" s="139"/>
      <c r="EHX41" s="139"/>
      <c r="EHY41" s="139"/>
      <c r="EHZ41" s="139"/>
      <c r="EIA41" s="139"/>
      <c r="EIB41" s="139"/>
      <c r="EIC41" s="139"/>
      <c r="EID41" s="139"/>
      <c r="EIE41" s="139"/>
      <c r="EIF41" s="139"/>
      <c r="EIG41" s="139"/>
      <c r="EIH41" s="139"/>
      <c r="EII41" s="139"/>
      <c r="EIJ41" s="139"/>
      <c r="EIK41" s="139"/>
      <c r="EIL41" s="139"/>
      <c r="EIM41" s="139"/>
      <c r="EIN41" s="139"/>
      <c r="EIO41" s="139"/>
      <c r="EIP41" s="139"/>
      <c r="EIQ41" s="139"/>
      <c r="EIR41" s="139"/>
      <c r="EIS41" s="139"/>
      <c r="EIT41" s="139"/>
      <c r="EIU41" s="139"/>
      <c r="EIV41" s="139"/>
      <c r="EIW41" s="139"/>
      <c r="EIX41" s="139"/>
      <c r="EIY41" s="139"/>
      <c r="EIZ41" s="139"/>
      <c r="EJA41" s="139"/>
      <c r="EJB41" s="139"/>
      <c r="EJC41" s="139"/>
      <c r="EJD41" s="139"/>
      <c r="EJE41" s="139"/>
      <c r="EJF41" s="139"/>
      <c r="EJG41" s="139"/>
      <c r="EJH41" s="139"/>
      <c r="EJI41" s="139"/>
      <c r="EJJ41" s="139"/>
      <c r="EJK41" s="139"/>
      <c r="EJL41" s="139"/>
      <c r="EJM41" s="139"/>
      <c r="EJN41" s="139"/>
      <c r="EJO41" s="139"/>
      <c r="EJP41" s="139"/>
      <c r="EJQ41" s="139"/>
      <c r="EJR41" s="139"/>
      <c r="EJS41" s="139"/>
      <c r="EJT41" s="139"/>
      <c r="EJU41" s="139"/>
      <c r="EJV41" s="139"/>
      <c r="EJW41" s="139"/>
      <c r="EJX41" s="139"/>
      <c r="EJY41" s="139"/>
      <c r="EJZ41" s="139"/>
      <c r="EKA41" s="139"/>
      <c r="EKB41" s="139"/>
      <c r="EKC41" s="139"/>
      <c r="EKD41" s="139"/>
      <c r="EKE41" s="139"/>
      <c r="EKF41" s="139"/>
      <c r="EKG41" s="139"/>
      <c r="EKH41" s="139"/>
      <c r="EKI41" s="139"/>
      <c r="EKJ41" s="139"/>
      <c r="EKK41" s="139"/>
      <c r="EKL41" s="139"/>
      <c r="EKM41" s="139"/>
      <c r="EKN41" s="139"/>
      <c r="EKO41" s="139"/>
      <c r="EKP41" s="139"/>
      <c r="EKQ41" s="139"/>
      <c r="EKR41" s="139"/>
      <c r="EKS41" s="139"/>
      <c r="EKT41" s="139"/>
      <c r="EKU41" s="139"/>
      <c r="EKV41" s="139"/>
      <c r="EKW41" s="139"/>
      <c r="EKX41" s="139"/>
      <c r="EKY41" s="139"/>
      <c r="EKZ41" s="139"/>
      <c r="ELA41" s="139"/>
      <c r="ELB41" s="139"/>
      <c r="ELC41" s="139"/>
      <c r="ELD41" s="139"/>
      <c r="ELE41" s="139"/>
      <c r="ELF41" s="139"/>
      <c r="ELG41" s="139"/>
      <c r="ELH41" s="139"/>
      <c r="ELI41" s="139"/>
      <c r="ELJ41" s="139"/>
      <c r="ELK41" s="139"/>
      <c r="ELL41" s="139"/>
      <c r="ELM41" s="139"/>
      <c r="ELN41" s="139"/>
      <c r="ELO41" s="139"/>
      <c r="ELP41" s="139"/>
      <c r="ELQ41" s="139"/>
      <c r="ELR41" s="139"/>
      <c r="ELS41" s="139"/>
      <c r="ELT41" s="139"/>
      <c r="ELU41" s="139"/>
      <c r="ELV41" s="139"/>
      <c r="ELW41" s="139"/>
      <c r="ELX41" s="139"/>
      <c r="ELY41" s="139"/>
      <c r="ELZ41" s="139"/>
      <c r="EMA41" s="139"/>
      <c r="EMB41" s="139"/>
      <c r="EMC41" s="139"/>
      <c r="EMD41" s="139"/>
      <c r="EME41" s="139"/>
      <c r="EMF41" s="139"/>
      <c r="EMG41" s="139"/>
      <c r="EMH41" s="139"/>
      <c r="EMI41" s="139"/>
      <c r="EMJ41" s="139"/>
      <c r="EMK41" s="139"/>
      <c r="EML41" s="139"/>
      <c r="EMM41" s="139"/>
      <c r="EMN41" s="139"/>
      <c r="EMO41" s="139"/>
      <c r="EMP41" s="139"/>
      <c r="EMQ41" s="139"/>
      <c r="EMR41" s="139"/>
      <c r="EMS41" s="139"/>
      <c r="EMT41" s="139"/>
      <c r="EMU41" s="139"/>
      <c r="EMV41" s="139"/>
      <c r="EMW41" s="139"/>
      <c r="EMX41" s="139"/>
      <c r="EMY41" s="139"/>
      <c r="EMZ41" s="139"/>
      <c r="ENA41" s="139"/>
      <c r="ENB41" s="139"/>
      <c r="ENC41" s="139"/>
      <c r="END41" s="139"/>
      <c r="ENE41" s="139"/>
      <c r="ENF41" s="139"/>
      <c r="ENG41" s="139"/>
      <c r="ENH41" s="139"/>
      <c r="ENI41" s="139"/>
      <c r="ENJ41" s="139"/>
      <c r="ENK41" s="139"/>
      <c r="ENL41" s="139"/>
      <c r="ENM41" s="139"/>
      <c r="ENN41" s="139"/>
      <c r="ENO41" s="139"/>
      <c r="ENP41" s="139"/>
      <c r="ENQ41" s="139"/>
      <c r="ENR41" s="139"/>
      <c r="ENS41" s="139"/>
      <c r="ENT41" s="139"/>
      <c r="ENU41" s="139"/>
      <c r="ENV41" s="139"/>
      <c r="ENW41" s="139"/>
      <c r="ENX41" s="139"/>
      <c r="ENY41" s="139"/>
      <c r="ENZ41" s="139"/>
      <c r="EOA41" s="139"/>
      <c r="EOB41" s="139"/>
      <c r="EOC41" s="139"/>
      <c r="EOD41" s="139"/>
      <c r="EOE41" s="139"/>
      <c r="EOF41" s="139"/>
      <c r="EOG41" s="139"/>
      <c r="EOH41" s="139"/>
      <c r="EOI41" s="139"/>
      <c r="EOJ41" s="139"/>
      <c r="EOK41" s="139"/>
      <c r="EOL41" s="139"/>
      <c r="EOM41" s="139"/>
      <c r="EON41" s="139"/>
      <c r="EOO41" s="139"/>
      <c r="EOP41" s="139"/>
      <c r="EOQ41" s="139"/>
      <c r="EOR41" s="139"/>
      <c r="EOS41" s="139"/>
      <c r="EOT41" s="139"/>
      <c r="EOU41" s="139"/>
      <c r="EOV41" s="139"/>
      <c r="EOW41" s="139"/>
      <c r="EOX41" s="139"/>
      <c r="EOY41" s="139"/>
      <c r="EOZ41" s="139"/>
      <c r="EPA41" s="139"/>
      <c r="EPB41" s="139"/>
      <c r="EPC41" s="139"/>
      <c r="EPD41" s="139"/>
      <c r="EPE41" s="139"/>
      <c r="EPF41" s="139"/>
      <c r="EPG41" s="139"/>
      <c r="EPH41" s="139"/>
      <c r="EPI41" s="139"/>
      <c r="EPJ41" s="139"/>
      <c r="EPK41" s="139"/>
      <c r="EPL41" s="139"/>
      <c r="EPM41" s="139"/>
      <c r="EPN41" s="139"/>
      <c r="EPO41" s="139"/>
      <c r="EPP41" s="139"/>
      <c r="EPQ41" s="139"/>
      <c r="EPR41" s="139"/>
      <c r="EPS41" s="139"/>
      <c r="EPT41" s="139"/>
      <c r="EPU41" s="139"/>
      <c r="EPV41" s="139"/>
      <c r="EPW41" s="139"/>
      <c r="EPX41" s="139"/>
      <c r="EPY41" s="139"/>
      <c r="EPZ41" s="139"/>
      <c r="EQA41" s="139"/>
      <c r="EQB41" s="139"/>
      <c r="EQC41" s="139"/>
      <c r="EQD41" s="139"/>
      <c r="EQE41" s="139"/>
      <c r="EQF41" s="139"/>
      <c r="EQG41" s="139"/>
      <c r="EQH41" s="139"/>
      <c r="EQI41" s="139"/>
      <c r="EQJ41" s="139"/>
      <c r="EQK41" s="139"/>
      <c r="EQL41" s="139"/>
      <c r="EQM41" s="139"/>
      <c r="EQN41" s="139"/>
      <c r="EQO41" s="139"/>
      <c r="EQP41" s="139"/>
      <c r="EQQ41" s="139"/>
      <c r="EQR41" s="139"/>
      <c r="EQS41" s="139"/>
      <c r="EQT41" s="139"/>
      <c r="EQU41" s="139"/>
      <c r="EQV41" s="139"/>
      <c r="EQW41" s="139"/>
      <c r="EQX41" s="139"/>
      <c r="EQY41" s="139"/>
      <c r="EQZ41" s="139"/>
      <c r="ERA41" s="139"/>
      <c r="ERB41" s="139"/>
      <c r="ERC41" s="139"/>
      <c r="ERD41" s="139"/>
      <c r="ERE41" s="139"/>
      <c r="ERF41" s="139"/>
      <c r="ERG41" s="139"/>
      <c r="ERH41" s="139"/>
      <c r="ERI41" s="139"/>
      <c r="ERJ41" s="139"/>
      <c r="ERK41" s="139"/>
      <c r="ERL41" s="139"/>
      <c r="ERM41" s="139"/>
      <c r="ERN41" s="139"/>
      <c r="ERO41" s="139"/>
      <c r="ERP41" s="139"/>
      <c r="ERQ41" s="139"/>
      <c r="ERR41" s="139"/>
      <c r="ERS41" s="139"/>
      <c r="ERT41" s="139"/>
      <c r="ERU41" s="139"/>
      <c r="ERV41" s="139"/>
      <c r="ERW41" s="139"/>
      <c r="ERX41" s="139"/>
      <c r="ERY41" s="139"/>
      <c r="ERZ41" s="139"/>
      <c r="ESA41" s="139"/>
      <c r="ESB41" s="139"/>
      <c r="ESC41" s="139"/>
      <c r="ESD41" s="139"/>
      <c r="ESE41" s="139"/>
      <c r="ESF41" s="139"/>
      <c r="ESG41" s="139"/>
      <c r="ESH41" s="139"/>
      <c r="ESI41" s="139"/>
      <c r="ESJ41" s="139"/>
      <c r="ESK41" s="139"/>
      <c r="ESL41" s="139"/>
      <c r="ESM41" s="139"/>
      <c r="ESN41" s="139"/>
      <c r="ESO41" s="139"/>
      <c r="ESP41" s="139"/>
      <c r="ESQ41" s="139"/>
      <c r="ESR41" s="139"/>
      <c r="ESS41" s="139"/>
      <c r="EST41" s="139"/>
      <c r="ESU41" s="139"/>
      <c r="ESV41" s="139"/>
      <c r="ESW41" s="139"/>
      <c r="ESX41" s="139"/>
      <c r="ESY41" s="139"/>
      <c r="ESZ41" s="139"/>
      <c r="ETA41" s="139"/>
      <c r="ETB41" s="139"/>
      <c r="ETC41" s="139"/>
      <c r="ETD41" s="139"/>
      <c r="ETE41" s="139"/>
      <c r="ETF41" s="139"/>
      <c r="ETG41" s="139"/>
      <c r="ETH41" s="139"/>
      <c r="ETI41" s="139"/>
      <c r="ETJ41" s="139"/>
      <c r="ETK41" s="139"/>
      <c r="ETL41" s="139"/>
      <c r="ETM41" s="139"/>
      <c r="ETN41" s="139"/>
      <c r="ETO41" s="139"/>
      <c r="ETP41" s="139"/>
      <c r="ETQ41" s="139"/>
      <c r="ETR41" s="139"/>
      <c r="ETS41" s="139"/>
      <c r="ETT41" s="139"/>
      <c r="ETU41" s="139"/>
      <c r="ETV41" s="139"/>
      <c r="ETW41" s="139"/>
      <c r="ETX41" s="139"/>
      <c r="ETY41" s="139"/>
      <c r="ETZ41" s="139"/>
      <c r="EUA41" s="139"/>
      <c r="EUB41" s="139"/>
      <c r="EUC41" s="139"/>
      <c r="EUD41" s="139"/>
      <c r="EUE41" s="139"/>
      <c r="EUF41" s="139"/>
      <c r="EUG41" s="139"/>
      <c r="EUH41" s="139"/>
      <c r="EUI41" s="139"/>
      <c r="EUJ41" s="139"/>
      <c r="EUK41" s="139"/>
      <c r="EUL41" s="139"/>
      <c r="EUM41" s="139"/>
      <c r="EUN41" s="139"/>
      <c r="EUO41" s="139"/>
      <c r="EUP41" s="139"/>
      <c r="EUQ41" s="139"/>
      <c r="EUR41" s="139"/>
      <c r="EUS41" s="139"/>
      <c r="EUT41" s="139"/>
      <c r="EUU41" s="139"/>
      <c r="EUV41" s="139"/>
      <c r="EUW41" s="139"/>
      <c r="EUX41" s="139"/>
      <c r="EUY41" s="139"/>
      <c r="EUZ41" s="139"/>
      <c r="EVA41" s="139"/>
      <c r="EVB41" s="139"/>
      <c r="EVC41" s="139"/>
      <c r="EVD41" s="139"/>
      <c r="EVE41" s="139"/>
      <c r="EVF41" s="139"/>
      <c r="EVG41" s="139"/>
      <c r="EVH41" s="139"/>
      <c r="EVI41" s="139"/>
      <c r="EVJ41" s="139"/>
      <c r="EVK41" s="139"/>
      <c r="EVL41" s="139"/>
      <c r="EVM41" s="139"/>
      <c r="EVN41" s="139"/>
      <c r="EVO41" s="139"/>
      <c r="EVP41" s="139"/>
      <c r="EVQ41" s="139"/>
      <c r="EVR41" s="139"/>
      <c r="EVS41" s="139"/>
      <c r="EVT41" s="139"/>
      <c r="EVU41" s="139"/>
      <c r="EVV41" s="139"/>
      <c r="EVW41" s="139"/>
      <c r="EVX41" s="139"/>
      <c r="EVY41" s="139"/>
      <c r="EVZ41" s="139"/>
      <c r="EWA41" s="139"/>
      <c r="EWB41" s="139"/>
      <c r="EWC41" s="139"/>
      <c r="EWD41" s="139"/>
      <c r="EWE41" s="139"/>
      <c r="EWF41" s="139"/>
      <c r="EWG41" s="139"/>
      <c r="EWH41" s="139"/>
      <c r="EWI41" s="139"/>
      <c r="EWJ41" s="139"/>
      <c r="EWK41" s="139"/>
      <c r="EWL41" s="139"/>
      <c r="EWM41" s="139"/>
      <c r="EWN41" s="139"/>
      <c r="EWO41" s="139"/>
      <c r="EWP41" s="139"/>
      <c r="EWQ41" s="139"/>
      <c r="EWR41" s="139"/>
      <c r="EWS41" s="139"/>
      <c r="EWT41" s="139"/>
      <c r="EWU41" s="139"/>
      <c r="EWV41" s="139"/>
      <c r="EWW41" s="139"/>
      <c r="EWX41" s="139"/>
      <c r="EWY41" s="139"/>
      <c r="EWZ41" s="139"/>
      <c r="EXA41" s="139"/>
      <c r="EXB41" s="139"/>
      <c r="EXC41" s="139"/>
      <c r="EXD41" s="139"/>
      <c r="EXE41" s="139"/>
      <c r="EXF41" s="139"/>
      <c r="EXG41" s="139"/>
      <c r="EXH41" s="139"/>
      <c r="EXI41" s="139"/>
      <c r="EXJ41" s="139"/>
      <c r="EXK41" s="139"/>
      <c r="EXL41" s="139"/>
      <c r="EXM41" s="139"/>
      <c r="EXN41" s="139"/>
      <c r="EXO41" s="139"/>
      <c r="EXP41" s="139"/>
      <c r="EXQ41" s="139"/>
      <c r="EXR41" s="139"/>
      <c r="EXS41" s="139"/>
      <c r="EXT41" s="139"/>
      <c r="EXU41" s="139"/>
      <c r="EXV41" s="139"/>
      <c r="EXW41" s="139"/>
      <c r="EXX41" s="139"/>
      <c r="EXY41" s="139"/>
      <c r="EXZ41" s="139"/>
      <c r="EYA41" s="139"/>
      <c r="EYB41" s="139"/>
      <c r="EYC41" s="139"/>
      <c r="EYD41" s="139"/>
      <c r="EYE41" s="139"/>
      <c r="EYF41" s="139"/>
      <c r="EYG41" s="139"/>
      <c r="EYH41" s="139"/>
      <c r="EYI41" s="139"/>
      <c r="EYJ41" s="139"/>
      <c r="EYK41" s="139"/>
      <c r="EYL41" s="139"/>
      <c r="EYM41" s="139"/>
      <c r="EYN41" s="139"/>
      <c r="EYO41" s="139"/>
      <c r="EYP41" s="139"/>
      <c r="EYQ41" s="139"/>
      <c r="EYR41" s="139"/>
      <c r="EYS41" s="139"/>
      <c r="EYT41" s="139"/>
      <c r="EYU41" s="139"/>
      <c r="EYV41" s="139"/>
      <c r="EYW41" s="139"/>
      <c r="EYX41" s="139"/>
      <c r="EYY41" s="139"/>
      <c r="EYZ41" s="139"/>
      <c r="EZA41" s="139"/>
      <c r="EZB41" s="139"/>
      <c r="EZC41" s="139"/>
      <c r="EZD41" s="139"/>
      <c r="EZE41" s="139"/>
      <c r="EZF41" s="139"/>
      <c r="EZG41" s="139"/>
      <c r="EZH41" s="139"/>
      <c r="EZI41" s="139"/>
      <c r="EZJ41" s="139"/>
      <c r="EZK41" s="139"/>
      <c r="EZL41" s="139"/>
      <c r="EZM41" s="139"/>
      <c r="EZN41" s="139"/>
      <c r="EZO41" s="139"/>
      <c r="EZP41" s="139"/>
      <c r="EZQ41" s="139"/>
      <c r="EZR41" s="139"/>
      <c r="EZS41" s="139"/>
      <c r="EZT41" s="139"/>
      <c r="EZU41" s="139"/>
      <c r="EZV41" s="139"/>
      <c r="EZW41" s="139"/>
      <c r="EZX41" s="139"/>
      <c r="EZY41" s="139"/>
      <c r="EZZ41" s="139"/>
      <c r="FAA41" s="139"/>
      <c r="FAB41" s="139"/>
      <c r="FAC41" s="139"/>
      <c r="FAD41" s="139"/>
      <c r="FAE41" s="139"/>
      <c r="FAF41" s="139"/>
      <c r="FAG41" s="139"/>
      <c r="FAH41" s="139"/>
      <c r="FAI41" s="139"/>
      <c r="FAJ41" s="139"/>
      <c r="FAK41" s="139"/>
      <c r="FAL41" s="139"/>
      <c r="FAM41" s="139"/>
      <c r="FAN41" s="139"/>
      <c r="FAO41" s="139"/>
      <c r="FAP41" s="139"/>
      <c r="FAQ41" s="139"/>
      <c r="FAR41" s="139"/>
      <c r="FAS41" s="139"/>
      <c r="FAT41" s="139"/>
      <c r="FAU41" s="139"/>
      <c r="FAV41" s="139"/>
      <c r="FAW41" s="139"/>
      <c r="FAX41" s="139"/>
      <c r="FAY41" s="139"/>
      <c r="FAZ41" s="139"/>
      <c r="FBA41" s="139"/>
      <c r="FBB41" s="139"/>
      <c r="FBC41" s="139"/>
      <c r="FBD41" s="139"/>
      <c r="FBE41" s="139"/>
      <c r="FBF41" s="139"/>
      <c r="FBG41" s="139"/>
      <c r="FBH41" s="139"/>
      <c r="FBI41" s="139"/>
      <c r="FBJ41" s="139"/>
      <c r="FBK41" s="139"/>
      <c r="FBL41" s="139"/>
      <c r="FBM41" s="139"/>
      <c r="FBN41" s="139"/>
      <c r="FBO41" s="139"/>
      <c r="FBP41" s="139"/>
      <c r="FBQ41" s="139"/>
      <c r="FBR41" s="139"/>
      <c r="FBS41" s="139"/>
      <c r="FBT41" s="139"/>
      <c r="FBU41" s="139"/>
      <c r="FBV41" s="139"/>
      <c r="FBW41" s="139"/>
      <c r="FBX41" s="139"/>
      <c r="FBY41" s="139"/>
      <c r="FBZ41" s="139"/>
      <c r="FCA41" s="139"/>
      <c r="FCB41" s="139"/>
      <c r="FCC41" s="139"/>
      <c r="FCD41" s="139"/>
      <c r="FCE41" s="139"/>
      <c r="FCF41" s="139"/>
      <c r="FCG41" s="139"/>
      <c r="FCH41" s="139"/>
      <c r="FCI41" s="139"/>
      <c r="FCJ41" s="139"/>
      <c r="FCK41" s="139"/>
      <c r="FCL41" s="139"/>
      <c r="FCM41" s="139"/>
      <c r="FCN41" s="139"/>
      <c r="FCO41" s="139"/>
      <c r="FCP41" s="139"/>
      <c r="FCQ41" s="139"/>
      <c r="FCR41" s="139"/>
      <c r="FCS41" s="139"/>
      <c r="FCT41" s="139"/>
      <c r="FCU41" s="139"/>
      <c r="FCV41" s="139"/>
      <c r="FCW41" s="139"/>
      <c r="FCX41" s="139"/>
      <c r="FCY41" s="139"/>
      <c r="FCZ41" s="139"/>
      <c r="FDA41" s="139"/>
      <c r="FDB41" s="139"/>
      <c r="FDC41" s="139"/>
      <c r="FDD41" s="139"/>
      <c r="FDE41" s="139"/>
      <c r="FDF41" s="139"/>
      <c r="FDG41" s="139"/>
      <c r="FDH41" s="139"/>
      <c r="FDI41" s="139"/>
      <c r="FDJ41" s="139"/>
      <c r="FDK41" s="139"/>
      <c r="FDL41" s="139"/>
      <c r="FDM41" s="139"/>
      <c r="FDN41" s="139"/>
      <c r="FDO41" s="139"/>
      <c r="FDP41" s="139"/>
      <c r="FDQ41" s="139"/>
      <c r="FDR41" s="139"/>
      <c r="FDS41" s="139"/>
      <c r="FDT41" s="139"/>
      <c r="FDU41" s="139"/>
      <c r="FDV41" s="139"/>
      <c r="FDW41" s="139"/>
      <c r="FDX41" s="139"/>
      <c r="FDY41" s="139"/>
      <c r="FDZ41" s="139"/>
      <c r="FEA41" s="139"/>
      <c r="FEB41" s="139"/>
      <c r="FEC41" s="139"/>
      <c r="FED41" s="139"/>
      <c r="FEE41" s="139"/>
      <c r="FEF41" s="139"/>
      <c r="FEG41" s="139"/>
      <c r="FEH41" s="139"/>
      <c r="FEI41" s="139"/>
      <c r="FEJ41" s="139"/>
      <c r="FEK41" s="139"/>
      <c r="FEL41" s="139"/>
      <c r="FEM41" s="139"/>
      <c r="FEN41" s="139"/>
      <c r="FEO41" s="139"/>
      <c r="FEP41" s="139"/>
      <c r="FEQ41" s="139"/>
      <c r="FER41" s="139"/>
      <c r="FES41" s="139"/>
      <c r="FET41" s="139"/>
      <c r="FEU41" s="139"/>
      <c r="FEV41" s="139"/>
      <c r="FEW41" s="139"/>
      <c r="FEX41" s="139"/>
      <c r="FEY41" s="139"/>
      <c r="FEZ41" s="139"/>
      <c r="FFA41" s="139"/>
      <c r="FFB41" s="139"/>
      <c r="FFC41" s="139"/>
      <c r="FFD41" s="139"/>
      <c r="FFE41" s="139"/>
      <c r="FFF41" s="139"/>
      <c r="FFG41" s="139"/>
      <c r="FFH41" s="139"/>
      <c r="FFI41" s="139"/>
      <c r="FFJ41" s="139"/>
      <c r="FFK41" s="139"/>
      <c r="FFL41" s="139"/>
      <c r="FFM41" s="139"/>
      <c r="FFN41" s="139"/>
      <c r="FFO41" s="139"/>
      <c r="FFP41" s="139"/>
      <c r="FFQ41" s="139"/>
      <c r="FFR41" s="139"/>
      <c r="FFS41" s="139"/>
      <c r="FFT41" s="139"/>
      <c r="FFU41" s="139"/>
      <c r="FFV41" s="139"/>
      <c r="FFW41" s="139"/>
      <c r="FFX41" s="139"/>
      <c r="FFY41" s="139"/>
      <c r="FFZ41" s="139"/>
      <c r="FGA41" s="139"/>
      <c r="FGB41" s="139"/>
      <c r="FGC41" s="139"/>
      <c r="FGD41" s="139"/>
      <c r="FGE41" s="139"/>
      <c r="FGF41" s="139"/>
      <c r="FGG41" s="139"/>
      <c r="FGH41" s="139"/>
      <c r="FGI41" s="139"/>
      <c r="FGJ41" s="139"/>
      <c r="FGK41" s="139"/>
      <c r="FGL41" s="139"/>
      <c r="FGM41" s="139"/>
      <c r="FGN41" s="139"/>
      <c r="FGO41" s="139"/>
      <c r="FGP41" s="139"/>
      <c r="FGQ41" s="139"/>
      <c r="FGR41" s="139"/>
      <c r="FGS41" s="139"/>
      <c r="FGT41" s="139"/>
      <c r="FGU41" s="139"/>
      <c r="FGV41" s="139"/>
      <c r="FGW41" s="139"/>
      <c r="FGX41" s="139"/>
      <c r="FGY41" s="139"/>
      <c r="FGZ41" s="139"/>
      <c r="FHA41" s="139"/>
      <c r="FHB41" s="139"/>
      <c r="FHC41" s="139"/>
      <c r="FHD41" s="139"/>
      <c r="FHE41" s="139"/>
      <c r="FHF41" s="139"/>
      <c r="FHG41" s="139"/>
      <c r="FHH41" s="139"/>
      <c r="FHI41" s="139"/>
      <c r="FHJ41" s="139"/>
      <c r="FHK41" s="139"/>
      <c r="FHL41" s="139"/>
      <c r="FHM41" s="139"/>
      <c r="FHN41" s="139"/>
      <c r="FHO41" s="139"/>
      <c r="FHP41" s="139"/>
      <c r="FHQ41" s="139"/>
      <c r="FHR41" s="139"/>
      <c r="FHS41" s="139"/>
      <c r="FHT41" s="139"/>
      <c r="FHU41" s="139"/>
      <c r="FHV41" s="139"/>
      <c r="FHW41" s="139"/>
      <c r="FHX41" s="139"/>
      <c r="FHY41" s="139"/>
      <c r="FHZ41" s="139"/>
      <c r="FIA41" s="139"/>
      <c r="FIB41" s="139"/>
      <c r="FIC41" s="139"/>
      <c r="FID41" s="139"/>
      <c r="FIE41" s="139"/>
      <c r="FIF41" s="139"/>
      <c r="FIG41" s="139"/>
      <c r="FIH41" s="139"/>
      <c r="FII41" s="139"/>
      <c r="FIJ41" s="139"/>
      <c r="FIK41" s="139"/>
      <c r="FIL41" s="139"/>
      <c r="FIM41" s="139"/>
      <c r="FIN41" s="139"/>
      <c r="FIO41" s="139"/>
      <c r="FIP41" s="139"/>
      <c r="FIQ41" s="139"/>
      <c r="FIR41" s="139"/>
      <c r="FIS41" s="139"/>
      <c r="FIT41" s="139"/>
      <c r="FIU41" s="139"/>
      <c r="FIV41" s="139"/>
      <c r="FIW41" s="139"/>
      <c r="FIX41" s="139"/>
      <c r="FIY41" s="139"/>
      <c r="FIZ41" s="139"/>
      <c r="FJA41" s="139"/>
      <c r="FJB41" s="139"/>
      <c r="FJC41" s="139"/>
      <c r="FJD41" s="139"/>
      <c r="FJE41" s="139"/>
      <c r="FJF41" s="139"/>
      <c r="FJG41" s="139"/>
      <c r="FJH41" s="139"/>
      <c r="FJI41" s="139"/>
      <c r="FJJ41" s="139"/>
      <c r="FJK41" s="139"/>
      <c r="FJL41" s="139"/>
      <c r="FJM41" s="139"/>
      <c r="FJN41" s="139"/>
      <c r="FJO41" s="139"/>
      <c r="FJP41" s="139"/>
      <c r="FJQ41" s="139"/>
      <c r="FJR41" s="139"/>
      <c r="FJS41" s="139"/>
      <c r="FJT41" s="139"/>
      <c r="FJU41" s="139"/>
      <c r="FJV41" s="139"/>
      <c r="FJW41" s="139"/>
      <c r="FJX41" s="139"/>
      <c r="FJY41" s="139"/>
      <c r="FJZ41" s="139"/>
      <c r="FKA41" s="139"/>
      <c r="FKB41" s="139"/>
      <c r="FKC41" s="139"/>
      <c r="FKD41" s="139"/>
      <c r="FKE41" s="139"/>
      <c r="FKF41" s="139"/>
      <c r="FKG41" s="139"/>
      <c r="FKH41" s="139"/>
      <c r="FKI41" s="139"/>
      <c r="FKJ41" s="139"/>
      <c r="FKK41" s="139"/>
      <c r="FKL41" s="139"/>
      <c r="FKM41" s="139"/>
      <c r="FKN41" s="139"/>
      <c r="FKO41" s="139"/>
      <c r="FKP41" s="139"/>
      <c r="FKQ41" s="139"/>
      <c r="FKR41" s="139"/>
      <c r="FKS41" s="139"/>
      <c r="FKT41" s="139"/>
      <c r="FKU41" s="139"/>
      <c r="FKV41" s="139"/>
      <c r="FKW41" s="139"/>
      <c r="FKX41" s="139"/>
      <c r="FKY41" s="139"/>
      <c r="FKZ41" s="139"/>
      <c r="FLA41" s="139"/>
      <c r="FLB41" s="139"/>
      <c r="FLC41" s="139"/>
      <c r="FLD41" s="139"/>
      <c r="FLE41" s="139"/>
      <c r="FLF41" s="139"/>
      <c r="FLG41" s="139"/>
      <c r="FLH41" s="139"/>
      <c r="FLI41" s="139"/>
      <c r="FLJ41" s="139"/>
      <c r="FLK41" s="139"/>
      <c r="FLL41" s="139"/>
      <c r="FLM41" s="139"/>
      <c r="FLN41" s="139"/>
      <c r="FLO41" s="139"/>
      <c r="FLP41" s="139"/>
      <c r="FLQ41" s="139"/>
      <c r="FLR41" s="139"/>
      <c r="FLS41" s="139"/>
      <c r="FLT41" s="139"/>
      <c r="FLU41" s="139"/>
      <c r="FLV41" s="139"/>
      <c r="FLW41" s="139"/>
      <c r="FLX41" s="139"/>
      <c r="FLY41" s="139"/>
      <c r="FLZ41" s="139"/>
      <c r="FMA41" s="139"/>
      <c r="FMB41" s="139"/>
      <c r="FMC41" s="139"/>
      <c r="FMD41" s="139"/>
      <c r="FME41" s="139"/>
      <c r="FMF41" s="139"/>
      <c r="FMG41" s="139"/>
      <c r="FMH41" s="139"/>
      <c r="FMI41" s="139"/>
      <c r="FMJ41" s="139"/>
      <c r="FMK41" s="139"/>
      <c r="FML41" s="139"/>
      <c r="FMM41" s="139"/>
      <c r="FMN41" s="139"/>
      <c r="FMO41" s="139"/>
      <c r="FMP41" s="139"/>
      <c r="FMQ41" s="139"/>
      <c r="FMR41" s="139"/>
      <c r="FMS41" s="139"/>
      <c r="FMT41" s="139"/>
      <c r="FMU41" s="139"/>
      <c r="FMV41" s="139"/>
      <c r="FMW41" s="139"/>
      <c r="FMX41" s="139"/>
      <c r="FMY41" s="139"/>
      <c r="FMZ41" s="139"/>
      <c r="FNA41" s="139"/>
      <c r="FNB41" s="139"/>
      <c r="FNC41" s="139"/>
      <c r="FND41" s="139"/>
      <c r="FNE41" s="139"/>
      <c r="FNF41" s="139"/>
      <c r="FNG41" s="139"/>
      <c r="FNH41" s="139"/>
      <c r="FNI41" s="139"/>
      <c r="FNJ41" s="139"/>
      <c r="FNK41" s="139"/>
      <c r="FNL41" s="139"/>
      <c r="FNM41" s="139"/>
      <c r="FNN41" s="139"/>
      <c r="FNO41" s="139"/>
      <c r="FNP41" s="139"/>
      <c r="FNQ41" s="139"/>
      <c r="FNR41" s="139"/>
      <c r="FNS41" s="139"/>
      <c r="FNT41" s="139"/>
      <c r="FNU41" s="139"/>
      <c r="FNV41" s="139"/>
      <c r="FNW41" s="139"/>
      <c r="FNX41" s="139"/>
      <c r="FNY41" s="139"/>
      <c r="FNZ41" s="139"/>
      <c r="FOA41" s="139"/>
      <c r="FOB41" s="139"/>
      <c r="FOC41" s="139"/>
      <c r="FOD41" s="139"/>
      <c r="FOE41" s="139"/>
      <c r="FOF41" s="139"/>
      <c r="FOG41" s="139"/>
      <c r="FOH41" s="139"/>
      <c r="FOI41" s="139"/>
      <c r="FOJ41" s="139"/>
      <c r="FOK41" s="139"/>
      <c r="FOL41" s="139"/>
      <c r="FOM41" s="139"/>
      <c r="FON41" s="139"/>
      <c r="FOO41" s="139"/>
      <c r="FOP41" s="139"/>
      <c r="FOQ41" s="139"/>
      <c r="FOR41" s="139"/>
      <c r="FOS41" s="139"/>
      <c r="FOT41" s="139"/>
      <c r="FOU41" s="139"/>
      <c r="FOV41" s="139"/>
      <c r="FOW41" s="139"/>
      <c r="FOX41" s="139"/>
      <c r="FOY41" s="139"/>
      <c r="FOZ41" s="139"/>
      <c r="FPA41" s="139"/>
      <c r="FPB41" s="139"/>
      <c r="FPC41" s="139"/>
      <c r="FPD41" s="139"/>
      <c r="FPE41" s="139"/>
      <c r="FPF41" s="139"/>
      <c r="FPG41" s="139"/>
      <c r="FPH41" s="139"/>
      <c r="FPI41" s="139"/>
      <c r="FPJ41" s="139"/>
      <c r="FPK41" s="139"/>
      <c r="FPL41" s="139"/>
      <c r="FPM41" s="139"/>
      <c r="FPN41" s="139"/>
      <c r="FPO41" s="139"/>
      <c r="FPP41" s="139"/>
      <c r="FPQ41" s="139"/>
      <c r="FPR41" s="139"/>
      <c r="FPS41" s="139"/>
      <c r="FPT41" s="139"/>
      <c r="FPU41" s="139"/>
      <c r="FPV41" s="139"/>
      <c r="FPW41" s="139"/>
      <c r="FPX41" s="139"/>
      <c r="FPY41" s="139"/>
      <c r="FPZ41" s="139"/>
      <c r="FQA41" s="139"/>
      <c r="FQB41" s="139"/>
      <c r="FQC41" s="139"/>
      <c r="FQD41" s="139"/>
      <c r="FQE41" s="139"/>
      <c r="FQF41" s="139"/>
      <c r="FQG41" s="139"/>
      <c r="FQH41" s="139"/>
      <c r="FQI41" s="139"/>
      <c r="FQJ41" s="139"/>
      <c r="FQK41" s="139"/>
      <c r="FQL41" s="139"/>
      <c r="FQM41" s="139"/>
      <c r="FQN41" s="139"/>
      <c r="FQO41" s="139"/>
      <c r="FQP41" s="139"/>
      <c r="FQQ41" s="139"/>
      <c r="FQR41" s="139"/>
      <c r="FQS41" s="139"/>
      <c r="FQT41" s="139"/>
      <c r="FQU41" s="139"/>
      <c r="FQV41" s="139"/>
      <c r="FQW41" s="139"/>
      <c r="FQX41" s="139"/>
      <c r="FQY41" s="139"/>
      <c r="FQZ41" s="139"/>
      <c r="FRA41" s="139"/>
      <c r="FRB41" s="139"/>
      <c r="FRC41" s="139"/>
      <c r="FRD41" s="139"/>
      <c r="FRE41" s="139"/>
      <c r="FRF41" s="139"/>
      <c r="FRG41" s="139"/>
      <c r="FRH41" s="139"/>
      <c r="FRI41" s="139"/>
      <c r="FRJ41" s="139"/>
      <c r="FRK41" s="139"/>
      <c r="FRL41" s="139"/>
      <c r="FRM41" s="139"/>
      <c r="FRN41" s="139"/>
      <c r="FRO41" s="139"/>
      <c r="FRP41" s="139"/>
      <c r="FRQ41" s="139"/>
      <c r="FRR41" s="139"/>
      <c r="FRS41" s="139"/>
      <c r="FRT41" s="139"/>
      <c r="FRU41" s="139"/>
      <c r="FRV41" s="139"/>
      <c r="FRW41" s="139"/>
      <c r="FRX41" s="139"/>
      <c r="FRY41" s="139"/>
      <c r="FRZ41" s="139"/>
      <c r="FSA41" s="139"/>
      <c r="FSB41" s="139"/>
      <c r="FSC41" s="139"/>
      <c r="FSD41" s="139"/>
      <c r="FSE41" s="139"/>
      <c r="FSF41" s="139"/>
      <c r="FSG41" s="139"/>
      <c r="FSH41" s="139"/>
      <c r="FSI41" s="139"/>
      <c r="FSJ41" s="139"/>
      <c r="FSK41" s="139"/>
      <c r="FSL41" s="139"/>
      <c r="FSM41" s="139"/>
      <c r="FSN41" s="139"/>
      <c r="FSO41" s="139"/>
      <c r="FSP41" s="139"/>
      <c r="FSQ41" s="139"/>
      <c r="FSR41" s="139"/>
      <c r="FSS41" s="139"/>
      <c r="FST41" s="139"/>
      <c r="FSU41" s="139"/>
      <c r="FSV41" s="139"/>
      <c r="FSW41" s="139"/>
      <c r="FSX41" s="139"/>
      <c r="FSY41" s="139"/>
      <c r="FSZ41" s="139"/>
      <c r="FTA41" s="139"/>
      <c r="FTB41" s="139"/>
      <c r="FTC41" s="139"/>
      <c r="FTD41" s="139"/>
      <c r="FTE41" s="139"/>
      <c r="FTF41" s="139"/>
      <c r="FTG41" s="139"/>
      <c r="FTH41" s="139"/>
      <c r="FTI41" s="139"/>
      <c r="FTJ41" s="139"/>
      <c r="FTK41" s="139"/>
      <c r="FTL41" s="139"/>
      <c r="FTM41" s="139"/>
      <c r="FTN41" s="139"/>
      <c r="FTO41" s="139"/>
      <c r="FTP41" s="139"/>
      <c r="FTQ41" s="139"/>
      <c r="FTR41" s="139"/>
      <c r="FTS41" s="139"/>
      <c r="FTT41" s="139"/>
      <c r="FTU41" s="139"/>
      <c r="FTV41" s="139"/>
      <c r="FTW41" s="139"/>
      <c r="FTX41" s="139"/>
      <c r="FTY41" s="139"/>
      <c r="FTZ41" s="139"/>
      <c r="FUA41" s="139"/>
      <c r="FUB41" s="139"/>
      <c r="FUC41" s="139"/>
      <c r="FUD41" s="139"/>
      <c r="FUE41" s="139"/>
      <c r="FUF41" s="139"/>
      <c r="FUG41" s="139"/>
      <c r="FUH41" s="139"/>
      <c r="FUI41" s="139"/>
      <c r="FUJ41" s="139"/>
      <c r="FUK41" s="139"/>
      <c r="FUL41" s="139"/>
      <c r="FUM41" s="139"/>
      <c r="FUN41" s="139"/>
      <c r="FUO41" s="139"/>
      <c r="FUP41" s="139"/>
      <c r="FUQ41" s="139"/>
      <c r="FUR41" s="139"/>
      <c r="FUS41" s="139"/>
      <c r="FUT41" s="139"/>
      <c r="FUU41" s="139"/>
      <c r="FUV41" s="139"/>
      <c r="FUW41" s="139"/>
      <c r="FUX41" s="139"/>
      <c r="FUY41" s="139"/>
      <c r="FUZ41" s="139"/>
      <c r="FVA41" s="139"/>
      <c r="FVB41" s="139"/>
      <c r="FVC41" s="139"/>
      <c r="FVD41" s="139"/>
      <c r="FVE41" s="139"/>
      <c r="FVF41" s="139"/>
      <c r="FVG41" s="139"/>
      <c r="FVH41" s="139"/>
      <c r="FVI41" s="139"/>
      <c r="FVJ41" s="139"/>
      <c r="FVK41" s="139"/>
      <c r="FVL41" s="139"/>
      <c r="FVM41" s="139"/>
      <c r="FVN41" s="139"/>
      <c r="FVO41" s="139"/>
      <c r="FVP41" s="139"/>
      <c r="FVQ41" s="139"/>
      <c r="FVR41" s="139"/>
      <c r="FVS41" s="139"/>
      <c r="FVT41" s="139"/>
      <c r="FVU41" s="139"/>
      <c r="FVV41" s="139"/>
      <c r="FVW41" s="139"/>
      <c r="FVX41" s="139"/>
      <c r="FVY41" s="139"/>
      <c r="FVZ41" s="139"/>
      <c r="FWA41" s="139"/>
      <c r="FWB41" s="139"/>
      <c r="FWC41" s="139"/>
      <c r="FWD41" s="139"/>
      <c r="FWE41" s="139"/>
      <c r="FWF41" s="139"/>
      <c r="FWG41" s="139"/>
      <c r="FWH41" s="139"/>
      <c r="FWI41" s="139"/>
      <c r="FWJ41" s="139"/>
      <c r="FWK41" s="139"/>
      <c r="FWL41" s="139"/>
      <c r="FWM41" s="139"/>
      <c r="FWN41" s="139"/>
      <c r="FWO41" s="139"/>
      <c r="FWP41" s="139"/>
      <c r="FWQ41" s="139"/>
      <c r="FWR41" s="139"/>
      <c r="FWS41" s="139"/>
      <c r="FWT41" s="139"/>
      <c r="FWU41" s="139"/>
      <c r="FWV41" s="139"/>
      <c r="FWW41" s="139"/>
      <c r="FWX41" s="139"/>
      <c r="FWY41" s="139"/>
      <c r="FWZ41" s="139"/>
      <c r="FXA41" s="139"/>
      <c r="FXB41" s="139"/>
      <c r="FXC41" s="139"/>
      <c r="FXD41" s="139"/>
      <c r="FXE41" s="139"/>
      <c r="FXF41" s="139"/>
      <c r="FXG41" s="139"/>
      <c r="FXH41" s="139"/>
      <c r="FXI41" s="139"/>
      <c r="FXJ41" s="139"/>
      <c r="FXK41" s="139"/>
      <c r="FXL41" s="139"/>
      <c r="FXM41" s="139"/>
      <c r="FXN41" s="139"/>
      <c r="FXO41" s="139"/>
      <c r="FXP41" s="139"/>
      <c r="FXQ41" s="139"/>
      <c r="FXR41" s="139"/>
      <c r="FXS41" s="139"/>
      <c r="FXT41" s="139"/>
      <c r="FXU41" s="139"/>
      <c r="FXV41" s="139"/>
      <c r="FXW41" s="139"/>
      <c r="FXX41" s="139"/>
      <c r="FXY41" s="139"/>
      <c r="FXZ41" s="139"/>
      <c r="FYA41" s="139"/>
      <c r="FYB41" s="139"/>
      <c r="FYC41" s="139"/>
      <c r="FYD41" s="139"/>
      <c r="FYE41" s="139"/>
      <c r="FYF41" s="139"/>
      <c r="FYG41" s="139"/>
      <c r="FYH41" s="139"/>
      <c r="FYI41" s="139"/>
      <c r="FYJ41" s="139"/>
      <c r="FYK41" s="139"/>
      <c r="FYL41" s="139"/>
      <c r="FYM41" s="139"/>
      <c r="FYN41" s="139"/>
      <c r="FYO41" s="139"/>
      <c r="FYP41" s="139"/>
      <c r="FYQ41" s="139"/>
      <c r="FYR41" s="139"/>
      <c r="FYS41" s="139"/>
      <c r="FYT41" s="139"/>
      <c r="FYU41" s="139"/>
      <c r="FYV41" s="139"/>
      <c r="FYW41" s="139"/>
      <c r="FYX41" s="139"/>
      <c r="FYY41" s="139"/>
      <c r="FYZ41" s="139"/>
      <c r="FZA41" s="139"/>
      <c r="FZB41" s="139"/>
      <c r="FZC41" s="139"/>
      <c r="FZD41" s="139"/>
      <c r="FZE41" s="139"/>
      <c r="FZF41" s="139"/>
      <c r="FZG41" s="139"/>
      <c r="FZH41" s="139"/>
      <c r="FZI41" s="139"/>
      <c r="FZJ41" s="139"/>
      <c r="FZK41" s="139"/>
      <c r="FZL41" s="139"/>
      <c r="FZM41" s="139"/>
      <c r="FZN41" s="139"/>
      <c r="FZO41" s="139"/>
      <c r="FZP41" s="139"/>
      <c r="FZQ41" s="139"/>
      <c r="FZR41" s="139"/>
      <c r="FZS41" s="139"/>
      <c r="FZT41" s="139"/>
      <c r="FZU41" s="139"/>
      <c r="FZV41" s="139"/>
      <c r="FZW41" s="139"/>
      <c r="FZX41" s="139"/>
      <c r="FZY41" s="139"/>
      <c r="FZZ41" s="139"/>
      <c r="GAA41" s="139"/>
      <c r="GAB41" s="139"/>
      <c r="GAC41" s="139"/>
      <c r="GAD41" s="139"/>
      <c r="GAE41" s="139"/>
      <c r="GAF41" s="139"/>
      <c r="GAG41" s="139"/>
      <c r="GAH41" s="139"/>
      <c r="GAI41" s="139"/>
      <c r="GAJ41" s="139"/>
      <c r="GAK41" s="139"/>
      <c r="GAL41" s="139"/>
      <c r="GAM41" s="139"/>
      <c r="GAN41" s="139"/>
      <c r="GAO41" s="139"/>
      <c r="GAP41" s="139"/>
      <c r="GAQ41" s="139"/>
      <c r="GAR41" s="139"/>
      <c r="GAS41" s="139"/>
      <c r="GAT41" s="139"/>
      <c r="GAU41" s="139"/>
      <c r="GAV41" s="139"/>
      <c r="GAW41" s="139"/>
      <c r="GAX41" s="139"/>
      <c r="GAY41" s="139"/>
      <c r="GAZ41" s="139"/>
      <c r="GBA41" s="139"/>
      <c r="GBB41" s="139"/>
      <c r="GBC41" s="139"/>
      <c r="GBD41" s="139"/>
      <c r="GBE41" s="139"/>
      <c r="GBF41" s="139"/>
      <c r="GBG41" s="139"/>
      <c r="GBH41" s="139"/>
      <c r="GBI41" s="139"/>
      <c r="GBJ41" s="139"/>
      <c r="GBK41" s="139"/>
      <c r="GBL41" s="139"/>
      <c r="GBM41" s="139"/>
      <c r="GBN41" s="139"/>
      <c r="GBO41" s="139"/>
      <c r="GBP41" s="139"/>
      <c r="GBQ41" s="139"/>
      <c r="GBR41" s="139"/>
      <c r="GBS41" s="139"/>
      <c r="GBT41" s="139"/>
      <c r="GBU41" s="139"/>
      <c r="GBV41" s="139"/>
      <c r="GBW41" s="139"/>
      <c r="GBX41" s="139"/>
      <c r="GBY41" s="139"/>
      <c r="GBZ41" s="139"/>
      <c r="GCA41" s="139"/>
      <c r="GCB41" s="139"/>
      <c r="GCC41" s="139"/>
      <c r="GCD41" s="139"/>
      <c r="GCE41" s="139"/>
      <c r="GCF41" s="139"/>
      <c r="GCG41" s="139"/>
      <c r="GCH41" s="139"/>
      <c r="GCI41" s="139"/>
      <c r="GCJ41" s="139"/>
      <c r="GCK41" s="139"/>
      <c r="GCL41" s="139"/>
      <c r="GCM41" s="139"/>
      <c r="GCN41" s="139"/>
      <c r="GCO41" s="139"/>
      <c r="GCP41" s="139"/>
      <c r="GCQ41" s="139"/>
      <c r="GCR41" s="139"/>
      <c r="GCS41" s="139"/>
      <c r="GCT41" s="139"/>
      <c r="GCU41" s="139"/>
      <c r="GCV41" s="139"/>
      <c r="GCW41" s="139"/>
      <c r="GCX41" s="139"/>
      <c r="GCY41" s="139"/>
      <c r="GCZ41" s="139"/>
      <c r="GDA41" s="139"/>
      <c r="GDB41" s="139"/>
      <c r="GDC41" s="139"/>
      <c r="GDD41" s="139"/>
      <c r="GDE41" s="139"/>
      <c r="GDF41" s="139"/>
      <c r="GDG41" s="139"/>
      <c r="GDH41" s="139"/>
      <c r="GDI41" s="139"/>
      <c r="GDJ41" s="139"/>
      <c r="GDK41" s="139"/>
      <c r="GDL41" s="139"/>
      <c r="GDM41" s="139"/>
      <c r="GDN41" s="139"/>
      <c r="GDO41" s="139"/>
      <c r="GDP41" s="139"/>
      <c r="GDQ41" s="139"/>
      <c r="GDR41" s="139"/>
      <c r="GDS41" s="139"/>
      <c r="GDT41" s="139"/>
      <c r="GDU41" s="139"/>
      <c r="GDV41" s="139"/>
      <c r="GDW41" s="139"/>
      <c r="GDX41" s="139"/>
      <c r="GDY41" s="139"/>
      <c r="GDZ41" s="139"/>
      <c r="GEA41" s="139"/>
      <c r="GEB41" s="139"/>
      <c r="GEC41" s="139"/>
      <c r="GED41" s="139"/>
      <c r="GEE41" s="139"/>
      <c r="GEF41" s="139"/>
      <c r="GEG41" s="139"/>
      <c r="GEH41" s="139"/>
      <c r="GEI41" s="139"/>
      <c r="GEJ41" s="139"/>
      <c r="GEK41" s="139"/>
      <c r="GEL41" s="139"/>
      <c r="GEM41" s="139"/>
      <c r="GEN41" s="139"/>
      <c r="GEO41" s="139"/>
      <c r="GEP41" s="139"/>
      <c r="GEQ41" s="139"/>
      <c r="GER41" s="139"/>
      <c r="GES41" s="139"/>
      <c r="GET41" s="139"/>
      <c r="GEU41" s="139"/>
      <c r="GEV41" s="139"/>
      <c r="GEW41" s="139"/>
      <c r="GEX41" s="139"/>
      <c r="GEY41" s="139"/>
      <c r="GEZ41" s="139"/>
      <c r="GFA41" s="139"/>
      <c r="GFB41" s="139"/>
      <c r="GFC41" s="139"/>
      <c r="GFD41" s="139"/>
      <c r="GFE41" s="139"/>
      <c r="GFF41" s="139"/>
      <c r="GFG41" s="139"/>
      <c r="GFH41" s="139"/>
      <c r="GFI41" s="139"/>
      <c r="GFJ41" s="139"/>
      <c r="GFK41" s="139"/>
      <c r="GFL41" s="139"/>
      <c r="GFM41" s="139"/>
      <c r="GFN41" s="139"/>
      <c r="GFO41" s="139"/>
      <c r="GFP41" s="139"/>
      <c r="GFQ41" s="139"/>
      <c r="GFR41" s="139"/>
      <c r="GFS41" s="139"/>
      <c r="GFT41" s="139"/>
      <c r="GFU41" s="139"/>
      <c r="GFV41" s="139"/>
      <c r="GFW41" s="139"/>
      <c r="GFX41" s="139"/>
      <c r="GFY41" s="139"/>
      <c r="GFZ41" s="139"/>
      <c r="GGA41" s="139"/>
      <c r="GGB41" s="139"/>
      <c r="GGC41" s="139"/>
      <c r="GGD41" s="139"/>
      <c r="GGE41" s="139"/>
      <c r="GGF41" s="139"/>
      <c r="GGG41" s="139"/>
      <c r="GGH41" s="139"/>
      <c r="GGI41" s="139"/>
      <c r="GGJ41" s="139"/>
      <c r="GGK41" s="139"/>
      <c r="GGL41" s="139"/>
      <c r="GGM41" s="139"/>
      <c r="GGN41" s="139"/>
      <c r="GGO41" s="139"/>
      <c r="GGP41" s="139"/>
      <c r="GGQ41" s="139"/>
      <c r="GGR41" s="139"/>
      <c r="GGS41" s="139"/>
      <c r="GGT41" s="139"/>
      <c r="GGU41" s="139"/>
      <c r="GGV41" s="139"/>
      <c r="GGW41" s="139"/>
      <c r="GGX41" s="139"/>
      <c r="GGY41" s="139"/>
      <c r="GGZ41" s="139"/>
      <c r="GHA41" s="139"/>
      <c r="GHB41" s="139"/>
      <c r="GHC41" s="139"/>
      <c r="GHD41" s="139"/>
      <c r="GHE41" s="139"/>
      <c r="GHF41" s="139"/>
      <c r="GHG41" s="139"/>
      <c r="GHH41" s="139"/>
      <c r="GHI41" s="139"/>
      <c r="GHJ41" s="139"/>
      <c r="GHK41" s="139"/>
      <c r="GHL41" s="139"/>
      <c r="GHM41" s="139"/>
      <c r="GHN41" s="139"/>
      <c r="GHO41" s="139"/>
      <c r="GHP41" s="139"/>
      <c r="GHQ41" s="139"/>
      <c r="GHR41" s="139"/>
      <c r="GHS41" s="139"/>
      <c r="GHT41" s="139"/>
      <c r="GHU41" s="139"/>
      <c r="GHV41" s="139"/>
      <c r="GHW41" s="139"/>
      <c r="GHX41" s="139"/>
      <c r="GHY41" s="139"/>
      <c r="GHZ41" s="139"/>
      <c r="GIA41" s="139"/>
      <c r="GIB41" s="139"/>
      <c r="GIC41" s="139"/>
      <c r="GID41" s="139"/>
      <c r="GIE41" s="139"/>
      <c r="GIF41" s="139"/>
      <c r="GIG41" s="139"/>
      <c r="GIH41" s="139"/>
      <c r="GII41" s="139"/>
      <c r="GIJ41" s="139"/>
      <c r="GIK41" s="139"/>
      <c r="GIL41" s="139"/>
      <c r="GIM41" s="139"/>
      <c r="GIN41" s="139"/>
      <c r="GIO41" s="139"/>
      <c r="GIP41" s="139"/>
      <c r="GIQ41" s="139"/>
      <c r="GIR41" s="139"/>
      <c r="GIS41" s="139"/>
      <c r="GIT41" s="139"/>
      <c r="GIU41" s="139"/>
      <c r="GIV41" s="139"/>
      <c r="GIW41" s="139"/>
      <c r="GIX41" s="139"/>
      <c r="GIY41" s="139"/>
      <c r="GIZ41" s="139"/>
      <c r="GJA41" s="139"/>
      <c r="GJB41" s="139"/>
      <c r="GJC41" s="139"/>
      <c r="GJD41" s="139"/>
      <c r="GJE41" s="139"/>
      <c r="GJF41" s="139"/>
      <c r="GJG41" s="139"/>
      <c r="GJH41" s="139"/>
      <c r="GJI41" s="139"/>
      <c r="GJJ41" s="139"/>
      <c r="GJK41" s="139"/>
      <c r="GJL41" s="139"/>
      <c r="GJM41" s="139"/>
      <c r="GJN41" s="139"/>
      <c r="GJO41" s="139"/>
      <c r="GJP41" s="139"/>
      <c r="GJQ41" s="139"/>
      <c r="GJR41" s="139"/>
      <c r="GJS41" s="139"/>
      <c r="GJT41" s="139"/>
      <c r="GJU41" s="139"/>
      <c r="GJV41" s="139"/>
      <c r="GJW41" s="139"/>
      <c r="GJX41" s="139"/>
      <c r="GJY41" s="139"/>
      <c r="GJZ41" s="139"/>
      <c r="GKA41" s="139"/>
      <c r="GKB41" s="139"/>
      <c r="GKC41" s="139"/>
      <c r="GKD41" s="139"/>
      <c r="GKE41" s="139"/>
      <c r="GKF41" s="139"/>
      <c r="GKG41" s="139"/>
      <c r="GKH41" s="139"/>
      <c r="GKI41" s="139"/>
      <c r="GKJ41" s="139"/>
      <c r="GKK41" s="139"/>
      <c r="GKL41" s="139"/>
      <c r="GKM41" s="139"/>
      <c r="GKN41" s="139"/>
      <c r="GKO41" s="139"/>
      <c r="GKP41" s="139"/>
      <c r="GKQ41" s="139"/>
      <c r="GKR41" s="139"/>
      <c r="GKS41" s="139"/>
      <c r="GKT41" s="139"/>
      <c r="GKU41" s="139"/>
      <c r="GKV41" s="139"/>
      <c r="GKW41" s="139"/>
      <c r="GKX41" s="139"/>
      <c r="GKY41" s="139"/>
      <c r="GKZ41" s="139"/>
      <c r="GLA41" s="139"/>
      <c r="GLB41" s="139"/>
      <c r="GLC41" s="139"/>
      <c r="GLD41" s="139"/>
      <c r="GLE41" s="139"/>
      <c r="GLF41" s="139"/>
      <c r="GLG41" s="139"/>
      <c r="GLH41" s="139"/>
      <c r="GLI41" s="139"/>
      <c r="GLJ41" s="139"/>
      <c r="GLK41" s="139"/>
      <c r="GLL41" s="139"/>
      <c r="GLM41" s="139"/>
      <c r="GLN41" s="139"/>
      <c r="GLO41" s="139"/>
      <c r="GLP41" s="139"/>
      <c r="GLQ41" s="139"/>
      <c r="GLR41" s="139"/>
      <c r="GLS41" s="139"/>
      <c r="GLT41" s="139"/>
      <c r="GLU41" s="139"/>
      <c r="GLV41" s="139"/>
      <c r="GLW41" s="139"/>
      <c r="GLX41" s="139"/>
      <c r="GLY41" s="139"/>
      <c r="GLZ41" s="139"/>
      <c r="GMA41" s="139"/>
      <c r="GMB41" s="139"/>
      <c r="GMC41" s="139"/>
      <c r="GMD41" s="139"/>
      <c r="GME41" s="139"/>
      <c r="GMF41" s="139"/>
      <c r="GMG41" s="139"/>
      <c r="GMH41" s="139"/>
      <c r="GMI41" s="139"/>
      <c r="GMJ41" s="139"/>
      <c r="GMK41" s="139"/>
      <c r="GML41" s="139"/>
      <c r="GMM41" s="139"/>
      <c r="GMN41" s="139"/>
      <c r="GMO41" s="139"/>
      <c r="GMP41" s="139"/>
      <c r="GMQ41" s="139"/>
      <c r="GMR41" s="139"/>
      <c r="GMS41" s="139"/>
      <c r="GMT41" s="139"/>
      <c r="GMU41" s="139"/>
      <c r="GMV41" s="139"/>
      <c r="GMW41" s="139"/>
      <c r="GMX41" s="139"/>
      <c r="GMY41" s="139"/>
      <c r="GMZ41" s="139"/>
      <c r="GNA41" s="139"/>
      <c r="GNB41" s="139"/>
      <c r="GNC41" s="139"/>
      <c r="GND41" s="139"/>
      <c r="GNE41" s="139"/>
      <c r="GNF41" s="139"/>
      <c r="GNG41" s="139"/>
      <c r="GNH41" s="139"/>
      <c r="GNI41" s="139"/>
      <c r="GNJ41" s="139"/>
      <c r="GNK41" s="139"/>
      <c r="GNL41" s="139"/>
      <c r="GNM41" s="139"/>
      <c r="GNN41" s="139"/>
      <c r="GNO41" s="139"/>
      <c r="GNP41" s="139"/>
      <c r="GNQ41" s="139"/>
      <c r="GNR41" s="139"/>
      <c r="GNS41" s="139"/>
      <c r="GNT41" s="139"/>
      <c r="GNU41" s="139"/>
      <c r="GNV41" s="139"/>
      <c r="GNW41" s="139"/>
      <c r="GNX41" s="139"/>
      <c r="GNY41" s="139"/>
      <c r="GNZ41" s="139"/>
      <c r="GOA41" s="139"/>
      <c r="GOB41" s="139"/>
      <c r="GOC41" s="139"/>
      <c r="GOD41" s="139"/>
      <c r="GOE41" s="139"/>
      <c r="GOF41" s="139"/>
      <c r="GOG41" s="139"/>
      <c r="GOH41" s="139"/>
      <c r="GOI41" s="139"/>
      <c r="GOJ41" s="139"/>
      <c r="GOK41" s="139"/>
      <c r="GOL41" s="139"/>
      <c r="GOM41" s="139"/>
      <c r="GON41" s="139"/>
      <c r="GOO41" s="139"/>
      <c r="GOP41" s="139"/>
      <c r="GOQ41" s="139"/>
      <c r="GOR41" s="139"/>
      <c r="GOS41" s="139"/>
      <c r="GOT41" s="139"/>
      <c r="GOU41" s="139"/>
      <c r="GOV41" s="139"/>
      <c r="GOW41" s="139"/>
      <c r="GOX41" s="139"/>
      <c r="GOY41" s="139"/>
      <c r="GOZ41" s="139"/>
      <c r="GPA41" s="139"/>
      <c r="GPB41" s="139"/>
      <c r="GPC41" s="139"/>
      <c r="GPD41" s="139"/>
      <c r="GPE41" s="139"/>
      <c r="GPF41" s="139"/>
      <c r="GPG41" s="139"/>
      <c r="GPH41" s="139"/>
      <c r="GPI41" s="139"/>
      <c r="GPJ41" s="139"/>
      <c r="GPK41" s="139"/>
      <c r="GPL41" s="139"/>
      <c r="GPM41" s="139"/>
      <c r="GPN41" s="139"/>
      <c r="GPO41" s="139"/>
      <c r="GPP41" s="139"/>
      <c r="GPQ41" s="139"/>
      <c r="GPR41" s="139"/>
      <c r="GPS41" s="139"/>
      <c r="GPT41" s="139"/>
      <c r="GPU41" s="139"/>
      <c r="GPV41" s="139"/>
      <c r="GPW41" s="139"/>
      <c r="GPX41" s="139"/>
      <c r="GPY41" s="139"/>
      <c r="GPZ41" s="139"/>
      <c r="GQA41" s="139"/>
      <c r="GQB41" s="139"/>
      <c r="GQC41" s="139"/>
      <c r="GQD41" s="139"/>
      <c r="GQE41" s="139"/>
      <c r="GQF41" s="139"/>
      <c r="GQG41" s="139"/>
      <c r="GQH41" s="139"/>
      <c r="GQI41" s="139"/>
      <c r="GQJ41" s="139"/>
      <c r="GQK41" s="139"/>
      <c r="GQL41" s="139"/>
      <c r="GQM41" s="139"/>
      <c r="GQN41" s="139"/>
      <c r="GQO41" s="139"/>
      <c r="GQP41" s="139"/>
      <c r="GQQ41" s="139"/>
      <c r="GQR41" s="139"/>
      <c r="GQS41" s="139"/>
      <c r="GQT41" s="139"/>
      <c r="GQU41" s="139"/>
      <c r="GQV41" s="139"/>
      <c r="GQW41" s="139"/>
      <c r="GQX41" s="139"/>
      <c r="GQY41" s="139"/>
      <c r="GQZ41" s="139"/>
      <c r="GRA41" s="139"/>
      <c r="GRB41" s="139"/>
      <c r="GRC41" s="139"/>
      <c r="GRD41" s="139"/>
      <c r="GRE41" s="139"/>
      <c r="GRF41" s="139"/>
      <c r="GRG41" s="139"/>
      <c r="GRH41" s="139"/>
      <c r="GRI41" s="139"/>
      <c r="GRJ41" s="139"/>
      <c r="GRK41" s="139"/>
      <c r="GRL41" s="139"/>
      <c r="GRM41" s="139"/>
      <c r="GRN41" s="139"/>
      <c r="GRO41" s="139"/>
      <c r="GRP41" s="139"/>
      <c r="GRQ41" s="139"/>
      <c r="GRR41" s="139"/>
      <c r="GRS41" s="139"/>
      <c r="GRT41" s="139"/>
      <c r="GRU41" s="139"/>
      <c r="GRV41" s="139"/>
      <c r="GRW41" s="139"/>
      <c r="GRX41" s="139"/>
      <c r="GRY41" s="139"/>
      <c r="GRZ41" s="139"/>
      <c r="GSA41" s="139"/>
      <c r="GSB41" s="139"/>
      <c r="GSC41" s="139"/>
      <c r="GSD41" s="139"/>
      <c r="GSE41" s="139"/>
      <c r="GSF41" s="139"/>
      <c r="GSG41" s="139"/>
      <c r="GSH41" s="139"/>
      <c r="GSI41" s="139"/>
      <c r="GSJ41" s="139"/>
      <c r="GSK41" s="139"/>
      <c r="GSL41" s="139"/>
      <c r="GSM41" s="139"/>
      <c r="GSN41" s="139"/>
      <c r="GSO41" s="139"/>
      <c r="GSP41" s="139"/>
      <c r="GSQ41" s="139"/>
      <c r="GSR41" s="139"/>
      <c r="GSS41" s="139"/>
      <c r="GST41" s="139"/>
      <c r="GSU41" s="139"/>
      <c r="GSV41" s="139"/>
      <c r="GSW41" s="139"/>
      <c r="GSX41" s="139"/>
      <c r="GSY41" s="139"/>
      <c r="GSZ41" s="139"/>
      <c r="GTA41" s="139"/>
      <c r="GTB41" s="139"/>
      <c r="GTC41" s="139"/>
      <c r="GTD41" s="139"/>
      <c r="GTE41" s="139"/>
      <c r="GTF41" s="139"/>
      <c r="GTG41" s="139"/>
      <c r="GTH41" s="139"/>
      <c r="GTI41" s="139"/>
      <c r="GTJ41" s="139"/>
      <c r="GTK41" s="139"/>
      <c r="GTL41" s="139"/>
      <c r="GTM41" s="139"/>
      <c r="GTN41" s="139"/>
      <c r="GTO41" s="139"/>
      <c r="GTP41" s="139"/>
      <c r="GTQ41" s="139"/>
      <c r="GTR41" s="139"/>
      <c r="GTS41" s="139"/>
      <c r="GTT41" s="139"/>
      <c r="GTU41" s="139"/>
      <c r="GTV41" s="139"/>
      <c r="GTW41" s="139"/>
      <c r="GTX41" s="139"/>
      <c r="GTY41" s="139"/>
      <c r="GTZ41" s="139"/>
      <c r="GUA41" s="139"/>
      <c r="GUB41" s="139"/>
      <c r="GUC41" s="139"/>
      <c r="GUD41" s="139"/>
      <c r="GUE41" s="139"/>
      <c r="GUF41" s="139"/>
      <c r="GUG41" s="139"/>
      <c r="GUH41" s="139"/>
      <c r="GUI41" s="139"/>
      <c r="GUJ41" s="139"/>
      <c r="GUK41" s="139"/>
      <c r="GUL41" s="139"/>
      <c r="GUM41" s="139"/>
      <c r="GUN41" s="139"/>
      <c r="GUO41" s="139"/>
      <c r="GUP41" s="139"/>
      <c r="GUQ41" s="139"/>
      <c r="GUR41" s="139"/>
      <c r="GUS41" s="139"/>
      <c r="GUT41" s="139"/>
      <c r="GUU41" s="139"/>
      <c r="GUV41" s="139"/>
      <c r="GUW41" s="139"/>
      <c r="GUX41" s="139"/>
      <c r="GUY41" s="139"/>
      <c r="GUZ41" s="139"/>
      <c r="GVA41" s="139"/>
      <c r="GVB41" s="139"/>
      <c r="GVC41" s="139"/>
      <c r="GVD41" s="139"/>
      <c r="GVE41" s="139"/>
      <c r="GVF41" s="139"/>
      <c r="GVG41" s="139"/>
      <c r="GVH41" s="139"/>
      <c r="GVI41" s="139"/>
      <c r="GVJ41" s="139"/>
      <c r="GVK41" s="139"/>
      <c r="GVL41" s="139"/>
      <c r="GVM41" s="139"/>
      <c r="GVN41" s="139"/>
      <c r="GVO41" s="139"/>
      <c r="GVP41" s="139"/>
      <c r="GVQ41" s="139"/>
      <c r="GVR41" s="139"/>
      <c r="GVS41" s="139"/>
      <c r="GVT41" s="139"/>
      <c r="GVU41" s="139"/>
      <c r="GVV41" s="139"/>
      <c r="GVW41" s="139"/>
      <c r="GVX41" s="139"/>
      <c r="GVY41" s="139"/>
      <c r="GVZ41" s="139"/>
      <c r="GWA41" s="139"/>
      <c r="GWB41" s="139"/>
      <c r="GWC41" s="139"/>
      <c r="GWD41" s="139"/>
      <c r="GWE41" s="139"/>
      <c r="GWF41" s="139"/>
      <c r="GWG41" s="139"/>
      <c r="GWH41" s="139"/>
      <c r="GWI41" s="139"/>
      <c r="GWJ41" s="139"/>
      <c r="GWK41" s="139"/>
      <c r="GWL41" s="139"/>
      <c r="GWM41" s="139"/>
      <c r="GWN41" s="139"/>
      <c r="GWO41" s="139"/>
      <c r="GWP41" s="139"/>
      <c r="GWQ41" s="139"/>
      <c r="GWR41" s="139"/>
      <c r="GWS41" s="139"/>
      <c r="GWT41" s="139"/>
      <c r="GWU41" s="139"/>
      <c r="GWV41" s="139"/>
      <c r="GWW41" s="139"/>
      <c r="GWX41" s="139"/>
      <c r="GWY41" s="139"/>
      <c r="GWZ41" s="139"/>
      <c r="GXA41" s="139"/>
      <c r="GXB41" s="139"/>
      <c r="GXC41" s="139"/>
      <c r="GXD41" s="139"/>
      <c r="GXE41" s="139"/>
      <c r="GXF41" s="139"/>
      <c r="GXG41" s="139"/>
      <c r="GXH41" s="139"/>
      <c r="GXI41" s="139"/>
      <c r="GXJ41" s="139"/>
      <c r="GXK41" s="139"/>
      <c r="GXL41" s="139"/>
      <c r="GXM41" s="139"/>
      <c r="GXN41" s="139"/>
      <c r="GXO41" s="139"/>
      <c r="GXP41" s="139"/>
      <c r="GXQ41" s="139"/>
      <c r="GXR41" s="139"/>
      <c r="GXS41" s="139"/>
      <c r="GXT41" s="139"/>
      <c r="GXU41" s="139"/>
      <c r="GXV41" s="139"/>
      <c r="GXW41" s="139"/>
      <c r="GXX41" s="139"/>
      <c r="GXY41" s="139"/>
      <c r="GXZ41" s="139"/>
      <c r="GYA41" s="139"/>
      <c r="GYB41" s="139"/>
      <c r="GYC41" s="139"/>
      <c r="GYD41" s="139"/>
      <c r="GYE41" s="139"/>
      <c r="GYF41" s="139"/>
      <c r="GYG41" s="139"/>
      <c r="GYH41" s="139"/>
      <c r="GYI41" s="139"/>
      <c r="GYJ41" s="139"/>
      <c r="GYK41" s="139"/>
      <c r="GYL41" s="139"/>
      <c r="GYM41" s="139"/>
      <c r="GYN41" s="139"/>
      <c r="GYO41" s="139"/>
      <c r="GYP41" s="139"/>
      <c r="GYQ41" s="139"/>
      <c r="GYR41" s="139"/>
      <c r="GYS41" s="139"/>
      <c r="GYT41" s="139"/>
      <c r="GYU41" s="139"/>
      <c r="GYV41" s="139"/>
      <c r="GYW41" s="139"/>
      <c r="GYX41" s="139"/>
      <c r="GYY41" s="139"/>
      <c r="GYZ41" s="139"/>
      <c r="GZA41" s="139"/>
      <c r="GZB41" s="139"/>
      <c r="GZC41" s="139"/>
      <c r="GZD41" s="139"/>
      <c r="GZE41" s="139"/>
      <c r="GZF41" s="139"/>
      <c r="GZG41" s="139"/>
      <c r="GZH41" s="139"/>
      <c r="GZI41" s="139"/>
      <c r="GZJ41" s="139"/>
      <c r="GZK41" s="139"/>
      <c r="GZL41" s="139"/>
      <c r="GZM41" s="139"/>
      <c r="GZN41" s="139"/>
      <c r="GZO41" s="139"/>
      <c r="GZP41" s="139"/>
      <c r="GZQ41" s="139"/>
      <c r="GZR41" s="139"/>
      <c r="GZS41" s="139"/>
      <c r="GZT41" s="139"/>
      <c r="GZU41" s="139"/>
      <c r="GZV41" s="139"/>
      <c r="GZW41" s="139"/>
      <c r="GZX41" s="139"/>
      <c r="GZY41" s="139"/>
      <c r="GZZ41" s="139"/>
      <c r="HAA41" s="139"/>
      <c r="HAB41" s="139"/>
      <c r="HAC41" s="139"/>
      <c r="HAD41" s="139"/>
      <c r="HAE41" s="139"/>
      <c r="HAF41" s="139"/>
      <c r="HAG41" s="139"/>
      <c r="HAH41" s="139"/>
      <c r="HAI41" s="139"/>
      <c r="HAJ41" s="139"/>
      <c r="HAK41" s="139"/>
      <c r="HAL41" s="139"/>
      <c r="HAM41" s="139"/>
      <c r="HAN41" s="139"/>
      <c r="HAO41" s="139"/>
      <c r="HAP41" s="139"/>
      <c r="HAQ41" s="139"/>
      <c r="HAR41" s="139"/>
      <c r="HAS41" s="139"/>
      <c r="HAT41" s="139"/>
      <c r="HAU41" s="139"/>
      <c r="HAV41" s="139"/>
      <c r="HAW41" s="139"/>
      <c r="HAX41" s="139"/>
      <c r="HAY41" s="139"/>
      <c r="HAZ41" s="139"/>
      <c r="HBA41" s="139"/>
      <c r="HBB41" s="139"/>
      <c r="HBC41" s="139"/>
      <c r="HBD41" s="139"/>
      <c r="HBE41" s="139"/>
      <c r="HBF41" s="139"/>
      <c r="HBG41" s="139"/>
      <c r="HBH41" s="139"/>
      <c r="HBI41" s="139"/>
      <c r="HBJ41" s="139"/>
      <c r="HBK41" s="139"/>
      <c r="HBL41" s="139"/>
      <c r="HBM41" s="139"/>
      <c r="HBN41" s="139"/>
      <c r="HBO41" s="139"/>
      <c r="HBP41" s="139"/>
      <c r="HBQ41" s="139"/>
      <c r="HBR41" s="139"/>
      <c r="HBS41" s="139"/>
      <c r="HBT41" s="139"/>
      <c r="HBU41" s="139"/>
      <c r="HBV41" s="139"/>
      <c r="HBW41" s="139"/>
      <c r="HBX41" s="139"/>
      <c r="HBY41" s="139"/>
      <c r="HBZ41" s="139"/>
      <c r="HCA41" s="139"/>
      <c r="HCB41" s="139"/>
      <c r="HCC41" s="139"/>
      <c r="HCD41" s="139"/>
      <c r="HCE41" s="139"/>
      <c r="HCF41" s="139"/>
      <c r="HCG41" s="139"/>
      <c r="HCH41" s="139"/>
      <c r="HCI41" s="139"/>
      <c r="HCJ41" s="139"/>
      <c r="HCK41" s="139"/>
      <c r="HCL41" s="139"/>
      <c r="HCM41" s="139"/>
      <c r="HCN41" s="139"/>
      <c r="HCO41" s="139"/>
      <c r="HCP41" s="139"/>
      <c r="HCQ41" s="139"/>
      <c r="HCR41" s="139"/>
      <c r="HCS41" s="139"/>
      <c r="HCT41" s="139"/>
      <c r="HCU41" s="139"/>
      <c r="HCV41" s="139"/>
      <c r="HCW41" s="139"/>
      <c r="HCX41" s="139"/>
      <c r="HCY41" s="139"/>
      <c r="HCZ41" s="139"/>
      <c r="HDA41" s="139"/>
      <c r="HDB41" s="139"/>
      <c r="HDC41" s="139"/>
      <c r="HDD41" s="139"/>
      <c r="HDE41" s="139"/>
      <c r="HDF41" s="139"/>
      <c r="HDG41" s="139"/>
      <c r="HDH41" s="139"/>
      <c r="HDI41" s="139"/>
      <c r="HDJ41" s="139"/>
      <c r="HDK41" s="139"/>
      <c r="HDL41" s="139"/>
      <c r="HDM41" s="139"/>
      <c r="HDN41" s="139"/>
      <c r="HDO41" s="139"/>
      <c r="HDP41" s="139"/>
      <c r="HDQ41" s="139"/>
      <c r="HDR41" s="139"/>
      <c r="HDS41" s="139"/>
      <c r="HDT41" s="139"/>
      <c r="HDU41" s="139"/>
      <c r="HDV41" s="139"/>
      <c r="HDW41" s="139"/>
      <c r="HDX41" s="139"/>
      <c r="HDY41" s="139"/>
      <c r="HDZ41" s="139"/>
      <c r="HEA41" s="139"/>
      <c r="HEB41" s="139"/>
      <c r="HEC41" s="139"/>
      <c r="HED41" s="139"/>
      <c r="HEE41" s="139"/>
      <c r="HEF41" s="139"/>
      <c r="HEG41" s="139"/>
      <c r="HEH41" s="139"/>
      <c r="HEI41" s="139"/>
      <c r="HEJ41" s="139"/>
      <c r="HEK41" s="139"/>
      <c r="HEL41" s="139"/>
      <c r="HEM41" s="139"/>
      <c r="HEN41" s="139"/>
      <c r="HEO41" s="139"/>
      <c r="HEP41" s="139"/>
      <c r="HEQ41" s="139"/>
      <c r="HER41" s="139"/>
      <c r="HES41" s="139"/>
      <c r="HET41" s="139"/>
      <c r="HEU41" s="139"/>
      <c r="HEV41" s="139"/>
      <c r="HEW41" s="139"/>
      <c r="HEX41" s="139"/>
      <c r="HEY41" s="139"/>
      <c r="HEZ41" s="139"/>
      <c r="HFA41" s="139"/>
      <c r="HFB41" s="139"/>
      <c r="HFC41" s="139"/>
      <c r="HFD41" s="139"/>
      <c r="HFE41" s="139"/>
      <c r="HFF41" s="139"/>
      <c r="HFG41" s="139"/>
      <c r="HFH41" s="139"/>
      <c r="HFI41" s="139"/>
      <c r="HFJ41" s="139"/>
      <c r="HFK41" s="139"/>
      <c r="HFL41" s="139"/>
      <c r="HFM41" s="139"/>
      <c r="HFN41" s="139"/>
      <c r="HFO41" s="139"/>
      <c r="HFP41" s="139"/>
      <c r="HFQ41" s="139"/>
      <c r="HFR41" s="139"/>
      <c r="HFS41" s="139"/>
      <c r="HFT41" s="139"/>
      <c r="HFU41" s="139"/>
      <c r="HFV41" s="139"/>
      <c r="HFW41" s="139"/>
      <c r="HFX41" s="139"/>
      <c r="HFY41" s="139"/>
      <c r="HFZ41" s="139"/>
      <c r="HGA41" s="139"/>
      <c r="HGB41" s="139"/>
      <c r="HGC41" s="139"/>
      <c r="HGD41" s="139"/>
      <c r="HGE41" s="139"/>
      <c r="HGF41" s="139"/>
      <c r="HGG41" s="139"/>
      <c r="HGH41" s="139"/>
      <c r="HGI41" s="139"/>
      <c r="HGJ41" s="139"/>
      <c r="HGK41" s="139"/>
      <c r="HGL41" s="139"/>
      <c r="HGM41" s="139"/>
      <c r="HGN41" s="139"/>
      <c r="HGO41" s="139"/>
      <c r="HGP41" s="139"/>
      <c r="HGQ41" s="139"/>
      <c r="HGR41" s="139"/>
      <c r="HGS41" s="139"/>
      <c r="HGT41" s="139"/>
      <c r="HGU41" s="139"/>
      <c r="HGV41" s="139"/>
      <c r="HGW41" s="139"/>
      <c r="HGX41" s="139"/>
      <c r="HGY41" s="139"/>
      <c r="HGZ41" s="139"/>
      <c r="HHA41" s="139"/>
      <c r="HHB41" s="139"/>
      <c r="HHC41" s="139"/>
      <c r="HHD41" s="139"/>
      <c r="HHE41" s="139"/>
      <c r="HHF41" s="139"/>
      <c r="HHG41" s="139"/>
      <c r="HHH41" s="139"/>
      <c r="HHI41" s="139"/>
      <c r="HHJ41" s="139"/>
      <c r="HHK41" s="139"/>
      <c r="HHL41" s="139"/>
      <c r="HHM41" s="139"/>
      <c r="HHN41" s="139"/>
      <c r="HHO41" s="139"/>
      <c r="HHP41" s="139"/>
      <c r="HHQ41" s="139"/>
      <c r="HHR41" s="139"/>
      <c r="HHS41" s="139"/>
      <c r="HHT41" s="139"/>
      <c r="HHU41" s="139"/>
      <c r="HHV41" s="139"/>
      <c r="HHW41" s="139"/>
      <c r="HHX41" s="139"/>
      <c r="HHY41" s="139"/>
      <c r="HHZ41" s="139"/>
      <c r="HIA41" s="139"/>
      <c r="HIB41" s="139"/>
      <c r="HIC41" s="139"/>
      <c r="HID41" s="139"/>
      <c r="HIE41" s="139"/>
      <c r="HIF41" s="139"/>
      <c r="HIG41" s="139"/>
      <c r="HIH41" s="139"/>
      <c r="HII41" s="139"/>
      <c r="HIJ41" s="139"/>
      <c r="HIK41" s="139"/>
      <c r="HIL41" s="139"/>
      <c r="HIM41" s="139"/>
      <c r="HIN41" s="139"/>
      <c r="HIO41" s="139"/>
      <c r="HIP41" s="139"/>
      <c r="HIQ41" s="139"/>
      <c r="HIR41" s="139"/>
      <c r="HIS41" s="139"/>
      <c r="HIT41" s="139"/>
      <c r="HIU41" s="139"/>
      <c r="HIV41" s="139"/>
      <c r="HIW41" s="139"/>
      <c r="HIX41" s="139"/>
      <c r="HIY41" s="139"/>
      <c r="HIZ41" s="139"/>
      <c r="HJA41" s="139"/>
      <c r="HJB41" s="139"/>
      <c r="HJC41" s="139"/>
      <c r="HJD41" s="139"/>
      <c r="HJE41" s="139"/>
      <c r="HJF41" s="139"/>
      <c r="HJG41" s="139"/>
      <c r="HJH41" s="139"/>
      <c r="HJI41" s="139"/>
      <c r="HJJ41" s="139"/>
      <c r="HJK41" s="139"/>
      <c r="HJL41" s="139"/>
      <c r="HJM41" s="139"/>
      <c r="HJN41" s="139"/>
      <c r="HJO41" s="139"/>
      <c r="HJP41" s="139"/>
      <c r="HJQ41" s="139"/>
      <c r="HJR41" s="139"/>
      <c r="HJS41" s="139"/>
      <c r="HJT41" s="139"/>
      <c r="HJU41" s="139"/>
      <c r="HJV41" s="139"/>
      <c r="HJW41" s="139"/>
      <c r="HJX41" s="139"/>
      <c r="HJY41" s="139"/>
      <c r="HJZ41" s="139"/>
      <c r="HKA41" s="139"/>
      <c r="HKB41" s="139"/>
      <c r="HKC41" s="139"/>
      <c r="HKD41" s="139"/>
      <c r="HKE41" s="139"/>
      <c r="HKF41" s="139"/>
      <c r="HKG41" s="139"/>
      <c r="HKH41" s="139"/>
      <c r="HKI41" s="139"/>
      <c r="HKJ41" s="139"/>
      <c r="HKK41" s="139"/>
      <c r="HKL41" s="139"/>
      <c r="HKM41" s="139"/>
      <c r="HKN41" s="139"/>
      <c r="HKO41" s="139"/>
      <c r="HKP41" s="139"/>
      <c r="HKQ41" s="139"/>
      <c r="HKR41" s="139"/>
      <c r="HKS41" s="139"/>
      <c r="HKT41" s="139"/>
      <c r="HKU41" s="139"/>
      <c r="HKV41" s="139"/>
      <c r="HKW41" s="139"/>
      <c r="HKX41" s="139"/>
      <c r="HKY41" s="139"/>
      <c r="HKZ41" s="139"/>
      <c r="HLA41" s="139"/>
      <c r="HLB41" s="139"/>
      <c r="HLC41" s="139"/>
      <c r="HLD41" s="139"/>
      <c r="HLE41" s="139"/>
      <c r="HLF41" s="139"/>
      <c r="HLG41" s="139"/>
      <c r="HLH41" s="139"/>
      <c r="HLI41" s="139"/>
      <c r="HLJ41" s="139"/>
      <c r="HLK41" s="139"/>
      <c r="HLL41" s="139"/>
      <c r="HLM41" s="139"/>
      <c r="HLN41" s="139"/>
      <c r="HLO41" s="139"/>
      <c r="HLP41" s="139"/>
      <c r="HLQ41" s="139"/>
      <c r="HLR41" s="139"/>
      <c r="HLS41" s="139"/>
      <c r="HLT41" s="139"/>
      <c r="HLU41" s="139"/>
      <c r="HLV41" s="139"/>
      <c r="HLW41" s="139"/>
      <c r="HLX41" s="139"/>
      <c r="HLY41" s="139"/>
      <c r="HLZ41" s="139"/>
      <c r="HMA41" s="139"/>
      <c r="HMB41" s="139"/>
      <c r="HMC41" s="139"/>
      <c r="HMD41" s="139"/>
      <c r="HME41" s="139"/>
      <c r="HMF41" s="139"/>
      <c r="HMG41" s="139"/>
      <c r="HMH41" s="139"/>
      <c r="HMI41" s="139"/>
      <c r="HMJ41" s="139"/>
      <c r="HMK41" s="139"/>
      <c r="HML41" s="139"/>
      <c r="HMM41" s="139"/>
      <c r="HMN41" s="139"/>
      <c r="HMO41" s="139"/>
      <c r="HMP41" s="139"/>
      <c r="HMQ41" s="139"/>
      <c r="HMR41" s="139"/>
      <c r="HMS41" s="139"/>
      <c r="HMT41" s="139"/>
      <c r="HMU41" s="139"/>
      <c r="HMV41" s="139"/>
      <c r="HMW41" s="139"/>
      <c r="HMX41" s="139"/>
      <c r="HMY41" s="139"/>
      <c r="HMZ41" s="139"/>
      <c r="HNA41" s="139"/>
      <c r="HNB41" s="139"/>
      <c r="HNC41" s="139"/>
      <c r="HND41" s="139"/>
      <c r="HNE41" s="139"/>
      <c r="HNF41" s="139"/>
      <c r="HNG41" s="139"/>
      <c r="HNH41" s="139"/>
      <c r="HNI41" s="139"/>
      <c r="HNJ41" s="139"/>
      <c r="HNK41" s="139"/>
      <c r="HNL41" s="139"/>
      <c r="HNM41" s="139"/>
      <c r="HNN41" s="139"/>
      <c r="HNO41" s="139"/>
      <c r="HNP41" s="139"/>
      <c r="HNQ41" s="139"/>
      <c r="HNR41" s="139"/>
      <c r="HNS41" s="139"/>
      <c r="HNT41" s="139"/>
      <c r="HNU41" s="139"/>
      <c r="HNV41" s="139"/>
      <c r="HNW41" s="139"/>
      <c r="HNX41" s="139"/>
      <c r="HNY41" s="139"/>
      <c r="HNZ41" s="139"/>
      <c r="HOA41" s="139"/>
      <c r="HOB41" s="139"/>
      <c r="HOC41" s="139"/>
      <c r="HOD41" s="139"/>
      <c r="HOE41" s="139"/>
      <c r="HOF41" s="139"/>
      <c r="HOG41" s="139"/>
      <c r="HOH41" s="139"/>
      <c r="HOI41" s="139"/>
      <c r="HOJ41" s="139"/>
      <c r="HOK41" s="139"/>
      <c r="HOL41" s="139"/>
      <c r="HOM41" s="139"/>
      <c r="HON41" s="139"/>
      <c r="HOO41" s="139"/>
      <c r="HOP41" s="139"/>
      <c r="HOQ41" s="139"/>
      <c r="HOR41" s="139"/>
      <c r="HOS41" s="139"/>
      <c r="HOT41" s="139"/>
      <c r="HOU41" s="139"/>
      <c r="HOV41" s="139"/>
      <c r="HOW41" s="139"/>
      <c r="HOX41" s="139"/>
      <c r="HOY41" s="139"/>
      <c r="HOZ41" s="139"/>
      <c r="HPA41" s="139"/>
      <c r="HPB41" s="139"/>
      <c r="HPC41" s="139"/>
      <c r="HPD41" s="139"/>
      <c r="HPE41" s="139"/>
      <c r="HPF41" s="139"/>
      <c r="HPG41" s="139"/>
      <c r="HPH41" s="139"/>
      <c r="HPI41" s="139"/>
      <c r="HPJ41" s="139"/>
      <c r="HPK41" s="139"/>
      <c r="HPL41" s="139"/>
      <c r="HPM41" s="139"/>
      <c r="HPN41" s="139"/>
      <c r="HPO41" s="139"/>
      <c r="HPP41" s="139"/>
      <c r="HPQ41" s="139"/>
      <c r="HPR41" s="139"/>
      <c r="HPS41" s="139"/>
      <c r="HPT41" s="139"/>
      <c r="HPU41" s="139"/>
      <c r="HPV41" s="139"/>
      <c r="HPW41" s="139"/>
      <c r="HPX41" s="139"/>
      <c r="HPY41" s="139"/>
      <c r="HPZ41" s="139"/>
      <c r="HQA41" s="139"/>
      <c r="HQB41" s="139"/>
      <c r="HQC41" s="139"/>
      <c r="HQD41" s="139"/>
      <c r="HQE41" s="139"/>
      <c r="HQF41" s="139"/>
      <c r="HQG41" s="139"/>
      <c r="HQH41" s="139"/>
      <c r="HQI41" s="139"/>
      <c r="HQJ41" s="139"/>
      <c r="HQK41" s="139"/>
      <c r="HQL41" s="139"/>
      <c r="HQM41" s="139"/>
      <c r="HQN41" s="139"/>
      <c r="HQO41" s="139"/>
      <c r="HQP41" s="139"/>
      <c r="HQQ41" s="139"/>
      <c r="HQR41" s="139"/>
      <c r="HQS41" s="139"/>
      <c r="HQT41" s="139"/>
      <c r="HQU41" s="139"/>
      <c r="HQV41" s="139"/>
      <c r="HQW41" s="139"/>
      <c r="HQX41" s="139"/>
      <c r="HQY41" s="139"/>
      <c r="HQZ41" s="139"/>
      <c r="HRA41" s="139"/>
      <c r="HRB41" s="139"/>
      <c r="HRC41" s="139"/>
      <c r="HRD41" s="139"/>
      <c r="HRE41" s="139"/>
      <c r="HRF41" s="139"/>
      <c r="HRG41" s="139"/>
      <c r="HRH41" s="139"/>
      <c r="HRI41" s="139"/>
      <c r="HRJ41" s="139"/>
      <c r="HRK41" s="139"/>
      <c r="HRL41" s="139"/>
      <c r="HRM41" s="139"/>
      <c r="HRN41" s="139"/>
      <c r="HRO41" s="139"/>
      <c r="HRP41" s="139"/>
      <c r="HRQ41" s="139"/>
      <c r="HRR41" s="139"/>
      <c r="HRS41" s="139"/>
      <c r="HRT41" s="139"/>
      <c r="HRU41" s="139"/>
      <c r="HRV41" s="139"/>
      <c r="HRW41" s="139"/>
      <c r="HRX41" s="139"/>
      <c r="HRY41" s="139"/>
      <c r="HRZ41" s="139"/>
      <c r="HSA41" s="139"/>
      <c r="HSB41" s="139"/>
      <c r="HSC41" s="139"/>
      <c r="HSD41" s="139"/>
      <c r="HSE41" s="139"/>
      <c r="HSF41" s="139"/>
      <c r="HSG41" s="139"/>
      <c r="HSH41" s="139"/>
      <c r="HSI41" s="139"/>
      <c r="HSJ41" s="139"/>
      <c r="HSK41" s="139"/>
      <c r="HSL41" s="139"/>
      <c r="HSM41" s="139"/>
      <c r="HSN41" s="139"/>
      <c r="HSO41" s="139"/>
      <c r="HSP41" s="139"/>
      <c r="HSQ41" s="139"/>
      <c r="HSR41" s="139"/>
      <c r="HSS41" s="139"/>
      <c r="HST41" s="139"/>
      <c r="HSU41" s="139"/>
      <c r="HSV41" s="139"/>
      <c r="HSW41" s="139"/>
      <c r="HSX41" s="139"/>
      <c r="HSY41" s="139"/>
      <c r="HSZ41" s="139"/>
      <c r="HTA41" s="139"/>
      <c r="HTB41" s="139"/>
      <c r="HTC41" s="139"/>
      <c r="HTD41" s="139"/>
      <c r="HTE41" s="139"/>
      <c r="HTF41" s="139"/>
      <c r="HTG41" s="139"/>
      <c r="HTH41" s="139"/>
      <c r="HTI41" s="139"/>
      <c r="HTJ41" s="139"/>
      <c r="HTK41" s="139"/>
      <c r="HTL41" s="139"/>
      <c r="HTM41" s="139"/>
      <c r="HTN41" s="139"/>
      <c r="HTO41" s="139"/>
      <c r="HTP41" s="139"/>
      <c r="HTQ41" s="139"/>
      <c r="HTR41" s="139"/>
      <c r="HTS41" s="139"/>
      <c r="HTT41" s="139"/>
      <c r="HTU41" s="139"/>
      <c r="HTV41" s="139"/>
      <c r="HTW41" s="139"/>
      <c r="HTX41" s="139"/>
      <c r="HTY41" s="139"/>
      <c r="HTZ41" s="139"/>
      <c r="HUA41" s="139"/>
      <c r="HUB41" s="139"/>
      <c r="HUC41" s="139"/>
      <c r="HUD41" s="139"/>
      <c r="HUE41" s="139"/>
      <c r="HUF41" s="139"/>
      <c r="HUG41" s="139"/>
      <c r="HUH41" s="139"/>
      <c r="HUI41" s="139"/>
      <c r="HUJ41" s="139"/>
      <c r="HUK41" s="139"/>
      <c r="HUL41" s="139"/>
      <c r="HUM41" s="139"/>
      <c r="HUN41" s="139"/>
      <c r="HUO41" s="139"/>
      <c r="HUP41" s="139"/>
      <c r="HUQ41" s="139"/>
      <c r="HUR41" s="139"/>
      <c r="HUS41" s="139"/>
      <c r="HUT41" s="139"/>
      <c r="HUU41" s="139"/>
      <c r="HUV41" s="139"/>
      <c r="HUW41" s="139"/>
      <c r="HUX41" s="139"/>
      <c r="HUY41" s="139"/>
      <c r="HUZ41" s="139"/>
      <c r="HVA41" s="139"/>
      <c r="HVB41" s="139"/>
      <c r="HVC41" s="139"/>
      <c r="HVD41" s="139"/>
      <c r="HVE41" s="139"/>
      <c r="HVF41" s="139"/>
      <c r="HVG41" s="139"/>
      <c r="HVH41" s="139"/>
      <c r="HVI41" s="139"/>
      <c r="HVJ41" s="139"/>
      <c r="HVK41" s="139"/>
      <c r="HVL41" s="139"/>
      <c r="HVM41" s="139"/>
      <c r="HVN41" s="139"/>
      <c r="HVO41" s="139"/>
      <c r="HVP41" s="139"/>
      <c r="HVQ41" s="139"/>
      <c r="HVR41" s="139"/>
      <c r="HVS41" s="139"/>
      <c r="HVT41" s="139"/>
      <c r="HVU41" s="139"/>
      <c r="HVV41" s="139"/>
      <c r="HVW41" s="139"/>
      <c r="HVX41" s="139"/>
      <c r="HVY41" s="139"/>
      <c r="HVZ41" s="139"/>
      <c r="HWA41" s="139"/>
      <c r="HWB41" s="139"/>
      <c r="HWC41" s="139"/>
      <c r="HWD41" s="139"/>
      <c r="HWE41" s="139"/>
      <c r="HWF41" s="139"/>
      <c r="HWG41" s="139"/>
      <c r="HWH41" s="139"/>
      <c r="HWI41" s="139"/>
      <c r="HWJ41" s="139"/>
      <c r="HWK41" s="139"/>
      <c r="HWL41" s="139"/>
      <c r="HWM41" s="139"/>
      <c r="HWN41" s="139"/>
      <c r="HWO41" s="139"/>
      <c r="HWP41" s="139"/>
      <c r="HWQ41" s="139"/>
      <c r="HWR41" s="139"/>
      <c r="HWS41" s="139"/>
      <c r="HWT41" s="139"/>
      <c r="HWU41" s="139"/>
      <c r="HWV41" s="139"/>
      <c r="HWW41" s="139"/>
      <c r="HWX41" s="139"/>
      <c r="HWY41" s="139"/>
      <c r="HWZ41" s="139"/>
      <c r="HXA41" s="139"/>
      <c r="HXB41" s="139"/>
      <c r="HXC41" s="139"/>
      <c r="HXD41" s="139"/>
      <c r="HXE41" s="139"/>
      <c r="HXF41" s="139"/>
      <c r="HXG41" s="139"/>
      <c r="HXH41" s="139"/>
      <c r="HXI41" s="139"/>
      <c r="HXJ41" s="139"/>
      <c r="HXK41" s="139"/>
      <c r="HXL41" s="139"/>
      <c r="HXM41" s="139"/>
      <c r="HXN41" s="139"/>
      <c r="HXO41" s="139"/>
      <c r="HXP41" s="139"/>
      <c r="HXQ41" s="139"/>
      <c r="HXR41" s="139"/>
      <c r="HXS41" s="139"/>
      <c r="HXT41" s="139"/>
      <c r="HXU41" s="139"/>
      <c r="HXV41" s="139"/>
      <c r="HXW41" s="139"/>
      <c r="HXX41" s="139"/>
      <c r="HXY41" s="139"/>
      <c r="HXZ41" s="139"/>
      <c r="HYA41" s="139"/>
      <c r="HYB41" s="139"/>
      <c r="HYC41" s="139"/>
      <c r="HYD41" s="139"/>
      <c r="HYE41" s="139"/>
      <c r="HYF41" s="139"/>
      <c r="HYG41" s="139"/>
      <c r="HYH41" s="139"/>
      <c r="HYI41" s="139"/>
      <c r="HYJ41" s="139"/>
      <c r="HYK41" s="139"/>
      <c r="HYL41" s="139"/>
      <c r="HYM41" s="139"/>
      <c r="HYN41" s="139"/>
      <c r="HYO41" s="139"/>
      <c r="HYP41" s="139"/>
      <c r="HYQ41" s="139"/>
      <c r="HYR41" s="139"/>
      <c r="HYS41" s="139"/>
      <c r="HYT41" s="139"/>
      <c r="HYU41" s="139"/>
      <c r="HYV41" s="139"/>
      <c r="HYW41" s="139"/>
      <c r="HYX41" s="139"/>
      <c r="HYY41" s="139"/>
      <c r="HYZ41" s="139"/>
      <c r="HZA41" s="139"/>
      <c r="HZB41" s="139"/>
      <c r="HZC41" s="139"/>
      <c r="HZD41" s="139"/>
      <c r="HZE41" s="139"/>
      <c r="HZF41" s="139"/>
      <c r="HZG41" s="139"/>
      <c r="HZH41" s="139"/>
      <c r="HZI41" s="139"/>
      <c r="HZJ41" s="139"/>
      <c r="HZK41" s="139"/>
      <c r="HZL41" s="139"/>
      <c r="HZM41" s="139"/>
      <c r="HZN41" s="139"/>
      <c r="HZO41" s="139"/>
      <c r="HZP41" s="139"/>
      <c r="HZQ41" s="139"/>
      <c r="HZR41" s="139"/>
      <c r="HZS41" s="139"/>
      <c r="HZT41" s="139"/>
      <c r="HZU41" s="139"/>
      <c r="HZV41" s="139"/>
      <c r="HZW41" s="139"/>
      <c r="HZX41" s="139"/>
      <c r="HZY41" s="139"/>
      <c r="HZZ41" s="139"/>
      <c r="IAA41" s="139"/>
      <c r="IAB41" s="139"/>
      <c r="IAC41" s="139"/>
      <c r="IAD41" s="139"/>
      <c r="IAE41" s="139"/>
      <c r="IAF41" s="139"/>
      <c r="IAG41" s="139"/>
      <c r="IAH41" s="139"/>
      <c r="IAI41" s="139"/>
      <c r="IAJ41" s="139"/>
      <c r="IAK41" s="139"/>
      <c r="IAL41" s="139"/>
      <c r="IAM41" s="139"/>
      <c r="IAN41" s="139"/>
      <c r="IAO41" s="139"/>
      <c r="IAP41" s="139"/>
      <c r="IAQ41" s="139"/>
      <c r="IAR41" s="139"/>
      <c r="IAS41" s="139"/>
      <c r="IAT41" s="139"/>
      <c r="IAU41" s="139"/>
      <c r="IAV41" s="139"/>
      <c r="IAW41" s="139"/>
      <c r="IAX41" s="139"/>
      <c r="IAY41" s="139"/>
      <c r="IAZ41" s="139"/>
      <c r="IBA41" s="139"/>
      <c r="IBB41" s="139"/>
      <c r="IBC41" s="139"/>
      <c r="IBD41" s="139"/>
      <c r="IBE41" s="139"/>
      <c r="IBF41" s="139"/>
      <c r="IBG41" s="139"/>
      <c r="IBH41" s="139"/>
      <c r="IBI41" s="139"/>
      <c r="IBJ41" s="139"/>
      <c r="IBK41" s="139"/>
      <c r="IBL41" s="139"/>
      <c r="IBM41" s="139"/>
      <c r="IBN41" s="139"/>
      <c r="IBO41" s="139"/>
      <c r="IBP41" s="139"/>
      <c r="IBQ41" s="139"/>
      <c r="IBR41" s="139"/>
      <c r="IBS41" s="139"/>
      <c r="IBT41" s="139"/>
      <c r="IBU41" s="139"/>
      <c r="IBV41" s="139"/>
      <c r="IBW41" s="139"/>
      <c r="IBX41" s="139"/>
      <c r="IBY41" s="139"/>
      <c r="IBZ41" s="139"/>
      <c r="ICA41" s="139"/>
      <c r="ICB41" s="139"/>
      <c r="ICC41" s="139"/>
      <c r="ICD41" s="139"/>
      <c r="ICE41" s="139"/>
      <c r="ICF41" s="139"/>
      <c r="ICG41" s="139"/>
      <c r="ICH41" s="139"/>
      <c r="ICI41" s="139"/>
      <c r="ICJ41" s="139"/>
      <c r="ICK41" s="139"/>
      <c r="ICL41" s="139"/>
      <c r="ICM41" s="139"/>
      <c r="ICN41" s="139"/>
      <c r="ICO41" s="139"/>
      <c r="ICP41" s="139"/>
      <c r="ICQ41" s="139"/>
      <c r="ICR41" s="139"/>
      <c r="ICS41" s="139"/>
      <c r="ICT41" s="139"/>
      <c r="ICU41" s="139"/>
      <c r="ICV41" s="139"/>
      <c r="ICW41" s="139"/>
      <c r="ICX41" s="139"/>
      <c r="ICY41" s="139"/>
      <c r="ICZ41" s="139"/>
      <c r="IDA41" s="139"/>
      <c r="IDB41" s="139"/>
      <c r="IDC41" s="139"/>
      <c r="IDD41" s="139"/>
      <c r="IDE41" s="139"/>
      <c r="IDF41" s="139"/>
      <c r="IDG41" s="139"/>
      <c r="IDH41" s="139"/>
      <c r="IDI41" s="139"/>
      <c r="IDJ41" s="139"/>
      <c r="IDK41" s="139"/>
      <c r="IDL41" s="139"/>
      <c r="IDM41" s="139"/>
      <c r="IDN41" s="139"/>
      <c r="IDO41" s="139"/>
      <c r="IDP41" s="139"/>
      <c r="IDQ41" s="139"/>
      <c r="IDR41" s="139"/>
      <c r="IDS41" s="139"/>
      <c r="IDT41" s="139"/>
      <c r="IDU41" s="139"/>
      <c r="IDV41" s="139"/>
      <c r="IDW41" s="139"/>
      <c r="IDX41" s="139"/>
      <c r="IDY41" s="139"/>
      <c r="IDZ41" s="139"/>
      <c r="IEA41" s="139"/>
      <c r="IEB41" s="139"/>
      <c r="IEC41" s="139"/>
      <c r="IED41" s="139"/>
      <c r="IEE41" s="139"/>
      <c r="IEF41" s="139"/>
      <c r="IEG41" s="139"/>
      <c r="IEH41" s="139"/>
      <c r="IEI41" s="139"/>
      <c r="IEJ41" s="139"/>
      <c r="IEK41" s="139"/>
      <c r="IEL41" s="139"/>
      <c r="IEM41" s="139"/>
      <c r="IEN41" s="139"/>
      <c r="IEO41" s="139"/>
      <c r="IEP41" s="139"/>
      <c r="IEQ41" s="139"/>
      <c r="IER41" s="139"/>
      <c r="IES41" s="139"/>
      <c r="IET41" s="139"/>
      <c r="IEU41" s="139"/>
      <c r="IEV41" s="139"/>
      <c r="IEW41" s="139"/>
      <c r="IEX41" s="139"/>
      <c r="IEY41" s="139"/>
      <c r="IEZ41" s="139"/>
      <c r="IFA41" s="139"/>
      <c r="IFB41" s="139"/>
      <c r="IFC41" s="139"/>
      <c r="IFD41" s="139"/>
      <c r="IFE41" s="139"/>
      <c r="IFF41" s="139"/>
      <c r="IFG41" s="139"/>
      <c r="IFH41" s="139"/>
      <c r="IFI41" s="139"/>
      <c r="IFJ41" s="139"/>
      <c r="IFK41" s="139"/>
      <c r="IFL41" s="139"/>
      <c r="IFM41" s="139"/>
      <c r="IFN41" s="139"/>
      <c r="IFO41" s="139"/>
      <c r="IFP41" s="139"/>
      <c r="IFQ41" s="139"/>
      <c r="IFR41" s="139"/>
      <c r="IFS41" s="139"/>
      <c r="IFT41" s="139"/>
      <c r="IFU41" s="139"/>
      <c r="IFV41" s="139"/>
      <c r="IFW41" s="139"/>
      <c r="IFX41" s="139"/>
      <c r="IFY41" s="139"/>
      <c r="IFZ41" s="139"/>
      <c r="IGA41" s="139"/>
      <c r="IGB41" s="139"/>
      <c r="IGC41" s="139"/>
      <c r="IGD41" s="139"/>
      <c r="IGE41" s="139"/>
      <c r="IGF41" s="139"/>
      <c r="IGG41" s="139"/>
      <c r="IGH41" s="139"/>
      <c r="IGI41" s="139"/>
      <c r="IGJ41" s="139"/>
      <c r="IGK41" s="139"/>
      <c r="IGL41" s="139"/>
      <c r="IGM41" s="139"/>
      <c r="IGN41" s="139"/>
      <c r="IGO41" s="139"/>
      <c r="IGP41" s="139"/>
      <c r="IGQ41" s="139"/>
      <c r="IGR41" s="139"/>
      <c r="IGS41" s="139"/>
      <c r="IGT41" s="139"/>
      <c r="IGU41" s="139"/>
      <c r="IGV41" s="139"/>
      <c r="IGW41" s="139"/>
      <c r="IGX41" s="139"/>
      <c r="IGY41" s="139"/>
      <c r="IGZ41" s="139"/>
      <c r="IHA41" s="139"/>
      <c r="IHB41" s="139"/>
      <c r="IHC41" s="139"/>
      <c r="IHD41" s="139"/>
      <c r="IHE41" s="139"/>
      <c r="IHF41" s="139"/>
      <c r="IHG41" s="139"/>
      <c r="IHH41" s="139"/>
      <c r="IHI41" s="139"/>
      <c r="IHJ41" s="139"/>
      <c r="IHK41" s="139"/>
      <c r="IHL41" s="139"/>
      <c r="IHM41" s="139"/>
      <c r="IHN41" s="139"/>
      <c r="IHO41" s="139"/>
      <c r="IHP41" s="139"/>
      <c r="IHQ41" s="139"/>
      <c r="IHR41" s="139"/>
      <c r="IHS41" s="139"/>
      <c r="IHT41" s="139"/>
      <c r="IHU41" s="139"/>
      <c r="IHV41" s="139"/>
      <c r="IHW41" s="139"/>
      <c r="IHX41" s="139"/>
      <c r="IHY41" s="139"/>
      <c r="IHZ41" s="139"/>
      <c r="IIA41" s="139"/>
      <c r="IIB41" s="139"/>
      <c r="IIC41" s="139"/>
      <c r="IID41" s="139"/>
      <c r="IIE41" s="139"/>
      <c r="IIF41" s="139"/>
      <c r="IIG41" s="139"/>
      <c r="IIH41" s="139"/>
      <c r="III41" s="139"/>
      <c r="IIJ41" s="139"/>
      <c r="IIK41" s="139"/>
      <c r="IIL41" s="139"/>
      <c r="IIM41" s="139"/>
      <c r="IIN41" s="139"/>
      <c r="IIO41" s="139"/>
      <c r="IIP41" s="139"/>
      <c r="IIQ41" s="139"/>
      <c r="IIR41" s="139"/>
      <c r="IIS41" s="139"/>
      <c r="IIT41" s="139"/>
      <c r="IIU41" s="139"/>
      <c r="IIV41" s="139"/>
      <c r="IIW41" s="139"/>
      <c r="IIX41" s="139"/>
      <c r="IIY41" s="139"/>
      <c r="IIZ41" s="139"/>
      <c r="IJA41" s="139"/>
      <c r="IJB41" s="139"/>
      <c r="IJC41" s="139"/>
      <c r="IJD41" s="139"/>
      <c r="IJE41" s="139"/>
      <c r="IJF41" s="139"/>
      <c r="IJG41" s="139"/>
      <c r="IJH41" s="139"/>
      <c r="IJI41" s="139"/>
      <c r="IJJ41" s="139"/>
      <c r="IJK41" s="139"/>
      <c r="IJL41" s="139"/>
      <c r="IJM41" s="139"/>
      <c r="IJN41" s="139"/>
      <c r="IJO41" s="139"/>
      <c r="IJP41" s="139"/>
      <c r="IJQ41" s="139"/>
      <c r="IJR41" s="139"/>
      <c r="IJS41" s="139"/>
      <c r="IJT41" s="139"/>
      <c r="IJU41" s="139"/>
      <c r="IJV41" s="139"/>
      <c r="IJW41" s="139"/>
      <c r="IJX41" s="139"/>
      <c r="IJY41" s="139"/>
      <c r="IJZ41" s="139"/>
      <c r="IKA41" s="139"/>
      <c r="IKB41" s="139"/>
      <c r="IKC41" s="139"/>
      <c r="IKD41" s="139"/>
      <c r="IKE41" s="139"/>
      <c r="IKF41" s="139"/>
      <c r="IKG41" s="139"/>
      <c r="IKH41" s="139"/>
      <c r="IKI41" s="139"/>
      <c r="IKJ41" s="139"/>
      <c r="IKK41" s="139"/>
      <c r="IKL41" s="139"/>
      <c r="IKM41" s="139"/>
      <c r="IKN41" s="139"/>
      <c r="IKO41" s="139"/>
      <c r="IKP41" s="139"/>
      <c r="IKQ41" s="139"/>
      <c r="IKR41" s="139"/>
      <c r="IKS41" s="139"/>
      <c r="IKT41" s="139"/>
      <c r="IKU41" s="139"/>
      <c r="IKV41" s="139"/>
      <c r="IKW41" s="139"/>
      <c r="IKX41" s="139"/>
      <c r="IKY41" s="139"/>
      <c r="IKZ41" s="139"/>
      <c r="ILA41" s="139"/>
      <c r="ILB41" s="139"/>
      <c r="ILC41" s="139"/>
      <c r="ILD41" s="139"/>
      <c r="ILE41" s="139"/>
      <c r="ILF41" s="139"/>
      <c r="ILG41" s="139"/>
      <c r="ILH41" s="139"/>
      <c r="ILI41" s="139"/>
      <c r="ILJ41" s="139"/>
      <c r="ILK41" s="139"/>
      <c r="ILL41" s="139"/>
      <c r="ILM41" s="139"/>
      <c r="ILN41" s="139"/>
      <c r="ILO41" s="139"/>
      <c r="ILP41" s="139"/>
      <c r="ILQ41" s="139"/>
      <c r="ILR41" s="139"/>
      <c r="ILS41" s="139"/>
      <c r="ILT41" s="139"/>
      <c r="ILU41" s="139"/>
      <c r="ILV41" s="139"/>
      <c r="ILW41" s="139"/>
      <c r="ILX41" s="139"/>
      <c r="ILY41" s="139"/>
      <c r="ILZ41" s="139"/>
      <c r="IMA41" s="139"/>
      <c r="IMB41" s="139"/>
      <c r="IMC41" s="139"/>
      <c r="IMD41" s="139"/>
      <c r="IME41" s="139"/>
      <c r="IMF41" s="139"/>
      <c r="IMG41" s="139"/>
      <c r="IMH41" s="139"/>
      <c r="IMI41" s="139"/>
      <c r="IMJ41" s="139"/>
      <c r="IMK41" s="139"/>
      <c r="IML41" s="139"/>
      <c r="IMM41" s="139"/>
      <c r="IMN41" s="139"/>
      <c r="IMO41" s="139"/>
      <c r="IMP41" s="139"/>
      <c r="IMQ41" s="139"/>
      <c r="IMR41" s="139"/>
      <c r="IMS41" s="139"/>
      <c r="IMT41" s="139"/>
      <c r="IMU41" s="139"/>
      <c r="IMV41" s="139"/>
      <c r="IMW41" s="139"/>
      <c r="IMX41" s="139"/>
      <c r="IMY41" s="139"/>
      <c r="IMZ41" s="139"/>
      <c r="INA41" s="139"/>
      <c r="INB41" s="139"/>
      <c r="INC41" s="139"/>
      <c r="IND41" s="139"/>
      <c r="INE41" s="139"/>
      <c r="INF41" s="139"/>
      <c r="ING41" s="139"/>
      <c r="INH41" s="139"/>
      <c r="INI41" s="139"/>
      <c r="INJ41" s="139"/>
      <c r="INK41" s="139"/>
      <c r="INL41" s="139"/>
      <c r="INM41" s="139"/>
      <c r="INN41" s="139"/>
      <c r="INO41" s="139"/>
      <c r="INP41" s="139"/>
      <c r="INQ41" s="139"/>
      <c r="INR41" s="139"/>
      <c r="INS41" s="139"/>
      <c r="INT41" s="139"/>
      <c r="INU41" s="139"/>
      <c r="INV41" s="139"/>
      <c r="INW41" s="139"/>
      <c r="INX41" s="139"/>
      <c r="INY41" s="139"/>
      <c r="INZ41" s="139"/>
      <c r="IOA41" s="139"/>
      <c r="IOB41" s="139"/>
      <c r="IOC41" s="139"/>
      <c r="IOD41" s="139"/>
      <c r="IOE41" s="139"/>
      <c r="IOF41" s="139"/>
      <c r="IOG41" s="139"/>
      <c r="IOH41" s="139"/>
      <c r="IOI41" s="139"/>
      <c r="IOJ41" s="139"/>
      <c r="IOK41" s="139"/>
      <c r="IOL41" s="139"/>
      <c r="IOM41" s="139"/>
      <c r="ION41" s="139"/>
      <c r="IOO41" s="139"/>
      <c r="IOP41" s="139"/>
      <c r="IOQ41" s="139"/>
      <c r="IOR41" s="139"/>
      <c r="IOS41" s="139"/>
      <c r="IOT41" s="139"/>
      <c r="IOU41" s="139"/>
      <c r="IOV41" s="139"/>
      <c r="IOW41" s="139"/>
      <c r="IOX41" s="139"/>
      <c r="IOY41" s="139"/>
      <c r="IOZ41" s="139"/>
      <c r="IPA41" s="139"/>
      <c r="IPB41" s="139"/>
      <c r="IPC41" s="139"/>
      <c r="IPD41" s="139"/>
      <c r="IPE41" s="139"/>
      <c r="IPF41" s="139"/>
      <c r="IPG41" s="139"/>
      <c r="IPH41" s="139"/>
      <c r="IPI41" s="139"/>
      <c r="IPJ41" s="139"/>
      <c r="IPK41" s="139"/>
      <c r="IPL41" s="139"/>
      <c r="IPM41" s="139"/>
      <c r="IPN41" s="139"/>
      <c r="IPO41" s="139"/>
      <c r="IPP41" s="139"/>
      <c r="IPQ41" s="139"/>
      <c r="IPR41" s="139"/>
      <c r="IPS41" s="139"/>
      <c r="IPT41" s="139"/>
      <c r="IPU41" s="139"/>
      <c r="IPV41" s="139"/>
      <c r="IPW41" s="139"/>
      <c r="IPX41" s="139"/>
      <c r="IPY41" s="139"/>
      <c r="IPZ41" s="139"/>
      <c r="IQA41" s="139"/>
      <c r="IQB41" s="139"/>
      <c r="IQC41" s="139"/>
      <c r="IQD41" s="139"/>
      <c r="IQE41" s="139"/>
      <c r="IQF41" s="139"/>
      <c r="IQG41" s="139"/>
      <c r="IQH41" s="139"/>
      <c r="IQI41" s="139"/>
      <c r="IQJ41" s="139"/>
      <c r="IQK41" s="139"/>
      <c r="IQL41" s="139"/>
      <c r="IQM41" s="139"/>
      <c r="IQN41" s="139"/>
      <c r="IQO41" s="139"/>
      <c r="IQP41" s="139"/>
      <c r="IQQ41" s="139"/>
      <c r="IQR41" s="139"/>
      <c r="IQS41" s="139"/>
      <c r="IQT41" s="139"/>
      <c r="IQU41" s="139"/>
      <c r="IQV41" s="139"/>
      <c r="IQW41" s="139"/>
      <c r="IQX41" s="139"/>
      <c r="IQY41" s="139"/>
      <c r="IQZ41" s="139"/>
      <c r="IRA41" s="139"/>
      <c r="IRB41" s="139"/>
      <c r="IRC41" s="139"/>
      <c r="IRD41" s="139"/>
      <c r="IRE41" s="139"/>
      <c r="IRF41" s="139"/>
      <c r="IRG41" s="139"/>
      <c r="IRH41" s="139"/>
      <c r="IRI41" s="139"/>
      <c r="IRJ41" s="139"/>
      <c r="IRK41" s="139"/>
      <c r="IRL41" s="139"/>
      <c r="IRM41" s="139"/>
      <c r="IRN41" s="139"/>
      <c r="IRO41" s="139"/>
      <c r="IRP41" s="139"/>
      <c r="IRQ41" s="139"/>
      <c r="IRR41" s="139"/>
      <c r="IRS41" s="139"/>
      <c r="IRT41" s="139"/>
      <c r="IRU41" s="139"/>
      <c r="IRV41" s="139"/>
      <c r="IRW41" s="139"/>
      <c r="IRX41" s="139"/>
      <c r="IRY41" s="139"/>
      <c r="IRZ41" s="139"/>
      <c r="ISA41" s="139"/>
      <c r="ISB41" s="139"/>
      <c r="ISC41" s="139"/>
      <c r="ISD41" s="139"/>
      <c r="ISE41" s="139"/>
      <c r="ISF41" s="139"/>
      <c r="ISG41" s="139"/>
      <c r="ISH41" s="139"/>
      <c r="ISI41" s="139"/>
      <c r="ISJ41" s="139"/>
      <c r="ISK41" s="139"/>
      <c r="ISL41" s="139"/>
      <c r="ISM41" s="139"/>
      <c r="ISN41" s="139"/>
      <c r="ISO41" s="139"/>
      <c r="ISP41" s="139"/>
      <c r="ISQ41" s="139"/>
      <c r="ISR41" s="139"/>
      <c r="ISS41" s="139"/>
      <c r="IST41" s="139"/>
      <c r="ISU41" s="139"/>
      <c r="ISV41" s="139"/>
      <c r="ISW41" s="139"/>
      <c r="ISX41" s="139"/>
      <c r="ISY41" s="139"/>
      <c r="ISZ41" s="139"/>
      <c r="ITA41" s="139"/>
      <c r="ITB41" s="139"/>
      <c r="ITC41" s="139"/>
      <c r="ITD41" s="139"/>
      <c r="ITE41" s="139"/>
      <c r="ITF41" s="139"/>
      <c r="ITG41" s="139"/>
      <c r="ITH41" s="139"/>
      <c r="ITI41" s="139"/>
      <c r="ITJ41" s="139"/>
      <c r="ITK41" s="139"/>
      <c r="ITL41" s="139"/>
      <c r="ITM41" s="139"/>
      <c r="ITN41" s="139"/>
      <c r="ITO41" s="139"/>
      <c r="ITP41" s="139"/>
      <c r="ITQ41" s="139"/>
      <c r="ITR41" s="139"/>
      <c r="ITS41" s="139"/>
      <c r="ITT41" s="139"/>
      <c r="ITU41" s="139"/>
      <c r="ITV41" s="139"/>
      <c r="ITW41" s="139"/>
      <c r="ITX41" s="139"/>
      <c r="ITY41" s="139"/>
      <c r="ITZ41" s="139"/>
      <c r="IUA41" s="139"/>
      <c r="IUB41" s="139"/>
      <c r="IUC41" s="139"/>
      <c r="IUD41" s="139"/>
      <c r="IUE41" s="139"/>
      <c r="IUF41" s="139"/>
      <c r="IUG41" s="139"/>
      <c r="IUH41" s="139"/>
      <c r="IUI41" s="139"/>
      <c r="IUJ41" s="139"/>
      <c r="IUK41" s="139"/>
      <c r="IUL41" s="139"/>
      <c r="IUM41" s="139"/>
      <c r="IUN41" s="139"/>
      <c r="IUO41" s="139"/>
      <c r="IUP41" s="139"/>
      <c r="IUQ41" s="139"/>
      <c r="IUR41" s="139"/>
      <c r="IUS41" s="139"/>
      <c r="IUT41" s="139"/>
      <c r="IUU41" s="139"/>
      <c r="IUV41" s="139"/>
      <c r="IUW41" s="139"/>
      <c r="IUX41" s="139"/>
      <c r="IUY41" s="139"/>
      <c r="IUZ41" s="139"/>
      <c r="IVA41" s="139"/>
      <c r="IVB41" s="139"/>
      <c r="IVC41" s="139"/>
      <c r="IVD41" s="139"/>
      <c r="IVE41" s="139"/>
      <c r="IVF41" s="139"/>
      <c r="IVG41" s="139"/>
      <c r="IVH41" s="139"/>
      <c r="IVI41" s="139"/>
      <c r="IVJ41" s="139"/>
      <c r="IVK41" s="139"/>
      <c r="IVL41" s="139"/>
      <c r="IVM41" s="139"/>
      <c r="IVN41" s="139"/>
      <c r="IVO41" s="139"/>
      <c r="IVP41" s="139"/>
      <c r="IVQ41" s="139"/>
      <c r="IVR41" s="139"/>
      <c r="IVS41" s="139"/>
      <c r="IVT41" s="139"/>
      <c r="IVU41" s="139"/>
      <c r="IVV41" s="139"/>
      <c r="IVW41" s="139"/>
      <c r="IVX41" s="139"/>
      <c r="IVY41" s="139"/>
      <c r="IVZ41" s="139"/>
      <c r="IWA41" s="139"/>
      <c r="IWB41" s="139"/>
      <c r="IWC41" s="139"/>
      <c r="IWD41" s="139"/>
      <c r="IWE41" s="139"/>
      <c r="IWF41" s="139"/>
      <c r="IWG41" s="139"/>
      <c r="IWH41" s="139"/>
      <c r="IWI41" s="139"/>
      <c r="IWJ41" s="139"/>
      <c r="IWK41" s="139"/>
      <c r="IWL41" s="139"/>
      <c r="IWM41" s="139"/>
      <c r="IWN41" s="139"/>
      <c r="IWO41" s="139"/>
      <c r="IWP41" s="139"/>
      <c r="IWQ41" s="139"/>
      <c r="IWR41" s="139"/>
      <c r="IWS41" s="139"/>
      <c r="IWT41" s="139"/>
      <c r="IWU41" s="139"/>
      <c r="IWV41" s="139"/>
      <c r="IWW41" s="139"/>
      <c r="IWX41" s="139"/>
      <c r="IWY41" s="139"/>
      <c r="IWZ41" s="139"/>
      <c r="IXA41" s="139"/>
      <c r="IXB41" s="139"/>
      <c r="IXC41" s="139"/>
      <c r="IXD41" s="139"/>
      <c r="IXE41" s="139"/>
      <c r="IXF41" s="139"/>
      <c r="IXG41" s="139"/>
      <c r="IXH41" s="139"/>
      <c r="IXI41" s="139"/>
      <c r="IXJ41" s="139"/>
      <c r="IXK41" s="139"/>
      <c r="IXL41" s="139"/>
      <c r="IXM41" s="139"/>
      <c r="IXN41" s="139"/>
      <c r="IXO41" s="139"/>
      <c r="IXP41" s="139"/>
      <c r="IXQ41" s="139"/>
      <c r="IXR41" s="139"/>
      <c r="IXS41" s="139"/>
      <c r="IXT41" s="139"/>
      <c r="IXU41" s="139"/>
      <c r="IXV41" s="139"/>
      <c r="IXW41" s="139"/>
      <c r="IXX41" s="139"/>
      <c r="IXY41" s="139"/>
      <c r="IXZ41" s="139"/>
      <c r="IYA41" s="139"/>
      <c r="IYB41" s="139"/>
      <c r="IYC41" s="139"/>
      <c r="IYD41" s="139"/>
      <c r="IYE41" s="139"/>
      <c r="IYF41" s="139"/>
      <c r="IYG41" s="139"/>
      <c r="IYH41" s="139"/>
      <c r="IYI41" s="139"/>
      <c r="IYJ41" s="139"/>
      <c r="IYK41" s="139"/>
      <c r="IYL41" s="139"/>
      <c r="IYM41" s="139"/>
      <c r="IYN41" s="139"/>
      <c r="IYO41" s="139"/>
      <c r="IYP41" s="139"/>
      <c r="IYQ41" s="139"/>
      <c r="IYR41" s="139"/>
      <c r="IYS41" s="139"/>
      <c r="IYT41" s="139"/>
      <c r="IYU41" s="139"/>
      <c r="IYV41" s="139"/>
      <c r="IYW41" s="139"/>
      <c r="IYX41" s="139"/>
      <c r="IYY41" s="139"/>
      <c r="IYZ41" s="139"/>
      <c r="IZA41" s="139"/>
      <c r="IZB41" s="139"/>
      <c r="IZC41" s="139"/>
      <c r="IZD41" s="139"/>
      <c r="IZE41" s="139"/>
      <c r="IZF41" s="139"/>
      <c r="IZG41" s="139"/>
      <c r="IZH41" s="139"/>
      <c r="IZI41" s="139"/>
      <c r="IZJ41" s="139"/>
      <c r="IZK41" s="139"/>
      <c r="IZL41" s="139"/>
      <c r="IZM41" s="139"/>
      <c r="IZN41" s="139"/>
      <c r="IZO41" s="139"/>
      <c r="IZP41" s="139"/>
      <c r="IZQ41" s="139"/>
      <c r="IZR41" s="139"/>
      <c r="IZS41" s="139"/>
      <c r="IZT41" s="139"/>
      <c r="IZU41" s="139"/>
      <c r="IZV41" s="139"/>
      <c r="IZW41" s="139"/>
      <c r="IZX41" s="139"/>
      <c r="IZY41" s="139"/>
      <c r="IZZ41" s="139"/>
      <c r="JAA41" s="139"/>
      <c r="JAB41" s="139"/>
      <c r="JAC41" s="139"/>
      <c r="JAD41" s="139"/>
      <c r="JAE41" s="139"/>
      <c r="JAF41" s="139"/>
      <c r="JAG41" s="139"/>
      <c r="JAH41" s="139"/>
      <c r="JAI41" s="139"/>
      <c r="JAJ41" s="139"/>
      <c r="JAK41" s="139"/>
      <c r="JAL41" s="139"/>
      <c r="JAM41" s="139"/>
      <c r="JAN41" s="139"/>
      <c r="JAO41" s="139"/>
      <c r="JAP41" s="139"/>
      <c r="JAQ41" s="139"/>
      <c r="JAR41" s="139"/>
      <c r="JAS41" s="139"/>
      <c r="JAT41" s="139"/>
      <c r="JAU41" s="139"/>
      <c r="JAV41" s="139"/>
      <c r="JAW41" s="139"/>
      <c r="JAX41" s="139"/>
      <c r="JAY41" s="139"/>
      <c r="JAZ41" s="139"/>
      <c r="JBA41" s="139"/>
      <c r="JBB41" s="139"/>
      <c r="JBC41" s="139"/>
      <c r="JBD41" s="139"/>
      <c r="JBE41" s="139"/>
      <c r="JBF41" s="139"/>
      <c r="JBG41" s="139"/>
      <c r="JBH41" s="139"/>
      <c r="JBI41" s="139"/>
      <c r="JBJ41" s="139"/>
      <c r="JBK41" s="139"/>
      <c r="JBL41" s="139"/>
      <c r="JBM41" s="139"/>
      <c r="JBN41" s="139"/>
      <c r="JBO41" s="139"/>
      <c r="JBP41" s="139"/>
      <c r="JBQ41" s="139"/>
      <c r="JBR41" s="139"/>
      <c r="JBS41" s="139"/>
      <c r="JBT41" s="139"/>
      <c r="JBU41" s="139"/>
      <c r="JBV41" s="139"/>
      <c r="JBW41" s="139"/>
      <c r="JBX41" s="139"/>
      <c r="JBY41" s="139"/>
      <c r="JBZ41" s="139"/>
      <c r="JCA41" s="139"/>
      <c r="JCB41" s="139"/>
      <c r="JCC41" s="139"/>
      <c r="JCD41" s="139"/>
      <c r="JCE41" s="139"/>
      <c r="JCF41" s="139"/>
      <c r="JCG41" s="139"/>
      <c r="JCH41" s="139"/>
      <c r="JCI41" s="139"/>
      <c r="JCJ41" s="139"/>
      <c r="JCK41" s="139"/>
      <c r="JCL41" s="139"/>
      <c r="JCM41" s="139"/>
      <c r="JCN41" s="139"/>
      <c r="JCO41" s="139"/>
      <c r="JCP41" s="139"/>
      <c r="JCQ41" s="139"/>
      <c r="JCR41" s="139"/>
      <c r="JCS41" s="139"/>
      <c r="JCT41" s="139"/>
      <c r="JCU41" s="139"/>
      <c r="JCV41" s="139"/>
      <c r="JCW41" s="139"/>
      <c r="JCX41" s="139"/>
      <c r="JCY41" s="139"/>
      <c r="JCZ41" s="139"/>
      <c r="JDA41" s="139"/>
      <c r="JDB41" s="139"/>
      <c r="JDC41" s="139"/>
      <c r="JDD41" s="139"/>
      <c r="JDE41" s="139"/>
      <c r="JDF41" s="139"/>
      <c r="JDG41" s="139"/>
      <c r="JDH41" s="139"/>
      <c r="JDI41" s="139"/>
      <c r="JDJ41" s="139"/>
      <c r="JDK41" s="139"/>
      <c r="JDL41" s="139"/>
      <c r="JDM41" s="139"/>
      <c r="JDN41" s="139"/>
      <c r="JDO41" s="139"/>
      <c r="JDP41" s="139"/>
      <c r="JDQ41" s="139"/>
      <c r="JDR41" s="139"/>
      <c r="JDS41" s="139"/>
      <c r="JDT41" s="139"/>
      <c r="JDU41" s="139"/>
      <c r="JDV41" s="139"/>
      <c r="JDW41" s="139"/>
      <c r="JDX41" s="139"/>
      <c r="JDY41" s="139"/>
      <c r="JDZ41" s="139"/>
      <c r="JEA41" s="139"/>
      <c r="JEB41" s="139"/>
      <c r="JEC41" s="139"/>
      <c r="JED41" s="139"/>
      <c r="JEE41" s="139"/>
      <c r="JEF41" s="139"/>
      <c r="JEG41" s="139"/>
      <c r="JEH41" s="139"/>
      <c r="JEI41" s="139"/>
      <c r="JEJ41" s="139"/>
      <c r="JEK41" s="139"/>
      <c r="JEL41" s="139"/>
      <c r="JEM41" s="139"/>
      <c r="JEN41" s="139"/>
      <c r="JEO41" s="139"/>
      <c r="JEP41" s="139"/>
      <c r="JEQ41" s="139"/>
      <c r="JER41" s="139"/>
      <c r="JES41" s="139"/>
      <c r="JET41" s="139"/>
      <c r="JEU41" s="139"/>
      <c r="JEV41" s="139"/>
      <c r="JEW41" s="139"/>
      <c r="JEX41" s="139"/>
      <c r="JEY41" s="139"/>
      <c r="JEZ41" s="139"/>
      <c r="JFA41" s="139"/>
      <c r="JFB41" s="139"/>
      <c r="JFC41" s="139"/>
      <c r="JFD41" s="139"/>
      <c r="JFE41" s="139"/>
      <c r="JFF41" s="139"/>
      <c r="JFG41" s="139"/>
      <c r="JFH41" s="139"/>
      <c r="JFI41" s="139"/>
      <c r="JFJ41" s="139"/>
      <c r="JFK41" s="139"/>
      <c r="JFL41" s="139"/>
      <c r="JFM41" s="139"/>
      <c r="JFN41" s="139"/>
      <c r="JFO41" s="139"/>
      <c r="JFP41" s="139"/>
      <c r="JFQ41" s="139"/>
      <c r="JFR41" s="139"/>
      <c r="JFS41" s="139"/>
      <c r="JFT41" s="139"/>
      <c r="JFU41" s="139"/>
      <c r="JFV41" s="139"/>
      <c r="JFW41" s="139"/>
      <c r="JFX41" s="139"/>
      <c r="JFY41" s="139"/>
      <c r="JFZ41" s="139"/>
      <c r="JGA41" s="139"/>
      <c r="JGB41" s="139"/>
      <c r="JGC41" s="139"/>
      <c r="JGD41" s="139"/>
      <c r="JGE41" s="139"/>
      <c r="JGF41" s="139"/>
      <c r="JGG41" s="139"/>
      <c r="JGH41" s="139"/>
      <c r="JGI41" s="139"/>
      <c r="JGJ41" s="139"/>
      <c r="JGK41" s="139"/>
      <c r="JGL41" s="139"/>
      <c r="JGM41" s="139"/>
      <c r="JGN41" s="139"/>
      <c r="JGO41" s="139"/>
      <c r="JGP41" s="139"/>
      <c r="JGQ41" s="139"/>
      <c r="JGR41" s="139"/>
      <c r="JGS41" s="139"/>
      <c r="JGT41" s="139"/>
      <c r="JGU41" s="139"/>
      <c r="JGV41" s="139"/>
      <c r="JGW41" s="139"/>
      <c r="JGX41" s="139"/>
      <c r="JGY41" s="139"/>
      <c r="JGZ41" s="139"/>
      <c r="JHA41" s="139"/>
      <c r="JHB41" s="139"/>
      <c r="JHC41" s="139"/>
      <c r="JHD41" s="139"/>
      <c r="JHE41" s="139"/>
      <c r="JHF41" s="139"/>
      <c r="JHG41" s="139"/>
      <c r="JHH41" s="139"/>
      <c r="JHI41" s="139"/>
      <c r="JHJ41" s="139"/>
      <c r="JHK41" s="139"/>
      <c r="JHL41" s="139"/>
      <c r="JHM41" s="139"/>
      <c r="JHN41" s="139"/>
      <c r="JHO41" s="139"/>
      <c r="JHP41" s="139"/>
      <c r="JHQ41" s="139"/>
      <c r="JHR41" s="139"/>
      <c r="JHS41" s="139"/>
      <c r="JHT41" s="139"/>
      <c r="JHU41" s="139"/>
      <c r="JHV41" s="139"/>
      <c r="JHW41" s="139"/>
      <c r="JHX41" s="139"/>
      <c r="JHY41" s="139"/>
      <c r="JHZ41" s="139"/>
      <c r="JIA41" s="139"/>
      <c r="JIB41" s="139"/>
      <c r="JIC41" s="139"/>
      <c r="JID41" s="139"/>
      <c r="JIE41" s="139"/>
      <c r="JIF41" s="139"/>
      <c r="JIG41" s="139"/>
      <c r="JIH41" s="139"/>
      <c r="JII41" s="139"/>
      <c r="JIJ41" s="139"/>
      <c r="JIK41" s="139"/>
      <c r="JIL41" s="139"/>
      <c r="JIM41" s="139"/>
      <c r="JIN41" s="139"/>
      <c r="JIO41" s="139"/>
      <c r="JIP41" s="139"/>
      <c r="JIQ41" s="139"/>
      <c r="JIR41" s="139"/>
      <c r="JIS41" s="139"/>
      <c r="JIT41" s="139"/>
      <c r="JIU41" s="139"/>
      <c r="JIV41" s="139"/>
      <c r="JIW41" s="139"/>
      <c r="JIX41" s="139"/>
      <c r="JIY41" s="139"/>
      <c r="JIZ41" s="139"/>
      <c r="JJA41" s="139"/>
      <c r="JJB41" s="139"/>
      <c r="JJC41" s="139"/>
      <c r="JJD41" s="139"/>
      <c r="JJE41" s="139"/>
      <c r="JJF41" s="139"/>
      <c r="JJG41" s="139"/>
      <c r="JJH41" s="139"/>
      <c r="JJI41" s="139"/>
      <c r="JJJ41" s="139"/>
      <c r="JJK41" s="139"/>
      <c r="JJL41" s="139"/>
      <c r="JJM41" s="139"/>
      <c r="JJN41" s="139"/>
      <c r="JJO41" s="139"/>
      <c r="JJP41" s="139"/>
      <c r="JJQ41" s="139"/>
      <c r="JJR41" s="139"/>
      <c r="JJS41" s="139"/>
      <c r="JJT41" s="139"/>
      <c r="JJU41" s="139"/>
      <c r="JJV41" s="139"/>
      <c r="JJW41" s="139"/>
      <c r="JJX41" s="139"/>
      <c r="JJY41" s="139"/>
      <c r="JJZ41" s="139"/>
      <c r="JKA41" s="139"/>
      <c r="JKB41" s="139"/>
      <c r="JKC41" s="139"/>
      <c r="JKD41" s="139"/>
      <c r="JKE41" s="139"/>
      <c r="JKF41" s="139"/>
      <c r="JKG41" s="139"/>
      <c r="JKH41" s="139"/>
      <c r="JKI41" s="139"/>
      <c r="JKJ41" s="139"/>
      <c r="JKK41" s="139"/>
      <c r="JKL41" s="139"/>
      <c r="JKM41" s="139"/>
      <c r="JKN41" s="139"/>
      <c r="JKO41" s="139"/>
      <c r="JKP41" s="139"/>
      <c r="JKQ41" s="139"/>
      <c r="JKR41" s="139"/>
      <c r="JKS41" s="139"/>
      <c r="JKT41" s="139"/>
      <c r="JKU41" s="139"/>
      <c r="JKV41" s="139"/>
      <c r="JKW41" s="139"/>
      <c r="JKX41" s="139"/>
      <c r="JKY41" s="139"/>
      <c r="JKZ41" s="139"/>
      <c r="JLA41" s="139"/>
      <c r="JLB41" s="139"/>
      <c r="JLC41" s="139"/>
      <c r="JLD41" s="139"/>
      <c r="JLE41" s="139"/>
      <c r="JLF41" s="139"/>
      <c r="JLG41" s="139"/>
      <c r="JLH41" s="139"/>
      <c r="JLI41" s="139"/>
      <c r="JLJ41" s="139"/>
      <c r="JLK41" s="139"/>
      <c r="JLL41" s="139"/>
      <c r="JLM41" s="139"/>
      <c r="JLN41" s="139"/>
      <c r="JLO41" s="139"/>
      <c r="JLP41" s="139"/>
      <c r="JLQ41" s="139"/>
      <c r="JLR41" s="139"/>
      <c r="JLS41" s="139"/>
      <c r="JLT41" s="139"/>
      <c r="JLU41" s="139"/>
      <c r="JLV41" s="139"/>
      <c r="JLW41" s="139"/>
      <c r="JLX41" s="139"/>
      <c r="JLY41" s="139"/>
      <c r="JLZ41" s="139"/>
      <c r="JMA41" s="139"/>
      <c r="JMB41" s="139"/>
      <c r="JMC41" s="139"/>
      <c r="JMD41" s="139"/>
      <c r="JME41" s="139"/>
      <c r="JMF41" s="139"/>
      <c r="JMG41" s="139"/>
      <c r="JMH41" s="139"/>
      <c r="JMI41" s="139"/>
      <c r="JMJ41" s="139"/>
      <c r="JMK41" s="139"/>
      <c r="JML41" s="139"/>
      <c r="JMM41" s="139"/>
      <c r="JMN41" s="139"/>
      <c r="JMO41" s="139"/>
      <c r="JMP41" s="139"/>
      <c r="JMQ41" s="139"/>
      <c r="JMR41" s="139"/>
      <c r="JMS41" s="139"/>
      <c r="JMT41" s="139"/>
      <c r="JMU41" s="139"/>
      <c r="JMV41" s="139"/>
      <c r="JMW41" s="139"/>
      <c r="JMX41" s="139"/>
      <c r="JMY41" s="139"/>
      <c r="JMZ41" s="139"/>
      <c r="JNA41" s="139"/>
      <c r="JNB41" s="139"/>
      <c r="JNC41" s="139"/>
      <c r="JND41" s="139"/>
      <c r="JNE41" s="139"/>
      <c r="JNF41" s="139"/>
      <c r="JNG41" s="139"/>
      <c r="JNH41" s="139"/>
      <c r="JNI41" s="139"/>
      <c r="JNJ41" s="139"/>
      <c r="JNK41" s="139"/>
      <c r="JNL41" s="139"/>
      <c r="JNM41" s="139"/>
      <c r="JNN41" s="139"/>
      <c r="JNO41" s="139"/>
      <c r="JNP41" s="139"/>
      <c r="JNQ41" s="139"/>
      <c r="JNR41" s="139"/>
      <c r="JNS41" s="139"/>
      <c r="JNT41" s="139"/>
      <c r="JNU41" s="139"/>
      <c r="JNV41" s="139"/>
      <c r="JNW41" s="139"/>
      <c r="JNX41" s="139"/>
      <c r="JNY41" s="139"/>
      <c r="JNZ41" s="139"/>
      <c r="JOA41" s="139"/>
      <c r="JOB41" s="139"/>
      <c r="JOC41" s="139"/>
      <c r="JOD41" s="139"/>
      <c r="JOE41" s="139"/>
      <c r="JOF41" s="139"/>
      <c r="JOG41" s="139"/>
      <c r="JOH41" s="139"/>
      <c r="JOI41" s="139"/>
      <c r="JOJ41" s="139"/>
      <c r="JOK41" s="139"/>
      <c r="JOL41" s="139"/>
      <c r="JOM41" s="139"/>
      <c r="JON41" s="139"/>
      <c r="JOO41" s="139"/>
      <c r="JOP41" s="139"/>
      <c r="JOQ41" s="139"/>
      <c r="JOR41" s="139"/>
      <c r="JOS41" s="139"/>
      <c r="JOT41" s="139"/>
      <c r="JOU41" s="139"/>
      <c r="JOV41" s="139"/>
      <c r="JOW41" s="139"/>
      <c r="JOX41" s="139"/>
      <c r="JOY41" s="139"/>
      <c r="JOZ41" s="139"/>
      <c r="JPA41" s="139"/>
      <c r="JPB41" s="139"/>
      <c r="JPC41" s="139"/>
      <c r="JPD41" s="139"/>
      <c r="JPE41" s="139"/>
      <c r="JPF41" s="139"/>
      <c r="JPG41" s="139"/>
      <c r="JPH41" s="139"/>
      <c r="JPI41" s="139"/>
      <c r="JPJ41" s="139"/>
      <c r="JPK41" s="139"/>
      <c r="JPL41" s="139"/>
      <c r="JPM41" s="139"/>
      <c r="JPN41" s="139"/>
      <c r="JPO41" s="139"/>
      <c r="JPP41" s="139"/>
      <c r="JPQ41" s="139"/>
      <c r="JPR41" s="139"/>
      <c r="JPS41" s="139"/>
      <c r="JPT41" s="139"/>
      <c r="JPU41" s="139"/>
      <c r="JPV41" s="139"/>
      <c r="JPW41" s="139"/>
      <c r="JPX41" s="139"/>
      <c r="JPY41" s="139"/>
      <c r="JPZ41" s="139"/>
      <c r="JQA41" s="139"/>
      <c r="JQB41" s="139"/>
      <c r="JQC41" s="139"/>
      <c r="JQD41" s="139"/>
      <c r="JQE41" s="139"/>
      <c r="JQF41" s="139"/>
      <c r="JQG41" s="139"/>
      <c r="JQH41" s="139"/>
      <c r="JQI41" s="139"/>
      <c r="JQJ41" s="139"/>
      <c r="JQK41" s="139"/>
      <c r="JQL41" s="139"/>
      <c r="JQM41" s="139"/>
      <c r="JQN41" s="139"/>
      <c r="JQO41" s="139"/>
      <c r="JQP41" s="139"/>
      <c r="JQQ41" s="139"/>
      <c r="JQR41" s="139"/>
      <c r="JQS41" s="139"/>
      <c r="JQT41" s="139"/>
      <c r="JQU41" s="139"/>
      <c r="JQV41" s="139"/>
      <c r="JQW41" s="139"/>
      <c r="JQX41" s="139"/>
      <c r="JQY41" s="139"/>
      <c r="JQZ41" s="139"/>
      <c r="JRA41" s="139"/>
      <c r="JRB41" s="139"/>
      <c r="JRC41" s="139"/>
      <c r="JRD41" s="139"/>
      <c r="JRE41" s="139"/>
      <c r="JRF41" s="139"/>
      <c r="JRG41" s="139"/>
      <c r="JRH41" s="139"/>
      <c r="JRI41" s="139"/>
      <c r="JRJ41" s="139"/>
      <c r="JRK41" s="139"/>
      <c r="JRL41" s="139"/>
      <c r="JRM41" s="139"/>
      <c r="JRN41" s="139"/>
      <c r="JRO41" s="139"/>
      <c r="JRP41" s="139"/>
      <c r="JRQ41" s="139"/>
      <c r="JRR41" s="139"/>
      <c r="JRS41" s="139"/>
      <c r="JRT41" s="139"/>
      <c r="JRU41" s="139"/>
      <c r="JRV41" s="139"/>
      <c r="JRW41" s="139"/>
      <c r="JRX41" s="139"/>
      <c r="JRY41" s="139"/>
      <c r="JRZ41" s="139"/>
      <c r="JSA41" s="139"/>
      <c r="JSB41" s="139"/>
      <c r="JSC41" s="139"/>
      <c r="JSD41" s="139"/>
      <c r="JSE41" s="139"/>
      <c r="JSF41" s="139"/>
      <c r="JSG41" s="139"/>
      <c r="JSH41" s="139"/>
      <c r="JSI41" s="139"/>
      <c r="JSJ41" s="139"/>
      <c r="JSK41" s="139"/>
      <c r="JSL41" s="139"/>
      <c r="JSM41" s="139"/>
      <c r="JSN41" s="139"/>
      <c r="JSO41" s="139"/>
      <c r="JSP41" s="139"/>
      <c r="JSQ41" s="139"/>
      <c r="JSR41" s="139"/>
      <c r="JSS41" s="139"/>
      <c r="JST41" s="139"/>
      <c r="JSU41" s="139"/>
      <c r="JSV41" s="139"/>
      <c r="JSW41" s="139"/>
      <c r="JSX41" s="139"/>
      <c r="JSY41" s="139"/>
      <c r="JSZ41" s="139"/>
      <c r="JTA41" s="139"/>
      <c r="JTB41" s="139"/>
      <c r="JTC41" s="139"/>
      <c r="JTD41" s="139"/>
      <c r="JTE41" s="139"/>
      <c r="JTF41" s="139"/>
      <c r="JTG41" s="139"/>
      <c r="JTH41" s="139"/>
      <c r="JTI41" s="139"/>
      <c r="JTJ41" s="139"/>
      <c r="JTK41" s="139"/>
      <c r="JTL41" s="139"/>
      <c r="JTM41" s="139"/>
      <c r="JTN41" s="139"/>
      <c r="JTO41" s="139"/>
      <c r="JTP41" s="139"/>
      <c r="JTQ41" s="139"/>
      <c r="JTR41" s="139"/>
      <c r="JTS41" s="139"/>
      <c r="JTT41" s="139"/>
      <c r="JTU41" s="139"/>
      <c r="JTV41" s="139"/>
      <c r="JTW41" s="139"/>
      <c r="JTX41" s="139"/>
      <c r="JTY41" s="139"/>
      <c r="JTZ41" s="139"/>
      <c r="JUA41" s="139"/>
      <c r="JUB41" s="139"/>
      <c r="JUC41" s="139"/>
      <c r="JUD41" s="139"/>
      <c r="JUE41" s="139"/>
      <c r="JUF41" s="139"/>
      <c r="JUG41" s="139"/>
      <c r="JUH41" s="139"/>
      <c r="JUI41" s="139"/>
      <c r="JUJ41" s="139"/>
      <c r="JUK41" s="139"/>
      <c r="JUL41" s="139"/>
      <c r="JUM41" s="139"/>
      <c r="JUN41" s="139"/>
      <c r="JUO41" s="139"/>
      <c r="JUP41" s="139"/>
      <c r="JUQ41" s="139"/>
      <c r="JUR41" s="139"/>
      <c r="JUS41" s="139"/>
      <c r="JUT41" s="139"/>
      <c r="JUU41" s="139"/>
      <c r="JUV41" s="139"/>
      <c r="JUW41" s="139"/>
      <c r="JUX41" s="139"/>
      <c r="JUY41" s="139"/>
      <c r="JUZ41" s="139"/>
      <c r="JVA41" s="139"/>
      <c r="JVB41" s="139"/>
      <c r="JVC41" s="139"/>
      <c r="JVD41" s="139"/>
      <c r="JVE41" s="139"/>
      <c r="JVF41" s="139"/>
      <c r="JVG41" s="139"/>
      <c r="JVH41" s="139"/>
      <c r="JVI41" s="139"/>
      <c r="JVJ41" s="139"/>
      <c r="JVK41" s="139"/>
      <c r="JVL41" s="139"/>
      <c r="JVM41" s="139"/>
      <c r="JVN41" s="139"/>
      <c r="JVO41" s="139"/>
      <c r="JVP41" s="139"/>
      <c r="JVQ41" s="139"/>
      <c r="JVR41" s="139"/>
      <c r="JVS41" s="139"/>
      <c r="JVT41" s="139"/>
      <c r="JVU41" s="139"/>
      <c r="JVV41" s="139"/>
      <c r="JVW41" s="139"/>
      <c r="JVX41" s="139"/>
      <c r="JVY41" s="139"/>
      <c r="JVZ41" s="139"/>
      <c r="JWA41" s="139"/>
      <c r="JWB41" s="139"/>
      <c r="JWC41" s="139"/>
      <c r="JWD41" s="139"/>
      <c r="JWE41" s="139"/>
      <c r="JWF41" s="139"/>
      <c r="JWG41" s="139"/>
      <c r="JWH41" s="139"/>
      <c r="JWI41" s="139"/>
      <c r="JWJ41" s="139"/>
      <c r="JWK41" s="139"/>
      <c r="JWL41" s="139"/>
      <c r="JWM41" s="139"/>
      <c r="JWN41" s="139"/>
      <c r="JWO41" s="139"/>
      <c r="JWP41" s="139"/>
      <c r="JWQ41" s="139"/>
      <c r="JWR41" s="139"/>
      <c r="JWS41" s="139"/>
      <c r="JWT41" s="139"/>
      <c r="JWU41" s="139"/>
      <c r="JWV41" s="139"/>
      <c r="JWW41" s="139"/>
      <c r="JWX41" s="139"/>
      <c r="JWY41" s="139"/>
      <c r="JWZ41" s="139"/>
      <c r="JXA41" s="139"/>
      <c r="JXB41" s="139"/>
      <c r="JXC41" s="139"/>
      <c r="JXD41" s="139"/>
      <c r="JXE41" s="139"/>
      <c r="JXF41" s="139"/>
      <c r="JXG41" s="139"/>
      <c r="JXH41" s="139"/>
      <c r="JXI41" s="139"/>
      <c r="JXJ41" s="139"/>
      <c r="JXK41" s="139"/>
      <c r="JXL41" s="139"/>
      <c r="JXM41" s="139"/>
      <c r="JXN41" s="139"/>
      <c r="JXO41" s="139"/>
      <c r="JXP41" s="139"/>
      <c r="JXQ41" s="139"/>
      <c r="JXR41" s="139"/>
      <c r="JXS41" s="139"/>
      <c r="JXT41" s="139"/>
      <c r="JXU41" s="139"/>
      <c r="JXV41" s="139"/>
      <c r="JXW41" s="139"/>
      <c r="JXX41" s="139"/>
      <c r="JXY41" s="139"/>
      <c r="JXZ41" s="139"/>
      <c r="JYA41" s="139"/>
      <c r="JYB41" s="139"/>
      <c r="JYC41" s="139"/>
      <c r="JYD41" s="139"/>
      <c r="JYE41" s="139"/>
      <c r="JYF41" s="139"/>
      <c r="JYG41" s="139"/>
      <c r="JYH41" s="139"/>
      <c r="JYI41" s="139"/>
      <c r="JYJ41" s="139"/>
      <c r="JYK41" s="139"/>
      <c r="JYL41" s="139"/>
      <c r="JYM41" s="139"/>
      <c r="JYN41" s="139"/>
      <c r="JYO41" s="139"/>
      <c r="JYP41" s="139"/>
      <c r="JYQ41" s="139"/>
      <c r="JYR41" s="139"/>
      <c r="JYS41" s="139"/>
      <c r="JYT41" s="139"/>
      <c r="JYU41" s="139"/>
      <c r="JYV41" s="139"/>
      <c r="JYW41" s="139"/>
      <c r="JYX41" s="139"/>
      <c r="JYY41" s="139"/>
      <c r="JYZ41" s="139"/>
      <c r="JZA41" s="139"/>
      <c r="JZB41" s="139"/>
      <c r="JZC41" s="139"/>
      <c r="JZD41" s="139"/>
      <c r="JZE41" s="139"/>
      <c r="JZF41" s="139"/>
      <c r="JZG41" s="139"/>
      <c r="JZH41" s="139"/>
      <c r="JZI41" s="139"/>
      <c r="JZJ41" s="139"/>
      <c r="JZK41" s="139"/>
      <c r="JZL41" s="139"/>
      <c r="JZM41" s="139"/>
      <c r="JZN41" s="139"/>
      <c r="JZO41" s="139"/>
      <c r="JZP41" s="139"/>
      <c r="JZQ41" s="139"/>
      <c r="JZR41" s="139"/>
      <c r="JZS41" s="139"/>
      <c r="JZT41" s="139"/>
      <c r="JZU41" s="139"/>
      <c r="JZV41" s="139"/>
      <c r="JZW41" s="139"/>
      <c r="JZX41" s="139"/>
      <c r="JZY41" s="139"/>
      <c r="JZZ41" s="139"/>
      <c r="KAA41" s="139"/>
      <c r="KAB41" s="139"/>
      <c r="KAC41" s="139"/>
      <c r="KAD41" s="139"/>
      <c r="KAE41" s="139"/>
      <c r="KAF41" s="139"/>
      <c r="KAG41" s="139"/>
      <c r="KAH41" s="139"/>
      <c r="KAI41" s="139"/>
      <c r="KAJ41" s="139"/>
      <c r="KAK41" s="139"/>
      <c r="KAL41" s="139"/>
      <c r="KAM41" s="139"/>
      <c r="KAN41" s="139"/>
      <c r="KAO41" s="139"/>
      <c r="KAP41" s="139"/>
      <c r="KAQ41" s="139"/>
      <c r="KAR41" s="139"/>
      <c r="KAS41" s="139"/>
      <c r="KAT41" s="139"/>
      <c r="KAU41" s="139"/>
      <c r="KAV41" s="139"/>
      <c r="KAW41" s="139"/>
      <c r="KAX41" s="139"/>
      <c r="KAY41" s="139"/>
      <c r="KAZ41" s="139"/>
      <c r="KBA41" s="139"/>
      <c r="KBB41" s="139"/>
      <c r="KBC41" s="139"/>
      <c r="KBD41" s="139"/>
      <c r="KBE41" s="139"/>
      <c r="KBF41" s="139"/>
      <c r="KBG41" s="139"/>
      <c r="KBH41" s="139"/>
      <c r="KBI41" s="139"/>
      <c r="KBJ41" s="139"/>
      <c r="KBK41" s="139"/>
      <c r="KBL41" s="139"/>
      <c r="KBM41" s="139"/>
      <c r="KBN41" s="139"/>
      <c r="KBO41" s="139"/>
      <c r="KBP41" s="139"/>
      <c r="KBQ41" s="139"/>
      <c r="KBR41" s="139"/>
      <c r="KBS41" s="139"/>
      <c r="KBT41" s="139"/>
      <c r="KBU41" s="139"/>
      <c r="KBV41" s="139"/>
      <c r="KBW41" s="139"/>
      <c r="KBX41" s="139"/>
      <c r="KBY41" s="139"/>
      <c r="KBZ41" s="139"/>
      <c r="KCA41" s="139"/>
      <c r="KCB41" s="139"/>
      <c r="KCC41" s="139"/>
      <c r="KCD41" s="139"/>
      <c r="KCE41" s="139"/>
      <c r="KCF41" s="139"/>
      <c r="KCG41" s="139"/>
      <c r="KCH41" s="139"/>
      <c r="KCI41" s="139"/>
      <c r="KCJ41" s="139"/>
      <c r="KCK41" s="139"/>
      <c r="KCL41" s="139"/>
      <c r="KCM41" s="139"/>
      <c r="KCN41" s="139"/>
      <c r="KCO41" s="139"/>
      <c r="KCP41" s="139"/>
      <c r="KCQ41" s="139"/>
      <c r="KCR41" s="139"/>
      <c r="KCS41" s="139"/>
      <c r="KCT41" s="139"/>
      <c r="KCU41" s="139"/>
      <c r="KCV41" s="139"/>
      <c r="KCW41" s="139"/>
      <c r="KCX41" s="139"/>
      <c r="KCY41" s="139"/>
      <c r="KCZ41" s="139"/>
      <c r="KDA41" s="139"/>
      <c r="KDB41" s="139"/>
      <c r="KDC41" s="139"/>
      <c r="KDD41" s="139"/>
      <c r="KDE41" s="139"/>
      <c r="KDF41" s="139"/>
      <c r="KDG41" s="139"/>
      <c r="KDH41" s="139"/>
      <c r="KDI41" s="139"/>
      <c r="KDJ41" s="139"/>
      <c r="KDK41" s="139"/>
      <c r="KDL41" s="139"/>
      <c r="KDM41" s="139"/>
      <c r="KDN41" s="139"/>
      <c r="KDO41" s="139"/>
      <c r="KDP41" s="139"/>
      <c r="KDQ41" s="139"/>
      <c r="KDR41" s="139"/>
      <c r="KDS41" s="139"/>
      <c r="KDT41" s="139"/>
      <c r="KDU41" s="139"/>
      <c r="KDV41" s="139"/>
      <c r="KDW41" s="139"/>
      <c r="KDX41" s="139"/>
      <c r="KDY41" s="139"/>
      <c r="KDZ41" s="139"/>
      <c r="KEA41" s="139"/>
      <c r="KEB41" s="139"/>
      <c r="KEC41" s="139"/>
      <c r="KED41" s="139"/>
      <c r="KEE41" s="139"/>
      <c r="KEF41" s="139"/>
      <c r="KEG41" s="139"/>
      <c r="KEH41" s="139"/>
      <c r="KEI41" s="139"/>
      <c r="KEJ41" s="139"/>
      <c r="KEK41" s="139"/>
      <c r="KEL41" s="139"/>
      <c r="KEM41" s="139"/>
      <c r="KEN41" s="139"/>
      <c r="KEO41" s="139"/>
      <c r="KEP41" s="139"/>
      <c r="KEQ41" s="139"/>
      <c r="KER41" s="139"/>
      <c r="KES41" s="139"/>
      <c r="KET41" s="139"/>
      <c r="KEU41" s="139"/>
      <c r="KEV41" s="139"/>
      <c r="KEW41" s="139"/>
      <c r="KEX41" s="139"/>
      <c r="KEY41" s="139"/>
      <c r="KEZ41" s="139"/>
      <c r="KFA41" s="139"/>
      <c r="KFB41" s="139"/>
      <c r="KFC41" s="139"/>
      <c r="KFD41" s="139"/>
      <c r="KFE41" s="139"/>
      <c r="KFF41" s="139"/>
      <c r="KFG41" s="139"/>
      <c r="KFH41" s="139"/>
      <c r="KFI41" s="139"/>
      <c r="KFJ41" s="139"/>
      <c r="KFK41" s="139"/>
      <c r="KFL41" s="139"/>
      <c r="KFM41" s="139"/>
      <c r="KFN41" s="139"/>
      <c r="KFO41" s="139"/>
      <c r="KFP41" s="139"/>
      <c r="KFQ41" s="139"/>
      <c r="KFR41" s="139"/>
      <c r="KFS41" s="139"/>
      <c r="KFT41" s="139"/>
      <c r="KFU41" s="139"/>
      <c r="KFV41" s="139"/>
      <c r="KFW41" s="139"/>
      <c r="KFX41" s="139"/>
      <c r="KFY41" s="139"/>
      <c r="KFZ41" s="139"/>
      <c r="KGA41" s="139"/>
      <c r="KGB41" s="139"/>
      <c r="KGC41" s="139"/>
      <c r="KGD41" s="139"/>
      <c r="KGE41" s="139"/>
      <c r="KGF41" s="139"/>
      <c r="KGG41" s="139"/>
      <c r="KGH41" s="139"/>
      <c r="KGI41" s="139"/>
      <c r="KGJ41" s="139"/>
      <c r="KGK41" s="139"/>
      <c r="KGL41" s="139"/>
      <c r="KGM41" s="139"/>
      <c r="KGN41" s="139"/>
      <c r="KGO41" s="139"/>
      <c r="KGP41" s="139"/>
      <c r="KGQ41" s="139"/>
      <c r="KGR41" s="139"/>
      <c r="KGS41" s="139"/>
      <c r="KGT41" s="139"/>
      <c r="KGU41" s="139"/>
      <c r="KGV41" s="139"/>
      <c r="KGW41" s="139"/>
      <c r="KGX41" s="139"/>
      <c r="KGY41" s="139"/>
      <c r="KGZ41" s="139"/>
      <c r="KHA41" s="139"/>
      <c r="KHB41" s="139"/>
      <c r="KHC41" s="139"/>
      <c r="KHD41" s="139"/>
      <c r="KHE41" s="139"/>
      <c r="KHF41" s="139"/>
      <c r="KHG41" s="139"/>
      <c r="KHH41" s="139"/>
      <c r="KHI41" s="139"/>
      <c r="KHJ41" s="139"/>
      <c r="KHK41" s="139"/>
      <c r="KHL41" s="139"/>
      <c r="KHM41" s="139"/>
      <c r="KHN41" s="139"/>
      <c r="KHO41" s="139"/>
      <c r="KHP41" s="139"/>
      <c r="KHQ41" s="139"/>
      <c r="KHR41" s="139"/>
      <c r="KHS41" s="139"/>
      <c r="KHT41" s="139"/>
      <c r="KHU41" s="139"/>
      <c r="KHV41" s="139"/>
      <c r="KHW41" s="139"/>
      <c r="KHX41" s="139"/>
      <c r="KHY41" s="139"/>
      <c r="KHZ41" s="139"/>
      <c r="KIA41" s="139"/>
      <c r="KIB41" s="139"/>
      <c r="KIC41" s="139"/>
      <c r="KID41" s="139"/>
      <c r="KIE41" s="139"/>
      <c r="KIF41" s="139"/>
      <c r="KIG41" s="139"/>
      <c r="KIH41" s="139"/>
      <c r="KII41" s="139"/>
      <c r="KIJ41" s="139"/>
      <c r="KIK41" s="139"/>
      <c r="KIL41" s="139"/>
      <c r="KIM41" s="139"/>
      <c r="KIN41" s="139"/>
      <c r="KIO41" s="139"/>
      <c r="KIP41" s="139"/>
      <c r="KIQ41" s="139"/>
      <c r="KIR41" s="139"/>
      <c r="KIS41" s="139"/>
      <c r="KIT41" s="139"/>
      <c r="KIU41" s="139"/>
      <c r="KIV41" s="139"/>
      <c r="KIW41" s="139"/>
      <c r="KIX41" s="139"/>
      <c r="KIY41" s="139"/>
      <c r="KIZ41" s="139"/>
      <c r="KJA41" s="139"/>
      <c r="KJB41" s="139"/>
      <c r="KJC41" s="139"/>
      <c r="KJD41" s="139"/>
      <c r="KJE41" s="139"/>
      <c r="KJF41" s="139"/>
      <c r="KJG41" s="139"/>
      <c r="KJH41" s="139"/>
      <c r="KJI41" s="139"/>
      <c r="KJJ41" s="139"/>
      <c r="KJK41" s="139"/>
      <c r="KJL41" s="139"/>
      <c r="KJM41" s="139"/>
      <c r="KJN41" s="139"/>
      <c r="KJO41" s="139"/>
      <c r="KJP41" s="139"/>
      <c r="KJQ41" s="139"/>
      <c r="KJR41" s="139"/>
      <c r="KJS41" s="139"/>
      <c r="KJT41" s="139"/>
      <c r="KJU41" s="139"/>
      <c r="KJV41" s="139"/>
      <c r="KJW41" s="139"/>
      <c r="KJX41" s="139"/>
      <c r="KJY41" s="139"/>
      <c r="KJZ41" s="139"/>
      <c r="KKA41" s="139"/>
      <c r="KKB41" s="139"/>
      <c r="KKC41" s="139"/>
      <c r="KKD41" s="139"/>
      <c r="KKE41" s="139"/>
      <c r="KKF41" s="139"/>
      <c r="KKG41" s="139"/>
      <c r="KKH41" s="139"/>
      <c r="KKI41" s="139"/>
      <c r="KKJ41" s="139"/>
      <c r="KKK41" s="139"/>
      <c r="KKL41" s="139"/>
      <c r="KKM41" s="139"/>
      <c r="KKN41" s="139"/>
      <c r="KKO41" s="139"/>
      <c r="KKP41" s="139"/>
      <c r="KKQ41" s="139"/>
      <c r="KKR41" s="139"/>
      <c r="KKS41" s="139"/>
      <c r="KKT41" s="139"/>
      <c r="KKU41" s="139"/>
      <c r="KKV41" s="139"/>
      <c r="KKW41" s="139"/>
      <c r="KKX41" s="139"/>
      <c r="KKY41" s="139"/>
      <c r="KKZ41" s="139"/>
      <c r="KLA41" s="139"/>
      <c r="KLB41" s="139"/>
      <c r="KLC41" s="139"/>
      <c r="KLD41" s="139"/>
      <c r="KLE41" s="139"/>
      <c r="KLF41" s="139"/>
      <c r="KLG41" s="139"/>
      <c r="KLH41" s="139"/>
      <c r="KLI41" s="139"/>
      <c r="KLJ41" s="139"/>
      <c r="KLK41" s="139"/>
      <c r="KLL41" s="139"/>
      <c r="KLM41" s="139"/>
      <c r="KLN41" s="139"/>
      <c r="KLO41" s="139"/>
      <c r="KLP41" s="139"/>
      <c r="KLQ41" s="139"/>
      <c r="KLR41" s="139"/>
      <c r="KLS41" s="139"/>
      <c r="KLT41" s="139"/>
      <c r="KLU41" s="139"/>
      <c r="KLV41" s="139"/>
      <c r="KLW41" s="139"/>
      <c r="KLX41" s="139"/>
      <c r="KLY41" s="139"/>
      <c r="KLZ41" s="139"/>
      <c r="KMA41" s="139"/>
      <c r="KMB41" s="139"/>
      <c r="KMC41" s="139"/>
      <c r="KMD41" s="139"/>
      <c r="KME41" s="139"/>
      <c r="KMF41" s="139"/>
      <c r="KMG41" s="139"/>
      <c r="KMH41" s="139"/>
      <c r="KMI41" s="139"/>
      <c r="KMJ41" s="139"/>
      <c r="KMK41" s="139"/>
      <c r="KML41" s="139"/>
      <c r="KMM41" s="139"/>
      <c r="KMN41" s="139"/>
      <c r="KMO41" s="139"/>
      <c r="KMP41" s="139"/>
      <c r="KMQ41" s="139"/>
      <c r="KMR41" s="139"/>
      <c r="KMS41" s="139"/>
      <c r="KMT41" s="139"/>
      <c r="KMU41" s="139"/>
      <c r="KMV41" s="139"/>
      <c r="KMW41" s="139"/>
      <c r="KMX41" s="139"/>
      <c r="KMY41" s="139"/>
      <c r="KMZ41" s="139"/>
      <c r="KNA41" s="139"/>
      <c r="KNB41" s="139"/>
      <c r="KNC41" s="139"/>
      <c r="KND41" s="139"/>
      <c r="KNE41" s="139"/>
      <c r="KNF41" s="139"/>
      <c r="KNG41" s="139"/>
      <c r="KNH41" s="139"/>
      <c r="KNI41" s="139"/>
      <c r="KNJ41" s="139"/>
      <c r="KNK41" s="139"/>
      <c r="KNL41" s="139"/>
      <c r="KNM41" s="139"/>
      <c r="KNN41" s="139"/>
      <c r="KNO41" s="139"/>
      <c r="KNP41" s="139"/>
      <c r="KNQ41" s="139"/>
      <c r="KNR41" s="139"/>
      <c r="KNS41" s="139"/>
      <c r="KNT41" s="139"/>
      <c r="KNU41" s="139"/>
      <c r="KNV41" s="139"/>
      <c r="KNW41" s="139"/>
      <c r="KNX41" s="139"/>
      <c r="KNY41" s="139"/>
      <c r="KNZ41" s="139"/>
      <c r="KOA41" s="139"/>
      <c r="KOB41" s="139"/>
      <c r="KOC41" s="139"/>
      <c r="KOD41" s="139"/>
      <c r="KOE41" s="139"/>
      <c r="KOF41" s="139"/>
      <c r="KOG41" s="139"/>
      <c r="KOH41" s="139"/>
      <c r="KOI41" s="139"/>
      <c r="KOJ41" s="139"/>
      <c r="KOK41" s="139"/>
      <c r="KOL41" s="139"/>
      <c r="KOM41" s="139"/>
      <c r="KON41" s="139"/>
      <c r="KOO41" s="139"/>
      <c r="KOP41" s="139"/>
      <c r="KOQ41" s="139"/>
      <c r="KOR41" s="139"/>
      <c r="KOS41" s="139"/>
      <c r="KOT41" s="139"/>
      <c r="KOU41" s="139"/>
      <c r="KOV41" s="139"/>
      <c r="KOW41" s="139"/>
      <c r="KOX41" s="139"/>
      <c r="KOY41" s="139"/>
      <c r="KOZ41" s="139"/>
      <c r="KPA41" s="139"/>
      <c r="KPB41" s="139"/>
      <c r="KPC41" s="139"/>
      <c r="KPD41" s="139"/>
      <c r="KPE41" s="139"/>
      <c r="KPF41" s="139"/>
      <c r="KPG41" s="139"/>
      <c r="KPH41" s="139"/>
      <c r="KPI41" s="139"/>
      <c r="KPJ41" s="139"/>
      <c r="KPK41" s="139"/>
      <c r="KPL41" s="139"/>
      <c r="KPM41" s="139"/>
      <c r="KPN41" s="139"/>
      <c r="KPO41" s="139"/>
      <c r="KPP41" s="139"/>
      <c r="KPQ41" s="139"/>
      <c r="KPR41" s="139"/>
      <c r="KPS41" s="139"/>
      <c r="KPT41" s="139"/>
      <c r="KPU41" s="139"/>
      <c r="KPV41" s="139"/>
      <c r="KPW41" s="139"/>
      <c r="KPX41" s="139"/>
      <c r="KPY41" s="139"/>
      <c r="KPZ41" s="139"/>
      <c r="KQA41" s="139"/>
      <c r="KQB41" s="139"/>
      <c r="KQC41" s="139"/>
      <c r="KQD41" s="139"/>
      <c r="KQE41" s="139"/>
      <c r="KQF41" s="139"/>
      <c r="KQG41" s="139"/>
      <c r="KQH41" s="139"/>
      <c r="KQI41" s="139"/>
      <c r="KQJ41" s="139"/>
      <c r="KQK41" s="139"/>
      <c r="KQL41" s="139"/>
      <c r="KQM41" s="139"/>
      <c r="KQN41" s="139"/>
      <c r="KQO41" s="139"/>
      <c r="KQP41" s="139"/>
      <c r="KQQ41" s="139"/>
      <c r="KQR41" s="139"/>
      <c r="KQS41" s="139"/>
      <c r="KQT41" s="139"/>
      <c r="KQU41" s="139"/>
      <c r="KQV41" s="139"/>
      <c r="KQW41" s="139"/>
      <c r="KQX41" s="139"/>
      <c r="KQY41" s="139"/>
      <c r="KQZ41" s="139"/>
      <c r="KRA41" s="139"/>
      <c r="KRB41" s="139"/>
      <c r="KRC41" s="139"/>
      <c r="KRD41" s="139"/>
      <c r="KRE41" s="139"/>
      <c r="KRF41" s="139"/>
      <c r="KRG41" s="139"/>
      <c r="KRH41" s="139"/>
      <c r="KRI41" s="139"/>
      <c r="KRJ41" s="139"/>
      <c r="KRK41" s="139"/>
      <c r="KRL41" s="139"/>
      <c r="KRM41" s="139"/>
      <c r="KRN41" s="139"/>
      <c r="KRO41" s="139"/>
      <c r="KRP41" s="139"/>
      <c r="KRQ41" s="139"/>
      <c r="KRR41" s="139"/>
      <c r="KRS41" s="139"/>
      <c r="KRT41" s="139"/>
      <c r="KRU41" s="139"/>
      <c r="KRV41" s="139"/>
      <c r="KRW41" s="139"/>
      <c r="KRX41" s="139"/>
      <c r="KRY41" s="139"/>
      <c r="KRZ41" s="139"/>
      <c r="KSA41" s="139"/>
      <c r="KSB41" s="139"/>
      <c r="KSC41" s="139"/>
      <c r="KSD41" s="139"/>
      <c r="KSE41" s="139"/>
      <c r="KSF41" s="139"/>
      <c r="KSG41" s="139"/>
      <c r="KSH41" s="139"/>
      <c r="KSI41" s="139"/>
      <c r="KSJ41" s="139"/>
      <c r="KSK41" s="139"/>
      <c r="KSL41" s="139"/>
      <c r="KSM41" s="139"/>
      <c r="KSN41" s="139"/>
      <c r="KSO41" s="139"/>
      <c r="KSP41" s="139"/>
      <c r="KSQ41" s="139"/>
      <c r="KSR41" s="139"/>
      <c r="KSS41" s="139"/>
      <c r="KST41" s="139"/>
      <c r="KSU41" s="139"/>
      <c r="KSV41" s="139"/>
      <c r="KSW41" s="139"/>
      <c r="KSX41" s="139"/>
      <c r="KSY41" s="139"/>
      <c r="KSZ41" s="139"/>
      <c r="KTA41" s="139"/>
      <c r="KTB41" s="139"/>
      <c r="KTC41" s="139"/>
      <c r="KTD41" s="139"/>
      <c r="KTE41" s="139"/>
      <c r="KTF41" s="139"/>
      <c r="KTG41" s="139"/>
      <c r="KTH41" s="139"/>
      <c r="KTI41" s="139"/>
      <c r="KTJ41" s="139"/>
      <c r="KTK41" s="139"/>
      <c r="KTL41" s="139"/>
      <c r="KTM41" s="139"/>
      <c r="KTN41" s="139"/>
      <c r="KTO41" s="139"/>
      <c r="KTP41" s="139"/>
      <c r="KTQ41" s="139"/>
      <c r="KTR41" s="139"/>
      <c r="KTS41" s="139"/>
      <c r="KTT41" s="139"/>
      <c r="KTU41" s="139"/>
      <c r="KTV41" s="139"/>
      <c r="KTW41" s="139"/>
      <c r="KTX41" s="139"/>
      <c r="KTY41" s="139"/>
      <c r="KTZ41" s="139"/>
      <c r="KUA41" s="139"/>
      <c r="KUB41" s="139"/>
      <c r="KUC41" s="139"/>
      <c r="KUD41" s="139"/>
      <c r="KUE41" s="139"/>
      <c r="KUF41" s="139"/>
      <c r="KUG41" s="139"/>
      <c r="KUH41" s="139"/>
      <c r="KUI41" s="139"/>
      <c r="KUJ41" s="139"/>
      <c r="KUK41" s="139"/>
      <c r="KUL41" s="139"/>
      <c r="KUM41" s="139"/>
      <c r="KUN41" s="139"/>
      <c r="KUO41" s="139"/>
      <c r="KUP41" s="139"/>
      <c r="KUQ41" s="139"/>
      <c r="KUR41" s="139"/>
      <c r="KUS41" s="139"/>
      <c r="KUT41" s="139"/>
      <c r="KUU41" s="139"/>
      <c r="KUV41" s="139"/>
      <c r="KUW41" s="139"/>
      <c r="KUX41" s="139"/>
      <c r="KUY41" s="139"/>
      <c r="KUZ41" s="139"/>
      <c r="KVA41" s="139"/>
      <c r="KVB41" s="139"/>
      <c r="KVC41" s="139"/>
      <c r="KVD41" s="139"/>
      <c r="KVE41" s="139"/>
      <c r="KVF41" s="139"/>
      <c r="KVG41" s="139"/>
      <c r="KVH41" s="139"/>
      <c r="KVI41" s="139"/>
      <c r="KVJ41" s="139"/>
      <c r="KVK41" s="139"/>
      <c r="KVL41" s="139"/>
      <c r="KVM41" s="139"/>
      <c r="KVN41" s="139"/>
      <c r="KVO41" s="139"/>
      <c r="KVP41" s="139"/>
      <c r="KVQ41" s="139"/>
      <c r="KVR41" s="139"/>
      <c r="KVS41" s="139"/>
      <c r="KVT41" s="139"/>
      <c r="KVU41" s="139"/>
      <c r="KVV41" s="139"/>
      <c r="KVW41" s="139"/>
      <c r="KVX41" s="139"/>
      <c r="KVY41" s="139"/>
      <c r="KVZ41" s="139"/>
      <c r="KWA41" s="139"/>
      <c r="KWB41" s="139"/>
      <c r="KWC41" s="139"/>
      <c r="KWD41" s="139"/>
      <c r="KWE41" s="139"/>
      <c r="KWF41" s="139"/>
      <c r="KWG41" s="139"/>
      <c r="KWH41" s="139"/>
      <c r="KWI41" s="139"/>
      <c r="KWJ41" s="139"/>
      <c r="KWK41" s="139"/>
      <c r="KWL41" s="139"/>
      <c r="KWM41" s="139"/>
      <c r="KWN41" s="139"/>
      <c r="KWO41" s="139"/>
      <c r="KWP41" s="139"/>
      <c r="KWQ41" s="139"/>
      <c r="KWR41" s="139"/>
      <c r="KWS41" s="139"/>
      <c r="KWT41" s="139"/>
      <c r="KWU41" s="139"/>
      <c r="KWV41" s="139"/>
      <c r="KWW41" s="139"/>
      <c r="KWX41" s="139"/>
      <c r="KWY41" s="139"/>
      <c r="KWZ41" s="139"/>
      <c r="KXA41" s="139"/>
      <c r="KXB41" s="139"/>
      <c r="KXC41" s="139"/>
      <c r="KXD41" s="139"/>
      <c r="KXE41" s="139"/>
      <c r="KXF41" s="139"/>
      <c r="KXG41" s="139"/>
      <c r="KXH41" s="139"/>
      <c r="KXI41" s="139"/>
      <c r="KXJ41" s="139"/>
      <c r="KXK41" s="139"/>
      <c r="KXL41" s="139"/>
      <c r="KXM41" s="139"/>
      <c r="KXN41" s="139"/>
      <c r="KXO41" s="139"/>
      <c r="KXP41" s="139"/>
      <c r="KXQ41" s="139"/>
      <c r="KXR41" s="139"/>
      <c r="KXS41" s="139"/>
      <c r="KXT41" s="139"/>
      <c r="KXU41" s="139"/>
      <c r="KXV41" s="139"/>
      <c r="KXW41" s="139"/>
      <c r="KXX41" s="139"/>
      <c r="KXY41" s="139"/>
      <c r="KXZ41" s="139"/>
      <c r="KYA41" s="139"/>
      <c r="KYB41" s="139"/>
      <c r="KYC41" s="139"/>
      <c r="KYD41" s="139"/>
      <c r="KYE41" s="139"/>
      <c r="KYF41" s="139"/>
      <c r="KYG41" s="139"/>
      <c r="KYH41" s="139"/>
      <c r="KYI41" s="139"/>
      <c r="KYJ41" s="139"/>
      <c r="KYK41" s="139"/>
      <c r="KYL41" s="139"/>
      <c r="KYM41" s="139"/>
      <c r="KYN41" s="139"/>
      <c r="KYO41" s="139"/>
      <c r="KYP41" s="139"/>
      <c r="KYQ41" s="139"/>
      <c r="KYR41" s="139"/>
      <c r="KYS41" s="139"/>
      <c r="KYT41" s="139"/>
      <c r="KYU41" s="139"/>
      <c r="KYV41" s="139"/>
      <c r="KYW41" s="139"/>
      <c r="KYX41" s="139"/>
      <c r="KYY41" s="139"/>
      <c r="KYZ41" s="139"/>
      <c r="KZA41" s="139"/>
      <c r="KZB41" s="139"/>
      <c r="KZC41" s="139"/>
      <c r="KZD41" s="139"/>
      <c r="KZE41" s="139"/>
      <c r="KZF41" s="139"/>
      <c r="KZG41" s="139"/>
      <c r="KZH41" s="139"/>
      <c r="KZI41" s="139"/>
      <c r="KZJ41" s="139"/>
      <c r="KZK41" s="139"/>
      <c r="KZL41" s="139"/>
      <c r="KZM41" s="139"/>
      <c r="KZN41" s="139"/>
      <c r="KZO41" s="139"/>
      <c r="KZP41" s="139"/>
      <c r="KZQ41" s="139"/>
      <c r="KZR41" s="139"/>
      <c r="KZS41" s="139"/>
      <c r="KZT41" s="139"/>
      <c r="KZU41" s="139"/>
      <c r="KZV41" s="139"/>
      <c r="KZW41" s="139"/>
      <c r="KZX41" s="139"/>
      <c r="KZY41" s="139"/>
      <c r="KZZ41" s="139"/>
      <c r="LAA41" s="139"/>
      <c r="LAB41" s="139"/>
      <c r="LAC41" s="139"/>
      <c r="LAD41" s="139"/>
      <c r="LAE41" s="139"/>
      <c r="LAF41" s="139"/>
      <c r="LAG41" s="139"/>
      <c r="LAH41" s="139"/>
      <c r="LAI41" s="139"/>
      <c r="LAJ41" s="139"/>
      <c r="LAK41" s="139"/>
      <c r="LAL41" s="139"/>
      <c r="LAM41" s="139"/>
      <c r="LAN41" s="139"/>
      <c r="LAO41" s="139"/>
      <c r="LAP41" s="139"/>
      <c r="LAQ41" s="139"/>
      <c r="LAR41" s="139"/>
      <c r="LAS41" s="139"/>
      <c r="LAT41" s="139"/>
      <c r="LAU41" s="139"/>
      <c r="LAV41" s="139"/>
      <c r="LAW41" s="139"/>
      <c r="LAX41" s="139"/>
      <c r="LAY41" s="139"/>
      <c r="LAZ41" s="139"/>
      <c r="LBA41" s="139"/>
      <c r="LBB41" s="139"/>
      <c r="LBC41" s="139"/>
      <c r="LBD41" s="139"/>
      <c r="LBE41" s="139"/>
      <c r="LBF41" s="139"/>
      <c r="LBG41" s="139"/>
      <c r="LBH41" s="139"/>
      <c r="LBI41" s="139"/>
      <c r="LBJ41" s="139"/>
      <c r="LBK41" s="139"/>
      <c r="LBL41" s="139"/>
      <c r="LBM41" s="139"/>
      <c r="LBN41" s="139"/>
      <c r="LBO41" s="139"/>
      <c r="LBP41" s="139"/>
      <c r="LBQ41" s="139"/>
      <c r="LBR41" s="139"/>
      <c r="LBS41" s="139"/>
      <c r="LBT41" s="139"/>
      <c r="LBU41" s="139"/>
      <c r="LBV41" s="139"/>
      <c r="LBW41" s="139"/>
      <c r="LBX41" s="139"/>
      <c r="LBY41" s="139"/>
      <c r="LBZ41" s="139"/>
      <c r="LCA41" s="139"/>
      <c r="LCB41" s="139"/>
      <c r="LCC41" s="139"/>
      <c r="LCD41" s="139"/>
      <c r="LCE41" s="139"/>
      <c r="LCF41" s="139"/>
      <c r="LCG41" s="139"/>
      <c r="LCH41" s="139"/>
      <c r="LCI41" s="139"/>
      <c r="LCJ41" s="139"/>
      <c r="LCK41" s="139"/>
      <c r="LCL41" s="139"/>
      <c r="LCM41" s="139"/>
      <c r="LCN41" s="139"/>
      <c r="LCO41" s="139"/>
      <c r="LCP41" s="139"/>
      <c r="LCQ41" s="139"/>
      <c r="LCR41" s="139"/>
      <c r="LCS41" s="139"/>
      <c r="LCT41" s="139"/>
      <c r="LCU41" s="139"/>
      <c r="LCV41" s="139"/>
      <c r="LCW41" s="139"/>
      <c r="LCX41" s="139"/>
      <c r="LCY41" s="139"/>
      <c r="LCZ41" s="139"/>
      <c r="LDA41" s="139"/>
      <c r="LDB41" s="139"/>
      <c r="LDC41" s="139"/>
      <c r="LDD41" s="139"/>
      <c r="LDE41" s="139"/>
      <c r="LDF41" s="139"/>
      <c r="LDG41" s="139"/>
      <c r="LDH41" s="139"/>
      <c r="LDI41" s="139"/>
      <c r="LDJ41" s="139"/>
      <c r="LDK41" s="139"/>
      <c r="LDL41" s="139"/>
      <c r="LDM41" s="139"/>
      <c r="LDN41" s="139"/>
      <c r="LDO41" s="139"/>
      <c r="LDP41" s="139"/>
      <c r="LDQ41" s="139"/>
      <c r="LDR41" s="139"/>
      <c r="LDS41" s="139"/>
      <c r="LDT41" s="139"/>
      <c r="LDU41" s="139"/>
      <c r="LDV41" s="139"/>
      <c r="LDW41" s="139"/>
      <c r="LDX41" s="139"/>
      <c r="LDY41" s="139"/>
      <c r="LDZ41" s="139"/>
      <c r="LEA41" s="139"/>
      <c r="LEB41" s="139"/>
      <c r="LEC41" s="139"/>
      <c r="LED41" s="139"/>
      <c r="LEE41" s="139"/>
      <c r="LEF41" s="139"/>
      <c r="LEG41" s="139"/>
      <c r="LEH41" s="139"/>
      <c r="LEI41" s="139"/>
      <c r="LEJ41" s="139"/>
      <c r="LEK41" s="139"/>
      <c r="LEL41" s="139"/>
      <c r="LEM41" s="139"/>
      <c r="LEN41" s="139"/>
      <c r="LEO41" s="139"/>
      <c r="LEP41" s="139"/>
      <c r="LEQ41" s="139"/>
      <c r="LER41" s="139"/>
      <c r="LES41" s="139"/>
      <c r="LET41" s="139"/>
      <c r="LEU41" s="139"/>
      <c r="LEV41" s="139"/>
      <c r="LEW41" s="139"/>
      <c r="LEX41" s="139"/>
      <c r="LEY41" s="139"/>
      <c r="LEZ41" s="139"/>
      <c r="LFA41" s="139"/>
      <c r="LFB41" s="139"/>
      <c r="LFC41" s="139"/>
      <c r="LFD41" s="139"/>
      <c r="LFE41" s="139"/>
      <c r="LFF41" s="139"/>
      <c r="LFG41" s="139"/>
      <c r="LFH41" s="139"/>
      <c r="LFI41" s="139"/>
      <c r="LFJ41" s="139"/>
      <c r="LFK41" s="139"/>
      <c r="LFL41" s="139"/>
      <c r="LFM41" s="139"/>
      <c r="LFN41" s="139"/>
      <c r="LFO41" s="139"/>
      <c r="LFP41" s="139"/>
      <c r="LFQ41" s="139"/>
      <c r="LFR41" s="139"/>
      <c r="LFS41" s="139"/>
      <c r="LFT41" s="139"/>
      <c r="LFU41" s="139"/>
      <c r="LFV41" s="139"/>
      <c r="LFW41" s="139"/>
      <c r="LFX41" s="139"/>
      <c r="LFY41" s="139"/>
      <c r="LFZ41" s="139"/>
      <c r="LGA41" s="139"/>
      <c r="LGB41" s="139"/>
      <c r="LGC41" s="139"/>
      <c r="LGD41" s="139"/>
      <c r="LGE41" s="139"/>
      <c r="LGF41" s="139"/>
      <c r="LGG41" s="139"/>
      <c r="LGH41" s="139"/>
      <c r="LGI41" s="139"/>
      <c r="LGJ41" s="139"/>
      <c r="LGK41" s="139"/>
      <c r="LGL41" s="139"/>
      <c r="LGM41" s="139"/>
      <c r="LGN41" s="139"/>
      <c r="LGO41" s="139"/>
      <c r="LGP41" s="139"/>
      <c r="LGQ41" s="139"/>
      <c r="LGR41" s="139"/>
      <c r="LGS41" s="139"/>
      <c r="LGT41" s="139"/>
      <c r="LGU41" s="139"/>
      <c r="LGV41" s="139"/>
      <c r="LGW41" s="139"/>
      <c r="LGX41" s="139"/>
      <c r="LGY41" s="139"/>
      <c r="LGZ41" s="139"/>
      <c r="LHA41" s="139"/>
      <c r="LHB41" s="139"/>
      <c r="LHC41" s="139"/>
      <c r="LHD41" s="139"/>
      <c r="LHE41" s="139"/>
      <c r="LHF41" s="139"/>
      <c r="LHG41" s="139"/>
      <c r="LHH41" s="139"/>
      <c r="LHI41" s="139"/>
      <c r="LHJ41" s="139"/>
      <c r="LHK41" s="139"/>
      <c r="LHL41" s="139"/>
      <c r="LHM41" s="139"/>
      <c r="LHN41" s="139"/>
      <c r="LHO41" s="139"/>
      <c r="LHP41" s="139"/>
      <c r="LHQ41" s="139"/>
      <c r="LHR41" s="139"/>
      <c r="LHS41" s="139"/>
      <c r="LHT41" s="139"/>
      <c r="LHU41" s="139"/>
      <c r="LHV41" s="139"/>
      <c r="LHW41" s="139"/>
      <c r="LHX41" s="139"/>
      <c r="LHY41" s="139"/>
      <c r="LHZ41" s="139"/>
      <c r="LIA41" s="139"/>
      <c r="LIB41" s="139"/>
      <c r="LIC41" s="139"/>
      <c r="LID41" s="139"/>
      <c r="LIE41" s="139"/>
      <c r="LIF41" s="139"/>
      <c r="LIG41" s="139"/>
      <c r="LIH41" s="139"/>
      <c r="LII41" s="139"/>
      <c r="LIJ41" s="139"/>
      <c r="LIK41" s="139"/>
      <c r="LIL41" s="139"/>
      <c r="LIM41" s="139"/>
      <c r="LIN41" s="139"/>
      <c r="LIO41" s="139"/>
      <c r="LIP41" s="139"/>
      <c r="LIQ41" s="139"/>
      <c r="LIR41" s="139"/>
      <c r="LIS41" s="139"/>
      <c r="LIT41" s="139"/>
      <c r="LIU41" s="139"/>
      <c r="LIV41" s="139"/>
      <c r="LIW41" s="139"/>
      <c r="LIX41" s="139"/>
      <c r="LIY41" s="139"/>
      <c r="LIZ41" s="139"/>
      <c r="LJA41" s="139"/>
      <c r="LJB41" s="139"/>
      <c r="LJC41" s="139"/>
      <c r="LJD41" s="139"/>
      <c r="LJE41" s="139"/>
      <c r="LJF41" s="139"/>
      <c r="LJG41" s="139"/>
      <c r="LJH41" s="139"/>
      <c r="LJI41" s="139"/>
      <c r="LJJ41" s="139"/>
      <c r="LJK41" s="139"/>
      <c r="LJL41" s="139"/>
      <c r="LJM41" s="139"/>
      <c r="LJN41" s="139"/>
      <c r="LJO41" s="139"/>
      <c r="LJP41" s="139"/>
      <c r="LJQ41" s="139"/>
      <c r="LJR41" s="139"/>
      <c r="LJS41" s="139"/>
      <c r="LJT41" s="139"/>
      <c r="LJU41" s="139"/>
      <c r="LJV41" s="139"/>
      <c r="LJW41" s="139"/>
      <c r="LJX41" s="139"/>
      <c r="LJY41" s="139"/>
      <c r="LJZ41" s="139"/>
      <c r="LKA41" s="139"/>
      <c r="LKB41" s="139"/>
      <c r="LKC41" s="139"/>
      <c r="LKD41" s="139"/>
      <c r="LKE41" s="139"/>
      <c r="LKF41" s="139"/>
      <c r="LKG41" s="139"/>
      <c r="LKH41" s="139"/>
      <c r="LKI41" s="139"/>
      <c r="LKJ41" s="139"/>
      <c r="LKK41" s="139"/>
      <c r="LKL41" s="139"/>
      <c r="LKM41" s="139"/>
      <c r="LKN41" s="139"/>
      <c r="LKO41" s="139"/>
      <c r="LKP41" s="139"/>
      <c r="LKQ41" s="139"/>
      <c r="LKR41" s="139"/>
      <c r="LKS41" s="139"/>
      <c r="LKT41" s="139"/>
      <c r="LKU41" s="139"/>
      <c r="LKV41" s="139"/>
      <c r="LKW41" s="139"/>
      <c r="LKX41" s="139"/>
      <c r="LKY41" s="139"/>
      <c r="LKZ41" s="139"/>
      <c r="LLA41" s="139"/>
      <c r="LLB41" s="139"/>
      <c r="LLC41" s="139"/>
      <c r="LLD41" s="139"/>
      <c r="LLE41" s="139"/>
      <c r="LLF41" s="139"/>
      <c r="LLG41" s="139"/>
      <c r="LLH41" s="139"/>
      <c r="LLI41" s="139"/>
      <c r="LLJ41" s="139"/>
      <c r="LLK41" s="139"/>
      <c r="LLL41" s="139"/>
      <c r="LLM41" s="139"/>
      <c r="LLN41" s="139"/>
      <c r="LLO41" s="139"/>
      <c r="LLP41" s="139"/>
      <c r="LLQ41" s="139"/>
      <c r="LLR41" s="139"/>
      <c r="LLS41" s="139"/>
      <c r="LLT41" s="139"/>
      <c r="LLU41" s="139"/>
      <c r="LLV41" s="139"/>
      <c r="LLW41" s="139"/>
      <c r="LLX41" s="139"/>
      <c r="LLY41" s="139"/>
      <c r="LLZ41" s="139"/>
      <c r="LMA41" s="139"/>
      <c r="LMB41" s="139"/>
      <c r="LMC41" s="139"/>
      <c r="LMD41" s="139"/>
      <c r="LME41" s="139"/>
      <c r="LMF41" s="139"/>
      <c r="LMG41" s="139"/>
      <c r="LMH41" s="139"/>
      <c r="LMI41" s="139"/>
      <c r="LMJ41" s="139"/>
      <c r="LMK41" s="139"/>
      <c r="LML41" s="139"/>
      <c r="LMM41" s="139"/>
      <c r="LMN41" s="139"/>
      <c r="LMO41" s="139"/>
      <c r="LMP41" s="139"/>
      <c r="LMQ41" s="139"/>
      <c r="LMR41" s="139"/>
      <c r="LMS41" s="139"/>
      <c r="LMT41" s="139"/>
      <c r="LMU41" s="139"/>
      <c r="LMV41" s="139"/>
      <c r="LMW41" s="139"/>
      <c r="LMX41" s="139"/>
      <c r="LMY41" s="139"/>
      <c r="LMZ41" s="139"/>
      <c r="LNA41" s="139"/>
      <c r="LNB41" s="139"/>
      <c r="LNC41" s="139"/>
      <c r="LND41" s="139"/>
      <c r="LNE41" s="139"/>
      <c r="LNF41" s="139"/>
      <c r="LNG41" s="139"/>
      <c r="LNH41" s="139"/>
      <c r="LNI41" s="139"/>
      <c r="LNJ41" s="139"/>
      <c r="LNK41" s="139"/>
      <c r="LNL41" s="139"/>
      <c r="LNM41" s="139"/>
      <c r="LNN41" s="139"/>
      <c r="LNO41" s="139"/>
      <c r="LNP41" s="139"/>
      <c r="LNQ41" s="139"/>
      <c r="LNR41" s="139"/>
      <c r="LNS41" s="139"/>
      <c r="LNT41" s="139"/>
      <c r="LNU41" s="139"/>
      <c r="LNV41" s="139"/>
      <c r="LNW41" s="139"/>
      <c r="LNX41" s="139"/>
      <c r="LNY41" s="139"/>
      <c r="LNZ41" s="139"/>
      <c r="LOA41" s="139"/>
      <c r="LOB41" s="139"/>
      <c r="LOC41" s="139"/>
      <c r="LOD41" s="139"/>
      <c r="LOE41" s="139"/>
      <c r="LOF41" s="139"/>
      <c r="LOG41" s="139"/>
      <c r="LOH41" s="139"/>
      <c r="LOI41" s="139"/>
      <c r="LOJ41" s="139"/>
      <c r="LOK41" s="139"/>
      <c r="LOL41" s="139"/>
      <c r="LOM41" s="139"/>
      <c r="LON41" s="139"/>
      <c r="LOO41" s="139"/>
      <c r="LOP41" s="139"/>
      <c r="LOQ41" s="139"/>
      <c r="LOR41" s="139"/>
      <c r="LOS41" s="139"/>
      <c r="LOT41" s="139"/>
      <c r="LOU41" s="139"/>
      <c r="LOV41" s="139"/>
      <c r="LOW41" s="139"/>
      <c r="LOX41" s="139"/>
      <c r="LOY41" s="139"/>
      <c r="LOZ41" s="139"/>
      <c r="LPA41" s="139"/>
      <c r="LPB41" s="139"/>
      <c r="LPC41" s="139"/>
      <c r="LPD41" s="139"/>
      <c r="LPE41" s="139"/>
      <c r="LPF41" s="139"/>
      <c r="LPG41" s="139"/>
      <c r="LPH41" s="139"/>
      <c r="LPI41" s="139"/>
      <c r="LPJ41" s="139"/>
      <c r="LPK41" s="139"/>
      <c r="LPL41" s="139"/>
      <c r="LPM41" s="139"/>
      <c r="LPN41" s="139"/>
      <c r="LPO41" s="139"/>
      <c r="LPP41" s="139"/>
      <c r="LPQ41" s="139"/>
      <c r="LPR41" s="139"/>
      <c r="LPS41" s="139"/>
      <c r="LPT41" s="139"/>
      <c r="LPU41" s="139"/>
      <c r="LPV41" s="139"/>
      <c r="LPW41" s="139"/>
      <c r="LPX41" s="139"/>
      <c r="LPY41" s="139"/>
      <c r="LPZ41" s="139"/>
      <c r="LQA41" s="139"/>
      <c r="LQB41" s="139"/>
      <c r="LQC41" s="139"/>
      <c r="LQD41" s="139"/>
      <c r="LQE41" s="139"/>
      <c r="LQF41" s="139"/>
      <c r="LQG41" s="139"/>
      <c r="LQH41" s="139"/>
      <c r="LQI41" s="139"/>
      <c r="LQJ41" s="139"/>
      <c r="LQK41" s="139"/>
      <c r="LQL41" s="139"/>
      <c r="LQM41" s="139"/>
      <c r="LQN41" s="139"/>
      <c r="LQO41" s="139"/>
      <c r="LQP41" s="139"/>
      <c r="LQQ41" s="139"/>
      <c r="LQR41" s="139"/>
      <c r="LQS41" s="139"/>
      <c r="LQT41" s="139"/>
      <c r="LQU41" s="139"/>
      <c r="LQV41" s="139"/>
      <c r="LQW41" s="139"/>
      <c r="LQX41" s="139"/>
      <c r="LQY41" s="139"/>
      <c r="LQZ41" s="139"/>
      <c r="LRA41" s="139"/>
      <c r="LRB41" s="139"/>
      <c r="LRC41" s="139"/>
      <c r="LRD41" s="139"/>
      <c r="LRE41" s="139"/>
      <c r="LRF41" s="139"/>
      <c r="LRG41" s="139"/>
      <c r="LRH41" s="139"/>
      <c r="LRI41" s="139"/>
      <c r="LRJ41" s="139"/>
      <c r="LRK41" s="139"/>
      <c r="LRL41" s="139"/>
      <c r="LRM41" s="139"/>
      <c r="LRN41" s="139"/>
      <c r="LRO41" s="139"/>
      <c r="LRP41" s="139"/>
      <c r="LRQ41" s="139"/>
      <c r="LRR41" s="139"/>
      <c r="LRS41" s="139"/>
      <c r="LRT41" s="139"/>
      <c r="LRU41" s="139"/>
      <c r="LRV41" s="139"/>
      <c r="LRW41" s="139"/>
      <c r="LRX41" s="139"/>
      <c r="LRY41" s="139"/>
      <c r="LRZ41" s="139"/>
      <c r="LSA41" s="139"/>
      <c r="LSB41" s="139"/>
      <c r="LSC41" s="139"/>
      <c r="LSD41" s="139"/>
      <c r="LSE41" s="139"/>
      <c r="LSF41" s="139"/>
      <c r="LSG41" s="139"/>
      <c r="LSH41" s="139"/>
      <c r="LSI41" s="139"/>
      <c r="LSJ41" s="139"/>
      <c r="LSK41" s="139"/>
      <c r="LSL41" s="139"/>
      <c r="LSM41" s="139"/>
      <c r="LSN41" s="139"/>
      <c r="LSO41" s="139"/>
      <c r="LSP41" s="139"/>
      <c r="LSQ41" s="139"/>
      <c r="LSR41" s="139"/>
      <c r="LSS41" s="139"/>
      <c r="LST41" s="139"/>
      <c r="LSU41" s="139"/>
      <c r="LSV41" s="139"/>
      <c r="LSW41" s="139"/>
      <c r="LSX41" s="139"/>
      <c r="LSY41" s="139"/>
      <c r="LSZ41" s="139"/>
      <c r="LTA41" s="139"/>
      <c r="LTB41" s="139"/>
      <c r="LTC41" s="139"/>
      <c r="LTD41" s="139"/>
      <c r="LTE41" s="139"/>
      <c r="LTF41" s="139"/>
      <c r="LTG41" s="139"/>
      <c r="LTH41" s="139"/>
      <c r="LTI41" s="139"/>
      <c r="LTJ41" s="139"/>
      <c r="LTK41" s="139"/>
      <c r="LTL41" s="139"/>
      <c r="LTM41" s="139"/>
      <c r="LTN41" s="139"/>
      <c r="LTO41" s="139"/>
      <c r="LTP41" s="139"/>
      <c r="LTQ41" s="139"/>
      <c r="LTR41" s="139"/>
      <c r="LTS41" s="139"/>
      <c r="LTT41" s="139"/>
      <c r="LTU41" s="139"/>
      <c r="LTV41" s="139"/>
      <c r="LTW41" s="139"/>
      <c r="LTX41" s="139"/>
      <c r="LTY41" s="139"/>
      <c r="LTZ41" s="139"/>
      <c r="LUA41" s="139"/>
      <c r="LUB41" s="139"/>
      <c r="LUC41" s="139"/>
      <c r="LUD41" s="139"/>
      <c r="LUE41" s="139"/>
      <c r="LUF41" s="139"/>
      <c r="LUG41" s="139"/>
      <c r="LUH41" s="139"/>
      <c r="LUI41" s="139"/>
      <c r="LUJ41" s="139"/>
      <c r="LUK41" s="139"/>
      <c r="LUL41" s="139"/>
      <c r="LUM41" s="139"/>
      <c r="LUN41" s="139"/>
      <c r="LUO41" s="139"/>
      <c r="LUP41" s="139"/>
      <c r="LUQ41" s="139"/>
      <c r="LUR41" s="139"/>
      <c r="LUS41" s="139"/>
      <c r="LUT41" s="139"/>
      <c r="LUU41" s="139"/>
      <c r="LUV41" s="139"/>
      <c r="LUW41" s="139"/>
      <c r="LUX41" s="139"/>
      <c r="LUY41" s="139"/>
      <c r="LUZ41" s="139"/>
      <c r="LVA41" s="139"/>
      <c r="LVB41" s="139"/>
      <c r="LVC41" s="139"/>
      <c r="LVD41" s="139"/>
      <c r="LVE41" s="139"/>
      <c r="LVF41" s="139"/>
      <c r="LVG41" s="139"/>
      <c r="LVH41" s="139"/>
      <c r="LVI41" s="139"/>
      <c r="LVJ41" s="139"/>
      <c r="LVK41" s="139"/>
      <c r="LVL41" s="139"/>
      <c r="LVM41" s="139"/>
      <c r="LVN41" s="139"/>
      <c r="LVO41" s="139"/>
      <c r="LVP41" s="139"/>
      <c r="LVQ41" s="139"/>
      <c r="LVR41" s="139"/>
      <c r="LVS41" s="139"/>
      <c r="LVT41" s="139"/>
      <c r="LVU41" s="139"/>
      <c r="LVV41" s="139"/>
      <c r="LVW41" s="139"/>
      <c r="LVX41" s="139"/>
      <c r="LVY41" s="139"/>
      <c r="LVZ41" s="139"/>
      <c r="LWA41" s="139"/>
      <c r="LWB41" s="139"/>
      <c r="LWC41" s="139"/>
      <c r="LWD41" s="139"/>
      <c r="LWE41" s="139"/>
      <c r="LWF41" s="139"/>
      <c r="LWG41" s="139"/>
      <c r="LWH41" s="139"/>
      <c r="LWI41" s="139"/>
      <c r="LWJ41" s="139"/>
      <c r="LWK41" s="139"/>
      <c r="LWL41" s="139"/>
      <c r="LWM41" s="139"/>
      <c r="LWN41" s="139"/>
      <c r="LWO41" s="139"/>
      <c r="LWP41" s="139"/>
      <c r="LWQ41" s="139"/>
      <c r="LWR41" s="139"/>
      <c r="LWS41" s="139"/>
      <c r="LWT41" s="139"/>
      <c r="LWU41" s="139"/>
      <c r="LWV41" s="139"/>
      <c r="LWW41" s="139"/>
      <c r="LWX41" s="139"/>
      <c r="LWY41" s="139"/>
      <c r="LWZ41" s="139"/>
      <c r="LXA41" s="139"/>
      <c r="LXB41" s="139"/>
      <c r="LXC41" s="139"/>
      <c r="LXD41" s="139"/>
      <c r="LXE41" s="139"/>
      <c r="LXF41" s="139"/>
      <c r="LXG41" s="139"/>
      <c r="LXH41" s="139"/>
      <c r="LXI41" s="139"/>
      <c r="LXJ41" s="139"/>
      <c r="LXK41" s="139"/>
      <c r="LXL41" s="139"/>
      <c r="LXM41" s="139"/>
      <c r="LXN41" s="139"/>
      <c r="LXO41" s="139"/>
      <c r="LXP41" s="139"/>
      <c r="LXQ41" s="139"/>
      <c r="LXR41" s="139"/>
      <c r="LXS41" s="139"/>
      <c r="LXT41" s="139"/>
      <c r="LXU41" s="139"/>
      <c r="LXV41" s="139"/>
      <c r="LXW41" s="139"/>
      <c r="LXX41" s="139"/>
      <c r="LXY41" s="139"/>
      <c r="LXZ41" s="139"/>
      <c r="LYA41" s="139"/>
      <c r="LYB41" s="139"/>
      <c r="LYC41" s="139"/>
      <c r="LYD41" s="139"/>
      <c r="LYE41" s="139"/>
      <c r="LYF41" s="139"/>
      <c r="LYG41" s="139"/>
      <c r="LYH41" s="139"/>
      <c r="LYI41" s="139"/>
      <c r="LYJ41" s="139"/>
      <c r="LYK41" s="139"/>
      <c r="LYL41" s="139"/>
      <c r="LYM41" s="139"/>
      <c r="LYN41" s="139"/>
      <c r="LYO41" s="139"/>
      <c r="LYP41" s="139"/>
      <c r="LYQ41" s="139"/>
      <c r="LYR41" s="139"/>
      <c r="LYS41" s="139"/>
      <c r="LYT41" s="139"/>
      <c r="LYU41" s="139"/>
      <c r="LYV41" s="139"/>
      <c r="LYW41" s="139"/>
      <c r="LYX41" s="139"/>
      <c r="LYY41" s="139"/>
      <c r="LYZ41" s="139"/>
      <c r="LZA41" s="139"/>
      <c r="LZB41" s="139"/>
      <c r="LZC41" s="139"/>
      <c r="LZD41" s="139"/>
      <c r="LZE41" s="139"/>
      <c r="LZF41" s="139"/>
      <c r="LZG41" s="139"/>
      <c r="LZH41" s="139"/>
      <c r="LZI41" s="139"/>
      <c r="LZJ41" s="139"/>
      <c r="LZK41" s="139"/>
      <c r="LZL41" s="139"/>
      <c r="LZM41" s="139"/>
      <c r="LZN41" s="139"/>
      <c r="LZO41" s="139"/>
      <c r="LZP41" s="139"/>
      <c r="LZQ41" s="139"/>
      <c r="LZR41" s="139"/>
      <c r="LZS41" s="139"/>
      <c r="LZT41" s="139"/>
      <c r="LZU41" s="139"/>
      <c r="LZV41" s="139"/>
      <c r="LZW41" s="139"/>
      <c r="LZX41" s="139"/>
      <c r="LZY41" s="139"/>
      <c r="LZZ41" s="139"/>
      <c r="MAA41" s="139"/>
      <c r="MAB41" s="139"/>
      <c r="MAC41" s="139"/>
      <c r="MAD41" s="139"/>
      <c r="MAE41" s="139"/>
      <c r="MAF41" s="139"/>
      <c r="MAG41" s="139"/>
      <c r="MAH41" s="139"/>
      <c r="MAI41" s="139"/>
      <c r="MAJ41" s="139"/>
      <c r="MAK41" s="139"/>
      <c r="MAL41" s="139"/>
      <c r="MAM41" s="139"/>
      <c r="MAN41" s="139"/>
      <c r="MAO41" s="139"/>
      <c r="MAP41" s="139"/>
      <c r="MAQ41" s="139"/>
      <c r="MAR41" s="139"/>
      <c r="MAS41" s="139"/>
      <c r="MAT41" s="139"/>
      <c r="MAU41" s="139"/>
      <c r="MAV41" s="139"/>
      <c r="MAW41" s="139"/>
      <c r="MAX41" s="139"/>
      <c r="MAY41" s="139"/>
      <c r="MAZ41" s="139"/>
      <c r="MBA41" s="139"/>
      <c r="MBB41" s="139"/>
      <c r="MBC41" s="139"/>
      <c r="MBD41" s="139"/>
      <c r="MBE41" s="139"/>
      <c r="MBF41" s="139"/>
      <c r="MBG41" s="139"/>
      <c r="MBH41" s="139"/>
      <c r="MBI41" s="139"/>
      <c r="MBJ41" s="139"/>
      <c r="MBK41" s="139"/>
      <c r="MBL41" s="139"/>
      <c r="MBM41" s="139"/>
      <c r="MBN41" s="139"/>
      <c r="MBO41" s="139"/>
      <c r="MBP41" s="139"/>
      <c r="MBQ41" s="139"/>
      <c r="MBR41" s="139"/>
      <c r="MBS41" s="139"/>
      <c r="MBT41" s="139"/>
      <c r="MBU41" s="139"/>
      <c r="MBV41" s="139"/>
      <c r="MBW41" s="139"/>
      <c r="MBX41" s="139"/>
      <c r="MBY41" s="139"/>
      <c r="MBZ41" s="139"/>
      <c r="MCA41" s="139"/>
      <c r="MCB41" s="139"/>
      <c r="MCC41" s="139"/>
      <c r="MCD41" s="139"/>
      <c r="MCE41" s="139"/>
      <c r="MCF41" s="139"/>
      <c r="MCG41" s="139"/>
      <c r="MCH41" s="139"/>
      <c r="MCI41" s="139"/>
      <c r="MCJ41" s="139"/>
      <c r="MCK41" s="139"/>
      <c r="MCL41" s="139"/>
      <c r="MCM41" s="139"/>
      <c r="MCN41" s="139"/>
      <c r="MCO41" s="139"/>
      <c r="MCP41" s="139"/>
      <c r="MCQ41" s="139"/>
      <c r="MCR41" s="139"/>
      <c r="MCS41" s="139"/>
      <c r="MCT41" s="139"/>
      <c r="MCU41" s="139"/>
      <c r="MCV41" s="139"/>
      <c r="MCW41" s="139"/>
      <c r="MCX41" s="139"/>
      <c r="MCY41" s="139"/>
      <c r="MCZ41" s="139"/>
      <c r="MDA41" s="139"/>
      <c r="MDB41" s="139"/>
      <c r="MDC41" s="139"/>
      <c r="MDD41" s="139"/>
      <c r="MDE41" s="139"/>
      <c r="MDF41" s="139"/>
      <c r="MDG41" s="139"/>
      <c r="MDH41" s="139"/>
      <c r="MDI41" s="139"/>
      <c r="MDJ41" s="139"/>
      <c r="MDK41" s="139"/>
      <c r="MDL41" s="139"/>
      <c r="MDM41" s="139"/>
      <c r="MDN41" s="139"/>
      <c r="MDO41" s="139"/>
      <c r="MDP41" s="139"/>
      <c r="MDQ41" s="139"/>
      <c r="MDR41" s="139"/>
      <c r="MDS41" s="139"/>
      <c r="MDT41" s="139"/>
      <c r="MDU41" s="139"/>
      <c r="MDV41" s="139"/>
      <c r="MDW41" s="139"/>
      <c r="MDX41" s="139"/>
      <c r="MDY41" s="139"/>
      <c r="MDZ41" s="139"/>
      <c r="MEA41" s="139"/>
      <c r="MEB41" s="139"/>
      <c r="MEC41" s="139"/>
      <c r="MED41" s="139"/>
      <c r="MEE41" s="139"/>
      <c r="MEF41" s="139"/>
      <c r="MEG41" s="139"/>
      <c r="MEH41" s="139"/>
      <c r="MEI41" s="139"/>
      <c r="MEJ41" s="139"/>
      <c r="MEK41" s="139"/>
      <c r="MEL41" s="139"/>
      <c r="MEM41" s="139"/>
      <c r="MEN41" s="139"/>
      <c r="MEO41" s="139"/>
      <c r="MEP41" s="139"/>
      <c r="MEQ41" s="139"/>
      <c r="MER41" s="139"/>
      <c r="MES41" s="139"/>
      <c r="MET41" s="139"/>
      <c r="MEU41" s="139"/>
      <c r="MEV41" s="139"/>
      <c r="MEW41" s="139"/>
      <c r="MEX41" s="139"/>
      <c r="MEY41" s="139"/>
      <c r="MEZ41" s="139"/>
      <c r="MFA41" s="139"/>
      <c r="MFB41" s="139"/>
      <c r="MFC41" s="139"/>
      <c r="MFD41" s="139"/>
      <c r="MFE41" s="139"/>
      <c r="MFF41" s="139"/>
      <c r="MFG41" s="139"/>
      <c r="MFH41" s="139"/>
      <c r="MFI41" s="139"/>
      <c r="MFJ41" s="139"/>
      <c r="MFK41" s="139"/>
      <c r="MFL41" s="139"/>
      <c r="MFM41" s="139"/>
      <c r="MFN41" s="139"/>
      <c r="MFO41" s="139"/>
      <c r="MFP41" s="139"/>
      <c r="MFQ41" s="139"/>
      <c r="MFR41" s="139"/>
      <c r="MFS41" s="139"/>
      <c r="MFT41" s="139"/>
      <c r="MFU41" s="139"/>
      <c r="MFV41" s="139"/>
      <c r="MFW41" s="139"/>
      <c r="MFX41" s="139"/>
      <c r="MFY41" s="139"/>
      <c r="MFZ41" s="139"/>
      <c r="MGA41" s="139"/>
      <c r="MGB41" s="139"/>
      <c r="MGC41" s="139"/>
      <c r="MGD41" s="139"/>
      <c r="MGE41" s="139"/>
      <c r="MGF41" s="139"/>
      <c r="MGG41" s="139"/>
      <c r="MGH41" s="139"/>
      <c r="MGI41" s="139"/>
      <c r="MGJ41" s="139"/>
      <c r="MGK41" s="139"/>
      <c r="MGL41" s="139"/>
      <c r="MGM41" s="139"/>
      <c r="MGN41" s="139"/>
      <c r="MGO41" s="139"/>
      <c r="MGP41" s="139"/>
      <c r="MGQ41" s="139"/>
      <c r="MGR41" s="139"/>
      <c r="MGS41" s="139"/>
      <c r="MGT41" s="139"/>
      <c r="MGU41" s="139"/>
      <c r="MGV41" s="139"/>
      <c r="MGW41" s="139"/>
      <c r="MGX41" s="139"/>
      <c r="MGY41" s="139"/>
      <c r="MGZ41" s="139"/>
      <c r="MHA41" s="139"/>
      <c r="MHB41" s="139"/>
      <c r="MHC41" s="139"/>
      <c r="MHD41" s="139"/>
      <c r="MHE41" s="139"/>
      <c r="MHF41" s="139"/>
      <c r="MHG41" s="139"/>
      <c r="MHH41" s="139"/>
      <c r="MHI41" s="139"/>
      <c r="MHJ41" s="139"/>
      <c r="MHK41" s="139"/>
      <c r="MHL41" s="139"/>
      <c r="MHM41" s="139"/>
      <c r="MHN41" s="139"/>
      <c r="MHO41" s="139"/>
      <c r="MHP41" s="139"/>
      <c r="MHQ41" s="139"/>
      <c r="MHR41" s="139"/>
      <c r="MHS41" s="139"/>
      <c r="MHT41" s="139"/>
      <c r="MHU41" s="139"/>
      <c r="MHV41" s="139"/>
      <c r="MHW41" s="139"/>
      <c r="MHX41" s="139"/>
      <c r="MHY41" s="139"/>
      <c r="MHZ41" s="139"/>
      <c r="MIA41" s="139"/>
      <c r="MIB41" s="139"/>
      <c r="MIC41" s="139"/>
      <c r="MID41" s="139"/>
      <c r="MIE41" s="139"/>
      <c r="MIF41" s="139"/>
      <c r="MIG41" s="139"/>
      <c r="MIH41" s="139"/>
      <c r="MII41" s="139"/>
      <c r="MIJ41" s="139"/>
      <c r="MIK41" s="139"/>
      <c r="MIL41" s="139"/>
      <c r="MIM41" s="139"/>
      <c r="MIN41" s="139"/>
      <c r="MIO41" s="139"/>
      <c r="MIP41" s="139"/>
      <c r="MIQ41" s="139"/>
      <c r="MIR41" s="139"/>
      <c r="MIS41" s="139"/>
      <c r="MIT41" s="139"/>
      <c r="MIU41" s="139"/>
      <c r="MIV41" s="139"/>
      <c r="MIW41" s="139"/>
      <c r="MIX41" s="139"/>
      <c r="MIY41" s="139"/>
      <c r="MIZ41" s="139"/>
      <c r="MJA41" s="139"/>
      <c r="MJB41" s="139"/>
      <c r="MJC41" s="139"/>
      <c r="MJD41" s="139"/>
      <c r="MJE41" s="139"/>
      <c r="MJF41" s="139"/>
      <c r="MJG41" s="139"/>
      <c r="MJH41" s="139"/>
      <c r="MJI41" s="139"/>
      <c r="MJJ41" s="139"/>
      <c r="MJK41" s="139"/>
      <c r="MJL41" s="139"/>
      <c r="MJM41" s="139"/>
      <c r="MJN41" s="139"/>
      <c r="MJO41" s="139"/>
      <c r="MJP41" s="139"/>
      <c r="MJQ41" s="139"/>
      <c r="MJR41" s="139"/>
      <c r="MJS41" s="139"/>
      <c r="MJT41" s="139"/>
      <c r="MJU41" s="139"/>
      <c r="MJV41" s="139"/>
      <c r="MJW41" s="139"/>
      <c r="MJX41" s="139"/>
      <c r="MJY41" s="139"/>
      <c r="MJZ41" s="139"/>
      <c r="MKA41" s="139"/>
      <c r="MKB41" s="139"/>
      <c r="MKC41" s="139"/>
      <c r="MKD41" s="139"/>
      <c r="MKE41" s="139"/>
      <c r="MKF41" s="139"/>
      <c r="MKG41" s="139"/>
      <c r="MKH41" s="139"/>
      <c r="MKI41" s="139"/>
      <c r="MKJ41" s="139"/>
      <c r="MKK41" s="139"/>
      <c r="MKL41" s="139"/>
      <c r="MKM41" s="139"/>
      <c r="MKN41" s="139"/>
      <c r="MKO41" s="139"/>
      <c r="MKP41" s="139"/>
      <c r="MKQ41" s="139"/>
      <c r="MKR41" s="139"/>
      <c r="MKS41" s="139"/>
      <c r="MKT41" s="139"/>
      <c r="MKU41" s="139"/>
      <c r="MKV41" s="139"/>
      <c r="MKW41" s="139"/>
      <c r="MKX41" s="139"/>
      <c r="MKY41" s="139"/>
      <c r="MKZ41" s="139"/>
      <c r="MLA41" s="139"/>
      <c r="MLB41" s="139"/>
      <c r="MLC41" s="139"/>
      <c r="MLD41" s="139"/>
      <c r="MLE41" s="139"/>
      <c r="MLF41" s="139"/>
      <c r="MLG41" s="139"/>
      <c r="MLH41" s="139"/>
      <c r="MLI41" s="139"/>
      <c r="MLJ41" s="139"/>
      <c r="MLK41" s="139"/>
      <c r="MLL41" s="139"/>
      <c r="MLM41" s="139"/>
      <c r="MLN41" s="139"/>
      <c r="MLO41" s="139"/>
      <c r="MLP41" s="139"/>
      <c r="MLQ41" s="139"/>
      <c r="MLR41" s="139"/>
      <c r="MLS41" s="139"/>
      <c r="MLT41" s="139"/>
      <c r="MLU41" s="139"/>
      <c r="MLV41" s="139"/>
      <c r="MLW41" s="139"/>
      <c r="MLX41" s="139"/>
      <c r="MLY41" s="139"/>
      <c r="MLZ41" s="139"/>
      <c r="MMA41" s="139"/>
      <c r="MMB41" s="139"/>
      <c r="MMC41" s="139"/>
      <c r="MMD41" s="139"/>
      <c r="MME41" s="139"/>
      <c r="MMF41" s="139"/>
      <c r="MMG41" s="139"/>
      <c r="MMH41" s="139"/>
      <c r="MMI41" s="139"/>
      <c r="MMJ41" s="139"/>
      <c r="MMK41" s="139"/>
      <c r="MML41" s="139"/>
      <c r="MMM41" s="139"/>
      <c r="MMN41" s="139"/>
      <c r="MMO41" s="139"/>
      <c r="MMP41" s="139"/>
      <c r="MMQ41" s="139"/>
      <c r="MMR41" s="139"/>
      <c r="MMS41" s="139"/>
      <c r="MMT41" s="139"/>
      <c r="MMU41" s="139"/>
      <c r="MMV41" s="139"/>
      <c r="MMW41" s="139"/>
      <c r="MMX41" s="139"/>
      <c r="MMY41" s="139"/>
      <c r="MMZ41" s="139"/>
      <c r="MNA41" s="139"/>
      <c r="MNB41" s="139"/>
      <c r="MNC41" s="139"/>
      <c r="MND41" s="139"/>
      <c r="MNE41" s="139"/>
      <c r="MNF41" s="139"/>
      <c r="MNG41" s="139"/>
      <c r="MNH41" s="139"/>
      <c r="MNI41" s="139"/>
      <c r="MNJ41" s="139"/>
      <c r="MNK41" s="139"/>
      <c r="MNL41" s="139"/>
      <c r="MNM41" s="139"/>
      <c r="MNN41" s="139"/>
      <c r="MNO41" s="139"/>
      <c r="MNP41" s="139"/>
      <c r="MNQ41" s="139"/>
      <c r="MNR41" s="139"/>
      <c r="MNS41" s="139"/>
      <c r="MNT41" s="139"/>
      <c r="MNU41" s="139"/>
      <c r="MNV41" s="139"/>
      <c r="MNW41" s="139"/>
      <c r="MNX41" s="139"/>
      <c r="MNY41" s="139"/>
      <c r="MNZ41" s="139"/>
      <c r="MOA41" s="139"/>
      <c r="MOB41" s="139"/>
      <c r="MOC41" s="139"/>
      <c r="MOD41" s="139"/>
      <c r="MOE41" s="139"/>
      <c r="MOF41" s="139"/>
      <c r="MOG41" s="139"/>
      <c r="MOH41" s="139"/>
      <c r="MOI41" s="139"/>
      <c r="MOJ41" s="139"/>
      <c r="MOK41" s="139"/>
      <c r="MOL41" s="139"/>
      <c r="MOM41" s="139"/>
      <c r="MON41" s="139"/>
      <c r="MOO41" s="139"/>
      <c r="MOP41" s="139"/>
      <c r="MOQ41" s="139"/>
      <c r="MOR41" s="139"/>
      <c r="MOS41" s="139"/>
      <c r="MOT41" s="139"/>
      <c r="MOU41" s="139"/>
      <c r="MOV41" s="139"/>
      <c r="MOW41" s="139"/>
      <c r="MOX41" s="139"/>
      <c r="MOY41" s="139"/>
      <c r="MOZ41" s="139"/>
      <c r="MPA41" s="139"/>
      <c r="MPB41" s="139"/>
      <c r="MPC41" s="139"/>
      <c r="MPD41" s="139"/>
      <c r="MPE41" s="139"/>
      <c r="MPF41" s="139"/>
      <c r="MPG41" s="139"/>
      <c r="MPH41" s="139"/>
      <c r="MPI41" s="139"/>
      <c r="MPJ41" s="139"/>
      <c r="MPK41" s="139"/>
      <c r="MPL41" s="139"/>
      <c r="MPM41" s="139"/>
      <c r="MPN41" s="139"/>
      <c r="MPO41" s="139"/>
      <c r="MPP41" s="139"/>
      <c r="MPQ41" s="139"/>
      <c r="MPR41" s="139"/>
      <c r="MPS41" s="139"/>
      <c r="MPT41" s="139"/>
      <c r="MPU41" s="139"/>
      <c r="MPV41" s="139"/>
      <c r="MPW41" s="139"/>
      <c r="MPX41" s="139"/>
      <c r="MPY41" s="139"/>
      <c r="MPZ41" s="139"/>
      <c r="MQA41" s="139"/>
      <c r="MQB41" s="139"/>
      <c r="MQC41" s="139"/>
      <c r="MQD41" s="139"/>
      <c r="MQE41" s="139"/>
      <c r="MQF41" s="139"/>
      <c r="MQG41" s="139"/>
      <c r="MQH41" s="139"/>
      <c r="MQI41" s="139"/>
      <c r="MQJ41" s="139"/>
      <c r="MQK41" s="139"/>
      <c r="MQL41" s="139"/>
      <c r="MQM41" s="139"/>
      <c r="MQN41" s="139"/>
      <c r="MQO41" s="139"/>
      <c r="MQP41" s="139"/>
      <c r="MQQ41" s="139"/>
      <c r="MQR41" s="139"/>
      <c r="MQS41" s="139"/>
      <c r="MQT41" s="139"/>
      <c r="MQU41" s="139"/>
      <c r="MQV41" s="139"/>
      <c r="MQW41" s="139"/>
      <c r="MQX41" s="139"/>
      <c r="MQY41" s="139"/>
      <c r="MQZ41" s="139"/>
      <c r="MRA41" s="139"/>
      <c r="MRB41" s="139"/>
      <c r="MRC41" s="139"/>
      <c r="MRD41" s="139"/>
      <c r="MRE41" s="139"/>
      <c r="MRF41" s="139"/>
      <c r="MRG41" s="139"/>
      <c r="MRH41" s="139"/>
      <c r="MRI41" s="139"/>
      <c r="MRJ41" s="139"/>
      <c r="MRK41" s="139"/>
      <c r="MRL41" s="139"/>
      <c r="MRM41" s="139"/>
      <c r="MRN41" s="139"/>
      <c r="MRO41" s="139"/>
      <c r="MRP41" s="139"/>
      <c r="MRQ41" s="139"/>
      <c r="MRR41" s="139"/>
      <c r="MRS41" s="139"/>
      <c r="MRT41" s="139"/>
      <c r="MRU41" s="139"/>
      <c r="MRV41" s="139"/>
      <c r="MRW41" s="139"/>
      <c r="MRX41" s="139"/>
      <c r="MRY41" s="139"/>
      <c r="MRZ41" s="139"/>
      <c r="MSA41" s="139"/>
      <c r="MSB41" s="139"/>
      <c r="MSC41" s="139"/>
      <c r="MSD41" s="139"/>
      <c r="MSE41" s="139"/>
      <c r="MSF41" s="139"/>
      <c r="MSG41" s="139"/>
      <c r="MSH41" s="139"/>
      <c r="MSI41" s="139"/>
      <c r="MSJ41" s="139"/>
      <c r="MSK41" s="139"/>
      <c r="MSL41" s="139"/>
      <c r="MSM41" s="139"/>
      <c r="MSN41" s="139"/>
      <c r="MSO41" s="139"/>
      <c r="MSP41" s="139"/>
      <c r="MSQ41" s="139"/>
      <c r="MSR41" s="139"/>
      <c r="MSS41" s="139"/>
      <c r="MST41" s="139"/>
      <c r="MSU41" s="139"/>
      <c r="MSV41" s="139"/>
      <c r="MSW41" s="139"/>
      <c r="MSX41" s="139"/>
      <c r="MSY41" s="139"/>
      <c r="MSZ41" s="139"/>
      <c r="MTA41" s="139"/>
      <c r="MTB41" s="139"/>
      <c r="MTC41" s="139"/>
      <c r="MTD41" s="139"/>
      <c r="MTE41" s="139"/>
      <c r="MTF41" s="139"/>
      <c r="MTG41" s="139"/>
      <c r="MTH41" s="139"/>
      <c r="MTI41" s="139"/>
      <c r="MTJ41" s="139"/>
      <c r="MTK41" s="139"/>
      <c r="MTL41" s="139"/>
      <c r="MTM41" s="139"/>
      <c r="MTN41" s="139"/>
      <c r="MTO41" s="139"/>
      <c r="MTP41" s="139"/>
      <c r="MTQ41" s="139"/>
      <c r="MTR41" s="139"/>
      <c r="MTS41" s="139"/>
      <c r="MTT41" s="139"/>
      <c r="MTU41" s="139"/>
      <c r="MTV41" s="139"/>
      <c r="MTW41" s="139"/>
      <c r="MTX41" s="139"/>
      <c r="MTY41" s="139"/>
      <c r="MTZ41" s="139"/>
      <c r="MUA41" s="139"/>
      <c r="MUB41" s="139"/>
      <c r="MUC41" s="139"/>
      <c r="MUD41" s="139"/>
      <c r="MUE41" s="139"/>
      <c r="MUF41" s="139"/>
      <c r="MUG41" s="139"/>
      <c r="MUH41" s="139"/>
      <c r="MUI41" s="139"/>
      <c r="MUJ41" s="139"/>
      <c r="MUK41" s="139"/>
      <c r="MUL41" s="139"/>
      <c r="MUM41" s="139"/>
      <c r="MUN41" s="139"/>
      <c r="MUO41" s="139"/>
      <c r="MUP41" s="139"/>
      <c r="MUQ41" s="139"/>
      <c r="MUR41" s="139"/>
      <c r="MUS41" s="139"/>
      <c r="MUT41" s="139"/>
      <c r="MUU41" s="139"/>
      <c r="MUV41" s="139"/>
      <c r="MUW41" s="139"/>
      <c r="MUX41" s="139"/>
      <c r="MUY41" s="139"/>
      <c r="MUZ41" s="139"/>
      <c r="MVA41" s="139"/>
      <c r="MVB41" s="139"/>
      <c r="MVC41" s="139"/>
      <c r="MVD41" s="139"/>
      <c r="MVE41" s="139"/>
      <c r="MVF41" s="139"/>
      <c r="MVG41" s="139"/>
      <c r="MVH41" s="139"/>
      <c r="MVI41" s="139"/>
      <c r="MVJ41" s="139"/>
      <c r="MVK41" s="139"/>
      <c r="MVL41" s="139"/>
      <c r="MVM41" s="139"/>
      <c r="MVN41" s="139"/>
      <c r="MVO41" s="139"/>
      <c r="MVP41" s="139"/>
      <c r="MVQ41" s="139"/>
      <c r="MVR41" s="139"/>
      <c r="MVS41" s="139"/>
      <c r="MVT41" s="139"/>
      <c r="MVU41" s="139"/>
      <c r="MVV41" s="139"/>
      <c r="MVW41" s="139"/>
      <c r="MVX41" s="139"/>
      <c r="MVY41" s="139"/>
      <c r="MVZ41" s="139"/>
      <c r="MWA41" s="139"/>
      <c r="MWB41" s="139"/>
      <c r="MWC41" s="139"/>
      <c r="MWD41" s="139"/>
      <c r="MWE41" s="139"/>
      <c r="MWF41" s="139"/>
      <c r="MWG41" s="139"/>
      <c r="MWH41" s="139"/>
      <c r="MWI41" s="139"/>
      <c r="MWJ41" s="139"/>
      <c r="MWK41" s="139"/>
      <c r="MWL41" s="139"/>
      <c r="MWM41" s="139"/>
      <c r="MWN41" s="139"/>
      <c r="MWO41" s="139"/>
      <c r="MWP41" s="139"/>
      <c r="MWQ41" s="139"/>
      <c r="MWR41" s="139"/>
      <c r="MWS41" s="139"/>
      <c r="MWT41" s="139"/>
      <c r="MWU41" s="139"/>
      <c r="MWV41" s="139"/>
      <c r="MWW41" s="139"/>
      <c r="MWX41" s="139"/>
      <c r="MWY41" s="139"/>
      <c r="MWZ41" s="139"/>
      <c r="MXA41" s="139"/>
      <c r="MXB41" s="139"/>
      <c r="MXC41" s="139"/>
      <c r="MXD41" s="139"/>
      <c r="MXE41" s="139"/>
      <c r="MXF41" s="139"/>
      <c r="MXG41" s="139"/>
      <c r="MXH41" s="139"/>
      <c r="MXI41" s="139"/>
      <c r="MXJ41" s="139"/>
      <c r="MXK41" s="139"/>
      <c r="MXL41" s="139"/>
      <c r="MXM41" s="139"/>
      <c r="MXN41" s="139"/>
      <c r="MXO41" s="139"/>
      <c r="MXP41" s="139"/>
      <c r="MXQ41" s="139"/>
      <c r="MXR41" s="139"/>
      <c r="MXS41" s="139"/>
      <c r="MXT41" s="139"/>
      <c r="MXU41" s="139"/>
      <c r="MXV41" s="139"/>
      <c r="MXW41" s="139"/>
      <c r="MXX41" s="139"/>
      <c r="MXY41" s="139"/>
      <c r="MXZ41" s="139"/>
      <c r="MYA41" s="139"/>
      <c r="MYB41" s="139"/>
      <c r="MYC41" s="139"/>
      <c r="MYD41" s="139"/>
      <c r="MYE41" s="139"/>
      <c r="MYF41" s="139"/>
      <c r="MYG41" s="139"/>
      <c r="MYH41" s="139"/>
      <c r="MYI41" s="139"/>
      <c r="MYJ41" s="139"/>
      <c r="MYK41" s="139"/>
      <c r="MYL41" s="139"/>
      <c r="MYM41" s="139"/>
      <c r="MYN41" s="139"/>
      <c r="MYO41" s="139"/>
      <c r="MYP41" s="139"/>
      <c r="MYQ41" s="139"/>
      <c r="MYR41" s="139"/>
      <c r="MYS41" s="139"/>
      <c r="MYT41" s="139"/>
      <c r="MYU41" s="139"/>
      <c r="MYV41" s="139"/>
      <c r="MYW41" s="139"/>
      <c r="MYX41" s="139"/>
      <c r="MYY41" s="139"/>
      <c r="MYZ41" s="139"/>
      <c r="MZA41" s="139"/>
      <c r="MZB41" s="139"/>
      <c r="MZC41" s="139"/>
      <c r="MZD41" s="139"/>
      <c r="MZE41" s="139"/>
      <c r="MZF41" s="139"/>
      <c r="MZG41" s="139"/>
      <c r="MZH41" s="139"/>
      <c r="MZI41" s="139"/>
      <c r="MZJ41" s="139"/>
      <c r="MZK41" s="139"/>
      <c r="MZL41" s="139"/>
      <c r="MZM41" s="139"/>
      <c r="MZN41" s="139"/>
      <c r="MZO41" s="139"/>
      <c r="MZP41" s="139"/>
      <c r="MZQ41" s="139"/>
      <c r="MZR41" s="139"/>
      <c r="MZS41" s="139"/>
      <c r="MZT41" s="139"/>
      <c r="MZU41" s="139"/>
      <c r="MZV41" s="139"/>
      <c r="MZW41" s="139"/>
      <c r="MZX41" s="139"/>
      <c r="MZY41" s="139"/>
      <c r="MZZ41" s="139"/>
      <c r="NAA41" s="139"/>
      <c r="NAB41" s="139"/>
      <c r="NAC41" s="139"/>
      <c r="NAD41" s="139"/>
      <c r="NAE41" s="139"/>
      <c r="NAF41" s="139"/>
      <c r="NAG41" s="139"/>
      <c r="NAH41" s="139"/>
      <c r="NAI41" s="139"/>
      <c r="NAJ41" s="139"/>
      <c r="NAK41" s="139"/>
      <c r="NAL41" s="139"/>
      <c r="NAM41" s="139"/>
      <c r="NAN41" s="139"/>
      <c r="NAO41" s="139"/>
      <c r="NAP41" s="139"/>
      <c r="NAQ41" s="139"/>
      <c r="NAR41" s="139"/>
      <c r="NAS41" s="139"/>
      <c r="NAT41" s="139"/>
      <c r="NAU41" s="139"/>
      <c r="NAV41" s="139"/>
      <c r="NAW41" s="139"/>
      <c r="NAX41" s="139"/>
      <c r="NAY41" s="139"/>
      <c r="NAZ41" s="139"/>
      <c r="NBA41" s="139"/>
      <c r="NBB41" s="139"/>
      <c r="NBC41" s="139"/>
      <c r="NBD41" s="139"/>
      <c r="NBE41" s="139"/>
      <c r="NBF41" s="139"/>
      <c r="NBG41" s="139"/>
      <c r="NBH41" s="139"/>
      <c r="NBI41" s="139"/>
      <c r="NBJ41" s="139"/>
      <c r="NBK41" s="139"/>
      <c r="NBL41" s="139"/>
      <c r="NBM41" s="139"/>
      <c r="NBN41" s="139"/>
      <c r="NBO41" s="139"/>
      <c r="NBP41" s="139"/>
      <c r="NBQ41" s="139"/>
      <c r="NBR41" s="139"/>
      <c r="NBS41" s="139"/>
      <c r="NBT41" s="139"/>
      <c r="NBU41" s="139"/>
      <c r="NBV41" s="139"/>
      <c r="NBW41" s="139"/>
      <c r="NBX41" s="139"/>
      <c r="NBY41" s="139"/>
      <c r="NBZ41" s="139"/>
      <c r="NCA41" s="139"/>
      <c r="NCB41" s="139"/>
      <c r="NCC41" s="139"/>
      <c r="NCD41" s="139"/>
      <c r="NCE41" s="139"/>
      <c r="NCF41" s="139"/>
      <c r="NCG41" s="139"/>
      <c r="NCH41" s="139"/>
      <c r="NCI41" s="139"/>
      <c r="NCJ41" s="139"/>
      <c r="NCK41" s="139"/>
      <c r="NCL41" s="139"/>
      <c r="NCM41" s="139"/>
      <c r="NCN41" s="139"/>
      <c r="NCO41" s="139"/>
      <c r="NCP41" s="139"/>
      <c r="NCQ41" s="139"/>
      <c r="NCR41" s="139"/>
      <c r="NCS41" s="139"/>
      <c r="NCT41" s="139"/>
      <c r="NCU41" s="139"/>
      <c r="NCV41" s="139"/>
      <c r="NCW41" s="139"/>
      <c r="NCX41" s="139"/>
      <c r="NCY41" s="139"/>
      <c r="NCZ41" s="139"/>
      <c r="NDA41" s="139"/>
      <c r="NDB41" s="139"/>
      <c r="NDC41" s="139"/>
      <c r="NDD41" s="139"/>
      <c r="NDE41" s="139"/>
      <c r="NDF41" s="139"/>
      <c r="NDG41" s="139"/>
      <c r="NDH41" s="139"/>
      <c r="NDI41" s="139"/>
      <c r="NDJ41" s="139"/>
      <c r="NDK41" s="139"/>
      <c r="NDL41" s="139"/>
      <c r="NDM41" s="139"/>
      <c r="NDN41" s="139"/>
      <c r="NDO41" s="139"/>
      <c r="NDP41" s="139"/>
      <c r="NDQ41" s="139"/>
      <c r="NDR41" s="139"/>
      <c r="NDS41" s="139"/>
      <c r="NDT41" s="139"/>
      <c r="NDU41" s="139"/>
      <c r="NDV41" s="139"/>
      <c r="NDW41" s="139"/>
      <c r="NDX41" s="139"/>
      <c r="NDY41" s="139"/>
      <c r="NDZ41" s="139"/>
      <c r="NEA41" s="139"/>
      <c r="NEB41" s="139"/>
      <c r="NEC41" s="139"/>
      <c r="NED41" s="139"/>
      <c r="NEE41" s="139"/>
      <c r="NEF41" s="139"/>
      <c r="NEG41" s="139"/>
      <c r="NEH41" s="139"/>
      <c r="NEI41" s="139"/>
      <c r="NEJ41" s="139"/>
      <c r="NEK41" s="139"/>
      <c r="NEL41" s="139"/>
      <c r="NEM41" s="139"/>
      <c r="NEN41" s="139"/>
      <c r="NEO41" s="139"/>
      <c r="NEP41" s="139"/>
      <c r="NEQ41" s="139"/>
      <c r="NER41" s="139"/>
      <c r="NES41" s="139"/>
      <c r="NET41" s="139"/>
      <c r="NEU41" s="139"/>
      <c r="NEV41" s="139"/>
      <c r="NEW41" s="139"/>
      <c r="NEX41" s="139"/>
      <c r="NEY41" s="139"/>
      <c r="NEZ41" s="139"/>
      <c r="NFA41" s="139"/>
      <c r="NFB41" s="139"/>
      <c r="NFC41" s="139"/>
      <c r="NFD41" s="139"/>
      <c r="NFE41" s="139"/>
      <c r="NFF41" s="139"/>
      <c r="NFG41" s="139"/>
      <c r="NFH41" s="139"/>
      <c r="NFI41" s="139"/>
      <c r="NFJ41" s="139"/>
      <c r="NFK41" s="139"/>
      <c r="NFL41" s="139"/>
      <c r="NFM41" s="139"/>
      <c r="NFN41" s="139"/>
      <c r="NFO41" s="139"/>
      <c r="NFP41" s="139"/>
      <c r="NFQ41" s="139"/>
      <c r="NFR41" s="139"/>
      <c r="NFS41" s="139"/>
      <c r="NFT41" s="139"/>
      <c r="NFU41" s="139"/>
      <c r="NFV41" s="139"/>
      <c r="NFW41" s="139"/>
      <c r="NFX41" s="139"/>
      <c r="NFY41" s="139"/>
      <c r="NFZ41" s="139"/>
      <c r="NGA41" s="139"/>
      <c r="NGB41" s="139"/>
      <c r="NGC41" s="139"/>
      <c r="NGD41" s="139"/>
      <c r="NGE41" s="139"/>
      <c r="NGF41" s="139"/>
      <c r="NGG41" s="139"/>
      <c r="NGH41" s="139"/>
      <c r="NGI41" s="139"/>
      <c r="NGJ41" s="139"/>
      <c r="NGK41" s="139"/>
      <c r="NGL41" s="139"/>
      <c r="NGM41" s="139"/>
      <c r="NGN41" s="139"/>
      <c r="NGO41" s="139"/>
      <c r="NGP41" s="139"/>
      <c r="NGQ41" s="139"/>
      <c r="NGR41" s="139"/>
      <c r="NGS41" s="139"/>
      <c r="NGT41" s="139"/>
      <c r="NGU41" s="139"/>
      <c r="NGV41" s="139"/>
      <c r="NGW41" s="139"/>
      <c r="NGX41" s="139"/>
      <c r="NGY41" s="139"/>
      <c r="NGZ41" s="139"/>
      <c r="NHA41" s="139"/>
      <c r="NHB41" s="139"/>
      <c r="NHC41" s="139"/>
      <c r="NHD41" s="139"/>
      <c r="NHE41" s="139"/>
      <c r="NHF41" s="139"/>
      <c r="NHG41" s="139"/>
      <c r="NHH41" s="139"/>
      <c r="NHI41" s="139"/>
      <c r="NHJ41" s="139"/>
      <c r="NHK41" s="139"/>
      <c r="NHL41" s="139"/>
      <c r="NHM41" s="139"/>
      <c r="NHN41" s="139"/>
      <c r="NHO41" s="139"/>
      <c r="NHP41" s="139"/>
      <c r="NHQ41" s="139"/>
      <c r="NHR41" s="139"/>
      <c r="NHS41" s="139"/>
      <c r="NHT41" s="139"/>
      <c r="NHU41" s="139"/>
      <c r="NHV41" s="139"/>
      <c r="NHW41" s="139"/>
      <c r="NHX41" s="139"/>
      <c r="NHY41" s="139"/>
      <c r="NHZ41" s="139"/>
      <c r="NIA41" s="139"/>
      <c r="NIB41" s="139"/>
      <c r="NIC41" s="139"/>
      <c r="NID41" s="139"/>
      <c r="NIE41" s="139"/>
      <c r="NIF41" s="139"/>
      <c r="NIG41" s="139"/>
      <c r="NIH41" s="139"/>
      <c r="NII41" s="139"/>
      <c r="NIJ41" s="139"/>
      <c r="NIK41" s="139"/>
      <c r="NIL41" s="139"/>
      <c r="NIM41" s="139"/>
      <c r="NIN41" s="139"/>
      <c r="NIO41" s="139"/>
      <c r="NIP41" s="139"/>
      <c r="NIQ41" s="139"/>
      <c r="NIR41" s="139"/>
      <c r="NIS41" s="139"/>
      <c r="NIT41" s="139"/>
      <c r="NIU41" s="139"/>
      <c r="NIV41" s="139"/>
      <c r="NIW41" s="139"/>
      <c r="NIX41" s="139"/>
      <c r="NIY41" s="139"/>
      <c r="NIZ41" s="139"/>
      <c r="NJA41" s="139"/>
      <c r="NJB41" s="139"/>
      <c r="NJC41" s="139"/>
      <c r="NJD41" s="139"/>
      <c r="NJE41" s="139"/>
      <c r="NJF41" s="139"/>
      <c r="NJG41" s="139"/>
      <c r="NJH41" s="139"/>
      <c r="NJI41" s="139"/>
      <c r="NJJ41" s="139"/>
      <c r="NJK41" s="139"/>
      <c r="NJL41" s="139"/>
      <c r="NJM41" s="139"/>
      <c r="NJN41" s="139"/>
      <c r="NJO41" s="139"/>
      <c r="NJP41" s="139"/>
      <c r="NJQ41" s="139"/>
      <c r="NJR41" s="139"/>
      <c r="NJS41" s="139"/>
      <c r="NJT41" s="139"/>
      <c r="NJU41" s="139"/>
      <c r="NJV41" s="139"/>
      <c r="NJW41" s="139"/>
      <c r="NJX41" s="139"/>
      <c r="NJY41" s="139"/>
      <c r="NJZ41" s="139"/>
      <c r="NKA41" s="139"/>
      <c r="NKB41" s="139"/>
      <c r="NKC41" s="139"/>
      <c r="NKD41" s="139"/>
      <c r="NKE41" s="139"/>
      <c r="NKF41" s="139"/>
      <c r="NKG41" s="139"/>
      <c r="NKH41" s="139"/>
      <c r="NKI41" s="139"/>
      <c r="NKJ41" s="139"/>
      <c r="NKK41" s="139"/>
      <c r="NKL41" s="139"/>
      <c r="NKM41" s="139"/>
      <c r="NKN41" s="139"/>
      <c r="NKO41" s="139"/>
      <c r="NKP41" s="139"/>
      <c r="NKQ41" s="139"/>
      <c r="NKR41" s="139"/>
      <c r="NKS41" s="139"/>
      <c r="NKT41" s="139"/>
      <c r="NKU41" s="139"/>
      <c r="NKV41" s="139"/>
      <c r="NKW41" s="139"/>
      <c r="NKX41" s="139"/>
      <c r="NKY41" s="139"/>
      <c r="NKZ41" s="139"/>
      <c r="NLA41" s="139"/>
      <c r="NLB41" s="139"/>
      <c r="NLC41" s="139"/>
      <c r="NLD41" s="139"/>
      <c r="NLE41" s="139"/>
      <c r="NLF41" s="139"/>
      <c r="NLG41" s="139"/>
      <c r="NLH41" s="139"/>
      <c r="NLI41" s="139"/>
      <c r="NLJ41" s="139"/>
      <c r="NLK41" s="139"/>
      <c r="NLL41" s="139"/>
      <c r="NLM41" s="139"/>
      <c r="NLN41" s="139"/>
      <c r="NLO41" s="139"/>
      <c r="NLP41" s="139"/>
      <c r="NLQ41" s="139"/>
      <c r="NLR41" s="139"/>
      <c r="NLS41" s="139"/>
      <c r="NLT41" s="139"/>
      <c r="NLU41" s="139"/>
      <c r="NLV41" s="139"/>
      <c r="NLW41" s="139"/>
      <c r="NLX41" s="139"/>
      <c r="NLY41" s="139"/>
      <c r="NLZ41" s="139"/>
      <c r="NMA41" s="139"/>
      <c r="NMB41" s="139"/>
      <c r="NMC41" s="139"/>
      <c r="NMD41" s="139"/>
      <c r="NME41" s="139"/>
      <c r="NMF41" s="139"/>
      <c r="NMG41" s="139"/>
      <c r="NMH41" s="139"/>
      <c r="NMI41" s="139"/>
      <c r="NMJ41" s="139"/>
      <c r="NMK41" s="139"/>
      <c r="NML41" s="139"/>
      <c r="NMM41" s="139"/>
      <c r="NMN41" s="139"/>
      <c r="NMO41" s="139"/>
      <c r="NMP41" s="139"/>
      <c r="NMQ41" s="139"/>
      <c r="NMR41" s="139"/>
      <c r="NMS41" s="139"/>
      <c r="NMT41" s="139"/>
      <c r="NMU41" s="139"/>
      <c r="NMV41" s="139"/>
      <c r="NMW41" s="139"/>
      <c r="NMX41" s="139"/>
      <c r="NMY41" s="139"/>
      <c r="NMZ41" s="139"/>
      <c r="NNA41" s="139"/>
      <c r="NNB41" s="139"/>
      <c r="NNC41" s="139"/>
      <c r="NND41" s="139"/>
      <c r="NNE41" s="139"/>
      <c r="NNF41" s="139"/>
      <c r="NNG41" s="139"/>
      <c r="NNH41" s="139"/>
      <c r="NNI41" s="139"/>
      <c r="NNJ41" s="139"/>
      <c r="NNK41" s="139"/>
      <c r="NNL41" s="139"/>
      <c r="NNM41" s="139"/>
      <c r="NNN41" s="139"/>
      <c r="NNO41" s="139"/>
      <c r="NNP41" s="139"/>
      <c r="NNQ41" s="139"/>
      <c r="NNR41" s="139"/>
      <c r="NNS41" s="139"/>
      <c r="NNT41" s="139"/>
      <c r="NNU41" s="139"/>
      <c r="NNV41" s="139"/>
      <c r="NNW41" s="139"/>
      <c r="NNX41" s="139"/>
      <c r="NNY41" s="139"/>
      <c r="NNZ41" s="139"/>
      <c r="NOA41" s="139"/>
      <c r="NOB41" s="139"/>
      <c r="NOC41" s="139"/>
      <c r="NOD41" s="139"/>
      <c r="NOE41" s="139"/>
      <c r="NOF41" s="139"/>
      <c r="NOG41" s="139"/>
      <c r="NOH41" s="139"/>
      <c r="NOI41" s="139"/>
      <c r="NOJ41" s="139"/>
      <c r="NOK41" s="139"/>
      <c r="NOL41" s="139"/>
      <c r="NOM41" s="139"/>
      <c r="NON41" s="139"/>
      <c r="NOO41" s="139"/>
      <c r="NOP41" s="139"/>
      <c r="NOQ41" s="139"/>
      <c r="NOR41" s="139"/>
      <c r="NOS41" s="139"/>
      <c r="NOT41" s="139"/>
      <c r="NOU41" s="139"/>
      <c r="NOV41" s="139"/>
      <c r="NOW41" s="139"/>
      <c r="NOX41" s="139"/>
      <c r="NOY41" s="139"/>
      <c r="NOZ41" s="139"/>
      <c r="NPA41" s="139"/>
      <c r="NPB41" s="139"/>
      <c r="NPC41" s="139"/>
      <c r="NPD41" s="139"/>
      <c r="NPE41" s="139"/>
      <c r="NPF41" s="139"/>
      <c r="NPG41" s="139"/>
      <c r="NPH41" s="139"/>
      <c r="NPI41" s="139"/>
      <c r="NPJ41" s="139"/>
      <c r="NPK41" s="139"/>
      <c r="NPL41" s="139"/>
      <c r="NPM41" s="139"/>
      <c r="NPN41" s="139"/>
      <c r="NPO41" s="139"/>
      <c r="NPP41" s="139"/>
      <c r="NPQ41" s="139"/>
      <c r="NPR41" s="139"/>
      <c r="NPS41" s="139"/>
      <c r="NPT41" s="139"/>
      <c r="NPU41" s="139"/>
      <c r="NPV41" s="139"/>
      <c r="NPW41" s="139"/>
      <c r="NPX41" s="139"/>
      <c r="NPY41" s="139"/>
      <c r="NPZ41" s="139"/>
      <c r="NQA41" s="139"/>
      <c r="NQB41" s="139"/>
      <c r="NQC41" s="139"/>
      <c r="NQD41" s="139"/>
      <c r="NQE41" s="139"/>
      <c r="NQF41" s="139"/>
      <c r="NQG41" s="139"/>
      <c r="NQH41" s="139"/>
      <c r="NQI41" s="139"/>
      <c r="NQJ41" s="139"/>
      <c r="NQK41" s="139"/>
      <c r="NQL41" s="139"/>
      <c r="NQM41" s="139"/>
      <c r="NQN41" s="139"/>
      <c r="NQO41" s="139"/>
      <c r="NQP41" s="139"/>
      <c r="NQQ41" s="139"/>
      <c r="NQR41" s="139"/>
      <c r="NQS41" s="139"/>
      <c r="NQT41" s="139"/>
      <c r="NQU41" s="139"/>
      <c r="NQV41" s="139"/>
      <c r="NQW41" s="139"/>
      <c r="NQX41" s="139"/>
      <c r="NQY41" s="139"/>
      <c r="NQZ41" s="139"/>
      <c r="NRA41" s="139"/>
      <c r="NRB41" s="139"/>
      <c r="NRC41" s="139"/>
      <c r="NRD41" s="139"/>
      <c r="NRE41" s="139"/>
      <c r="NRF41" s="139"/>
      <c r="NRG41" s="139"/>
      <c r="NRH41" s="139"/>
      <c r="NRI41" s="139"/>
      <c r="NRJ41" s="139"/>
      <c r="NRK41" s="139"/>
      <c r="NRL41" s="139"/>
      <c r="NRM41" s="139"/>
      <c r="NRN41" s="139"/>
      <c r="NRO41" s="139"/>
      <c r="NRP41" s="139"/>
      <c r="NRQ41" s="139"/>
      <c r="NRR41" s="139"/>
      <c r="NRS41" s="139"/>
      <c r="NRT41" s="139"/>
      <c r="NRU41" s="139"/>
      <c r="NRV41" s="139"/>
      <c r="NRW41" s="139"/>
      <c r="NRX41" s="139"/>
      <c r="NRY41" s="139"/>
      <c r="NRZ41" s="139"/>
      <c r="NSA41" s="139"/>
      <c r="NSB41" s="139"/>
      <c r="NSC41" s="139"/>
      <c r="NSD41" s="139"/>
      <c r="NSE41" s="139"/>
      <c r="NSF41" s="139"/>
      <c r="NSG41" s="139"/>
      <c r="NSH41" s="139"/>
      <c r="NSI41" s="139"/>
      <c r="NSJ41" s="139"/>
      <c r="NSK41" s="139"/>
      <c r="NSL41" s="139"/>
      <c r="NSM41" s="139"/>
      <c r="NSN41" s="139"/>
      <c r="NSO41" s="139"/>
      <c r="NSP41" s="139"/>
      <c r="NSQ41" s="139"/>
      <c r="NSR41" s="139"/>
      <c r="NSS41" s="139"/>
      <c r="NST41" s="139"/>
      <c r="NSU41" s="139"/>
      <c r="NSV41" s="139"/>
      <c r="NSW41" s="139"/>
      <c r="NSX41" s="139"/>
      <c r="NSY41" s="139"/>
      <c r="NSZ41" s="139"/>
      <c r="NTA41" s="139"/>
      <c r="NTB41" s="139"/>
      <c r="NTC41" s="139"/>
      <c r="NTD41" s="139"/>
      <c r="NTE41" s="139"/>
      <c r="NTF41" s="139"/>
      <c r="NTG41" s="139"/>
      <c r="NTH41" s="139"/>
      <c r="NTI41" s="139"/>
      <c r="NTJ41" s="139"/>
      <c r="NTK41" s="139"/>
      <c r="NTL41" s="139"/>
      <c r="NTM41" s="139"/>
      <c r="NTN41" s="139"/>
      <c r="NTO41" s="139"/>
      <c r="NTP41" s="139"/>
      <c r="NTQ41" s="139"/>
      <c r="NTR41" s="139"/>
      <c r="NTS41" s="139"/>
      <c r="NTT41" s="139"/>
      <c r="NTU41" s="139"/>
      <c r="NTV41" s="139"/>
      <c r="NTW41" s="139"/>
      <c r="NTX41" s="139"/>
      <c r="NTY41" s="139"/>
      <c r="NTZ41" s="139"/>
      <c r="NUA41" s="139"/>
      <c r="NUB41" s="139"/>
      <c r="NUC41" s="139"/>
      <c r="NUD41" s="139"/>
      <c r="NUE41" s="139"/>
      <c r="NUF41" s="139"/>
      <c r="NUG41" s="139"/>
      <c r="NUH41" s="139"/>
      <c r="NUI41" s="139"/>
      <c r="NUJ41" s="139"/>
      <c r="NUK41" s="139"/>
      <c r="NUL41" s="139"/>
      <c r="NUM41" s="139"/>
      <c r="NUN41" s="139"/>
      <c r="NUO41" s="139"/>
      <c r="NUP41" s="139"/>
      <c r="NUQ41" s="139"/>
      <c r="NUR41" s="139"/>
      <c r="NUS41" s="139"/>
      <c r="NUT41" s="139"/>
      <c r="NUU41" s="139"/>
      <c r="NUV41" s="139"/>
      <c r="NUW41" s="139"/>
      <c r="NUX41" s="139"/>
      <c r="NUY41" s="139"/>
      <c r="NUZ41" s="139"/>
      <c r="NVA41" s="139"/>
      <c r="NVB41" s="139"/>
      <c r="NVC41" s="139"/>
      <c r="NVD41" s="139"/>
      <c r="NVE41" s="139"/>
      <c r="NVF41" s="139"/>
      <c r="NVG41" s="139"/>
      <c r="NVH41" s="139"/>
      <c r="NVI41" s="139"/>
      <c r="NVJ41" s="139"/>
      <c r="NVK41" s="139"/>
      <c r="NVL41" s="139"/>
      <c r="NVM41" s="139"/>
      <c r="NVN41" s="139"/>
      <c r="NVO41" s="139"/>
      <c r="NVP41" s="139"/>
      <c r="NVQ41" s="139"/>
      <c r="NVR41" s="139"/>
      <c r="NVS41" s="139"/>
      <c r="NVT41" s="139"/>
      <c r="NVU41" s="139"/>
      <c r="NVV41" s="139"/>
      <c r="NVW41" s="139"/>
      <c r="NVX41" s="139"/>
      <c r="NVY41" s="139"/>
      <c r="NVZ41" s="139"/>
      <c r="NWA41" s="139"/>
      <c r="NWB41" s="139"/>
      <c r="NWC41" s="139"/>
      <c r="NWD41" s="139"/>
      <c r="NWE41" s="139"/>
      <c r="NWF41" s="139"/>
      <c r="NWG41" s="139"/>
      <c r="NWH41" s="139"/>
      <c r="NWI41" s="139"/>
      <c r="NWJ41" s="139"/>
      <c r="NWK41" s="139"/>
      <c r="NWL41" s="139"/>
      <c r="NWM41" s="139"/>
      <c r="NWN41" s="139"/>
      <c r="NWO41" s="139"/>
      <c r="NWP41" s="139"/>
      <c r="NWQ41" s="139"/>
      <c r="NWR41" s="139"/>
      <c r="NWS41" s="139"/>
      <c r="NWT41" s="139"/>
      <c r="NWU41" s="139"/>
      <c r="NWV41" s="139"/>
      <c r="NWW41" s="139"/>
      <c r="NWX41" s="139"/>
      <c r="NWY41" s="139"/>
      <c r="NWZ41" s="139"/>
      <c r="NXA41" s="139"/>
      <c r="NXB41" s="139"/>
      <c r="NXC41" s="139"/>
      <c r="NXD41" s="139"/>
      <c r="NXE41" s="139"/>
      <c r="NXF41" s="139"/>
      <c r="NXG41" s="139"/>
      <c r="NXH41" s="139"/>
      <c r="NXI41" s="139"/>
      <c r="NXJ41" s="139"/>
      <c r="NXK41" s="139"/>
      <c r="NXL41" s="139"/>
      <c r="NXM41" s="139"/>
      <c r="NXN41" s="139"/>
      <c r="NXO41" s="139"/>
      <c r="NXP41" s="139"/>
      <c r="NXQ41" s="139"/>
      <c r="NXR41" s="139"/>
      <c r="NXS41" s="139"/>
      <c r="NXT41" s="139"/>
      <c r="NXU41" s="139"/>
      <c r="NXV41" s="139"/>
      <c r="NXW41" s="139"/>
      <c r="NXX41" s="139"/>
      <c r="NXY41" s="139"/>
      <c r="NXZ41" s="139"/>
      <c r="NYA41" s="139"/>
      <c r="NYB41" s="139"/>
      <c r="NYC41" s="139"/>
      <c r="NYD41" s="139"/>
      <c r="NYE41" s="139"/>
      <c r="NYF41" s="139"/>
      <c r="NYG41" s="139"/>
      <c r="NYH41" s="139"/>
      <c r="NYI41" s="139"/>
      <c r="NYJ41" s="139"/>
      <c r="NYK41" s="139"/>
      <c r="NYL41" s="139"/>
      <c r="NYM41" s="139"/>
      <c r="NYN41" s="139"/>
      <c r="NYO41" s="139"/>
      <c r="NYP41" s="139"/>
      <c r="NYQ41" s="139"/>
      <c r="NYR41" s="139"/>
      <c r="NYS41" s="139"/>
      <c r="NYT41" s="139"/>
      <c r="NYU41" s="139"/>
      <c r="NYV41" s="139"/>
      <c r="NYW41" s="139"/>
      <c r="NYX41" s="139"/>
      <c r="NYY41" s="139"/>
      <c r="NYZ41" s="139"/>
      <c r="NZA41" s="139"/>
      <c r="NZB41" s="139"/>
      <c r="NZC41" s="139"/>
      <c r="NZD41" s="139"/>
      <c r="NZE41" s="139"/>
      <c r="NZF41" s="139"/>
      <c r="NZG41" s="139"/>
      <c r="NZH41" s="139"/>
      <c r="NZI41" s="139"/>
      <c r="NZJ41" s="139"/>
      <c r="NZK41" s="139"/>
      <c r="NZL41" s="139"/>
      <c r="NZM41" s="139"/>
      <c r="NZN41" s="139"/>
      <c r="NZO41" s="139"/>
      <c r="NZP41" s="139"/>
      <c r="NZQ41" s="139"/>
      <c r="NZR41" s="139"/>
      <c r="NZS41" s="139"/>
      <c r="NZT41" s="139"/>
      <c r="NZU41" s="139"/>
      <c r="NZV41" s="139"/>
      <c r="NZW41" s="139"/>
      <c r="NZX41" s="139"/>
      <c r="NZY41" s="139"/>
      <c r="NZZ41" s="139"/>
      <c r="OAA41" s="139"/>
      <c r="OAB41" s="139"/>
      <c r="OAC41" s="139"/>
      <c r="OAD41" s="139"/>
      <c r="OAE41" s="139"/>
      <c r="OAF41" s="139"/>
      <c r="OAG41" s="139"/>
      <c r="OAH41" s="139"/>
      <c r="OAI41" s="139"/>
      <c r="OAJ41" s="139"/>
      <c r="OAK41" s="139"/>
      <c r="OAL41" s="139"/>
      <c r="OAM41" s="139"/>
      <c r="OAN41" s="139"/>
      <c r="OAO41" s="139"/>
      <c r="OAP41" s="139"/>
      <c r="OAQ41" s="139"/>
      <c r="OAR41" s="139"/>
      <c r="OAS41" s="139"/>
      <c r="OAT41" s="139"/>
      <c r="OAU41" s="139"/>
      <c r="OAV41" s="139"/>
      <c r="OAW41" s="139"/>
      <c r="OAX41" s="139"/>
      <c r="OAY41" s="139"/>
      <c r="OAZ41" s="139"/>
      <c r="OBA41" s="139"/>
      <c r="OBB41" s="139"/>
      <c r="OBC41" s="139"/>
      <c r="OBD41" s="139"/>
      <c r="OBE41" s="139"/>
      <c r="OBF41" s="139"/>
      <c r="OBG41" s="139"/>
      <c r="OBH41" s="139"/>
      <c r="OBI41" s="139"/>
      <c r="OBJ41" s="139"/>
      <c r="OBK41" s="139"/>
      <c r="OBL41" s="139"/>
      <c r="OBM41" s="139"/>
      <c r="OBN41" s="139"/>
      <c r="OBO41" s="139"/>
      <c r="OBP41" s="139"/>
      <c r="OBQ41" s="139"/>
      <c r="OBR41" s="139"/>
      <c r="OBS41" s="139"/>
      <c r="OBT41" s="139"/>
      <c r="OBU41" s="139"/>
      <c r="OBV41" s="139"/>
      <c r="OBW41" s="139"/>
      <c r="OBX41" s="139"/>
      <c r="OBY41" s="139"/>
      <c r="OBZ41" s="139"/>
      <c r="OCA41" s="139"/>
      <c r="OCB41" s="139"/>
      <c r="OCC41" s="139"/>
      <c r="OCD41" s="139"/>
      <c r="OCE41" s="139"/>
      <c r="OCF41" s="139"/>
      <c r="OCG41" s="139"/>
      <c r="OCH41" s="139"/>
      <c r="OCI41" s="139"/>
      <c r="OCJ41" s="139"/>
      <c r="OCK41" s="139"/>
      <c r="OCL41" s="139"/>
      <c r="OCM41" s="139"/>
      <c r="OCN41" s="139"/>
      <c r="OCO41" s="139"/>
      <c r="OCP41" s="139"/>
      <c r="OCQ41" s="139"/>
      <c r="OCR41" s="139"/>
      <c r="OCS41" s="139"/>
      <c r="OCT41" s="139"/>
      <c r="OCU41" s="139"/>
      <c r="OCV41" s="139"/>
      <c r="OCW41" s="139"/>
      <c r="OCX41" s="139"/>
      <c r="OCY41" s="139"/>
      <c r="OCZ41" s="139"/>
      <c r="ODA41" s="139"/>
      <c r="ODB41" s="139"/>
      <c r="ODC41" s="139"/>
      <c r="ODD41" s="139"/>
      <c r="ODE41" s="139"/>
      <c r="ODF41" s="139"/>
      <c r="ODG41" s="139"/>
      <c r="ODH41" s="139"/>
      <c r="ODI41" s="139"/>
      <c r="ODJ41" s="139"/>
      <c r="ODK41" s="139"/>
      <c r="ODL41" s="139"/>
      <c r="ODM41" s="139"/>
      <c r="ODN41" s="139"/>
      <c r="ODO41" s="139"/>
      <c r="ODP41" s="139"/>
      <c r="ODQ41" s="139"/>
      <c r="ODR41" s="139"/>
      <c r="ODS41" s="139"/>
      <c r="ODT41" s="139"/>
      <c r="ODU41" s="139"/>
      <c r="ODV41" s="139"/>
      <c r="ODW41" s="139"/>
      <c r="ODX41" s="139"/>
      <c r="ODY41" s="139"/>
      <c r="ODZ41" s="139"/>
      <c r="OEA41" s="139"/>
      <c r="OEB41" s="139"/>
      <c r="OEC41" s="139"/>
      <c r="OED41" s="139"/>
      <c r="OEE41" s="139"/>
      <c r="OEF41" s="139"/>
      <c r="OEG41" s="139"/>
      <c r="OEH41" s="139"/>
      <c r="OEI41" s="139"/>
      <c r="OEJ41" s="139"/>
      <c r="OEK41" s="139"/>
      <c r="OEL41" s="139"/>
      <c r="OEM41" s="139"/>
      <c r="OEN41" s="139"/>
      <c r="OEO41" s="139"/>
      <c r="OEP41" s="139"/>
      <c r="OEQ41" s="139"/>
      <c r="OER41" s="139"/>
      <c r="OES41" s="139"/>
      <c r="OET41" s="139"/>
      <c r="OEU41" s="139"/>
      <c r="OEV41" s="139"/>
      <c r="OEW41" s="139"/>
      <c r="OEX41" s="139"/>
      <c r="OEY41" s="139"/>
      <c r="OEZ41" s="139"/>
      <c r="OFA41" s="139"/>
      <c r="OFB41" s="139"/>
      <c r="OFC41" s="139"/>
      <c r="OFD41" s="139"/>
      <c r="OFE41" s="139"/>
      <c r="OFF41" s="139"/>
      <c r="OFG41" s="139"/>
      <c r="OFH41" s="139"/>
      <c r="OFI41" s="139"/>
      <c r="OFJ41" s="139"/>
      <c r="OFK41" s="139"/>
      <c r="OFL41" s="139"/>
      <c r="OFM41" s="139"/>
      <c r="OFN41" s="139"/>
      <c r="OFO41" s="139"/>
      <c r="OFP41" s="139"/>
      <c r="OFQ41" s="139"/>
      <c r="OFR41" s="139"/>
      <c r="OFS41" s="139"/>
      <c r="OFT41" s="139"/>
      <c r="OFU41" s="139"/>
      <c r="OFV41" s="139"/>
      <c r="OFW41" s="139"/>
      <c r="OFX41" s="139"/>
      <c r="OFY41" s="139"/>
      <c r="OFZ41" s="139"/>
      <c r="OGA41" s="139"/>
      <c r="OGB41" s="139"/>
      <c r="OGC41" s="139"/>
      <c r="OGD41" s="139"/>
      <c r="OGE41" s="139"/>
      <c r="OGF41" s="139"/>
      <c r="OGG41" s="139"/>
      <c r="OGH41" s="139"/>
      <c r="OGI41" s="139"/>
      <c r="OGJ41" s="139"/>
      <c r="OGK41" s="139"/>
      <c r="OGL41" s="139"/>
      <c r="OGM41" s="139"/>
      <c r="OGN41" s="139"/>
      <c r="OGO41" s="139"/>
      <c r="OGP41" s="139"/>
      <c r="OGQ41" s="139"/>
      <c r="OGR41" s="139"/>
      <c r="OGS41" s="139"/>
      <c r="OGT41" s="139"/>
      <c r="OGU41" s="139"/>
      <c r="OGV41" s="139"/>
      <c r="OGW41" s="139"/>
      <c r="OGX41" s="139"/>
      <c r="OGY41" s="139"/>
      <c r="OGZ41" s="139"/>
      <c r="OHA41" s="139"/>
      <c r="OHB41" s="139"/>
      <c r="OHC41" s="139"/>
      <c r="OHD41" s="139"/>
      <c r="OHE41" s="139"/>
      <c r="OHF41" s="139"/>
      <c r="OHG41" s="139"/>
      <c r="OHH41" s="139"/>
      <c r="OHI41" s="139"/>
      <c r="OHJ41" s="139"/>
      <c r="OHK41" s="139"/>
      <c r="OHL41" s="139"/>
      <c r="OHM41" s="139"/>
      <c r="OHN41" s="139"/>
      <c r="OHO41" s="139"/>
      <c r="OHP41" s="139"/>
      <c r="OHQ41" s="139"/>
      <c r="OHR41" s="139"/>
      <c r="OHS41" s="139"/>
      <c r="OHT41" s="139"/>
      <c r="OHU41" s="139"/>
      <c r="OHV41" s="139"/>
      <c r="OHW41" s="139"/>
      <c r="OHX41" s="139"/>
      <c r="OHY41" s="139"/>
      <c r="OHZ41" s="139"/>
      <c r="OIA41" s="139"/>
      <c r="OIB41" s="139"/>
      <c r="OIC41" s="139"/>
      <c r="OID41" s="139"/>
      <c r="OIE41" s="139"/>
      <c r="OIF41" s="139"/>
      <c r="OIG41" s="139"/>
      <c r="OIH41" s="139"/>
      <c r="OII41" s="139"/>
      <c r="OIJ41" s="139"/>
      <c r="OIK41" s="139"/>
      <c r="OIL41" s="139"/>
      <c r="OIM41" s="139"/>
      <c r="OIN41" s="139"/>
      <c r="OIO41" s="139"/>
      <c r="OIP41" s="139"/>
      <c r="OIQ41" s="139"/>
      <c r="OIR41" s="139"/>
      <c r="OIS41" s="139"/>
      <c r="OIT41" s="139"/>
      <c r="OIU41" s="139"/>
      <c r="OIV41" s="139"/>
      <c r="OIW41" s="139"/>
      <c r="OIX41" s="139"/>
      <c r="OIY41" s="139"/>
      <c r="OIZ41" s="139"/>
      <c r="OJA41" s="139"/>
      <c r="OJB41" s="139"/>
      <c r="OJC41" s="139"/>
      <c r="OJD41" s="139"/>
      <c r="OJE41" s="139"/>
      <c r="OJF41" s="139"/>
      <c r="OJG41" s="139"/>
      <c r="OJH41" s="139"/>
      <c r="OJI41" s="139"/>
      <c r="OJJ41" s="139"/>
      <c r="OJK41" s="139"/>
      <c r="OJL41" s="139"/>
      <c r="OJM41" s="139"/>
      <c r="OJN41" s="139"/>
      <c r="OJO41" s="139"/>
      <c r="OJP41" s="139"/>
      <c r="OJQ41" s="139"/>
      <c r="OJR41" s="139"/>
      <c r="OJS41" s="139"/>
      <c r="OJT41" s="139"/>
      <c r="OJU41" s="139"/>
      <c r="OJV41" s="139"/>
      <c r="OJW41" s="139"/>
      <c r="OJX41" s="139"/>
      <c r="OJY41" s="139"/>
      <c r="OJZ41" s="139"/>
      <c r="OKA41" s="139"/>
      <c r="OKB41" s="139"/>
      <c r="OKC41" s="139"/>
      <c r="OKD41" s="139"/>
      <c r="OKE41" s="139"/>
      <c r="OKF41" s="139"/>
      <c r="OKG41" s="139"/>
      <c r="OKH41" s="139"/>
      <c r="OKI41" s="139"/>
      <c r="OKJ41" s="139"/>
      <c r="OKK41" s="139"/>
      <c r="OKL41" s="139"/>
      <c r="OKM41" s="139"/>
      <c r="OKN41" s="139"/>
      <c r="OKO41" s="139"/>
      <c r="OKP41" s="139"/>
      <c r="OKQ41" s="139"/>
      <c r="OKR41" s="139"/>
      <c r="OKS41" s="139"/>
      <c r="OKT41" s="139"/>
      <c r="OKU41" s="139"/>
      <c r="OKV41" s="139"/>
      <c r="OKW41" s="139"/>
      <c r="OKX41" s="139"/>
      <c r="OKY41" s="139"/>
      <c r="OKZ41" s="139"/>
      <c r="OLA41" s="139"/>
      <c r="OLB41" s="139"/>
      <c r="OLC41" s="139"/>
      <c r="OLD41" s="139"/>
      <c r="OLE41" s="139"/>
      <c r="OLF41" s="139"/>
      <c r="OLG41" s="139"/>
      <c r="OLH41" s="139"/>
      <c r="OLI41" s="139"/>
      <c r="OLJ41" s="139"/>
      <c r="OLK41" s="139"/>
      <c r="OLL41" s="139"/>
      <c r="OLM41" s="139"/>
      <c r="OLN41" s="139"/>
      <c r="OLO41" s="139"/>
      <c r="OLP41" s="139"/>
      <c r="OLQ41" s="139"/>
      <c r="OLR41" s="139"/>
      <c r="OLS41" s="139"/>
      <c r="OLT41" s="139"/>
      <c r="OLU41" s="139"/>
      <c r="OLV41" s="139"/>
      <c r="OLW41" s="139"/>
      <c r="OLX41" s="139"/>
      <c r="OLY41" s="139"/>
      <c r="OLZ41" s="139"/>
      <c r="OMA41" s="139"/>
      <c r="OMB41" s="139"/>
      <c r="OMC41" s="139"/>
      <c r="OMD41" s="139"/>
      <c r="OME41" s="139"/>
      <c r="OMF41" s="139"/>
      <c r="OMG41" s="139"/>
      <c r="OMH41" s="139"/>
      <c r="OMI41" s="139"/>
      <c r="OMJ41" s="139"/>
      <c r="OMK41" s="139"/>
      <c r="OML41" s="139"/>
      <c r="OMM41" s="139"/>
      <c r="OMN41" s="139"/>
      <c r="OMO41" s="139"/>
      <c r="OMP41" s="139"/>
      <c r="OMQ41" s="139"/>
      <c r="OMR41" s="139"/>
      <c r="OMS41" s="139"/>
      <c r="OMT41" s="139"/>
      <c r="OMU41" s="139"/>
      <c r="OMV41" s="139"/>
      <c r="OMW41" s="139"/>
      <c r="OMX41" s="139"/>
      <c r="OMY41" s="139"/>
      <c r="OMZ41" s="139"/>
      <c r="ONA41" s="139"/>
      <c r="ONB41" s="139"/>
      <c r="ONC41" s="139"/>
      <c r="OND41" s="139"/>
      <c r="ONE41" s="139"/>
      <c r="ONF41" s="139"/>
      <c r="ONG41" s="139"/>
      <c r="ONH41" s="139"/>
      <c r="ONI41" s="139"/>
      <c r="ONJ41" s="139"/>
      <c r="ONK41" s="139"/>
      <c r="ONL41" s="139"/>
      <c r="ONM41" s="139"/>
      <c r="ONN41" s="139"/>
      <c r="ONO41" s="139"/>
      <c r="ONP41" s="139"/>
      <c r="ONQ41" s="139"/>
      <c r="ONR41" s="139"/>
      <c r="ONS41" s="139"/>
      <c r="ONT41" s="139"/>
      <c r="ONU41" s="139"/>
      <c r="ONV41" s="139"/>
      <c r="ONW41" s="139"/>
      <c r="ONX41" s="139"/>
      <c r="ONY41" s="139"/>
      <c r="ONZ41" s="139"/>
      <c r="OOA41" s="139"/>
      <c r="OOB41" s="139"/>
      <c r="OOC41" s="139"/>
      <c r="OOD41" s="139"/>
      <c r="OOE41" s="139"/>
      <c r="OOF41" s="139"/>
      <c r="OOG41" s="139"/>
      <c r="OOH41" s="139"/>
      <c r="OOI41" s="139"/>
      <c r="OOJ41" s="139"/>
      <c r="OOK41" s="139"/>
      <c r="OOL41" s="139"/>
      <c r="OOM41" s="139"/>
      <c r="OON41" s="139"/>
      <c r="OOO41" s="139"/>
      <c r="OOP41" s="139"/>
      <c r="OOQ41" s="139"/>
      <c r="OOR41" s="139"/>
      <c r="OOS41" s="139"/>
      <c r="OOT41" s="139"/>
      <c r="OOU41" s="139"/>
      <c r="OOV41" s="139"/>
      <c r="OOW41" s="139"/>
      <c r="OOX41" s="139"/>
      <c r="OOY41" s="139"/>
      <c r="OOZ41" s="139"/>
      <c r="OPA41" s="139"/>
      <c r="OPB41" s="139"/>
      <c r="OPC41" s="139"/>
      <c r="OPD41" s="139"/>
      <c r="OPE41" s="139"/>
      <c r="OPF41" s="139"/>
      <c r="OPG41" s="139"/>
      <c r="OPH41" s="139"/>
      <c r="OPI41" s="139"/>
      <c r="OPJ41" s="139"/>
      <c r="OPK41" s="139"/>
      <c r="OPL41" s="139"/>
      <c r="OPM41" s="139"/>
      <c r="OPN41" s="139"/>
      <c r="OPO41" s="139"/>
      <c r="OPP41" s="139"/>
      <c r="OPQ41" s="139"/>
      <c r="OPR41" s="139"/>
      <c r="OPS41" s="139"/>
      <c r="OPT41" s="139"/>
      <c r="OPU41" s="139"/>
      <c r="OPV41" s="139"/>
      <c r="OPW41" s="139"/>
      <c r="OPX41" s="139"/>
      <c r="OPY41" s="139"/>
      <c r="OPZ41" s="139"/>
      <c r="OQA41" s="139"/>
      <c r="OQB41" s="139"/>
      <c r="OQC41" s="139"/>
      <c r="OQD41" s="139"/>
      <c r="OQE41" s="139"/>
      <c r="OQF41" s="139"/>
      <c r="OQG41" s="139"/>
      <c r="OQH41" s="139"/>
      <c r="OQI41" s="139"/>
      <c r="OQJ41" s="139"/>
      <c r="OQK41" s="139"/>
      <c r="OQL41" s="139"/>
      <c r="OQM41" s="139"/>
      <c r="OQN41" s="139"/>
      <c r="OQO41" s="139"/>
      <c r="OQP41" s="139"/>
      <c r="OQQ41" s="139"/>
      <c r="OQR41" s="139"/>
      <c r="OQS41" s="139"/>
      <c r="OQT41" s="139"/>
      <c r="OQU41" s="139"/>
      <c r="OQV41" s="139"/>
      <c r="OQW41" s="139"/>
      <c r="OQX41" s="139"/>
      <c r="OQY41" s="139"/>
      <c r="OQZ41" s="139"/>
      <c r="ORA41" s="139"/>
      <c r="ORB41" s="139"/>
      <c r="ORC41" s="139"/>
      <c r="ORD41" s="139"/>
      <c r="ORE41" s="139"/>
      <c r="ORF41" s="139"/>
      <c r="ORG41" s="139"/>
      <c r="ORH41" s="139"/>
      <c r="ORI41" s="139"/>
      <c r="ORJ41" s="139"/>
      <c r="ORK41" s="139"/>
      <c r="ORL41" s="139"/>
      <c r="ORM41" s="139"/>
      <c r="ORN41" s="139"/>
      <c r="ORO41" s="139"/>
      <c r="ORP41" s="139"/>
      <c r="ORQ41" s="139"/>
      <c r="ORR41" s="139"/>
      <c r="ORS41" s="139"/>
      <c r="ORT41" s="139"/>
      <c r="ORU41" s="139"/>
      <c r="ORV41" s="139"/>
      <c r="ORW41" s="139"/>
      <c r="ORX41" s="139"/>
      <c r="ORY41" s="139"/>
      <c r="ORZ41" s="139"/>
      <c r="OSA41" s="139"/>
      <c r="OSB41" s="139"/>
      <c r="OSC41" s="139"/>
      <c r="OSD41" s="139"/>
      <c r="OSE41" s="139"/>
      <c r="OSF41" s="139"/>
      <c r="OSG41" s="139"/>
      <c r="OSH41" s="139"/>
      <c r="OSI41" s="139"/>
      <c r="OSJ41" s="139"/>
      <c r="OSK41" s="139"/>
      <c r="OSL41" s="139"/>
      <c r="OSM41" s="139"/>
      <c r="OSN41" s="139"/>
      <c r="OSO41" s="139"/>
      <c r="OSP41" s="139"/>
      <c r="OSQ41" s="139"/>
      <c r="OSR41" s="139"/>
      <c r="OSS41" s="139"/>
      <c r="OST41" s="139"/>
      <c r="OSU41" s="139"/>
      <c r="OSV41" s="139"/>
      <c r="OSW41" s="139"/>
      <c r="OSX41" s="139"/>
      <c r="OSY41" s="139"/>
      <c r="OSZ41" s="139"/>
      <c r="OTA41" s="139"/>
      <c r="OTB41" s="139"/>
      <c r="OTC41" s="139"/>
      <c r="OTD41" s="139"/>
      <c r="OTE41" s="139"/>
      <c r="OTF41" s="139"/>
      <c r="OTG41" s="139"/>
      <c r="OTH41" s="139"/>
      <c r="OTI41" s="139"/>
      <c r="OTJ41" s="139"/>
      <c r="OTK41" s="139"/>
      <c r="OTL41" s="139"/>
      <c r="OTM41" s="139"/>
      <c r="OTN41" s="139"/>
      <c r="OTO41" s="139"/>
      <c r="OTP41" s="139"/>
      <c r="OTQ41" s="139"/>
      <c r="OTR41" s="139"/>
      <c r="OTS41" s="139"/>
      <c r="OTT41" s="139"/>
      <c r="OTU41" s="139"/>
      <c r="OTV41" s="139"/>
      <c r="OTW41" s="139"/>
      <c r="OTX41" s="139"/>
      <c r="OTY41" s="139"/>
      <c r="OTZ41" s="139"/>
      <c r="OUA41" s="139"/>
      <c r="OUB41" s="139"/>
      <c r="OUC41" s="139"/>
      <c r="OUD41" s="139"/>
      <c r="OUE41" s="139"/>
      <c r="OUF41" s="139"/>
      <c r="OUG41" s="139"/>
      <c r="OUH41" s="139"/>
      <c r="OUI41" s="139"/>
      <c r="OUJ41" s="139"/>
      <c r="OUK41" s="139"/>
      <c r="OUL41" s="139"/>
      <c r="OUM41" s="139"/>
      <c r="OUN41" s="139"/>
      <c r="OUO41" s="139"/>
      <c r="OUP41" s="139"/>
      <c r="OUQ41" s="139"/>
      <c r="OUR41" s="139"/>
      <c r="OUS41" s="139"/>
      <c r="OUT41" s="139"/>
      <c r="OUU41" s="139"/>
      <c r="OUV41" s="139"/>
      <c r="OUW41" s="139"/>
      <c r="OUX41" s="139"/>
      <c r="OUY41" s="139"/>
      <c r="OUZ41" s="139"/>
      <c r="OVA41" s="139"/>
      <c r="OVB41" s="139"/>
      <c r="OVC41" s="139"/>
      <c r="OVD41" s="139"/>
      <c r="OVE41" s="139"/>
      <c r="OVF41" s="139"/>
      <c r="OVG41" s="139"/>
      <c r="OVH41" s="139"/>
      <c r="OVI41" s="139"/>
      <c r="OVJ41" s="139"/>
      <c r="OVK41" s="139"/>
      <c r="OVL41" s="139"/>
      <c r="OVM41" s="139"/>
      <c r="OVN41" s="139"/>
      <c r="OVO41" s="139"/>
      <c r="OVP41" s="139"/>
      <c r="OVQ41" s="139"/>
      <c r="OVR41" s="139"/>
      <c r="OVS41" s="139"/>
      <c r="OVT41" s="139"/>
      <c r="OVU41" s="139"/>
      <c r="OVV41" s="139"/>
      <c r="OVW41" s="139"/>
      <c r="OVX41" s="139"/>
      <c r="OVY41" s="139"/>
      <c r="OVZ41" s="139"/>
      <c r="OWA41" s="139"/>
      <c r="OWB41" s="139"/>
      <c r="OWC41" s="139"/>
      <c r="OWD41" s="139"/>
      <c r="OWE41" s="139"/>
      <c r="OWF41" s="139"/>
      <c r="OWG41" s="139"/>
      <c r="OWH41" s="139"/>
      <c r="OWI41" s="139"/>
      <c r="OWJ41" s="139"/>
      <c r="OWK41" s="139"/>
      <c r="OWL41" s="139"/>
      <c r="OWM41" s="139"/>
      <c r="OWN41" s="139"/>
      <c r="OWO41" s="139"/>
      <c r="OWP41" s="139"/>
      <c r="OWQ41" s="139"/>
      <c r="OWR41" s="139"/>
      <c r="OWS41" s="139"/>
      <c r="OWT41" s="139"/>
      <c r="OWU41" s="139"/>
      <c r="OWV41" s="139"/>
      <c r="OWW41" s="139"/>
      <c r="OWX41" s="139"/>
      <c r="OWY41" s="139"/>
      <c r="OWZ41" s="139"/>
      <c r="OXA41" s="139"/>
      <c r="OXB41" s="139"/>
      <c r="OXC41" s="139"/>
      <c r="OXD41" s="139"/>
      <c r="OXE41" s="139"/>
      <c r="OXF41" s="139"/>
      <c r="OXG41" s="139"/>
      <c r="OXH41" s="139"/>
      <c r="OXI41" s="139"/>
      <c r="OXJ41" s="139"/>
      <c r="OXK41" s="139"/>
      <c r="OXL41" s="139"/>
      <c r="OXM41" s="139"/>
      <c r="OXN41" s="139"/>
      <c r="OXO41" s="139"/>
      <c r="OXP41" s="139"/>
      <c r="OXQ41" s="139"/>
      <c r="OXR41" s="139"/>
      <c r="OXS41" s="139"/>
      <c r="OXT41" s="139"/>
      <c r="OXU41" s="139"/>
      <c r="OXV41" s="139"/>
      <c r="OXW41" s="139"/>
      <c r="OXX41" s="139"/>
      <c r="OXY41" s="139"/>
      <c r="OXZ41" s="139"/>
      <c r="OYA41" s="139"/>
      <c r="OYB41" s="139"/>
      <c r="OYC41" s="139"/>
      <c r="OYD41" s="139"/>
      <c r="OYE41" s="139"/>
      <c r="OYF41" s="139"/>
      <c r="OYG41" s="139"/>
      <c r="OYH41" s="139"/>
      <c r="OYI41" s="139"/>
      <c r="OYJ41" s="139"/>
      <c r="OYK41" s="139"/>
      <c r="OYL41" s="139"/>
      <c r="OYM41" s="139"/>
      <c r="OYN41" s="139"/>
      <c r="OYO41" s="139"/>
      <c r="OYP41" s="139"/>
      <c r="OYQ41" s="139"/>
      <c r="OYR41" s="139"/>
      <c r="OYS41" s="139"/>
      <c r="OYT41" s="139"/>
      <c r="OYU41" s="139"/>
      <c r="OYV41" s="139"/>
      <c r="OYW41" s="139"/>
      <c r="OYX41" s="139"/>
      <c r="OYY41" s="139"/>
      <c r="OYZ41" s="139"/>
      <c r="OZA41" s="139"/>
      <c r="OZB41" s="139"/>
      <c r="OZC41" s="139"/>
      <c r="OZD41" s="139"/>
      <c r="OZE41" s="139"/>
      <c r="OZF41" s="139"/>
      <c r="OZG41" s="139"/>
      <c r="OZH41" s="139"/>
      <c r="OZI41" s="139"/>
      <c r="OZJ41" s="139"/>
      <c r="OZK41" s="139"/>
      <c r="OZL41" s="139"/>
      <c r="OZM41" s="139"/>
      <c r="OZN41" s="139"/>
      <c r="OZO41" s="139"/>
      <c r="OZP41" s="139"/>
      <c r="OZQ41" s="139"/>
      <c r="OZR41" s="139"/>
      <c r="OZS41" s="139"/>
      <c r="OZT41" s="139"/>
      <c r="OZU41" s="139"/>
      <c r="OZV41" s="139"/>
      <c r="OZW41" s="139"/>
      <c r="OZX41" s="139"/>
      <c r="OZY41" s="139"/>
      <c r="OZZ41" s="139"/>
      <c r="PAA41" s="139"/>
      <c r="PAB41" s="139"/>
      <c r="PAC41" s="139"/>
      <c r="PAD41" s="139"/>
      <c r="PAE41" s="139"/>
      <c r="PAF41" s="139"/>
      <c r="PAG41" s="139"/>
      <c r="PAH41" s="139"/>
      <c r="PAI41" s="139"/>
      <c r="PAJ41" s="139"/>
      <c r="PAK41" s="139"/>
      <c r="PAL41" s="139"/>
      <c r="PAM41" s="139"/>
      <c r="PAN41" s="139"/>
      <c r="PAO41" s="139"/>
      <c r="PAP41" s="139"/>
      <c r="PAQ41" s="139"/>
      <c r="PAR41" s="139"/>
      <c r="PAS41" s="139"/>
      <c r="PAT41" s="139"/>
      <c r="PAU41" s="139"/>
      <c r="PAV41" s="139"/>
      <c r="PAW41" s="139"/>
      <c r="PAX41" s="139"/>
      <c r="PAY41" s="139"/>
      <c r="PAZ41" s="139"/>
      <c r="PBA41" s="139"/>
      <c r="PBB41" s="139"/>
      <c r="PBC41" s="139"/>
      <c r="PBD41" s="139"/>
      <c r="PBE41" s="139"/>
      <c r="PBF41" s="139"/>
      <c r="PBG41" s="139"/>
      <c r="PBH41" s="139"/>
      <c r="PBI41" s="139"/>
      <c r="PBJ41" s="139"/>
      <c r="PBK41" s="139"/>
      <c r="PBL41" s="139"/>
      <c r="PBM41" s="139"/>
      <c r="PBN41" s="139"/>
      <c r="PBO41" s="139"/>
      <c r="PBP41" s="139"/>
      <c r="PBQ41" s="139"/>
      <c r="PBR41" s="139"/>
      <c r="PBS41" s="139"/>
      <c r="PBT41" s="139"/>
      <c r="PBU41" s="139"/>
      <c r="PBV41" s="139"/>
      <c r="PBW41" s="139"/>
      <c r="PBX41" s="139"/>
      <c r="PBY41" s="139"/>
      <c r="PBZ41" s="139"/>
      <c r="PCA41" s="139"/>
      <c r="PCB41" s="139"/>
      <c r="PCC41" s="139"/>
      <c r="PCD41" s="139"/>
      <c r="PCE41" s="139"/>
      <c r="PCF41" s="139"/>
      <c r="PCG41" s="139"/>
      <c r="PCH41" s="139"/>
      <c r="PCI41" s="139"/>
      <c r="PCJ41" s="139"/>
      <c r="PCK41" s="139"/>
      <c r="PCL41" s="139"/>
      <c r="PCM41" s="139"/>
      <c r="PCN41" s="139"/>
      <c r="PCO41" s="139"/>
      <c r="PCP41" s="139"/>
      <c r="PCQ41" s="139"/>
      <c r="PCR41" s="139"/>
      <c r="PCS41" s="139"/>
      <c r="PCT41" s="139"/>
      <c r="PCU41" s="139"/>
      <c r="PCV41" s="139"/>
      <c r="PCW41" s="139"/>
      <c r="PCX41" s="139"/>
      <c r="PCY41" s="139"/>
      <c r="PCZ41" s="139"/>
      <c r="PDA41" s="139"/>
      <c r="PDB41" s="139"/>
      <c r="PDC41" s="139"/>
      <c r="PDD41" s="139"/>
      <c r="PDE41" s="139"/>
      <c r="PDF41" s="139"/>
      <c r="PDG41" s="139"/>
      <c r="PDH41" s="139"/>
      <c r="PDI41" s="139"/>
      <c r="PDJ41" s="139"/>
      <c r="PDK41" s="139"/>
      <c r="PDL41" s="139"/>
      <c r="PDM41" s="139"/>
      <c r="PDN41" s="139"/>
      <c r="PDO41" s="139"/>
      <c r="PDP41" s="139"/>
      <c r="PDQ41" s="139"/>
      <c r="PDR41" s="139"/>
      <c r="PDS41" s="139"/>
      <c r="PDT41" s="139"/>
      <c r="PDU41" s="139"/>
      <c r="PDV41" s="139"/>
      <c r="PDW41" s="139"/>
      <c r="PDX41" s="139"/>
      <c r="PDY41" s="139"/>
      <c r="PDZ41" s="139"/>
      <c r="PEA41" s="139"/>
      <c r="PEB41" s="139"/>
      <c r="PEC41" s="139"/>
      <c r="PED41" s="139"/>
      <c r="PEE41" s="139"/>
      <c r="PEF41" s="139"/>
      <c r="PEG41" s="139"/>
      <c r="PEH41" s="139"/>
      <c r="PEI41" s="139"/>
      <c r="PEJ41" s="139"/>
      <c r="PEK41" s="139"/>
      <c r="PEL41" s="139"/>
      <c r="PEM41" s="139"/>
      <c r="PEN41" s="139"/>
      <c r="PEO41" s="139"/>
      <c r="PEP41" s="139"/>
      <c r="PEQ41" s="139"/>
      <c r="PER41" s="139"/>
      <c r="PES41" s="139"/>
      <c r="PET41" s="139"/>
      <c r="PEU41" s="139"/>
      <c r="PEV41" s="139"/>
      <c r="PEW41" s="139"/>
      <c r="PEX41" s="139"/>
      <c r="PEY41" s="139"/>
      <c r="PEZ41" s="139"/>
      <c r="PFA41" s="139"/>
      <c r="PFB41" s="139"/>
      <c r="PFC41" s="139"/>
      <c r="PFD41" s="139"/>
      <c r="PFE41" s="139"/>
      <c r="PFF41" s="139"/>
      <c r="PFG41" s="139"/>
      <c r="PFH41" s="139"/>
      <c r="PFI41" s="139"/>
      <c r="PFJ41" s="139"/>
      <c r="PFK41" s="139"/>
      <c r="PFL41" s="139"/>
      <c r="PFM41" s="139"/>
      <c r="PFN41" s="139"/>
      <c r="PFO41" s="139"/>
      <c r="PFP41" s="139"/>
      <c r="PFQ41" s="139"/>
      <c r="PFR41" s="139"/>
      <c r="PFS41" s="139"/>
      <c r="PFT41" s="139"/>
      <c r="PFU41" s="139"/>
      <c r="PFV41" s="139"/>
      <c r="PFW41" s="139"/>
      <c r="PFX41" s="139"/>
      <c r="PFY41" s="139"/>
      <c r="PFZ41" s="139"/>
      <c r="PGA41" s="139"/>
      <c r="PGB41" s="139"/>
      <c r="PGC41" s="139"/>
      <c r="PGD41" s="139"/>
      <c r="PGE41" s="139"/>
      <c r="PGF41" s="139"/>
      <c r="PGG41" s="139"/>
      <c r="PGH41" s="139"/>
      <c r="PGI41" s="139"/>
      <c r="PGJ41" s="139"/>
      <c r="PGK41" s="139"/>
      <c r="PGL41" s="139"/>
      <c r="PGM41" s="139"/>
      <c r="PGN41" s="139"/>
      <c r="PGO41" s="139"/>
      <c r="PGP41" s="139"/>
      <c r="PGQ41" s="139"/>
      <c r="PGR41" s="139"/>
      <c r="PGS41" s="139"/>
      <c r="PGT41" s="139"/>
      <c r="PGU41" s="139"/>
      <c r="PGV41" s="139"/>
      <c r="PGW41" s="139"/>
      <c r="PGX41" s="139"/>
      <c r="PGY41" s="139"/>
      <c r="PGZ41" s="139"/>
      <c r="PHA41" s="139"/>
      <c r="PHB41" s="139"/>
      <c r="PHC41" s="139"/>
      <c r="PHD41" s="139"/>
      <c r="PHE41" s="139"/>
      <c r="PHF41" s="139"/>
      <c r="PHG41" s="139"/>
      <c r="PHH41" s="139"/>
      <c r="PHI41" s="139"/>
      <c r="PHJ41" s="139"/>
      <c r="PHK41" s="139"/>
      <c r="PHL41" s="139"/>
      <c r="PHM41" s="139"/>
      <c r="PHN41" s="139"/>
      <c r="PHO41" s="139"/>
      <c r="PHP41" s="139"/>
      <c r="PHQ41" s="139"/>
      <c r="PHR41" s="139"/>
      <c r="PHS41" s="139"/>
      <c r="PHT41" s="139"/>
      <c r="PHU41" s="139"/>
      <c r="PHV41" s="139"/>
      <c r="PHW41" s="139"/>
      <c r="PHX41" s="139"/>
      <c r="PHY41" s="139"/>
      <c r="PHZ41" s="139"/>
      <c r="PIA41" s="139"/>
      <c r="PIB41" s="139"/>
      <c r="PIC41" s="139"/>
      <c r="PID41" s="139"/>
      <c r="PIE41" s="139"/>
      <c r="PIF41" s="139"/>
      <c r="PIG41" s="139"/>
      <c r="PIH41" s="139"/>
      <c r="PII41" s="139"/>
      <c r="PIJ41" s="139"/>
      <c r="PIK41" s="139"/>
      <c r="PIL41" s="139"/>
      <c r="PIM41" s="139"/>
      <c r="PIN41" s="139"/>
      <c r="PIO41" s="139"/>
      <c r="PIP41" s="139"/>
      <c r="PIQ41" s="139"/>
      <c r="PIR41" s="139"/>
      <c r="PIS41" s="139"/>
      <c r="PIT41" s="139"/>
      <c r="PIU41" s="139"/>
      <c r="PIV41" s="139"/>
      <c r="PIW41" s="139"/>
      <c r="PIX41" s="139"/>
      <c r="PIY41" s="139"/>
      <c r="PIZ41" s="139"/>
      <c r="PJA41" s="139"/>
      <c r="PJB41" s="139"/>
      <c r="PJC41" s="139"/>
      <c r="PJD41" s="139"/>
      <c r="PJE41" s="139"/>
      <c r="PJF41" s="139"/>
      <c r="PJG41" s="139"/>
      <c r="PJH41" s="139"/>
      <c r="PJI41" s="139"/>
      <c r="PJJ41" s="139"/>
      <c r="PJK41" s="139"/>
      <c r="PJL41" s="139"/>
      <c r="PJM41" s="139"/>
      <c r="PJN41" s="139"/>
      <c r="PJO41" s="139"/>
      <c r="PJP41" s="139"/>
      <c r="PJQ41" s="139"/>
      <c r="PJR41" s="139"/>
      <c r="PJS41" s="139"/>
      <c r="PJT41" s="139"/>
      <c r="PJU41" s="139"/>
      <c r="PJV41" s="139"/>
      <c r="PJW41" s="139"/>
      <c r="PJX41" s="139"/>
      <c r="PJY41" s="139"/>
      <c r="PJZ41" s="139"/>
      <c r="PKA41" s="139"/>
      <c r="PKB41" s="139"/>
      <c r="PKC41" s="139"/>
      <c r="PKD41" s="139"/>
      <c r="PKE41" s="139"/>
      <c r="PKF41" s="139"/>
      <c r="PKG41" s="139"/>
      <c r="PKH41" s="139"/>
      <c r="PKI41" s="139"/>
      <c r="PKJ41" s="139"/>
      <c r="PKK41" s="139"/>
      <c r="PKL41" s="139"/>
      <c r="PKM41" s="139"/>
      <c r="PKN41" s="139"/>
      <c r="PKO41" s="139"/>
      <c r="PKP41" s="139"/>
      <c r="PKQ41" s="139"/>
      <c r="PKR41" s="139"/>
      <c r="PKS41" s="139"/>
      <c r="PKT41" s="139"/>
      <c r="PKU41" s="139"/>
      <c r="PKV41" s="139"/>
      <c r="PKW41" s="139"/>
      <c r="PKX41" s="139"/>
      <c r="PKY41" s="139"/>
      <c r="PKZ41" s="139"/>
      <c r="PLA41" s="139"/>
      <c r="PLB41" s="139"/>
      <c r="PLC41" s="139"/>
      <c r="PLD41" s="139"/>
      <c r="PLE41" s="139"/>
      <c r="PLF41" s="139"/>
      <c r="PLG41" s="139"/>
      <c r="PLH41" s="139"/>
      <c r="PLI41" s="139"/>
      <c r="PLJ41" s="139"/>
      <c r="PLK41" s="139"/>
      <c r="PLL41" s="139"/>
      <c r="PLM41" s="139"/>
      <c r="PLN41" s="139"/>
      <c r="PLO41" s="139"/>
      <c r="PLP41" s="139"/>
      <c r="PLQ41" s="139"/>
      <c r="PLR41" s="139"/>
      <c r="PLS41" s="139"/>
      <c r="PLT41" s="139"/>
      <c r="PLU41" s="139"/>
      <c r="PLV41" s="139"/>
      <c r="PLW41" s="139"/>
      <c r="PLX41" s="139"/>
      <c r="PLY41" s="139"/>
      <c r="PLZ41" s="139"/>
      <c r="PMA41" s="139"/>
      <c r="PMB41" s="139"/>
      <c r="PMC41" s="139"/>
      <c r="PMD41" s="139"/>
      <c r="PME41" s="139"/>
      <c r="PMF41" s="139"/>
      <c r="PMG41" s="139"/>
      <c r="PMH41" s="139"/>
      <c r="PMI41" s="139"/>
      <c r="PMJ41" s="139"/>
      <c r="PMK41" s="139"/>
      <c r="PML41" s="139"/>
      <c r="PMM41" s="139"/>
      <c r="PMN41" s="139"/>
      <c r="PMO41" s="139"/>
      <c r="PMP41" s="139"/>
      <c r="PMQ41" s="139"/>
      <c r="PMR41" s="139"/>
      <c r="PMS41" s="139"/>
      <c r="PMT41" s="139"/>
      <c r="PMU41" s="139"/>
      <c r="PMV41" s="139"/>
      <c r="PMW41" s="139"/>
      <c r="PMX41" s="139"/>
      <c r="PMY41" s="139"/>
      <c r="PMZ41" s="139"/>
      <c r="PNA41" s="139"/>
      <c r="PNB41" s="139"/>
      <c r="PNC41" s="139"/>
      <c r="PND41" s="139"/>
      <c r="PNE41" s="139"/>
      <c r="PNF41" s="139"/>
      <c r="PNG41" s="139"/>
      <c r="PNH41" s="139"/>
      <c r="PNI41" s="139"/>
      <c r="PNJ41" s="139"/>
      <c r="PNK41" s="139"/>
      <c r="PNL41" s="139"/>
      <c r="PNM41" s="139"/>
      <c r="PNN41" s="139"/>
      <c r="PNO41" s="139"/>
      <c r="PNP41" s="139"/>
      <c r="PNQ41" s="139"/>
      <c r="PNR41" s="139"/>
      <c r="PNS41" s="139"/>
      <c r="PNT41" s="139"/>
      <c r="PNU41" s="139"/>
      <c r="PNV41" s="139"/>
      <c r="PNW41" s="139"/>
      <c r="PNX41" s="139"/>
      <c r="PNY41" s="139"/>
      <c r="PNZ41" s="139"/>
      <c r="POA41" s="139"/>
      <c r="POB41" s="139"/>
      <c r="POC41" s="139"/>
      <c r="POD41" s="139"/>
      <c r="POE41" s="139"/>
      <c r="POF41" s="139"/>
      <c r="POG41" s="139"/>
      <c r="POH41" s="139"/>
      <c r="POI41" s="139"/>
      <c r="POJ41" s="139"/>
      <c r="POK41" s="139"/>
      <c r="POL41" s="139"/>
      <c r="POM41" s="139"/>
      <c r="PON41" s="139"/>
      <c r="POO41" s="139"/>
      <c r="POP41" s="139"/>
      <c r="POQ41" s="139"/>
      <c r="POR41" s="139"/>
      <c r="POS41" s="139"/>
      <c r="POT41" s="139"/>
      <c r="POU41" s="139"/>
      <c r="POV41" s="139"/>
      <c r="POW41" s="139"/>
      <c r="POX41" s="139"/>
      <c r="POY41" s="139"/>
      <c r="POZ41" s="139"/>
      <c r="PPA41" s="139"/>
      <c r="PPB41" s="139"/>
      <c r="PPC41" s="139"/>
      <c r="PPD41" s="139"/>
      <c r="PPE41" s="139"/>
      <c r="PPF41" s="139"/>
      <c r="PPG41" s="139"/>
      <c r="PPH41" s="139"/>
      <c r="PPI41" s="139"/>
      <c r="PPJ41" s="139"/>
      <c r="PPK41" s="139"/>
      <c r="PPL41" s="139"/>
      <c r="PPM41" s="139"/>
      <c r="PPN41" s="139"/>
      <c r="PPO41" s="139"/>
      <c r="PPP41" s="139"/>
      <c r="PPQ41" s="139"/>
      <c r="PPR41" s="139"/>
      <c r="PPS41" s="139"/>
      <c r="PPT41" s="139"/>
      <c r="PPU41" s="139"/>
      <c r="PPV41" s="139"/>
      <c r="PPW41" s="139"/>
      <c r="PPX41" s="139"/>
      <c r="PPY41" s="139"/>
      <c r="PPZ41" s="139"/>
      <c r="PQA41" s="139"/>
      <c r="PQB41" s="139"/>
      <c r="PQC41" s="139"/>
      <c r="PQD41" s="139"/>
      <c r="PQE41" s="139"/>
      <c r="PQF41" s="139"/>
      <c r="PQG41" s="139"/>
      <c r="PQH41" s="139"/>
      <c r="PQI41" s="139"/>
      <c r="PQJ41" s="139"/>
      <c r="PQK41" s="139"/>
      <c r="PQL41" s="139"/>
      <c r="PQM41" s="139"/>
      <c r="PQN41" s="139"/>
      <c r="PQO41" s="139"/>
      <c r="PQP41" s="139"/>
      <c r="PQQ41" s="139"/>
      <c r="PQR41" s="139"/>
      <c r="PQS41" s="139"/>
      <c r="PQT41" s="139"/>
      <c r="PQU41" s="139"/>
      <c r="PQV41" s="139"/>
      <c r="PQW41" s="139"/>
      <c r="PQX41" s="139"/>
      <c r="PQY41" s="139"/>
      <c r="PQZ41" s="139"/>
      <c r="PRA41" s="139"/>
      <c r="PRB41" s="139"/>
      <c r="PRC41" s="139"/>
      <c r="PRD41" s="139"/>
      <c r="PRE41" s="139"/>
      <c r="PRF41" s="139"/>
      <c r="PRG41" s="139"/>
      <c r="PRH41" s="139"/>
      <c r="PRI41" s="139"/>
      <c r="PRJ41" s="139"/>
      <c r="PRK41" s="139"/>
      <c r="PRL41" s="139"/>
      <c r="PRM41" s="139"/>
      <c r="PRN41" s="139"/>
      <c r="PRO41" s="139"/>
      <c r="PRP41" s="139"/>
      <c r="PRQ41" s="139"/>
      <c r="PRR41" s="139"/>
      <c r="PRS41" s="139"/>
      <c r="PRT41" s="139"/>
      <c r="PRU41" s="139"/>
      <c r="PRV41" s="139"/>
      <c r="PRW41" s="139"/>
      <c r="PRX41" s="139"/>
      <c r="PRY41" s="139"/>
      <c r="PRZ41" s="139"/>
      <c r="PSA41" s="139"/>
      <c r="PSB41" s="139"/>
      <c r="PSC41" s="139"/>
      <c r="PSD41" s="139"/>
      <c r="PSE41" s="139"/>
      <c r="PSF41" s="139"/>
      <c r="PSG41" s="139"/>
      <c r="PSH41" s="139"/>
      <c r="PSI41" s="139"/>
      <c r="PSJ41" s="139"/>
      <c r="PSK41" s="139"/>
      <c r="PSL41" s="139"/>
      <c r="PSM41" s="139"/>
      <c r="PSN41" s="139"/>
      <c r="PSO41" s="139"/>
      <c r="PSP41" s="139"/>
      <c r="PSQ41" s="139"/>
      <c r="PSR41" s="139"/>
      <c r="PSS41" s="139"/>
      <c r="PST41" s="139"/>
      <c r="PSU41" s="139"/>
      <c r="PSV41" s="139"/>
      <c r="PSW41" s="139"/>
      <c r="PSX41" s="139"/>
      <c r="PSY41" s="139"/>
      <c r="PSZ41" s="139"/>
      <c r="PTA41" s="139"/>
      <c r="PTB41" s="139"/>
      <c r="PTC41" s="139"/>
      <c r="PTD41" s="139"/>
      <c r="PTE41" s="139"/>
      <c r="PTF41" s="139"/>
      <c r="PTG41" s="139"/>
      <c r="PTH41" s="139"/>
      <c r="PTI41" s="139"/>
      <c r="PTJ41" s="139"/>
      <c r="PTK41" s="139"/>
      <c r="PTL41" s="139"/>
      <c r="PTM41" s="139"/>
      <c r="PTN41" s="139"/>
      <c r="PTO41" s="139"/>
      <c r="PTP41" s="139"/>
      <c r="PTQ41" s="139"/>
      <c r="PTR41" s="139"/>
      <c r="PTS41" s="139"/>
      <c r="PTT41" s="139"/>
      <c r="PTU41" s="139"/>
      <c r="PTV41" s="139"/>
      <c r="PTW41" s="139"/>
      <c r="PTX41" s="139"/>
      <c r="PTY41" s="139"/>
      <c r="PTZ41" s="139"/>
      <c r="PUA41" s="139"/>
      <c r="PUB41" s="139"/>
      <c r="PUC41" s="139"/>
      <c r="PUD41" s="139"/>
      <c r="PUE41" s="139"/>
      <c r="PUF41" s="139"/>
      <c r="PUG41" s="139"/>
      <c r="PUH41" s="139"/>
      <c r="PUI41" s="139"/>
      <c r="PUJ41" s="139"/>
      <c r="PUK41" s="139"/>
      <c r="PUL41" s="139"/>
      <c r="PUM41" s="139"/>
      <c r="PUN41" s="139"/>
      <c r="PUO41" s="139"/>
      <c r="PUP41" s="139"/>
      <c r="PUQ41" s="139"/>
      <c r="PUR41" s="139"/>
      <c r="PUS41" s="139"/>
      <c r="PUT41" s="139"/>
      <c r="PUU41" s="139"/>
      <c r="PUV41" s="139"/>
      <c r="PUW41" s="139"/>
      <c r="PUX41" s="139"/>
      <c r="PUY41" s="139"/>
      <c r="PUZ41" s="139"/>
      <c r="PVA41" s="139"/>
      <c r="PVB41" s="139"/>
      <c r="PVC41" s="139"/>
      <c r="PVD41" s="139"/>
      <c r="PVE41" s="139"/>
      <c r="PVF41" s="139"/>
      <c r="PVG41" s="139"/>
      <c r="PVH41" s="139"/>
      <c r="PVI41" s="139"/>
      <c r="PVJ41" s="139"/>
      <c r="PVK41" s="139"/>
      <c r="PVL41" s="139"/>
      <c r="PVM41" s="139"/>
      <c r="PVN41" s="139"/>
      <c r="PVO41" s="139"/>
      <c r="PVP41" s="139"/>
      <c r="PVQ41" s="139"/>
      <c r="PVR41" s="139"/>
      <c r="PVS41" s="139"/>
      <c r="PVT41" s="139"/>
      <c r="PVU41" s="139"/>
      <c r="PVV41" s="139"/>
      <c r="PVW41" s="139"/>
      <c r="PVX41" s="139"/>
      <c r="PVY41" s="139"/>
      <c r="PVZ41" s="139"/>
      <c r="PWA41" s="139"/>
      <c r="PWB41" s="139"/>
      <c r="PWC41" s="139"/>
      <c r="PWD41" s="139"/>
      <c r="PWE41" s="139"/>
      <c r="PWF41" s="139"/>
      <c r="PWG41" s="139"/>
      <c r="PWH41" s="139"/>
      <c r="PWI41" s="139"/>
      <c r="PWJ41" s="139"/>
      <c r="PWK41" s="139"/>
      <c r="PWL41" s="139"/>
      <c r="PWM41" s="139"/>
      <c r="PWN41" s="139"/>
      <c r="PWO41" s="139"/>
      <c r="PWP41" s="139"/>
      <c r="PWQ41" s="139"/>
      <c r="PWR41" s="139"/>
      <c r="PWS41" s="139"/>
      <c r="PWT41" s="139"/>
      <c r="PWU41" s="139"/>
      <c r="PWV41" s="139"/>
      <c r="PWW41" s="139"/>
      <c r="PWX41" s="139"/>
      <c r="PWY41" s="139"/>
      <c r="PWZ41" s="139"/>
      <c r="PXA41" s="139"/>
      <c r="PXB41" s="139"/>
      <c r="PXC41" s="139"/>
      <c r="PXD41" s="139"/>
      <c r="PXE41" s="139"/>
      <c r="PXF41" s="139"/>
      <c r="PXG41" s="139"/>
      <c r="PXH41" s="139"/>
      <c r="PXI41" s="139"/>
      <c r="PXJ41" s="139"/>
      <c r="PXK41" s="139"/>
      <c r="PXL41" s="139"/>
      <c r="PXM41" s="139"/>
      <c r="PXN41" s="139"/>
      <c r="PXO41" s="139"/>
      <c r="PXP41" s="139"/>
      <c r="PXQ41" s="139"/>
      <c r="PXR41" s="139"/>
      <c r="PXS41" s="139"/>
      <c r="PXT41" s="139"/>
      <c r="PXU41" s="139"/>
      <c r="PXV41" s="139"/>
      <c r="PXW41" s="139"/>
      <c r="PXX41" s="139"/>
      <c r="PXY41" s="139"/>
      <c r="PXZ41" s="139"/>
      <c r="PYA41" s="139"/>
      <c r="PYB41" s="139"/>
      <c r="PYC41" s="139"/>
      <c r="PYD41" s="139"/>
      <c r="PYE41" s="139"/>
      <c r="PYF41" s="139"/>
      <c r="PYG41" s="139"/>
      <c r="PYH41" s="139"/>
      <c r="PYI41" s="139"/>
      <c r="PYJ41" s="139"/>
      <c r="PYK41" s="139"/>
      <c r="PYL41" s="139"/>
      <c r="PYM41" s="139"/>
      <c r="PYN41" s="139"/>
      <c r="PYO41" s="139"/>
      <c r="PYP41" s="139"/>
      <c r="PYQ41" s="139"/>
      <c r="PYR41" s="139"/>
      <c r="PYS41" s="139"/>
      <c r="PYT41" s="139"/>
      <c r="PYU41" s="139"/>
      <c r="PYV41" s="139"/>
      <c r="PYW41" s="139"/>
      <c r="PYX41" s="139"/>
      <c r="PYY41" s="139"/>
      <c r="PYZ41" s="139"/>
      <c r="PZA41" s="139"/>
      <c r="PZB41" s="139"/>
      <c r="PZC41" s="139"/>
      <c r="PZD41" s="139"/>
      <c r="PZE41" s="139"/>
      <c r="PZF41" s="139"/>
      <c r="PZG41" s="139"/>
      <c r="PZH41" s="139"/>
      <c r="PZI41" s="139"/>
      <c r="PZJ41" s="139"/>
      <c r="PZK41" s="139"/>
      <c r="PZL41" s="139"/>
      <c r="PZM41" s="139"/>
      <c r="PZN41" s="139"/>
      <c r="PZO41" s="139"/>
      <c r="PZP41" s="139"/>
      <c r="PZQ41" s="139"/>
      <c r="PZR41" s="139"/>
      <c r="PZS41" s="139"/>
      <c r="PZT41" s="139"/>
      <c r="PZU41" s="139"/>
      <c r="PZV41" s="139"/>
      <c r="PZW41" s="139"/>
      <c r="PZX41" s="139"/>
      <c r="PZY41" s="139"/>
      <c r="PZZ41" s="139"/>
      <c r="QAA41" s="139"/>
      <c r="QAB41" s="139"/>
      <c r="QAC41" s="139"/>
      <c r="QAD41" s="139"/>
      <c r="QAE41" s="139"/>
      <c r="QAF41" s="139"/>
      <c r="QAG41" s="139"/>
      <c r="QAH41" s="139"/>
      <c r="QAI41" s="139"/>
      <c r="QAJ41" s="139"/>
      <c r="QAK41" s="139"/>
      <c r="QAL41" s="139"/>
      <c r="QAM41" s="139"/>
      <c r="QAN41" s="139"/>
      <c r="QAO41" s="139"/>
      <c r="QAP41" s="139"/>
      <c r="QAQ41" s="139"/>
      <c r="QAR41" s="139"/>
      <c r="QAS41" s="139"/>
      <c r="QAT41" s="139"/>
      <c r="QAU41" s="139"/>
      <c r="QAV41" s="139"/>
      <c r="QAW41" s="139"/>
      <c r="QAX41" s="139"/>
      <c r="QAY41" s="139"/>
      <c r="QAZ41" s="139"/>
      <c r="QBA41" s="139"/>
      <c r="QBB41" s="139"/>
      <c r="QBC41" s="139"/>
      <c r="QBD41" s="139"/>
      <c r="QBE41" s="139"/>
      <c r="QBF41" s="139"/>
      <c r="QBG41" s="139"/>
      <c r="QBH41" s="139"/>
      <c r="QBI41" s="139"/>
      <c r="QBJ41" s="139"/>
      <c r="QBK41" s="139"/>
      <c r="QBL41" s="139"/>
      <c r="QBM41" s="139"/>
      <c r="QBN41" s="139"/>
      <c r="QBO41" s="139"/>
      <c r="QBP41" s="139"/>
      <c r="QBQ41" s="139"/>
      <c r="QBR41" s="139"/>
      <c r="QBS41" s="139"/>
      <c r="QBT41" s="139"/>
      <c r="QBU41" s="139"/>
      <c r="QBV41" s="139"/>
      <c r="QBW41" s="139"/>
      <c r="QBX41" s="139"/>
      <c r="QBY41" s="139"/>
      <c r="QBZ41" s="139"/>
      <c r="QCA41" s="139"/>
      <c r="QCB41" s="139"/>
      <c r="QCC41" s="139"/>
      <c r="QCD41" s="139"/>
      <c r="QCE41" s="139"/>
      <c r="QCF41" s="139"/>
      <c r="QCG41" s="139"/>
      <c r="QCH41" s="139"/>
      <c r="QCI41" s="139"/>
      <c r="QCJ41" s="139"/>
      <c r="QCK41" s="139"/>
      <c r="QCL41" s="139"/>
      <c r="QCM41" s="139"/>
      <c r="QCN41" s="139"/>
      <c r="QCO41" s="139"/>
      <c r="QCP41" s="139"/>
      <c r="QCQ41" s="139"/>
      <c r="QCR41" s="139"/>
      <c r="QCS41" s="139"/>
      <c r="QCT41" s="139"/>
      <c r="QCU41" s="139"/>
      <c r="QCV41" s="139"/>
      <c r="QCW41" s="139"/>
      <c r="QCX41" s="139"/>
      <c r="QCY41" s="139"/>
      <c r="QCZ41" s="139"/>
      <c r="QDA41" s="139"/>
      <c r="QDB41" s="139"/>
      <c r="QDC41" s="139"/>
      <c r="QDD41" s="139"/>
      <c r="QDE41" s="139"/>
      <c r="QDF41" s="139"/>
      <c r="QDG41" s="139"/>
      <c r="QDH41" s="139"/>
      <c r="QDI41" s="139"/>
      <c r="QDJ41" s="139"/>
      <c r="QDK41" s="139"/>
      <c r="QDL41" s="139"/>
      <c r="QDM41" s="139"/>
      <c r="QDN41" s="139"/>
      <c r="QDO41" s="139"/>
      <c r="QDP41" s="139"/>
      <c r="QDQ41" s="139"/>
      <c r="QDR41" s="139"/>
      <c r="QDS41" s="139"/>
      <c r="QDT41" s="139"/>
      <c r="QDU41" s="139"/>
      <c r="QDV41" s="139"/>
      <c r="QDW41" s="139"/>
      <c r="QDX41" s="139"/>
      <c r="QDY41" s="139"/>
      <c r="QDZ41" s="139"/>
      <c r="QEA41" s="139"/>
      <c r="QEB41" s="139"/>
      <c r="QEC41" s="139"/>
      <c r="QED41" s="139"/>
      <c r="QEE41" s="139"/>
      <c r="QEF41" s="139"/>
      <c r="QEG41" s="139"/>
      <c r="QEH41" s="139"/>
      <c r="QEI41" s="139"/>
      <c r="QEJ41" s="139"/>
      <c r="QEK41" s="139"/>
      <c r="QEL41" s="139"/>
      <c r="QEM41" s="139"/>
      <c r="QEN41" s="139"/>
      <c r="QEO41" s="139"/>
      <c r="QEP41" s="139"/>
      <c r="QEQ41" s="139"/>
      <c r="QER41" s="139"/>
      <c r="QES41" s="139"/>
      <c r="QET41" s="139"/>
      <c r="QEU41" s="139"/>
      <c r="QEV41" s="139"/>
      <c r="QEW41" s="139"/>
      <c r="QEX41" s="139"/>
      <c r="QEY41" s="139"/>
      <c r="QEZ41" s="139"/>
      <c r="QFA41" s="139"/>
      <c r="QFB41" s="139"/>
      <c r="QFC41" s="139"/>
      <c r="QFD41" s="139"/>
      <c r="QFE41" s="139"/>
      <c r="QFF41" s="139"/>
      <c r="QFG41" s="139"/>
      <c r="QFH41" s="139"/>
      <c r="QFI41" s="139"/>
      <c r="QFJ41" s="139"/>
      <c r="QFK41" s="139"/>
      <c r="QFL41" s="139"/>
      <c r="QFM41" s="139"/>
      <c r="QFN41" s="139"/>
      <c r="QFO41" s="139"/>
      <c r="QFP41" s="139"/>
      <c r="QFQ41" s="139"/>
      <c r="QFR41" s="139"/>
      <c r="QFS41" s="139"/>
      <c r="QFT41" s="139"/>
      <c r="QFU41" s="139"/>
      <c r="QFV41" s="139"/>
      <c r="QFW41" s="139"/>
      <c r="QFX41" s="139"/>
      <c r="QFY41" s="139"/>
      <c r="QFZ41" s="139"/>
      <c r="QGA41" s="139"/>
      <c r="QGB41" s="139"/>
      <c r="QGC41" s="139"/>
      <c r="QGD41" s="139"/>
      <c r="QGE41" s="139"/>
      <c r="QGF41" s="139"/>
      <c r="QGG41" s="139"/>
      <c r="QGH41" s="139"/>
      <c r="QGI41" s="139"/>
      <c r="QGJ41" s="139"/>
      <c r="QGK41" s="139"/>
      <c r="QGL41" s="139"/>
      <c r="QGM41" s="139"/>
      <c r="QGN41" s="139"/>
      <c r="QGO41" s="139"/>
      <c r="QGP41" s="139"/>
      <c r="QGQ41" s="139"/>
      <c r="QGR41" s="139"/>
      <c r="QGS41" s="139"/>
      <c r="QGT41" s="139"/>
      <c r="QGU41" s="139"/>
      <c r="QGV41" s="139"/>
      <c r="QGW41" s="139"/>
      <c r="QGX41" s="139"/>
      <c r="QGY41" s="139"/>
      <c r="QGZ41" s="139"/>
      <c r="QHA41" s="139"/>
      <c r="QHB41" s="139"/>
      <c r="QHC41" s="139"/>
      <c r="QHD41" s="139"/>
      <c r="QHE41" s="139"/>
      <c r="QHF41" s="139"/>
      <c r="QHG41" s="139"/>
      <c r="QHH41" s="139"/>
      <c r="QHI41" s="139"/>
      <c r="QHJ41" s="139"/>
      <c r="QHK41" s="139"/>
      <c r="QHL41" s="139"/>
      <c r="QHM41" s="139"/>
      <c r="QHN41" s="139"/>
      <c r="QHO41" s="139"/>
      <c r="QHP41" s="139"/>
      <c r="QHQ41" s="139"/>
      <c r="QHR41" s="139"/>
      <c r="QHS41" s="139"/>
      <c r="QHT41" s="139"/>
      <c r="QHU41" s="139"/>
      <c r="QHV41" s="139"/>
      <c r="QHW41" s="139"/>
      <c r="QHX41" s="139"/>
      <c r="QHY41" s="139"/>
      <c r="QHZ41" s="139"/>
      <c r="QIA41" s="139"/>
      <c r="QIB41" s="139"/>
      <c r="QIC41" s="139"/>
      <c r="QID41" s="139"/>
      <c r="QIE41" s="139"/>
      <c r="QIF41" s="139"/>
      <c r="QIG41" s="139"/>
      <c r="QIH41" s="139"/>
      <c r="QII41" s="139"/>
      <c r="QIJ41" s="139"/>
      <c r="QIK41" s="139"/>
      <c r="QIL41" s="139"/>
      <c r="QIM41" s="139"/>
      <c r="QIN41" s="139"/>
      <c r="QIO41" s="139"/>
      <c r="QIP41" s="139"/>
      <c r="QIQ41" s="139"/>
      <c r="QIR41" s="139"/>
      <c r="QIS41" s="139"/>
      <c r="QIT41" s="139"/>
      <c r="QIU41" s="139"/>
      <c r="QIV41" s="139"/>
      <c r="QIW41" s="139"/>
      <c r="QIX41" s="139"/>
      <c r="QIY41" s="139"/>
      <c r="QIZ41" s="139"/>
      <c r="QJA41" s="139"/>
      <c r="QJB41" s="139"/>
      <c r="QJC41" s="139"/>
      <c r="QJD41" s="139"/>
      <c r="QJE41" s="139"/>
      <c r="QJF41" s="139"/>
      <c r="QJG41" s="139"/>
      <c r="QJH41" s="139"/>
      <c r="QJI41" s="139"/>
      <c r="QJJ41" s="139"/>
      <c r="QJK41" s="139"/>
      <c r="QJL41" s="139"/>
      <c r="QJM41" s="139"/>
      <c r="QJN41" s="139"/>
      <c r="QJO41" s="139"/>
      <c r="QJP41" s="139"/>
      <c r="QJQ41" s="139"/>
      <c r="QJR41" s="139"/>
      <c r="QJS41" s="139"/>
      <c r="QJT41" s="139"/>
      <c r="QJU41" s="139"/>
      <c r="QJV41" s="139"/>
      <c r="QJW41" s="139"/>
      <c r="QJX41" s="139"/>
      <c r="QJY41" s="139"/>
      <c r="QJZ41" s="139"/>
      <c r="QKA41" s="139"/>
      <c r="QKB41" s="139"/>
      <c r="QKC41" s="139"/>
      <c r="QKD41" s="139"/>
      <c r="QKE41" s="139"/>
      <c r="QKF41" s="139"/>
      <c r="QKG41" s="139"/>
      <c r="QKH41" s="139"/>
      <c r="QKI41" s="139"/>
      <c r="QKJ41" s="139"/>
      <c r="QKK41" s="139"/>
      <c r="QKL41" s="139"/>
      <c r="QKM41" s="139"/>
      <c r="QKN41" s="139"/>
      <c r="QKO41" s="139"/>
      <c r="QKP41" s="139"/>
      <c r="QKQ41" s="139"/>
      <c r="QKR41" s="139"/>
      <c r="QKS41" s="139"/>
      <c r="QKT41" s="139"/>
      <c r="QKU41" s="139"/>
      <c r="QKV41" s="139"/>
      <c r="QKW41" s="139"/>
      <c r="QKX41" s="139"/>
      <c r="QKY41" s="139"/>
      <c r="QKZ41" s="139"/>
      <c r="QLA41" s="139"/>
      <c r="QLB41" s="139"/>
      <c r="QLC41" s="139"/>
      <c r="QLD41" s="139"/>
      <c r="QLE41" s="139"/>
      <c r="QLF41" s="139"/>
      <c r="QLG41" s="139"/>
      <c r="QLH41" s="139"/>
      <c r="QLI41" s="139"/>
      <c r="QLJ41" s="139"/>
      <c r="QLK41" s="139"/>
      <c r="QLL41" s="139"/>
      <c r="QLM41" s="139"/>
      <c r="QLN41" s="139"/>
      <c r="QLO41" s="139"/>
      <c r="QLP41" s="139"/>
      <c r="QLQ41" s="139"/>
      <c r="QLR41" s="139"/>
      <c r="QLS41" s="139"/>
      <c r="QLT41" s="139"/>
      <c r="QLU41" s="139"/>
      <c r="QLV41" s="139"/>
      <c r="QLW41" s="139"/>
      <c r="QLX41" s="139"/>
      <c r="QLY41" s="139"/>
      <c r="QLZ41" s="139"/>
      <c r="QMA41" s="139"/>
      <c r="QMB41" s="139"/>
      <c r="QMC41" s="139"/>
      <c r="QMD41" s="139"/>
      <c r="QME41" s="139"/>
      <c r="QMF41" s="139"/>
      <c r="QMG41" s="139"/>
      <c r="QMH41" s="139"/>
      <c r="QMI41" s="139"/>
      <c r="QMJ41" s="139"/>
      <c r="QMK41" s="139"/>
      <c r="QML41" s="139"/>
      <c r="QMM41" s="139"/>
      <c r="QMN41" s="139"/>
      <c r="QMO41" s="139"/>
      <c r="QMP41" s="139"/>
      <c r="QMQ41" s="139"/>
      <c r="QMR41" s="139"/>
      <c r="QMS41" s="139"/>
      <c r="QMT41" s="139"/>
      <c r="QMU41" s="139"/>
      <c r="QMV41" s="139"/>
      <c r="QMW41" s="139"/>
      <c r="QMX41" s="139"/>
      <c r="QMY41" s="139"/>
      <c r="QMZ41" s="139"/>
      <c r="QNA41" s="139"/>
      <c r="QNB41" s="139"/>
      <c r="QNC41" s="139"/>
      <c r="QND41" s="139"/>
      <c r="QNE41" s="139"/>
      <c r="QNF41" s="139"/>
      <c r="QNG41" s="139"/>
      <c r="QNH41" s="139"/>
      <c r="QNI41" s="139"/>
      <c r="QNJ41" s="139"/>
      <c r="QNK41" s="139"/>
      <c r="QNL41" s="139"/>
      <c r="QNM41" s="139"/>
      <c r="QNN41" s="139"/>
      <c r="QNO41" s="139"/>
      <c r="QNP41" s="139"/>
      <c r="QNQ41" s="139"/>
      <c r="QNR41" s="139"/>
      <c r="QNS41" s="139"/>
      <c r="QNT41" s="139"/>
      <c r="QNU41" s="139"/>
      <c r="QNV41" s="139"/>
      <c r="QNW41" s="139"/>
      <c r="QNX41" s="139"/>
      <c r="QNY41" s="139"/>
      <c r="QNZ41" s="139"/>
      <c r="QOA41" s="139"/>
      <c r="QOB41" s="139"/>
      <c r="QOC41" s="139"/>
      <c r="QOD41" s="139"/>
      <c r="QOE41" s="139"/>
      <c r="QOF41" s="139"/>
      <c r="QOG41" s="139"/>
      <c r="QOH41" s="139"/>
      <c r="QOI41" s="139"/>
      <c r="QOJ41" s="139"/>
      <c r="QOK41" s="139"/>
      <c r="QOL41" s="139"/>
      <c r="QOM41" s="139"/>
      <c r="QON41" s="139"/>
      <c r="QOO41" s="139"/>
      <c r="QOP41" s="139"/>
      <c r="QOQ41" s="139"/>
      <c r="QOR41" s="139"/>
      <c r="QOS41" s="139"/>
      <c r="QOT41" s="139"/>
      <c r="QOU41" s="139"/>
      <c r="QOV41" s="139"/>
      <c r="QOW41" s="139"/>
      <c r="QOX41" s="139"/>
      <c r="QOY41" s="139"/>
      <c r="QOZ41" s="139"/>
      <c r="QPA41" s="139"/>
      <c r="QPB41" s="139"/>
      <c r="QPC41" s="139"/>
      <c r="QPD41" s="139"/>
      <c r="QPE41" s="139"/>
      <c r="QPF41" s="139"/>
      <c r="QPG41" s="139"/>
      <c r="QPH41" s="139"/>
      <c r="QPI41" s="139"/>
      <c r="QPJ41" s="139"/>
      <c r="QPK41" s="139"/>
      <c r="QPL41" s="139"/>
      <c r="QPM41" s="139"/>
      <c r="QPN41" s="139"/>
      <c r="QPO41" s="139"/>
      <c r="QPP41" s="139"/>
      <c r="QPQ41" s="139"/>
      <c r="QPR41" s="139"/>
      <c r="QPS41" s="139"/>
      <c r="QPT41" s="139"/>
      <c r="QPU41" s="139"/>
      <c r="QPV41" s="139"/>
      <c r="QPW41" s="139"/>
      <c r="QPX41" s="139"/>
      <c r="QPY41" s="139"/>
      <c r="QPZ41" s="139"/>
      <c r="QQA41" s="139"/>
      <c r="QQB41" s="139"/>
      <c r="QQC41" s="139"/>
      <c r="QQD41" s="139"/>
      <c r="QQE41" s="139"/>
      <c r="QQF41" s="139"/>
      <c r="QQG41" s="139"/>
      <c r="QQH41" s="139"/>
      <c r="QQI41" s="139"/>
      <c r="QQJ41" s="139"/>
      <c r="QQK41" s="139"/>
      <c r="QQL41" s="139"/>
      <c r="QQM41" s="139"/>
      <c r="QQN41" s="139"/>
      <c r="QQO41" s="139"/>
      <c r="QQP41" s="139"/>
      <c r="QQQ41" s="139"/>
      <c r="QQR41" s="139"/>
      <c r="QQS41" s="139"/>
      <c r="QQT41" s="139"/>
      <c r="QQU41" s="139"/>
      <c r="QQV41" s="139"/>
      <c r="QQW41" s="139"/>
      <c r="QQX41" s="139"/>
      <c r="QQY41" s="139"/>
      <c r="QQZ41" s="139"/>
      <c r="QRA41" s="139"/>
      <c r="QRB41" s="139"/>
      <c r="QRC41" s="139"/>
      <c r="QRD41" s="139"/>
      <c r="QRE41" s="139"/>
      <c r="QRF41" s="139"/>
      <c r="QRG41" s="139"/>
      <c r="QRH41" s="139"/>
      <c r="QRI41" s="139"/>
      <c r="QRJ41" s="139"/>
      <c r="QRK41" s="139"/>
      <c r="QRL41" s="139"/>
      <c r="QRM41" s="139"/>
      <c r="QRN41" s="139"/>
      <c r="QRO41" s="139"/>
      <c r="QRP41" s="139"/>
      <c r="QRQ41" s="139"/>
      <c r="QRR41" s="139"/>
      <c r="QRS41" s="139"/>
      <c r="QRT41" s="139"/>
      <c r="QRU41" s="139"/>
      <c r="QRV41" s="139"/>
      <c r="QRW41" s="139"/>
      <c r="QRX41" s="139"/>
      <c r="QRY41" s="139"/>
      <c r="QRZ41" s="139"/>
      <c r="QSA41" s="139"/>
      <c r="QSB41" s="139"/>
      <c r="QSC41" s="139"/>
      <c r="QSD41" s="139"/>
      <c r="QSE41" s="139"/>
      <c r="QSF41" s="139"/>
      <c r="QSG41" s="139"/>
      <c r="QSH41" s="139"/>
      <c r="QSI41" s="139"/>
      <c r="QSJ41" s="139"/>
      <c r="QSK41" s="139"/>
      <c r="QSL41" s="139"/>
      <c r="QSM41" s="139"/>
      <c r="QSN41" s="139"/>
      <c r="QSO41" s="139"/>
      <c r="QSP41" s="139"/>
      <c r="QSQ41" s="139"/>
      <c r="QSR41" s="139"/>
      <c r="QSS41" s="139"/>
      <c r="QST41" s="139"/>
      <c r="QSU41" s="139"/>
      <c r="QSV41" s="139"/>
      <c r="QSW41" s="139"/>
      <c r="QSX41" s="139"/>
      <c r="QSY41" s="139"/>
      <c r="QSZ41" s="139"/>
      <c r="QTA41" s="139"/>
      <c r="QTB41" s="139"/>
      <c r="QTC41" s="139"/>
      <c r="QTD41" s="139"/>
      <c r="QTE41" s="139"/>
      <c r="QTF41" s="139"/>
      <c r="QTG41" s="139"/>
      <c r="QTH41" s="139"/>
      <c r="QTI41" s="139"/>
      <c r="QTJ41" s="139"/>
      <c r="QTK41" s="139"/>
      <c r="QTL41" s="139"/>
      <c r="QTM41" s="139"/>
      <c r="QTN41" s="139"/>
      <c r="QTO41" s="139"/>
      <c r="QTP41" s="139"/>
      <c r="QTQ41" s="139"/>
      <c r="QTR41" s="139"/>
      <c r="QTS41" s="139"/>
      <c r="QTT41" s="139"/>
      <c r="QTU41" s="139"/>
      <c r="QTV41" s="139"/>
      <c r="QTW41" s="139"/>
      <c r="QTX41" s="139"/>
      <c r="QTY41" s="139"/>
      <c r="QTZ41" s="139"/>
      <c r="QUA41" s="139"/>
      <c r="QUB41" s="139"/>
      <c r="QUC41" s="139"/>
      <c r="QUD41" s="139"/>
      <c r="QUE41" s="139"/>
      <c r="QUF41" s="139"/>
      <c r="QUG41" s="139"/>
      <c r="QUH41" s="139"/>
      <c r="QUI41" s="139"/>
      <c r="QUJ41" s="139"/>
      <c r="QUK41" s="139"/>
      <c r="QUL41" s="139"/>
      <c r="QUM41" s="139"/>
      <c r="QUN41" s="139"/>
      <c r="QUO41" s="139"/>
      <c r="QUP41" s="139"/>
      <c r="QUQ41" s="139"/>
      <c r="QUR41" s="139"/>
      <c r="QUS41" s="139"/>
      <c r="QUT41" s="139"/>
      <c r="QUU41" s="139"/>
      <c r="QUV41" s="139"/>
      <c r="QUW41" s="139"/>
      <c r="QUX41" s="139"/>
      <c r="QUY41" s="139"/>
      <c r="QUZ41" s="139"/>
      <c r="QVA41" s="139"/>
      <c r="QVB41" s="139"/>
      <c r="QVC41" s="139"/>
      <c r="QVD41" s="139"/>
      <c r="QVE41" s="139"/>
      <c r="QVF41" s="139"/>
      <c r="QVG41" s="139"/>
      <c r="QVH41" s="139"/>
      <c r="QVI41" s="139"/>
      <c r="QVJ41" s="139"/>
      <c r="QVK41" s="139"/>
      <c r="QVL41" s="139"/>
      <c r="QVM41" s="139"/>
      <c r="QVN41" s="139"/>
      <c r="QVO41" s="139"/>
      <c r="QVP41" s="139"/>
      <c r="QVQ41" s="139"/>
      <c r="QVR41" s="139"/>
      <c r="QVS41" s="139"/>
      <c r="QVT41" s="139"/>
      <c r="QVU41" s="139"/>
      <c r="QVV41" s="139"/>
      <c r="QVW41" s="139"/>
      <c r="QVX41" s="139"/>
      <c r="QVY41" s="139"/>
      <c r="QVZ41" s="139"/>
      <c r="QWA41" s="139"/>
      <c r="QWB41" s="139"/>
      <c r="QWC41" s="139"/>
      <c r="QWD41" s="139"/>
      <c r="QWE41" s="139"/>
      <c r="QWF41" s="139"/>
      <c r="QWG41" s="139"/>
      <c r="QWH41" s="139"/>
      <c r="QWI41" s="139"/>
      <c r="QWJ41" s="139"/>
      <c r="QWK41" s="139"/>
      <c r="QWL41" s="139"/>
      <c r="QWM41" s="139"/>
      <c r="QWN41" s="139"/>
      <c r="QWO41" s="139"/>
      <c r="QWP41" s="139"/>
      <c r="QWQ41" s="139"/>
      <c r="QWR41" s="139"/>
      <c r="QWS41" s="139"/>
      <c r="QWT41" s="139"/>
      <c r="QWU41" s="139"/>
      <c r="QWV41" s="139"/>
      <c r="QWW41" s="139"/>
      <c r="QWX41" s="139"/>
      <c r="QWY41" s="139"/>
      <c r="QWZ41" s="139"/>
      <c r="QXA41" s="139"/>
      <c r="QXB41" s="139"/>
      <c r="QXC41" s="139"/>
      <c r="QXD41" s="139"/>
      <c r="QXE41" s="139"/>
      <c r="QXF41" s="139"/>
      <c r="QXG41" s="139"/>
      <c r="QXH41" s="139"/>
      <c r="QXI41" s="139"/>
      <c r="QXJ41" s="139"/>
      <c r="QXK41" s="139"/>
      <c r="QXL41" s="139"/>
      <c r="QXM41" s="139"/>
      <c r="QXN41" s="139"/>
      <c r="QXO41" s="139"/>
      <c r="QXP41" s="139"/>
      <c r="QXQ41" s="139"/>
      <c r="QXR41" s="139"/>
      <c r="QXS41" s="139"/>
      <c r="QXT41" s="139"/>
      <c r="QXU41" s="139"/>
      <c r="QXV41" s="139"/>
      <c r="QXW41" s="139"/>
      <c r="QXX41" s="139"/>
      <c r="QXY41" s="139"/>
      <c r="QXZ41" s="139"/>
      <c r="QYA41" s="139"/>
      <c r="QYB41" s="139"/>
      <c r="QYC41" s="139"/>
      <c r="QYD41" s="139"/>
      <c r="QYE41" s="139"/>
      <c r="QYF41" s="139"/>
      <c r="QYG41" s="139"/>
      <c r="QYH41" s="139"/>
      <c r="QYI41" s="139"/>
      <c r="QYJ41" s="139"/>
      <c r="QYK41" s="139"/>
      <c r="QYL41" s="139"/>
      <c r="QYM41" s="139"/>
      <c r="QYN41" s="139"/>
      <c r="QYO41" s="139"/>
      <c r="QYP41" s="139"/>
      <c r="QYQ41" s="139"/>
      <c r="QYR41" s="139"/>
      <c r="QYS41" s="139"/>
      <c r="QYT41" s="139"/>
      <c r="QYU41" s="139"/>
      <c r="QYV41" s="139"/>
      <c r="QYW41" s="139"/>
      <c r="QYX41" s="139"/>
      <c r="QYY41" s="139"/>
      <c r="QYZ41" s="139"/>
      <c r="QZA41" s="139"/>
      <c r="QZB41" s="139"/>
      <c r="QZC41" s="139"/>
      <c r="QZD41" s="139"/>
      <c r="QZE41" s="139"/>
      <c r="QZF41" s="139"/>
      <c r="QZG41" s="139"/>
      <c r="QZH41" s="139"/>
      <c r="QZI41" s="139"/>
      <c r="QZJ41" s="139"/>
      <c r="QZK41" s="139"/>
      <c r="QZL41" s="139"/>
      <c r="QZM41" s="139"/>
      <c r="QZN41" s="139"/>
      <c r="QZO41" s="139"/>
      <c r="QZP41" s="139"/>
      <c r="QZQ41" s="139"/>
      <c r="QZR41" s="139"/>
      <c r="QZS41" s="139"/>
      <c r="QZT41" s="139"/>
      <c r="QZU41" s="139"/>
      <c r="QZV41" s="139"/>
      <c r="QZW41" s="139"/>
      <c r="QZX41" s="139"/>
      <c r="QZY41" s="139"/>
      <c r="QZZ41" s="139"/>
      <c r="RAA41" s="139"/>
      <c r="RAB41" s="139"/>
      <c r="RAC41" s="139"/>
      <c r="RAD41" s="139"/>
      <c r="RAE41" s="139"/>
      <c r="RAF41" s="139"/>
      <c r="RAG41" s="139"/>
      <c r="RAH41" s="139"/>
      <c r="RAI41" s="139"/>
      <c r="RAJ41" s="139"/>
      <c r="RAK41" s="139"/>
      <c r="RAL41" s="139"/>
      <c r="RAM41" s="139"/>
      <c r="RAN41" s="139"/>
      <c r="RAO41" s="139"/>
      <c r="RAP41" s="139"/>
      <c r="RAQ41" s="139"/>
      <c r="RAR41" s="139"/>
      <c r="RAS41" s="139"/>
      <c r="RAT41" s="139"/>
      <c r="RAU41" s="139"/>
      <c r="RAV41" s="139"/>
      <c r="RAW41" s="139"/>
      <c r="RAX41" s="139"/>
      <c r="RAY41" s="139"/>
      <c r="RAZ41" s="139"/>
      <c r="RBA41" s="139"/>
      <c r="RBB41" s="139"/>
      <c r="RBC41" s="139"/>
      <c r="RBD41" s="139"/>
      <c r="RBE41" s="139"/>
      <c r="RBF41" s="139"/>
      <c r="RBG41" s="139"/>
      <c r="RBH41" s="139"/>
      <c r="RBI41" s="139"/>
      <c r="RBJ41" s="139"/>
      <c r="RBK41" s="139"/>
      <c r="RBL41" s="139"/>
      <c r="RBM41" s="139"/>
      <c r="RBN41" s="139"/>
      <c r="RBO41" s="139"/>
      <c r="RBP41" s="139"/>
      <c r="RBQ41" s="139"/>
      <c r="RBR41" s="139"/>
      <c r="RBS41" s="139"/>
      <c r="RBT41" s="139"/>
      <c r="RBU41" s="139"/>
      <c r="RBV41" s="139"/>
      <c r="RBW41" s="139"/>
      <c r="RBX41" s="139"/>
      <c r="RBY41" s="139"/>
      <c r="RBZ41" s="139"/>
      <c r="RCA41" s="139"/>
      <c r="RCB41" s="139"/>
      <c r="RCC41" s="139"/>
      <c r="RCD41" s="139"/>
      <c r="RCE41" s="139"/>
      <c r="RCF41" s="139"/>
      <c r="RCG41" s="139"/>
      <c r="RCH41" s="139"/>
      <c r="RCI41" s="139"/>
      <c r="RCJ41" s="139"/>
      <c r="RCK41" s="139"/>
      <c r="RCL41" s="139"/>
      <c r="RCM41" s="139"/>
      <c r="RCN41" s="139"/>
      <c r="RCO41" s="139"/>
      <c r="RCP41" s="139"/>
      <c r="RCQ41" s="139"/>
      <c r="RCR41" s="139"/>
      <c r="RCS41" s="139"/>
      <c r="RCT41" s="139"/>
      <c r="RCU41" s="139"/>
      <c r="RCV41" s="139"/>
      <c r="RCW41" s="139"/>
      <c r="RCX41" s="139"/>
      <c r="RCY41" s="139"/>
      <c r="RCZ41" s="139"/>
      <c r="RDA41" s="139"/>
      <c r="RDB41" s="139"/>
      <c r="RDC41" s="139"/>
      <c r="RDD41" s="139"/>
      <c r="RDE41" s="139"/>
      <c r="RDF41" s="139"/>
      <c r="RDG41" s="139"/>
      <c r="RDH41" s="139"/>
      <c r="RDI41" s="139"/>
      <c r="RDJ41" s="139"/>
      <c r="RDK41" s="139"/>
      <c r="RDL41" s="139"/>
      <c r="RDM41" s="139"/>
      <c r="RDN41" s="139"/>
      <c r="RDO41" s="139"/>
      <c r="RDP41" s="139"/>
      <c r="RDQ41" s="139"/>
      <c r="RDR41" s="139"/>
      <c r="RDS41" s="139"/>
      <c r="RDT41" s="139"/>
      <c r="RDU41" s="139"/>
      <c r="RDV41" s="139"/>
      <c r="RDW41" s="139"/>
      <c r="RDX41" s="139"/>
      <c r="RDY41" s="139"/>
      <c r="RDZ41" s="139"/>
      <c r="REA41" s="139"/>
      <c r="REB41" s="139"/>
      <c r="REC41" s="139"/>
      <c r="RED41" s="139"/>
      <c r="REE41" s="139"/>
      <c r="REF41" s="139"/>
      <c r="REG41" s="139"/>
      <c r="REH41" s="139"/>
      <c r="REI41" s="139"/>
      <c r="REJ41" s="139"/>
      <c r="REK41" s="139"/>
      <c r="REL41" s="139"/>
      <c r="REM41" s="139"/>
      <c r="REN41" s="139"/>
      <c r="REO41" s="139"/>
      <c r="REP41" s="139"/>
      <c r="REQ41" s="139"/>
      <c r="RER41" s="139"/>
      <c r="RES41" s="139"/>
      <c r="RET41" s="139"/>
      <c r="REU41" s="139"/>
      <c r="REV41" s="139"/>
      <c r="REW41" s="139"/>
      <c r="REX41" s="139"/>
      <c r="REY41" s="139"/>
      <c r="REZ41" s="139"/>
      <c r="RFA41" s="139"/>
      <c r="RFB41" s="139"/>
      <c r="RFC41" s="139"/>
      <c r="RFD41" s="139"/>
      <c r="RFE41" s="139"/>
      <c r="RFF41" s="139"/>
      <c r="RFG41" s="139"/>
      <c r="RFH41" s="139"/>
      <c r="RFI41" s="139"/>
      <c r="RFJ41" s="139"/>
      <c r="RFK41" s="139"/>
      <c r="RFL41" s="139"/>
      <c r="RFM41" s="139"/>
      <c r="RFN41" s="139"/>
      <c r="RFO41" s="139"/>
      <c r="RFP41" s="139"/>
      <c r="RFQ41" s="139"/>
      <c r="RFR41" s="139"/>
      <c r="RFS41" s="139"/>
      <c r="RFT41" s="139"/>
      <c r="RFU41" s="139"/>
      <c r="RFV41" s="139"/>
      <c r="RFW41" s="139"/>
      <c r="RFX41" s="139"/>
      <c r="RFY41" s="139"/>
      <c r="RFZ41" s="139"/>
      <c r="RGA41" s="139"/>
      <c r="RGB41" s="139"/>
      <c r="RGC41" s="139"/>
      <c r="RGD41" s="139"/>
      <c r="RGE41" s="139"/>
      <c r="RGF41" s="139"/>
      <c r="RGG41" s="139"/>
      <c r="RGH41" s="139"/>
      <c r="RGI41" s="139"/>
      <c r="RGJ41" s="139"/>
      <c r="RGK41" s="139"/>
      <c r="RGL41" s="139"/>
      <c r="RGM41" s="139"/>
      <c r="RGN41" s="139"/>
      <c r="RGO41" s="139"/>
      <c r="RGP41" s="139"/>
      <c r="RGQ41" s="139"/>
      <c r="RGR41" s="139"/>
      <c r="RGS41" s="139"/>
      <c r="RGT41" s="139"/>
      <c r="RGU41" s="139"/>
      <c r="RGV41" s="139"/>
      <c r="RGW41" s="139"/>
      <c r="RGX41" s="139"/>
      <c r="RGY41" s="139"/>
      <c r="RGZ41" s="139"/>
      <c r="RHA41" s="139"/>
      <c r="RHB41" s="139"/>
      <c r="RHC41" s="139"/>
      <c r="RHD41" s="139"/>
      <c r="RHE41" s="139"/>
      <c r="RHF41" s="139"/>
      <c r="RHG41" s="139"/>
      <c r="RHH41" s="139"/>
      <c r="RHI41" s="139"/>
      <c r="RHJ41" s="139"/>
      <c r="RHK41" s="139"/>
      <c r="RHL41" s="139"/>
      <c r="RHM41" s="139"/>
      <c r="RHN41" s="139"/>
      <c r="RHO41" s="139"/>
      <c r="RHP41" s="139"/>
      <c r="RHQ41" s="139"/>
      <c r="RHR41" s="139"/>
      <c r="RHS41" s="139"/>
      <c r="RHT41" s="139"/>
      <c r="RHU41" s="139"/>
      <c r="RHV41" s="139"/>
      <c r="RHW41" s="139"/>
      <c r="RHX41" s="139"/>
      <c r="RHY41" s="139"/>
      <c r="RHZ41" s="139"/>
      <c r="RIA41" s="139"/>
      <c r="RIB41" s="139"/>
      <c r="RIC41" s="139"/>
      <c r="RID41" s="139"/>
      <c r="RIE41" s="139"/>
      <c r="RIF41" s="139"/>
      <c r="RIG41" s="139"/>
      <c r="RIH41" s="139"/>
      <c r="RII41" s="139"/>
      <c r="RIJ41" s="139"/>
      <c r="RIK41" s="139"/>
      <c r="RIL41" s="139"/>
      <c r="RIM41" s="139"/>
      <c r="RIN41" s="139"/>
      <c r="RIO41" s="139"/>
      <c r="RIP41" s="139"/>
      <c r="RIQ41" s="139"/>
      <c r="RIR41" s="139"/>
      <c r="RIS41" s="139"/>
      <c r="RIT41" s="139"/>
      <c r="RIU41" s="139"/>
      <c r="RIV41" s="139"/>
      <c r="RIW41" s="139"/>
      <c r="RIX41" s="139"/>
      <c r="RIY41" s="139"/>
      <c r="RIZ41" s="139"/>
      <c r="RJA41" s="139"/>
      <c r="RJB41" s="139"/>
      <c r="RJC41" s="139"/>
      <c r="RJD41" s="139"/>
      <c r="RJE41" s="139"/>
      <c r="RJF41" s="139"/>
      <c r="RJG41" s="139"/>
      <c r="RJH41" s="139"/>
      <c r="RJI41" s="139"/>
      <c r="RJJ41" s="139"/>
      <c r="RJK41" s="139"/>
      <c r="RJL41" s="139"/>
      <c r="RJM41" s="139"/>
      <c r="RJN41" s="139"/>
      <c r="RJO41" s="139"/>
      <c r="RJP41" s="139"/>
      <c r="RJQ41" s="139"/>
      <c r="RJR41" s="139"/>
      <c r="RJS41" s="139"/>
      <c r="RJT41" s="139"/>
      <c r="RJU41" s="139"/>
      <c r="RJV41" s="139"/>
      <c r="RJW41" s="139"/>
      <c r="RJX41" s="139"/>
      <c r="RJY41" s="139"/>
      <c r="RJZ41" s="139"/>
      <c r="RKA41" s="139"/>
      <c r="RKB41" s="139"/>
      <c r="RKC41" s="139"/>
      <c r="RKD41" s="139"/>
      <c r="RKE41" s="139"/>
      <c r="RKF41" s="139"/>
      <c r="RKG41" s="139"/>
      <c r="RKH41" s="139"/>
      <c r="RKI41" s="139"/>
      <c r="RKJ41" s="139"/>
      <c r="RKK41" s="139"/>
      <c r="RKL41" s="139"/>
      <c r="RKM41" s="139"/>
      <c r="RKN41" s="139"/>
      <c r="RKO41" s="139"/>
      <c r="RKP41" s="139"/>
      <c r="RKQ41" s="139"/>
      <c r="RKR41" s="139"/>
      <c r="RKS41" s="139"/>
      <c r="RKT41" s="139"/>
      <c r="RKU41" s="139"/>
      <c r="RKV41" s="139"/>
      <c r="RKW41" s="139"/>
      <c r="RKX41" s="139"/>
      <c r="RKY41" s="139"/>
      <c r="RKZ41" s="139"/>
      <c r="RLA41" s="139"/>
      <c r="RLB41" s="139"/>
      <c r="RLC41" s="139"/>
      <c r="RLD41" s="139"/>
      <c r="RLE41" s="139"/>
      <c r="RLF41" s="139"/>
      <c r="RLG41" s="139"/>
      <c r="RLH41" s="139"/>
      <c r="RLI41" s="139"/>
      <c r="RLJ41" s="139"/>
      <c r="RLK41" s="139"/>
      <c r="RLL41" s="139"/>
      <c r="RLM41" s="139"/>
      <c r="RLN41" s="139"/>
      <c r="RLO41" s="139"/>
      <c r="RLP41" s="139"/>
      <c r="RLQ41" s="139"/>
      <c r="RLR41" s="139"/>
      <c r="RLS41" s="139"/>
      <c r="RLT41" s="139"/>
      <c r="RLU41" s="139"/>
      <c r="RLV41" s="139"/>
      <c r="RLW41" s="139"/>
      <c r="RLX41" s="139"/>
      <c r="RLY41" s="139"/>
      <c r="RLZ41" s="139"/>
      <c r="RMA41" s="139"/>
      <c r="RMB41" s="139"/>
      <c r="RMC41" s="139"/>
      <c r="RMD41" s="139"/>
      <c r="RME41" s="139"/>
      <c r="RMF41" s="139"/>
      <c r="RMG41" s="139"/>
      <c r="RMH41" s="139"/>
      <c r="RMI41" s="139"/>
      <c r="RMJ41" s="139"/>
      <c r="RMK41" s="139"/>
      <c r="RML41" s="139"/>
      <c r="RMM41" s="139"/>
      <c r="RMN41" s="139"/>
      <c r="RMO41" s="139"/>
      <c r="RMP41" s="139"/>
      <c r="RMQ41" s="139"/>
      <c r="RMR41" s="139"/>
      <c r="RMS41" s="139"/>
      <c r="RMT41" s="139"/>
      <c r="RMU41" s="139"/>
      <c r="RMV41" s="139"/>
      <c r="RMW41" s="139"/>
      <c r="RMX41" s="139"/>
      <c r="RMY41" s="139"/>
      <c r="RMZ41" s="139"/>
      <c r="RNA41" s="139"/>
      <c r="RNB41" s="139"/>
      <c r="RNC41" s="139"/>
      <c r="RND41" s="139"/>
      <c r="RNE41" s="139"/>
      <c r="RNF41" s="139"/>
      <c r="RNG41" s="139"/>
      <c r="RNH41" s="139"/>
      <c r="RNI41" s="139"/>
      <c r="RNJ41" s="139"/>
      <c r="RNK41" s="139"/>
      <c r="RNL41" s="139"/>
      <c r="RNM41" s="139"/>
      <c r="RNN41" s="139"/>
      <c r="RNO41" s="139"/>
      <c r="RNP41" s="139"/>
      <c r="RNQ41" s="139"/>
      <c r="RNR41" s="139"/>
      <c r="RNS41" s="139"/>
      <c r="RNT41" s="139"/>
      <c r="RNU41" s="139"/>
      <c r="RNV41" s="139"/>
      <c r="RNW41" s="139"/>
      <c r="RNX41" s="139"/>
      <c r="RNY41" s="139"/>
      <c r="RNZ41" s="139"/>
      <c r="ROA41" s="139"/>
      <c r="ROB41" s="139"/>
      <c r="ROC41" s="139"/>
      <c r="ROD41" s="139"/>
      <c r="ROE41" s="139"/>
      <c r="ROF41" s="139"/>
      <c r="ROG41" s="139"/>
      <c r="ROH41" s="139"/>
      <c r="ROI41" s="139"/>
      <c r="ROJ41" s="139"/>
      <c r="ROK41" s="139"/>
      <c r="ROL41" s="139"/>
      <c r="ROM41" s="139"/>
      <c r="RON41" s="139"/>
      <c r="ROO41" s="139"/>
      <c r="ROP41" s="139"/>
      <c r="ROQ41" s="139"/>
      <c r="ROR41" s="139"/>
      <c r="ROS41" s="139"/>
      <c r="ROT41" s="139"/>
      <c r="ROU41" s="139"/>
      <c r="ROV41" s="139"/>
      <c r="ROW41" s="139"/>
      <c r="ROX41" s="139"/>
      <c r="ROY41" s="139"/>
      <c r="ROZ41" s="139"/>
      <c r="RPA41" s="139"/>
      <c r="RPB41" s="139"/>
      <c r="RPC41" s="139"/>
      <c r="RPD41" s="139"/>
      <c r="RPE41" s="139"/>
      <c r="RPF41" s="139"/>
      <c r="RPG41" s="139"/>
      <c r="RPH41" s="139"/>
      <c r="RPI41" s="139"/>
      <c r="RPJ41" s="139"/>
      <c r="RPK41" s="139"/>
      <c r="RPL41" s="139"/>
      <c r="RPM41" s="139"/>
      <c r="RPN41" s="139"/>
      <c r="RPO41" s="139"/>
      <c r="RPP41" s="139"/>
      <c r="RPQ41" s="139"/>
      <c r="RPR41" s="139"/>
      <c r="RPS41" s="139"/>
      <c r="RPT41" s="139"/>
      <c r="RPU41" s="139"/>
      <c r="RPV41" s="139"/>
      <c r="RPW41" s="139"/>
      <c r="RPX41" s="139"/>
      <c r="RPY41" s="139"/>
      <c r="RPZ41" s="139"/>
      <c r="RQA41" s="139"/>
      <c r="RQB41" s="139"/>
      <c r="RQC41" s="139"/>
      <c r="RQD41" s="139"/>
      <c r="RQE41" s="139"/>
      <c r="RQF41" s="139"/>
      <c r="RQG41" s="139"/>
      <c r="RQH41" s="139"/>
      <c r="RQI41" s="139"/>
      <c r="RQJ41" s="139"/>
      <c r="RQK41" s="139"/>
      <c r="RQL41" s="139"/>
      <c r="RQM41" s="139"/>
      <c r="RQN41" s="139"/>
      <c r="RQO41" s="139"/>
      <c r="RQP41" s="139"/>
      <c r="RQQ41" s="139"/>
      <c r="RQR41" s="139"/>
      <c r="RQS41" s="139"/>
      <c r="RQT41" s="139"/>
      <c r="RQU41" s="139"/>
      <c r="RQV41" s="139"/>
      <c r="RQW41" s="139"/>
      <c r="RQX41" s="139"/>
      <c r="RQY41" s="139"/>
      <c r="RQZ41" s="139"/>
      <c r="RRA41" s="139"/>
      <c r="RRB41" s="139"/>
      <c r="RRC41" s="139"/>
      <c r="RRD41" s="139"/>
      <c r="RRE41" s="139"/>
      <c r="RRF41" s="139"/>
      <c r="RRG41" s="139"/>
      <c r="RRH41" s="139"/>
      <c r="RRI41" s="139"/>
      <c r="RRJ41" s="139"/>
      <c r="RRK41" s="139"/>
      <c r="RRL41" s="139"/>
      <c r="RRM41" s="139"/>
      <c r="RRN41" s="139"/>
      <c r="RRO41" s="139"/>
      <c r="RRP41" s="139"/>
      <c r="RRQ41" s="139"/>
      <c r="RRR41" s="139"/>
      <c r="RRS41" s="139"/>
      <c r="RRT41" s="139"/>
      <c r="RRU41" s="139"/>
      <c r="RRV41" s="139"/>
      <c r="RRW41" s="139"/>
      <c r="RRX41" s="139"/>
      <c r="RRY41" s="139"/>
      <c r="RRZ41" s="139"/>
      <c r="RSA41" s="139"/>
      <c r="RSB41" s="139"/>
      <c r="RSC41" s="139"/>
      <c r="RSD41" s="139"/>
      <c r="RSE41" s="139"/>
      <c r="RSF41" s="139"/>
      <c r="RSG41" s="139"/>
      <c r="RSH41" s="139"/>
      <c r="RSI41" s="139"/>
      <c r="RSJ41" s="139"/>
      <c r="RSK41" s="139"/>
      <c r="RSL41" s="139"/>
      <c r="RSM41" s="139"/>
      <c r="RSN41" s="139"/>
      <c r="RSO41" s="139"/>
      <c r="RSP41" s="139"/>
      <c r="RSQ41" s="139"/>
      <c r="RSR41" s="139"/>
      <c r="RSS41" s="139"/>
      <c r="RST41" s="139"/>
      <c r="RSU41" s="139"/>
      <c r="RSV41" s="139"/>
      <c r="RSW41" s="139"/>
      <c r="RSX41" s="139"/>
      <c r="RSY41" s="139"/>
      <c r="RSZ41" s="139"/>
      <c r="RTA41" s="139"/>
      <c r="RTB41" s="139"/>
      <c r="RTC41" s="139"/>
      <c r="RTD41" s="139"/>
      <c r="RTE41" s="139"/>
      <c r="RTF41" s="139"/>
      <c r="RTG41" s="139"/>
      <c r="RTH41" s="139"/>
      <c r="RTI41" s="139"/>
      <c r="RTJ41" s="139"/>
      <c r="RTK41" s="139"/>
      <c r="RTL41" s="139"/>
      <c r="RTM41" s="139"/>
      <c r="RTN41" s="139"/>
      <c r="RTO41" s="139"/>
      <c r="RTP41" s="139"/>
      <c r="RTQ41" s="139"/>
      <c r="RTR41" s="139"/>
      <c r="RTS41" s="139"/>
      <c r="RTT41" s="139"/>
      <c r="RTU41" s="139"/>
      <c r="RTV41" s="139"/>
      <c r="RTW41" s="139"/>
      <c r="RTX41" s="139"/>
      <c r="RTY41" s="139"/>
      <c r="RTZ41" s="139"/>
      <c r="RUA41" s="139"/>
      <c r="RUB41" s="139"/>
      <c r="RUC41" s="139"/>
      <c r="RUD41" s="139"/>
      <c r="RUE41" s="139"/>
      <c r="RUF41" s="139"/>
      <c r="RUG41" s="139"/>
      <c r="RUH41" s="139"/>
      <c r="RUI41" s="139"/>
      <c r="RUJ41" s="139"/>
      <c r="RUK41" s="139"/>
      <c r="RUL41" s="139"/>
      <c r="RUM41" s="139"/>
      <c r="RUN41" s="139"/>
      <c r="RUO41" s="139"/>
      <c r="RUP41" s="139"/>
      <c r="RUQ41" s="139"/>
      <c r="RUR41" s="139"/>
      <c r="RUS41" s="139"/>
      <c r="RUT41" s="139"/>
      <c r="RUU41" s="139"/>
      <c r="RUV41" s="139"/>
      <c r="RUW41" s="139"/>
      <c r="RUX41" s="139"/>
      <c r="RUY41" s="139"/>
      <c r="RUZ41" s="139"/>
      <c r="RVA41" s="139"/>
      <c r="RVB41" s="139"/>
      <c r="RVC41" s="139"/>
      <c r="RVD41" s="139"/>
      <c r="RVE41" s="139"/>
      <c r="RVF41" s="139"/>
      <c r="RVG41" s="139"/>
      <c r="RVH41" s="139"/>
      <c r="RVI41" s="139"/>
      <c r="RVJ41" s="139"/>
      <c r="RVK41" s="139"/>
      <c r="RVL41" s="139"/>
      <c r="RVM41" s="139"/>
      <c r="RVN41" s="139"/>
      <c r="RVO41" s="139"/>
      <c r="RVP41" s="139"/>
      <c r="RVQ41" s="139"/>
      <c r="RVR41" s="139"/>
      <c r="RVS41" s="139"/>
      <c r="RVT41" s="139"/>
      <c r="RVU41" s="139"/>
      <c r="RVV41" s="139"/>
      <c r="RVW41" s="139"/>
      <c r="RVX41" s="139"/>
      <c r="RVY41" s="139"/>
      <c r="RVZ41" s="139"/>
      <c r="RWA41" s="139"/>
      <c r="RWB41" s="139"/>
      <c r="RWC41" s="139"/>
      <c r="RWD41" s="139"/>
      <c r="RWE41" s="139"/>
      <c r="RWF41" s="139"/>
      <c r="RWG41" s="139"/>
      <c r="RWH41" s="139"/>
      <c r="RWI41" s="139"/>
      <c r="RWJ41" s="139"/>
      <c r="RWK41" s="139"/>
      <c r="RWL41" s="139"/>
      <c r="RWM41" s="139"/>
      <c r="RWN41" s="139"/>
      <c r="RWO41" s="139"/>
      <c r="RWP41" s="139"/>
      <c r="RWQ41" s="139"/>
      <c r="RWR41" s="139"/>
      <c r="RWS41" s="139"/>
      <c r="RWT41" s="139"/>
      <c r="RWU41" s="139"/>
      <c r="RWV41" s="139"/>
      <c r="RWW41" s="139"/>
      <c r="RWX41" s="139"/>
      <c r="RWY41" s="139"/>
      <c r="RWZ41" s="139"/>
      <c r="RXA41" s="139"/>
      <c r="RXB41" s="139"/>
      <c r="RXC41" s="139"/>
      <c r="RXD41" s="139"/>
      <c r="RXE41" s="139"/>
      <c r="RXF41" s="139"/>
      <c r="RXG41" s="139"/>
      <c r="RXH41" s="139"/>
      <c r="RXI41" s="139"/>
      <c r="RXJ41" s="139"/>
      <c r="RXK41" s="139"/>
      <c r="RXL41" s="139"/>
      <c r="RXM41" s="139"/>
      <c r="RXN41" s="139"/>
      <c r="RXO41" s="139"/>
      <c r="RXP41" s="139"/>
      <c r="RXQ41" s="139"/>
      <c r="RXR41" s="139"/>
      <c r="RXS41" s="139"/>
      <c r="RXT41" s="139"/>
      <c r="RXU41" s="139"/>
      <c r="RXV41" s="139"/>
      <c r="RXW41" s="139"/>
      <c r="RXX41" s="139"/>
      <c r="RXY41" s="139"/>
      <c r="RXZ41" s="139"/>
      <c r="RYA41" s="139"/>
      <c r="RYB41" s="139"/>
      <c r="RYC41" s="139"/>
      <c r="RYD41" s="139"/>
      <c r="RYE41" s="139"/>
      <c r="RYF41" s="139"/>
      <c r="RYG41" s="139"/>
      <c r="RYH41" s="139"/>
      <c r="RYI41" s="139"/>
      <c r="RYJ41" s="139"/>
      <c r="RYK41" s="139"/>
      <c r="RYL41" s="139"/>
      <c r="RYM41" s="139"/>
      <c r="RYN41" s="139"/>
      <c r="RYO41" s="139"/>
      <c r="RYP41" s="139"/>
      <c r="RYQ41" s="139"/>
      <c r="RYR41" s="139"/>
      <c r="RYS41" s="139"/>
      <c r="RYT41" s="139"/>
      <c r="RYU41" s="139"/>
      <c r="RYV41" s="139"/>
      <c r="RYW41" s="139"/>
      <c r="RYX41" s="139"/>
      <c r="RYY41" s="139"/>
      <c r="RYZ41" s="139"/>
      <c r="RZA41" s="139"/>
      <c r="RZB41" s="139"/>
      <c r="RZC41" s="139"/>
      <c r="RZD41" s="139"/>
      <c r="RZE41" s="139"/>
      <c r="RZF41" s="139"/>
      <c r="RZG41" s="139"/>
      <c r="RZH41" s="139"/>
      <c r="RZI41" s="139"/>
      <c r="RZJ41" s="139"/>
      <c r="RZK41" s="139"/>
      <c r="RZL41" s="139"/>
      <c r="RZM41" s="139"/>
      <c r="RZN41" s="139"/>
      <c r="RZO41" s="139"/>
      <c r="RZP41" s="139"/>
      <c r="RZQ41" s="139"/>
      <c r="RZR41" s="139"/>
      <c r="RZS41" s="139"/>
      <c r="RZT41" s="139"/>
      <c r="RZU41" s="139"/>
      <c r="RZV41" s="139"/>
      <c r="RZW41" s="139"/>
      <c r="RZX41" s="139"/>
      <c r="RZY41" s="139"/>
      <c r="RZZ41" s="139"/>
      <c r="SAA41" s="139"/>
      <c r="SAB41" s="139"/>
      <c r="SAC41" s="139"/>
      <c r="SAD41" s="139"/>
      <c r="SAE41" s="139"/>
      <c r="SAF41" s="139"/>
      <c r="SAG41" s="139"/>
      <c r="SAH41" s="139"/>
      <c r="SAI41" s="139"/>
      <c r="SAJ41" s="139"/>
      <c r="SAK41" s="139"/>
      <c r="SAL41" s="139"/>
      <c r="SAM41" s="139"/>
      <c r="SAN41" s="139"/>
      <c r="SAO41" s="139"/>
      <c r="SAP41" s="139"/>
      <c r="SAQ41" s="139"/>
      <c r="SAR41" s="139"/>
      <c r="SAS41" s="139"/>
      <c r="SAT41" s="139"/>
      <c r="SAU41" s="139"/>
      <c r="SAV41" s="139"/>
      <c r="SAW41" s="139"/>
      <c r="SAX41" s="139"/>
      <c r="SAY41" s="139"/>
      <c r="SAZ41" s="139"/>
      <c r="SBA41" s="139"/>
      <c r="SBB41" s="139"/>
      <c r="SBC41" s="139"/>
      <c r="SBD41" s="139"/>
      <c r="SBE41" s="139"/>
      <c r="SBF41" s="139"/>
      <c r="SBG41" s="139"/>
      <c r="SBH41" s="139"/>
      <c r="SBI41" s="139"/>
      <c r="SBJ41" s="139"/>
      <c r="SBK41" s="139"/>
      <c r="SBL41" s="139"/>
      <c r="SBM41" s="139"/>
      <c r="SBN41" s="139"/>
      <c r="SBO41" s="139"/>
      <c r="SBP41" s="139"/>
      <c r="SBQ41" s="139"/>
      <c r="SBR41" s="139"/>
      <c r="SBS41" s="139"/>
      <c r="SBT41" s="139"/>
      <c r="SBU41" s="139"/>
      <c r="SBV41" s="139"/>
      <c r="SBW41" s="139"/>
      <c r="SBX41" s="139"/>
      <c r="SBY41" s="139"/>
      <c r="SBZ41" s="139"/>
      <c r="SCA41" s="139"/>
      <c r="SCB41" s="139"/>
      <c r="SCC41" s="139"/>
      <c r="SCD41" s="139"/>
      <c r="SCE41" s="139"/>
      <c r="SCF41" s="139"/>
      <c r="SCG41" s="139"/>
      <c r="SCH41" s="139"/>
      <c r="SCI41" s="139"/>
      <c r="SCJ41" s="139"/>
      <c r="SCK41" s="139"/>
      <c r="SCL41" s="139"/>
      <c r="SCM41" s="139"/>
      <c r="SCN41" s="139"/>
      <c r="SCO41" s="139"/>
      <c r="SCP41" s="139"/>
      <c r="SCQ41" s="139"/>
      <c r="SCR41" s="139"/>
      <c r="SCS41" s="139"/>
      <c r="SCT41" s="139"/>
      <c r="SCU41" s="139"/>
      <c r="SCV41" s="139"/>
      <c r="SCW41" s="139"/>
      <c r="SCX41" s="139"/>
      <c r="SCY41" s="139"/>
      <c r="SCZ41" s="139"/>
      <c r="SDA41" s="139"/>
      <c r="SDB41" s="139"/>
      <c r="SDC41" s="139"/>
      <c r="SDD41" s="139"/>
      <c r="SDE41" s="139"/>
      <c r="SDF41" s="139"/>
      <c r="SDG41" s="139"/>
      <c r="SDH41" s="139"/>
      <c r="SDI41" s="139"/>
      <c r="SDJ41" s="139"/>
      <c r="SDK41" s="139"/>
      <c r="SDL41" s="139"/>
      <c r="SDM41" s="139"/>
      <c r="SDN41" s="139"/>
      <c r="SDO41" s="139"/>
      <c r="SDP41" s="139"/>
      <c r="SDQ41" s="139"/>
      <c r="SDR41" s="139"/>
      <c r="SDS41" s="139"/>
      <c r="SDT41" s="139"/>
      <c r="SDU41" s="139"/>
      <c r="SDV41" s="139"/>
      <c r="SDW41" s="139"/>
      <c r="SDX41" s="139"/>
      <c r="SDY41" s="139"/>
      <c r="SDZ41" s="139"/>
      <c r="SEA41" s="139"/>
      <c r="SEB41" s="139"/>
      <c r="SEC41" s="139"/>
      <c r="SED41" s="139"/>
      <c r="SEE41" s="139"/>
      <c r="SEF41" s="139"/>
      <c r="SEG41" s="139"/>
      <c r="SEH41" s="139"/>
      <c r="SEI41" s="139"/>
      <c r="SEJ41" s="139"/>
      <c r="SEK41" s="139"/>
      <c r="SEL41" s="139"/>
      <c r="SEM41" s="139"/>
      <c r="SEN41" s="139"/>
      <c r="SEO41" s="139"/>
      <c r="SEP41" s="139"/>
      <c r="SEQ41" s="139"/>
      <c r="SER41" s="139"/>
      <c r="SES41" s="139"/>
      <c r="SET41" s="139"/>
      <c r="SEU41" s="139"/>
      <c r="SEV41" s="139"/>
      <c r="SEW41" s="139"/>
      <c r="SEX41" s="139"/>
      <c r="SEY41" s="139"/>
      <c r="SEZ41" s="139"/>
      <c r="SFA41" s="139"/>
      <c r="SFB41" s="139"/>
      <c r="SFC41" s="139"/>
      <c r="SFD41" s="139"/>
      <c r="SFE41" s="139"/>
      <c r="SFF41" s="139"/>
      <c r="SFG41" s="139"/>
      <c r="SFH41" s="139"/>
      <c r="SFI41" s="139"/>
      <c r="SFJ41" s="139"/>
      <c r="SFK41" s="139"/>
      <c r="SFL41" s="139"/>
      <c r="SFM41" s="139"/>
      <c r="SFN41" s="139"/>
      <c r="SFO41" s="139"/>
      <c r="SFP41" s="139"/>
      <c r="SFQ41" s="139"/>
      <c r="SFR41" s="139"/>
      <c r="SFS41" s="139"/>
      <c r="SFT41" s="139"/>
      <c r="SFU41" s="139"/>
      <c r="SFV41" s="139"/>
      <c r="SFW41" s="139"/>
      <c r="SFX41" s="139"/>
      <c r="SFY41" s="139"/>
      <c r="SFZ41" s="139"/>
      <c r="SGA41" s="139"/>
      <c r="SGB41" s="139"/>
      <c r="SGC41" s="139"/>
      <c r="SGD41" s="139"/>
      <c r="SGE41" s="139"/>
      <c r="SGF41" s="139"/>
      <c r="SGG41" s="139"/>
      <c r="SGH41" s="139"/>
      <c r="SGI41" s="139"/>
      <c r="SGJ41" s="139"/>
      <c r="SGK41" s="139"/>
      <c r="SGL41" s="139"/>
      <c r="SGM41" s="139"/>
      <c r="SGN41" s="139"/>
      <c r="SGO41" s="139"/>
      <c r="SGP41" s="139"/>
      <c r="SGQ41" s="139"/>
      <c r="SGR41" s="139"/>
      <c r="SGS41" s="139"/>
      <c r="SGT41" s="139"/>
      <c r="SGU41" s="139"/>
      <c r="SGV41" s="139"/>
      <c r="SGW41" s="139"/>
      <c r="SGX41" s="139"/>
      <c r="SGY41" s="139"/>
      <c r="SGZ41" s="139"/>
      <c r="SHA41" s="139"/>
      <c r="SHB41" s="139"/>
      <c r="SHC41" s="139"/>
      <c r="SHD41" s="139"/>
      <c r="SHE41" s="139"/>
      <c r="SHF41" s="139"/>
      <c r="SHG41" s="139"/>
      <c r="SHH41" s="139"/>
      <c r="SHI41" s="139"/>
      <c r="SHJ41" s="139"/>
      <c r="SHK41" s="139"/>
      <c r="SHL41" s="139"/>
      <c r="SHM41" s="139"/>
      <c r="SHN41" s="139"/>
      <c r="SHO41" s="139"/>
      <c r="SHP41" s="139"/>
      <c r="SHQ41" s="139"/>
      <c r="SHR41" s="139"/>
      <c r="SHS41" s="139"/>
      <c r="SHT41" s="139"/>
      <c r="SHU41" s="139"/>
      <c r="SHV41" s="139"/>
      <c r="SHW41" s="139"/>
      <c r="SHX41" s="139"/>
      <c r="SHY41" s="139"/>
      <c r="SHZ41" s="139"/>
      <c r="SIA41" s="139"/>
      <c r="SIB41" s="139"/>
      <c r="SIC41" s="139"/>
      <c r="SID41" s="139"/>
      <c r="SIE41" s="139"/>
      <c r="SIF41" s="139"/>
      <c r="SIG41" s="139"/>
      <c r="SIH41" s="139"/>
      <c r="SII41" s="139"/>
      <c r="SIJ41" s="139"/>
      <c r="SIK41" s="139"/>
      <c r="SIL41" s="139"/>
      <c r="SIM41" s="139"/>
      <c r="SIN41" s="139"/>
      <c r="SIO41" s="139"/>
      <c r="SIP41" s="139"/>
      <c r="SIQ41" s="139"/>
      <c r="SIR41" s="139"/>
      <c r="SIS41" s="139"/>
      <c r="SIT41" s="139"/>
      <c r="SIU41" s="139"/>
      <c r="SIV41" s="139"/>
      <c r="SIW41" s="139"/>
      <c r="SIX41" s="139"/>
      <c r="SIY41" s="139"/>
      <c r="SIZ41" s="139"/>
      <c r="SJA41" s="139"/>
      <c r="SJB41" s="139"/>
      <c r="SJC41" s="139"/>
      <c r="SJD41" s="139"/>
      <c r="SJE41" s="139"/>
      <c r="SJF41" s="139"/>
      <c r="SJG41" s="139"/>
      <c r="SJH41" s="139"/>
      <c r="SJI41" s="139"/>
      <c r="SJJ41" s="139"/>
      <c r="SJK41" s="139"/>
      <c r="SJL41" s="139"/>
      <c r="SJM41" s="139"/>
      <c r="SJN41" s="139"/>
      <c r="SJO41" s="139"/>
      <c r="SJP41" s="139"/>
      <c r="SJQ41" s="139"/>
      <c r="SJR41" s="139"/>
      <c r="SJS41" s="139"/>
      <c r="SJT41" s="139"/>
      <c r="SJU41" s="139"/>
      <c r="SJV41" s="139"/>
      <c r="SJW41" s="139"/>
      <c r="SJX41" s="139"/>
      <c r="SJY41" s="139"/>
      <c r="SJZ41" s="139"/>
      <c r="SKA41" s="139"/>
      <c r="SKB41" s="139"/>
      <c r="SKC41" s="139"/>
      <c r="SKD41" s="139"/>
      <c r="SKE41" s="139"/>
      <c r="SKF41" s="139"/>
      <c r="SKG41" s="139"/>
      <c r="SKH41" s="139"/>
      <c r="SKI41" s="139"/>
      <c r="SKJ41" s="139"/>
      <c r="SKK41" s="139"/>
      <c r="SKL41" s="139"/>
      <c r="SKM41" s="139"/>
      <c r="SKN41" s="139"/>
      <c r="SKO41" s="139"/>
      <c r="SKP41" s="139"/>
      <c r="SKQ41" s="139"/>
      <c r="SKR41" s="139"/>
      <c r="SKS41" s="139"/>
      <c r="SKT41" s="139"/>
      <c r="SKU41" s="139"/>
      <c r="SKV41" s="139"/>
      <c r="SKW41" s="139"/>
      <c r="SKX41" s="139"/>
      <c r="SKY41" s="139"/>
      <c r="SKZ41" s="139"/>
      <c r="SLA41" s="139"/>
      <c r="SLB41" s="139"/>
      <c r="SLC41" s="139"/>
      <c r="SLD41" s="139"/>
      <c r="SLE41" s="139"/>
      <c r="SLF41" s="139"/>
      <c r="SLG41" s="139"/>
      <c r="SLH41" s="139"/>
      <c r="SLI41" s="139"/>
      <c r="SLJ41" s="139"/>
      <c r="SLK41" s="139"/>
      <c r="SLL41" s="139"/>
      <c r="SLM41" s="139"/>
      <c r="SLN41" s="139"/>
      <c r="SLO41" s="139"/>
      <c r="SLP41" s="139"/>
      <c r="SLQ41" s="139"/>
      <c r="SLR41" s="139"/>
      <c r="SLS41" s="139"/>
      <c r="SLT41" s="139"/>
      <c r="SLU41" s="139"/>
      <c r="SLV41" s="139"/>
      <c r="SLW41" s="139"/>
      <c r="SLX41" s="139"/>
      <c r="SLY41" s="139"/>
      <c r="SLZ41" s="139"/>
      <c r="SMA41" s="139"/>
      <c r="SMB41" s="139"/>
      <c r="SMC41" s="139"/>
      <c r="SMD41" s="139"/>
      <c r="SME41" s="139"/>
      <c r="SMF41" s="139"/>
      <c r="SMG41" s="139"/>
      <c r="SMH41" s="139"/>
      <c r="SMI41" s="139"/>
      <c r="SMJ41" s="139"/>
      <c r="SMK41" s="139"/>
      <c r="SML41" s="139"/>
      <c r="SMM41" s="139"/>
      <c r="SMN41" s="139"/>
      <c r="SMO41" s="139"/>
      <c r="SMP41" s="139"/>
      <c r="SMQ41" s="139"/>
      <c r="SMR41" s="139"/>
      <c r="SMS41" s="139"/>
      <c r="SMT41" s="139"/>
      <c r="SMU41" s="139"/>
      <c r="SMV41" s="139"/>
      <c r="SMW41" s="139"/>
      <c r="SMX41" s="139"/>
      <c r="SMY41" s="139"/>
      <c r="SMZ41" s="139"/>
      <c r="SNA41" s="139"/>
      <c r="SNB41" s="139"/>
      <c r="SNC41" s="139"/>
      <c r="SND41" s="139"/>
      <c r="SNE41" s="139"/>
      <c r="SNF41" s="139"/>
      <c r="SNG41" s="139"/>
      <c r="SNH41" s="139"/>
      <c r="SNI41" s="139"/>
      <c r="SNJ41" s="139"/>
      <c r="SNK41" s="139"/>
      <c r="SNL41" s="139"/>
      <c r="SNM41" s="139"/>
      <c r="SNN41" s="139"/>
      <c r="SNO41" s="139"/>
      <c r="SNP41" s="139"/>
      <c r="SNQ41" s="139"/>
      <c r="SNR41" s="139"/>
      <c r="SNS41" s="139"/>
      <c r="SNT41" s="139"/>
      <c r="SNU41" s="139"/>
      <c r="SNV41" s="139"/>
      <c r="SNW41" s="139"/>
      <c r="SNX41" s="139"/>
      <c r="SNY41" s="139"/>
      <c r="SNZ41" s="139"/>
      <c r="SOA41" s="139"/>
      <c r="SOB41" s="139"/>
      <c r="SOC41" s="139"/>
      <c r="SOD41" s="139"/>
      <c r="SOE41" s="139"/>
      <c r="SOF41" s="139"/>
      <c r="SOG41" s="139"/>
      <c r="SOH41" s="139"/>
      <c r="SOI41" s="139"/>
      <c r="SOJ41" s="139"/>
      <c r="SOK41" s="139"/>
      <c r="SOL41" s="139"/>
      <c r="SOM41" s="139"/>
      <c r="SON41" s="139"/>
      <c r="SOO41" s="139"/>
      <c r="SOP41" s="139"/>
      <c r="SOQ41" s="139"/>
      <c r="SOR41" s="139"/>
      <c r="SOS41" s="139"/>
      <c r="SOT41" s="139"/>
      <c r="SOU41" s="139"/>
      <c r="SOV41" s="139"/>
      <c r="SOW41" s="139"/>
      <c r="SOX41" s="139"/>
      <c r="SOY41" s="139"/>
      <c r="SOZ41" s="139"/>
      <c r="SPA41" s="139"/>
      <c r="SPB41" s="139"/>
      <c r="SPC41" s="139"/>
      <c r="SPD41" s="139"/>
      <c r="SPE41" s="139"/>
      <c r="SPF41" s="139"/>
      <c r="SPG41" s="139"/>
      <c r="SPH41" s="139"/>
      <c r="SPI41" s="139"/>
      <c r="SPJ41" s="139"/>
      <c r="SPK41" s="139"/>
      <c r="SPL41" s="139"/>
      <c r="SPM41" s="139"/>
      <c r="SPN41" s="139"/>
      <c r="SPO41" s="139"/>
      <c r="SPP41" s="139"/>
      <c r="SPQ41" s="139"/>
      <c r="SPR41" s="139"/>
      <c r="SPS41" s="139"/>
      <c r="SPT41" s="139"/>
      <c r="SPU41" s="139"/>
      <c r="SPV41" s="139"/>
      <c r="SPW41" s="139"/>
      <c r="SPX41" s="139"/>
      <c r="SPY41" s="139"/>
      <c r="SPZ41" s="139"/>
      <c r="SQA41" s="139"/>
      <c r="SQB41" s="139"/>
      <c r="SQC41" s="139"/>
      <c r="SQD41" s="139"/>
      <c r="SQE41" s="139"/>
      <c r="SQF41" s="139"/>
      <c r="SQG41" s="139"/>
      <c r="SQH41" s="139"/>
      <c r="SQI41" s="139"/>
      <c r="SQJ41" s="139"/>
      <c r="SQK41" s="139"/>
      <c r="SQL41" s="139"/>
      <c r="SQM41" s="139"/>
      <c r="SQN41" s="139"/>
      <c r="SQO41" s="139"/>
      <c r="SQP41" s="139"/>
      <c r="SQQ41" s="139"/>
      <c r="SQR41" s="139"/>
      <c r="SQS41" s="139"/>
      <c r="SQT41" s="139"/>
      <c r="SQU41" s="139"/>
      <c r="SQV41" s="139"/>
      <c r="SQW41" s="139"/>
      <c r="SQX41" s="139"/>
      <c r="SQY41" s="139"/>
      <c r="SQZ41" s="139"/>
      <c r="SRA41" s="139"/>
      <c r="SRB41" s="139"/>
      <c r="SRC41" s="139"/>
      <c r="SRD41" s="139"/>
      <c r="SRE41" s="139"/>
      <c r="SRF41" s="139"/>
      <c r="SRG41" s="139"/>
      <c r="SRH41" s="139"/>
      <c r="SRI41" s="139"/>
      <c r="SRJ41" s="139"/>
      <c r="SRK41" s="139"/>
      <c r="SRL41" s="139"/>
      <c r="SRM41" s="139"/>
      <c r="SRN41" s="139"/>
      <c r="SRO41" s="139"/>
      <c r="SRP41" s="139"/>
      <c r="SRQ41" s="139"/>
      <c r="SRR41" s="139"/>
      <c r="SRS41" s="139"/>
      <c r="SRT41" s="139"/>
      <c r="SRU41" s="139"/>
      <c r="SRV41" s="139"/>
      <c r="SRW41" s="139"/>
      <c r="SRX41" s="139"/>
      <c r="SRY41" s="139"/>
      <c r="SRZ41" s="139"/>
      <c r="SSA41" s="139"/>
      <c r="SSB41" s="139"/>
      <c r="SSC41" s="139"/>
      <c r="SSD41" s="139"/>
      <c r="SSE41" s="139"/>
      <c r="SSF41" s="139"/>
      <c r="SSG41" s="139"/>
      <c r="SSH41" s="139"/>
      <c r="SSI41" s="139"/>
      <c r="SSJ41" s="139"/>
      <c r="SSK41" s="139"/>
      <c r="SSL41" s="139"/>
      <c r="SSM41" s="139"/>
      <c r="SSN41" s="139"/>
      <c r="SSO41" s="139"/>
      <c r="SSP41" s="139"/>
      <c r="SSQ41" s="139"/>
      <c r="SSR41" s="139"/>
      <c r="SSS41" s="139"/>
      <c r="SST41" s="139"/>
      <c r="SSU41" s="139"/>
      <c r="SSV41" s="139"/>
      <c r="SSW41" s="139"/>
      <c r="SSX41" s="139"/>
      <c r="SSY41" s="139"/>
      <c r="SSZ41" s="139"/>
      <c r="STA41" s="139"/>
      <c r="STB41" s="139"/>
      <c r="STC41" s="139"/>
      <c r="STD41" s="139"/>
      <c r="STE41" s="139"/>
      <c r="STF41" s="139"/>
      <c r="STG41" s="139"/>
      <c r="STH41" s="139"/>
      <c r="STI41" s="139"/>
      <c r="STJ41" s="139"/>
      <c r="STK41" s="139"/>
      <c r="STL41" s="139"/>
      <c r="STM41" s="139"/>
      <c r="STN41" s="139"/>
      <c r="STO41" s="139"/>
      <c r="STP41" s="139"/>
      <c r="STQ41" s="139"/>
      <c r="STR41" s="139"/>
      <c r="STS41" s="139"/>
      <c r="STT41" s="139"/>
      <c r="STU41" s="139"/>
      <c r="STV41" s="139"/>
      <c r="STW41" s="139"/>
      <c r="STX41" s="139"/>
      <c r="STY41" s="139"/>
      <c r="STZ41" s="139"/>
      <c r="SUA41" s="139"/>
      <c r="SUB41" s="139"/>
      <c r="SUC41" s="139"/>
      <c r="SUD41" s="139"/>
      <c r="SUE41" s="139"/>
      <c r="SUF41" s="139"/>
      <c r="SUG41" s="139"/>
      <c r="SUH41" s="139"/>
      <c r="SUI41" s="139"/>
      <c r="SUJ41" s="139"/>
      <c r="SUK41" s="139"/>
      <c r="SUL41" s="139"/>
      <c r="SUM41" s="139"/>
      <c r="SUN41" s="139"/>
      <c r="SUO41" s="139"/>
      <c r="SUP41" s="139"/>
      <c r="SUQ41" s="139"/>
      <c r="SUR41" s="139"/>
      <c r="SUS41" s="139"/>
      <c r="SUT41" s="139"/>
      <c r="SUU41" s="139"/>
      <c r="SUV41" s="139"/>
      <c r="SUW41" s="139"/>
      <c r="SUX41" s="139"/>
      <c r="SUY41" s="139"/>
      <c r="SUZ41" s="139"/>
      <c r="SVA41" s="139"/>
      <c r="SVB41" s="139"/>
      <c r="SVC41" s="139"/>
      <c r="SVD41" s="139"/>
      <c r="SVE41" s="139"/>
      <c r="SVF41" s="139"/>
      <c r="SVG41" s="139"/>
      <c r="SVH41" s="139"/>
      <c r="SVI41" s="139"/>
      <c r="SVJ41" s="139"/>
      <c r="SVK41" s="139"/>
      <c r="SVL41" s="139"/>
      <c r="SVM41" s="139"/>
      <c r="SVN41" s="139"/>
      <c r="SVO41" s="139"/>
      <c r="SVP41" s="139"/>
      <c r="SVQ41" s="139"/>
      <c r="SVR41" s="139"/>
      <c r="SVS41" s="139"/>
      <c r="SVT41" s="139"/>
      <c r="SVU41" s="139"/>
      <c r="SVV41" s="139"/>
      <c r="SVW41" s="139"/>
      <c r="SVX41" s="139"/>
      <c r="SVY41" s="139"/>
      <c r="SVZ41" s="139"/>
      <c r="SWA41" s="139"/>
      <c r="SWB41" s="139"/>
      <c r="SWC41" s="139"/>
      <c r="SWD41" s="139"/>
      <c r="SWE41" s="139"/>
      <c r="SWF41" s="139"/>
      <c r="SWG41" s="139"/>
      <c r="SWH41" s="139"/>
      <c r="SWI41" s="139"/>
      <c r="SWJ41" s="139"/>
      <c r="SWK41" s="139"/>
      <c r="SWL41" s="139"/>
      <c r="SWM41" s="139"/>
      <c r="SWN41" s="139"/>
      <c r="SWO41" s="139"/>
      <c r="SWP41" s="139"/>
      <c r="SWQ41" s="139"/>
      <c r="SWR41" s="139"/>
      <c r="SWS41" s="139"/>
      <c r="SWT41" s="139"/>
      <c r="SWU41" s="139"/>
      <c r="SWV41" s="139"/>
      <c r="SWW41" s="139"/>
      <c r="SWX41" s="139"/>
      <c r="SWY41" s="139"/>
      <c r="SWZ41" s="139"/>
      <c r="SXA41" s="139"/>
      <c r="SXB41" s="139"/>
      <c r="SXC41" s="139"/>
      <c r="SXD41" s="139"/>
      <c r="SXE41" s="139"/>
      <c r="SXF41" s="139"/>
      <c r="SXG41" s="139"/>
      <c r="SXH41" s="139"/>
      <c r="SXI41" s="139"/>
      <c r="SXJ41" s="139"/>
      <c r="SXK41" s="139"/>
      <c r="SXL41" s="139"/>
      <c r="SXM41" s="139"/>
      <c r="SXN41" s="139"/>
      <c r="SXO41" s="139"/>
      <c r="SXP41" s="139"/>
      <c r="SXQ41" s="139"/>
      <c r="SXR41" s="139"/>
      <c r="SXS41" s="139"/>
      <c r="SXT41" s="139"/>
      <c r="SXU41" s="139"/>
      <c r="SXV41" s="139"/>
      <c r="SXW41" s="139"/>
      <c r="SXX41" s="139"/>
      <c r="SXY41" s="139"/>
      <c r="SXZ41" s="139"/>
      <c r="SYA41" s="139"/>
      <c r="SYB41" s="139"/>
      <c r="SYC41" s="139"/>
      <c r="SYD41" s="139"/>
      <c r="SYE41" s="139"/>
      <c r="SYF41" s="139"/>
      <c r="SYG41" s="139"/>
      <c r="SYH41" s="139"/>
      <c r="SYI41" s="139"/>
      <c r="SYJ41" s="139"/>
      <c r="SYK41" s="139"/>
      <c r="SYL41" s="139"/>
      <c r="SYM41" s="139"/>
      <c r="SYN41" s="139"/>
      <c r="SYO41" s="139"/>
      <c r="SYP41" s="139"/>
      <c r="SYQ41" s="139"/>
      <c r="SYR41" s="139"/>
      <c r="SYS41" s="139"/>
      <c r="SYT41" s="139"/>
      <c r="SYU41" s="139"/>
      <c r="SYV41" s="139"/>
      <c r="SYW41" s="139"/>
      <c r="SYX41" s="139"/>
      <c r="SYY41" s="139"/>
      <c r="SYZ41" s="139"/>
      <c r="SZA41" s="139"/>
      <c r="SZB41" s="139"/>
      <c r="SZC41" s="139"/>
      <c r="SZD41" s="139"/>
      <c r="SZE41" s="139"/>
      <c r="SZF41" s="139"/>
      <c r="SZG41" s="139"/>
      <c r="SZH41" s="139"/>
      <c r="SZI41" s="139"/>
      <c r="SZJ41" s="139"/>
      <c r="SZK41" s="139"/>
      <c r="SZL41" s="139"/>
      <c r="SZM41" s="139"/>
      <c r="SZN41" s="139"/>
      <c r="SZO41" s="139"/>
      <c r="SZP41" s="139"/>
      <c r="SZQ41" s="139"/>
      <c r="SZR41" s="139"/>
      <c r="SZS41" s="139"/>
      <c r="SZT41" s="139"/>
      <c r="SZU41" s="139"/>
      <c r="SZV41" s="139"/>
      <c r="SZW41" s="139"/>
      <c r="SZX41" s="139"/>
      <c r="SZY41" s="139"/>
      <c r="SZZ41" s="139"/>
      <c r="TAA41" s="139"/>
      <c r="TAB41" s="139"/>
      <c r="TAC41" s="139"/>
      <c r="TAD41" s="139"/>
      <c r="TAE41" s="139"/>
      <c r="TAF41" s="139"/>
      <c r="TAG41" s="139"/>
      <c r="TAH41" s="139"/>
      <c r="TAI41" s="139"/>
      <c r="TAJ41" s="139"/>
      <c r="TAK41" s="139"/>
      <c r="TAL41" s="139"/>
      <c r="TAM41" s="139"/>
      <c r="TAN41" s="139"/>
      <c r="TAO41" s="139"/>
      <c r="TAP41" s="139"/>
      <c r="TAQ41" s="139"/>
      <c r="TAR41" s="139"/>
      <c r="TAS41" s="139"/>
      <c r="TAT41" s="139"/>
      <c r="TAU41" s="139"/>
      <c r="TAV41" s="139"/>
      <c r="TAW41" s="139"/>
      <c r="TAX41" s="139"/>
      <c r="TAY41" s="139"/>
      <c r="TAZ41" s="139"/>
      <c r="TBA41" s="139"/>
      <c r="TBB41" s="139"/>
      <c r="TBC41" s="139"/>
      <c r="TBD41" s="139"/>
      <c r="TBE41" s="139"/>
      <c r="TBF41" s="139"/>
      <c r="TBG41" s="139"/>
      <c r="TBH41" s="139"/>
      <c r="TBI41" s="139"/>
      <c r="TBJ41" s="139"/>
      <c r="TBK41" s="139"/>
      <c r="TBL41" s="139"/>
      <c r="TBM41" s="139"/>
      <c r="TBN41" s="139"/>
      <c r="TBO41" s="139"/>
      <c r="TBP41" s="139"/>
      <c r="TBQ41" s="139"/>
      <c r="TBR41" s="139"/>
      <c r="TBS41" s="139"/>
      <c r="TBT41" s="139"/>
      <c r="TBU41" s="139"/>
      <c r="TBV41" s="139"/>
      <c r="TBW41" s="139"/>
      <c r="TBX41" s="139"/>
      <c r="TBY41" s="139"/>
      <c r="TBZ41" s="139"/>
      <c r="TCA41" s="139"/>
      <c r="TCB41" s="139"/>
      <c r="TCC41" s="139"/>
      <c r="TCD41" s="139"/>
      <c r="TCE41" s="139"/>
      <c r="TCF41" s="139"/>
      <c r="TCG41" s="139"/>
      <c r="TCH41" s="139"/>
      <c r="TCI41" s="139"/>
      <c r="TCJ41" s="139"/>
      <c r="TCK41" s="139"/>
      <c r="TCL41" s="139"/>
      <c r="TCM41" s="139"/>
      <c r="TCN41" s="139"/>
      <c r="TCO41" s="139"/>
      <c r="TCP41" s="139"/>
      <c r="TCQ41" s="139"/>
      <c r="TCR41" s="139"/>
      <c r="TCS41" s="139"/>
      <c r="TCT41" s="139"/>
      <c r="TCU41" s="139"/>
      <c r="TCV41" s="139"/>
      <c r="TCW41" s="139"/>
      <c r="TCX41" s="139"/>
      <c r="TCY41" s="139"/>
      <c r="TCZ41" s="139"/>
      <c r="TDA41" s="139"/>
      <c r="TDB41" s="139"/>
      <c r="TDC41" s="139"/>
      <c r="TDD41" s="139"/>
      <c r="TDE41" s="139"/>
      <c r="TDF41" s="139"/>
      <c r="TDG41" s="139"/>
      <c r="TDH41" s="139"/>
      <c r="TDI41" s="139"/>
      <c r="TDJ41" s="139"/>
      <c r="TDK41" s="139"/>
      <c r="TDL41" s="139"/>
      <c r="TDM41" s="139"/>
      <c r="TDN41" s="139"/>
      <c r="TDO41" s="139"/>
      <c r="TDP41" s="139"/>
      <c r="TDQ41" s="139"/>
      <c r="TDR41" s="139"/>
      <c r="TDS41" s="139"/>
      <c r="TDT41" s="139"/>
      <c r="TDU41" s="139"/>
      <c r="TDV41" s="139"/>
      <c r="TDW41" s="139"/>
      <c r="TDX41" s="139"/>
      <c r="TDY41" s="139"/>
      <c r="TDZ41" s="139"/>
      <c r="TEA41" s="139"/>
      <c r="TEB41" s="139"/>
      <c r="TEC41" s="139"/>
      <c r="TED41" s="139"/>
      <c r="TEE41" s="139"/>
      <c r="TEF41" s="139"/>
      <c r="TEG41" s="139"/>
      <c r="TEH41" s="139"/>
      <c r="TEI41" s="139"/>
      <c r="TEJ41" s="139"/>
      <c r="TEK41" s="139"/>
      <c r="TEL41" s="139"/>
      <c r="TEM41" s="139"/>
      <c r="TEN41" s="139"/>
      <c r="TEO41" s="139"/>
      <c r="TEP41" s="139"/>
      <c r="TEQ41" s="139"/>
      <c r="TER41" s="139"/>
      <c r="TES41" s="139"/>
      <c r="TET41" s="139"/>
      <c r="TEU41" s="139"/>
      <c r="TEV41" s="139"/>
      <c r="TEW41" s="139"/>
      <c r="TEX41" s="139"/>
      <c r="TEY41" s="139"/>
      <c r="TEZ41" s="139"/>
      <c r="TFA41" s="139"/>
      <c r="TFB41" s="139"/>
      <c r="TFC41" s="139"/>
      <c r="TFD41" s="139"/>
      <c r="TFE41" s="139"/>
      <c r="TFF41" s="139"/>
      <c r="TFG41" s="139"/>
      <c r="TFH41" s="139"/>
      <c r="TFI41" s="139"/>
      <c r="TFJ41" s="139"/>
      <c r="TFK41" s="139"/>
      <c r="TFL41" s="139"/>
      <c r="TFM41" s="139"/>
      <c r="TFN41" s="139"/>
      <c r="TFO41" s="139"/>
      <c r="TFP41" s="139"/>
      <c r="TFQ41" s="139"/>
      <c r="TFR41" s="139"/>
      <c r="TFS41" s="139"/>
      <c r="TFT41" s="139"/>
      <c r="TFU41" s="139"/>
      <c r="TFV41" s="139"/>
      <c r="TFW41" s="139"/>
      <c r="TFX41" s="139"/>
      <c r="TFY41" s="139"/>
      <c r="TFZ41" s="139"/>
      <c r="TGA41" s="139"/>
      <c r="TGB41" s="139"/>
      <c r="TGC41" s="139"/>
      <c r="TGD41" s="139"/>
      <c r="TGE41" s="139"/>
      <c r="TGF41" s="139"/>
      <c r="TGG41" s="139"/>
      <c r="TGH41" s="139"/>
      <c r="TGI41" s="139"/>
      <c r="TGJ41" s="139"/>
      <c r="TGK41" s="139"/>
      <c r="TGL41" s="139"/>
      <c r="TGM41" s="139"/>
      <c r="TGN41" s="139"/>
      <c r="TGO41" s="139"/>
      <c r="TGP41" s="139"/>
      <c r="TGQ41" s="139"/>
      <c r="TGR41" s="139"/>
      <c r="TGS41" s="139"/>
      <c r="TGT41" s="139"/>
      <c r="TGU41" s="139"/>
      <c r="TGV41" s="139"/>
      <c r="TGW41" s="139"/>
      <c r="TGX41" s="139"/>
      <c r="TGY41" s="139"/>
      <c r="TGZ41" s="139"/>
      <c r="THA41" s="139"/>
      <c r="THB41" s="139"/>
      <c r="THC41" s="139"/>
      <c r="THD41" s="139"/>
      <c r="THE41" s="139"/>
      <c r="THF41" s="139"/>
      <c r="THG41" s="139"/>
      <c r="THH41" s="139"/>
      <c r="THI41" s="139"/>
      <c r="THJ41" s="139"/>
      <c r="THK41" s="139"/>
      <c r="THL41" s="139"/>
      <c r="THM41" s="139"/>
      <c r="THN41" s="139"/>
      <c r="THO41" s="139"/>
      <c r="THP41" s="139"/>
      <c r="THQ41" s="139"/>
      <c r="THR41" s="139"/>
      <c r="THS41" s="139"/>
      <c r="THT41" s="139"/>
      <c r="THU41" s="139"/>
      <c r="THV41" s="139"/>
      <c r="THW41" s="139"/>
      <c r="THX41" s="139"/>
      <c r="THY41" s="139"/>
      <c r="THZ41" s="139"/>
      <c r="TIA41" s="139"/>
      <c r="TIB41" s="139"/>
      <c r="TIC41" s="139"/>
      <c r="TID41" s="139"/>
      <c r="TIE41" s="139"/>
      <c r="TIF41" s="139"/>
      <c r="TIG41" s="139"/>
      <c r="TIH41" s="139"/>
      <c r="TII41" s="139"/>
      <c r="TIJ41" s="139"/>
      <c r="TIK41" s="139"/>
      <c r="TIL41" s="139"/>
      <c r="TIM41" s="139"/>
      <c r="TIN41" s="139"/>
      <c r="TIO41" s="139"/>
      <c r="TIP41" s="139"/>
      <c r="TIQ41" s="139"/>
      <c r="TIR41" s="139"/>
      <c r="TIS41" s="139"/>
      <c r="TIT41" s="139"/>
      <c r="TIU41" s="139"/>
      <c r="TIV41" s="139"/>
      <c r="TIW41" s="139"/>
      <c r="TIX41" s="139"/>
      <c r="TIY41" s="139"/>
      <c r="TIZ41" s="139"/>
      <c r="TJA41" s="139"/>
      <c r="TJB41" s="139"/>
      <c r="TJC41" s="139"/>
      <c r="TJD41" s="139"/>
      <c r="TJE41" s="139"/>
      <c r="TJF41" s="139"/>
      <c r="TJG41" s="139"/>
      <c r="TJH41" s="139"/>
      <c r="TJI41" s="139"/>
      <c r="TJJ41" s="139"/>
      <c r="TJK41" s="139"/>
      <c r="TJL41" s="139"/>
      <c r="TJM41" s="139"/>
      <c r="TJN41" s="139"/>
      <c r="TJO41" s="139"/>
      <c r="TJP41" s="139"/>
      <c r="TJQ41" s="139"/>
      <c r="TJR41" s="139"/>
      <c r="TJS41" s="139"/>
      <c r="TJT41" s="139"/>
      <c r="TJU41" s="139"/>
      <c r="TJV41" s="139"/>
      <c r="TJW41" s="139"/>
      <c r="TJX41" s="139"/>
      <c r="TJY41" s="139"/>
      <c r="TJZ41" s="139"/>
      <c r="TKA41" s="139"/>
      <c r="TKB41" s="139"/>
      <c r="TKC41" s="139"/>
      <c r="TKD41" s="139"/>
      <c r="TKE41" s="139"/>
      <c r="TKF41" s="139"/>
      <c r="TKG41" s="139"/>
      <c r="TKH41" s="139"/>
      <c r="TKI41" s="139"/>
      <c r="TKJ41" s="139"/>
      <c r="TKK41" s="139"/>
      <c r="TKL41" s="139"/>
      <c r="TKM41" s="139"/>
      <c r="TKN41" s="139"/>
      <c r="TKO41" s="139"/>
      <c r="TKP41" s="139"/>
      <c r="TKQ41" s="139"/>
      <c r="TKR41" s="139"/>
      <c r="TKS41" s="139"/>
      <c r="TKT41" s="139"/>
      <c r="TKU41" s="139"/>
      <c r="TKV41" s="139"/>
      <c r="TKW41" s="139"/>
      <c r="TKX41" s="139"/>
      <c r="TKY41" s="139"/>
      <c r="TKZ41" s="139"/>
      <c r="TLA41" s="139"/>
      <c r="TLB41" s="139"/>
      <c r="TLC41" s="139"/>
      <c r="TLD41" s="139"/>
      <c r="TLE41" s="139"/>
      <c r="TLF41" s="139"/>
      <c r="TLG41" s="139"/>
      <c r="TLH41" s="139"/>
      <c r="TLI41" s="139"/>
      <c r="TLJ41" s="139"/>
      <c r="TLK41" s="139"/>
      <c r="TLL41" s="139"/>
      <c r="TLM41" s="139"/>
      <c r="TLN41" s="139"/>
      <c r="TLO41" s="139"/>
      <c r="TLP41" s="139"/>
      <c r="TLQ41" s="139"/>
      <c r="TLR41" s="139"/>
      <c r="TLS41" s="139"/>
      <c r="TLT41" s="139"/>
      <c r="TLU41" s="139"/>
      <c r="TLV41" s="139"/>
      <c r="TLW41" s="139"/>
      <c r="TLX41" s="139"/>
      <c r="TLY41" s="139"/>
      <c r="TLZ41" s="139"/>
      <c r="TMA41" s="139"/>
      <c r="TMB41" s="139"/>
      <c r="TMC41" s="139"/>
      <c r="TMD41" s="139"/>
      <c r="TME41" s="139"/>
      <c r="TMF41" s="139"/>
      <c r="TMG41" s="139"/>
      <c r="TMH41" s="139"/>
      <c r="TMI41" s="139"/>
      <c r="TMJ41" s="139"/>
      <c r="TMK41" s="139"/>
      <c r="TML41" s="139"/>
      <c r="TMM41" s="139"/>
      <c r="TMN41" s="139"/>
      <c r="TMO41" s="139"/>
      <c r="TMP41" s="139"/>
      <c r="TMQ41" s="139"/>
      <c r="TMR41" s="139"/>
      <c r="TMS41" s="139"/>
      <c r="TMT41" s="139"/>
      <c r="TMU41" s="139"/>
      <c r="TMV41" s="139"/>
      <c r="TMW41" s="139"/>
      <c r="TMX41" s="139"/>
      <c r="TMY41" s="139"/>
      <c r="TMZ41" s="139"/>
      <c r="TNA41" s="139"/>
      <c r="TNB41" s="139"/>
      <c r="TNC41" s="139"/>
      <c r="TND41" s="139"/>
      <c r="TNE41" s="139"/>
      <c r="TNF41" s="139"/>
      <c r="TNG41" s="139"/>
      <c r="TNH41" s="139"/>
      <c r="TNI41" s="139"/>
      <c r="TNJ41" s="139"/>
      <c r="TNK41" s="139"/>
      <c r="TNL41" s="139"/>
      <c r="TNM41" s="139"/>
      <c r="TNN41" s="139"/>
      <c r="TNO41" s="139"/>
      <c r="TNP41" s="139"/>
      <c r="TNQ41" s="139"/>
      <c r="TNR41" s="139"/>
      <c r="TNS41" s="139"/>
      <c r="TNT41" s="139"/>
      <c r="TNU41" s="139"/>
      <c r="TNV41" s="139"/>
      <c r="TNW41" s="139"/>
      <c r="TNX41" s="139"/>
      <c r="TNY41" s="139"/>
      <c r="TNZ41" s="139"/>
      <c r="TOA41" s="139"/>
      <c r="TOB41" s="139"/>
      <c r="TOC41" s="139"/>
      <c r="TOD41" s="139"/>
      <c r="TOE41" s="139"/>
      <c r="TOF41" s="139"/>
      <c r="TOG41" s="139"/>
      <c r="TOH41" s="139"/>
      <c r="TOI41" s="139"/>
      <c r="TOJ41" s="139"/>
      <c r="TOK41" s="139"/>
      <c r="TOL41" s="139"/>
      <c r="TOM41" s="139"/>
      <c r="TON41" s="139"/>
      <c r="TOO41" s="139"/>
      <c r="TOP41" s="139"/>
      <c r="TOQ41" s="139"/>
      <c r="TOR41" s="139"/>
      <c r="TOS41" s="139"/>
      <c r="TOT41" s="139"/>
      <c r="TOU41" s="139"/>
      <c r="TOV41" s="139"/>
      <c r="TOW41" s="139"/>
      <c r="TOX41" s="139"/>
      <c r="TOY41" s="139"/>
      <c r="TOZ41" s="139"/>
      <c r="TPA41" s="139"/>
      <c r="TPB41" s="139"/>
      <c r="TPC41" s="139"/>
      <c r="TPD41" s="139"/>
      <c r="TPE41" s="139"/>
      <c r="TPF41" s="139"/>
      <c r="TPG41" s="139"/>
      <c r="TPH41" s="139"/>
      <c r="TPI41" s="139"/>
      <c r="TPJ41" s="139"/>
      <c r="TPK41" s="139"/>
      <c r="TPL41" s="139"/>
      <c r="TPM41" s="139"/>
      <c r="TPN41" s="139"/>
      <c r="TPO41" s="139"/>
      <c r="TPP41" s="139"/>
      <c r="TPQ41" s="139"/>
      <c r="TPR41" s="139"/>
      <c r="TPS41" s="139"/>
      <c r="TPT41" s="139"/>
      <c r="TPU41" s="139"/>
      <c r="TPV41" s="139"/>
      <c r="TPW41" s="139"/>
      <c r="TPX41" s="139"/>
      <c r="TPY41" s="139"/>
      <c r="TPZ41" s="139"/>
      <c r="TQA41" s="139"/>
      <c r="TQB41" s="139"/>
      <c r="TQC41" s="139"/>
      <c r="TQD41" s="139"/>
      <c r="TQE41" s="139"/>
      <c r="TQF41" s="139"/>
      <c r="TQG41" s="139"/>
      <c r="TQH41" s="139"/>
      <c r="TQI41" s="139"/>
      <c r="TQJ41" s="139"/>
      <c r="TQK41" s="139"/>
      <c r="TQL41" s="139"/>
      <c r="TQM41" s="139"/>
      <c r="TQN41" s="139"/>
      <c r="TQO41" s="139"/>
      <c r="TQP41" s="139"/>
      <c r="TQQ41" s="139"/>
      <c r="TQR41" s="139"/>
      <c r="TQS41" s="139"/>
      <c r="TQT41" s="139"/>
      <c r="TQU41" s="139"/>
      <c r="TQV41" s="139"/>
      <c r="TQW41" s="139"/>
      <c r="TQX41" s="139"/>
      <c r="TQY41" s="139"/>
      <c r="TQZ41" s="139"/>
      <c r="TRA41" s="139"/>
      <c r="TRB41" s="139"/>
      <c r="TRC41" s="139"/>
      <c r="TRD41" s="139"/>
      <c r="TRE41" s="139"/>
      <c r="TRF41" s="139"/>
      <c r="TRG41" s="139"/>
      <c r="TRH41" s="139"/>
      <c r="TRI41" s="139"/>
      <c r="TRJ41" s="139"/>
      <c r="TRK41" s="139"/>
      <c r="TRL41" s="139"/>
      <c r="TRM41" s="139"/>
      <c r="TRN41" s="139"/>
      <c r="TRO41" s="139"/>
      <c r="TRP41" s="139"/>
      <c r="TRQ41" s="139"/>
      <c r="TRR41" s="139"/>
      <c r="TRS41" s="139"/>
      <c r="TRT41" s="139"/>
      <c r="TRU41" s="139"/>
      <c r="TRV41" s="139"/>
      <c r="TRW41" s="139"/>
      <c r="TRX41" s="139"/>
      <c r="TRY41" s="139"/>
      <c r="TRZ41" s="139"/>
      <c r="TSA41" s="139"/>
      <c r="TSB41" s="139"/>
      <c r="TSC41" s="139"/>
      <c r="TSD41" s="139"/>
      <c r="TSE41" s="139"/>
      <c r="TSF41" s="139"/>
      <c r="TSG41" s="139"/>
      <c r="TSH41" s="139"/>
      <c r="TSI41" s="139"/>
      <c r="TSJ41" s="139"/>
      <c r="TSK41" s="139"/>
      <c r="TSL41" s="139"/>
      <c r="TSM41" s="139"/>
      <c r="TSN41" s="139"/>
      <c r="TSO41" s="139"/>
      <c r="TSP41" s="139"/>
      <c r="TSQ41" s="139"/>
      <c r="TSR41" s="139"/>
      <c r="TSS41" s="139"/>
      <c r="TST41" s="139"/>
      <c r="TSU41" s="139"/>
      <c r="TSV41" s="139"/>
      <c r="TSW41" s="139"/>
      <c r="TSX41" s="139"/>
      <c r="TSY41" s="139"/>
      <c r="TSZ41" s="139"/>
      <c r="TTA41" s="139"/>
      <c r="TTB41" s="139"/>
      <c r="TTC41" s="139"/>
      <c r="TTD41" s="139"/>
      <c r="TTE41" s="139"/>
      <c r="TTF41" s="139"/>
      <c r="TTG41" s="139"/>
      <c r="TTH41" s="139"/>
      <c r="TTI41" s="139"/>
      <c r="TTJ41" s="139"/>
      <c r="TTK41" s="139"/>
      <c r="TTL41" s="139"/>
      <c r="TTM41" s="139"/>
      <c r="TTN41" s="139"/>
      <c r="TTO41" s="139"/>
      <c r="TTP41" s="139"/>
      <c r="TTQ41" s="139"/>
      <c r="TTR41" s="139"/>
      <c r="TTS41" s="139"/>
      <c r="TTT41" s="139"/>
      <c r="TTU41" s="139"/>
      <c r="TTV41" s="139"/>
      <c r="TTW41" s="139"/>
      <c r="TTX41" s="139"/>
      <c r="TTY41" s="139"/>
      <c r="TTZ41" s="139"/>
      <c r="TUA41" s="139"/>
      <c r="TUB41" s="139"/>
      <c r="TUC41" s="139"/>
      <c r="TUD41" s="139"/>
      <c r="TUE41" s="139"/>
      <c r="TUF41" s="139"/>
      <c r="TUG41" s="139"/>
      <c r="TUH41" s="139"/>
      <c r="TUI41" s="139"/>
      <c r="TUJ41" s="139"/>
      <c r="TUK41" s="139"/>
      <c r="TUL41" s="139"/>
      <c r="TUM41" s="139"/>
      <c r="TUN41" s="139"/>
      <c r="TUO41" s="139"/>
      <c r="TUP41" s="139"/>
      <c r="TUQ41" s="139"/>
      <c r="TUR41" s="139"/>
      <c r="TUS41" s="139"/>
      <c r="TUT41" s="139"/>
      <c r="TUU41" s="139"/>
      <c r="TUV41" s="139"/>
      <c r="TUW41" s="139"/>
      <c r="TUX41" s="139"/>
      <c r="TUY41" s="139"/>
      <c r="TUZ41" s="139"/>
      <c r="TVA41" s="139"/>
      <c r="TVB41" s="139"/>
      <c r="TVC41" s="139"/>
      <c r="TVD41" s="139"/>
      <c r="TVE41" s="139"/>
      <c r="TVF41" s="139"/>
      <c r="TVG41" s="139"/>
      <c r="TVH41" s="139"/>
      <c r="TVI41" s="139"/>
      <c r="TVJ41" s="139"/>
      <c r="TVK41" s="139"/>
      <c r="TVL41" s="139"/>
      <c r="TVM41" s="139"/>
      <c r="TVN41" s="139"/>
      <c r="TVO41" s="139"/>
      <c r="TVP41" s="139"/>
      <c r="TVQ41" s="139"/>
      <c r="TVR41" s="139"/>
      <c r="TVS41" s="139"/>
      <c r="TVT41" s="139"/>
      <c r="TVU41" s="139"/>
      <c r="TVV41" s="139"/>
      <c r="TVW41" s="139"/>
      <c r="TVX41" s="139"/>
      <c r="TVY41" s="139"/>
      <c r="TVZ41" s="139"/>
      <c r="TWA41" s="139"/>
      <c r="TWB41" s="139"/>
      <c r="TWC41" s="139"/>
      <c r="TWD41" s="139"/>
      <c r="TWE41" s="139"/>
      <c r="TWF41" s="139"/>
      <c r="TWG41" s="139"/>
      <c r="TWH41" s="139"/>
      <c r="TWI41" s="139"/>
      <c r="TWJ41" s="139"/>
      <c r="TWK41" s="139"/>
      <c r="TWL41" s="139"/>
      <c r="TWM41" s="139"/>
      <c r="TWN41" s="139"/>
      <c r="TWO41" s="139"/>
      <c r="TWP41" s="139"/>
      <c r="TWQ41" s="139"/>
      <c r="TWR41" s="139"/>
      <c r="TWS41" s="139"/>
      <c r="TWT41" s="139"/>
      <c r="TWU41" s="139"/>
      <c r="TWV41" s="139"/>
      <c r="TWW41" s="139"/>
      <c r="TWX41" s="139"/>
      <c r="TWY41" s="139"/>
      <c r="TWZ41" s="139"/>
      <c r="TXA41" s="139"/>
      <c r="TXB41" s="139"/>
      <c r="TXC41" s="139"/>
      <c r="TXD41" s="139"/>
      <c r="TXE41" s="139"/>
      <c r="TXF41" s="139"/>
      <c r="TXG41" s="139"/>
      <c r="TXH41" s="139"/>
      <c r="TXI41" s="139"/>
      <c r="TXJ41" s="139"/>
      <c r="TXK41" s="139"/>
      <c r="TXL41" s="139"/>
      <c r="TXM41" s="139"/>
      <c r="TXN41" s="139"/>
      <c r="TXO41" s="139"/>
      <c r="TXP41" s="139"/>
      <c r="TXQ41" s="139"/>
      <c r="TXR41" s="139"/>
      <c r="TXS41" s="139"/>
      <c r="TXT41" s="139"/>
      <c r="TXU41" s="139"/>
      <c r="TXV41" s="139"/>
      <c r="TXW41" s="139"/>
      <c r="TXX41" s="139"/>
      <c r="TXY41" s="139"/>
      <c r="TXZ41" s="139"/>
      <c r="TYA41" s="139"/>
      <c r="TYB41" s="139"/>
      <c r="TYC41" s="139"/>
      <c r="TYD41" s="139"/>
      <c r="TYE41" s="139"/>
      <c r="TYF41" s="139"/>
      <c r="TYG41" s="139"/>
      <c r="TYH41" s="139"/>
      <c r="TYI41" s="139"/>
      <c r="TYJ41" s="139"/>
      <c r="TYK41" s="139"/>
      <c r="TYL41" s="139"/>
      <c r="TYM41" s="139"/>
      <c r="TYN41" s="139"/>
      <c r="TYO41" s="139"/>
      <c r="TYP41" s="139"/>
      <c r="TYQ41" s="139"/>
      <c r="TYR41" s="139"/>
      <c r="TYS41" s="139"/>
      <c r="TYT41" s="139"/>
      <c r="TYU41" s="139"/>
      <c r="TYV41" s="139"/>
      <c r="TYW41" s="139"/>
      <c r="TYX41" s="139"/>
      <c r="TYY41" s="139"/>
      <c r="TYZ41" s="139"/>
      <c r="TZA41" s="139"/>
      <c r="TZB41" s="139"/>
      <c r="TZC41" s="139"/>
      <c r="TZD41" s="139"/>
      <c r="TZE41" s="139"/>
      <c r="TZF41" s="139"/>
      <c r="TZG41" s="139"/>
      <c r="TZH41" s="139"/>
      <c r="TZI41" s="139"/>
      <c r="TZJ41" s="139"/>
      <c r="TZK41" s="139"/>
      <c r="TZL41" s="139"/>
      <c r="TZM41" s="139"/>
      <c r="TZN41" s="139"/>
      <c r="TZO41" s="139"/>
      <c r="TZP41" s="139"/>
      <c r="TZQ41" s="139"/>
      <c r="TZR41" s="139"/>
      <c r="TZS41" s="139"/>
      <c r="TZT41" s="139"/>
      <c r="TZU41" s="139"/>
      <c r="TZV41" s="139"/>
      <c r="TZW41" s="139"/>
      <c r="TZX41" s="139"/>
      <c r="TZY41" s="139"/>
      <c r="TZZ41" s="139"/>
      <c r="UAA41" s="139"/>
      <c r="UAB41" s="139"/>
      <c r="UAC41" s="139"/>
      <c r="UAD41" s="139"/>
      <c r="UAE41" s="139"/>
      <c r="UAF41" s="139"/>
      <c r="UAG41" s="139"/>
      <c r="UAH41" s="139"/>
      <c r="UAI41" s="139"/>
      <c r="UAJ41" s="139"/>
      <c r="UAK41" s="139"/>
      <c r="UAL41" s="139"/>
      <c r="UAM41" s="139"/>
      <c r="UAN41" s="139"/>
      <c r="UAO41" s="139"/>
      <c r="UAP41" s="139"/>
      <c r="UAQ41" s="139"/>
      <c r="UAR41" s="139"/>
      <c r="UAS41" s="139"/>
      <c r="UAT41" s="139"/>
      <c r="UAU41" s="139"/>
      <c r="UAV41" s="139"/>
      <c r="UAW41" s="139"/>
      <c r="UAX41" s="139"/>
      <c r="UAY41" s="139"/>
      <c r="UAZ41" s="139"/>
      <c r="UBA41" s="139"/>
      <c r="UBB41" s="139"/>
      <c r="UBC41" s="139"/>
      <c r="UBD41" s="139"/>
      <c r="UBE41" s="139"/>
      <c r="UBF41" s="139"/>
      <c r="UBG41" s="139"/>
      <c r="UBH41" s="139"/>
      <c r="UBI41" s="139"/>
      <c r="UBJ41" s="139"/>
      <c r="UBK41" s="139"/>
      <c r="UBL41" s="139"/>
      <c r="UBM41" s="139"/>
      <c r="UBN41" s="139"/>
      <c r="UBO41" s="139"/>
      <c r="UBP41" s="139"/>
      <c r="UBQ41" s="139"/>
      <c r="UBR41" s="139"/>
      <c r="UBS41" s="139"/>
      <c r="UBT41" s="139"/>
      <c r="UBU41" s="139"/>
      <c r="UBV41" s="139"/>
      <c r="UBW41" s="139"/>
      <c r="UBX41" s="139"/>
      <c r="UBY41" s="139"/>
      <c r="UBZ41" s="139"/>
      <c r="UCA41" s="139"/>
      <c r="UCB41" s="139"/>
      <c r="UCC41" s="139"/>
      <c r="UCD41" s="139"/>
      <c r="UCE41" s="139"/>
      <c r="UCF41" s="139"/>
      <c r="UCG41" s="139"/>
      <c r="UCH41" s="139"/>
      <c r="UCI41" s="139"/>
      <c r="UCJ41" s="139"/>
      <c r="UCK41" s="139"/>
      <c r="UCL41" s="139"/>
      <c r="UCM41" s="139"/>
      <c r="UCN41" s="139"/>
      <c r="UCO41" s="139"/>
      <c r="UCP41" s="139"/>
      <c r="UCQ41" s="139"/>
      <c r="UCR41" s="139"/>
      <c r="UCS41" s="139"/>
      <c r="UCT41" s="139"/>
      <c r="UCU41" s="139"/>
      <c r="UCV41" s="139"/>
      <c r="UCW41" s="139"/>
      <c r="UCX41" s="139"/>
      <c r="UCY41" s="139"/>
      <c r="UCZ41" s="139"/>
      <c r="UDA41" s="139"/>
      <c r="UDB41" s="139"/>
      <c r="UDC41" s="139"/>
      <c r="UDD41" s="139"/>
      <c r="UDE41" s="139"/>
      <c r="UDF41" s="139"/>
      <c r="UDG41" s="139"/>
      <c r="UDH41" s="139"/>
      <c r="UDI41" s="139"/>
      <c r="UDJ41" s="139"/>
      <c r="UDK41" s="139"/>
      <c r="UDL41" s="139"/>
      <c r="UDM41" s="139"/>
      <c r="UDN41" s="139"/>
      <c r="UDO41" s="139"/>
      <c r="UDP41" s="139"/>
      <c r="UDQ41" s="139"/>
      <c r="UDR41" s="139"/>
      <c r="UDS41" s="139"/>
      <c r="UDT41" s="139"/>
      <c r="UDU41" s="139"/>
      <c r="UDV41" s="139"/>
      <c r="UDW41" s="139"/>
      <c r="UDX41" s="139"/>
      <c r="UDY41" s="139"/>
      <c r="UDZ41" s="139"/>
      <c r="UEA41" s="139"/>
      <c r="UEB41" s="139"/>
      <c r="UEC41" s="139"/>
      <c r="UED41" s="139"/>
      <c r="UEE41" s="139"/>
      <c r="UEF41" s="139"/>
      <c r="UEG41" s="139"/>
      <c r="UEH41" s="139"/>
      <c r="UEI41" s="139"/>
      <c r="UEJ41" s="139"/>
      <c r="UEK41" s="139"/>
      <c r="UEL41" s="139"/>
      <c r="UEM41" s="139"/>
      <c r="UEN41" s="139"/>
      <c r="UEO41" s="139"/>
      <c r="UEP41" s="139"/>
      <c r="UEQ41" s="139"/>
      <c r="UER41" s="139"/>
      <c r="UES41" s="139"/>
      <c r="UET41" s="139"/>
      <c r="UEU41" s="139"/>
      <c r="UEV41" s="139"/>
      <c r="UEW41" s="139"/>
      <c r="UEX41" s="139"/>
      <c r="UEY41" s="139"/>
      <c r="UEZ41" s="139"/>
      <c r="UFA41" s="139"/>
      <c r="UFB41" s="139"/>
      <c r="UFC41" s="139"/>
      <c r="UFD41" s="139"/>
      <c r="UFE41" s="139"/>
      <c r="UFF41" s="139"/>
      <c r="UFG41" s="139"/>
      <c r="UFH41" s="139"/>
      <c r="UFI41" s="139"/>
      <c r="UFJ41" s="139"/>
      <c r="UFK41" s="139"/>
      <c r="UFL41" s="139"/>
      <c r="UFM41" s="139"/>
      <c r="UFN41" s="139"/>
      <c r="UFO41" s="139"/>
      <c r="UFP41" s="139"/>
      <c r="UFQ41" s="139"/>
      <c r="UFR41" s="139"/>
      <c r="UFS41" s="139"/>
      <c r="UFT41" s="139"/>
      <c r="UFU41" s="139"/>
      <c r="UFV41" s="139"/>
      <c r="UFW41" s="139"/>
      <c r="UFX41" s="139"/>
      <c r="UFY41" s="139"/>
      <c r="UFZ41" s="139"/>
      <c r="UGA41" s="139"/>
      <c r="UGB41" s="139"/>
      <c r="UGC41" s="139"/>
      <c r="UGD41" s="139"/>
      <c r="UGE41" s="139"/>
      <c r="UGF41" s="139"/>
      <c r="UGG41" s="139"/>
      <c r="UGH41" s="139"/>
      <c r="UGI41" s="139"/>
      <c r="UGJ41" s="139"/>
      <c r="UGK41" s="139"/>
      <c r="UGL41" s="139"/>
      <c r="UGM41" s="139"/>
      <c r="UGN41" s="139"/>
      <c r="UGO41" s="139"/>
      <c r="UGP41" s="139"/>
      <c r="UGQ41" s="139"/>
      <c r="UGR41" s="139"/>
      <c r="UGS41" s="139"/>
      <c r="UGT41" s="139"/>
      <c r="UGU41" s="139"/>
      <c r="UGV41" s="139"/>
      <c r="UGW41" s="139"/>
      <c r="UGX41" s="139"/>
      <c r="UGY41" s="139"/>
      <c r="UGZ41" s="139"/>
      <c r="UHA41" s="139"/>
      <c r="UHB41" s="139"/>
      <c r="UHC41" s="139"/>
      <c r="UHD41" s="139"/>
      <c r="UHE41" s="139"/>
      <c r="UHF41" s="139"/>
      <c r="UHG41" s="139"/>
      <c r="UHH41" s="139"/>
      <c r="UHI41" s="139"/>
      <c r="UHJ41" s="139"/>
      <c r="UHK41" s="139"/>
      <c r="UHL41" s="139"/>
      <c r="UHM41" s="139"/>
      <c r="UHN41" s="139"/>
      <c r="UHO41" s="139"/>
      <c r="UHP41" s="139"/>
      <c r="UHQ41" s="139"/>
      <c r="UHR41" s="139"/>
      <c r="UHS41" s="139"/>
      <c r="UHT41" s="139"/>
      <c r="UHU41" s="139"/>
      <c r="UHV41" s="139"/>
      <c r="UHW41" s="139"/>
      <c r="UHX41" s="139"/>
      <c r="UHY41" s="139"/>
      <c r="UHZ41" s="139"/>
      <c r="UIA41" s="139"/>
      <c r="UIB41" s="139"/>
      <c r="UIC41" s="139"/>
      <c r="UID41" s="139"/>
      <c r="UIE41" s="139"/>
      <c r="UIF41" s="139"/>
      <c r="UIG41" s="139"/>
      <c r="UIH41" s="139"/>
      <c r="UII41" s="139"/>
      <c r="UIJ41" s="139"/>
      <c r="UIK41" s="139"/>
      <c r="UIL41" s="139"/>
      <c r="UIM41" s="139"/>
      <c r="UIN41" s="139"/>
      <c r="UIO41" s="139"/>
      <c r="UIP41" s="139"/>
      <c r="UIQ41" s="139"/>
      <c r="UIR41" s="139"/>
      <c r="UIS41" s="139"/>
      <c r="UIT41" s="139"/>
      <c r="UIU41" s="139"/>
      <c r="UIV41" s="139"/>
      <c r="UIW41" s="139"/>
      <c r="UIX41" s="139"/>
      <c r="UIY41" s="139"/>
      <c r="UIZ41" s="139"/>
      <c r="UJA41" s="139"/>
      <c r="UJB41" s="139"/>
      <c r="UJC41" s="139"/>
      <c r="UJD41" s="139"/>
      <c r="UJE41" s="139"/>
      <c r="UJF41" s="139"/>
      <c r="UJG41" s="139"/>
      <c r="UJH41" s="139"/>
      <c r="UJI41" s="139"/>
      <c r="UJJ41" s="139"/>
      <c r="UJK41" s="139"/>
      <c r="UJL41" s="139"/>
      <c r="UJM41" s="139"/>
      <c r="UJN41" s="139"/>
      <c r="UJO41" s="139"/>
      <c r="UJP41" s="139"/>
      <c r="UJQ41" s="139"/>
      <c r="UJR41" s="139"/>
      <c r="UJS41" s="139"/>
      <c r="UJT41" s="139"/>
      <c r="UJU41" s="139"/>
      <c r="UJV41" s="139"/>
      <c r="UJW41" s="139"/>
      <c r="UJX41" s="139"/>
      <c r="UJY41" s="139"/>
      <c r="UJZ41" s="139"/>
      <c r="UKA41" s="139"/>
      <c r="UKB41" s="139"/>
      <c r="UKC41" s="139"/>
      <c r="UKD41" s="139"/>
      <c r="UKE41" s="139"/>
      <c r="UKF41" s="139"/>
      <c r="UKG41" s="139"/>
      <c r="UKH41" s="139"/>
      <c r="UKI41" s="139"/>
      <c r="UKJ41" s="139"/>
      <c r="UKK41" s="139"/>
      <c r="UKL41" s="139"/>
      <c r="UKM41" s="139"/>
      <c r="UKN41" s="139"/>
      <c r="UKO41" s="139"/>
      <c r="UKP41" s="139"/>
      <c r="UKQ41" s="139"/>
      <c r="UKR41" s="139"/>
      <c r="UKS41" s="139"/>
      <c r="UKT41" s="139"/>
      <c r="UKU41" s="139"/>
      <c r="UKV41" s="139"/>
      <c r="UKW41" s="139"/>
      <c r="UKX41" s="139"/>
      <c r="UKY41" s="139"/>
      <c r="UKZ41" s="139"/>
      <c r="ULA41" s="139"/>
      <c r="ULB41" s="139"/>
      <c r="ULC41" s="139"/>
      <c r="ULD41" s="139"/>
      <c r="ULE41" s="139"/>
      <c r="ULF41" s="139"/>
      <c r="ULG41" s="139"/>
      <c r="ULH41" s="139"/>
      <c r="ULI41" s="139"/>
      <c r="ULJ41" s="139"/>
      <c r="ULK41" s="139"/>
      <c r="ULL41" s="139"/>
      <c r="ULM41" s="139"/>
      <c r="ULN41" s="139"/>
      <c r="ULO41" s="139"/>
      <c r="ULP41" s="139"/>
      <c r="ULQ41" s="139"/>
      <c r="ULR41" s="139"/>
      <c r="ULS41" s="139"/>
      <c r="ULT41" s="139"/>
      <c r="ULU41" s="139"/>
      <c r="ULV41" s="139"/>
      <c r="ULW41" s="139"/>
      <c r="ULX41" s="139"/>
      <c r="ULY41" s="139"/>
      <c r="ULZ41" s="139"/>
      <c r="UMA41" s="139"/>
      <c r="UMB41" s="139"/>
      <c r="UMC41" s="139"/>
      <c r="UMD41" s="139"/>
      <c r="UME41" s="139"/>
      <c r="UMF41" s="139"/>
      <c r="UMG41" s="139"/>
      <c r="UMH41" s="139"/>
      <c r="UMI41" s="139"/>
      <c r="UMJ41" s="139"/>
      <c r="UMK41" s="139"/>
      <c r="UML41" s="139"/>
      <c r="UMM41" s="139"/>
      <c r="UMN41" s="139"/>
      <c r="UMO41" s="139"/>
      <c r="UMP41" s="139"/>
      <c r="UMQ41" s="139"/>
      <c r="UMR41" s="139"/>
      <c r="UMS41" s="139"/>
      <c r="UMT41" s="139"/>
      <c r="UMU41" s="139"/>
      <c r="UMV41" s="139"/>
      <c r="UMW41" s="139"/>
      <c r="UMX41" s="139"/>
      <c r="UMY41" s="139"/>
      <c r="UMZ41" s="139"/>
      <c r="UNA41" s="139"/>
      <c r="UNB41" s="139"/>
      <c r="UNC41" s="139"/>
      <c r="UND41" s="139"/>
      <c r="UNE41" s="139"/>
      <c r="UNF41" s="139"/>
      <c r="UNG41" s="139"/>
      <c r="UNH41" s="139"/>
      <c r="UNI41" s="139"/>
      <c r="UNJ41" s="139"/>
      <c r="UNK41" s="139"/>
      <c r="UNL41" s="139"/>
      <c r="UNM41" s="139"/>
      <c r="UNN41" s="139"/>
      <c r="UNO41" s="139"/>
      <c r="UNP41" s="139"/>
      <c r="UNQ41" s="139"/>
      <c r="UNR41" s="139"/>
      <c r="UNS41" s="139"/>
      <c r="UNT41" s="139"/>
      <c r="UNU41" s="139"/>
      <c r="UNV41" s="139"/>
      <c r="UNW41" s="139"/>
      <c r="UNX41" s="139"/>
      <c r="UNY41" s="139"/>
      <c r="UNZ41" s="139"/>
      <c r="UOA41" s="139"/>
      <c r="UOB41" s="139"/>
      <c r="UOC41" s="139"/>
      <c r="UOD41" s="139"/>
      <c r="UOE41" s="139"/>
      <c r="UOF41" s="139"/>
      <c r="UOG41" s="139"/>
      <c r="UOH41" s="139"/>
      <c r="UOI41" s="139"/>
      <c r="UOJ41" s="139"/>
      <c r="UOK41" s="139"/>
      <c r="UOL41" s="139"/>
      <c r="UOM41" s="139"/>
      <c r="UON41" s="139"/>
      <c r="UOO41" s="139"/>
      <c r="UOP41" s="139"/>
      <c r="UOQ41" s="139"/>
      <c r="UOR41" s="139"/>
      <c r="UOS41" s="139"/>
      <c r="UOT41" s="139"/>
      <c r="UOU41" s="139"/>
      <c r="UOV41" s="139"/>
      <c r="UOW41" s="139"/>
      <c r="UOX41" s="139"/>
      <c r="UOY41" s="139"/>
      <c r="UOZ41" s="139"/>
      <c r="UPA41" s="139"/>
      <c r="UPB41" s="139"/>
      <c r="UPC41" s="139"/>
      <c r="UPD41" s="139"/>
      <c r="UPE41" s="139"/>
      <c r="UPF41" s="139"/>
      <c r="UPG41" s="139"/>
      <c r="UPH41" s="139"/>
      <c r="UPI41" s="139"/>
      <c r="UPJ41" s="139"/>
      <c r="UPK41" s="139"/>
      <c r="UPL41" s="139"/>
      <c r="UPM41" s="139"/>
      <c r="UPN41" s="139"/>
      <c r="UPO41" s="139"/>
      <c r="UPP41" s="139"/>
      <c r="UPQ41" s="139"/>
      <c r="UPR41" s="139"/>
      <c r="UPS41" s="139"/>
      <c r="UPT41" s="139"/>
      <c r="UPU41" s="139"/>
      <c r="UPV41" s="139"/>
      <c r="UPW41" s="139"/>
      <c r="UPX41" s="139"/>
      <c r="UPY41" s="139"/>
      <c r="UPZ41" s="139"/>
      <c r="UQA41" s="139"/>
      <c r="UQB41" s="139"/>
      <c r="UQC41" s="139"/>
      <c r="UQD41" s="139"/>
      <c r="UQE41" s="139"/>
      <c r="UQF41" s="139"/>
      <c r="UQG41" s="139"/>
      <c r="UQH41" s="139"/>
      <c r="UQI41" s="139"/>
      <c r="UQJ41" s="139"/>
      <c r="UQK41" s="139"/>
      <c r="UQL41" s="139"/>
      <c r="UQM41" s="139"/>
      <c r="UQN41" s="139"/>
      <c r="UQO41" s="139"/>
      <c r="UQP41" s="139"/>
      <c r="UQQ41" s="139"/>
      <c r="UQR41" s="139"/>
      <c r="UQS41" s="139"/>
      <c r="UQT41" s="139"/>
      <c r="UQU41" s="139"/>
      <c r="UQV41" s="139"/>
      <c r="UQW41" s="139"/>
      <c r="UQX41" s="139"/>
      <c r="UQY41" s="139"/>
      <c r="UQZ41" s="139"/>
      <c r="URA41" s="139"/>
      <c r="URB41" s="139"/>
      <c r="URC41" s="139"/>
      <c r="URD41" s="139"/>
      <c r="URE41" s="139"/>
      <c r="URF41" s="139"/>
      <c r="URG41" s="139"/>
      <c r="URH41" s="139"/>
      <c r="URI41" s="139"/>
      <c r="URJ41" s="139"/>
      <c r="URK41" s="139"/>
      <c r="URL41" s="139"/>
      <c r="URM41" s="139"/>
      <c r="URN41" s="139"/>
      <c r="URO41" s="139"/>
      <c r="URP41" s="139"/>
      <c r="URQ41" s="139"/>
      <c r="URR41" s="139"/>
      <c r="URS41" s="139"/>
      <c r="URT41" s="139"/>
      <c r="URU41" s="139"/>
      <c r="URV41" s="139"/>
      <c r="URW41" s="139"/>
      <c r="URX41" s="139"/>
      <c r="URY41" s="139"/>
      <c r="URZ41" s="139"/>
      <c r="USA41" s="139"/>
      <c r="USB41" s="139"/>
      <c r="USC41" s="139"/>
      <c r="USD41" s="139"/>
      <c r="USE41" s="139"/>
      <c r="USF41" s="139"/>
      <c r="USG41" s="139"/>
      <c r="USH41" s="139"/>
      <c r="USI41" s="139"/>
      <c r="USJ41" s="139"/>
      <c r="USK41" s="139"/>
      <c r="USL41" s="139"/>
      <c r="USM41" s="139"/>
      <c r="USN41" s="139"/>
      <c r="USO41" s="139"/>
      <c r="USP41" s="139"/>
      <c r="USQ41" s="139"/>
      <c r="USR41" s="139"/>
      <c r="USS41" s="139"/>
      <c r="UST41" s="139"/>
      <c r="USU41" s="139"/>
      <c r="USV41" s="139"/>
      <c r="USW41" s="139"/>
      <c r="USX41" s="139"/>
      <c r="USY41" s="139"/>
      <c r="USZ41" s="139"/>
      <c r="UTA41" s="139"/>
      <c r="UTB41" s="139"/>
      <c r="UTC41" s="139"/>
      <c r="UTD41" s="139"/>
      <c r="UTE41" s="139"/>
      <c r="UTF41" s="139"/>
      <c r="UTG41" s="139"/>
      <c r="UTH41" s="139"/>
      <c r="UTI41" s="139"/>
      <c r="UTJ41" s="139"/>
      <c r="UTK41" s="139"/>
      <c r="UTL41" s="139"/>
      <c r="UTM41" s="139"/>
      <c r="UTN41" s="139"/>
      <c r="UTO41" s="139"/>
      <c r="UTP41" s="139"/>
      <c r="UTQ41" s="139"/>
      <c r="UTR41" s="139"/>
      <c r="UTS41" s="139"/>
      <c r="UTT41" s="139"/>
      <c r="UTU41" s="139"/>
      <c r="UTV41" s="139"/>
      <c r="UTW41" s="139"/>
      <c r="UTX41" s="139"/>
      <c r="UTY41" s="139"/>
      <c r="UTZ41" s="139"/>
      <c r="UUA41" s="139"/>
      <c r="UUB41" s="139"/>
      <c r="UUC41" s="139"/>
      <c r="UUD41" s="139"/>
      <c r="UUE41" s="139"/>
      <c r="UUF41" s="139"/>
      <c r="UUG41" s="139"/>
      <c r="UUH41" s="139"/>
      <c r="UUI41" s="139"/>
      <c r="UUJ41" s="139"/>
      <c r="UUK41" s="139"/>
      <c r="UUL41" s="139"/>
      <c r="UUM41" s="139"/>
      <c r="UUN41" s="139"/>
      <c r="UUO41" s="139"/>
      <c r="UUP41" s="139"/>
      <c r="UUQ41" s="139"/>
      <c r="UUR41" s="139"/>
      <c r="UUS41" s="139"/>
      <c r="UUT41" s="139"/>
      <c r="UUU41" s="139"/>
      <c r="UUV41" s="139"/>
      <c r="UUW41" s="139"/>
      <c r="UUX41" s="139"/>
      <c r="UUY41" s="139"/>
      <c r="UUZ41" s="139"/>
      <c r="UVA41" s="139"/>
      <c r="UVB41" s="139"/>
      <c r="UVC41" s="139"/>
      <c r="UVD41" s="139"/>
      <c r="UVE41" s="139"/>
      <c r="UVF41" s="139"/>
      <c r="UVG41" s="139"/>
      <c r="UVH41" s="139"/>
      <c r="UVI41" s="139"/>
      <c r="UVJ41" s="139"/>
      <c r="UVK41" s="139"/>
      <c r="UVL41" s="139"/>
      <c r="UVM41" s="139"/>
      <c r="UVN41" s="139"/>
      <c r="UVO41" s="139"/>
      <c r="UVP41" s="139"/>
      <c r="UVQ41" s="139"/>
      <c r="UVR41" s="139"/>
      <c r="UVS41" s="139"/>
      <c r="UVT41" s="139"/>
      <c r="UVU41" s="139"/>
      <c r="UVV41" s="139"/>
      <c r="UVW41" s="139"/>
      <c r="UVX41" s="139"/>
      <c r="UVY41" s="139"/>
      <c r="UVZ41" s="139"/>
      <c r="UWA41" s="139"/>
      <c r="UWB41" s="139"/>
      <c r="UWC41" s="139"/>
      <c r="UWD41" s="139"/>
      <c r="UWE41" s="139"/>
      <c r="UWF41" s="139"/>
      <c r="UWG41" s="139"/>
      <c r="UWH41" s="139"/>
      <c r="UWI41" s="139"/>
      <c r="UWJ41" s="139"/>
      <c r="UWK41" s="139"/>
      <c r="UWL41" s="139"/>
      <c r="UWM41" s="139"/>
      <c r="UWN41" s="139"/>
      <c r="UWO41" s="139"/>
      <c r="UWP41" s="139"/>
      <c r="UWQ41" s="139"/>
      <c r="UWR41" s="139"/>
      <c r="UWS41" s="139"/>
      <c r="UWT41" s="139"/>
      <c r="UWU41" s="139"/>
      <c r="UWV41" s="139"/>
      <c r="UWW41" s="139"/>
      <c r="UWX41" s="139"/>
      <c r="UWY41" s="139"/>
      <c r="UWZ41" s="139"/>
      <c r="UXA41" s="139"/>
      <c r="UXB41" s="139"/>
      <c r="UXC41" s="139"/>
      <c r="UXD41" s="139"/>
      <c r="UXE41" s="139"/>
      <c r="UXF41" s="139"/>
      <c r="UXG41" s="139"/>
      <c r="UXH41" s="139"/>
      <c r="UXI41" s="139"/>
      <c r="UXJ41" s="139"/>
      <c r="UXK41" s="139"/>
      <c r="UXL41" s="139"/>
      <c r="UXM41" s="139"/>
      <c r="UXN41" s="139"/>
      <c r="UXO41" s="139"/>
      <c r="UXP41" s="139"/>
      <c r="UXQ41" s="139"/>
      <c r="UXR41" s="139"/>
      <c r="UXS41" s="139"/>
      <c r="UXT41" s="139"/>
      <c r="UXU41" s="139"/>
      <c r="UXV41" s="139"/>
      <c r="UXW41" s="139"/>
      <c r="UXX41" s="139"/>
      <c r="UXY41" s="139"/>
      <c r="UXZ41" s="139"/>
      <c r="UYA41" s="139"/>
      <c r="UYB41" s="139"/>
      <c r="UYC41" s="139"/>
      <c r="UYD41" s="139"/>
      <c r="UYE41" s="139"/>
      <c r="UYF41" s="139"/>
      <c r="UYG41" s="139"/>
      <c r="UYH41" s="139"/>
      <c r="UYI41" s="139"/>
      <c r="UYJ41" s="139"/>
      <c r="UYK41" s="139"/>
      <c r="UYL41" s="139"/>
      <c r="UYM41" s="139"/>
      <c r="UYN41" s="139"/>
      <c r="UYO41" s="139"/>
      <c r="UYP41" s="139"/>
      <c r="UYQ41" s="139"/>
      <c r="UYR41" s="139"/>
      <c r="UYS41" s="139"/>
      <c r="UYT41" s="139"/>
      <c r="UYU41" s="139"/>
      <c r="UYV41" s="139"/>
      <c r="UYW41" s="139"/>
      <c r="UYX41" s="139"/>
      <c r="UYY41" s="139"/>
      <c r="UYZ41" s="139"/>
      <c r="UZA41" s="139"/>
      <c r="UZB41" s="139"/>
      <c r="UZC41" s="139"/>
      <c r="UZD41" s="139"/>
      <c r="UZE41" s="139"/>
      <c r="UZF41" s="139"/>
      <c r="UZG41" s="139"/>
      <c r="UZH41" s="139"/>
      <c r="UZI41" s="139"/>
      <c r="UZJ41" s="139"/>
      <c r="UZK41" s="139"/>
      <c r="UZL41" s="139"/>
      <c r="UZM41" s="139"/>
      <c r="UZN41" s="139"/>
      <c r="UZO41" s="139"/>
      <c r="UZP41" s="139"/>
      <c r="UZQ41" s="139"/>
      <c r="UZR41" s="139"/>
      <c r="UZS41" s="139"/>
      <c r="UZT41" s="139"/>
      <c r="UZU41" s="139"/>
      <c r="UZV41" s="139"/>
      <c r="UZW41" s="139"/>
      <c r="UZX41" s="139"/>
      <c r="UZY41" s="139"/>
      <c r="UZZ41" s="139"/>
      <c r="VAA41" s="139"/>
      <c r="VAB41" s="139"/>
      <c r="VAC41" s="139"/>
      <c r="VAD41" s="139"/>
      <c r="VAE41" s="139"/>
      <c r="VAF41" s="139"/>
      <c r="VAG41" s="139"/>
      <c r="VAH41" s="139"/>
      <c r="VAI41" s="139"/>
      <c r="VAJ41" s="139"/>
      <c r="VAK41" s="139"/>
      <c r="VAL41" s="139"/>
      <c r="VAM41" s="139"/>
      <c r="VAN41" s="139"/>
      <c r="VAO41" s="139"/>
      <c r="VAP41" s="139"/>
      <c r="VAQ41" s="139"/>
      <c r="VAR41" s="139"/>
      <c r="VAS41" s="139"/>
      <c r="VAT41" s="139"/>
      <c r="VAU41" s="139"/>
      <c r="VAV41" s="139"/>
      <c r="VAW41" s="139"/>
      <c r="VAX41" s="139"/>
      <c r="VAY41" s="139"/>
      <c r="VAZ41" s="139"/>
      <c r="VBA41" s="139"/>
      <c r="VBB41" s="139"/>
      <c r="VBC41" s="139"/>
      <c r="VBD41" s="139"/>
      <c r="VBE41" s="139"/>
      <c r="VBF41" s="139"/>
      <c r="VBG41" s="139"/>
      <c r="VBH41" s="139"/>
      <c r="VBI41" s="139"/>
      <c r="VBJ41" s="139"/>
      <c r="VBK41" s="139"/>
      <c r="VBL41" s="139"/>
      <c r="VBM41" s="139"/>
      <c r="VBN41" s="139"/>
      <c r="VBO41" s="139"/>
      <c r="VBP41" s="139"/>
      <c r="VBQ41" s="139"/>
      <c r="VBR41" s="139"/>
      <c r="VBS41" s="139"/>
      <c r="VBT41" s="139"/>
      <c r="VBU41" s="139"/>
      <c r="VBV41" s="139"/>
      <c r="VBW41" s="139"/>
      <c r="VBX41" s="139"/>
      <c r="VBY41" s="139"/>
      <c r="VBZ41" s="139"/>
      <c r="VCA41" s="139"/>
      <c r="VCB41" s="139"/>
      <c r="VCC41" s="139"/>
      <c r="VCD41" s="139"/>
      <c r="VCE41" s="139"/>
      <c r="VCF41" s="139"/>
      <c r="VCG41" s="139"/>
      <c r="VCH41" s="139"/>
      <c r="VCI41" s="139"/>
      <c r="VCJ41" s="139"/>
      <c r="VCK41" s="139"/>
      <c r="VCL41" s="139"/>
      <c r="VCM41" s="139"/>
      <c r="VCN41" s="139"/>
      <c r="VCO41" s="139"/>
      <c r="VCP41" s="139"/>
      <c r="VCQ41" s="139"/>
      <c r="VCR41" s="139"/>
      <c r="VCS41" s="139"/>
      <c r="VCT41" s="139"/>
      <c r="VCU41" s="139"/>
      <c r="VCV41" s="139"/>
      <c r="VCW41" s="139"/>
      <c r="VCX41" s="139"/>
      <c r="VCY41" s="139"/>
      <c r="VCZ41" s="139"/>
      <c r="VDA41" s="139"/>
      <c r="VDB41" s="139"/>
      <c r="VDC41" s="139"/>
      <c r="VDD41" s="139"/>
      <c r="VDE41" s="139"/>
      <c r="VDF41" s="139"/>
      <c r="VDG41" s="139"/>
      <c r="VDH41" s="139"/>
      <c r="VDI41" s="139"/>
      <c r="VDJ41" s="139"/>
      <c r="VDK41" s="139"/>
      <c r="VDL41" s="139"/>
      <c r="VDM41" s="139"/>
      <c r="VDN41" s="139"/>
      <c r="VDO41" s="139"/>
      <c r="VDP41" s="139"/>
      <c r="VDQ41" s="139"/>
      <c r="VDR41" s="139"/>
      <c r="VDS41" s="139"/>
      <c r="VDT41" s="139"/>
      <c r="VDU41" s="139"/>
      <c r="VDV41" s="139"/>
      <c r="VDW41" s="139"/>
      <c r="VDX41" s="139"/>
      <c r="VDY41" s="139"/>
      <c r="VDZ41" s="139"/>
      <c r="VEA41" s="139"/>
      <c r="VEB41" s="139"/>
      <c r="VEC41" s="139"/>
      <c r="VED41" s="139"/>
      <c r="VEE41" s="139"/>
      <c r="VEF41" s="139"/>
      <c r="VEG41" s="139"/>
      <c r="VEH41" s="139"/>
      <c r="VEI41" s="139"/>
      <c r="VEJ41" s="139"/>
      <c r="VEK41" s="139"/>
      <c r="VEL41" s="139"/>
      <c r="VEM41" s="139"/>
      <c r="VEN41" s="139"/>
      <c r="VEO41" s="139"/>
      <c r="VEP41" s="139"/>
      <c r="VEQ41" s="139"/>
      <c r="VER41" s="139"/>
      <c r="VES41" s="139"/>
      <c r="VET41" s="139"/>
      <c r="VEU41" s="139"/>
      <c r="VEV41" s="139"/>
      <c r="VEW41" s="139"/>
      <c r="VEX41" s="139"/>
      <c r="VEY41" s="139"/>
      <c r="VEZ41" s="139"/>
      <c r="VFA41" s="139"/>
      <c r="VFB41" s="139"/>
      <c r="VFC41" s="139"/>
      <c r="VFD41" s="139"/>
      <c r="VFE41" s="139"/>
      <c r="VFF41" s="139"/>
      <c r="VFG41" s="139"/>
      <c r="VFH41" s="139"/>
      <c r="VFI41" s="139"/>
      <c r="VFJ41" s="139"/>
      <c r="VFK41" s="139"/>
      <c r="VFL41" s="139"/>
      <c r="VFM41" s="139"/>
      <c r="VFN41" s="139"/>
      <c r="VFO41" s="139"/>
      <c r="VFP41" s="139"/>
      <c r="VFQ41" s="139"/>
      <c r="VFR41" s="139"/>
      <c r="VFS41" s="139"/>
      <c r="VFT41" s="139"/>
      <c r="VFU41" s="139"/>
      <c r="VFV41" s="139"/>
      <c r="VFW41" s="139"/>
      <c r="VFX41" s="139"/>
      <c r="VFY41" s="139"/>
      <c r="VFZ41" s="139"/>
      <c r="VGA41" s="139"/>
      <c r="VGB41" s="139"/>
      <c r="VGC41" s="139"/>
      <c r="VGD41" s="139"/>
      <c r="VGE41" s="139"/>
      <c r="VGF41" s="139"/>
      <c r="VGG41" s="139"/>
      <c r="VGH41" s="139"/>
      <c r="VGI41" s="139"/>
      <c r="VGJ41" s="139"/>
      <c r="VGK41" s="139"/>
      <c r="VGL41" s="139"/>
      <c r="VGM41" s="139"/>
      <c r="VGN41" s="139"/>
      <c r="VGO41" s="139"/>
      <c r="VGP41" s="139"/>
      <c r="VGQ41" s="139"/>
      <c r="VGR41" s="139"/>
      <c r="VGS41" s="139"/>
      <c r="VGT41" s="139"/>
      <c r="VGU41" s="139"/>
      <c r="VGV41" s="139"/>
      <c r="VGW41" s="139"/>
      <c r="VGX41" s="139"/>
      <c r="VGY41" s="139"/>
      <c r="VGZ41" s="139"/>
      <c r="VHA41" s="139"/>
      <c r="VHB41" s="139"/>
      <c r="VHC41" s="139"/>
      <c r="VHD41" s="139"/>
      <c r="VHE41" s="139"/>
      <c r="VHF41" s="139"/>
      <c r="VHG41" s="139"/>
      <c r="VHH41" s="139"/>
      <c r="VHI41" s="139"/>
      <c r="VHJ41" s="139"/>
      <c r="VHK41" s="139"/>
      <c r="VHL41" s="139"/>
      <c r="VHM41" s="139"/>
      <c r="VHN41" s="139"/>
      <c r="VHO41" s="139"/>
      <c r="VHP41" s="139"/>
      <c r="VHQ41" s="139"/>
      <c r="VHR41" s="139"/>
      <c r="VHS41" s="139"/>
      <c r="VHT41" s="139"/>
      <c r="VHU41" s="139"/>
      <c r="VHV41" s="139"/>
      <c r="VHW41" s="139"/>
      <c r="VHX41" s="139"/>
      <c r="VHY41" s="139"/>
      <c r="VHZ41" s="139"/>
      <c r="VIA41" s="139"/>
      <c r="VIB41" s="139"/>
      <c r="VIC41" s="139"/>
      <c r="VID41" s="139"/>
      <c r="VIE41" s="139"/>
      <c r="VIF41" s="139"/>
      <c r="VIG41" s="139"/>
      <c r="VIH41" s="139"/>
      <c r="VII41" s="139"/>
      <c r="VIJ41" s="139"/>
      <c r="VIK41" s="139"/>
      <c r="VIL41" s="139"/>
      <c r="VIM41" s="139"/>
      <c r="VIN41" s="139"/>
      <c r="VIO41" s="139"/>
      <c r="VIP41" s="139"/>
      <c r="VIQ41" s="139"/>
      <c r="VIR41" s="139"/>
      <c r="VIS41" s="139"/>
      <c r="VIT41" s="139"/>
      <c r="VIU41" s="139"/>
      <c r="VIV41" s="139"/>
      <c r="VIW41" s="139"/>
      <c r="VIX41" s="139"/>
      <c r="VIY41" s="139"/>
      <c r="VIZ41" s="139"/>
      <c r="VJA41" s="139"/>
      <c r="VJB41" s="139"/>
      <c r="VJC41" s="139"/>
      <c r="VJD41" s="139"/>
      <c r="VJE41" s="139"/>
      <c r="VJF41" s="139"/>
      <c r="VJG41" s="139"/>
      <c r="VJH41" s="139"/>
      <c r="VJI41" s="139"/>
      <c r="VJJ41" s="139"/>
      <c r="VJK41" s="139"/>
      <c r="VJL41" s="139"/>
      <c r="VJM41" s="139"/>
      <c r="VJN41" s="139"/>
      <c r="VJO41" s="139"/>
      <c r="VJP41" s="139"/>
      <c r="VJQ41" s="139"/>
      <c r="VJR41" s="139"/>
      <c r="VJS41" s="139"/>
      <c r="VJT41" s="139"/>
      <c r="VJU41" s="139"/>
      <c r="VJV41" s="139"/>
      <c r="VJW41" s="139"/>
      <c r="VJX41" s="139"/>
      <c r="VJY41" s="139"/>
      <c r="VJZ41" s="139"/>
      <c r="VKA41" s="139"/>
      <c r="VKB41" s="139"/>
      <c r="VKC41" s="139"/>
      <c r="VKD41" s="139"/>
      <c r="VKE41" s="139"/>
      <c r="VKF41" s="139"/>
      <c r="VKG41" s="139"/>
      <c r="VKH41" s="139"/>
      <c r="VKI41" s="139"/>
      <c r="VKJ41" s="139"/>
      <c r="VKK41" s="139"/>
      <c r="VKL41" s="139"/>
      <c r="VKM41" s="139"/>
      <c r="VKN41" s="139"/>
      <c r="VKO41" s="139"/>
      <c r="VKP41" s="139"/>
      <c r="VKQ41" s="139"/>
      <c r="VKR41" s="139"/>
      <c r="VKS41" s="139"/>
      <c r="VKT41" s="139"/>
      <c r="VKU41" s="139"/>
      <c r="VKV41" s="139"/>
      <c r="VKW41" s="139"/>
      <c r="VKX41" s="139"/>
      <c r="VKY41" s="139"/>
      <c r="VKZ41" s="139"/>
      <c r="VLA41" s="139"/>
      <c r="VLB41" s="139"/>
      <c r="VLC41" s="139"/>
      <c r="VLD41" s="139"/>
      <c r="VLE41" s="139"/>
      <c r="VLF41" s="139"/>
      <c r="VLG41" s="139"/>
      <c r="VLH41" s="139"/>
      <c r="VLI41" s="139"/>
      <c r="VLJ41" s="139"/>
      <c r="VLK41" s="139"/>
      <c r="VLL41" s="139"/>
      <c r="VLM41" s="139"/>
      <c r="VLN41" s="139"/>
      <c r="VLO41" s="139"/>
      <c r="VLP41" s="139"/>
      <c r="VLQ41" s="139"/>
      <c r="VLR41" s="139"/>
      <c r="VLS41" s="139"/>
      <c r="VLT41" s="139"/>
      <c r="VLU41" s="139"/>
      <c r="VLV41" s="139"/>
      <c r="VLW41" s="139"/>
      <c r="VLX41" s="139"/>
      <c r="VLY41" s="139"/>
      <c r="VLZ41" s="139"/>
      <c r="VMA41" s="139"/>
      <c r="VMB41" s="139"/>
      <c r="VMC41" s="139"/>
      <c r="VMD41" s="139"/>
      <c r="VME41" s="139"/>
      <c r="VMF41" s="139"/>
      <c r="VMG41" s="139"/>
      <c r="VMH41" s="139"/>
      <c r="VMI41" s="139"/>
      <c r="VMJ41" s="139"/>
      <c r="VMK41" s="139"/>
      <c r="VML41" s="139"/>
      <c r="VMM41" s="139"/>
      <c r="VMN41" s="139"/>
      <c r="VMO41" s="139"/>
      <c r="VMP41" s="139"/>
      <c r="VMQ41" s="139"/>
      <c r="VMR41" s="139"/>
      <c r="VMS41" s="139"/>
      <c r="VMT41" s="139"/>
      <c r="VMU41" s="139"/>
      <c r="VMV41" s="139"/>
      <c r="VMW41" s="139"/>
      <c r="VMX41" s="139"/>
      <c r="VMY41" s="139"/>
      <c r="VMZ41" s="139"/>
      <c r="VNA41" s="139"/>
      <c r="VNB41" s="139"/>
      <c r="VNC41" s="139"/>
      <c r="VND41" s="139"/>
      <c r="VNE41" s="139"/>
      <c r="VNF41" s="139"/>
      <c r="VNG41" s="139"/>
      <c r="VNH41" s="139"/>
      <c r="VNI41" s="139"/>
      <c r="VNJ41" s="139"/>
      <c r="VNK41" s="139"/>
      <c r="VNL41" s="139"/>
      <c r="VNM41" s="139"/>
      <c r="VNN41" s="139"/>
      <c r="VNO41" s="139"/>
      <c r="VNP41" s="139"/>
      <c r="VNQ41" s="139"/>
      <c r="VNR41" s="139"/>
      <c r="VNS41" s="139"/>
      <c r="VNT41" s="139"/>
      <c r="VNU41" s="139"/>
      <c r="VNV41" s="139"/>
      <c r="VNW41" s="139"/>
      <c r="VNX41" s="139"/>
      <c r="VNY41" s="139"/>
      <c r="VNZ41" s="139"/>
      <c r="VOA41" s="139"/>
      <c r="VOB41" s="139"/>
      <c r="VOC41" s="139"/>
      <c r="VOD41" s="139"/>
      <c r="VOE41" s="139"/>
      <c r="VOF41" s="139"/>
      <c r="VOG41" s="139"/>
      <c r="VOH41" s="139"/>
      <c r="VOI41" s="139"/>
      <c r="VOJ41" s="139"/>
      <c r="VOK41" s="139"/>
      <c r="VOL41" s="139"/>
      <c r="VOM41" s="139"/>
      <c r="VON41" s="139"/>
      <c r="VOO41" s="139"/>
      <c r="VOP41" s="139"/>
      <c r="VOQ41" s="139"/>
      <c r="VOR41" s="139"/>
      <c r="VOS41" s="139"/>
      <c r="VOT41" s="139"/>
      <c r="VOU41" s="139"/>
      <c r="VOV41" s="139"/>
      <c r="VOW41" s="139"/>
      <c r="VOX41" s="139"/>
      <c r="VOY41" s="139"/>
      <c r="VOZ41" s="139"/>
      <c r="VPA41" s="139"/>
      <c r="VPB41" s="139"/>
      <c r="VPC41" s="139"/>
      <c r="VPD41" s="139"/>
      <c r="VPE41" s="139"/>
      <c r="VPF41" s="139"/>
      <c r="VPG41" s="139"/>
      <c r="VPH41" s="139"/>
      <c r="VPI41" s="139"/>
      <c r="VPJ41" s="139"/>
      <c r="VPK41" s="139"/>
      <c r="VPL41" s="139"/>
      <c r="VPM41" s="139"/>
      <c r="VPN41" s="139"/>
      <c r="VPO41" s="139"/>
      <c r="VPP41" s="139"/>
      <c r="VPQ41" s="139"/>
      <c r="VPR41" s="139"/>
      <c r="VPS41" s="139"/>
      <c r="VPT41" s="139"/>
      <c r="VPU41" s="139"/>
      <c r="VPV41" s="139"/>
      <c r="VPW41" s="139"/>
      <c r="VPX41" s="139"/>
      <c r="VPY41" s="139"/>
      <c r="VPZ41" s="139"/>
      <c r="VQA41" s="139"/>
      <c r="VQB41" s="139"/>
      <c r="VQC41" s="139"/>
      <c r="VQD41" s="139"/>
      <c r="VQE41" s="139"/>
      <c r="VQF41" s="139"/>
      <c r="VQG41" s="139"/>
      <c r="VQH41" s="139"/>
      <c r="VQI41" s="139"/>
      <c r="VQJ41" s="139"/>
      <c r="VQK41" s="139"/>
      <c r="VQL41" s="139"/>
      <c r="VQM41" s="139"/>
      <c r="VQN41" s="139"/>
      <c r="VQO41" s="139"/>
      <c r="VQP41" s="139"/>
      <c r="VQQ41" s="139"/>
      <c r="VQR41" s="139"/>
      <c r="VQS41" s="139"/>
      <c r="VQT41" s="139"/>
      <c r="VQU41" s="139"/>
      <c r="VQV41" s="139"/>
      <c r="VQW41" s="139"/>
      <c r="VQX41" s="139"/>
      <c r="VQY41" s="139"/>
      <c r="VQZ41" s="139"/>
      <c r="VRA41" s="139"/>
      <c r="VRB41" s="139"/>
      <c r="VRC41" s="139"/>
      <c r="VRD41" s="139"/>
      <c r="VRE41" s="139"/>
      <c r="VRF41" s="139"/>
      <c r="VRG41" s="139"/>
      <c r="VRH41" s="139"/>
      <c r="VRI41" s="139"/>
      <c r="VRJ41" s="139"/>
      <c r="VRK41" s="139"/>
      <c r="VRL41" s="139"/>
      <c r="VRM41" s="139"/>
      <c r="VRN41" s="139"/>
      <c r="VRO41" s="139"/>
      <c r="VRP41" s="139"/>
      <c r="VRQ41" s="139"/>
      <c r="VRR41" s="139"/>
      <c r="VRS41" s="139"/>
      <c r="VRT41" s="139"/>
      <c r="VRU41" s="139"/>
      <c r="VRV41" s="139"/>
      <c r="VRW41" s="139"/>
      <c r="VRX41" s="139"/>
      <c r="VRY41" s="139"/>
      <c r="VRZ41" s="139"/>
      <c r="VSA41" s="139"/>
      <c r="VSB41" s="139"/>
      <c r="VSC41" s="139"/>
      <c r="VSD41" s="139"/>
      <c r="VSE41" s="139"/>
      <c r="VSF41" s="139"/>
      <c r="VSG41" s="139"/>
      <c r="VSH41" s="139"/>
      <c r="VSI41" s="139"/>
      <c r="VSJ41" s="139"/>
      <c r="VSK41" s="139"/>
      <c r="VSL41" s="139"/>
      <c r="VSM41" s="139"/>
      <c r="VSN41" s="139"/>
      <c r="VSO41" s="139"/>
      <c r="VSP41" s="139"/>
      <c r="VSQ41" s="139"/>
      <c r="VSR41" s="139"/>
      <c r="VSS41" s="139"/>
      <c r="VST41" s="139"/>
      <c r="VSU41" s="139"/>
      <c r="VSV41" s="139"/>
      <c r="VSW41" s="139"/>
      <c r="VSX41" s="139"/>
      <c r="VSY41" s="139"/>
      <c r="VSZ41" s="139"/>
      <c r="VTA41" s="139"/>
      <c r="VTB41" s="139"/>
      <c r="VTC41" s="139"/>
      <c r="VTD41" s="139"/>
      <c r="VTE41" s="139"/>
      <c r="VTF41" s="139"/>
      <c r="VTG41" s="139"/>
      <c r="VTH41" s="139"/>
      <c r="VTI41" s="139"/>
      <c r="VTJ41" s="139"/>
      <c r="VTK41" s="139"/>
      <c r="VTL41" s="139"/>
      <c r="VTM41" s="139"/>
      <c r="VTN41" s="139"/>
      <c r="VTO41" s="139"/>
      <c r="VTP41" s="139"/>
      <c r="VTQ41" s="139"/>
      <c r="VTR41" s="139"/>
      <c r="VTS41" s="139"/>
      <c r="VTT41" s="139"/>
      <c r="VTU41" s="139"/>
      <c r="VTV41" s="139"/>
      <c r="VTW41" s="139"/>
      <c r="VTX41" s="139"/>
      <c r="VTY41" s="139"/>
      <c r="VTZ41" s="139"/>
      <c r="VUA41" s="139"/>
      <c r="VUB41" s="139"/>
      <c r="VUC41" s="139"/>
      <c r="VUD41" s="139"/>
      <c r="VUE41" s="139"/>
      <c r="VUF41" s="139"/>
      <c r="VUG41" s="139"/>
      <c r="VUH41" s="139"/>
      <c r="VUI41" s="139"/>
      <c r="VUJ41" s="139"/>
      <c r="VUK41" s="139"/>
      <c r="VUL41" s="139"/>
      <c r="VUM41" s="139"/>
      <c r="VUN41" s="139"/>
      <c r="VUO41" s="139"/>
      <c r="VUP41" s="139"/>
      <c r="VUQ41" s="139"/>
      <c r="VUR41" s="139"/>
      <c r="VUS41" s="139"/>
      <c r="VUT41" s="139"/>
      <c r="VUU41" s="139"/>
      <c r="VUV41" s="139"/>
      <c r="VUW41" s="139"/>
      <c r="VUX41" s="139"/>
      <c r="VUY41" s="139"/>
      <c r="VUZ41" s="139"/>
      <c r="VVA41" s="139"/>
      <c r="VVB41" s="139"/>
      <c r="VVC41" s="139"/>
      <c r="VVD41" s="139"/>
      <c r="VVE41" s="139"/>
      <c r="VVF41" s="139"/>
      <c r="VVG41" s="139"/>
      <c r="VVH41" s="139"/>
      <c r="VVI41" s="139"/>
      <c r="VVJ41" s="139"/>
      <c r="VVK41" s="139"/>
      <c r="VVL41" s="139"/>
      <c r="VVM41" s="139"/>
      <c r="VVN41" s="139"/>
      <c r="VVO41" s="139"/>
      <c r="VVP41" s="139"/>
      <c r="VVQ41" s="139"/>
      <c r="VVR41" s="139"/>
      <c r="VVS41" s="139"/>
      <c r="VVT41" s="139"/>
      <c r="VVU41" s="139"/>
      <c r="VVV41" s="139"/>
      <c r="VVW41" s="139"/>
      <c r="VVX41" s="139"/>
      <c r="VVY41" s="139"/>
      <c r="VVZ41" s="139"/>
      <c r="VWA41" s="139"/>
      <c r="VWB41" s="139"/>
      <c r="VWC41" s="139"/>
      <c r="VWD41" s="139"/>
      <c r="VWE41" s="139"/>
      <c r="VWF41" s="139"/>
      <c r="VWG41" s="139"/>
      <c r="VWH41" s="139"/>
      <c r="VWI41" s="139"/>
      <c r="VWJ41" s="139"/>
      <c r="VWK41" s="139"/>
      <c r="VWL41" s="139"/>
      <c r="VWM41" s="139"/>
      <c r="VWN41" s="139"/>
      <c r="VWO41" s="139"/>
      <c r="VWP41" s="139"/>
      <c r="VWQ41" s="139"/>
      <c r="VWR41" s="139"/>
      <c r="VWS41" s="139"/>
      <c r="VWT41" s="139"/>
      <c r="VWU41" s="139"/>
      <c r="VWV41" s="139"/>
      <c r="VWW41" s="139"/>
      <c r="VWX41" s="139"/>
      <c r="VWY41" s="139"/>
      <c r="VWZ41" s="139"/>
      <c r="VXA41" s="139"/>
      <c r="VXB41" s="139"/>
      <c r="VXC41" s="139"/>
      <c r="VXD41" s="139"/>
      <c r="VXE41" s="139"/>
      <c r="VXF41" s="139"/>
      <c r="VXG41" s="139"/>
      <c r="VXH41" s="139"/>
      <c r="VXI41" s="139"/>
      <c r="VXJ41" s="139"/>
      <c r="VXK41" s="139"/>
      <c r="VXL41" s="139"/>
      <c r="VXM41" s="139"/>
      <c r="VXN41" s="139"/>
      <c r="VXO41" s="139"/>
      <c r="VXP41" s="139"/>
      <c r="VXQ41" s="139"/>
      <c r="VXR41" s="139"/>
      <c r="VXS41" s="139"/>
      <c r="VXT41" s="139"/>
      <c r="VXU41" s="139"/>
      <c r="VXV41" s="139"/>
      <c r="VXW41" s="139"/>
      <c r="VXX41" s="139"/>
      <c r="VXY41" s="139"/>
      <c r="VXZ41" s="139"/>
      <c r="VYA41" s="139"/>
      <c r="VYB41" s="139"/>
      <c r="VYC41" s="139"/>
      <c r="VYD41" s="139"/>
      <c r="VYE41" s="139"/>
      <c r="VYF41" s="139"/>
      <c r="VYG41" s="139"/>
      <c r="VYH41" s="139"/>
      <c r="VYI41" s="139"/>
      <c r="VYJ41" s="139"/>
      <c r="VYK41" s="139"/>
      <c r="VYL41" s="139"/>
      <c r="VYM41" s="139"/>
      <c r="VYN41" s="139"/>
      <c r="VYO41" s="139"/>
      <c r="VYP41" s="139"/>
      <c r="VYQ41" s="139"/>
      <c r="VYR41" s="139"/>
      <c r="VYS41" s="139"/>
      <c r="VYT41" s="139"/>
      <c r="VYU41" s="139"/>
      <c r="VYV41" s="139"/>
      <c r="VYW41" s="139"/>
      <c r="VYX41" s="139"/>
      <c r="VYY41" s="139"/>
      <c r="VYZ41" s="139"/>
      <c r="VZA41" s="139"/>
      <c r="VZB41" s="139"/>
      <c r="VZC41" s="139"/>
      <c r="VZD41" s="139"/>
      <c r="VZE41" s="139"/>
      <c r="VZF41" s="139"/>
      <c r="VZG41" s="139"/>
      <c r="VZH41" s="139"/>
      <c r="VZI41" s="139"/>
      <c r="VZJ41" s="139"/>
      <c r="VZK41" s="139"/>
      <c r="VZL41" s="139"/>
      <c r="VZM41" s="139"/>
      <c r="VZN41" s="139"/>
      <c r="VZO41" s="139"/>
      <c r="VZP41" s="139"/>
      <c r="VZQ41" s="139"/>
      <c r="VZR41" s="139"/>
      <c r="VZS41" s="139"/>
      <c r="VZT41" s="139"/>
      <c r="VZU41" s="139"/>
      <c r="VZV41" s="139"/>
      <c r="VZW41" s="139"/>
      <c r="VZX41" s="139"/>
      <c r="VZY41" s="139"/>
      <c r="VZZ41" s="139"/>
      <c r="WAA41" s="139"/>
      <c r="WAB41" s="139"/>
      <c r="WAC41" s="139"/>
      <c r="WAD41" s="139"/>
      <c r="WAE41" s="139"/>
      <c r="WAF41" s="139"/>
      <c r="WAG41" s="139"/>
      <c r="WAH41" s="139"/>
      <c r="WAI41" s="139"/>
      <c r="WAJ41" s="139"/>
      <c r="WAK41" s="139"/>
      <c r="WAL41" s="139"/>
      <c r="WAM41" s="139"/>
      <c r="WAN41" s="139"/>
      <c r="WAO41" s="139"/>
      <c r="WAP41" s="139"/>
      <c r="WAQ41" s="139"/>
      <c r="WAR41" s="139"/>
      <c r="WAS41" s="139"/>
      <c r="WAT41" s="139"/>
      <c r="WAU41" s="139"/>
      <c r="WAV41" s="139"/>
      <c r="WAW41" s="139"/>
      <c r="WAX41" s="139"/>
      <c r="WAY41" s="139"/>
      <c r="WAZ41" s="139"/>
      <c r="WBA41" s="139"/>
      <c r="WBB41" s="139"/>
      <c r="WBC41" s="139"/>
      <c r="WBD41" s="139"/>
      <c r="WBE41" s="139"/>
      <c r="WBF41" s="139"/>
      <c r="WBG41" s="139"/>
      <c r="WBH41" s="139"/>
      <c r="WBI41" s="139"/>
      <c r="WBJ41" s="139"/>
      <c r="WBK41" s="139"/>
      <c r="WBL41" s="139"/>
      <c r="WBM41" s="139"/>
      <c r="WBN41" s="139"/>
      <c r="WBO41" s="139"/>
      <c r="WBP41" s="139"/>
      <c r="WBQ41" s="139"/>
      <c r="WBR41" s="139"/>
      <c r="WBS41" s="139"/>
      <c r="WBT41" s="139"/>
      <c r="WBU41" s="139"/>
      <c r="WBV41" s="139"/>
      <c r="WBW41" s="139"/>
      <c r="WBX41" s="139"/>
      <c r="WBY41" s="139"/>
      <c r="WBZ41" s="139"/>
      <c r="WCA41" s="139"/>
      <c r="WCB41" s="139"/>
      <c r="WCC41" s="139"/>
      <c r="WCD41" s="139"/>
      <c r="WCE41" s="139"/>
      <c r="WCF41" s="139"/>
      <c r="WCG41" s="139"/>
      <c r="WCH41" s="139"/>
      <c r="WCI41" s="139"/>
      <c r="WCJ41" s="139"/>
      <c r="WCK41" s="139"/>
      <c r="WCL41" s="139"/>
      <c r="WCM41" s="139"/>
      <c r="WCN41" s="139"/>
      <c r="WCO41" s="139"/>
      <c r="WCP41" s="139"/>
      <c r="WCQ41" s="139"/>
      <c r="WCR41" s="139"/>
      <c r="WCS41" s="139"/>
      <c r="WCT41" s="139"/>
      <c r="WCU41" s="139"/>
      <c r="WCV41" s="139"/>
      <c r="WCW41" s="139"/>
      <c r="WCX41" s="139"/>
      <c r="WCY41" s="139"/>
      <c r="WCZ41" s="139"/>
      <c r="WDA41" s="139"/>
      <c r="WDB41" s="139"/>
      <c r="WDC41" s="139"/>
      <c r="WDD41" s="139"/>
      <c r="WDE41" s="139"/>
      <c r="WDF41" s="139"/>
      <c r="WDG41" s="139"/>
      <c r="WDH41" s="139"/>
      <c r="WDI41" s="139"/>
      <c r="WDJ41" s="139"/>
      <c r="WDK41" s="139"/>
      <c r="WDL41" s="139"/>
      <c r="WDM41" s="139"/>
      <c r="WDN41" s="139"/>
      <c r="WDO41" s="139"/>
      <c r="WDP41" s="139"/>
      <c r="WDQ41" s="139"/>
      <c r="WDR41" s="139"/>
      <c r="WDS41" s="139"/>
      <c r="WDT41" s="139"/>
      <c r="WDU41" s="139"/>
      <c r="WDV41" s="139"/>
      <c r="WDW41" s="139"/>
      <c r="WDX41" s="139"/>
      <c r="WDY41" s="139"/>
      <c r="WDZ41" s="139"/>
      <c r="WEA41" s="139"/>
      <c r="WEB41" s="139"/>
      <c r="WEC41" s="139"/>
      <c r="WED41" s="139"/>
      <c r="WEE41" s="139"/>
      <c r="WEF41" s="139"/>
      <c r="WEG41" s="139"/>
      <c r="WEH41" s="139"/>
      <c r="WEI41" s="139"/>
      <c r="WEJ41" s="139"/>
      <c r="WEK41" s="139"/>
      <c r="WEL41" s="139"/>
      <c r="WEM41" s="139"/>
      <c r="WEN41" s="139"/>
      <c r="WEO41" s="139"/>
      <c r="WEP41" s="139"/>
      <c r="WEQ41" s="139"/>
      <c r="WER41" s="139"/>
      <c r="WES41" s="139"/>
      <c r="WET41" s="139"/>
      <c r="WEU41" s="139"/>
      <c r="WEV41" s="139"/>
      <c r="WEW41" s="139"/>
      <c r="WEX41" s="139"/>
      <c r="WEY41" s="139"/>
      <c r="WEZ41" s="139"/>
      <c r="WFA41" s="139"/>
      <c r="WFB41" s="139"/>
      <c r="WFC41" s="139"/>
      <c r="WFD41" s="139"/>
      <c r="WFE41" s="139"/>
      <c r="WFF41" s="139"/>
      <c r="WFG41" s="139"/>
      <c r="WFH41" s="139"/>
      <c r="WFI41" s="139"/>
      <c r="WFJ41" s="139"/>
      <c r="WFK41" s="139"/>
      <c r="WFL41" s="139"/>
      <c r="WFM41" s="139"/>
      <c r="WFN41" s="139"/>
      <c r="WFO41" s="139"/>
      <c r="WFP41" s="139"/>
      <c r="WFQ41" s="139"/>
      <c r="WFR41" s="139"/>
      <c r="WFS41" s="139"/>
      <c r="WFT41" s="139"/>
      <c r="WFU41" s="139"/>
      <c r="WFV41" s="139"/>
      <c r="WFW41" s="139"/>
      <c r="WFX41" s="139"/>
      <c r="WFY41" s="139"/>
      <c r="WFZ41" s="139"/>
      <c r="WGA41" s="139"/>
      <c r="WGB41" s="139"/>
      <c r="WGC41" s="139"/>
      <c r="WGD41" s="139"/>
      <c r="WGE41" s="139"/>
      <c r="WGF41" s="139"/>
      <c r="WGG41" s="139"/>
      <c r="WGH41" s="139"/>
      <c r="WGI41" s="139"/>
      <c r="WGJ41" s="139"/>
      <c r="WGK41" s="139"/>
      <c r="WGL41" s="139"/>
      <c r="WGM41" s="139"/>
      <c r="WGN41" s="139"/>
      <c r="WGO41" s="139"/>
      <c r="WGP41" s="139"/>
      <c r="WGQ41" s="139"/>
      <c r="WGR41" s="139"/>
      <c r="WGS41" s="139"/>
      <c r="WGT41" s="139"/>
      <c r="WGU41" s="139"/>
      <c r="WGV41" s="139"/>
      <c r="WGW41" s="139"/>
      <c r="WGX41" s="139"/>
      <c r="WGY41" s="139"/>
      <c r="WGZ41" s="139"/>
      <c r="WHA41" s="139"/>
      <c r="WHB41" s="139"/>
      <c r="WHC41" s="139"/>
      <c r="WHD41" s="139"/>
      <c r="WHE41" s="139"/>
      <c r="WHF41" s="139"/>
      <c r="WHG41" s="139"/>
      <c r="WHH41" s="139"/>
      <c r="WHI41" s="139"/>
      <c r="WHJ41" s="139"/>
      <c r="WHK41" s="139"/>
      <c r="WHL41" s="139"/>
      <c r="WHM41" s="139"/>
      <c r="WHN41" s="139"/>
      <c r="WHO41" s="139"/>
      <c r="WHP41" s="139"/>
      <c r="WHQ41" s="139"/>
      <c r="WHR41" s="139"/>
      <c r="WHS41" s="139"/>
      <c r="WHT41" s="139"/>
      <c r="WHU41" s="139"/>
      <c r="WHV41" s="139"/>
      <c r="WHW41" s="139"/>
      <c r="WHX41" s="139"/>
      <c r="WHY41" s="139"/>
      <c r="WHZ41" s="139"/>
      <c r="WIA41" s="139"/>
      <c r="WIB41" s="139"/>
      <c r="WIC41" s="139"/>
      <c r="WID41" s="139"/>
      <c r="WIE41" s="139"/>
      <c r="WIF41" s="139"/>
      <c r="WIG41" s="139"/>
      <c r="WIH41" s="139"/>
      <c r="WII41" s="139"/>
      <c r="WIJ41" s="139"/>
      <c r="WIK41" s="139"/>
      <c r="WIL41" s="139"/>
      <c r="WIM41" s="139"/>
      <c r="WIN41" s="139"/>
      <c r="WIO41" s="139"/>
      <c r="WIP41" s="139"/>
      <c r="WIQ41" s="139"/>
      <c r="WIR41" s="139"/>
      <c r="WIS41" s="139"/>
      <c r="WIT41" s="139"/>
      <c r="WIU41" s="139"/>
      <c r="WIV41" s="139"/>
      <c r="WIW41" s="139"/>
      <c r="WIX41" s="139"/>
      <c r="WIY41" s="139"/>
      <c r="WIZ41" s="139"/>
      <c r="WJA41" s="139"/>
      <c r="WJB41" s="139"/>
      <c r="WJC41" s="139"/>
      <c r="WJD41" s="139"/>
      <c r="WJE41" s="139"/>
      <c r="WJF41" s="139"/>
      <c r="WJG41" s="139"/>
      <c r="WJH41" s="139"/>
      <c r="WJI41" s="139"/>
      <c r="WJJ41" s="139"/>
      <c r="WJK41" s="139"/>
      <c r="WJL41" s="139"/>
      <c r="WJM41" s="139"/>
      <c r="WJN41" s="139"/>
      <c r="WJO41" s="139"/>
      <c r="WJP41" s="139"/>
      <c r="WJQ41" s="139"/>
      <c r="WJR41" s="139"/>
      <c r="WJS41" s="139"/>
      <c r="WJT41" s="139"/>
      <c r="WJU41" s="139"/>
      <c r="WJV41" s="139"/>
      <c r="WJW41" s="139"/>
      <c r="WJX41" s="139"/>
      <c r="WJY41" s="139"/>
      <c r="WJZ41" s="139"/>
      <c r="WKA41" s="139"/>
      <c r="WKB41" s="139"/>
      <c r="WKC41" s="139"/>
      <c r="WKD41" s="139"/>
      <c r="WKE41" s="139"/>
      <c r="WKF41" s="139"/>
      <c r="WKG41" s="139"/>
      <c r="WKH41" s="139"/>
      <c r="WKI41" s="139"/>
      <c r="WKJ41" s="139"/>
      <c r="WKK41" s="139"/>
      <c r="WKL41" s="139"/>
      <c r="WKM41" s="139"/>
      <c r="WKN41" s="139"/>
      <c r="WKO41" s="139"/>
      <c r="WKP41" s="139"/>
      <c r="WKQ41" s="139"/>
      <c r="WKR41" s="139"/>
      <c r="WKS41" s="139"/>
      <c r="WKT41" s="139"/>
      <c r="WKU41" s="139"/>
      <c r="WKV41" s="139"/>
      <c r="WKW41" s="139"/>
      <c r="WKX41" s="139"/>
      <c r="WKY41" s="139"/>
      <c r="WKZ41" s="139"/>
      <c r="WLA41" s="139"/>
      <c r="WLB41" s="139"/>
      <c r="WLC41" s="139"/>
      <c r="WLD41" s="139"/>
      <c r="WLE41" s="139"/>
      <c r="WLF41" s="139"/>
      <c r="WLG41" s="139"/>
      <c r="WLH41" s="139"/>
      <c r="WLI41" s="139"/>
      <c r="WLJ41" s="139"/>
      <c r="WLK41" s="139"/>
      <c r="WLL41" s="139"/>
      <c r="WLM41" s="139"/>
      <c r="WLN41" s="139"/>
      <c r="WLO41" s="139"/>
      <c r="WLP41" s="139"/>
      <c r="WLQ41" s="139"/>
      <c r="WLR41" s="139"/>
      <c r="WLS41" s="139"/>
      <c r="WLT41" s="139"/>
      <c r="WLU41" s="139"/>
      <c r="WLV41" s="139"/>
      <c r="WLW41" s="139"/>
      <c r="WLX41" s="139"/>
      <c r="WLY41" s="139"/>
      <c r="WLZ41" s="139"/>
      <c r="WMA41" s="139"/>
      <c r="WMB41" s="139"/>
      <c r="WMC41" s="139"/>
      <c r="WMD41" s="139"/>
      <c r="WME41" s="139"/>
      <c r="WMF41" s="139"/>
      <c r="WMG41" s="139"/>
      <c r="WMH41" s="139"/>
      <c r="WMI41" s="139"/>
      <c r="WMJ41" s="139"/>
      <c r="WMK41" s="139"/>
      <c r="WML41" s="139"/>
      <c r="WMM41" s="139"/>
      <c r="WMN41" s="139"/>
      <c r="WMO41" s="139"/>
      <c r="WMP41" s="139"/>
      <c r="WMQ41" s="139"/>
      <c r="WMR41" s="139"/>
      <c r="WMS41" s="139"/>
      <c r="WMT41" s="139"/>
      <c r="WMU41" s="139"/>
      <c r="WMV41" s="139"/>
      <c r="WMW41" s="139"/>
      <c r="WMX41" s="139"/>
      <c r="WMY41" s="139"/>
      <c r="WMZ41" s="139"/>
      <c r="WNA41" s="139"/>
      <c r="WNB41" s="139"/>
      <c r="WNC41" s="139"/>
      <c r="WND41" s="139"/>
      <c r="WNE41" s="139"/>
      <c r="WNF41" s="139"/>
      <c r="WNG41" s="139"/>
      <c r="WNH41" s="139"/>
      <c r="WNI41" s="139"/>
      <c r="WNJ41" s="139"/>
      <c r="WNK41" s="139"/>
      <c r="WNL41" s="139"/>
      <c r="WNM41" s="139"/>
      <c r="WNN41" s="139"/>
      <c r="WNO41" s="139"/>
      <c r="WNP41" s="139"/>
      <c r="WNQ41" s="139"/>
      <c r="WNR41" s="139"/>
      <c r="WNS41" s="139"/>
      <c r="WNT41" s="139"/>
      <c r="WNU41" s="139"/>
      <c r="WNV41" s="139"/>
      <c r="WNW41" s="139"/>
      <c r="WNX41" s="139"/>
      <c r="WNY41" s="139"/>
      <c r="WNZ41" s="139"/>
      <c r="WOA41" s="139"/>
      <c r="WOB41" s="139"/>
      <c r="WOC41" s="139"/>
      <c r="WOD41" s="139"/>
      <c r="WOE41" s="139"/>
      <c r="WOF41" s="139"/>
      <c r="WOG41" s="139"/>
      <c r="WOH41" s="139"/>
      <c r="WOI41" s="139"/>
      <c r="WOJ41" s="139"/>
      <c r="WOK41" s="139"/>
      <c r="WOL41" s="139"/>
      <c r="WOM41" s="139"/>
      <c r="WON41" s="139"/>
      <c r="WOO41" s="139"/>
      <c r="WOP41" s="139"/>
      <c r="WOQ41" s="139"/>
      <c r="WOR41" s="139"/>
      <c r="WOS41" s="139"/>
      <c r="WOT41" s="139"/>
      <c r="WOU41" s="139"/>
      <c r="WOV41" s="139"/>
      <c r="WOW41" s="139"/>
      <c r="WOX41" s="139"/>
      <c r="WOY41" s="139"/>
      <c r="WOZ41" s="139"/>
      <c r="WPA41" s="139"/>
      <c r="WPB41" s="139"/>
      <c r="WPC41" s="139"/>
      <c r="WPD41" s="139"/>
      <c r="WPE41" s="139"/>
      <c r="WPF41" s="139"/>
      <c r="WPG41" s="139"/>
      <c r="WPH41" s="139"/>
      <c r="WPI41" s="139"/>
      <c r="WPJ41" s="139"/>
      <c r="WPK41" s="139"/>
      <c r="WPL41" s="139"/>
      <c r="WPM41" s="139"/>
      <c r="WPN41" s="139"/>
      <c r="WPO41" s="139"/>
      <c r="WPP41" s="139"/>
      <c r="WPQ41" s="139"/>
      <c r="WPR41" s="139"/>
      <c r="WPS41" s="139"/>
      <c r="WPT41" s="139"/>
      <c r="WPU41" s="139"/>
      <c r="WPV41" s="139"/>
      <c r="WPW41" s="139"/>
      <c r="WPX41" s="139"/>
      <c r="WPY41" s="139"/>
      <c r="WPZ41" s="139"/>
      <c r="WQA41" s="139"/>
      <c r="WQB41" s="139"/>
      <c r="WQC41" s="139"/>
      <c r="WQD41" s="139"/>
      <c r="WQE41" s="139"/>
      <c r="WQF41" s="139"/>
      <c r="WQG41" s="139"/>
      <c r="WQH41" s="139"/>
      <c r="WQI41" s="139"/>
      <c r="WQJ41" s="139"/>
      <c r="WQK41" s="139"/>
      <c r="WQL41" s="139"/>
      <c r="WQM41" s="139"/>
      <c r="WQN41" s="139"/>
      <c r="WQO41" s="139"/>
      <c r="WQP41" s="139"/>
      <c r="WQQ41" s="139"/>
      <c r="WQR41" s="139"/>
      <c r="WQS41" s="139"/>
      <c r="WQT41" s="139"/>
      <c r="WQU41" s="139"/>
      <c r="WQV41" s="139"/>
      <c r="WQW41" s="139"/>
      <c r="WQX41" s="139"/>
      <c r="WQY41" s="139"/>
      <c r="WQZ41" s="139"/>
      <c r="WRA41" s="139"/>
      <c r="WRB41" s="139"/>
      <c r="WRC41" s="139"/>
      <c r="WRD41" s="139"/>
      <c r="WRE41" s="139"/>
      <c r="WRF41" s="139"/>
      <c r="WRG41" s="139"/>
      <c r="WRH41" s="139"/>
      <c r="WRI41" s="139"/>
      <c r="WRJ41" s="139"/>
      <c r="WRK41" s="139"/>
      <c r="WRL41" s="139"/>
      <c r="WRM41" s="139"/>
      <c r="WRN41" s="139"/>
      <c r="WRO41" s="139"/>
      <c r="WRP41" s="139"/>
      <c r="WRQ41" s="139"/>
      <c r="WRR41" s="139"/>
      <c r="WRS41" s="139"/>
      <c r="WRT41" s="139"/>
      <c r="WRU41" s="139"/>
      <c r="WRV41" s="139"/>
      <c r="WRW41" s="139"/>
      <c r="WRX41" s="139"/>
      <c r="WRY41" s="139"/>
      <c r="WRZ41" s="139"/>
      <c r="WSA41" s="139"/>
      <c r="WSB41" s="139"/>
      <c r="WSC41" s="139"/>
      <c r="WSD41" s="139"/>
      <c r="WSE41" s="139"/>
      <c r="WSF41" s="139"/>
      <c r="WSG41" s="139"/>
      <c r="WSH41" s="139"/>
      <c r="WSI41" s="139"/>
      <c r="WSJ41" s="139"/>
      <c r="WSK41" s="139"/>
      <c r="WSL41" s="139"/>
      <c r="WSM41" s="139"/>
      <c r="WSN41" s="139"/>
      <c r="WSO41" s="139"/>
      <c r="WSP41" s="139"/>
      <c r="WSQ41" s="139"/>
      <c r="WSR41" s="139"/>
      <c r="WSS41" s="139"/>
      <c r="WST41" s="139"/>
      <c r="WSU41" s="139"/>
      <c r="WSV41" s="139"/>
      <c r="WSW41" s="139"/>
      <c r="WSX41" s="139"/>
      <c r="WSY41" s="139"/>
      <c r="WSZ41" s="139"/>
      <c r="WTA41" s="139"/>
      <c r="WTB41" s="139"/>
      <c r="WTC41" s="139"/>
      <c r="WTD41" s="139"/>
      <c r="WTE41" s="139"/>
      <c r="WTF41" s="139"/>
      <c r="WTG41" s="139"/>
      <c r="WTH41" s="139"/>
      <c r="WTI41" s="139"/>
      <c r="WTJ41" s="139"/>
      <c r="WTK41" s="139"/>
      <c r="WTL41" s="139"/>
      <c r="WTM41" s="139"/>
      <c r="WTN41" s="139"/>
      <c r="WTO41" s="139"/>
      <c r="WTP41" s="139"/>
      <c r="WTQ41" s="139"/>
      <c r="WTR41" s="139"/>
      <c r="WTS41" s="139"/>
      <c r="WTT41" s="139"/>
      <c r="WTU41" s="139"/>
      <c r="WTV41" s="139"/>
      <c r="WTW41" s="139"/>
      <c r="WTX41" s="139"/>
      <c r="WTY41" s="139"/>
      <c r="WTZ41" s="139"/>
      <c r="WUA41" s="139"/>
      <c r="WUB41" s="139"/>
      <c r="WUC41" s="139"/>
      <c r="WUD41" s="139"/>
      <c r="WUE41" s="139"/>
      <c r="WUF41" s="139"/>
      <c r="WUG41" s="139"/>
      <c r="WUH41" s="139"/>
      <c r="WUI41" s="139"/>
      <c r="WUJ41" s="139"/>
      <c r="WUK41" s="139"/>
      <c r="WUL41" s="139"/>
      <c r="WUM41" s="139"/>
      <c r="WUN41" s="139"/>
      <c r="WUO41" s="139"/>
      <c r="WUP41" s="139"/>
      <c r="WUQ41" s="139"/>
      <c r="WUR41" s="139"/>
      <c r="WUS41" s="139"/>
      <c r="WUT41" s="139"/>
      <c r="WUU41" s="139"/>
      <c r="WUV41" s="139"/>
      <c r="WUW41" s="139"/>
      <c r="WUX41" s="139"/>
      <c r="WUY41" s="139"/>
      <c r="WUZ41" s="139"/>
      <c r="WVA41" s="139"/>
      <c r="WVB41" s="139"/>
      <c r="WVC41" s="139"/>
      <c r="WVD41" s="139"/>
      <c r="WVE41" s="139"/>
      <c r="WVF41" s="139"/>
      <c r="WVG41" s="139"/>
      <c r="WVH41" s="139"/>
      <c r="WVI41" s="139"/>
      <c r="WVJ41" s="139"/>
      <c r="WVK41" s="139"/>
      <c r="WVL41" s="139"/>
      <c r="WVM41" s="139"/>
      <c r="WVN41" s="139"/>
      <c r="WVO41" s="139"/>
      <c r="WVP41" s="139"/>
      <c r="WVQ41" s="139"/>
      <c r="WVR41" s="139"/>
      <c r="WVS41" s="139"/>
      <c r="WVT41" s="139"/>
      <c r="WVU41" s="139"/>
      <c r="WVV41" s="139"/>
      <c r="WVW41" s="139"/>
      <c r="WVX41" s="139"/>
      <c r="WVY41" s="139"/>
      <c r="WVZ41" s="139"/>
      <c r="WWA41" s="139"/>
      <c r="WWB41" s="139"/>
      <c r="WWC41" s="139"/>
      <c r="WWD41" s="139"/>
      <c r="WWE41" s="139"/>
      <c r="WWF41" s="139"/>
      <c r="WWG41" s="139"/>
      <c r="WWH41" s="139"/>
      <c r="WWI41" s="139"/>
      <c r="WWJ41" s="139"/>
      <c r="WWK41" s="139"/>
      <c r="WWL41" s="139"/>
      <c r="WWM41" s="139"/>
      <c r="WWN41" s="139"/>
      <c r="WWO41" s="139"/>
      <c r="WWP41" s="139"/>
      <c r="WWQ41" s="139"/>
      <c r="WWR41" s="139"/>
      <c r="WWS41" s="139"/>
      <c r="WWT41" s="139"/>
      <c r="WWU41" s="139"/>
      <c r="WWV41" s="139"/>
      <c r="WWW41" s="139"/>
      <c r="WWX41" s="139"/>
      <c r="WWY41" s="139"/>
      <c r="WWZ41" s="139"/>
      <c r="WXA41" s="139"/>
      <c r="WXB41" s="139"/>
      <c r="WXC41" s="139"/>
      <c r="WXD41" s="139"/>
      <c r="WXE41" s="139"/>
      <c r="WXF41" s="139"/>
      <c r="WXG41" s="139"/>
      <c r="WXH41" s="139"/>
      <c r="WXI41" s="139"/>
      <c r="WXJ41" s="139"/>
      <c r="WXK41" s="139"/>
      <c r="WXL41" s="139"/>
      <c r="WXM41" s="139"/>
      <c r="WXN41" s="139"/>
      <c r="WXO41" s="139"/>
      <c r="WXP41" s="139"/>
      <c r="WXQ41" s="139"/>
      <c r="WXR41" s="139"/>
      <c r="WXS41" s="139"/>
      <c r="WXT41" s="139"/>
      <c r="WXU41" s="139"/>
      <c r="WXV41" s="139"/>
      <c r="WXW41" s="139"/>
      <c r="WXX41" s="139"/>
      <c r="WXY41" s="139"/>
      <c r="WXZ41" s="139"/>
      <c r="WYA41" s="139"/>
      <c r="WYB41" s="139"/>
      <c r="WYC41" s="139"/>
      <c r="WYD41" s="139"/>
      <c r="WYE41" s="139"/>
      <c r="WYF41" s="139"/>
      <c r="WYG41" s="139"/>
      <c r="WYH41" s="139"/>
      <c r="WYI41" s="139"/>
      <c r="WYJ41" s="139"/>
      <c r="WYK41" s="139"/>
      <c r="WYL41" s="139"/>
      <c r="WYM41" s="139"/>
      <c r="WYN41" s="139"/>
      <c r="WYO41" s="139"/>
      <c r="WYP41" s="139"/>
      <c r="WYQ41" s="139"/>
      <c r="WYR41" s="139"/>
      <c r="WYS41" s="139"/>
      <c r="WYT41" s="139"/>
      <c r="WYU41" s="139"/>
      <c r="WYV41" s="139"/>
      <c r="WYW41" s="139"/>
      <c r="WYX41" s="139"/>
      <c r="WYY41" s="139"/>
      <c r="WYZ41" s="139"/>
      <c r="WZA41" s="139"/>
      <c r="WZB41" s="139"/>
      <c r="WZC41" s="139"/>
      <c r="WZD41" s="139"/>
      <c r="WZE41" s="139"/>
      <c r="WZF41" s="139"/>
      <c r="WZG41" s="139"/>
      <c r="WZH41" s="139"/>
      <c r="WZI41" s="139"/>
      <c r="WZJ41" s="139"/>
      <c r="WZK41" s="139"/>
      <c r="WZL41" s="139"/>
      <c r="WZM41" s="139"/>
      <c r="WZN41" s="139"/>
      <c r="WZO41" s="139"/>
      <c r="WZP41" s="139"/>
      <c r="WZQ41" s="139"/>
      <c r="WZR41" s="139"/>
      <c r="WZS41" s="139"/>
      <c r="WZT41" s="139"/>
      <c r="WZU41" s="139"/>
      <c r="WZV41" s="139"/>
      <c r="WZW41" s="139"/>
      <c r="WZX41" s="139"/>
      <c r="WZY41" s="139"/>
      <c r="WZZ41" s="139"/>
      <c r="XAA41" s="139"/>
      <c r="XAB41" s="139"/>
      <c r="XAC41" s="139"/>
      <c r="XAD41" s="139"/>
      <c r="XAE41" s="139"/>
      <c r="XAF41" s="139"/>
      <c r="XAG41" s="139"/>
      <c r="XAH41" s="139"/>
      <c r="XAI41" s="139"/>
      <c r="XAJ41" s="139"/>
      <c r="XAK41" s="139"/>
      <c r="XAL41" s="139"/>
      <c r="XAM41" s="139"/>
      <c r="XAN41" s="139"/>
      <c r="XAO41" s="139"/>
      <c r="XAP41" s="139"/>
      <c r="XAQ41" s="139"/>
      <c r="XAR41" s="139"/>
      <c r="XAS41" s="139"/>
      <c r="XAT41" s="139"/>
      <c r="XAU41" s="139"/>
      <c r="XAV41" s="139"/>
      <c r="XAW41" s="139"/>
      <c r="XAX41" s="139"/>
      <c r="XAY41" s="139"/>
      <c r="XAZ41" s="139"/>
      <c r="XBA41" s="139"/>
      <c r="XBB41" s="139"/>
      <c r="XBC41" s="139"/>
      <c r="XBD41" s="139"/>
      <c r="XBE41" s="139"/>
      <c r="XBF41" s="139"/>
      <c r="XBG41" s="139"/>
      <c r="XBH41" s="139"/>
      <c r="XBI41" s="139"/>
      <c r="XBJ41" s="139"/>
      <c r="XBK41" s="139"/>
      <c r="XBL41" s="139"/>
      <c r="XBM41" s="139"/>
      <c r="XBN41" s="139"/>
      <c r="XBO41" s="139"/>
      <c r="XBP41" s="139"/>
      <c r="XBQ41" s="139"/>
      <c r="XBR41" s="139"/>
      <c r="XBS41" s="139"/>
      <c r="XBT41" s="139"/>
      <c r="XBU41" s="139"/>
      <c r="XBV41" s="139"/>
      <c r="XBW41" s="139"/>
      <c r="XBX41" s="139"/>
      <c r="XBY41" s="139"/>
      <c r="XBZ41" s="139"/>
      <c r="XCA41" s="139"/>
      <c r="XCB41" s="139"/>
      <c r="XCC41" s="139"/>
      <c r="XCD41" s="139"/>
      <c r="XCE41" s="139"/>
      <c r="XCF41" s="139"/>
      <c r="XCG41" s="139"/>
      <c r="XCH41" s="139"/>
      <c r="XCI41" s="139"/>
      <c r="XCJ41" s="139"/>
      <c r="XCK41" s="139"/>
      <c r="XCL41" s="139"/>
      <c r="XCM41" s="139"/>
      <c r="XCN41" s="139"/>
      <c r="XCO41" s="139"/>
      <c r="XCP41" s="139"/>
      <c r="XCQ41" s="139"/>
      <c r="XCR41" s="139"/>
      <c r="XCS41" s="139"/>
      <c r="XCT41" s="139"/>
      <c r="XCU41" s="139"/>
      <c r="XCV41" s="139"/>
      <c r="XCW41" s="139"/>
      <c r="XCX41" s="139"/>
      <c r="XCY41" s="139"/>
      <c r="XCZ41" s="139"/>
      <c r="XDA41" s="139"/>
      <c r="XDB41" s="139"/>
      <c r="XDC41" s="139"/>
      <c r="XDD41" s="139"/>
      <c r="XDE41" s="139"/>
      <c r="XDF41" s="139"/>
      <c r="XDG41" s="139"/>
      <c r="XDH41" s="139"/>
      <c r="XDI41" s="139"/>
      <c r="XDJ41" s="139"/>
      <c r="XDK41" s="139"/>
      <c r="XDL41" s="139"/>
      <c r="XDM41" s="139"/>
      <c r="XDN41" s="139"/>
      <c r="XDO41" s="139"/>
      <c r="XDP41" s="139"/>
      <c r="XDQ41" s="139"/>
      <c r="XDR41" s="139"/>
      <c r="XDS41" s="139"/>
      <c r="XDT41" s="139"/>
      <c r="XDU41" s="139"/>
    </row>
    <row r="42" spans="1:16349" s="110" customFormat="1" x14ac:dyDescent="0.25">
      <c r="A42" s="139" t="s">
        <v>393</v>
      </c>
      <c r="B42" s="60"/>
      <c r="C42" s="60"/>
      <c r="D42" s="60"/>
      <c r="E42" s="60"/>
      <c r="F42" s="60"/>
    </row>
    <row r="43" spans="1:16349" x14ac:dyDescent="0.25">
      <c r="A43" s="3"/>
      <c r="B43" s="3"/>
      <c r="C43" s="110"/>
      <c r="D43" s="110"/>
      <c r="E43" s="110"/>
      <c r="F43" s="110"/>
    </row>
    <row r="44" spans="1:16349" ht="15.75" x14ac:dyDescent="0.25">
      <c r="A44" s="27" t="s">
        <v>461</v>
      </c>
      <c r="B44" s="3"/>
      <c r="C44" s="3"/>
      <c r="D44" s="3"/>
      <c r="E44" s="3"/>
    </row>
    <row r="45" spans="1:16349" ht="25.5" x14ac:dyDescent="0.25">
      <c r="A45" s="156" t="s">
        <v>48</v>
      </c>
      <c r="B45" s="131" t="s">
        <v>158</v>
      </c>
      <c r="C45" s="131" t="s">
        <v>159</v>
      </c>
      <c r="D45" s="131" t="s">
        <v>59</v>
      </c>
      <c r="E45" s="3"/>
    </row>
    <row r="46" spans="1:16349" x14ac:dyDescent="0.25">
      <c r="A46" s="82" t="s">
        <v>280</v>
      </c>
      <c r="B46" s="25">
        <v>9914</v>
      </c>
      <c r="C46" s="25">
        <v>7644</v>
      </c>
      <c r="D46" s="25">
        <v>17558</v>
      </c>
      <c r="E46" s="110"/>
      <c r="F46" s="110"/>
    </row>
    <row r="47" spans="1:16349" x14ac:dyDescent="0.25">
      <c r="A47" s="82" t="s">
        <v>281</v>
      </c>
      <c r="B47" s="25">
        <v>10892</v>
      </c>
      <c r="C47" s="25">
        <v>8382</v>
      </c>
      <c r="D47" s="25">
        <v>19274</v>
      </c>
      <c r="E47" s="110"/>
      <c r="F47" s="110"/>
    </row>
    <row r="48" spans="1:16349" x14ac:dyDescent="0.25">
      <c r="A48" s="82" t="s">
        <v>282</v>
      </c>
      <c r="B48" s="25">
        <v>20270</v>
      </c>
      <c r="C48" s="25">
        <v>19367</v>
      </c>
      <c r="D48" s="25">
        <v>39637</v>
      </c>
      <c r="E48" s="110"/>
      <c r="F48" s="110"/>
    </row>
    <row r="49" spans="1:6" x14ac:dyDescent="0.25">
      <c r="A49" s="82" t="s">
        <v>283</v>
      </c>
      <c r="B49" s="25">
        <v>7112</v>
      </c>
      <c r="C49" s="25">
        <v>6166</v>
      </c>
      <c r="D49" s="25">
        <v>13278</v>
      </c>
      <c r="E49" s="110"/>
      <c r="F49" s="110"/>
    </row>
    <row r="50" spans="1:6" x14ac:dyDescent="0.25">
      <c r="A50" s="82" t="s">
        <v>284</v>
      </c>
      <c r="B50" s="25">
        <v>25162</v>
      </c>
      <c r="C50" s="25">
        <v>20403</v>
      </c>
      <c r="D50" s="25">
        <v>45565</v>
      </c>
      <c r="E50" s="110"/>
      <c r="F50" s="110"/>
    </row>
    <row r="51" spans="1:6" x14ac:dyDescent="0.25">
      <c r="A51" s="82" t="s">
        <v>285</v>
      </c>
      <c r="B51" s="25">
        <v>71379</v>
      </c>
      <c r="C51" s="25">
        <v>62597</v>
      </c>
      <c r="D51" s="25">
        <v>133976</v>
      </c>
      <c r="E51" s="110"/>
      <c r="F51" s="110"/>
    </row>
    <row r="52" spans="1:6" x14ac:dyDescent="0.25">
      <c r="A52" s="82" t="s">
        <v>286</v>
      </c>
      <c r="B52" s="25">
        <v>341216</v>
      </c>
      <c r="C52" s="25">
        <v>302269</v>
      </c>
      <c r="D52" s="25">
        <v>643485</v>
      </c>
      <c r="E52" s="110"/>
      <c r="F52" s="110"/>
    </row>
    <row r="53" spans="1:6" x14ac:dyDescent="0.25">
      <c r="A53" s="102" t="s">
        <v>404</v>
      </c>
      <c r="B53" s="25">
        <v>15015</v>
      </c>
      <c r="C53" s="25">
        <v>12073</v>
      </c>
      <c r="D53" s="25">
        <v>27088</v>
      </c>
      <c r="E53" s="110"/>
      <c r="F53" s="110"/>
    </row>
    <row r="54" spans="1:6" x14ac:dyDescent="0.25">
      <c r="A54" s="82" t="s">
        <v>287</v>
      </c>
      <c r="B54" s="25">
        <v>34419</v>
      </c>
      <c r="C54" s="25">
        <v>25190</v>
      </c>
      <c r="D54" s="25">
        <v>59609</v>
      </c>
      <c r="E54" s="110"/>
      <c r="F54" s="110"/>
    </row>
    <row r="55" spans="1:6" s="110" customFormat="1" x14ac:dyDescent="0.25">
      <c r="A55" s="82" t="s">
        <v>363</v>
      </c>
      <c r="B55" s="25">
        <v>13127</v>
      </c>
      <c r="C55" s="25">
        <v>9866</v>
      </c>
      <c r="D55" s="25">
        <v>22993</v>
      </c>
    </row>
    <row r="56" spans="1:6" x14ac:dyDescent="0.25">
      <c r="A56" s="82" t="s">
        <v>293</v>
      </c>
      <c r="B56" s="25">
        <v>70845</v>
      </c>
      <c r="C56" s="25">
        <v>59942</v>
      </c>
      <c r="D56" s="25">
        <v>130787</v>
      </c>
      <c r="E56" s="110"/>
      <c r="F56" s="110"/>
    </row>
    <row r="57" spans="1:6" x14ac:dyDescent="0.25">
      <c r="A57" s="82" t="s">
        <v>296</v>
      </c>
      <c r="B57" s="25">
        <v>35726</v>
      </c>
      <c r="C57" s="25">
        <v>26035</v>
      </c>
      <c r="D57" s="25">
        <v>61761</v>
      </c>
      <c r="E57" s="110"/>
      <c r="F57" s="110"/>
    </row>
    <row r="58" spans="1:6" x14ac:dyDescent="0.25">
      <c r="A58" s="82" t="s">
        <v>289</v>
      </c>
      <c r="B58" s="25">
        <v>15264</v>
      </c>
      <c r="C58" s="25">
        <v>12307</v>
      </c>
      <c r="D58" s="25">
        <v>27571</v>
      </c>
      <c r="E58" s="110"/>
      <c r="F58" s="110"/>
    </row>
    <row r="59" spans="1:6" x14ac:dyDescent="0.25">
      <c r="A59" s="82" t="s">
        <v>290</v>
      </c>
      <c r="B59" s="25">
        <v>24966</v>
      </c>
      <c r="C59" s="25">
        <v>17135</v>
      </c>
      <c r="D59" s="25">
        <v>42101</v>
      </c>
      <c r="E59" s="110"/>
      <c r="F59" s="110"/>
    </row>
    <row r="60" spans="1:6" x14ac:dyDescent="0.25">
      <c r="A60" s="82" t="s">
        <v>291</v>
      </c>
      <c r="B60" s="25">
        <v>1831</v>
      </c>
      <c r="C60" s="25">
        <v>1039</v>
      </c>
      <c r="D60" s="25">
        <v>2870</v>
      </c>
      <c r="E60" s="110"/>
      <c r="F60" s="110"/>
    </row>
    <row r="61" spans="1:6" x14ac:dyDescent="0.25">
      <c r="A61" s="82" t="s">
        <v>292</v>
      </c>
      <c r="B61" s="25">
        <v>4052</v>
      </c>
      <c r="C61" s="25">
        <v>3134</v>
      </c>
      <c r="D61" s="25">
        <v>7186</v>
      </c>
      <c r="E61" s="110"/>
      <c r="F61" s="110"/>
    </row>
    <row r="62" spans="1:6" s="52" customFormat="1" x14ac:dyDescent="0.25">
      <c r="A62" s="79" t="s">
        <v>0</v>
      </c>
      <c r="B62" s="26">
        <v>701190</v>
      </c>
      <c r="C62" s="26">
        <v>593549</v>
      </c>
      <c r="D62" s="26">
        <v>1294739</v>
      </c>
      <c r="E62" s="110"/>
      <c r="F62" s="110"/>
    </row>
    <row r="63" spans="1:6" x14ac:dyDescent="0.25">
      <c r="A63" s="3"/>
      <c r="B63" s="110"/>
      <c r="C63" s="110"/>
      <c r="D63" s="110"/>
      <c r="E63" s="110"/>
      <c r="F63" s="110"/>
    </row>
    <row r="64" spans="1:6" ht="15.75" x14ac:dyDescent="0.25">
      <c r="A64" s="27" t="s">
        <v>462</v>
      </c>
      <c r="B64" s="3"/>
      <c r="C64" s="3"/>
      <c r="D64" s="3"/>
      <c r="E64" s="3"/>
    </row>
    <row r="65" spans="1:6" ht="25.5" x14ac:dyDescent="0.25">
      <c r="A65" s="156" t="s">
        <v>58</v>
      </c>
      <c r="B65" s="131" t="s">
        <v>158</v>
      </c>
      <c r="C65" s="131" t="s">
        <v>159</v>
      </c>
      <c r="D65" s="131" t="s">
        <v>59</v>
      </c>
      <c r="E65" s="3"/>
      <c r="F65" s="110"/>
    </row>
    <row r="66" spans="1:6" x14ac:dyDescent="0.25">
      <c r="A66" s="78" t="s">
        <v>49</v>
      </c>
      <c r="B66" s="41">
        <v>134066</v>
      </c>
      <c r="C66" s="41">
        <v>110770</v>
      </c>
      <c r="D66" s="41">
        <v>244836</v>
      </c>
      <c r="E66" s="3"/>
      <c r="F66" s="110"/>
    </row>
    <row r="67" spans="1:6" x14ac:dyDescent="0.25">
      <c r="A67" s="78" t="s">
        <v>50</v>
      </c>
      <c r="B67" s="41">
        <v>21186</v>
      </c>
      <c r="C67" s="41">
        <v>15579</v>
      </c>
      <c r="D67" s="41">
        <v>36765</v>
      </c>
      <c r="E67" s="3"/>
      <c r="F67" s="110"/>
    </row>
    <row r="68" spans="1:6" x14ac:dyDescent="0.25">
      <c r="A68" s="78" t="s">
        <v>51</v>
      </c>
      <c r="B68" s="41">
        <v>37283</v>
      </c>
      <c r="C68" s="41">
        <v>25376</v>
      </c>
      <c r="D68" s="41">
        <v>62659</v>
      </c>
      <c r="E68" s="3"/>
      <c r="F68" s="110"/>
    </row>
    <row r="69" spans="1:6" x14ac:dyDescent="0.25">
      <c r="A69" s="78" t="s">
        <v>52</v>
      </c>
      <c r="B69" s="41">
        <v>10536</v>
      </c>
      <c r="C69" s="41">
        <v>12360</v>
      </c>
      <c r="D69" s="41">
        <v>22896</v>
      </c>
      <c r="E69" s="3"/>
      <c r="F69" s="110"/>
    </row>
    <row r="70" spans="1:6" x14ac:dyDescent="0.25">
      <c r="A70" s="78" t="s">
        <v>53</v>
      </c>
      <c r="B70" s="41">
        <v>98551</v>
      </c>
      <c r="C70" s="41">
        <v>44770</v>
      </c>
      <c r="D70" s="41">
        <v>143321</v>
      </c>
      <c r="E70" s="3"/>
      <c r="F70" s="110"/>
    </row>
    <row r="71" spans="1:6" x14ac:dyDescent="0.25">
      <c r="A71" s="78" t="s">
        <v>7</v>
      </c>
      <c r="B71" s="41">
        <v>30726</v>
      </c>
      <c r="C71" s="41">
        <v>24353</v>
      </c>
      <c r="D71" s="41">
        <v>55079</v>
      </c>
      <c r="E71" s="3"/>
      <c r="F71" s="110"/>
    </row>
    <row r="72" spans="1:6" x14ac:dyDescent="0.25">
      <c r="A72" s="78" t="s">
        <v>54</v>
      </c>
      <c r="B72" s="41">
        <v>105865</v>
      </c>
      <c r="C72" s="41">
        <v>34775</v>
      </c>
      <c r="D72" s="41">
        <v>140640</v>
      </c>
      <c r="E72" s="3"/>
      <c r="F72" s="110"/>
    </row>
    <row r="73" spans="1:6" x14ac:dyDescent="0.25">
      <c r="A73" s="78" t="s">
        <v>55</v>
      </c>
      <c r="B73" s="41">
        <v>6577</v>
      </c>
      <c r="C73" s="41">
        <v>4599</v>
      </c>
      <c r="D73" s="41">
        <v>11176</v>
      </c>
      <c r="E73" s="3"/>
      <c r="F73" s="110"/>
    </row>
    <row r="74" spans="1:6" x14ac:dyDescent="0.25">
      <c r="A74" s="78" t="s">
        <v>56</v>
      </c>
      <c r="B74" s="41">
        <v>193595</v>
      </c>
      <c r="C74" s="41">
        <v>64459</v>
      </c>
      <c r="D74" s="41">
        <v>258054</v>
      </c>
      <c r="E74" s="3"/>
      <c r="F74" s="110"/>
    </row>
    <row r="75" spans="1:6" x14ac:dyDescent="0.25">
      <c r="A75" s="78" t="s">
        <v>57</v>
      </c>
      <c r="B75" s="41">
        <v>62805</v>
      </c>
      <c r="C75" s="41">
        <v>256508</v>
      </c>
      <c r="D75" s="41">
        <v>319313</v>
      </c>
      <c r="E75" s="3"/>
      <c r="F75" s="110"/>
    </row>
    <row r="76" spans="1:6" x14ac:dyDescent="0.25">
      <c r="A76" s="79" t="s">
        <v>0</v>
      </c>
      <c r="B76" s="109">
        <v>701190</v>
      </c>
      <c r="C76" s="109">
        <v>593549</v>
      </c>
      <c r="D76" s="109">
        <v>1294739</v>
      </c>
      <c r="E76" s="3"/>
      <c r="F76" s="110"/>
    </row>
    <row r="77" spans="1:6" s="52" customFormat="1" x14ac:dyDescent="0.25">
      <c r="A77" s="3"/>
      <c r="B77" s="3"/>
      <c r="C77" s="3"/>
      <c r="D77" s="3"/>
      <c r="F77" s="110"/>
    </row>
    <row r="78" spans="1:6" x14ac:dyDescent="0.25">
      <c r="A78" s="99" t="s">
        <v>307</v>
      </c>
      <c r="B78" s="3"/>
      <c r="C78" s="3"/>
      <c r="D78" s="3"/>
      <c r="E78" s="3"/>
    </row>
    <row r="79" spans="1:6" x14ac:dyDescent="0.25">
      <c r="A79" s="51" t="s">
        <v>294</v>
      </c>
      <c r="B79" s="3"/>
      <c r="C79" s="3"/>
      <c r="D79" s="3"/>
      <c r="E79" s="3"/>
    </row>
    <row r="80" spans="1:6" x14ac:dyDescent="0.25">
      <c r="A80" s="110"/>
      <c r="B80" s="110"/>
      <c r="C80" s="110"/>
      <c r="D80" s="110"/>
      <c r="E80" s="110"/>
    </row>
    <row r="81" spans="1:5" x14ac:dyDescent="0.25">
      <c r="A81" s="110"/>
      <c r="B81" s="110"/>
      <c r="C81" s="110"/>
      <c r="D81" s="110"/>
      <c r="E81" s="110"/>
    </row>
    <row r="82" spans="1:5" x14ac:dyDescent="0.25">
      <c r="A82" s="110"/>
      <c r="B82" s="110"/>
      <c r="C82" s="110"/>
      <c r="D82" s="110"/>
      <c r="E82" s="110"/>
    </row>
    <row r="83" spans="1:5" x14ac:dyDescent="0.25">
      <c r="A83" s="110"/>
      <c r="B83" s="110"/>
      <c r="C83" s="110"/>
      <c r="D83" s="110"/>
      <c r="E83" s="110"/>
    </row>
    <row r="84" spans="1:5" x14ac:dyDescent="0.25">
      <c r="A84" s="110"/>
      <c r="B84" s="110"/>
      <c r="C84" s="110"/>
      <c r="D84" s="110"/>
      <c r="E84" s="110"/>
    </row>
    <row r="85" spans="1:5" x14ac:dyDescent="0.25">
      <c r="A85" s="110"/>
      <c r="B85" s="110"/>
      <c r="C85" s="110"/>
      <c r="D85" s="110"/>
      <c r="E85" s="110"/>
    </row>
    <row r="86" spans="1:5" x14ac:dyDescent="0.25">
      <c r="A86" s="110"/>
      <c r="B86" s="110"/>
      <c r="C86" s="110"/>
      <c r="D86" s="110"/>
      <c r="E86" s="110"/>
    </row>
    <row r="87" spans="1:5" x14ac:dyDescent="0.25">
      <c r="A87" s="110"/>
      <c r="B87" s="110"/>
      <c r="C87" s="110"/>
      <c r="D87" s="110"/>
      <c r="E87" s="110"/>
    </row>
    <row r="88" spans="1:5" x14ac:dyDescent="0.25">
      <c r="A88" s="3"/>
      <c r="B88" s="3"/>
      <c r="C88" s="3"/>
      <c r="D88" s="3"/>
      <c r="E88" s="3"/>
    </row>
    <row r="89" spans="1:5" x14ac:dyDescent="0.25">
      <c r="A89" s="3"/>
      <c r="B89" s="3"/>
      <c r="C89" s="3"/>
      <c r="D89" s="3"/>
      <c r="E89" s="3"/>
    </row>
    <row r="90" spans="1:5" x14ac:dyDescent="0.25">
      <c r="A90" s="3"/>
      <c r="B90" s="3"/>
      <c r="C90" s="3"/>
      <c r="D90" s="3"/>
      <c r="E90" s="3"/>
    </row>
    <row r="91" spans="1:5" x14ac:dyDescent="0.25">
      <c r="A91" s="3"/>
      <c r="B91" s="3"/>
      <c r="C91" s="3"/>
      <c r="D91" s="3"/>
      <c r="E91" s="3"/>
    </row>
    <row r="92" spans="1:5" x14ac:dyDescent="0.25">
      <c r="A92" s="3"/>
      <c r="B92" s="3"/>
      <c r="C92" s="3"/>
      <c r="D92" s="3"/>
      <c r="E92" s="3"/>
    </row>
    <row r="93" spans="1:5" x14ac:dyDescent="0.25">
      <c r="A93" s="3"/>
      <c r="B93" s="3"/>
      <c r="C93" s="3"/>
      <c r="D93" s="3"/>
      <c r="E93" s="3"/>
    </row>
    <row r="94" spans="1:5" x14ac:dyDescent="0.25">
      <c r="A94" s="3"/>
      <c r="B94" s="3"/>
      <c r="C94" s="3"/>
      <c r="D94" s="3"/>
      <c r="E94" s="3"/>
    </row>
    <row r="95" spans="1:5" x14ac:dyDescent="0.25">
      <c r="A95" s="3"/>
      <c r="B95" s="3"/>
      <c r="C95" s="3"/>
      <c r="D95" s="3"/>
      <c r="E95" s="3"/>
    </row>
    <row r="96" spans="1:5" x14ac:dyDescent="0.25">
      <c r="A96" s="3"/>
      <c r="B96" s="3"/>
      <c r="C96" s="3"/>
      <c r="D96" s="3"/>
      <c r="E96" s="3"/>
    </row>
    <row r="97" spans="1:5" x14ac:dyDescent="0.25">
      <c r="A97" s="3"/>
      <c r="B97" s="3"/>
      <c r="C97" s="3"/>
      <c r="D97" s="3"/>
      <c r="E97" s="3"/>
    </row>
    <row r="98" spans="1:5" x14ac:dyDescent="0.25">
      <c r="A98" s="3"/>
      <c r="B98" s="3"/>
      <c r="C98" s="3"/>
      <c r="D98" s="3"/>
      <c r="E98" s="3"/>
    </row>
    <row r="99" spans="1:5" x14ac:dyDescent="0.25">
      <c r="A99" s="3"/>
      <c r="B99" s="3"/>
      <c r="C99" s="3"/>
      <c r="D99" s="3"/>
      <c r="E99" s="3"/>
    </row>
    <row r="100" spans="1:5" x14ac:dyDescent="0.25">
      <c r="A100" s="3"/>
      <c r="B100" s="3"/>
      <c r="C100" s="3"/>
      <c r="D100" s="3"/>
      <c r="E100" s="3"/>
    </row>
    <row r="101" spans="1:5" x14ac:dyDescent="0.25">
      <c r="A101" s="3"/>
      <c r="B101" s="3"/>
      <c r="C101" s="3"/>
      <c r="D101" s="3"/>
      <c r="E101" s="3"/>
    </row>
    <row r="102" spans="1:5" x14ac:dyDescent="0.25">
      <c r="A102" s="3"/>
      <c r="B102" s="3"/>
      <c r="C102" s="3"/>
      <c r="D102" s="3"/>
      <c r="E102" s="3"/>
    </row>
    <row r="103" spans="1:5" x14ac:dyDescent="0.25">
      <c r="A103" s="3"/>
      <c r="B103" s="3"/>
      <c r="C103" s="3"/>
      <c r="D103" s="3"/>
      <c r="E103" s="3"/>
    </row>
    <row r="104" spans="1:5" x14ac:dyDescent="0.25">
      <c r="A104" s="3"/>
      <c r="B104" s="3"/>
      <c r="C104" s="3"/>
      <c r="D104" s="3"/>
      <c r="E104" s="3"/>
    </row>
    <row r="105" spans="1:5" x14ac:dyDescent="0.25">
      <c r="A105" s="3"/>
      <c r="B105" s="3"/>
      <c r="C105" s="3"/>
      <c r="D105" s="3"/>
      <c r="E105" s="3"/>
    </row>
    <row r="106" spans="1:5" x14ac:dyDescent="0.25">
      <c r="A106" s="3"/>
      <c r="B106" s="3"/>
      <c r="C106" s="3"/>
      <c r="D106" s="3"/>
      <c r="E106" s="3"/>
    </row>
    <row r="107" spans="1:5" x14ac:dyDescent="0.25">
      <c r="A107" s="3"/>
      <c r="B107" s="3"/>
      <c r="C107" s="3"/>
      <c r="D107" s="3"/>
      <c r="E107" s="3"/>
    </row>
    <row r="108" spans="1:5" x14ac:dyDescent="0.25">
      <c r="A108" s="3"/>
      <c r="B108" s="3"/>
      <c r="C108" s="3"/>
      <c r="D108" s="3"/>
      <c r="E108" s="3"/>
    </row>
    <row r="109" spans="1:5" x14ac:dyDescent="0.25">
      <c r="A109" s="3"/>
      <c r="B109" s="3"/>
      <c r="C109" s="3"/>
      <c r="D109" s="3"/>
      <c r="E109" s="3"/>
    </row>
    <row r="110" spans="1:5" x14ac:dyDescent="0.25">
      <c r="A110" s="3"/>
      <c r="B110" s="3"/>
      <c r="C110" s="3"/>
      <c r="D110" s="3"/>
      <c r="E110" s="3"/>
    </row>
    <row r="111" spans="1:5" x14ac:dyDescent="0.25">
      <c r="A111" s="3"/>
      <c r="B111" s="3"/>
      <c r="C111" s="3"/>
      <c r="D111" s="3"/>
      <c r="E111" s="3"/>
    </row>
    <row r="112" spans="1:5" x14ac:dyDescent="0.25">
      <c r="A112" s="3"/>
      <c r="B112" s="3"/>
      <c r="C112" s="3"/>
      <c r="D112" s="3"/>
      <c r="E112" s="3"/>
    </row>
    <row r="113" spans="1:5" x14ac:dyDescent="0.25">
      <c r="A113" s="3"/>
      <c r="B113" s="3"/>
      <c r="C113" s="3"/>
      <c r="D113" s="3"/>
      <c r="E113" s="3"/>
    </row>
    <row r="114" spans="1:5" x14ac:dyDescent="0.25">
      <c r="A114" s="3"/>
      <c r="B114" s="3"/>
      <c r="C114" s="3"/>
      <c r="D114" s="3"/>
      <c r="E114" s="3"/>
    </row>
    <row r="115" spans="1:5" x14ac:dyDescent="0.25">
      <c r="A115" s="3"/>
      <c r="B115" s="3"/>
      <c r="C115" s="3"/>
      <c r="D115" s="3"/>
      <c r="E115" s="3"/>
    </row>
    <row r="116" spans="1:5" x14ac:dyDescent="0.25">
      <c r="A116" s="3"/>
      <c r="B116" s="3"/>
      <c r="C116" s="3"/>
      <c r="D116" s="3"/>
      <c r="E116" s="3"/>
    </row>
    <row r="117" spans="1:5" x14ac:dyDescent="0.25">
      <c r="A117" s="3"/>
      <c r="B117" s="3"/>
      <c r="C117" s="3"/>
      <c r="D117" s="3"/>
      <c r="E117" s="3"/>
    </row>
    <row r="118" spans="1:5" x14ac:dyDescent="0.25">
      <c r="A118" s="3"/>
      <c r="B118" s="3"/>
      <c r="C118" s="3"/>
      <c r="D118" s="3"/>
      <c r="E118" s="3"/>
    </row>
    <row r="119" spans="1:5" x14ac:dyDescent="0.25">
      <c r="A119" s="3"/>
      <c r="B119" s="3"/>
      <c r="C119" s="3"/>
      <c r="D119" s="3"/>
      <c r="E119" s="3"/>
    </row>
    <row r="120" spans="1:5" x14ac:dyDescent="0.25">
      <c r="A120" s="3"/>
      <c r="B120" s="3"/>
      <c r="C120" s="3"/>
      <c r="D120" s="3"/>
      <c r="E120" s="3"/>
    </row>
    <row r="121" spans="1:5" x14ac:dyDescent="0.25">
      <c r="A121" s="3"/>
      <c r="B121" s="3"/>
      <c r="C121" s="3"/>
      <c r="D121" s="3"/>
      <c r="E121" s="3"/>
    </row>
    <row r="122" spans="1:5" x14ac:dyDescent="0.25">
      <c r="A122" s="3"/>
      <c r="B122" s="3"/>
      <c r="C122" s="3"/>
      <c r="D122" s="3"/>
      <c r="E122" s="3"/>
    </row>
    <row r="123" spans="1:5" x14ac:dyDescent="0.25">
      <c r="A123" s="3"/>
      <c r="B123" s="3"/>
      <c r="C123" s="3"/>
      <c r="D123" s="3"/>
      <c r="E123" s="3"/>
    </row>
    <row r="124" spans="1:5" x14ac:dyDescent="0.25">
      <c r="A124" s="3"/>
      <c r="B124" s="3"/>
      <c r="C124" s="3"/>
      <c r="D124" s="3"/>
      <c r="E124" s="3"/>
    </row>
    <row r="125" spans="1:5" x14ac:dyDescent="0.25">
      <c r="A125" s="3"/>
      <c r="B125" s="3"/>
      <c r="C125" s="3"/>
      <c r="D125" s="3"/>
      <c r="E125" s="3"/>
    </row>
    <row r="126" spans="1:5" x14ac:dyDescent="0.25">
      <c r="A126" s="3"/>
      <c r="B126" s="3"/>
      <c r="C126" s="3"/>
      <c r="D126" s="3"/>
      <c r="E126" s="3"/>
    </row>
    <row r="127" spans="1:5" x14ac:dyDescent="0.25">
      <c r="A127" s="3"/>
      <c r="B127" s="3"/>
      <c r="C127" s="3"/>
      <c r="D127" s="3"/>
      <c r="E127" s="3"/>
    </row>
    <row r="128" spans="1:5" x14ac:dyDescent="0.25">
      <c r="A128" s="3"/>
      <c r="B128" s="3"/>
      <c r="C128" s="3"/>
      <c r="D128" s="3"/>
      <c r="E128" s="3"/>
    </row>
    <row r="129" spans="1:5" x14ac:dyDescent="0.25">
      <c r="A129" s="3"/>
      <c r="B129" s="3"/>
      <c r="C129" s="3"/>
      <c r="D129" s="3"/>
      <c r="E129" s="3"/>
    </row>
    <row r="130" spans="1:5" x14ac:dyDescent="0.25">
      <c r="A130" s="3"/>
      <c r="B130" s="3"/>
      <c r="C130" s="3"/>
      <c r="D130" s="3"/>
      <c r="E130" s="3"/>
    </row>
    <row r="131" spans="1:5" x14ac:dyDescent="0.25">
      <c r="A131" s="3"/>
      <c r="B131" s="3"/>
      <c r="C131" s="3"/>
      <c r="D131" s="3"/>
      <c r="E131" s="3"/>
    </row>
    <row r="132" spans="1:5" x14ac:dyDescent="0.25">
      <c r="A132" s="3"/>
      <c r="B132" s="3"/>
      <c r="C132" s="3"/>
      <c r="D132" s="3"/>
      <c r="E132" s="3"/>
    </row>
    <row r="133" spans="1:5" x14ac:dyDescent="0.25">
      <c r="A133" s="3"/>
      <c r="B133" s="3"/>
      <c r="C133" s="3"/>
      <c r="D133" s="3"/>
      <c r="E133" s="3"/>
    </row>
    <row r="134" spans="1:5" x14ac:dyDescent="0.25">
      <c r="A134" s="3"/>
      <c r="B134" s="3"/>
      <c r="C134" s="3"/>
      <c r="D134" s="3"/>
      <c r="E134" s="3"/>
    </row>
    <row r="135" spans="1:5" x14ac:dyDescent="0.25">
      <c r="A135" s="3"/>
      <c r="B135" s="3"/>
      <c r="C135" s="3"/>
      <c r="D135" s="3"/>
      <c r="E135" s="3"/>
    </row>
    <row r="136" spans="1:5" x14ac:dyDescent="0.25">
      <c r="A136" s="3"/>
      <c r="B136" s="3"/>
      <c r="C136" s="3"/>
      <c r="D136" s="3"/>
      <c r="E136" s="3"/>
    </row>
    <row r="137" spans="1:5" x14ac:dyDescent="0.25">
      <c r="A137" s="3"/>
      <c r="B137" s="3"/>
      <c r="C137" s="3"/>
      <c r="D137" s="3"/>
      <c r="E137" s="3"/>
    </row>
    <row r="138" spans="1:5" x14ac:dyDescent="0.25">
      <c r="A138" s="3"/>
      <c r="B138" s="3"/>
      <c r="C138" s="3"/>
      <c r="D138" s="3"/>
      <c r="E138" s="3"/>
    </row>
    <row r="139" spans="1:5" x14ac:dyDescent="0.25">
      <c r="A139" s="3"/>
      <c r="B139" s="3"/>
      <c r="C139" s="3"/>
      <c r="D139" s="3"/>
      <c r="E139" s="3"/>
    </row>
    <row r="140" spans="1:5" x14ac:dyDescent="0.25">
      <c r="A140" s="3"/>
      <c r="B140" s="3"/>
      <c r="C140" s="3"/>
      <c r="D140" s="3"/>
      <c r="E140" s="3"/>
    </row>
    <row r="141" spans="1:5" x14ac:dyDescent="0.25">
      <c r="A141" s="3"/>
      <c r="B141" s="3"/>
      <c r="C141" s="3"/>
      <c r="D141" s="3"/>
      <c r="E141" s="3"/>
    </row>
    <row r="142" spans="1:5" x14ac:dyDescent="0.25">
      <c r="A142" s="3"/>
      <c r="B142" s="3"/>
      <c r="C142" s="3"/>
      <c r="D142" s="3"/>
      <c r="E142" s="3"/>
    </row>
    <row r="143" spans="1:5" x14ac:dyDescent="0.25">
      <c r="A143" s="3"/>
      <c r="B143" s="3"/>
      <c r="C143" s="3"/>
      <c r="D143" s="3"/>
      <c r="E143" s="3"/>
    </row>
    <row r="144" spans="1:5" x14ac:dyDescent="0.25">
      <c r="A144" s="3"/>
      <c r="B144" s="3"/>
      <c r="C144" s="3"/>
      <c r="D144" s="3"/>
      <c r="E144" s="3"/>
    </row>
    <row r="145" spans="1:5" x14ac:dyDescent="0.25">
      <c r="A145" s="3"/>
      <c r="B145" s="3"/>
      <c r="C145" s="3"/>
      <c r="D145" s="3"/>
      <c r="E145" s="3"/>
    </row>
    <row r="146" spans="1:5" x14ac:dyDescent="0.25">
      <c r="A146" s="3"/>
      <c r="B146" s="3"/>
      <c r="C146" s="3"/>
      <c r="D146" s="3"/>
      <c r="E146" s="3"/>
    </row>
    <row r="147" spans="1:5" x14ac:dyDescent="0.25">
      <c r="A147" s="3"/>
      <c r="B147" s="3"/>
      <c r="C147" s="3"/>
      <c r="D147" s="3"/>
      <c r="E147" s="3"/>
    </row>
    <row r="148" spans="1:5" x14ac:dyDescent="0.25">
      <c r="A148" s="3"/>
      <c r="B148" s="3"/>
      <c r="C148" s="3"/>
      <c r="D148" s="3"/>
      <c r="E148" s="3"/>
    </row>
    <row r="149" spans="1:5" x14ac:dyDescent="0.25">
      <c r="A149" s="3"/>
      <c r="B149" s="3"/>
      <c r="C149" s="3"/>
      <c r="D149" s="3"/>
      <c r="E149" s="3"/>
    </row>
    <row r="150" spans="1:5" x14ac:dyDescent="0.25">
      <c r="A150" s="3"/>
      <c r="B150" s="3"/>
      <c r="C150" s="3"/>
      <c r="D150" s="3"/>
      <c r="E150" s="3"/>
    </row>
    <row r="151" spans="1:5" x14ac:dyDescent="0.25">
      <c r="A151" s="3"/>
      <c r="B151" s="3"/>
      <c r="C151" s="3"/>
      <c r="D151" s="3"/>
      <c r="E151" s="3"/>
    </row>
    <row r="152" spans="1:5" x14ac:dyDescent="0.25">
      <c r="A152" s="3"/>
      <c r="B152" s="3"/>
      <c r="C152" s="3"/>
      <c r="D152" s="3"/>
      <c r="E152" s="3"/>
    </row>
    <row r="153" spans="1:5" x14ac:dyDescent="0.25">
      <c r="A153" s="3"/>
      <c r="B153" s="3"/>
      <c r="C153" s="3"/>
      <c r="D153" s="3"/>
      <c r="E153" s="3"/>
    </row>
    <row r="154" spans="1:5" x14ac:dyDescent="0.25">
      <c r="A154" s="3"/>
      <c r="B154" s="3"/>
      <c r="C154" s="3"/>
      <c r="D154" s="3"/>
      <c r="E154" s="3"/>
    </row>
    <row r="155" spans="1:5" x14ac:dyDescent="0.25">
      <c r="A155" s="3"/>
      <c r="B155" s="3"/>
      <c r="C155" s="3"/>
      <c r="D155" s="3"/>
      <c r="E155" s="3"/>
    </row>
    <row r="156" spans="1:5" x14ac:dyDescent="0.25">
      <c r="A156" s="3"/>
      <c r="B156" s="3"/>
      <c r="C156" s="3"/>
      <c r="D156" s="3"/>
      <c r="E156" s="3"/>
    </row>
    <row r="157" spans="1:5" x14ac:dyDescent="0.25">
      <c r="A157" s="3"/>
      <c r="B157" s="3"/>
      <c r="C157" s="3"/>
      <c r="D157" s="3"/>
      <c r="E157" s="3"/>
    </row>
    <row r="158" spans="1:5" x14ac:dyDescent="0.25">
      <c r="A158" s="3"/>
      <c r="B158" s="3"/>
      <c r="C158" s="3"/>
      <c r="D158" s="3"/>
      <c r="E158" s="3"/>
    </row>
    <row r="159" spans="1:5" x14ac:dyDescent="0.25">
      <c r="A159" s="3"/>
      <c r="B159" s="3"/>
      <c r="C159" s="3"/>
      <c r="D159" s="3"/>
      <c r="E159" s="3"/>
    </row>
    <row r="160" spans="1:5" x14ac:dyDescent="0.25">
      <c r="A160" s="3"/>
      <c r="B160" s="3"/>
      <c r="C160" s="3"/>
      <c r="D160" s="3"/>
      <c r="E160" s="3"/>
    </row>
    <row r="161" spans="1:5" x14ac:dyDescent="0.25">
      <c r="A161" s="3"/>
      <c r="B161" s="3"/>
      <c r="C161" s="3"/>
      <c r="D161" s="3"/>
      <c r="E161" s="3"/>
    </row>
    <row r="162" spans="1:5" x14ac:dyDescent="0.25">
      <c r="A162" s="3"/>
      <c r="B162" s="3"/>
      <c r="C162" s="3"/>
      <c r="D162" s="3"/>
      <c r="E162" s="3"/>
    </row>
    <row r="163" spans="1:5" x14ac:dyDescent="0.25">
      <c r="A163" s="3"/>
      <c r="B163" s="3"/>
      <c r="C163" s="3"/>
      <c r="D163" s="3"/>
      <c r="E163" s="3"/>
    </row>
    <row r="164" spans="1:5" x14ac:dyDescent="0.25">
      <c r="A164" s="3"/>
      <c r="B164" s="3"/>
      <c r="C164" s="3"/>
      <c r="D164" s="3"/>
      <c r="E164" s="3"/>
    </row>
    <row r="165" spans="1:5" x14ac:dyDescent="0.25">
      <c r="A165" s="3"/>
      <c r="B165" s="3"/>
      <c r="C165" s="3"/>
      <c r="D165" s="3"/>
      <c r="E165" s="3"/>
    </row>
    <row r="166" spans="1:5" x14ac:dyDescent="0.25">
      <c r="A166" s="3"/>
      <c r="B166" s="3"/>
      <c r="C166" s="3"/>
      <c r="D166" s="3"/>
      <c r="E166" s="3"/>
    </row>
    <row r="167" spans="1:5" x14ac:dyDescent="0.25">
      <c r="A167" s="3"/>
      <c r="B167" s="3"/>
      <c r="C167" s="3"/>
      <c r="D167" s="3"/>
      <c r="E167" s="3"/>
    </row>
    <row r="168" spans="1:5" x14ac:dyDescent="0.25">
      <c r="A168" s="3"/>
      <c r="B168" s="3"/>
      <c r="C168" s="3"/>
      <c r="D168" s="3"/>
      <c r="E168" s="3"/>
    </row>
    <row r="169" spans="1:5" x14ac:dyDescent="0.25">
      <c r="A169" s="3"/>
      <c r="B169" s="3"/>
      <c r="C169" s="3"/>
      <c r="D169" s="3"/>
      <c r="E169" s="3"/>
    </row>
    <row r="170" spans="1:5" x14ac:dyDescent="0.25">
      <c r="A170" s="3"/>
      <c r="B170" s="3"/>
      <c r="C170" s="3"/>
      <c r="D170" s="3"/>
      <c r="E170" s="3"/>
    </row>
    <row r="171" spans="1:5" x14ac:dyDescent="0.25">
      <c r="A171" s="3"/>
      <c r="B171" s="3"/>
      <c r="C171" s="3"/>
      <c r="D171" s="3"/>
      <c r="E171" s="3"/>
    </row>
    <row r="172" spans="1:5" x14ac:dyDescent="0.25">
      <c r="A172" s="3"/>
      <c r="B172" s="3"/>
      <c r="C172" s="3"/>
      <c r="D172" s="3"/>
      <c r="E172" s="3"/>
    </row>
    <row r="173" spans="1:5" x14ac:dyDescent="0.25">
      <c r="A173" s="3"/>
      <c r="B173" s="3"/>
      <c r="C173" s="3"/>
      <c r="D173" s="3"/>
      <c r="E173" s="3"/>
    </row>
    <row r="174" spans="1:5" x14ac:dyDescent="0.25">
      <c r="A174" s="3"/>
      <c r="B174" s="3"/>
      <c r="C174" s="3"/>
      <c r="D174" s="3"/>
      <c r="E174" s="3"/>
    </row>
    <row r="175" spans="1:5" x14ac:dyDescent="0.25">
      <c r="A175" s="3"/>
      <c r="B175" s="3"/>
      <c r="C175" s="3"/>
      <c r="D175" s="3"/>
      <c r="E175" s="3"/>
    </row>
    <row r="176" spans="1:5" x14ac:dyDescent="0.25">
      <c r="A176" s="3"/>
      <c r="B176" s="3"/>
      <c r="C176" s="3"/>
      <c r="D176" s="3"/>
      <c r="E176" s="3"/>
    </row>
    <row r="177" spans="1:5" x14ac:dyDescent="0.25">
      <c r="A177" s="3"/>
      <c r="B177" s="3"/>
      <c r="C177" s="3"/>
      <c r="D177" s="3"/>
      <c r="E177" s="3"/>
    </row>
    <row r="178" spans="1:5" x14ac:dyDescent="0.25">
      <c r="A178" s="3"/>
      <c r="B178" s="3"/>
      <c r="C178" s="3"/>
      <c r="D178" s="3"/>
      <c r="E178" s="3"/>
    </row>
    <row r="179" spans="1:5" x14ac:dyDescent="0.25">
      <c r="A179" s="3"/>
      <c r="B179" s="3"/>
      <c r="C179" s="3"/>
      <c r="D179" s="3"/>
      <c r="E179" s="3"/>
    </row>
    <row r="180" spans="1:5" x14ac:dyDescent="0.25">
      <c r="A180" s="3"/>
      <c r="B180" s="3"/>
      <c r="C180" s="3"/>
      <c r="D180" s="3"/>
      <c r="E180" s="3"/>
    </row>
    <row r="181" spans="1:5" x14ac:dyDescent="0.25">
      <c r="A181" s="3"/>
      <c r="B181" s="3"/>
      <c r="C181" s="3"/>
      <c r="D181" s="3"/>
      <c r="E181" s="3"/>
    </row>
    <row r="182" spans="1:5" x14ac:dyDescent="0.25">
      <c r="A182" s="3"/>
      <c r="B182" s="3"/>
      <c r="C182" s="3"/>
      <c r="D182" s="3"/>
      <c r="E182" s="3"/>
    </row>
    <row r="183" spans="1:5" x14ac:dyDescent="0.25">
      <c r="A183" s="3"/>
      <c r="B183" s="3"/>
      <c r="C183" s="3"/>
      <c r="D183" s="3"/>
      <c r="E183" s="3"/>
    </row>
    <row r="184" spans="1:5" x14ac:dyDescent="0.25">
      <c r="A184" s="3"/>
      <c r="B184" s="3"/>
      <c r="C184" s="3"/>
      <c r="D184" s="3"/>
      <c r="E184" s="3"/>
    </row>
    <row r="185" spans="1:5" x14ac:dyDescent="0.25">
      <c r="A185" s="3"/>
      <c r="B185" s="3"/>
      <c r="C185" s="3"/>
      <c r="D185" s="3"/>
      <c r="E185" s="3"/>
    </row>
    <row r="186" spans="1:5" x14ac:dyDescent="0.25">
      <c r="A186" s="3"/>
      <c r="B186" s="3"/>
      <c r="C186" s="3"/>
      <c r="D186" s="3"/>
      <c r="E186" s="3"/>
    </row>
    <row r="187" spans="1:5" x14ac:dyDescent="0.25">
      <c r="A187" s="3"/>
      <c r="B187" s="3"/>
      <c r="C187" s="3"/>
      <c r="D187" s="3"/>
      <c r="E187" s="3"/>
    </row>
    <row r="188" spans="1:5" x14ac:dyDescent="0.25">
      <c r="A188" s="3"/>
      <c r="B188" s="3"/>
      <c r="C188" s="3"/>
      <c r="D188" s="3"/>
      <c r="E188" s="3"/>
    </row>
    <row r="189" spans="1:5" x14ac:dyDescent="0.25">
      <c r="A189" s="3"/>
      <c r="B189" s="3"/>
      <c r="C189" s="3"/>
      <c r="D189" s="3"/>
      <c r="E189" s="3"/>
    </row>
    <row r="190" spans="1:5" x14ac:dyDescent="0.25">
      <c r="A190" s="3"/>
      <c r="B190" s="3"/>
      <c r="C190" s="3"/>
      <c r="D190" s="3"/>
      <c r="E190" s="3"/>
    </row>
    <row r="191" spans="1:5" x14ac:dyDescent="0.25">
      <c r="A191" s="3"/>
      <c r="B191" s="3"/>
      <c r="C191" s="3"/>
      <c r="D191" s="3"/>
      <c r="E191" s="3"/>
    </row>
    <row r="192" spans="1:5" x14ac:dyDescent="0.25">
      <c r="A192" s="3"/>
      <c r="B192" s="3"/>
      <c r="C192" s="3"/>
      <c r="D192" s="3"/>
      <c r="E192" s="3"/>
    </row>
    <row r="193" spans="1:5" x14ac:dyDescent="0.25">
      <c r="A193" s="3"/>
      <c r="B193" s="3"/>
      <c r="C193" s="3"/>
      <c r="D193" s="3"/>
      <c r="E193" s="3"/>
    </row>
    <row r="194" spans="1:5" x14ac:dyDescent="0.25">
      <c r="A194" s="3"/>
      <c r="B194" s="3"/>
      <c r="C194" s="3"/>
      <c r="D194" s="3"/>
      <c r="E194" s="3"/>
    </row>
    <row r="195" spans="1:5" x14ac:dyDescent="0.25">
      <c r="A195" s="3"/>
      <c r="B195" s="3"/>
      <c r="C195" s="3"/>
      <c r="D195" s="3"/>
      <c r="E195" s="3"/>
    </row>
    <row r="196" spans="1:5" x14ac:dyDescent="0.25">
      <c r="A196" s="3"/>
      <c r="B196" s="3"/>
      <c r="C196" s="3"/>
      <c r="D196" s="3"/>
      <c r="E196" s="3"/>
    </row>
    <row r="197" spans="1:5" x14ac:dyDescent="0.25">
      <c r="A197" s="3"/>
      <c r="B197" s="3"/>
      <c r="C197" s="3"/>
      <c r="D197" s="3"/>
      <c r="E197" s="3"/>
    </row>
    <row r="198" spans="1:5" x14ac:dyDescent="0.25">
      <c r="A198" s="3"/>
      <c r="B198" s="3"/>
      <c r="C198" s="3"/>
      <c r="D198" s="3"/>
      <c r="E198" s="3"/>
    </row>
    <row r="199" spans="1:5" x14ac:dyDescent="0.25">
      <c r="A199" s="3"/>
      <c r="B199" s="3"/>
      <c r="C199" s="3"/>
      <c r="D199" s="3"/>
      <c r="E199" s="3"/>
    </row>
    <row r="200" spans="1:5" x14ac:dyDescent="0.25">
      <c r="A200" s="3"/>
      <c r="B200" s="3"/>
      <c r="C200" s="3"/>
      <c r="D200" s="3"/>
      <c r="E200" s="3"/>
    </row>
    <row r="201" spans="1:5" x14ac:dyDescent="0.25">
      <c r="A201" s="3"/>
      <c r="B201" s="3"/>
      <c r="C201" s="3"/>
      <c r="D201" s="3"/>
      <c r="E201" s="3"/>
    </row>
    <row r="202" spans="1:5" x14ac:dyDescent="0.25">
      <c r="A202" s="3"/>
      <c r="B202" s="3"/>
      <c r="C202" s="3"/>
      <c r="D202" s="3"/>
      <c r="E202" s="3"/>
    </row>
    <row r="203" spans="1:5" x14ac:dyDescent="0.25">
      <c r="A203" s="3"/>
      <c r="B203" s="3"/>
      <c r="C203" s="3"/>
      <c r="D203" s="3"/>
      <c r="E203" s="3"/>
    </row>
    <row r="204" spans="1:5" x14ac:dyDescent="0.25">
      <c r="A204" s="3"/>
      <c r="B204" s="3"/>
      <c r="C204" s="3"/>
      <c r="D204" s="3"/>
      <c r="E204" s="3"/>
    </row>
    <row r="205" spans="1:5" x14ac:dyDescent="0.25">
      <c r="A205" s="3"/>
      <c r="B205" s="3"/>
      <c r="C205" s="3"/>
      <c r="D205" s="3"/>
      <c r="E205" s="3"/>
    </row>
    <row r="206" spans="1:5" x14ac:dyDescent="0.25">
      <c r="A206" s="3"/>
      <c r="B206" s="3"/>
      <c r="C206" s="3"/>
      <c r="D206" s="3"/>
      <c r="E206" s="3"/>
    </row>
    <row r="207" spans="1:5" x14ac:dyDescent="0.25">
      <c r="A207" s="3"/>
      <c r="B207" s="3"/>
      <c r="C207" s="3"/>
      <c r="D207" s="3"/>
      <c r="E207" s="3"/>
    </row>
    <row r="208" spans="1:5" x14ac:dyDescent="0.25">
      <c r="A208" s="3"/>
      <c r="B208" s="3"/>
      <c r="C208" s="3"/>
      <c r="D208" s="3"/>
      <c r="E208" s="3"/>
    </row>
    <row r="209" spans="1:5" x14ac:dyDescent="0.25">
      <c r="A209" s="3"/>
      <c r="B209" s="3"/>
      <c r="C209" s="3"/>
      <c r="D209" s="3"/>
      <c r="E209" s="3"/>
    </row>
    <row r="210" spans="1:5" x14ac:dyDescent="0.25">
      <c r="A210" s="3"/>
      <c r="B210" s="3"/>
      <c r="C210" s="3"/>
      <c r="D210" s="3"/>
      <c r="E210" s="3"/>
    </row>
    <row r="211" spans="1:5" x14ac:dyDescent="0.25">
      <c r="A211" s="3"/>
      <c r="B211" s="3"/>
      <c r="C211" s="3"/>
      <c r="D211" s="3"/>
      <c r="E211" s="3"/>
    </row>
    <row r="212" spans="1:5" x14ac:dyDescent="0.25">
      <c r="A212" s="3"/>
      <c r="B212" s="3"/>
      <c r="C212" s="3"/>
      <c r="D212" s="3"/>
      <c r="E212" s="3"/>
    </row>
    <row r="213" spans="1:5" x14ac:dyDescent="0.25">
      <c r="A213" s="3"/>
      <c r="B213" s="3"/>
      <c r="C213" s="3"/>
      <c r="D213" s="3"/>
      <c r="E213" s="3"/>
    </row>
    <row r="214" spans="1:5" x14ac:dyDescent="0.25">
      <c r="A214" s="3"/>
      <c r="B214" s="3"/>
      <c r="C214" s="3"/>
      <c r="D214" s="3"/>
      <c r="E214" s="3"/>
    </row>
    <row r="215" spans="1:5" x14ac:dyDescent="0.25">
      <c r="A215" s="3"/>
      <c r="B215" s="3"/>
      <c r="C215" s="3"/>
      <c r="D215" s="3"/>
      <c r="E215" s="3"/>
    </row>
    <row r="216" spans="1:5" x14ac:dyDescent="0.25">
      <c r="A216" s="3"/>
      <c r="B216" s="3"/>
      <c r="C216" s="3"/>
      <c r="D216" s="3"/>
      <c r="E216" s="3"/>
    </row>
    <row r="217" spans="1:5" x14ac:dyDescent="0.25">
      <c r="A217" s="3"/>
      <c r="B217" s="3"/>
      <c r="C217" s="3"/>
      <c r="D217" s="3"/>
      <c r="E217" s="3"/>
    </row>
    <row r="218" spans="1:5" x14ac:dyDescent="0.25">
      <c r="A218" s="3"/>
      <c r="B218" s="3"/>
      <c r="C218" s="3"/>
      <c r="D218" s="3"/>
      <c r="E218" s="3"/>
    </row>
    <row r="219" spans="1:5" x14ac:dyDescent="0.25">
      <c r="A219" s="3"/>
      <c r="B219" s="3"/>
      <c r="C219" s="3"/>
      <c r="D219" s="3"/>
      <c r="E219" s="3"/>
    </row>
    <row r="220" spans="1:5" x14ac:dyDescent="0.25">
      <c r="A220" s="3"/>
      <c r="B220" s="3"/>
      <c r="C220" s="3"/>
      <c r="D220" s="3"/>
      <c r="E220" s="3"/>
    </row>
    <row r="221" spans="1:5" x14ac:dyDescent="0.25">
      <c r="A221" s="3"/>
      <c r="B221" s="3"/>
      <c r="C221" s="3"/>
      <c r="D221" s="3"/>
      <c r="E221" s="3"/>
    </row>
    <row r="222" spans="1:5" x14ac:dyDescent="0.25">
      <c r="A222" s="3"/>
      <c r="B222" s="3"/>
      <c r="C222" s="3"/>
      <c r="D222" s="3"/>
      <c r="E222" s="3"/>
    </row>
    <row r="223" spans="1:5" x14ac:dyDescent="0.25">
      <c r="A223" s="3"/>
      <c r="B223" s="3"/>
      <c r="C223" s="3"/>
      <c r="D223" s="3"/>
      <c r="E223" s="3"/>
    </row>
    <row r="224" spans="1:5" x14ac:dyDescent="0.25">
      <c r="A224" s="3"/>
      <c r="B224" s="3"/>
      <c r="C224" s="3"/>
      <c r="D224" s="3"/>
      <c r="E224" s="3"/>
    </row>
    <row r="225" spans="1:5" x14ac:dyDescent="0.25">
      <c r="A225" s="3"/>
      <c r="B225" s="3"/>
      <c r="C225" s="3"/>
      <c r="D225" s="3"/>
      <c r="E225" s="3"/>
    </row>
    <row r="226" spans="1:5" x14ac:dyDescent="0.25">
      <c r="A226" s="3"/>
      <c r="B226" s="3"/>
      <c r="C226" s="3"/>
      <c r="D226" s="3"/>
      <c r="E226" s="3"/>
    </row>
    <row r="227" spans="1:5" x14ac:dyDescent="0.25">
      <c r="A227" s="3"/>
      <c r="B227" s="3"/>
      <c r="C227" s="3"/>
      <c r="D227" s="3"/>
      <c r="E227" s="3"/>
    </row>
    <row r="228" spans="1:5" x14ac:dyDescent="0.25">
      <c r="A228" s="3"/>
      <c r="B228" s="3"/>
      <c r="C228" s="3"/>
      <c r="D228" s="3"/>
      <c r="E228" s="3"/>
    </row>
    <row r="229" spans="1:5" x14ac:dyDescent="0.25">
      <c r="A229" s="3"/>
      <c r="B229" s="3"/>
      <c r="C229" s="3"/>
      <c r="D229" s="3"/>
      <c r="E229" s="3"/>
    </row>
    <row r="230" spans="1:5" x14ac:dyDescent="0.25">
      <c r="A230" s="3"/>
      <c r="B230" s="3"/>
      <c r="C230" s="3"/>
      <c r="D230" s="3"/>
      <c r="E230" s="3"/>
    </row>
    <row r="231" spans="1:5" x14ac:dyDescent="0.25">
      <c r="A231" s="3"/>
      <c r="B231" s="3"/>
      <c r="C231" s="3"/>
      <c r="D231" s="3"/>
      <c r="E231" s="3"/>
    </row>
    <row r="232" spans="1:5" x14ac:dyDescent="0.25">
      <c r="A232" s="3"/>
      <c r="B232" s="3"/>
      <c r="C232" s="3"/>
      <c r="D232" s="3"/>
      <c r="E232" s="3"/>
    </row>
    <row r="233" spans="1:5" x14ac:dyDescent="0.25">
      <c r="A233" s="3"/>
      <c r="B233" s="3"/>
      <c r="C233" s="3"/>
      <c r="D233" s="3"/>
      <c r="E233" s="3"/>
    </row>
    <row r="234" spans="1:5" x14ac:dyDescent="0.25">
      <c r="A234" s="3"/>
      <c r="B234" s="3"/>
      <c r="C234" s="3"/>
      <c r="D234" s="3"/>
      <c r="E234" s="3"/>
    </row>
    <row r="235" spans="1:5" x14ac:dyDescent="0.25">
      <c r="A235" s="3"/>
      <c r="B235" s="3"/>
      <c r="C235" s="3"/>
      <c r="D235" s="3"/>
      <c r="E235" s="3"/>
    </row>
    <row r="236" spans="1:5" x14ac:dyDescent="0.25">
      <c r="A236" s="3"/>
      <c r="B236" s="3"/>
      <c r="C236" s="3"/>
      <c r="D236" s="3"/>
      <c r="E236" s="3"/>
    </row>
    <row r="237" spans="1:5" x14ac:dyDescent="0.25">
      <c r="A237" s="3"/>
      <c r="B237" s="3"/>
      <c r="C237" s="3"/>
      <c r="D237" s="3"/>
      <c r="E237" s="3"/>
    </row>
    <row r="238" spans="1:5" x14ac:dyDescent="0.25">
      <c r="A238" s="3"/>
      <c r="B238" s="3"/>
      <c r="C238" s="3"/>
      <c r="D238" s="3"/>
      <c r="E238" s="3"/>
    </row>
    <row r="239" spans="1:5" x14ac:dyDescent="0.25">
      <c r="A239" s="3"/>
      <c r="B239" s="3"/>
      <c r="C239" s="3"/>
      <c r="D239" s="3"/>
      <c r="E239" s="3"/>
    </row>
    <row r="240" spans="1:5" x14ac:dyDescent="0.25">
      <c r="A240" s="3"/>
      <c r="B240" s="3"/>
      <c r="C240" s="3"/>
      <c r="D240" s="3"/>
      <c r="E240" s="3"/>
    </row>
    <row r="241" spans="1:5" x14ac:dyDescent="0.25">
      <c r="A241" s="3"/>
      <c r="B241" s="3"/>
      <c r="C241" s="3"/>
      <c r="D241" s="3"/>
      <c r="E241" s="3"/>
    </row>
    <row r="242" spans="1:5" x14ac:dyDescent="0.25">
      <c r="A242" s="3"/>
      <c r="B242" s="3"/>
      <c r="C242" s="3"/>
      <c r="D242" s="3"/>
      <c r="E242" s="3"/>
    </row>
    <row r="243" spans="1:5" x14ac:dyDescent="0.25">
      <c r="A243" s="3"/>
      <c r="B243" s="3"/>
      <c r="C243" s="3"/>
      <c r="D243" s="3"/>
      <c r="E243" s="3"/>
    </row>
    <row r="244" spans="1:5" x14ac:dyDescent="0.25">
      <c r="A244" s="3"/>
      <c r="B244" s="3"/>
      <c r="C244" s="3"/>
      <c r="D244" s="3"/>
      <c r="E244" s="3"/>
    </row>
    <row r="245" spans="1:5" x14ac:dyDescent="0.25">
      <c r="A245" s="3"/>
      <c r="B245" s="3"/>
      <c r="C245" s="3"/>
      <c r="D245" s="3"/>
      <c r="E245" s="3"/>
    </row>
    <row r="246" spans="1:5" x14ac:dyDescent="0.25">
      <c r="A246" s="3"/>
      <c r="B246" s="3"/>
      <c r="C246" s="3"/>
      <c r="D246" s="3"/>
      <c r="E246" s="3"/>
    </row>
    <row r="247" spans="1:5" x14ac:dyDescent="0.25">
      <c r="A247" s="3"/>
      <c r="B247" s="3"/>
      <c r="C247" s="3"/>
      <c r="D247" s="3"/>
      <c r="E247" s="3"/>
    </row>
    <row r="248" spans="1:5" x14ac:dyDescent="0.25">
      <c r="A248" s="3"/>
      <c r="B248" s="3"/>
      <c r="C248" s="3"/>
      <c r="D248" s="3"/>
      <c r="E248" s="3"/>
    </row>
    <row r="249" spans="1:5" x14ac:dyDescent="0.25">
      <c r="A249" s="3"/>
      <c r="B249" s="3"/>
      <c r="C249" s="3"/>
      <c r="D249" s="3"/>
      <c r="E249" s="3"/>
    </row>
    <row r="250" spans="1:5" x14ac:dyDescent="0.25">
      <c r="A250" s="3"/>
      <c r="B250" s="3"/>
      <c r="C250" s="3"/>
      <c r="D250" s="3"/>
      <c r="E250" s="3"/>
    </row>
    <row r="251" spans="1:5" x14ac:dyDescent="0.25">
      <c r="A251" s="3"/>
      <c r="B251" s="3"/>
      <c r="C251" s="3"/>
      <c r="D251" s="3"/>
      <c r="E251" s="3"/>
    </row>
    <row r="252" spans="1:5" x14ac:dyDescent="0.25">
      <c r="A252" s="3"/>
      <c r="B252" s="3"/>
      <c r="C252" s="3"/>
      <c r="D252" s="3"/>
      <c r="E252" s="3"/>
    </row>
    <row r="253" spans="1:5" x14ac:dyDescent="0.25">
      <c r="A253" s="3"/>
      <c r="B253" s="3"/>
      <c r="C253" s="3"/>
      <c r="D253" s="3"/>
      <c r="E253" s="3"/>
    </row>
    <row r="254" spans="1:5" x14ac:dyDescent="0.25">
      <c r="A254" s="3"/>
      <c r="B254" s="3"/>
      <c r="C254" s="3"/>
      <c r="D254" s="3"/>
      <c r="E254" s="3"/>
    </row>
    <row r="255" spans="1:5" x14ac:dyDescent="0.25">
      <c r="A255" s="3"/>
      <c r="B255" s="3"/>
      <c r="C255" s="3"/>
      <c r="D255" s="3"/>
      <c r="E255" s="3"/>
    </row>
    <row r="256" spans="1:5" x14ac:dyDescent="0.25">
      <c r="A256" s="3"/>
      <c r="B256" s="3"/>
      <c r="C256" s="3"/>
      <c r="D256" s="3"/>
      <c r="E256" s="3"/>
    </row>
    <row r="257" spans="1:5" x14ac:dyDescent="0.25">
      <c r="A257" s="3"/>
      <c r="B257" s="3"/>
      <c r="C257" s="3"/>
      <c r="D257" s="3"/>
      <c r="E257" s="3"/>
    </row>
    <row r="258" spans="1:5" x14ac:dyDescent="0.25">
      <c r="A258" s="3"/>
      <c r="B258" s="3"/>
      <c r="C258" s="3"/>
      <c r="D258" s="3"/>
      <c r="E258" s="3"/>
    </row>
    <row r="259" spans="1:5" x14ac:dyDescent="0.25">
      <c r="A259" s="3"/>
      <c r="B259" s="3"/>
      <c r="C259" s="3"/>
      <c r="D259" s="3"/>
      <c r="E259" s="3"/>
    </row>
    <row r="260" spans="1:5" x14ac:dyDescent="0.25">
      <c r="A260" s="3"/>
      <c r="B260" s="3"/>
      <c r="C260" s="3"/>
      <c r="D260" s="3"/>
      <c r="E260" s="3"/>
    </row>
    <row r="261" spans="1:5" x14ac:dyDescent="0.25">
      <c r="A261" s="3"/>
      <c r="B261" s="3"/>
      <c r="C261" s="3"/>
      <c r="D261" s="3"/>
      <c r="E261" s="3"/>
    </row>
    <row r="262" spans="1:5" x14ac:dyDescent="0.25">
      <c r="A262" s="3"/>
      <c r="B262" s="3"/>
      <c r="C262" s="3"/>
      <c r="D262" s="3"/>
      <c r="E262" s="3"/>
    </row>
    <row r="263" spans="1:5" x14ac:dyDescent="0.25">
      <c r="A263" s="3"/>
      <c r="B263" s="3"/>
      <c r="C263" s="3"/>
      <c r="D263" s="3"/>
      <c r="E263" s="3"/>
    </row>
    <row r="264" spans="1:5" x14ac:dyDescent="0.25">
      <c r="A264" s="3"/>
      <c r="B264" s="3"/>
      <c r="C264" s="3"/>
      <c r="D264" s="3"/>
      <c r="E264" s="3"/>
    </row>
    <row r="265" spans="1:5" x14ac:dyDescent="0.25">
      <c r="A265" s="3"/>
      <c r="B265" s="3"/>
      <c r="C265" s="3"/>
      <c r="D265" s="3"/>
      <c r="E265" s="3"/>
    </row>
    <row r="266" spans="1:5" x14ac:dyDescent="0.25">
      <c r="A266" s="3"/>
      <c r="B266" s="3"/>
      <c r="C266" s="3"/>
      <c r="D266" s="3"/>
      <c r="E266" s="3"/>
    </row>
    <row r="267" spans="1:5" x14ac:dyDescent="0.25">
      <c r="A267" s="3"/>
      <c r="B267" s="3"/>
      <c r="C267" s="3"/>
      <c r="D267" s="3"/>
      <c r="E267" s="3"/>
    </row>
    <row r="268" spans="1:5" x14ac:dyDescent="0.25">
      <c r="A268" s="3"/>
      <c r="B268" s="3"/>
      <c r="C268" s="3"/>
      <c r="D268" s="3"/>
      <c r="E268" s="3"/>
    </row>
    <row r="269" spans="1:5" x14ac:dyDescent="0.25">
      <c r="A269" s="3"/>
      <c r="B269" s="3"/>
      <c r="C269" s="3"/>
      <c r="D269" s="3"/>
      <c r="E269" s="3"/>
    </row>
    <row r="270" spans="1:5" x14ac:dyDescent="0.25">
      <c r="A270" s="3"/>
      <c r="B270" s="3"/>
      <c r="C270" s="3"/>
      <c r="D270" s="3"/>
      <c r="E270" s="3"/>
    </row>
    <row r="271" spans="1:5" x14ac:dyDescent="0.25">
      <c r="A271" s="3"/>
      <c r="B271" s="3"/>
      <c r="C271" s="3"/>
      <c r="D271" s="3"/>
      <c r="E271" s="3"/>
    </row>
    <row r="272" spans="1:5" x14ac:dyDescent="0.25">
      <c r="A272" s="3"/>
      <c r="B272" s="3"/>
      <c r="C272" s="3"/>
      <c r="D272" s="3"/>
      <c r="E272" s="3"/>
    </row>
    <row r="273" spans="1:5" x14ac:dyDescent="0.25">
      <c r="A273" s="3"/>
      <c r="B273" s="3"/>
      <c r="C273" s="3"/>
      <c r="D273" s="3"/>
      <c r="E273" s="3"/>
    </row>
    <row r="274" spans="1:5" x14ac:dyDescent="0.25">
      <c r="A274" s="3"/>
      <c r="B274" s="3"/>
      <c r="C274" s="3"/>
      <c r="D274" s="3"/>
      <c r="E274" s="3"/>
    </row>
    <row r="275" spans="1:5" x14ac:dyDescent="0.25">
      <c r="A275" s="3"/>
      <c r="B275" s="3"/>
      <c r="C275" s="3"/>
      <c r="D275" s="3"/>
      <c r="E275" s="3"/>
    </row>
    <row r="276" spans="1:5" x14ac:dyDescent="0.25">
      <c r="A276" s="3"/>
      <c r="B276" s="3"/>
      <c r="C276" s="3"/>
      <c r="D276" s="3"/>
      <c r="E276" s="3"/>
    </row>
    <row r="277" spans="1:5" x14ac:dyDescent="0.25">
      <c r="A277" s="3"/>
      <c r="B277" s="3"/>
      <c r="C277" s="3"/>
      <c r="D277" s="3"/>
      <c r="E277" s="3"/>
    </row>
    <row r="278" spans="1:5" x14ac:dyDescent="0.25">
      <c r="A278" s="3"/>
      <c r="B278" s="3"/>
      <c r="C278" s="3"/>
      <c r="D278" s="3"/>
      <c r="E278" s="3"/>
    </row>
    <row r="279" spans="1:5" x14ac:dyDescent="0.25">
      <c r="A279" s="3"/>
      <c r="B279" s="3"/>
      <c r="C279" s="3"/>
      <c r="D279" s="3"/>
      <c r="E279" s="3"/>
    </row>
    <row r="280" spans="1:5" x14ac:dyDescent="0.25">
      <c r="A280" s="3"/>
      <c r="B280" s="3"/>
      <c r="C280" s="3"/>
      <c r="D280" s="3"/>
      <c r="E280" s="3"/>
    </row>
    <row r="281" spans="1:5" x14ac:dyDescent="0.25">
      <c r="A281" s="3"/>
      <c r="B281" s="3"/>
      <c r="C281" s="3"/>
      <c r="D281" s="3"/>
      <c r="E281" s="3"/>
    </row>
    <row r="282" spans="1:5" x14ac:dyDescent="0.25">
      <c r="A282" s="3"/>
      <c r="B282" s="3"/>
      <c r="C282" s="3"/>
      <c r="D282" s="3"/>
      <c r="E282" s="3"/>
    </row>
    <row r="283" spans="1:5" x14ac:dyDescent="0.25">
      <c r="A283" s="3"/>
      <c r="B283" s="3"/>
      <c r="C283" s="3"/>
      <c r="D283" s="3"/>
      <c r="E283" s="3"/>
    </row>
    <row r="284" spans="1:5" x14ac:dyDescent="0.25">
      <c r="A284" s="3"/>
      <c r="B284" s="3"/>
      <c r="C284" s="3"/>
      <c r="D284" s="3"/>
      <c r="E284" s="3"/>
    </row>
    <row r="285" spans="1:5" x14ac:dyDescent="0.25">
      <c r="A285" s="3"/>
      <c r="B285" s="3"/>
      <c r="C285" s="3"/>
      <c r="D285" s="3"/>
      <c r="E285" s="3"/>
    </row>
    <row r="286" spans="1:5" x14ac:dyDescent="0.25">
      <c r="A286" s="3"/>
      <c r="B286" s="3"/>
      <c r="C286" s="3"/>
      <c r="D286" s="3"/>
      <c r="E286" s="3"/>
    </row>
    <row r="287" spans="1:5" x14ac:dyDescent="0.25">
      <c r="A287" s="3"/>
      <c r="B287" s="3"/>
      <c r="C287" s="3"/>
      <c r="D287" s="3"/>
      <c r="E287" s="3"/>
    </row>
    <row r="288" spans="1:5" x14ac:dyDescent="0.25">
      <c r="A288" s="3"/>
      <c r="B288" s="3"/>
      <c r="C288" s="3"/>
      <c r="D288" s="3"/>
      <c r="E288" s="3"/>
    </row>
    <row r="289" spans="1:5" x14ac:dyDescent="0.25">
      <c r="A289" s="3"/>
      <c r="B289" s="3"/>
      <c r="C289" s="3"/>
      <c r="D289" s="3"/>
      <c r="E289" s="3"/>
    </row>
    <row r="290" spans="1:5" x14ac:dyDescent="0.25">
      <c r="A290" s="3"/>
      <c r="B290" s="3"/>
      <c r="C290" s="3"/>
      <c r="D290" s="3"/>
      <c r="E290" s="3"/>
    </row>
    <row r="291" spans="1:5" x14ac:dyDescent="0.25">
      <c r="A291" s="3"/>
      <c r="B291" s="3"/>
      <c r="C291" s="3"/>
      <c r="D291" s="3"/>
      <c r="E291" s="3"/>
    </row>
    <row r="292" spans="1:5" x14ac:dyDescent="0.25">
      <c r="A292" s="3"/>
      <c r="B292" s="3"/>
      <c r="C292" s="3"/>
      <c r="D292" s="3"/>
      <c r="E292" s="3"/>
    </row>
    <row r="293" spans="1:5" x14ac:dyDescent="0.25">
      <c r="A293" s="3"/>
      <c r="B293" s="3"/>
      <c r="C293" s="3"/>
      <c r="D293" s="3"/>
      <c r="E293" s="3"/>
    </row>
    <row r="294" spans="1:5" x14ac:dyDescent="0.25">
      <c r="A294" s="3"/>
      <c r="B294" s="3"/>
      <c r="C294" s="3"/>
      <c r="D294" s="3"/>
      <c r="E294" s="3"/>
    </row>
    <row r="295" spans="1:5" x14ac:dyDescent="0.25">
      <c r="A295" s="3"/>
      <c r="B295" s="3"/>
      <c r="C295" s="3"/>
      <c r="D295" s="3"/>
      <c r="E295" s="3"/>
    </row>
    <row r="296" spans="1:5" x14ac:dyDescent="0.25">
      <c r="A296" s="3"/>
      <c r="B296" s="3"/>
      <c r="C296" s="3"/>
      <c r="D296" s="3"/>
      <c r="E296" s="3"/>
    </row>
    <row r="297" spans="1:5" x14ac:dyDescent="0.25">
      <c r="A297" s="3"/>
      <c r="B297" s="3"/>
      <c r="C297" s="3"/>
      <c r="D297" s="3"/>
      <c r="E297" s="3"/>
    </row>
    <row r="298" spans="1:5" x14ac:dyDescent="0.25">
      <c r="A298" s="3"/>
      <c r="B298" s="3"/>
      <c r="C298" s="3"/>
      <c r="D298" s="3"/>
      <c r="E298" s="3"/>
    </row>
    <row r="299" spans="1:5" x14ac:dyDescent="0.25">
      <c r="A299" s="3"/>
      <c r="B299" s="3"/>
      <c r="C299" s="3"/>
      <c r="D299" s="3"/>
      <c r="E299" s="3"/>
    </row>
    <row r="300" spans="1:5" x14ac:dyDescent="0.25">
      <c r="A300" s="3"/>
      <c r="B300" s="3"/>
      <c r="C300" s="3"/>
      <c r="D300" s="3"/>
      <c r="E300" s="3"/>
    </row>
    <row r="301" spans="1:5" x14ac:dyDescent="0.25">
      <c r="A301" s="3"/>
      <c r="B301" s="3"/>
      <c r="C301" s="3"/>
      <c r="D301" s="3"/>
      <c r="E301" s="3"/>
    </row>
    <row r="302" spans="1:5" x14ac:dyDescent="0.25">
      <c r="A302" s="3"/>
      <c r="B302" s="3"/>
      <c r="C302" s="3"/>
      <c r="D302" s="3"/>
      <c r="E302" s="3"/>
    </row>
    <row r="303" spans="1:5" x14ac:dyDescent="0.25">
      <c r="A303" s="3"/>
      <c r="B303" s="3"/>
      <c r="C303" s="3"/>
      <c r="D303" s="3"/>
      <c r="E303" s="3"/>
    </row>
    <row r="304" spans="1:5" x14ac:dyDescent="0.25">
      <c r="A304" s="3"/>
      <c r="B304" s="3"/>
      <c r="C304" s="3"/>
      <c r="D304" s="3"/>
      <c r="E304" s="3"/>
    </row>
    <row r="305" spans="1:5" x14ac:dyDescent="0.25">
      <c r="A305" s="3"/>
      <c r="B305" s="3"/>
      <c r="C305" s="3"/>
      <c r="D305" s="3"/>
      <c r="E305" s="3"/>
    </row>
    <row r="306" spans="1:5" x14ac:dyDescent="0.25">
      <c r="A306" s="3"/>
      <c r="B306" s="3"/>
      <c r="C306" s="3"/>
      <c r="D306" s="3"/>
      <c r="E306" s="3"/>
    </row>
    <row r="307" spans="1:5" x14ac:dyDescent="0.25">
      <c r="A307" s="3"/>
      <c r="B307" s="3"/>
      <c r="C307" s="3"/>
      <c r="D307" s="3"/>
      <c r="E307" s="3"/>
    </row>
    <row r="308" spans="1:5" x14ac:dyDescent="0.25">
      <c r="A308" s="3"/>
      <c r="B308" s="3"/>
      <c r="C308" s="3"/>
      <c r="D308" s="3"/>
      <c r="E308" s="3"/>
    </row>
    <row r="309" spans="1:5" x14ac:dyDescent="0.25">
      <c r="A309" s="3"/>
      <c r="B309" s="3"/>
      <c r="C309" s="3"/>
      <c r="D309" s="3"/>
      <c r="E309" s="3"/>
    </row>
    <row r="310" spans="1:5" x14ac:dyDescent="0.25">
      <c r="A310" s="3"/>
      <c r="B310" s="3"/>
      <c r="C310" s="3"/>
      <c r="D310" s="3"/>
      <c r="E310" s="3"/>
    </row>
    <row r="311" spans="1:5" x14ac:dyDescent="0.25">
      <c r="A311" s="3"/>
      <c r="B311" s="3"/>
      <c r="C311" s="3"/>
      <c r="D311" s="3"/>
      <c r="E311" s="3"/>
    </row>
    <row r="312" spans="1:5" x14ac:dyDescent="0.25">
      <c r="A312" s="3"/>
      <c r="B312" s="3"/>
      <c r="C312" s="3"/>
      <c r="D312" s="3"/>
      <c r="E312" s="3"/>
    </row>
    <row r="313" spans="1:5" x14ac:dyDescent="0.25">
      <c r="A313" s="3"/>
      <c r="B313" s="3"/>
      <c r="C313" s="3"/>
      <c r="D313" s="3"/>
      <c r="E313" s="3"/>
    </row>
    <row r="314" spans="1:5" x14ac:dyDescent="0.25">
      <c r="A314" s="3"/>
      <c r="B314" s="3"/>
      <c r="C314" s="3"/>
      <c r="D314" s="3"/>
      <c r="E314" s="3"/>
    </row>
    <row r="315" spans="1:5" x14ac:dyDescent="0.25">
      <c r="A315" s="3"/>
      <c r="B315" s="3"/>
      <c r="C315" s="3"/>
      <c r="D315" s="3"/>
      <c r="E315" s="3"/>
    </row>
    <row r="316" spans="1:5" x14ac:dyDescent="0.25">
      <c r="A316" s="3"/>
      <c r="B316" s="3"/>
      <c r="C316" s="3"/>
      <c r="D316" s="3"/>
      <c r="E316" s="3"/>
    </row>
    <row r="317" spans="1:5" x14ac:dyDescent="0.25">
      <c r="A317" s="3"/>
      <c r="B317" s="3"/>
      <c r="C317" s="3"/>
      <c r="D317" s="3"/>
      <c r="E317" s="3"/>
    </row>
    <row r="318" spans="1:5" x14ac:dyDescent="0.25">
      <c r="A318" s="3"/>
      <c r="B318" s="3"/>
      <c r="C318" s="3"/>
      <c r="D318" s="3"/>
      <c r="E318" s="3"/>
    </row>
    <row r="319" spans="1:5" x14ac:dyDescent="0.25">
      <c r="A319" s="3"/>
      <c r="B319" s="3"/>
      <c r="C319" s="3"/>
      <c r="D319" s="3"/>
      <c r="E319" s="3"/>
    </row>
    <row r="320" spans="1:5" x14ac:dyDescent="0.25">
      <c r="A320" s="3"/>
      <c r="B320" s="3"/>
      <c r="C320" s="3"/>
      <c r="D320" s="3"/>
      <c r="E320" s="3"/>
    </row>
    <row r="321" spans="1:5" x14ac:dyDescent="0.25">
      <c r="A321" s="3"/>
      <c r="B321" s="3"/>
      <c r="C321" s="3"/>
      <c r="D321" s="3"/>
      <c r="E321" s="3"/>
    </row>
    <row r="322" spans="1:5" x14ac:dyDescent="0.25">
      <c r="A322" s="3"/>
      <c r="B322" s="3"/>
      <c r="C322" s="3"/>
      <c r="D322" s="3"/>
      <c r="E322" s="3"/>
    </row>
    <row r="323" spans="1:5" x14ac:dyDescent="0.25">
      <c r="A323" s="3"/>
      <c r="B323" s="3"/>
      <c r="C323" s="3"/>
      <c r="D323" s="3"/>
      <c r="E323" s="3"/>
    </row>
    <row r="324" spans="1:5" x14ac:dyDescent="0.25">
      <c r="A324" s="3"/>
      <c r="B324" s="3"/>
      <c r="C324" s="3"/>
      <c r="D324" s="3"/>
      <c r="E324" s="3"/>
    </row>
    <row r="325" spans="1:5" x14ac:dyDescent="0.25">
      <c r="A325" s="3"/>
      <c r="B325" s="3"/>
      <c r="C325" s="3"/>
      <c r="D325" s="3"/>
      <c r="E325" s="3"/>
    </row>
    <row r="326" spans="1:5" x14ac:dyDescent="0.25">
      <c r="A326" s="3"/>
      <c r="B326" s="3"/>
      <c r="C326" s="3"/>
      <c r="D326" s="3"/>
      <c r="E326" s="3"/>
    </row>
    <row r="327" spans="1:5" x14ac:dyDescent="0.25">
      <c r="A327" s="3"/>
      <c r="B327" s="3"/>
      <c r="C327" s="3"/>
      <c r="D327" s="3"/>
      <c r="E327" s="3"/>
    </row>
    <row r="328" spans="1:5" x14ac:dyDescent="0.25">
      <c r="A328" s="3"/>
      <c r="B328" s="3"/>
      <c r="C328" s="3"/>
      <c r="D328" s="3"/>
      <c r="E328" s="3"/>
    </row>
    <row r="329" spans="1:5" x14ac:dyDescent="0.25">
      <c r="A329" s="3"/>
      <c r="B329" s="3"/>
      <c r="C329" s="3"/>
      <c r="D329" s="3"/>
      <c r="E329" s="3"/>
    </row>
    <row r="330" spans="1:5" x14ac:dyDescent="0.25">
      <c r="A330" s="3"/>
      <c r="B330" s="3"/>
      <c r="C330" s="3"/>
      <c r="D330" s="3"/>
      <c r="E330" s="3"/>
    </row>
    <row r="331" spans="1:5" x14ac:dyDescent="0.25">
      <c r="A331" s="3"/>
      <c r="B331" s="3"/>
      <c r="C331" s="3"/>
      <c r="D331" s="3"/>
      <c r="E331" s="3"/>
    </row>
    <row r="332" spans="1:5" x14ac:dyDescent="0.25">
      <c r="A332" s="3"/>
      <c r="B332" s="3"/>
      <c r="C332" s="3"/>
      <c r="D332" s="3"/>
      <c r="E332" s="3"/>
    </row>
    <row r="333" spans="1:5" x14ac:dyDescent="0.25">
      <c r="A333" s="3"/>
      <c r="B333" s="3"/>
      <c r="C333" s="3"/>
      <c r="D333" s="3"/>
      <c r="E333" s="3"/>
    </row>
    <row r="334" spans="1:5" x14ac:dyDescent="0.25">
      <c r="A334" s="3"/>
      <c r="B334" s="3"/>
      <c r="C334" s="3"/>
      <c r="D334" s="3"/>
      <c r="E334" s="3"/>
    </row>
    <row r="335" spans="1:5" x14ac:dyDescent="0.25">
      <c r="A335" s="3"/>
      <c r="B335" s="3"/>
      <c r="C335" s="3"/>
      <c r="D335" s="3"/>
      <c r="E335" s="3"/>
    </row>
    <row r="336" spans="1:5" x14ac:dyDescent="0.25">
      <c r="A336" s="3"/>
      <c r="B336" s="3"/>
      <c r="C336" s="3"/>
      <c r="D336" s="3"/>
      <c r="E336" s="3"/>
    </row>
    <row r="337" spans="1:5" x14ac:dyDescent="0.25">
      <c r="A337" s="3"/>
      <c r="B337" s="3"/>
      <c r="C337" s="3"/>
      <c r="D337" s="3"/>
      <c r="E337" s="3"/>
    </row>
    <row r="338" spans="1:5" x14ac:dyDescent="0.25">
      <c r="A338" s="3"/>
      <c r="B338" s="3"/>
      <c r="C338" s="3"/>
      <c r="D338" s="3"/>
      <c r="E338" s="3"/>
    </row>
    <row r="339" spans="1:5" x14ac:dyDescent="0.25">
      <c r="A339" s="3"/>
      <c r="B339" s="3"/>
      <c r="C339" s="3"/>
      <c r="D339" s="3"/>
      <c r="E339" s="3"/>
    </row>
    <row r="340" spans="1:5" x14ac:dyDescent="0.25">
      <c r="A340" s="3"/>
      <c r="B340" s="3"/>
      <c r="C340" s="3"/>
      <c r="D340" s="3"/>
      <c r="E340" s="3"/>
    </row>
    <row r="341" spans="1:5" x14ac:dyDescent="0.25">
      <c r="A341" s="3"/>
      <c r="B341" s="3"/>
      <c r="C341" s="3"/>
      <c r="D341" s="3"/>
      <c r="E341" s="3"/>
    </row>
    <row r="342" spans="1:5" x14ac:dyDescent="0.25">
      <c r="A342" s="3"/>
      <c r="B342" s="3"/>
      <c r="C342" s="3"/>
      <c r="D342" s="3"/>
      <c r="E342" s="3"/>
    </row>
    <row r="343" spans="1:5" x14ac:dyDescent="0.25">
      <c r="A343" s="3"/>
      <c r="B343" s="3"/>
      <c r="C343" s="3"/>
      <c r="D343" s="3"/>
      <c r="E343" s="3"/>
    </row>
    <row r="344" spans="1:5" x14ac:dyDescent="0.25">
      <c r="A344" s="3"/>
      <c r="B344" s="3"/>
      <c r="C344" s="3"/>
      <c r="D344" s="3"/>
      <c r="E344" s="3"/>
    </row>
    <row r="345" spans="1:5" x14ac:dyDescent="0.25">
      <c r="A345" s="3"/>
      <c r="B345" s="3"/>
      <c r="C345" s="3"/>
      <c r="D345" s="3"/>
      <c r="E345" s="3"/>
    </row>
    <row r="346" spans="1:5" x14ac:dyDescent="0.25">
      <c r="A346" s="3"/>
      <c r="B346" s="3"/>
      <c r="C346" s="3"/>
      <c r="D346" s="3"/>
      <c r="E346" s="3"/>
    </row>
    <row r="347" spans="1:5" x14ac:dyDescent="0.25">
      <c r="A347" s="3"/>
      <c r="B347" s="3"/>
      <c r="C347" s="3"/>
      <c r="D347" s="3"/>
      <c r="E347" s="3"/>
    </row>
    <row r="348" spans="1:5" x14ac:dyDescent="0.25">
      <c r="A348" s="3"/>
      <c r="B348" s="3"/>
      <c r="C348" s="3"/>
      <c r="D348" s="3"/>
      <c r="E348" s="3"/>
    </row>
    <row r="349" spans="1:5" x14ac:dyDescent="0.25">
      <c r="A349" s="3"/>
      <c r="B349" s="3"/>
      <c r="C349" s="3"/>
      <c r="D349" s="3"/>
      <c r="E349" s="3"/>
    </row>
    <row r="350" spans="1:5" x14ac:dyDescent="0.25">
      <c r="A350" s="3"/>
      <c r="B350" s="3"/>
      <c r="C350" s="3"/>
      <c r="D350" s="3"/>
      <c r="E350" s="3"/>
    </row>
    <row r="351" spans="1:5" x14ac:dyDescent="0.25">
      <c r="A351" s="3"/>
      <c r="B351" s="3"/>
      <c r="C351" s="3"/>
      <c r="D351" s="3"/>
      <c r="E351" s="3"/>
    </row>
    <row r="352" spans="1:5" x14ac:dyDescent="0.25">
      <c r="A352" s="3"/>
      <c r="B352" s="3"/>
      <c r="C352" s="3"/>
      <c r="D352" s="3"/>
      <c r="E352" s="3"/>
    </row>
    <row r="353" spans="1:5" x14ac:dyDescent="0.25">
      <c r="A353" s="3"/>
      <c r="B353" s="3"/>
      <c r="C353" s="3"/>
      <c r="D353" s="3"/>
      <c r="E353" s="3"/>
    </row>
    <row r="354" spans="1:5" x14ac:dyDescent="0.25">
      <c r="A354" s="3"/>
      <c r="B354" s="3"/>
      <c r="C354" s="3"/>
      <c r="D354" s="3"/>
      <c r="E354" s="3"/>
    </row>
    <row r="355" spans="1:5" x14ac:dyDescent="0.25">
      <c r="A355" s="3"/>
      <c r="B355" s="3"/>
      <c r="C355" s="3"/>
      <c r="D355" s="3"/>
      <c r="E355" s="3"/>
    </row>
    <row r="356" spans="1:5" x14ac:dyDescent="0.25">
      <c r="A356" s="3"/>
      <c r="B356" s="3"/>
      <c r="C356" s="3"/>
      <c r="D356" s="3"/>
      <c r="E356" s="3"/>
    </row>
    <row r="357" spans="1:5" x14ac:dyDescent="0.25">
      <c r="A357" s="3"/>
      <c r="B357" s="3"/>
      <c r="C357" s="3"/>
      <c r="D357" s="3"/>
      <c r="E357" s="3"/>
    </row>
    <row r="358" spans="1:5" x14ac:dyDescent="0.25">
      <c r="A358" s="3"/>
      <c r="B358" s="3"/>
      <c r="C358" s="3"/>
      <c r="D358" s="3"/>
      <c r="E358" s="3"/>
    </row>
    <row r="359" spans="1:5" x14ac:dyDescent="0.25">
      <c r="A359" s="3"/>
      <c r="B359" s="3"/>
      <c r="C359" s="3"/>
      <c r="D359" s="3"/>
      <c r="E359" s="3"/>
    </row>
    <row r="360" spans="1:5" x14ac:dyDescent="0.25">
      <c r="A360" s="3"/>
      <c r="B360" s="3"/>
      <c r="C360" s="3"/>
      <c r="D360" s="3"/>
      <c r="E360" s="3"/>
    </row>
    <row r="361" spans="1:5" x14ac:dyDescent="0.25">
      <c r="A361" s="3"/>
      <c r="B361" s="3"/>
      <c r="C361" s="3"/>
      <c r="D361" s="3"/>
      <c r="E361" s="3"/>
    </row>
    <row r="362" spans="1:5" x14ac:dyDescent="0.25">
      <c r="A362" s="3"/>
      <c r="B362" s="3"/>
      <c r="C362" s="3"/>
      <c r="D362" s="3"/>
      <c r="E362" s="3"/>
    </row>
    <row r="363" spans="1:5" x14ac:dyDescent="0.25">
      <c r="A363" s="3"/>
      <c r="B363" s="3"/>
      <c r="C363" s="3"/>
      <c r="D363" s="3"/>
      <c r="E363" s="3"/>
    </row>
    <row r="364" spans="1:5" x14ac:dyDescent="0.25">
      <c r="A364" s="3"/>
      <c r="B364" s="3"/>
      <c r="C364" s="3"/>
      <c r="D364" s="3"/>
      <c r="E364" s="3"/>
    </row>
    <row r="365" spans="1:5" x14ac:dyDescent="0.25">
      <c r="A365" s="3"/>
      <c r="B365" s="3"/>
      <c r="C365" s="3"/>
      <c r="D365" s="3"/>
      <c r="E365" s="3"/>
    </row>
    <row r="366" spans="1:5" x14ac:dyDescent="0.25">
      <c r="A366" s="3"/>
      <c r="B366" s="3"/>
      <c r="C366" s="3"/>
      <c r="D366" s="3"/>
      <c r="E366" s="3"/>
    </row>
    <row r="367" spans="1:5" x14ac:dyDescent="0.25">
      <c r="A367" s="3"/>
      <c r="B367" s="3"/>
      <c r="C367" s="3"/>
      <c r="D367" s="3"/>
      <c r="E367" s="3"/>
    </row>
    <row r="368" spans="1:5" x14ac:dyDescent="0.25">
      <c r="A368" s="3"/>
      <c r="B368" s="3"/>
      <c r="C368" s="3"/>
      <c r="D368" s="3"/>
      <c r="E368" s="3"/>
    </row>
    <row r="369" spans="1:5" x14ac:dyDescent="0.25">
      <c r="A369" s="3"/>
      <c r="B369" s="3"/>
      <c r="C369" s="3"/>
      <c r="D369" s="3"/>
      <c r="E369" s="3"/>
    </row>
    <row r="370" spans="1:5" x14ac:dyDescent="0.25">
      <c r="A370" s="3"/>
      <c r="B370" s="3"/>
      <c r="C370" s="3"/>
      <c r="D370" s="3"/>
      <c r="E370" s="3"/>
    </row>
    <row r="371" spans="1:5" x14ac:dyDescent="0.25">
      <c r="A371" s="3"/>
      <c r="B371" s="3"/>
      <c r="C371" s="3"/>
      <c r="D371" s="3"/>
      <c r="E371" s="3"/>
    </row>
    <row r="372" spans="1:5" x14ac:dyDescent="0.25">
      <c r="A372" s="3"/>
      <c r="B372" s="3"/>
      <c r="C372" s="3"/>
      <c r="D372" s="3"/>
      <c r="E372" s="3"/>
    </row>
    <row r="373" spans="1:5" x14ac:dyDescent="0.25">
      <c r="A373" s="3"/>
      <c r="B373" s="3"/>
      <c r="C373" s="3"/>
      <c r="D373" s="3"/>
      <c r="E373" s="3"/>
    </row>
    <row r="374" spans="1:5" x14ac:dyDescent="0.25">
      <c r="A374" s="3"/>
      <c r="B374" s="3"/>
      <c r="C374" s="3"/>
      <c r="D374" s="3"/>
      <c r="E374" s="3"/>
    </row>
    <row r="375" spans="1:5" x14ac:dyDescent="0.25">
      <c r="A375" s="3"/>
      <c r="B375" s="3"/>
      <c r="C375" s="3"/>
      <c r="D375" s="3"/>
      <c r="E375" s="3"/>
    </row>
    <row r="376" spans="1:5" x14ac:dyDescent="0.25">
      <c r="A376" s="3"/>
      <c r="B376" s="3"/>
      <c r="C376" s="3"/>
      <c r="D376" s="3"/>
      <c r="E376" s="3"/>
    </row>
    <row r="377" spans="1:5" x14ac:dyDescent="0.25">
      <c r="A377" s="3"/>
      <c r="B377" s="3"/>
      <c r="C377" s="3"/>
      <c r="D377" s="3"/>
      <c r="E377" s="3"/>
    </row>
    <row r="378" spans="1:5" x14ac:dyDescent="0.25">
      <c r="A378" s="3"/>
      <c r="B378" s="3"/>
      <c r="C378" s="3"/>
      <c r="D378" s="3"/>
      <c r="E378" s="3"/>
    </row>
    <row r="379" spans="1:5" x14ac:dyDescent="0.25">
      <c r="A379" s="3"/>
      <c r="B379" s="3"/>
      <c r="C379" s="3"/>
      <c r="D379" s="3"/>
      <c r="E379" s="3"/>
    </row>
    <row r="380" spans="1:5" x14ac:dyDescent="0.25">
      <c r="A380" s="3"/>
      <c r="B380" s="3"/>
      <c r="C380" s="3"/>
      <c r="D380" s="3"/>
      <c r="E380" s="3"/>
    </row>
    <row r="381" spans="1:5" x14ac:dyDescent="0.25">
      <c r="A381" s="3"/>
      <c r="B381" s="3"/>
      <c r="C381" s="3"/>
      <c r="D381" s="3"/>
      <c r="E381" s="3"/>
    </row>
    <row r="382" spans="1:5" x14ac:dyDescent="0.25">
      <c r="A382" s="3"/>
      <c r="B382" s="3"/>
      <c r="C382" s="3"/>
      <c r="D382" s="3"/>
      <c r="E382" s="3"/>
    </row>
    <row r="383" spans="1:5" x14ac:dyDescent="0.25">
      <c r="A383" s="3"/>
      <c r="B383" s="3"/>
      <c r="C383" s="3"/>
      <c r="D383" s="3"/>
      <c r="E383" s="3"/>
    </row>
    <row r="384" spans="1:5" x14ac:dyDescent="0.25">
      <c r="A384" s="3"/>
      <c r="B384" s="3"/>
      <c r="C384" s="3"/>
      <c r="D384" s="3"/>
      <c r="E384" s="3"/>
    </row>
    <row r="385" spans="1:5" x14ac:dyDescent="0.25">
      <c r="A385" s="3"/>
      <c r="B385" s="3"/>
      <c r="C385" s="3"/>
      <c r="D385" s="3"/>
      <c r="E385" s="3"/>
    </row>
    <row r="386" spans="1:5" x14ac:dyDescent="0.25">
      <c r="A386" s="3"/>
      <c r="B386" s="3"/>
      <c r="C386" s="3"/>
      <c r="D386" s="3"/>
      <c r="E386" s="3"/>
    </row>
    <row r="387" spans="1:5" x14ac:dyDescent="0.25">
      <c r="A387" s="3"/>
      <c r="B387" s="3"/>
      <c r="C387" s="3"/>
      <c r="D387" s="3"/>
      <c r="E387" s="3"/>
    </row>
    <row r="388" spans="1:5" x14ac:dyDescent="0.25">
      <c r="A388" s="3"/>
      <c r="B388" s="3"/>
      <c r="C388" s="3"/>
      <c r="D388" s="3"/>
      <c r="E388" s="3"/>
    </row>
    <row r="389" spans="1:5" x14ac:dyDescent="0.25">
      <c r="A389" s="3"/>
      <c r="B389" s="3"/>
      <c r="C389" s="3"/>
      <c r="D389" s="3"/>
      <c r="E389" s="3"/>
    </row>
    <row r="390" spans="1:5" x14ac:dyDescent="0.25">
      <c r="A390" s="3"/>
      <c r="B390" s="3"/>
      <c r="C390" s="3"/>
      <c r="D390" s="3"/>
      <c r="E390" s="3"/>
    </row>
    <row r="391" spans="1:5" x14ac:dyDescent="0.25">
      <c r="A391" s="3"/>
      <c r="B391" s="3"/>
      <c r="C391" s="3"/>
      <c r="D391" s="3"/>
      <c r="E391" s="3"/>
    </row>
    <row r="392" spans="1:5" x14ac:dyDescent="0.25">
      <c r="A392" s="3"/>
      <c r="B392" s="3"/>
      <c r="C392" s="3"/>
      <c r="D392" s="3"/>
      <c r="E392" s="3"/>
    </row>
    <row r="393" spans="1:5" x14ac:dyDescent="0.25">
      <c r="A393" s="3"/>
      <c r="B393" s="3"/>
      <c r="C393" s="3"/>
      <c r="D393" s="3"/>
      <c r="E393" s="3"/>
    </row>
    <row r="394" spans="1:5" x14ac:dyDescent="0.25">
      <c r="A394" s="3"/>
      <c r="B394" s="3"/>
      <c r="C394" s="3"/>
      <c r="D394" s="3"/>
      <c r="E394" s="3"/>
    </row>
    <row r="395" spans="1:5" x14ac:dyDescent="0.25">
      <c r="A395" s="3"/>
      <c r="B395" s="3"/>
      <c r="C395" s="3"/>
      <c r="D395" s="3"/>
      <c r="E395" s="3"/>
    </row>
    <row r="396" spans="1:5" x14ac:dyDescent="0.25">
      <c r="A396" s="3"/>
      <c r="B396" s="3"/>
      <c r="C396" s="3"/>
      <c r="D396" s="3"/>
      <c r="E396" s="3"/>
    </row>
    <row r="397" spans="1:5" x14ac:dyDescent="0.25">
      <c r="A397" s="3"/>
      <c r="B397" s="3"/>
      <c r="C397" s="3"/>
      <c r="D397" s="3"/>
      <c r="E397" s="3"/>
    </row>
    <row r="398" spans="1:5" x14ac:dyDescent="0.25">
      <c r="A398" s="3"/>
      <c r="B398" s="3"/>
      <c r="C398" s="3"/>
      <c r="D398" s="3"/>
      <c r="E398" s="3"/>
    </row>
    <row r="399" spans="1:5" x14ac:dyDescent="0.25">
      <c r="A399" s="3"/>
      <c r="B399" s="3"/>
      <c r="C399" s="3"/>
      <c r="D399" s="3"/>
      <c r="E399" s="3"/>
    </row>
    <row r="400" spans="1:5" x14ac:dyDescent="0.25">
      <c r="A400" s="3"/>
      <c r="B400" s="3"/>
      <c r="C400" s="3"/>
      <c r="D400" s="3"/>
      <c r="E400" s="3"/>
    </row>
    <row r="401" spans="1:5" x14ac:dyDescent="0.25">
      <c r="A401" s="3"/>
      <c r="B401" s="3"/>
      <c r="C401" s="3"/>
      <c r="D401" s="3"/>
      <c r="E401" s="3"/>
    </row>
    <row r="402" spans="1:5" x14ac:dyDescent="0.25">
      <c r="A402" s="3"/>
      <c r="B402" s="3"/>
      <c r="C402" s="3"/>
      <c r="D402" s="3"/>
      <c r="E402" s="3"/>
    </row>
    <row r="403" spans="1:5" x14ac:dyDescent="0.25">
      <c r="A403" s="3"/>
      <c r="B403" s="3"/>
      <c r="C403" s="3"/>
      <c r="D403" s="3"/>
      <c r="E403" s="3"/>
    </row>
    <row r="404" spans="1:5" x14ac:dyDescent="0.25">
      <c r="A404" s="3"/>
      <c r="B404" s="3"/>
      <c r="C404" s="3"/>
      <c r="D404" s="3"/>
      <c r="E404" s="3"/>
    </row>
    <row r="405" spans="1:5" x14ac:dyDescent="0.25">
      <c r="A405" s="3"/>
      <c r="B405" s="3"/>
      <c r="C405" s="3"/>
      <c r="D405" s="3"/>
      <c r="E405" s="3"/>
    </row>
    <row r="406" spans="1:5" x14ac:dyDescent="0.25">
      <c r="A406" s="3"/>
      <c r="B406" s="3"/>
      <c r="C406" s="3"/>
      <c r="D406" s="3"/>
      <c r="E406" s="3"/>
    </row>
    <row r="407" spans="1:5" x14ac:dyDescent="0.25">
      <c r="A407" s="3"/>
      <c r="B407" s="3"/>
      <c r="C407" s="3"/>
      <c r="D407" s="3"/>
      <c r="E407" s="3"/>
    </row>
    <row r="408" spans="1:5" x14ac:dyDescent="0.25">
      <c r="A408" s="3"/>
      <c r="B408" s="3"/>
      <c r="C408" s="3"/>
      <c r="D408" s="3"/>
      <c r="E408" s="3"/>
    </row>
    <row r="409" spans="1:5" x14ac:dyDescent="0.25">
      <c r="A409" s="3"/>
      <c r="B409" s="3"/>
      <c r="C409" s="3"/>
      <c r="D409" s="3"/>
      <c r="E409" s="3"/>
    </row>
    <row r="410" spans="1:5" x14ac:dyDescent="0.25">
      <c r="A410" s="3"/>
      <c r="B410" s="3"/>
      <c r="C410" s="3"/>
      <c r="D410" s="3"/>
      <c r="E410" s="3"/>
    </row>
    <row r="411" spans="1:5" x14ac:dyDescent="0.25">
      <c r="A411" s="3"/>
      <c r="B411" s="3"/>
      <c r="C411" s="3"/>
      <c r="D411" s="3"/>
      <c r="E411" s="3"/>
    </row>
    <row r="412" spans="1:5" x14ac:dyDescent="0.25">
      <c r="A412" s="3"/>
      <c r="B412" s="3"/>
      <c r="C412" s="3"/>
      <c r="D412" s="3"/>
      <c r="E412" s="3"/>
    </row>
    <row r="413" spans="1:5" x14ac:dyDescent="0.25">
      <c r="A413" s="3"/>
      <c r="B413" s="3"/>
      <c r="C413" s="3"/>
      <c r="D413" s="3"/>
      <c r="E413" s="3"/>
    </row>
    <row r="414" spans="1:5" x14ac:dyDescent="0.25">
      <c r="A414" s="3"/>
      <c r="B414" s="3"/>
      <c r="C414" s="3"/>
      <c r="D414" s="3"/>
      <c r="E414" s="3"/>
    </row>
    <row r="415" spans="1:5" x14ac:dyDescent="0.25">
      <c r="A415" s="3"/>
      <c r="B415" s="3"/>
      <c r="C415" s="3"/>
      <c r="D415" s="3"/>
      <c r="E415" s="3"/>
    </row>
    <row r="416" spans="1:5" x14ac:dyDescent="0.25">
      <c r="A416" s="3"/>
      <c r="B416" s="3"/>
      <c r="C416" s="3"/>
      <c r="D416" s="3"/>
      <c r="E416" s="3"/>
    </row>
    <row r="417" spans="1:5" x14ac:dyDescent="0.25">
      <c r="A417" s="3"/>
      <c r="B417" s="3"/>
      <c r="C417" s="3"/>
      <c r="D417" s="3"/>
      <c r="E417" s="3"/>
    </row>
    <row r="418" spans="1:5" x14ac:dyDescent="0.25">
      <c r="A418" s="3"/>
      <c r="B418" s="3"/>
      <c r="C418" s="3"/>
      <c r="D418" s="3"/>
      <c r="E418" s="3"/>
    </row>
    <row r="419" spans="1:5" x14ac:dyDescent="0.25">
      <c r="A419" s="3"/>
      <c r="B419" s="3"/>
      <c r="C419" s="3"/>
      <c r="D419" s="3"/>
      <c r="E419" s="3"/>
    </row>
    <row r="420" spans="1:5" x14ac:dyDescent="0.25">
      <c r="A420" s="3"/>
      <c r="B420" s="3"/>
      <c r="C420" s="3"/>
      <c r="D420" s="3"/>
      <c r="E420" s="3"/>
    </row>
    <row r="421" spans="1:5" x14ac:dyDescent="0.25">
      <c r="A421" s="3"/>
      <c r="B421" s="3"/>
      <c r="C421" s="3"/>
      <c r="D421" s="3"/>
      <c r="E421" s="3"/>
    </row>
    <row r="422" spans="1:5" x14ac:dyDescent="0.25">
      <c r="A422" s="3"/>
      <c r="B422" s="3"/>
      <c r="C422" s="3"/>
      <c r="D422" s="3"/>
      <c r="E422" s="3"/>
    </row>
    <row r="423" spans="1:5" x14ac:dyDescent="0.25">
      <c r="A423" s="3"/>
      <c r="B423" s="3"/>
      <c r="C423" s="3"/>
      <c r="D423" s="3"/>
      <c r="E423" s="3"/>
    </row>
    <row r="424" spans="1:5" x14ac:dyDescent="0.25">
      <c r="A424" s="3"/>
      <c r="B424" s="3"/>
      <c r="C424" s="3"/>
      <c r="D424" s="3"/>
      <c r="E424" s="3"/>
    </row>
    <row r="425" spans="1:5" x14ac:dyDescent="0.25">
      <c r="A425" s="3"/>
      <c r="B425" s="3"/>
      <c r="C425" s="3"/>
      <c r="D425" s="3"/>
      <c r="E425" s="3"/>
    </row>
    <row r="426" spans="1:5" x14ac:dyDescent="0.25">
      <c r="A426" s="3"/>
      <c r="B426" s="3"/>
      <c r="C426" s="3"/>
      <c r="D426" s="3"/>
      <c r="E426" s="3"/>
    </row>
    <row r="427" spans="1:5" x14ac:dyDescent="0.25">
      <c r="A427" s="3"/>
      <c r="B427" s="3"/>
      <c r="C427" s="3"/>
      <c r="D427" s="3"/>
      <c r="E427" s="3"/>
    </row>
    <row r="428" spans="1:5" x14ac:dyDescent="0.25">
      <c r="A428" s="3"/>
      <c r="B428" s="3"/>
      <c r="C428" s="3"/>
      <c r="D428" s="3"/>
      <c r="E428" s="3"/>
    </row>
    <row r="429" spans="1:5" x14ac:dyDescent="0.25">
      <c r="A429" s="3"/>
      <c r="B429" s="3"/>
      <c r="C429" s="3"/>
      <c r="D429" s="3"/>
      <c r="E429" s="3"/>
    </row>
    <row r="430" spans="1:5" x14ac:dyDescent="0.25">
      <c r="A430" s="3"/>
      <c r="B430" s="3"/>
      <c r="C430" s="3"/>
      <c r="D430" s="3"/>
      <c r="E430" s="3"/>
    </row>
    <row r="431" spans="1:5" x14ac:dyDescent="0.25">
      <c r="A431" s="3"/>
      <c r="B431" s="3"/>
      <c r="C431" s="3"/>
      <c r="D431" s="3"/>
      <c r="E431" s="3"/>
    </row>
    <row r="432" spans="1:5" x14ac:dyDescent="0.25">
      <c r="A432" s="3"/>
      <c r="B432" s="3"/>
      <c r="C432" s="3"/>
      <c r="D432" s="3"/>
      <c r="E432" s="3"/>
    </row>
    <row r="433" spans="1:5" x14ac:dyDescent="0.25">
      <c r="A433" s="3"/>
      <c r="B433" s="3"/>
      <c r="C433" s="3"/>
      <c r="D433" s="3"/>
      <c r="E433" s="3"/>
    </row>
    <row r="434" spans="1:5" x14ac:dyDescent="0.25">
      <c r="A434" s="3"/>
      <c r="B434" s="3"/>
      <c r="C434" s="3"/>
      <c r="D434" s="3"/>
      <c r="E434" s="3"/>
    </row>
    <row r="435" spans="1:5" x14ac:dyDescent="0.25">
      <c r="A435" s="3"/>
      <c r="B435" s="3"/>
      <c r="C435" s="3"/>
      <c r="D435" s="3"/>
      <c r="E435" s="3"/>
    </row>
    <row r="436" spans="1:5" x14ac:dyDescent="0.25">
      <c r="A436" s="3"/>
      <c r="B436" s="3"/>
      <c r="C436" s="3"/>
      <c r="D436" s="3"/>
      <c r="E436" s="3"/>
    </row>
    <row r="437" spans="1:5" x14ac:dyDescent="0.25">
      <c r="A437" s="3"/>
      <c r="B437" s="3"/>
      <c r="C437" s="3"/>
      <c r="D437" s="3"/>
      <c r="E437" s="3"/>
    </row>
    <row r="438" spans="1:5" x14ac:dyDescent="0.25">
      <c r="A438" s="3"/>
      <c r="B438" s="3"/>
      <c r="C438" s="3"/>
      <c r="D438" s="3"/>
      <c r="E438" s="3"/>
    </row>
    <row r="439" spans="1:5" x14ac:dyDescent="0.25">
      <c r="A439" s="3"/>
      <c r="B439" s="3"/>
      <c r="C439" s="3"/>
      <c r="D439" s="3"/>
      <c r="E439" s="3"/>
    </row>
    <row r="440" spans="1:5" x14ac:dyDescent="0.25">
      <c r="A440" s="3"/>
      <c r="B440" s="3"/>
      <c r="C440" s="3"/>
      <c r="D440" s="3"/>
      <c r="E440" s="3"/>
    </row>
    <row r="441" spans="1:5" x14ac:dyDescent="0.25">
      <c r="A441" s="3"/>
      <c r="B441" s="3"/>
      <c r="C441" s="3"/>
      <c r="D441" s="3"/>
      <c r="E441" s="3"/>
    </row>
    <row r="442" spans="1:5" x14ac:dyDescent="0.25">
      <c r="A442" s="3"/>
      <c r="B442" s="3"/>
      <c r="C442" s="3"/>
      <c r="D442" s="3"/>
      <c r="E442" s="3"/>
    </row>
    <row r="443" spans="1:5" x14ac:dyDescent="0.25">
      <c r="A443" s="3"/>
      <c r="B443" s="3"/>
      <c r="C443" s="3"/>
      <c r="D443" s="3"/>
      <c r="E443" s="3"/>
    </row>
    <row r="444" spans="1:5" x14ac:dyDescent="0.25">
      <c r="A444" s="3"/>
      <c r="B444" s="3"/>
      <c r="C444" s="3"/>
      <c r="D444" s="3"/>
      <c r="E444" s="3"/>
    </row>
    <row r="445" spans="1:5" x14ac:dyDescent="0.25">
      <c r="A445" s="3"/>
      <c r="B445" s="3"/>
      <c r="C445" s="3"/>
      <c r="D445" s="3"/>
      <c r="E445" s="3"/>
    </row>
    <row r="446" spans="1:5" x14ac:dyDescent="0.25">
      <c r="A446" s="3"/>
      <c r="B446" s="3"/>
      <c r="C446" s="3"/>
      <c r="D446" s="3"/>
      <c r="E446" s="3"/>
    </row>
    <row r="447" spans="1:5" x14ac:dyDescent="0.25">
      <c r="A447" s="3"/>
      <c r="B447" s="3"/>
      <c r="C447" s="3"/>
      <c r="D447" s="3"/>
      <c r="E447" s="3"/>
    </row>
    <row r="448" spans="1:5" x14ac:dyDescent="0.25">
      <c r="A448" s="3"/>
      <c r="B448" s="3"/>
      <c r="C448" s="3"/>
      <c r="D448" s="3"/>
      <c r="E448" s="3"/>
    </row>
    <row r="449" spans="1:5" x14ac:dyDescent="0.25">
      <c r="A449" s="3"/>
      <c r="B449" s="3"/>
      <c r="C449" s="3"/>
      <c r="D449" s="3"/>
      <c r="E449" s="3"/>
    </row>
    <row r="450" spans="1:5" x14ac:dyDescent="0.25">
      <c r="A450" s="3"/>
      <c r="B450" s="3"/>
      <c r="C450" s="3"/>
      <c r="D450" s="3"/>
      <c r="E450" s="3"/>
    </row>
    <row r="451" spans="1:5" x14ac:dyDescent="0.25">
      <c r="A451" s="3"/>
      <c r="B451" s="3"/>
      <c r="C451" s="3"/>
      <c r="D451" s="3"/>
      <c r="E451" s="3"/>
    </row>
    <row r="452" spans="1:5" x14ac:dyDescent="0.25">
      <c r="A452" s="3"/>
      <c r="B452" s="3"/>
      <c r="C452" s="3"/>
      <c r="D452" s="3"/>
      <c r="E452" s="3"/>
    </row>
    <row r="453" spans="1:5" x14ac:dyDescent="0.25">
      <c r="A453" s="3"/>
      <c r="B453" s="3"/>
      <c r="C453" s="3"/>
      <c r="D453" s="3"/>
      <c r="E453" s="3"/>
    </row>
    <row r="454" spans="1:5" x14ac:dyDescent="0.25">
      <c r="A454" s="3"/>
      <c r="B454" s="3"/>
      <c r="C454" s="3"/>
      <c r="D454" s="3"/>
      <c r="E454" s="3"/>
    </row>
    <row r="455" spans="1:5" x14ac:dyDescent="0.25">
      <c r="A455" s="3"/>
      <c r="B455" s="3"/>
      <c r="C455" s="3"/>
      <c r="D455" s="3"/>
      <c r="E455" s="3"/>
    </row>
    <row r="456" spans="1:5" x14ac:dyDescent="0.25">
      <c r="A456" s="3"/>
      <c r="B456" s="3"/>
      <c r="C456" s="3"/>
      <c r="D456" s="3"/>
      <c r="E456" s="3"/>
    </row>
    <row r="457" spans="1:5" x14ac:dyDescent="0.25">
      <c r="A457" s="3"/>
      <c r="B457" s="3"/>
      <c r="C457" s="3"/>
      <c r="D457" s="3"/>
      <c r="E457" s="3"/>
    </row>
    <row r="458" spans="1:5" x14ac:dyDescent="0.25">
      <c r="A458" s="3"/>
      <c r="B458" s="3"/>
      <c r="C458" s="3"/>
      <c r="D458" s="3"/>
      <c r="E458" s="3"/>
    </row>
    <row r="459" spans="1:5" x14ac:dyDescent="0.25">
      <c r="A459" s="3"/>
      <c r="B459" s="3"/>
      <c r="C459" s="3"/>
      <c r="D459" s="3"/>
      <c r="E459" s="3"/>
    </row>
    <row r="460" spans="1:5" x14ac:dyDescent="0.25">
      <c r="A460" s="3"/>
      <c r="B460" s="3"/>
      <c r="C460" s="3"/>
      <c r="D460" s="3"/>
      <c r="E460" s="3"/>
    </row>
    <row r="461" spans="1:5" x14ac:dyDescent="0.25">
      <c r="A461" s="3"/>
      <c r="B461" s="3"/>
      <c r="C461" s="3"/>
      <c r="D461" s="3"/>
      <c r="E461" s="3"/>
    </row>
    <row r="462" spans="1:5" x14ac:dyDescent="0.25">
      <c r="A462" s="3"/>
      <c r="B462" s="3"/>
      <c r="C462" s="3"/>
      <c r="D462" s="3"/>
      <c r="E462" s="3"/>
    </row>
    <row r="463" spans="1:5" x14ac:dyDescent="0.25">
      <c r="A463" s="3"/>
      <c r="B463" s="3"/>
      <c r="C463" s="3"/>
      <c r="D463" s="3"/>
      <c r="E463" s="3"/>
    </row>
    <row r="464" spans="1:5" x14ac:dyDescent="0.25">
      <c r="A464" s="3"/>
      <c r="B464" s="3"/>
      <c r="C464" s="3"/>
      <c r="D464" s="3"/>
      <c r="E464" s="3"/>
    </row>
    <row r="465" spans="1:5" x14ac:dyDescent="0.25">
      <c r="A465" s="3"/>
      <c r="B465" s="3"/>
      <c r="C465" s="3"/>
      <c r="D465" s="3"/>
      <c r="E465" s="3"/>
    </row>
    <row r="466" spans="1:5" x14ac:dyDescent="0.25">
      <c r="A466" s="3"/>
      <c r="B466" s="3"/>
      <c r="C466" s="3"/>
      <c r="D466" s="3"/>
      <c r="E466" s="3"/>
    </row>
    <row r="467" spans="1:5" x14ac:dyDescent="0.25">
      <c r="A467" s="3"/>
      <c r="B467" s="3"/>
      <c r="C467" s="3"/>
      <c r="D467" s="3"/>
      <c r="E467" s="3"/>
    </row>
    <row r="468" spans="1:5" x14ac:dyDescent="0.25">
      <c r="A468" s="3"/>
      <c r="B468" s="3"/>
      <c r="C468" s="3"/>
      <c r="D468" s="3"/>
      <c r="E468" s="3"/>
    </row>
    <row r="469" spans="1:5" x14ac:dyDescent="0.25">
      <c r="A469" s="3"/>
      <c r="B469" s="3"/>
      <c r="C469" s="3"/>
      <c r="D469" s="3"/>
      <c r="E469" s="3"/>
    </row>
    <row r="470" spans="1:5" x14ac:dyDescent="0.25">
      <c r="A470" s="3"/>
      <c r="B470" s="3"/>
      <c r="C470" s="3"/>
      <c r="D470" s="3"/>
      <c r="E470" s="3"/>
    </row>
    <row r="471" spans="1:5" x14ac:dyDescent="0.25">
      <c r="A471" s="3"/>
      <c r="B471" s="3"/>
      <c r="C471" s="3"/>
      <c r="D471" s="3"/>
      <c r="E471" s="3"/>
    </row>
    <row r="472" spans="1:5" x14ac:dyDescent="0.25">
      <c r="A472" s="3"/>
      <c r="B472" s="3"/>
      <c r="C472" s="3"/>
      <c r="D472" s="3"/>
      <c r="E472" s="3"/>
    </row>
    <row r="473" spans="1:5" x14ac:dyDescent="0.25">
      <c r="A473" s="3"/>
      <c r="B473" s="3"/>
      <c r="C473" s="3"/>
      <c r="D473" s="3"/>
      <c r="E473" s="3"/>
    </row>
    <row r="474" spans="1:5" x14ac:dyDescent="0.25">
      <c r="A474" s="3"/>
      <c r="B474" s="3"/>
      <c r="C474" s="3"/>
      <c r="D474" s="3"/>
      <c r="E474" s="3"/>
    </row>
    <row r="475" spans="1:5" x14ac:dyDescent="0.25">
      <c r="A475" s="3"/>
      <c r="B475" s="3"/>
      <c r="C475" s="3"/>
      <c r="D475" s="3"/>
      <c r="E475" s="3"/>
    </row>
    <row r="476" spans="1:5" x14ac:dyDescent="0.25">
      <c r="A476" s="3"/>
      <c r="B476" s="3"/>
      <c r="C476" s="3"/>
      <c r="D476" s="3"/>
      <c r="E476" s="3"/>
    </row>
    <row r="477" spans="1:5" x14ac:dyDescent="0.25">
      <c r="A477" s="3"/>
      <c r="B477" s="3"/>
      <c r="C477" s="3"/>
      <c r="D477" s="3"/>
      <c r="E477" s="3"/>
    </row>
    <row r="478" spans="1:5" x14ac:dyDescent="0.25">
      <c r="A478" s="3"/>
      <c r="B478" s="3"/>
      <c r="C478" s="3"/>
      <c r="D478" s="3"/>
      <c r="E478" s="3"/>
    </row>
    <row r="479" spans="1:5" x14ac:dyDescent="0.25">
      <c r="A479" s="3"/>
      <c r="B479" s="3"/>
      <c r="C479" s="3"/>
      <c r="D479" s="3"/>
      <c r="E479" s="3"/>
    </row>
    <row r="480" spans="1:5" x14ac:dyDescent="0.25">
      <c r="A480" s="3"/>
      <c r="B480" s="3"/>
      <c r="C480" s="3"/>
      <c r="D480" s="3"/>
      <c r="E480" s="3"/>
    </row>
    <row r="481" spans="5:5" x14ac:dyDescent="0.25">
      <c r="E481" s="3"/>
    </row>
  </sheetData>
  <hyperlinks>
    <hyperlink ref="A79" location="Índice!A1" display="Volver al índice" xr:uid="{00000000-0004-0000-0100-000000000000}"/>
  </hyperlinks>
  <pageMargins left="0.7" right="0.7" top="0.75" bottom="0.75" header="0.3" footer="0.3"/>
  <pageSetup orientation="portrait" verticalDpi="0"/>
  <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XAL356"/>
  <sheetViews>
    <sheetView showGridLines="0" zoomScaleNormal="100" workbookViewId="0">
      <pane ySplit="2" topLeftCell="A114" activePane="bottomLeft" state="frozen"/>
      <selection pane="bottomLeft" activeCell="A93" sqref="A93"/>
    </sheetView>
  </sheetViews>
  <sheetFormatPr baseColWidth="10" defaultColWidth="11.42578125" defaultRowHeight="15" x14ac:dyDescent="0.25"/>
  <cols>
    <col min="1" max="1" width="27.28515625" style="147" customWidth="1"/>
    <col min="2" max="14" width="10" style="18" customWidth="1"/>
    <col min="15" max="16" width="10" style="19" customWidth="1"/>
    <col min="17" max="19" width="12.28515625" style="19" customWidth="1"/>
    <col min="20" max="20" width="13.85546875" style="110" customWidth="1"/>
    <col min="21" max="16384" width="11.42578125" style="110"/>
  </cols>
  <sheetData>
    <row r="1" spans="1:20" s="4" customFormat="1" ht="21" x14ac:dyDescent="0.25">
      <c r="A1" s="85" t="s">
        <v>463</v>
      </c>
      <c r="B1" s="77"/>
      <c r="C1" s="77"/>
      <c r="D1" s="23"/>
      <c r="E1" s="23"/>
      <c r="F1" s="23"/>
      <c r="G1" s="23"/>
      <c r="H1" s="23"/>
      <c r="I1" s="23"/>
      <c r="J1" s="23"/>
      <c r="K1" s="5"/>
      <c r="L1" s="5"/>
      <c r="M1" s="5"/>
      <c r="N1" s="5"/>
      <c r="O1" s="6"/>
      <c r="P1" s="6"/>
      <c r="Q1" s="6"/>
      <c r="R1" s="6"/>
      <c r="S1" s="6"/>
      <c r="T1" s="5"/>
    </row>
    <row r="2" spans="1:20" s="176" customFormat="1" ht="33.75" customHeight="1" x14ac:dyDescent="0.2">
      <c r="A2" s="179" t="s">
        <v>352</v>
      </c>
      <c r="B2" s="172"/>
      <c r="C2" s="172"/>
      <c r="D2" s="178"/>
      <c r="E2" s="173"/>
      <c r="F2" s="173"/>
      <c r="G2" s="23"/>
      <c r="H2" s="23"/>
      <c r="I2" s="173"/>
      <c r="J2" s="173"/>
      <c r="K2" s="173"/>
      <c r="L2" s="173"/>
      <c r="M2" s="173"/>
      <c r="N2" s="173"/>
      <c r="O2" s="174"/>
      <c r="P2" s="174"/>
      <c r="Q2" s="174"/>
      <c r="R2" s="174"/>
      <c r="S2" s="174"/>
      <c r="T2" s="175"/>
    </row>
    <row r="3" spans="1:20" s="176" customFormat="1" x14ac:dyDescent="0.25">
      <c r="A3" s="177"/>
      <c r="B3" s="173"/>
      <c r="C3" s="173"/>
      <c r="D3" s="173"/>
      <c r="E3" s="173"/>
      <c r="F3" s="173"/>
      <c r="G3" s="173"/>
      <c r="H3" s="173"/>
      <c r="I3" s="173"/>
      <c r="J3" s="173"/>
      <c r="K3" s="173"/>
      <c r="L3" s="173"/>
      <c r="M3" s="173"/>
      <c r="N3" s="173"/>
      <c r="O3" s="174"/>
      <c r="P3" s="174"/>
      <c r="Q3" s="174"/>
      <c r="R3" s="174"/>
      <c r="S3" s="174"/>
      <c r="T3" s="175"/>
    </row>
    <row r="4" spans="1:20" s="4" customFormat="1" ht="15.75" x14ac:dyDescent="0.25">
      <c r="A4" s="135" t="s">
        <v>153</v>
      </c>
      <c r="B4" s="24"/>
      <c r="C4" s="24"/>
      <c r="D4" s="24"/>
      <c r="E4" s="24"/>
      <c r="F4" s="24"/>
      <c r="G4" s="24"/>
      <c r="H4" s="22"/>
      <c r="I4" s="22"/>
      <c r="J4" s="22"/>
      <c r="K4" s="22"/>
      <c r="L4" s="22"/>
      <c r="M4" s="22"/>
      <c r="N4" s="22"/>
      <c r="O4" s="17"/>
      <c r="P4" s="17"/>
      <c r="Q4" s="17"/>
      <c r="R4" s="17"/>
      <c r="S4" s="17"/>
      <c r="T4" s="5"/>
    </row>
    <row r="5" spans="1:20" s="4" customFormat="1" ht="25.5" x14ac:dyDescent="0.25">
      <c r="A5" s="136" t="s">
        <v>129</v>
      </c>
      <c r="B5" s="130">
        <v>2007</v>
      </c>
      <c r="C5" s="130">
        <v>2008</v>
      </c>
      <c r="D5" s="130">
        <v>2009</v>
      </c>
      <c r="E5" s="130">
        <v>2010</v>
      </c>
      <c r="F5" s="130">
        <v>2011</v>
      </c>
      <c r="G5" s="130">
        <v>2012</v>
      </c>
      <c r="H5" s="130">
        <v>2013</v>
      </c>
      <c r="I5" s="130">
        <v>2014</v>
      </c>
      <c r="J5" s="130">
        <v>2015</v>
      </c>
      <c r="K5" s="130">
        <v>2016</v>
      </c>
      <c r="L5" s="130">
        <v>2017</v>
      </c>
      <c r="M5" s="130">
        <v>2018</v>
      </c>
      <c r="N5" s="130">
        <v>2019</v>
      </c>
      <c r="O5" s="130">
        <v>2020</v>
      </c>
      <c r="P5" s="130">
        <v>2021</v>
      </c>
      <c r="Q5" s="131" t="s">
        <v>424</v>
      </c>
      <c r="R5" s="131" t="s">
        <v>425</v>
      </c>
      <c r="S5" s="131" t="s">
        <v>426</v>
      </c>
      <c r="T5" s="131" t="s">
        <v>427</v>
      </c>
    </row>
    <row r="6" spans="1:20" s="4" customFormat="1" x14ac:dyDescent="0.25">
      <c r="A6" s="80" t="s">
        <v>79</v>
      </c>
      <c r="B6" s="115">
        <v>748344</v>
      </c>
      <c r="C6" s="115">
        <v>783349</v>
      </c>
      <c r="D6" s="115">
        <v>849340</v>
      </c>
      <c r="E6" s="115">
        <v>938258</v>
      </c>
      <c r="F6" s="115">
        <v>1015077</v>
      </c>
      <c r="G6" s="115">
        <v>1064816</v>
      </c>
      <c r="H6" s="115">
        <v>1114277</v>
      </c>
      <c r="I6" s="115">
        <v>1144381</v>
      </c>
      <c r="J6" s="115">
        <v>1165906</v>
      </c>
      <c r="K6" s="115">
        <v>1178480</v>
      </c>
      <c r="L6" s="115">
        <v>1177292</v>
      </c>
      <c r="M6" s="115">
        <v>1188047</v>
      </c>
      <c r="N6" s="115">
        <v>1194480</v>
      </c>
      <c r="O6" s="115">
        <v>1151922</v>
      </c>
      <c r="P6" s="115">
        <v>1204414</v>
      </c>
      <c r="Q6" s="187">
        <f>(P6-G6)/G6</f>
        <v>0.13110058451413201</v>
      </c>
      <c r="R6" s="187">
        <f>(P6-L6)/L6</f>
        <v>2.3037615137111268E-2</v>
      </c>
      <c r="S6" s="187">
        <f>(P6-O6)/O6</f>
        <v>4.5569057627165725E-2</v>
      </c>
      <c r="T6" s="187">
        <f>P6/P$9</f>
        <v>0.93023690488971134</v>
      </c>
    </row>
    <row r="7" spans="1:20" s="4" customFormat="1" x14ac:dyDescent="0.25">
      <c r="A7" s="80" t="s">
        <v>38</v>
      </c>
      <c r="B7" s="132">
        <v>20693</v>
      </c>
      <c r="C7" s="132">
        <v>26074</v>
      </c>
      <c r="D7" s="132">
        <v>28357</v>
      </c>
      <c r="E7" s="132">
        <v>33398</v>
      </c>
      <c r="F7" s="132">
        <v>34480</v>
      </c>
      <c r="G7" s="132">
        <v>41201</v>
      </c>
      <c r="H7" s="132">
        <v>46726</v>
      </c>
      <c r="I7" s="115">
        <v>46806</v>
      </c>
      <c r="J7" s="115">
        <v>45116</v>
      </c>
      <c r="K7" s="115">
        <v>47584</v>
      </c>
      <c r="L7" s="115">
        <v>48698</v>
      </c>
      <c r="M7" s="115">
        <v>46875</v>
      </c>
      <c r="N7" s="115">
        <v>48391</v>
      </c>
      <c r="O7" s="115">
        <v>45483</v>
      </c>
      <c r="P7" s="115">
        <v>53247</v>
      </c>
      <c r="Q7" s="187">
        <f t="shared" ref="Q7:Q9" si="0">(P7-G7)/G7</f>
        <v>0.2923715443799908</v>
      </c>
      <c r="R7" s="187">
        <f t="shared" ref="R7:R9" si="1">(P7-L7)/L7</f>
        <v>9.3412460470655878E-2</v>
      </c>
      <c r="S7" s="187">
        <f t="shared" ref="S7:S9" si="2">(P7-O7)/O7</f>
        <v>0.17070114108568035</v>
      </c>
      <c r="T7" s="187">
        <f t="shared" ref="T7:T9" si="3">P7/P$9</f>
        <v>4.1125663164545134E-2</v>
      </c>
    </row>
    <row r="8" spans="1:20" s="4" customFormat="1" x14ac:dyDescent="0.25">
      <c r="A8" s="80" t="s">
        <v>37</v>
      </c>
      <c r="B8" s="132">
        <v>7801</v>
      </c>
      <c r="C8" s="132">
        <v>10374</v>
      </c>
      <c r="D8" s="132">
        <v>14022</v>
      </c>
      <c r="E8" s="132">
        <v>13962</v>
      </c>
      <c r="F8" s="132">
        <v>19542</v>
      </c>
      <c r="G8" s="132">
        <v>20903</v>
      </c>
      <c r="H8" s="132">
        <v>23368</v>
      </c>
      <c r="I8" s="115">
        <v>23943</v>
      </c>
      <c r="J8" s="115">
        <v>22021</v>
      </c>
      <c r="K8" s="115">
        <v>21114</v>
      </c>
      <c r="L8" s="115">
        <v>22303</v>
      </c>
      <c r="M8" s="115">
        <v>27414</v>
      </c>
      <c r="N8" s="115">
        <v>25633</v>
      </c>
      <c r="O8" s="115">
        <v>23581</v>
      </c>
      <c r="P8" s="115">
        <v>37078</v>
      </c>
      <c r="Q8" s="187">
        <f t="shared" si="0"/>
        <v>0.77381237142993831</v>
      </c>
      <c r="R8" s="187">
        <f t="shared" si="1"/>
        <v>0.66246693269963686</v>
      </c>
      <c r="S8" s="187">
        <f t="shared" si="2"/>
        <v>0.57236758407192234</v>
      </c>
      <c r="T8" s="187">
        <f t="shared" si="3"/>
        <v>2.8637431945743506E-2</v>
      </c>
    </row>
    <row r="9" spans="1:20" s="4" customFormat="1" x14ac:dyDescent="0.25">
      <c r="A9" s="86" t="s">
        <v>0</v>
      </c>
      <c r="B9" s="2">
        <v>776838</v>
      </c>
      <c r="C9" s="2">
        <v>819797</v>
      </c>
      <c r="D9" s="2">
        <v>891719</v>
      </c>
      <c r="E9" s="2">
        <v>985618</v>
      </c>
      <c r="F9" s="2">
        <v>1069099</v>
      </c>
      <c r="G9" s="2">
        <v>1126920</v>
      </c>
      <c r="H9" s="2">
        <v>1184371</v>
      </c>
      <c r="I9" s="133">
        <v>1215130</v>
      </c>
      <c r="J9" s="133">
        <v>1233043</v>
      </c>
      <c r="K9" s="133">
        <v>1247178</v>
      </c>
      <c r="L9" s="133">
        <v>1248293</v>
      </c>
      <c r="M9" s="133">
        <v>1262336</v>
      </c>
      <c r="N9" s="133">
        <v>1268504</v>
      </c>
      <c r="O9" s="133">
        <v>1220986</v>
      </c>
      <c r="P9" s="133">
        <v>1294739</v>
      </c>
      <c r="Q9" s="188">
        <f t="shared" si="0"/>
        <v>0.14891829056188549</v>
      </c>
      <c r="R9" s="188">
        <f t="shared" si="1"/>
        <v>3.7207610713189933E-2</v>
      </c>
      <c r="S9" s="188">
        <f t="shared" si="2"/>
        <v>6.0404460001998388E-2</v>
      </c>
      <c r="T9" s="188">
        <f t="shared" si="3"/>
        <v>1</v>
      </c>
    </row>
    <row r="10" spans="1:20" s="4" customFormat="1" x14ac:dyDescent="0.25">
      <c r="A10" s="137"/>
      <c r="B10" s="22"/>
      <c r="C10" s="22"/>
      <c r="D10" s="22"/>
      <c r="E10" s="22"/>
      <c r="F10" s="22"/>
      <c r="G10" s="22"/>
      <c r="H10" s="22"/>
      <c r="I10" s="22"/>
      <c r="J10" s="22"/>
      <c r="K10" s="22"/>
      <c r="L10" s="22"/>
      <c r="M10" s="22"/>
      <c r="N10" s="22"/>
      <c r="O10" s="22"/>
      <c r="P10" s="22"/>
      <c r="Q10" s="22"/>
      <c r="R10" s="22"/>
      <c r="S10" s="22"/>
      <c r="T10" s="5"/>
    </row>
    <row r="11" spans="1:20" s="4" customFormat="1" ht="15.75" x14ac:dyDescent="0.25">
      <c r="A11" s="44" t="s">
        <v>274</v>
      </c>
      <c r="B11" s="27"/>
      <c r="C11" s="27"/>
      <c r="D11" s="27"/>
      <c r="E11" s="27"/>
      <c r="F11" s="27"/>
      <c r="G11" s="27"/>
      <c r="H11" s="5"/>
      <c r="I11" s="5"/>
      <c r="J11" s="5"/>
      <c r="K11" s="5"/>
      <c r="L11" s="5"/>
      <c r="M11" s="5"/>
      <c r="N11" s="5"/>
      <c r="O11" s="6"/>
      <c r="P11" s="6"/>
      <c r="Q11" s="6"/>
      <c r="R11" s="6"/>
      <c r="S11" s="17"/>
      <c r="T11" s="5"/>
    </row>
    <row r="12" spans="1:20" s="4" customFormat="1" ht="25.5" x14ac:dyDescent="0.25">
      <c r="A12" s="136" t="s">
        <v>92</v>
      </c>
      <c r="B12" s="130">
        <v>2007</v>
      </c>
      <c r="C12" s="130">
        <v>2008</v>
      </c>
      <c r="D12" s="130">
        <v>2009</v>
      </c>
      <c r="E12" s="130">
        <v>2010</v>
      </c>
      <c r="F12" s="130">
        <v>2011</v>
      </c>
      <c r="G12" s="130">
        <v>2012</v>
      </c>
      <c r="H12" s="130">
        <v>2013</v>
      </c>
      <c r="I12" s="130">
        <v>2014</v>
      </c>
      <c r="J12" s="130">
        <v>2015</v>
      </c>
      <c r="K12" s="130">
        <v>2016</v>
      </c>
      <c r="L12" s="130">
        <v>2017</v>
      </c>
      <c r="M12" s="130">
        <v>2018</v>
      </c>
      <c r="N12" s="130">
        <v>2019</v>
      </c>
      <c r="O12" s="130">
        <v>2020</v>
      </c>
      <c r="P12" s="130">
        <v>2021</v>
      </c>
      <c r="Q12" s="131" t="s">
        <v>424</v>
      </c>
      <c r="R12" s="131" t="s">
        <v>425</v>
      </c>
      <c r="S12" s="131" t="s">
        <v>426</v>
      </c>
      <c r="T12" s="131" t="s">
        <v>427</v>
      </c>
    </row>
    <row r="13" spans="1:20" s="4" customFormat="1" x14ac:dyDescent="0.25">
      <c r="A13" s="80" t="s">
        <v>2</v>
      </c>
      <c r="B13" s="115">
        <v>86838</v>
      </c>
      <c r="C13" s="115">
        <v>95903</v>
      </c>
      <c r="D13" s="115">
        <v>110021</v>
      </c>
      <c r="E13" s="115">
        <v>128571</v>
      </c>
      <c r="F13" s="115">
        <v>138635</v>
      </c>
      <c r="G13" s="115">
        <v>140048</v>
      </c>
      <c r="H13" s="115">
        <v>144383</v>
      </c>
      <c r="I13" s="115">
        <v>148012</v>
      </c>
      <c r="J13" s="115">
        <v>146546</v>
      </c>
      <c r="K13" s="115">
        <v>141720</v>
      </c>
      <c r="L13" s="115">
        <v>136789</v>
      </c>
      <c r="M13" s="115">
        <v>136741</v>
      </c>
      <c r="N13" s="115">
        <v>137949</v>
      </c>
      <c r="O13" s="115">
        <v>130353</v>
      </c>
      <c r="P13" s="115">
        <v>134510</v>
      </c>
      <c r="Q13" s="187">
        <f t="shared" ref="Q13:Q16" si="4">(P13-G13)/G13</f>
        <v>-3.954358505655204E-2</v>
      </c>
      <c r="R13" s="187">
        <f t="shared" ref="R13:R16" si="5">(P13-L13)/L13</f>
        <v>-1.6660696401026399E-2</v>
      </c>
      <c r="S13" s="187">
        <f t="shared" ref="S13:S16" si="6">(P13-O13)/O13</f>
        <v>3.1890328569346316E-2</v>
      </c>
      <c r="T13" s="187">
        <f t="shared" ref="T13:T16" si="7">P13/P$9</f>
        <v>0.10388966424893357</v>
      </c>
    </row>
    <row r="14" spans="1:20" s="4" customFormat="1" x14ac:dyDescent="0.25">
      <c r="A14" s="80" t="s">
        <v>3</v>
      </c>
      <c r="B14" s="132">
        <v>156124</v>
      </c>
      <c r="C14" s="132">
        <v>162870</v>
      </c>
      <c r="D14" s="132">
        <v>189622</v>
      </c>
      <c r="E14" s="132">
        <v>224339</v>
      </c>
      <c r="F14" s="132">
        <v>267766</v>
      </c>
      <c r="G14" s="132">
        <v>301156</v>
      </c>
      <c r="H14" s="132">
        <v>332147</v>
      </c>
      <c r="I14" s="115">
        <v>357395</v>
      </c>
      <c r="J14" s="115">
        <v>378802</v>
      </c>
      <c r="K14" s="115">
        <v>384667</v>
      </c>
      <c r="L14" s="115">
        <v>377353</v>
      </c>
      <c r="M14" s="115">
        <v>374897</v>
      </c>
      <c r="N14" s="115">
        <v>381412</v>
      </c>
      <c r="O14" s="115">
        <v>362030</v>
      </c>
      <c r="P14" s="115">
        <v>379838</v>
      </c>
      <c r="Q14" s="187">
        <f t="shared" si="4"/>
        <v>0.26126658608827319</v>
      </c>
      <c r="R14" s="187">
        <f t="shared" si="5"/>
        <v>6.5853458167816339E-3</v>
      </c>
      <c r="S14" s="187">
        <f t="shared" si="6"/>
        <v>4.9189293704941579E-2</v>
      </c>
      <c r="T14" s="187">
        <f t="shared" si="7"/>
        <v>0.29337032405759</v>
      </c>
    </row>
    <row r="15" spans="1:20" s="4" customFormat="1" x14ac:dyDescent="0.25">
      <c r="A15" s="80" t="s">
        <v>4</v>
      </c>
      <c r="B15" s="132">
        <v>533876</v>
      </c>
      <c r="C15" s="132">
        <v>561024</v>
      </c>
      <c r="D15" s="132">
        <v>592076</v>
      </c>
      <c r="E15" s="132">
        <v>632708</v>
      </c>
      <c r="F15" s="132">
        <v>662698</v>
      </c>
      <c r="G15" s="132">
        <v>685716</v>
      </c>
      <c r="H15" s="132">
        <v>707841</v>
      </c>
      <c r="I15" s="115">
        <v>709723</v>
      </c>
      <c r="J15" s="115">
        <v>707695</v>
      </c>
      <c r="K15" s="115">
        <v>720791</v>
      </c>
      <c r="L15" s="115">
        <v>734151</v>
      </c>
      <c r="M15" s="115">
        <v>750698</v>
      </c>
      <c r="N15" s="115">
        <v>749143</v>
      </c>
      <c r="O15" s="115">
        <v>728603</v>
      </c>
      <c r="P15" s="115">
        <v>780391</v>
      </c>
      <c r="Q15" s="187">
        <f t="shared" si="4"/>
        <v>0.13806736316492543</v>
      </c>
      <c r="R15" s="187">
        <f t="shared" si="5"/>
        <v>6.2984317940042306E-2</v>
      </c>
      <c r="S15" s="187">
        <f t="shared" si="6"/>
        <v>7.1078488559613393E-2</v>
      </c>
      <c r="T15" s="187">
        <f t="shared" si="7"/>
        <v>0.60274001169347646</v>
      </c>
    </row>
    <row r="16" spans="1:20" s="4" customFormat="1" x14ac:dyDescent="0.25">
      <c r="A16" s="86" t="s">
        <v>0</v>
      </c>
      <c r="B16" s="2">
        <v>776838</v>
      </c>
      <c r="C16" s="2">
        <v>819797</v>
      </c>
      <c r="D16" s="2">
        <v>891719</v>
      </c>
      <c r="E16" s="2">
        <v>985618</v>
      </c>
      <c r="F16" s="2">
        <v>1069099</v>
      </c>
      <c r="G16" s="2">
        <v>1126920</v>
      </c>
      <c r="H16" s="2">
        <v>1184371</v>
      </c>
      <c r="I16" s="133">
        <v>1215130</v>
      </c>
      <c r="J16" s="133">
        <v>1233043</v>
      </c>
      <c r="K16" s="133">
        <v>1247178</v>
      </c>
      <c r="L16" s="133">
        <v>1248293</v>
      </c>
      <c r="M16" s="133">
        <v>1262336</v>
      </c>
      <c r="N16" s="133">
        <v>1268504</v>
      </c>
      <c r="O16" s="133">
        <v>1220986</v>
      </c>
      <c r="P16" s="133">
        <v>1294739</v>
      </c>
      <c r="Q16" s="188">
        <f t="shared" si="4"/>
        <v>0.14891829056188549</v>
      </c>
      <c r="R16" s="188">
        <f t="shared" si="5"/>
        <v>3.7207610713189933E-2</v>
      </c>
      <c r="S16" s="188">
        <f t="shared" si="6"/>
        <v>6.0404460001998388E-2</v>
      </c>
      <c r="T16" s="188">
        <f t="shared" si="7"/>
        <v>1</v>
      </c>
    </row>
    <row r="17" spans="1:20" s="4" customFormat="1" x14ac:dyDescent="0.25">
      <c r="A17" s="137"/>
      <c r="B17" s="22"/>
      <c r="C17" s="22"/>
      <c r="D17" s="22"/>
      <c r="E17" s="22"/>
      <c r="F17" s="22"/>
      <c r="G17" s="22"/>
      <c r="H17" s="22"/>
      <c r="I17" s="22"/>
      <c r="J17" s="22"/>
      <c r="K17" s="22"/>
      <c r="L17" s="22"/>
      <c r="M17" s="22"/>
      <c r="N17" s="22"/>
      <c r="O17" s="17"/>
      <c r="P17" s="17"/>
      <c r="Q17" s="17"/>
      <c r="R17" s="17"/>
      <c r="S17" s="17"/>
      <c r="T17" s="5"/>
    </row>
    <row r="18" spans="1:20" s="4" customFormat="1" ht="15.75" x14ac:dyDescent="0.25">
      <c r="A18" s="44" t="s">
        <v>154</v>
      </c>
      <c r="B18" s="27"/>
      <c r="C18" s="27"/>
      <c r="D18" s="27"/>
      <c r="E18" s="27"/>
      <c r="F18" s="27"/>
      <c r="G18" s="27"/>
      <c r="H18" s="22"/>
      <c r="I18" s="22"/>
      <c r="J18" s="22"/>
      <c r="K18" s="22"/>
      <c r="L18" s="22"/>
      <c r="M18" s="22"/>
      <c r="N18" s="22"/>
      <c r="O18" s="17"/>
      <c r="P18" s="17"/>
      <c r="Q18" s="17"/>
      <c r="R18" s="17"/>
      <c r="S18" s="17"/>
      <c r="T18" s="5"/>
    </row>
    <row r="19" spans="1:20" s="4" customFormat="1" ht="25.5" x14ac:dyDescent="0.25">
      <c r="A19" s="136" t="s">
        <v>92</v>
      </c>
      <c r="B19" s="130">
        <v>2007</v>
      </c>
      <c r="C19" s="130">
        <v>2008</v>
      </c>
      <c r="D19" s="130">
        <v>2009</v>
      </c>
      <c r="E19" s="130">
        <v>2010</v>
      </c>
      <c r="F19" s="130">
        <v>2011</v>
      </c>
      <c r="G19" s="130">
        <v>2012</v>
      </c>
      <c r="H19" s="130">
        <v>2013</v>
      </c>
      <c r="I19" s="130">
        <v>2014</v>
      </c>
      <c r="J19" s="130">
        <v>2015</v>
      </c>
      <c r="K19" s="130">
        <v>2016</v>
      </c>
      <c r="L19" s="130">
        <v>2017</v>
      </c>
      <c r="M19" s="130">
        <v>2018</v>
      </c>
      <c r="N19" s="130">
        <v>2019</v>
      </c>
      <c r="O19" s="130">
        <v>2020</v>
      </c>
      <c r="P19" s="130">
        <v>2021</v>
      </c>
      <c r="Q19" s="131" t="s">
        <v>424</v>
      </c>
      <c r="R19" s="131" t="s">
        <v>425</v>
      </c>
      <c r="S19" s="131" t="s">
        <v>426</v>
      </c>
      <c r="T19" s="131" t="s">
        <v>427</v>
      </c>
    </row>
    <row r="20" spans="1:20" s="4" customFormat="1" x14ac:dyDescent="0.25">
      <c r="A20" s="86" t="s">
        <v>2</v>
      </c>
      <c r="B20" s="114">
        <v>86838</v>
      </c>
      <c r="C20" s="114">
        <v>95903</v>
      </c>
      <c r="D20" s="26">
        <v>110021</v>
      </c>
      <c r="E20" s="26">
        <v>128571</v>
      </c>
      <c r="F20" s="26">
        <v>138635</v>
      </c>
      <c r="G20" s="26">
        <v>140048</v>
      </c>
      <c r="H20" s="26">
        <v>144383</v>
      </c>
      <c r="I20" s="26">
        <v>148012</v>
      </c>
      <c r="J20" s="26">
        <v>146546</v>
      </c>
      <c r="K20" s="26">
        <v>141720</v>
      </c>
      <c r="L20" s="26">
        <v>136789</v>
      </c>
      <c r="M20" s="26">
        <v>136741</v>
      </c>
      <c r="N20" s="26">
        <v>137949</v>
      </c>
      <c r="O20" s="26">
        <v>130353</v>
      </c>
      <c r="P20" s="26">
        <v>134510</v>
      </c>
      <c r="Q20" s="188">
        <f>(P20-G20)/G20</f>
        <v>-3.954358505655204E-2</v>
      </c>
      <c r="R20" s="188">
        <f t="shared" ref="R20:R30" si="8">(P20-L20)/L20</f>
        <v>-1.6660696401026399E-2</v>
      </c>
      <c r="S20" s="188">
        <f t="shared" ref="S20:S30" si="9">(P20-O20)/O20</f>
        <v>3.1890328569346316E-2</v>
      </c>
      <c r="T20" s="188">
        <f t="shared" ref="T20:T30" si="10">P20/P$9</f>
        <v>0.10388966424893357</v>
      </c>
    </row>
    <row r="21" spans="1:20" s="4" customFormat="1" x14ac:dyDescent="0.25">
      <c r="A21" s="180" t="s">
        <v>79</v>
      </c>
      <c r="B21" s="155">
        <v>86838</v>
      </c>
      <c r="C21" s="155">
        <v>95891</v>
      </c>
      <c r="D21" s="38">
        <v>110007</v>
      </c>
      <c r="E21" s="38">
        <v>128566</v>
      </c>
      <c r="F21" s="38">
        <v>138574</v>
      </c>
      <c r="G21" s="38">
        <v>140031</v>
      </c>
      <c r="H21" s="25">
        <v>144365</v>
      </c>
      <c r="I21" s="25">
        <v>148010</v>
      </c>
      <c r="J21" s="25">
        <v>146540</v>
      </c>
      <c r="K21" s="25">
        <v>141711</v>
      </c>
      <c r="L21" s="25">
        <v>136777</v>
      </c>
      <c r="M21" s="25">
        <v>136730</v>
      </c>
      <c r="N21" s="25">
        <v>137940</v>
      </c>
      <c r="O21" s="25">
        <v>130345</v>
      </c>
      <c r="P21" s="25">
        <v>134496</v>
      </c>
      <c r="Q21" s="187">
        <f t="shared" ref="Q21:Q30" si="11">(P21-G21)/G21</f>
        <v>-3.9526961887010735E-2</v>
      </c>
      <c r="R21" s="187">
        <f t="shared" si="8"/>
        <v>-1.6676780452853916E-2</v>
      </c>
      <c r="S21" s="187">
        <f t="shared" si="9"/>
        <v>3.1846254171621464E-2</v>
      </c>
      <c r="T21" s="187">
        <f t="shared" si="10"/>
        <v>0.10387885125882514</v>
      </c>
    </row>
    <row r="22" spans="1:20" s="4" customFormat="1" x14ac:dyDescent="0.25">
      <c r="A22" s="180" t="s">
        <v>115</v>
      </c>
      <c r="B22" s="155"/>
      <c r="C22" s="155">
        <v>12</v>
      </c>
      <c r="D22" s="38">
        <v>14</v>
      </c>
      <c r="E22" s="38">
        <v>5</v>
      </c>
      <c r="F22" s="38">
        <v>61</v>
      </c>
      <c r="G22" s="38">
        <v>17</v>
      </c>
      <c r="H22" s="25">
        <v>18</v>
      </c>
      <c r="I22" s="25">
        <v>2</v>
      </c>
      <c r="J22" s="25">
        <v>6</v>
      </c>
      <c r="K22" s="25">
        <v>9</v>
      </c>
      <c r="L22" s="25">
        <v>12</v>
      </c>
      <c r="M22" s="25">
        <v>11</v>
      </c>
      <c r="N22" s="25">
        <v>9</v>
      </c>
      <c r="O22" s="25">
        <v>8</v>
      </c>
      <c r="P22" s="25">
        <v>14</v>
      </c>
      <c r="Q22" s="187">
        <f t="shared" si="11"/>
        <v>-0.17647058823529413</v>
      </c>
      <c r="R22" s="187">
        <f t="shared" si="8"/>
        <v>0.16666666666666666</v>
      </c>
      <c r="S22" s="187">
        <f t="shared" si="9"/>
        <v>0.75</v>
      </c>
      <c r="T22" s="187">
        <f t="shared" si="10"/>
        <v>1.0812990108431121E-5</v>
      </c>
    </row>
    <row r="23" spans="1:20" s="4" customFormat="1" x14ac:dyDescent="0.25">
      <c r="A23" s="86" t="s">
        <v>297</v>
      </c>
      <c r="B23" s="114">
        <v>156124</v>
      </c>
      <c r="C23" s="114">
        <v>162870</v>
      </c>
      <c r="D23" s="26">
        <v>189622</v>
      </c>
      <c r="E23" s="26">
        <v>224339</v>
      </c>
      <c r="F23" s="26">
        <v>267766</v>
      </c>
      <c r="G23" s="26">
        <v>301156</v>
      </c>
      <c r="H23" s="26">
        <v>332147</v>
      </c>
      <c r="I23" s="26">
        <v>357395</v>
      </c>
      <c r="J23" s="26">
        <v>378802</v>
      </c>
      <c r="K23" s="26">
        <v>384667</v>
      </c>
      <c r="L23" s="26">
        <v>377353</v>
      </c>
      <c r="M23" s="26">
        <v>374897</v>
      </c>
      <c r="N23" s="26">
        <v>381412</v>
      </c>
      <c r="O23" s="26">
        <v>362030</v>
      </c>
      <c r="P23" s="26">
        <v>379838</v>
      </c>
      <c r="Q23" s="188">
        <f t="shared" si="11"/>
        <v>0.26126658608827319</v>
      </c>
      <c r="R23" s="188">
        <f t="shared" si="8"/>
        <v>6.5853458167816339E-3</v>
      </c>
      <c r="S23" s="188">
        <f t="shared" si="9"/>
        <v>4.9189293704941579E-2</v>
      </c>
      <c r="T23" s="188">
        <f t="shared" si="10"/>
        <v>0.29337032405759</v>
      </c>
    </row>
    <row r="24" spans="1:20" s="4" customFormat="1" x14ac:dyDescent="0.25">
      <c r="A24" s="180" t="s">
        <v>79</v>
      </c>
      <c r="B24" s="38">
        <v>156124</v>
      </c>
      <c r="C24" s="155">
        <v>162848</v>
      </c>
      <c r="D24" s="38">
        <v>189597</v>
      </c>
      <c r="E24" s="38">
        <v>224301</v>
      </c>
      <c r="F24" s="38">
        <v>260692</v>
      </c>
      <c r="G24" s="38">
        <v>293519</v>
      </c>
      <c r="H24" s="25">
        <v>324579</v>
      </c>
      <c r="I24" s="25">
        <v>351004</v>
      </c>
      <c r="J24" s="25">
        <v>373171</v>
      </c>
      <c r="K24" s="25">
        <v>380988</v>
      </c>
      <c r="L24" s="25">
        <v>374709</v>
      </c>
      <c r="M24" s="25">
        <v>373104</v>
      </c>
      <c r="N24" s="25">
        <v>379456</v>
      </c>
      <c r="O24" s="25">
        <v>361387</v>
      </c>
      <c r="P24" s="25">
        <v>378538</v>
      </c>
      <c r="Q24" s="187">
        <f t="shared" si="11"/>
        <v>0.28965416208150069</v>
      </c>
      <c r="R24" s="187">
        <f t="shared" si="8"/>
        <v>1.0218596297393443E-2</v>
      </c>
      <c r="S24" s="187">
        <f t="shared" si="9"/>
        <v>4.7458818385830145E-2</v>
      </c>
      <c r="T24" s="187">
        <f t="shared" si="10"/>
        <v>0.29236626069037852</v>
      </c>
    </row>
    <row r="25" spans="1:20" s="4" customFormat="1" x14ac:dyDescent="0.25">
      <c r="A25" s="180" t="s">
        <v>115</v>
      </c>
      <c r="B25" s="155"/>
      <c r="C25" s="155">
        <v>22</v>
      </c>
      <c r="D25" s="38">
        <v>25</v>
      </c>
      <c r="E25" s="38">
        <v>38</v>
      </c>
      <c r="F25" s="38">
        <v>7074</v>
      </c>
      <c r="G25" s="38">
        <v>7637</v>
      </c>
      <c r="H25" s="25">
        <v>7568</v>
      </c>
      <c r="I25" s="25">
        <v>6391</v>
      </c>
      <c r="J25" s="25">
        <v>5631</v>
      </c>
      <c r="K25" s="25">
        <v>3679</v>
      </c>
      <c r="L25" s="25">
        <v>2644</v>
      </c>
      <c r="M25" s="25">
        <v>1793</v>
      </c>
      <c r="N25" s="25">
        <v>1956</v>
      </c>
      <c r="O25" s="25">
        <v>643</v>
      </c>
      <c r="P25" s="25">
        <v>1300</v>
      </c>
      <c r="Q25" s="187">
        <f t="shared" si="11"/>
        <v>-0.82977609008773079</v>
      </c>
      <c r="R25" s="187">
        <f t="shared" si="8"/>
        <v>-0.50832072617246593</v>
      </c>
      <c r="S25" s="187">
        <f t="shared" si="9"/>
        <v>1.0217729393468118</v>
      </c>
      <c r="T25" s="187">
        <f t="shared" si="10"/>
        <v>1.0040633672114612E-3</v>
      </c>
    </row>
    <row r="26" spans="1:20" s="4" customFormat="1" x14ac:dyDescent="0.25">
      <c r="A26" s="86" t="s">
        <v>4</v>
      </c>
      <c r="B26" s="114">
        <v>533876</v>
      </c>
      <c r="C26" s="114">
        <v>561024</v>
      </c>
      <c r="D26" s="26">
        <v>592076</v>
      </c>
      <c r="E26" s="26">
        <v>632708</v>
      </c>
      <c r="F26" s="26">
        <v>662698</v>
      </c>
      <c r="G26" s="26">
        <v>685716</v>
      </c>
      <c r="H26" s="26">
        <v>707841</v>
      </c>
      <c r="I26" s="26">
        <v>709723</v>
      </c>
      <c r="J26" s="26">
        <v>707695</v>
      </c>
      <c r="K26" s="26">
        <v>720791</v>
      </c>
      <c r="L26" s="26">
        <v>734151</v>
      </c>
      <c r="M26" s="26">
        <v>750698</v>
      </c>
      <c r="N26" s="26">
        <v>749143</v>
      </c>
      <c r="O26" s="26">
        <v>728603</v>
      </c>
      <c r="P26" s="26">
        <v>780391</v>
      </c>
      <c r="Q26" s="188">
        <f t="shared" si="11"/>
        <v>0.13806736316492543</v>
      </c>
      <c r="R26" s="188">
        <f t="shared" si="8"/>
        <v>6.2984317940042306E-2</v>
      </c>
      <c r="S26" s="188">
        <f t="shared" si="9"/>
        <v>7.1078488559613393E-2</v>
      </c>
      <c r="T26" s="188">
        <f t="shared" si="10"/>
        <v>0.60274001169347646</v>
      </c>
    </row>
    <row r="27" spans="1:20" s="4" customFormat="1" x14ac:dyDescent="0.25">
      <c r="A27" s="180" t="s">
        <v>79</v>
      </c>
      <c r="B27" s="155">
        <v>505382</v>
      </c>
      <c r="C27" s="155">
        <v>524610</v>
      </c>
      <c r="D27" s="25">
        <v>549736</v>
      </c>
      <c r="E27" s="25">
        <v>585391</v>
      </c>
      <c r="F27" s="25">
        <v>615811</v>
      </c>
      <c r="G27" s="25">
        <v>631266</v>
      </c>
      <c r="H27" s="25">
        <v>645333</v>
      </c>
      <c r="I27" s="25">
        <v>645367</v>
      </c>
      <c r="J27" s="25">
        <v>646195</v>
      </c>
      <c r="K27" s="25">
        <v>655781</v>
      </c>
      <c r="L27" s="25">
        <v>665806</v>
      </c>
      <c r="M27" s="25">
        <v>678213</v>
      </c>
      <c r="N27" s="25">
        <v>677084</v>
      </c>
      <c r="O27" s="25">
        <v>660190</v>
      </c>
      <c r="P27" s="25">
        <v>691380</v>
      </c>
      <c r="Q27" s="187">
        <f t="shared" si="11"/>
        <v>9.52276853180751E-2</v>
      </c>
      <c r="R27" s="187">
        <f t="shared" si="8"/>
        <v>3.8410588069197331E-2</v>
      </c>
      <c r="S27" s="187">
        <f t="shared" si="9"/>
        <v>4.7243975219255066E-2</v>
      </c>
      <c r="T27" s="187">
        <f t="shared" si="10"/>
        <v>0.53399179294050769</v>
      </c>
    </row>
    <row r="28" spans="1:20" s="4" customFormat="1" x14ac:dyDescent="0.25">
      <c r="A28" s="180" t="s">
        <v>38</v>
      </c>
      <c r="B28" s="155">
        <v>20693</v>
      </c>
      <c r="C28" s="155">
        <v>26074</v>
      </c>
      <c r="D28" s="25">
        <v>28357</v>
      </c>
      <c r="E28" s="25">
        <v>33398</v>
      </c>
      <c r="F28" s="25">
        <v>34480</v>
      </c>
      <c r="G28" s="25">
        <v>41201</v>
      </c>
      <c r="H28" s="25">
        <v>46726</v>
      </c>
      <c r="I28" s="25">
        <v>46806</v>
      </c>
      <c r="J28" s="25">
        <v>45116</v>
      </c>
      <c r="K28" s="25">
        <v>47584</v>
      </c>
      <c r="L28" s="25">
        <v>48698</v>
      </c>
      <c r="M28" s="25">
        <v>46875</v>
      </c>
      <c r="N28" s="25">
        <v>48391</v>
      </c>
      <c r="O28" s="25">
        <v>45483</v>
      </c>
      <c r="P28" s="25">
        <v>53247</v>
      </c>
      <c r="Q28" s="187">
        <f t="shared" si="11"/>
        <v>0.2923715443799908</v>
      </c>
      <c r="R28" s="187">
        <f t="shared" si="8"/>
        <v>9.3412460470655878E-2</v>
      </c>
      <c r="S28" s="187">
        <f t="shared" si="9"/>
        <v>0.17070114108568035</v>
      </c>
      <c r="T28" s="187">
        <f t="shared" si="10"/>
        <v>4.1125663164545134E-2</v>
      </c>
    </row>
    <row r="29" spans="1:20" s="4" customFormat="1" x14ac:dyDescent="0.25">
      <c r="A29" s="180" t="s">
        <v>115</v>
      </c>
      <c r="B29" s="155">
        <v>7801</v>
      </c>
      <c r="C29" s="155">
        <v>10340</v>
      </c>
      <c r="D29" s="25">
        <v>13983</v>
      </c>
      <c r="E29" s="25">
        <v>13919</v>
      </c>
      <c r="F29" s="25">
        <v>12407</v>
      </c>
      <c r="G29" s="25">
        <v>13249</v>
      </c>
      <c r="H29" s="25">
        <v>15782</v>
      </c>
      <c r="I29" s="25">
        <v>17550</v>
      </c>
      <c r="J29" s="25">
        <v>16384</v>
      </c>
      <c r="K29" s="25">
        <v>17426</v>
      </c>
      <c r="L29" s="25">
        <v>19647</v>
      </c>
      <c r="M29" s="25">
        <v>25610</v>
      </c>
      <c r="N29" s="25">
        <v>23668</v>
      </c>
      <c r="O29" s="25">
        <v>22930</v>
      </c>
      <c r="P29" s="25">
        <v>35764</v>
      </c>
      <c r="Q29" s="187">
        <f t="shared" si="11"/>
        <v>1.6993735376254813</v>
      </c>
      <c r="R29" s="187">
        <f t="shared" si="8"/>
        <v>0.82032880337965086</v>
      </c>
      <c r="S29" s="187">
        <f t="shared" si="9"/>
        <v>0.55970344526820759</v>
      </c>
      <c r="T29" s="187">
        <f t="shared" si="10"/>
        <v>2.7622555588423612E-2</v>
      </c>
    </row>
    <row r="30" spans="1:20" s="4" customFormat="1" x14ac:dyDescent="0.25">
      <c r="A30" s="86" t="s">
        <v>0</v>
      </c>
      <c r="B30" s="114">
        <v>776838</v>
      </c>
      <c r="C30" s="114">
        <v>819797</v>
      </c>
      <c r="D30" s="26">
        <v>891719</v>
      </c>
      <c r="E30" s="26">
        <v>985618</v>
      </c>
      <c r="F30" s="26">
        <v>1069099</v>
      </c>
      <c r="G30" s="26">
        <v>1126920</v>
      </c>
      <c r="H30" s="26">
        <v>1184371</v>
      </c>
      <c r="I30" s="26">
        <v>1215130</v>
      </c>
      <c r="J30" s="26">
        <v>1233043</v>
      </c>
      <c r="K30" s="26">
        <v>1247178</v>
      </c>
      <c r="L30" s="26">
        <v>1248293</v>
      </c>
      <c r="M30" s="26">
        <v>1262336</v>
      </c>
      <c r="N30" s="26">
        <v>1268504</v>
      </c>
      <c r="O30" s="26">
        <v>1220986</v>
      </c>
      <c r="P30" s="26">
        <v>1294739</v>
      </c>
      <c r="Q30" s="188">
        <f t="shared" si="11"/>
        <v>0.14891829056188549</v>
      </c>
      <c r="R30" s="188">
        <f t="shared" si="8"/>
        <v>3.7207610713189933E-2</v>
      </c>
      <c r="S30" s="188">
        <f t="shared" si="9"/>
        <v>6.0404460001998388E-2</v>
      </c>
      <c r="T30" s="188">
        <f t="shared" si="10"/>
        <v>1</v>
      </c>
    </row>
    <row r="31" spans="1:20" s="4" customFormat="1" x14ac:dyDescent="0.25">
      <c r="A31" s="138"/>
      <c r="B31" s="59"/>
      <c r="C31" s="59"/>
      <c r="D31" s="60"/>
      <c r="E31" s="60"/>
      <c r="F31" s="60"/>
      <c r="G31" s="60"/>
      <c r="H31" s="60"/>
      <c r="I31" s="60"/>
      <c r="J31" s="60"/>
      <c r="K31" s="60"/>
      <c r="L31" s="60"/>
      <c r="M31" s="60"/>
      <c r="N31" s="60"/>
      <c r="O31" s="61"/>
      <c r="P31" s="61"/>
      <c r="Q31" s="61"/>
      <c r="R31" s="61"/>
      <c r="S31" s="17"/>
      <c r="T31" s="5"/>
    </row>
    <row r="32" spans="1:20" s="4" customFormat="1" ht="15.75" x14ac:dyDescent="0.25">
      <c r="A32" s="44" t="s">
        <v>340</v>
      </c>
      <c r="B32" s="27"/>
      <c r="C32" s="27"/>
      <c r="D32" s="27"/>
      <c r="E32" s="27"/>
      <c r="F32" s="27"/>
      <c r="G32" s="27"/>
      <c r="H32" s="5"/>
      <c r="I32" s="5"/>
      <c r="J32" s="5"/>
      <c r="K32" s="5"/>
      <c r="L32" s="5"/>
      <c r="M32" s="5"/>
      <c r="N32" s="5"/>
      <c r="O32" s="6"/>
      <c r="P32" s="6"/>
      <c r="Q32" s="6"/>
      <c r="R32" s="6"/>
      <c r="S32" s="6"/>
      <c r="T32" s="5"/>
    </row>
    <row r="33" spans="1:20" s="4" customFormat="1" ht="25.5" x14ac:dyDescent="0.25">
      <c r="A33" s="136" t="s">
        <v>92</v>
      </c>
      <c r="B33" s="130">
        <v>2007</v>
      </c>
      <c r="C33" s="130">
        <v>2008</v>
      </c>
      <c r="D33" s="130">
        <v>2009</v>
      </c>
      <c r="E33" s="130">
        <v>2010</v>
      </c>
      <c r="F33" s="130">
        <v>2011</v>
      </c>
      <c r="G33" s="130">
        <v>2012</v>
      </c>
      <c r="H33" s="130">
        <v>2013</v>
      </c>
      <c r="I33" s="130">
        <v>2014</v>
      </c>
      <c r="J33" s="130">
        <v>2015</v>
      </c>
      <c r="K33" s="130">
        <v>2016</v>
      </c>
      <c r="L33" s="130">
        <v>2017</v>
      </c>
      <c r="M33" s="130">
        <v>2018</v>
      </c>
      <c r="N33" s="130">
        <v>2019</v>
      </c>
      <c r="O33" s="130">
        <v>2020</v>
      </c>
      <c r="P33" s="130">
        <v>2021</v>
      </c>
      <c r="Q33" s="131" t="s">
        <v>424</v>
      </c>
      <c r="R33" s="131" t="s">
        <v>425</v>
      </c>
      <c r="S33" s="131" t="s">
        <v>426</v>
      </c>
      <c r="T33" s="131" t="s">
        <v>427</v>
      </c>
    </row>
    <row r="34" spans="1:20" s="4" customFormat="1" x14ac:dyDescent="0.25">
      <c r="A34" s="80" t="s">
        <v>2</v>
      </c>
      <c r="B34" s="25">
        <v>86838</v>
      </c>
      <c r="C34" s="25">
        <v>95903</v>
      </c>
      <c r="D34" s="25">
        <v>110021</v>
      </c>
      <c r="E34" s="25">
        <v>128571</v>
      </c>
      <c r="F34" s="25">
        <v>138635</v>
      </c>
      <c r="G34" s="25">
        <v>140048</v>
      </c>
      <c r="H34" s="25">
        <v>144383</v>
      </c>
      <c r="I34" s="25">
        <v>148012</v>
      </c>
      <c r="J34" s="25">
        <v>146546</v>
      </c>
      <c r="K34" s="25">
        <v>141720</v>
      </c>
      <c r="L34" s="25">
        <v>136789</v>
      </c>
      <c r="M34" s="25">
        <v>136532</v>
      </c>
      <c r="N34" s="25">
        <v>136875</v>
      </c>
      <c r="O34" s="25">
        <v>127194</v>
      </c>
      <c r="P34" s="25">
        <v>127570</v>
      </c>
      <c r="Q34" s="187">
        <f t="shared" ref="Q34:Q41" si="12">(P34-G34)/G34</f>
        <v>-8.9098023534788073E-2</v>
      </c>
      <c r="R34" s="187">
        <f t="shared" ref="R34:R41" si="13">(P34-L34)/L34</f>
        <v>-6.7395770127714943E-2</v>
      </c>
      <c r="S34" s="187">
        <f t="shared" ref="S34:S41" si="14">(P34-O34)/O34</f>
        <v>2.9561142821202258E-3</v>
      </c>
      <c r="T34" s="187">
        <f t="shared" ref="T34:T41" si="15">P34/P$9</f>
        <v>9.8529510580896998E-2</v>
      </c>
    </row>
    <row r="35" spans="1:20" s="4" customFormat="1" x14ac:dyDescent="0.25">
      <c r="A35" s="111" t="s">
        <v>329</v>
      </c>
      <c r="B35" s="115"/>
      <c r="C35" s="115"/>
      <c r="D35" s="25"/>
      <c r="E35" s="25"/>
      <c r="F35" s="25"/>
      <c r="G35" s="25"/>
      <c r="H35" s="25"/>
      <c r="I35" s="25"/>
      <c r="J35" s="25"/>
      <c r="K35" s="25"/>
      <c r="L35" s="25"/>
      <c r="M35" s="25">
        <v>209</v>
      </c>
      <c r="N35" s="25">
        <v>1074</v>
      </c>
      <c r="O35" s="25">
        <v>3159</v>
      </c>
      <c r="P35" s="25">
        <v>6940</v>
      </c>
      <c r="Q35" s="187" t="s">
        <v>155</v>
      </c>
      <c r="R35" s="187" t="s">
        <v>155</v>
      </c>
      <c r="S35" s="187">
        <f t="shared" si="14"/>
        <v>1.196897752453308</v>
      </c>
      <c r="T35" s="187">
        <f t="shared" si="15"/>
        <v>5.36015366803657E-3</v>
      </c>
    </row>
    <row r="36" spans="1:20" s="4" customFormat="1" x14ac:dyDescent="0.25">
      <c r="A36" s="80" t="s">
        <v>3</v>
      </c>
      <c r="B36" s="25">
        <v>156124</v>
      </c>
      <c r="C36" s="25">
        <v>162870</v>
      </c>
      <c r="D36" s="25">
        <v>189622</v>
      </c>
      <c r="E36" s="25">
        <v>224339</v>
      </c>
      <c r="F36" s="25">
        <v>267766</v>
      </c>
      <c r="G36" s="25">
        <v>301156</v>
      </c>
      <c r="H36" s="25">
        <v>332147</v>
      </c>
      <c r="I36" s="25">
        <v>357395</v>
      </c>
      <c r="J36" s="25">
        <v>378802</v>
      </c>
      <c r="K36" s="25">
        <v>384667</v>
      </c>
      <c r="L36" s="25">
        <v>377353</v>
      </c>
      <c r="M36" s="25">
        <v>374897</v>
      </c>
      <c r="N36" s="25">
        <v>381412</v>
      </c>
      <c r="O36" s="25">
        <v>362030</v>
      </c>
      <c r="P36" s="25">
        <v>379838</v>
      </c>
      <c r="Q36" s="187">
        <f t="shared" si="12"/>
        <v>0.26126658608827319</v>
      </c>
      <c r="R36" s="187">
        <f t="shared" si="13"/>
        <v>6.5853458167816339E-3</v>
      </c>
      <c r="S36" s="187">
        <f t="shared" si="14"/>
        <v>4.9189293704941579E-2</v>
      </c>
      <c r="T36" s="187">
        <f t="shared" si="15"/>
        <v>0.29337032405759</v>
      </c>
    </row>
    <row r="37" spans="1:20" s="4" customFormat="1" x14ac:dyDescent="0.25">
      <c r="A37" s="111" t="s">
        <v>350</v>
      </c>
      <c r="B37" s="115">
        <v>175004</v>
      </c>
      <c r="C37" s="115">
        <v>177210</v>
      </c>
      <c r="D37" s="25">
        <v>177826</v>
      </c>
      <c r="E37" s="25">
        <v>178541</v>
      </c>
      <c r="F37" s="25">
        <v>173901</v>
      </c>
      <c r="G37" s="25">
        <v>175586</v>
      </c>
      <c r="H37" s="25">
        <v>184477</v>
      </c>
      <c r="I37" s="25">
        <v>188565</v>
      </c>
      <c r="J37" s="25">
        <v>188804</v>
      </c>
      <c r="K37" s="25">
        <v>191847</v>
      </c>
      <c r="L37" s="25">
        <v>194841</v>
      </c>
      <c r="M37" s="25">
        <v>201231</v>
      </c>
      <c r="N37" s="25">
        <v>201606</v>
      </c>
      <c r="O37" s="25">
        <v>193217</v>
      </c>
      <c r="P37" s="25">
        <v>208978</v>
      </c>
      <c r="Q37" s="187">
        <f t="shared" si="12"/>
        <v>0.19017461528823482</v>
      </c>
      <c r="R37" s="187">
        <f t="shared" si="13"/>
        <v>7.2556597430725567E-2</v>
      </c>
      <c r="S37" s="187">
        <f t="shared" si="14"/>
        <v>8.1571497332015297E-2</v>
      </c>
      <c r="T37" s="187">
        <f t="shared" si="15"/>
        <v>0.16140550334855133</v>
      </c>
    </row>
    <row r="38" spans="1:20" s="4" customFormat="1" x14ac:dyDescent="0.25">
      <c r="A38" s="111" t="s">
        <v>351</v>
      </c>
      <c r="B38" s="115">
        <v>110980</v>
      </c>
      <c r="C38" s="115">
        <v>117948</v>
      </c>
      <c r="D38" s="25">
        <v>125301</v>
      </c>
      <c r="E38" s="25">
        <v>132349</v>
      </c>
      <c r="F38" s="25">
        <v>135432</v>
      </c>
      <c r="G38" s="25">
        <v>136189</v>
      </c>
      <c r="H38" s="25">
        <v>141563</v>
      </c>
      <c r="I38" s="25">
        <v>144984</v>
      </c>
      <c r="J38" s="25">
        <v>147903</v>
      </c>
      <c r="K38" s="25">
        <v>154017</v>
      </c>
      <c r="L38" s="25">
        <v>155756</v>
      </c>
      <c r="M38" s="25">
        <v>165314</v>
      </c>
      <c r="N38" s="25">
        <v>194985</v>
      </c>
      <c r="O38" s="25">
        <v>211403</v>
      </c>
      <c r="P38" s="25">
        <v>228064</v>
      </c>
      <c r="Q38" s="187">
        <f t="shared" si="12"/>
        <v>0.6746139556058125</v>
      </c>
      <c r="R38" s="187">
        <f t="shared" si="13"/>
        <v>0.46423893782583014</v>
      </c>
      <c r="S38" s="187">
        <f t="shared" si="14"/>
        <v>7.8811558965577594E-2</v>
      </c>
      <c r="T38" s="187">
        <f t="shared" si="15"/>
        <v>0.17614669829208821</v>
      </c>
    </row>
    <row r="39" spans="1:20" s="4" customFormat="1" x14ac:dyDescent="0.25">
      <c r="A39" s="81" t="s">
        <v>299</v>
      </c>
      <c r="B39" s="75">
        <v>247892</v>
      </c>
      <c r="C39" s="75">
        <v>265866</v>
      </c>
      <c r="D39" s="25">
        <v>288949</v>
      </c>
      <c r="E39" s="25">
        <v>321818</v>
      </c>
      <c r="F39" s="25">
        <v>353365</v>
      </c>
      <c r="G39" s="25">
        <v>373941</v>
      </c>
      <c r="H39" s="25">
        <v>381801</v>
      </c>
      <c r="I39" s="25">
        <v>376174</v>
      </c>
      <c r="J39" s="25">
        <v>370988</v>
      </c>
      <c r="K39" s="25">
        <v>374927</v>
      </c>
      <c r="L39" s="25">
        <v>383554</v>
      </c>
      <c r="M39" s="25">
        <v>384153</v>
      </c>
      <c r="N39" s="25">
        <v>350403</v>
      </c>
      <c r="O39" s="25">
        <v>321624</v>
      </c>
      <c r="P39" s="25">
        <v>341468</v>
      </c>
      <c r="Q39" s="187">
        <f t="shared" si="12"/>
        <v>-8.6839902551472017E-2</v>
      </c>
      <c r="R39" s="187">
        <f t="shared" si="13"/>
        <v>-0.10972640097613374</v>
      </c>
      <c r="S39" s="187">
        <f t="shared" si="14"/>
        <v>6.1699375668482451E-2</v>
      </c>
      <c r="T39" s="187">
        <f t="shared" si="15"/>
        <v>0.26373500759612556</v>
      </c>
    </row>
    <row r="40" spans="1:20" s="4" customFormat="1" x14ac:dyDescent="0.25">
      <c r="A40" s="111" t="s">
        <v>365</v>
      </c>
      <c r="B40" s="75"/>
      <c r="C40" s="75"/>
      <c r="D40" s="25"/>
      <c r="E40" s="25"/>
      <c r="F40" s="25"/>
      <c r="G40" s="25"/>
      <c r="H40" s="25"/>
      <c r="I40" s="25"/>
      <c r="J40" s="25"/>
      <c r="K40" s="25"/>
      <c r="L40" s="25"/>
      <c r="M40" s="25"/>
      <c r="N40" s="25">
        <v>2149</v>
      </c>
      <c r="O40" s="25">
        <v>2359</v>
      </c>
      <c r="P40" s="25">
        <v>1881</v>
      </c>
      <c r="Q40" s="187" t="s">
        <v>155</v>
      </c>
      <c r="R40" s="187" t="s">
        <v>155</v>
      </c>
      <c r="S40" s="187">
        <f t="shared" si="14"/>
        <v>-0.20262823230182281</v>
      </c>
      <c r="T40" s="187">
        <f t="shared" si="15"/>
        <v>1.4528024567113525E-3</v>
      </c>
    </row>
    <row r="41" spans="1:20" s="4" customFormat="1" x14ac:dyDescent="0.25">
      <c r="A41" s="86" t="s">
        <v>0</v>
      </c>
      <c r="B41" s="26">
        <v>776838</v>
      </c>
      <c r="C41" s="26">
        <v>819797</v>
      </c>
      <c r="D41" s="26">
        <v>891719</v>
      </c>
      <c r="E41" s="26">
        <v>985618</v>
      </c>
      <c r="F41" s="26">
        <v>1069099</v>
      </c>
      <c r="G41" s="26">
        <v>1126920</v>
      </c>
      <c r="H41" s="26">
        <v>1184371</v>
      </c>
      <c r="I41" s="26">
        <v>1215130</v>
      </c>
      <c r="J41" s="26">
        <v>1233043</v>
      </c>
      <c r="K41" s="26">
        <v>1247178</v>
      </c>
      <c r="L41" s="26">
        <v>1248293</v>
      </c>
      <c r="M41" s="26">
        <v>1262336</v>
      </c>
      <c r="N41" s="26">
        <v>1268504</v>
      </c>
      <c r="O41" s="26">
        <v>1220986</v>
      </c>
      <c r="P41" s="26">
        <v>1294739</v>
      </c>
      <c r="Q41" s="188">
        <f t="shared" si="12"/>
        <v>0.14891829056188549</v>
      </c>
      <c r="R41" s="188">
        <f t="shared" si="13"/>
        <v>3.7207610713189933E-2</v>
      </c>
      <c r="S41" s="188">
        <f t="shared" si="14"/>
        <v>6.0404460001998388E-2</v>
      </c>
      <c r="T41" s="188">
        <f t="shared" si="15"/>
        <v>1</v>
      </c>
    </row>
    <row r="42" spans="1:20" s="4" customFormat="1" x14ac:dyDescent="0.25">
      <c r="A42" s="139" t="s">
        <v>388</v>
      </c>
      <c r="B42" s="22"/>
      <c r="C42" s="22"/>
      <c r="D42" s="22"/>
      <c r="E42" s="22"/>
      <c r="F42" s="22"/>
      <c r="G42" s="22"/>
      <c r="H42" s="22"/>
      <c r="I42" s="22"/>
      <c r="J42" s="22"/>
      <c r="K42" s="22"/>
      <c r="L42" s="22"/>
      <c r="M42" s="22"/>
      <c r="N42" s="22"/>
      <c r="O42" s="17"/>
      <c r="P42" s="17"/>
      <c r="Q42" s="17"/>
      <c r="R42" s="17"/>
      <c r="S42" s="17"/>
      <c r="T42" s="5"/>
    </row>
    <row r="43" spans="1:20" s="4" customFormat="1" x14ac:dyDescent="0.25">
      <c r="A43" s="139" t="s">
        <v>393</v>
      </c>
      <c r="B43" s="22"/>
      <c r="C43" s="22"/>
      <c r="D43" s="22"/>
      <c r="E43" s="22"/>
      <c r="F43" s="22"/>
      <c r="G43" s="22"/>
      <c r="H43" s="22"/>
      <c r="I43" s="22"/>
      <c r="J43" s="22"/>
      <c r="K43" s="22"/>
      <c r="L43" s="22"/>
      <c r="M43" s="22"/>
      <c r="N43" s="22"/>
      <c r="O43" s="17"/>
      <c r="P43" s="17"/>
      <c r="Q43" s="17"/>
      <c r="R43" s="17"/>
      <c r="S43" s="17"/>
      <c r="T43" s="5"/>
    </row>
    <row r="44" spans="1:20" s="4" customFormat="1" x14ac:dyDescent="0.25">
      <c r="A44" s="140"/>
      <c r="B44" s="22"/>
      <c r="C44" s="22"/>
      <c r="D44" s="22"/>
      <c r="E44" s="22"/>
      <c r="F44" s="22"/>
      <c r="G44" s="22"/>
      <c r="H44" s="22"/>
      <c r="I44" s="22"/>
      <c r="J44" s="22"/>
      <c r="K44" s="22"/>
      <c r="L44" s="22"/>
      <c r="M44" s="22"/>
      <c r="N44" s="22"/>
      <c r="O44" s="17"/>
      <c r="P44" s="17"/>
      <c r="Q44" s="17"/>
      <c r="R44" s="17"/>
      <c r="S44" s="17"/>
      <c r="T44" s="5"/>
    </row>
    <row r="45" spans="1:20" s="4" customFormat="1" ht="15.75" x14ac:dyDescent="0.25">
      <c r="A45" s="44" t="s">
        <v>341</v>
      </c>
      <c r="B45" s="27"/>
      <c r="C45" s="27"/>
      <c r="D45" s="27"/>
      <c r="E45" s="27"/>
      <c r="F45" s="27"/>
      <c r="G45" s="27"/>
      <c r="H45" s="22"/>
      <c r="I45" s="22"/>
      <c r="J45" s="22"/>
      <c r="K45" s="22"/>
      <c r="L45" s="22"/>
      <c r="M45" s="22"/>
      <c r="N45" s="22"/>
      <c r="O45" s="17"/>
      <c r="P45" s="17"/>
      <c r="Q45" s="17"/>
      <c r="R45" s="17"/>
      <c r="S45" s="17"/>
      <c r="T45" s="5"/>
    </row>
    <row r="46" spans="1:20" s="4" customFormat="1" ht="25.5" x14ac:dyDescent="0.25">
      <c r="A46" s="136" t="s">
        <v>92</v>
      </c>
      <c r="B46" s="130">
        <v>2007</v>
      </c>
      <c r="C46" s="130">
        <v>2008</v>
      </c>
      <c r="D46" s="130">
        <v>2009</v>
      </c>
      <c r="E46" s="130">
        <v>2010</v>
      </c>
      <c r="F46" s="130">
        <v>2011</v>
      </c>
      <c r="G46" s="130">
        <v>2012</v>
      </c>
      <c r="H46" s="130">
        <v>2013</v>
      </c>
      <c r="I46" s="130">
        <v>2014</v>
      </c>
      <c r="J46" s="130">
        <v>2015</v>
      </c>
      <c r="K46" s="130">
        <v>2016</v>
      </c>
      <c r="L46" s="130">
        <v>2017</v>
      </c>
      <c r="M46" s="130">
        <v>2018</v>
      </c>
      <c r="N46" s="130">
        <v>2019</v>
      </c>
      <c r="O46" s="130">
        <v>2020</v>
      </c>
      <c r="P46" s="130">
        <v>2021</v>
      </c>
      <c r="Q46" s="131" t="s">
        <v>424</v>
      </c>
      <c r="R46" s="131" t="s">
        <v>425</v>
      </c>
      <c r="S46" s="131" t="s">
        <v>426</v>
      </c>
      <c r="T46" s="131" t="s">
        <v>427</v>
      </c>
    </row>
    <row r="47" spans="1:20" s="4" customFormat="1" x14ac:dyDescent="0.25">
      <c r="A47" s="86" t="s">
        <v>2</v>
      </c>
      <c r="B47" s="26">
        <v>86838</v>
      </c>
      <c r="C47" s="26">
        <v>95903</v>
      </c>
      <c r="D47" s="26">
        <v>110021</v>
      </c>
      <c r="E47" s="26">
        <v>128571</v>
      </c>
      <c r="F47" s="26">
        <v>138635</v>
      </c>
      <c r="G47" s="26">
        <v>140048</v>
      </c>
      <c r="H47" s="26">
        <v>144383</v>
      </c>
      <c r="I47" s="26">
        <v>148012</v>
      </c>
      <c r="J47" s="26">
        <v>146546</v>
      </c>
      <c r="K47" s="26">
        <v>141720</v>
      </c>
      <c r="L47" s="26">
        <v>136789</v>
      </c>
      <c r="M47" s="26">
        <v>136532</v>
      </c>
      <c r="N47" s="26">
        <v>136875</v>
      </c>
      <c r="O47" s="26">
        <v>127194</v>
      </c>
      <c r="P47" s="26">
        <v>127570</v>
      </c>
      <c r="Q47" s="188">
        <f t="shared" ref="Q47:Q71" si="16">(P47-G47)/G47</f>
        <v>-8.9098023534788073E-2</v>
      </c>
      <c r="R47" s="188">
        <f t="shared" ref="R47:R71" si="17">(P47-L47)/L47</f>
        <v>-6.7395770127714943E-2</v>
      </c>
      <c r="S47" s="188">
        <f t="shared" ref="S47:S71" si="18">(P47-O47)/O47</f>
        <v>2.9561142821202258E-3</v>
      </c>
      <c r="T47" s="188">
        <f t="shared" ref="T47:T71" si="19">P47/P$9</f>
        <v>9.8529510580896998E-2</v>
      </c>
    </row>
    <row r="48" spans="1:20" s="4" customFormat="1" x14ac:dyDescent="0.25">
      <c r="A48" s="180" t="s">
        <v>79</v>
      </c>
      <c r="B48" s="38">
        <v>86838</v>
      </c>
      <c r="C48" s="38">
        <v>95891</v>
      </c>
      <c r="D48" s="38">
        <v>110007</v>
      </c>
      <c r="E48" s="38">
        <v>128566</v>
      </c>
      <c r="F48" s="38">
        <v>138574</v>
      </c>
      <c r="G48" s="38">
        <v>140031</v>
      </c>
      <c r="H48" s="25">
        <v>144365</v>
      </c>
      <c r="I48" s="25">
        <v>148010</v>
      </c>
      <c r="J48" s="25">
        <v>146540</v>
      </c>
      <c r="K48" s="25">
        <v>141711</v>
      </c>
      <c r="L48" s="25">
        <v>136777</v>
      </c>
      <c r="M48" s="25">
        <v>136521</v>
      </c>
      <c r="N48" s="25">
        <v>136866</v>
      </c>
      <c r="O48" s="25">
        <v>127186</v>
      </c>
      <c r="P48" s="25">
        <v>127556</v>
      </c>
      <c r="Q48" s="187">
        <f t="shared" si="16"/>
        <v>-8.9087416357806481E-2</v>
      </c>
      <c r="R48" s="187">
        <f t="shared" si="17"/>
        <v>-6.7416305372979379E-2</v>
      </c>
      <c r="S48" s="187">
        <f t="shared" si="18"/>
        <v>2.9091252181843914E-3</v>
      </c>
      <c r="T48" s="187">
        <f t="shared" si="19"/>
        <v>9.8518697590788573E-2</v>
      </c>
    </row>
    <row r="49" spans="1:20" s="4" customFormat="1" x14ac:dyDescent="0.25">
      <c r="A49" s="180" t="s">
        <v>37</v>
      </c>
      <c r="B49" s="38"/>
      <c r="C49" s="38">
        <v>12</v>
      </c>
      <c r="D49" s="38">
        <v>14</v>
      </c>
      <c r="E49" s="38">
        <v>5</v>
      </c>
      <c r="F49" s="38">
        <v>61</v>
      </c>
      <c r="G49" s="38">
        <v>17</v>
      </c>
      <c r="H49" s="25">
        <v>18</v>
      </c>
      <c r="I49" s="25">
        <v>2</v>
      </c>
      <c r="J49" s="25">
        <v>6</v>
      </c>
      <c r="K49" s="25">
        <v>9</v>
      </c>
      <c r="L49" s="25">
        <v>12</v>
      </c>
      <c r="M49" s="25">
        <v>11</v>
      </c>
      <c r="N49" s="25">
        <v>9</v>
      </c>
      <c r="O49" s="25">
        <v>8</v>
      </c>
      <c r="P49" s="25">
        <v>14</v>
      </c>
      <c r="Q49" s="187">
        <f t="shared" si="16"/>
        <v>-0.17647058823529413</v>
      </c>
      <c r="R49" s="187">
        <f t="shared" si="17"/>
        <v>0.16666666666666666</v>
      </c>
      <c r="S49" s="187">
        <f t="shared" si="18"/>
        <v>0.75</v>
      </c>
      <c r="T49" s="187">
        <f t="shared" si="19"/>
        <v>1.0812990108431121E-5</v>
      </c>
    </row>
    <row r="50" spans="1:20" s="4" customFormat="1" x14ac:dyDescent="0.25">
      <c r="A50" s="86" t="s">
        <v>329</v>
      </c>
      <c r="B50" s="26"/>
      <c r="C50" s="26"/>
      <c r="D50" s="45"/>
      <c r="E50" s="45"/>
      <c r="F50" s="45"/>
      <c r="G50" s="45"/>
      <c r="H50" s="26"/>
      <c r="I50" s="26"/>
      <c r="J50" s="26"/>
      <c r="K50" s="26"/>
      <c r="L50" s="26"/>
      <c r="M50" s="26">
        <v>209</v>
      </c>
      <c r="N50" s="26">
        <v>1074</v>
      </c>
      <c r="O50" s="26">
        <v>3159</v>
      </c>
      <c r="P50" s="26">
        <v>6940</v>
      </c>
      <c r="Q50" s="188" t="s">
        <v>155</v>
      </c>
      <c r="R50" s="188" t="s">
        <v>155</v>
      </c>
      <c r="S50" s="188">
        <f t="shared" si="18"/>
        <v>1.196897752453308</v>
      </c>
      <c r="T50" s="188">
        <f t="shared" si="19"/>
        <v>5.36015366803657E-3</v>
      </c>
    </row>
    <row r="51" spans="1:20" s="4" customFormat="1" x14ac:dyDescent="0.25">
      <c r="A51" s="180" t="s">
        <v>79</v>
      </c>
      <c r="B51" s="38"/>
      <c r="C51" s="38"/>
      <c r="D51" s="38"/>
      <c r="E51" s="38"/>
      <c r="F51" s="38"/>
      <c r="G51" s="38"/>
      <c r="H51" s="25"/>
      <c r="I51" s="25"/>
      <c r="J51" s="25"/>
      <c r="K51" s="25"/>
      <c r="L51" s="25"/>
      <c r="M51" s="25">
        <v>209</v>
      </c>
      <c r="N51" s="25">
        <v>1074</v>
      </c>
      <c r="O51" s="25">
        <v>3159</v>
      </c>
      <c r="P51" s="25">
        <v>6940</v>
      </c>
      <c r="Q51" s="187" t="s">
        <v>155</v>
      </c>
      <c r="R51" s="187" t="s">
        <v>155</v>
      </c>
      <c r="S51" s="187">
        <f t="shared" si="18"/>
        <v>1.196897752453308</v>
      </c>
      <c r="T51" s="187">
        <f t="shared" si="19"/>
        <v>5.36015366803657E-3</v>
      </c>
    </row>
    <row r="52" spans="1:20" s="4" customFormat="1" x14ac:dyDescent="0.25">
      <c r="A52" s="86" t="s">
        <v>3</v>
      </c>
      <c r="B52" s="26">
        <v>156124</v>
      </c>
      <c r="C52" s="26">
        <v>162870</v>
      </c>
      <c r="D52" s="26">
        <v>189622</v>
      </c>
      <c r="E52" s="26">
        <v>224339</v>
      </c>
      <c r="F52" s="26">
        <v>267766</v>
      </c>
      <c r="G52" s="26">
        <v>301156</v>
      </c>
      <c r="H52" s="26">
        <v>332147</v>
      </c>
      <c r="I52" s="26">
        <v>357395</v>
      </c>
      <c r="J52" s="26">
        <v>378802</v>
      </c>
      <c r="K52" s="26">
        <v>384667</v>
      </c>
      <c r="L52" s="26">
        <v>377353</v>
      </c>
      <c r="M52" s="26">
        <v>374897</v>
      </c>
      <c r="N52" s="26">
        <v>381412</v>
      </c>
      <c r="O52" s="26">
        <v>362030</v>
      </c>
      <c r="P52" s="26">
        <v>379838</v>
      </c>
      <c r="Q52" s="188">
        <f t="shared" si="16"/>
        <v>0.26126658608827319</v>
      </c>
      <c r="R52" s="188">
        <f t="shared" si="17"/>
        <v>6.5853458167816339E-3</v>
      </c>
      <c r="S52" s="188">
        <f t="shared" si="18"/>
        <v>4.9189293704941579E-2</v>
      </c>
      <c r="T52" s="188">
        <f t="shared" si="19"/>
        <v>0.29337032405759</v>
      </c>
    </row>
    <row r="53" spans="1:20" s="4" customFormat="1" x14ac:dyDescent="0.25">
      <c r="A53" s="180" t="s">
        <v>79</v>
      </c>
      <c r="B53" s="38">
        <v>156124</v>
      </c>
      <c r="C53" s="38">
        <v>162848</v>
      </c>
      <c r="D53" s="38">
        <v>189597</v>
      </c>
      <c r="E53" s="38">
        <v>224301</v>
      </c>
      <c r="F53" s="38">
        <v>260692</v>
      </c>
      <c r="G53" s="38">
        <v>293519</v>
      </c>
      <c r="H53" s="25">
        <v>324579</v>
      </c>
      <c r="I53" s="25">
        <v>351004</v>
      </c>
      <c r="J53" s="25">
        <v>373171</v>
      </c>
      <c r="K53" s="25">
        <v>380988</v>
      </c>
      <c r="L53" s="25">
        <v>374709</v>
      </c>
      <c r="M53" s="25">
        <v>373104</v>
      </c>
      <c r="N53" s="25">
        <v>379456</v>
      </c>
      <c r="O53" s="25">
        <v>361387</v>
      </c>
      <c r="P53" s="25">
        <v>378538</v>
      </c>
      <c r="Q53" s="187">
        <f t="shared" si="16"/>
        <v>0.28965416208150069</v>
      </c>
      <c r="R53" s="187">
        <f t="shared" si="17"/>
        <v>1.0218596297393443E-2</v>
      </c>
      <c r="S53" s="187">
        <f t="shared" si="18"/>
        <v>4.7458818385830145E-2</v>
      </c>
      <c r="T53" s="187">
        <f t="shared" si="19"/>
        <v>0.29236626069037852</v>
      </c>
    </row>
    <row r="54" spans="1:20" s="4" customFormat="1" x14ac:dyDescent="0.25">
      <c r="A54" s="180" t="s">
        <v>37</v>
      </c>
      <c r="B54" s="38"/>
      <c r="C54" s="38">
        <v>22</v>
      </c>
      <c r="D54" s="38">
        <v>25</v>
      </c>
      <c r="E54" s="38">
        <v>38</v>
      </c>
      <c r="F54" s="38">
        <v>7074</v>
      </c>
      <c r="G54" s="38">
        <v>7637</v>
      </c>
      <c r="H54" s="25">
        <v>7568</v>
      </c>
      <c r="I54" s="25">
        <v>6391</v>
      </c>
      <c r="J54" s="25">
        <v>5631</v>
      </c>
      <c r="K54" s="25">
        <v>3679</v>
      </c>
      <c r="L54" s="25">
        <v>2644</v>
      </c>
      <c r="M54" s="25">
        <v>1793</v>
      </c>
      <c r="N54" s="25">
        <v>1956</v>
      </c>
      <c r="O54" s="25">
        <v>643</v>
      </c>
      <c r="P54" s="25">
        <v>1300</v>
      </c>
      <c r="Q54" s="187">
        <f t="shared" si="16"/>
        <v>-0.82977609008773079</v>
      </c>
      <c r="R54" s="187">
        <f t="shared" si="17"/>
        <v>-0.50832072617246593</v>
      </c>
      <c r="S54" s="187">
        <f t="shared" si="18"/>
        <v>1.0217729393468118</v>
      </c>
      <c r="T54" s="187">
        <f t="shared" si="19"/>
        <v>1.0040633672114612E-3</v>
      </c>
    </row>
    <row r="55" spans="1:20" s="4" customFormat="1" x14ac:dyDescent="0.25">
      <c r="A55" s="86" t="s">
        <v>350</v>
      </c>
      <c r="B55" s="26">
        <v>175004</v>
      </c>
      <c r="C55" s="26">
        <v>177210</v>
      </c>
      <c r="D55" s="26">
        <v>177826</v>
      </c>
      <c r="E55" s="26">
        <v>178541</v>
      </c>
      <c r="F55" s="26">
        <v>173901</v>
      </c>
      <c r="G55" s="26">
        <v>175586</v>
      </c>
      <c r="H55" s="26">
        <v>184477</v>
      </c>
      <c r="I55" s="26">
        <v>188565</v>
      </c>
      <c r="J55" s="26">
        <v>188804</v>
      </c>
      <c r="K55" s="26">
        <v>191847</v>
      </c>
      <c r="L55" s="26">
        <v>194841</v>
      </c>
      <c r="M55" s="26">
        <v>201231</v>
      </c>
      <c r="N55" s="26">
        <v>201606</v>
      </c>
      <c r="O55" s="26">
        <v>193217</v>
      </c>
      <c r="P55" s="26">
        <v>208978</v>
      </c>
      <c r="Q55" s="188">
        <f t="shared" si="16"/>
        <v>0.19017461528823482</v>
      </c>
      <c r="R55" s="188">
        <f t="shared" si="17"/>
        <v>7.2556597430725567E-2</v>
      </c>
      <c r="S55" s="188">
        <f t="shared" si="18"/>
        <v>8.1571497332015297E-2</v>
      </c>
      <c r="T55" s="188">
        <f t="shared" si="19"/>
        <v>0.16140550334855133</v>
      </c>
    </row>
    <row r="56" spans="1:20" s="4" customFormat="1" x14ac:dyDescent="0.25">
      <c r="A56" s="180" t="s">
        <v>79</v>
      </c>
      <c r="B56" s="38">
        <v>164654</v>
      </c>
      <c r="C56" s="38">
        <v>163487</v>
      </c>
      <c r="D56" s="38">
        <v>163656</v>
      </c>
      <c r="E56" s="38">
        <v>162284</v>
      </c>
      <c r="F56" s="38">
        <v>159643</v>
      </c>
      <c r="G56" s="38">
        <v>158192</v>
      </c>
      <c r="H56" s="25">
        <v>166232</v>
      </c>
      <c r="I56" s="25">
        <v>169614</v>
      </c>
      <c r="J56" s="25">
        <v>171384</v>
      </c>
      <c r="K56" s="25">
        <v>174242</v>
      </c>
      <c r="L56" s="25">
        <v>177931</v>
      </c>
      <c r="M56" s="25">
        <v>185531</v>
      </c>
      <c r="N56" s="25">
        <v>185927</v>
      </c>
      <c r="O56" s="25">
        <v>180322</v>
      </c>
      <c r="P56" s="25">
        <v>192961</v>
      </c>
      <c r="Q56" s="187">
        <f t="shared" si="16"/>
        <v>0.21978987559421462</v>
      </c>
      <c r="R56" s="187">
        <f t="shared" si="17"/>
        <v>8.4470946602896627E-2</v>
      </c>
      <c r="S56" s="187">
        <f t="shared" si="18"/>
        <v>7.0091281152604781E-2</v>
      </c>
      <c r="T56" s="187">
        <f t="shared" si="19"/>
        <v>0.1490346703080698</v>
      </c>
    </row>
    <row r="57" spans="1:20" s="4" customFormat="1" x14ac:dyDescent="0.25">
      <c r="A57" s="180" t="s">
        <v>362</v>
      </c>
      <c r="B57" s="38">
        <v>8640</v>
      </c>
      <c r="C57" s="38">
        <v>10810</v>
      </c>
      <c r="D57" s="38">
        <v>10714</v>
      </c>
      <c r="E57" s="38">
        <v>12675</v>
      </c>
      <c r="F57" s="38">
        <v>11317</v>
      </c>
      <c r="G57" s="38">
        <v>14249</v>
      </c>
      <c r="H57" s="25">
        <v>14823</v>
      </c>
      <c r="I57" s="25">
        <v>14867</v>
      </c>
      <c r="J57" s="25">
        <v>13807</v>
      </c>
      <c r="K57" s="25">
        <v>13807</v>
      </c>
      <c r="L57" s="25">
        <v>13148</v>
      </c>
      <c r="M57" s="25">
        <v>12402</v>
      </c>
      <c r="N57" s="25">
        <v>12561</v>
      </c>
      <c r="O57" s="25">
        <v>10521</v>
      </c>
      <c r="P57" s="25">
        <v>12304</v>
      </c>
      <c r="Q57" s="187">
        <f t="shared" si="16"/>
        <v>-0.13650080707418064</v>
      </c>
      <c r="R57" s="187">
        <f t="shared" si="17"/>
        <v>-6.4192272588986923E-2</v>
      </c>
      <c r="S57" s="187">
        <f t="shared" si="18"/>
        <v>0.16947058264423534</v>
      </c>
      <c r="T57" s="187">
        <f t="shared" si="19"/>
        <v>9.5030735924383214E-3</v>
      </c>
    </row>
    <row r="58" spans="1:20" s="4" customFormat="1" x14ac:dyDescent="0.25">
      <c r="A58" s="180" t="s">
        <v>37</v>
      </c>
      <c r="B58" s="38">
        <v>1710</v>
      </c>
      <c r="C58" s="38">
        <v>2913</v>
      </c>
      <c r="D58" s="38">
        <v>3456</v>
      </c>
      <c r="E58" s="38">
        <v>3582</v>
      </c>
      <c r="F58" s="38">
        <v>2941</v>
      </c>
      <c r="G58" s="38">
        <v>3145</v>
      </c>
      <c r="H58" s="25">
        <v>3422</v>
      </c>
      <c r="I58" s="25">
        <v>4084</v>
      </c>
      <c r="J58" s="25">
        <v>3613</v>
      </c>
      <c r="K58" s="25">
        <v>3798</v>
      </c>
      <c r="L58" s="25">
        <v>3762</v>
      </c>
      <c r="M58" s="25">
        <v>3298</v>
      </c>
      <c r="N58" s="25">
        <v>3118</v>
      </c>
      <c r="O58" s="25">
        <v>2374</v>
      </c>
      <c r="P58" s="25">
        <v>3713</v>
      </c>
      <c r="Q58" s="187">
        <f t="shared" si="16"/>
        <v>0.18060413354531002</v>
      </c>
      <c r="R58" s="187">
        <f t="shared" si="17"/>
        <v>-1.3024986709197236E-2</v>
      </c>
      <c r="S58" s="187">
        <f t="shared" si="18"/>
        <v>0.56402695871946085</v>
      </c>
      <c r="T58" s="187">
        <f t="shared" si="19"/>
        <v>2.8677594480431964E-3</v>
      </c>
    </row>
    <row r="59" spans="1:20" s="4" customFormat="1" x14ac:dyDescent="0.25">
      <c r="A59" s="86" t="s">
        <v>351</v>
      </c>
      <c r="B59" s="26">
        <v>110980</v>
      </c>
      <c r="C59" s="26">
        <v>117948</v>
      </c>
      <c r="D59" s="26">
        <v>125301</v>
      </c>
      <c r="E59" s="26">
        <v>132349</v>
      </c>
      <c r="F59" s="26">
        <v>135432</v>
      </c>
      <c r="G59" s="26">
        <v>136189</v>
      </c>
      <c r="H59" s="26">
        <v>141563</v>
      </c>
      <c r="I59" s="26">
        <v>144984</v>
      </c>
      <c r="J59" s="26">
        <v>147903</v>
      </c>
      <c r="K59" s="26">
        <v>154017</v>
      </c>
      <c r="L59" s="26">
        <v>155756</v>
      </c>
      <c r="M59" s="26">
        <v>165314</v>
      </c>
      <c r="N59" s="26">
        <v>194985</v>
      </c>
      <c r="O59" s="26">
        <v>211403</v>
      </c>
      <c r="P59" s="26">
        <v>228064</v>
      </c>
      <c r="Q59" s="188">
        <f t="shared" si="16"/>
        <v>0.6746139556058125</v>
      </c>
      <c r="R59" s="188">
        <f t="shared" si="17"/>
        <v>0.46423893782583014</v>
      </c>
      <c r="S59" s="188">
        <f t="shared" si="18"/>
        <v>7.8811558965577594E-2</v>
      </c>
      <c r="T59" s="188">
        <f t="shared" si="19"/>
        <v>0.17614669829208821</v>
      </c>
    </row>
    <row r="60" spans="1:20" s="4" customFormat="1" x14ac:dyDescent="0.25">
      <c r="A60" s="180" t="s">
        <v>79</v>
      </c>
      <c r="B60" s="38">
        <v>101031</v>
      </c>
      <c r="C60" s="38">
        <v>107609</v>
      </c>
      <c r="D60" s="38">
        <v>113271</v>
      </c>
      <c r="E60" s="38">
        <v>119524</v>
      </c>
      <c r="F60" s="38">
        <v>123054</v>
      </c>
      <c r="G60" s="38">
        <v>124799</v>
      </c>
      <c r="H60" s="25">
        <v>129501</v>
      </c>
      <c r="I60" s="25">
        <v>131781</v>
      </c>
      <c r="J60" s="25">
        <v>133564</v>
      </c>
      <c r="K60" s="25">
        <v>138613</v>
      </c>
      <c r="L60" s="25">
        <v>141039</v>
      </c>
      <c r="M60" s="25">
        <v>144461</v>
      </c>
      <c r="N60" s="25">
        <v>172393</v>
      </c>
      <c r="O60" s="25">
        <v>185450</v>
      </c>
      <c r="P60" s="25">
        <v>193168</v>
      </c>
      <c r="Q60" s="187">
        <f t="shared" si="16"/>
        <v>0.54783291532784717</v>
      </c>
      <c r="R60" s="187">
        <f t="shared" si="17"/>
        <v>0.36960698813803272</v>
      </c>
      <c r="S60" s="187">
        <f t="shared" si="18"/>
        <v>4.1617686708007549E-2</v>
      </c>
      <c r="T60" s="187">
        <f t="shared" si="19"/>
        <v>0.14919454809038732</v>
      </c>
    </row>
    <row r="61" spans="1:20" s="4" customFormat="1" x14ac:dyDescent="0.25">
      <c r="A61" s="180" t="s">
        <v>362</v>
      </c>
      <c r="B61" s="38">
        <v>6602</v>
      </c>
      <c r="C61" s="38">
        <v>7183</v>
      </c>
      <c r="D61" s="38">
        <v>8183</v>
      </c>
      <c r="E61" s="38">
        <v>8838</v>
      </c>
      <c r="F61" s="38">
        <v>8715</v>
      </c>
      <c r="G61" s="38">
        <v>8944</v>
      </c>
      <c r="H61" s="25">
        <v>9359</v>
      </c>
      <c r="I61" s="25">
        <v>10327</v>
      </c>
      <c r="J61" s="25">
        <v>10571</v>
      </c>
      <c r="K61" s="25">
        <v>11832</v>
      </c>
      <c r="L61" s="25">
        <v>11114</v>
      </c>
      <c r="M61" s="25">
        <v>11016</v>
      </c>
      <c r="N61" s="25">
        <v>13457</v>
      </c>
      <c r="O61" s="25">
        <v>13937</v>
      </c>
      <c r="P61" s="25">
        <v>15330</v>
      </c>
      <c r="Q61" s="187">
        <f t="shared" si="16"/>
        <v>0.71399821109123429</v>
      </c>
      <c r="R61" s="187">
        <f t="shared" si="17"/>
        <v>0.37934137124347672</v>
      </c>
      <c r="S61" s="187">
        <f t="shared" si="18"/>
        <v>9.9949773982923151E-2</v>
      </c>
      <c r="T61" s="187">
        <f t="shared" si="19"/>
        <v>1.1840224168732077E-2</v>
      </c>
    </row>
    <row r="62" spans="1:20" s="4" customFormat="1" x14ac:dyDescent="0.25">
      <c r="A62" s="180" t="s">
        <v>37</v>
      </c>
      <c r="B62" s="38">
        <v>3347</v>
      </c>
      <c r="C62" s="38">
        <v>3156</v>
      </c>
      <c r="D62" s="38">
        <v>3847</v>
      </c>
      <c r="E62" s="38">
        <v>3987</v>
      </c>
      <c r="F62" s="38">
        <v>3663</v>
      </c>
      <c r="G62" s="38">
        <v>2446</v>
      </c>
      <c r="H62" s="25">
        <v>2703</v>
      </c>
      <c r="I62" s="25">
        <v>2876</v>
      </c>
      <c r="J62" s="25">
        <v>3768</v>
      </c>
      <c r="K62" s="25">
        <v>3572</v>
      </c>
      <c r="L62" s="25">
        <v>3603</v>
      </c>
      <c r="M62" s="25">
        <v>9837</v>
      </c>
      <c r="N62" s="25">
        <v>9135</v>
      </c>
      <c r="O62" s="25">
        <v>12016</v>
      </c>
      <c r="P62" s="25">
        <v>19566</v>
      </c>
      <c r="Q62" s="187">
        <f t="shared" si="16"/>
        <v>6.9991823385118561</v>
      </c>
      <c r="R62" s="187">
        <f t="shared" si="17"/>
        <v>4.4304746044962533</v>
      </c>
      <c r="S62" s="187">
        <f t="shared" si="18"/>
        <v>0.62832889480692411</v>
      </c>
      <c r="T62" s="187">
        <f t="shared" si="19"/>
        <v>1.5111926032968806E-2</v>
      </c>
    </row>
    <row r="63" spans="1:20" s="4" customFormat="1" x14ac:dyDescent="0.25">
      <c r="A63" s="86" t="s">
        <v>299</v>
      </c>
      <c r="B63" s="26">
        <v>247892</v>
      </c>
      <c r="C63" s="26">
        <v>265866</v>
      </c>
      <c r="D63" s="26">
        <v>288949</v>
      </c>
      <c r="E63" s="26">
        <v>321818</v>
      </c>
      <c r="F63" s="26">
        <v>353365</v>
      </c>
      <c r="G63" s="26">
        <v>373941</v>
      </c>
      <c r="H63" s="26">
        <v>381801</v>
      </c>
      <c r="I63" s="26">
        <v>376174</v>
      </c>
      <c r="J63" s="26">
        <v>370988</v>
      </c>
      <c r="K63" s="26">
        <v>374927</v>
      </c>
      <c r="L63" s="26">
        <v>383554</v>
      </c>
      <c r="M63" s="26">
        <v>384153</v>
      </c>
      <c r="N63" s="26">
        <v>350403</v>
      </c>
      <c r="O63" s="26">
        <v>321624</v>
      </c>
      <c r="P63" s="26">
        <v>341468</v>
      </c>
      <c r="Q63" s="188">
        <f t="shared" si="16"/>
        <v>-8.6839902551472017E-2</v>
      </c>
      <c r="R63" s="188">
        <f t="shared" si="17"/>
        <v>-0.10972640097613374</v>
      </c>
      <c r="S63" s="188">
        <f t="shared" si="18"/>
        <v>6.1699375668482451E-2</v>
      </c>
      <c r="T63" s="188">
        <f t="shared" si="19"/>
        <v>0.26373500759612556</v>
      </c>
    </row>
    <row r="64" spans="1:20" s="4" customFormat="1" x14ac:dyDescent="0.25">
      <c r="A64" s="180" t="s">
        <v>79</v>
      </c>
      <c r="B64" s="38">
        <v>239697</v>
      </c>
      <c r="C64" s="38">
        <v>253514</v>
      </c>
      <c r="D64" s="38">
        <v>272809</v>
      </c>
      <c r="E64" s="38">
        <v>303583</v>
      </c>
      <c r="F64" s="38">
        <v>333114</v>
      </c>
      <c r="G64" s="38">
        <v>348275</v>
      </c>
      <c r="H64" s="25">
        <v>349600</v>
      </c>
      <c r="I64" s="25">
        <v>343972</v>
      </c>
      <c r="J64" s="25">
        <v>341247</v>
      </c>
      <c r="K64" s="25">
        <v>342926</v>
      </c>
      <c r="L64" s="25">
        <v>346836</v>
      </c>
      <c r="M64" s="25">
        <v>348221</v>
      </c>
      <c r="N64" s="25">
        <v>316615</v>
      </c>
      <c r="O64" s="25">
        <v>292083</v>
      </c>
      <c r="P64" s="25">
        <v>303657</v>
      </c>
      <c r="Q64" s="187">
        <f t="shared" si="16"/>
        <v>-0.12811140621635203</v>
      </c>
      <c r="R64" s="187">
        <f t="shared" si="17"/>
        <v>-0.12449399716292427</v>
      </c>
      <c r="S64" s="187">
        <f t="shared" si="18"/>
        <v>3.9625722825361281E-2</v>
      </c>
      <c r="T64" s="187">
        <f t="shared" si="19"/>
        <v>0.23453143838256205</v>
      </c>
    </row>
    <row r="65" spans="1:16262" s="4" customFormat="1" x14ac:dyDescent="0.25">
      <c r="A65" s="180" t="s">
        <v>362</v>
      </c>
      <c r="B65" s="38">
        <v>5451</v>
      </c>
      <c r="C65" s="38">
        <v>8081</v>
      </c>
      <c r="D65" s="38">
        <v>9460</v>
      </c>
      <c r="E65" s="38">
        <v>11885</v>
      </c>
      <c r="F65" s="38">
        <v>14448</v>
      </c>
      <c r="G65" s="38">
        <v>18008</v>
      </c>
      <c r="H65" s="25">
        <v>22544</v>
      </c>
      <c r="I65" s="25">
        <v>21612</v>
      </c>
      <c r="J65" s="25">
        <v>20738</v>
      </c>
      <c r="K65" s="25">
        <v>21945</v>
      </c>
      <c r="L65" s="25">
        <v>24436</v>
      </c>
      <c r="M65" s="25">
        <v>23457</v>
      </c>
      <c r="N65" s="25">
        <v>22373</v>
      </c>
      <c r="O65" s="25">
        <v>21003</v>
      </c>
      <c r="P65" s="25">
        <v>25326</v>
      </c>
      <c r="Q65" s="187">
        <f t="shared" si="16"/>
        <v>0.40637494446912481</v>
      </c>
      <c r="R65" s="187">
        <f t="shared" si="17"/>
        <v>3.6421672941561629E-2</v>
      </c>
      <c r="S65" s="187">
        <f t="shared" si="18"/>
        <v>0.20582773889444364</v>
      </c>
      <c r="T65" s="187">
        <f t="shared" si="19"/>
        <v>1.9560699106151897E-2</v>
      </c>
    </row>
    <row r="66" spans="1:16262" s="4" customFormat="1" x14ac:dyDescent="0.25">
      <c r="A66" s="180" t="s">
        <v>37</v>
      </c>
      <c r="B66" s="38">
        <v>2744</v>
      </c>
      <c r="C66" s="38">
        <v>4271</v>
      </c>
      <c r="D66" s="38">
        <v>6680</v>
      </c>
      <c r="E66" s="38">
        <v>6350</v>
      </c>
      <c r="F66" s="38">
        <v>5803</v>
      </c>
      <c r="G66" s="38">
        <v>7658</v>
      </c>
      <c r="H66" s="25">
        <v>9657</v>
      </c>
      <c r="I66" s="25">
        <v>10590</v>
      </c>
      <c r="J66" s="25">
        <v>9003</v>
      </c>
      <c r="K66" s="25">
        <v>10056</v>
      </c>
      <c r="L66" s="25">
        <v>12282</v>
      </c>
      <c r="M66" s="25">
        <v>12475</v>
      </c>
      <c r="N66" s="25">
        <v>11415</v>
      </c>
      <c r="O66" s="25">
        <v>8538</v>
      </c>
      <c r="P66" s="25">
        <v>12485</v>
      </c>
      <c r="Q66" s="187">
        <f t="shared" si="16"/>
        <v>0.63032123269783236</v>
      </c>
      <c r="R66" s="187">
        <f t="shared" si="17"/>
        <v>1.6528252727568801E-2</v>
      </c>
      <c r="S66" s="187">
        <f t="shared" si="18"/>
        <v>0.4622862497071914</v>
      </c>
      <c r="T66" s="187">
        <f t="shared" si="19"/>
        <v>9.6428701074116104E-3</v>
      </c>
    </row>
    <row r="67" spans="1:16262" s="4" customFormat="1" x14ac:dyDescent="0.25">
      <c r="A67" s="86" t="s">
        <v>365</v>
      </c>
      <c r="B67" s="45"/>
      <c r="C67" s="45"/>
      <c r="D67" s="45"/>
      <c r="E67" s="45"/>
      <c r="F67" s="45"/>
      <c r="G67" s="45"/>
      <c r="H67" s="26"/>
      <c r="I67" s="26"/>
      <c r="J67" s="26"/>
      <c r="K67" s="26"/>
      <c r="L67" s="26"/>
      <c r="M67" s="26"/>
      <c r="N67" s="26">
        <v>2149</v>
      </c>
      <c r="O67" s="26">
        <v>2359</v>
      </c>
      <c r="P67" s="26">
        <v>1881</v>
      </c>
      <c r="Q67" s="188" t="s">
        <v>155</v>
      </c>
      <c r="R67" s="188" t="s">
        <v>155</v>
      </c>
      <c r="S67" s="188">
        <f t="shared" si="18"/>
        <v>-0.20262823230182281</v>
      </c>
      <c r="T67" s="188">
        <f t="shared" si="19"/>
        <v>1.4528024567113525E-3</v>
      </c>
    </row>
    <row r="68" spans="1:16262" s="4" customFormat="1" x14ac:dyDescent="0.25">
      <c r="A68" s="180" t="s">
        <v>79</v>
      </c>
      <c r="B68" s="38"/>
      <c r="C68" s="38"/>
      <c r="D68" s="38"/>
      <c r="E68" s="38"/>
      <c r="F68" s="38"/>
      <c r="G68" s="38"/>
      <c r="H68" s="25"/>
      <c r="I68" s="25"/>
      <c r="J68" s="25"/>
      <c r="K68" s="25"/>
      <c r="L68" s="25"/>
      <c r="M68" s="25"/>
      <c r="N68" s="25">
        <v>2149</v>
      </c>
      <c r="O68" s="25">
        <v>2335</v>
      </c>
      <c r="P68" s="25">
        <v>1594</v>
      </c>
      <c r="Q68" s="187" t="s">
        <v>155</v>
      </c>
      <c r="R68" s="187" t="s">
        <v>155</v>
      </c>
      <c r="S68" s="187">
        <f t="shared" si="18"/>
        <v>-0.31734475374732335</v>
      </c>
      <c r="T68" s="187">
        <f t="shared" si="19"/>
        <v>1.2311361594885147E-3</v>
      </c>
    </row>
    <row r="69" spans="1:16262" s="4" customFormat="1" x14ac:dyDescent="0.25">
      <c r="A69" s="180" t="s">
        <v>362</v>
      </c>
      <c r="B69" s="38"/>
      <c r="C69" s="38"/>
      <c r="D69" s="38"/>
      <c r="E69" s="38"/>
      <c r="F69" s="38"/>
      <c r="G69" s="38"/>
      <c r="H69" s="25"/>
      <c r="I69" s="25"/>
      <c r="J69" s="25"/>
      <c r="K69" s="25"/>
      <c r="L69" s="25"/>
      <c r="M69" s="25"/>
      <c r="N69" s="25"/>
      <c r="O69" s="25">
        <v>22</v>
      </c>
      <c r="P69" s="25">
        <v>287</v>
      </c>
      <c r="Q69" s="187" t="s">
        <v>155</v>
      </c>
      <c r="R69" s="187" t="s">
        <v>155</v>
      </c>
      <c r="S69" s="187">
        <f t="shared" si="18"/>
        <v>12.045454545454545</v>
      </c>
      <c r="T69" s="187">
        <f t="shared" si="19"/>
        <v>2.2166629722283795E-4</v>
      </c>
    </row>
    <row r="70" spans="1:16262" s="4" customFormat="1" x14ac:dyDescent="0.25">
      <c r="A70" s="180" t="s">
        <v>37</v>
      </c>
      <c r="B70" s="38"/>
      <c r="C70" s="38"/>
      <c r="D70" s="38"/>
      <c r="E70" s="38"/>
      <c r="F70" s="38"/>
      <c r="G70" s="38"/>
      <c r="H70" s="25"/>
      <c r="I70" s="25"/>
      <c r="J70" s="25"/>
      <c r="K70" s="25"/>
      <c r="L70" s="25"/>
      <c r="M70" s="25"/>
      <c r="N70" s="25"/>
      <c r="O70" s="25">
        <v>2</v>
      </c>
      <c r="P70" s="25"/>
      <c r="Q70" s="187" t="s">
        <v>155</v>
      </c>
      <c r="R70" s="187" t="s">
        <v>155</v>
      </c>
      <c r="S70" s="187">
        <f t="shared" si="18"/>
        <v>-1</v>
      </c>
      <c r="T70" s="187">
        <f t="shared" si="19"/>
        <v>0</v>
      </c>
    </row>
    <row r="71" spans="1:16262" s="4" customFormat="1" x14ac:dyDescent="0.25">
      <c r="A71" s="86" t="s">
        <v>0</v>
      </c>
      <c r="B71" s="26">
        <v>776838</v>
      </c>
      <c r="C71" s="26">
        <v>819797</v>
      </c>
      <c r="D71" s="26">
        <v>891719</v>
      </c>
      <c r="E71" s="26">
        <v>985618</v>
      </c>
      <c r="F71" s="26">
        <v>1069099</v>
      </c>
      <c r="G71" s="26">
        <v>1126920</v>
      </c>
      <c r="H71" s="26">
        <v>1184371</v>
      </c>
      <c r="I71" s="26">
        <v>1215130</v>
      </c>
      <c r="J71" s="26">
        <v>1233043</v>
      </c>
      <c r="K71" s="26">
        <v>1247178</v>
      </c>
      <c r="L71" s="26">
        <v>1248293</v>
      </c>
      <c r="M71" s="26">
        <v>1262336</v>
      </c>
      <c r="N71" s="26">
        <v>1268504</v>
      </c>
      <c r="O71" s="26">
        <v>1220986</v>
      </c>
      <c r="P71" s="26">
        <v>1294739</v>
      </c>
      <c r="Q71" s="188">
        <f t="shared" si="16"/>
        <v>0.14891829056188549</v>
      </c>
      <c r="R71" s="188">
        <f t="shared" si="17"/>
        <v>3.7207610713189933E-2</v>
      </c>
      <c r="S71" s="188">
        <f t="shared" si="18"/>
        <v>6.0404460001998388E-2</v>
      </c>
      <c r="T71" s="188">
        <f t="shared" si="19"/>
        <v>1</v>
      </c>
    </row>
    <row r="72" spans="1:16262" s="4" customFormat="1" ht="12.75" customHeight="1" x14ac:dyDescent="0.25">
      <c r="A72" s="139" t="s">
        <v>388</v>
      </c>
      <c r="B72" s="120"/>
      <c r="C72" s="120"/>
      <c r="D72" s="120"/>
      <c r="E72" s="120"/>
      <c r="F72" s="120"/>
      <c r="G72" s="120"/>
      <c r="H72" s="120"/>
      <c r="I72" s="120"/>
      <c r="J72" s="120"/>
      <c r="K72" s="120"/>
      <c r="L72" s="120"/>
      <c r="M72" s="120"/>
      <c r="N72" s="120"/>
      <c r="O72" s="120"/>
      <c r="P72" s="120"/>
      <c r="Q72" s="120"/>
      <c r="R72" s="120"/>
      <c r="S72" s="120"/>
      <c r="T72" s="120"/>
      <c r="U72" s="120"/>
      <c r="V72" s="120"/>
      <c r="W72" s="120"/>
      <c r="X72" s="120"/>
      <c r="Y72" s="120"/>
      <c r="Z72" s="120"/>
      <c r="AA72" s="120"/>
      <c r="AB72" s="120"/>
      <c r="AC72" s="120"/>
      <c r="AD72" s="120"/>
      <c r="AE72" s="120"/>
      <c r="AF72" s="120"/>
      <c r="AG72" s="120"/>
      <c r="AH72" s="120"/>
      <c r="AI72" s="120"/>
      <c r="AJ72" s="120"/>
      <c r="AK72" s="120"/>
      <c r="AL72" s="120"/>
      <c r="AM72" s="120"/>
      <c r="AN72" s="120"/>
      <c r="AO72" s="120"/>
      <c r="AP72" s="120"/>
      <c r="AQ72" s="120"/>
      <c r="AR72" s="120"/>
      <c r="AS72" s="120"/>
      <c r="AT72" s="120"/>
      <c r="AU72" s="120"/>
      <c r="AV72" s="120"/>
      <c r="AW72" s="120"/>
      <c r="AX72" s="120"/>
      <c r="AY72" s="120"/>
      <c r="AZ72" s="120"/>
      <c r="BA72" s="120"/>
      <c r="BB72" s="120"/>
      <c r="BC72" s="120"/>
      <c r="BD72" s="120"/>
      <c r="BE72" s="120"/>
      <c r="BF72" s="120"/>
      <c r="BG72" s="120"/>
      <c r="BH72" s="120"/>
      <c r="BI72" s="120"/>
      <c r="BJ72" s="120"/>
      <c r="BK72" s="120"/>
      <c r="BL72" s="120"/>
      <c r="BM72" s="120"/>
      <c r="BN72" s="120"/>
      <c r="BO72" s="120"/>
      <c r="BP72" s="120"/>
      <c r="BQ72" s="120"/>
      <c r="BR72" s="120"/>
      <c r="BS72" s="120"/>
      <c r="BT72" s="120"/>
      <c r="BU72" s="120"/>
      <c r="BV72" s="120"/>
      <c r="BW72" s="120"/>
      <c r="BX72" s="120"/>
      <c r="BY72" s="120"/>
      <c r="BZ72" s="120"/>
      <c r="CA72" s="120"/>
      <c r="CB72" s="120"/>
      <c r="CC72" s="120"/>
      <c r="CD72" s="120"/>
      <c r="CE72" s="120"/>
      <c r="CF72" s="120"/>
      <c r="CG72" s="120"/>
      <c r="CH72" s="120"/>
      <c r="CI72" s="120"/>
      <c r="CJ72" s="120"/>
      <c r="CK72" s="120"/>
      <c r="CL72" s="120"/>
      <c r="CM72" s="120"/>
      <c r="CN72" s="120"/>
      <c r="CO72" s="120"/>
      <c r="CP72" s="120"/>
      <c r="CQ72" s="120"/>
      <c r="CR72" s="120"/>
      <c r="CS72" s="120"/>
      <c r="CT72" s="120"/>
      <c r="CU72" s="120"/>
      <c r="CV72" s="120"/>
      <c r="CW72" s="120"/>
      <c r="CX72" s="120"/>
      <c r="CY72" s="120"/>
      <c r="CZ72" s="120"/>
      <c r="DA72" s="120"/>
      <c r="DB72" s="120"/>
      <c r="DC72" s="120"/>
      <c r="DD72" s="120"/>
      <c r="DE72" s="120"/>
      <c r="DF72" s="120"/>
      <c r="DG72" s="120"/>
      <c r="DH72" s="120"/>
      <c r="DI72" s="120"/>
      <c r="DJ72" s="120"/>
      <c r="DK72" s="120"/>
      <c r="DL72" s="120"/>
      <c r="DM72" s="120"/>
      <c r="DN72" s="120"/>
      <c r="DO72" s="120"/>
      <c r="DP72" s="120"/>
      <c r="DQ72" s="120"/>
      <c r="DR72" s="120"/>
      <c r="DS72" s="120"/>
      <c r="DT72" s="120"/>
      <c r="DU72" s="120"/>
      <c r="DV72" s="120"/>
      <c r="DW72" s="120"/>
      <c r="DX72" s="120"/>
      <c r="DY72" s="120"/>
      <c r="DZ72" s="120"/>
      <c r="EA72" s="120"/>
      <c r="EB72" s="120"/>
      <c r="EC72" s="120"/>
      <c r="ED72" s="120"/>
      <c r="EE72" s="120"/>
      <c r="EF72" s="120"/>
      <c r="EG72" s="120"/>
      <c r="EH72" s="120"/>
      <c r="EI72" s="120"/>
      <c r="EJ72" s="120"/>
      <c r="EK72" s="120"/>
      <c r="EL72" s="120"/>
      <c r="EM72" s="120"/>
      <c r="EN72" s="120"/>
      <c r="EO72" s="120"/>
      <c r="EP72" s="120"/>
      <c r="EQ72" s="120"/>
      <c r="ER72" s="120"/>
      <c r="ES72" s="120"/>
      <c r="ET72" s="120"/>
      <c r="EU72" s="120"/>
      <c r="EV72" s="120"/>
      <c r="EW72" s="120"/>
      <c r="EX72" s="120"/>
      <c r="EY72" s="120"/>
      <c r="EZ72" s="120"/>
      <c r="FA72" s="120"/>
      <c r="FB72" s="120"/>
      <c r="FC72" s="120"/>
      <c r="FD72" s="120"/>
      <c r="FE72" s="120"/>
      <c r="FF72" s="120"/>
      <c r="FG72" s="120"/>
      <c r="FH72" s="120"/>
      <c r="FI72" s="120"/>
      <c r="FJ72" s="120"/>
      <c r="FK72" s="120"/>
      <c r="FL72" s="120"/>
      <c r="FM72" s="120"/>
      <c r="FN72" s="120"/>
      <c r="FO72" s="120"/>
      <c r="FP72" s="120"/>
      <c r="FQ72" s="120"/>
      <c r="FR72" s="120"/>
      <c r="FS72" s="120"/>
      <c r="FT72" s="120"/>
      <c r="FU72" s="120"/>
      <c r="FV72" s="120"/>
      <c r="FW72" s="120"/>
      <c r="FX72" s="120"/>
      <c r="FY72" s="120"/>
      <c r="FZ72" s="120"/>
      <c r="GA72" s="120"/>
      <c r="GB72" s="120"/>
      <c r="GC72" s="120"/>
      <c r="GD72" s="120"/>
      <c r="GE72" s="120"/>
      <c r="GF72" s="120"/>
      <c r="GG72" s="120"/>
      <c r="GH72" s="120"/>
      <c r="GI72" s="120"/>
      <c r="GJ72" s="120"/>
      <c r="GK72" s="120"/>
      <c r="GL72" s="120"/>
      <c r="GM72" s="120"/>
      <c r="GN72" s="120"/>
      <c r="GO72" s="120"/>
      <c r="GP72" s="120"/>
      <c r="GQ72" s="120"/>
      <c r="GR72" s="120"/>
      <c r="GS72" s="120"/>
      <c r="GT72" s="120"/>
      <c r="GU72" s="120"/>
      <c r="GV72" s="120"/>
      <c r="GW72" s="120"/>
      <c r="GX72" s="120"/>
      <c r="GY72" s="120"/>
      <c r="GZ72" s="120"/>
      <c r="HA72" s="120"/>
      <c r="HB72" s="120"/>
      <c r="HC72" s="120"/>
      <c r="HD72" s="120"/>
      <c r="HE72" s="120"/>
      <c r="HF72" s="120"/>
      <c r="HG72" s="120"/>
      <c r="HH72" s="120"/>
      <c r="HI72" s="120"/>
      <c r="HJ72" s="120"/>
      <c r="HK72" s="120"/>
      <c r="HL72" s="120"/>
      <c r="HM72" s="120"/>
      <c r="HN72" s="120"/>
      <c r="HO72" s="120"/>
      <c r="HP72" s="120"/>
      <c r="HQ72" s="120"/>
      <c r="HR72" s="120"/>
      <c r="HS72" s="120"/>
      <c r="HT72" s="120"/>
      <c r="HU72" s="120"/>
      <c r="HV72" s="120"/>
      <c r="HW72" s="120"/>
      <c r="HX72" s="120"/>
      <c r="HY72" s="120"/>
      <c r="HZ72" s="120"/>
      <c r="IA72" s="120"/>
      <c r="IB72" s="120"/>
      <c r="IC72" s="120"/>
      <c r="ID72" s="120"/>
      <c r="IE72" s="120"/>
      <c r="IF72" s="120"/>
      <c r="IG72" s="120"/>
      <c r="IH72" s="120"/>
      <c r="II72" s="120"/>
      <c r="IJ72" s="120"/>
      <c r="IK72" s="120"/>
      <c r="IL72" s="120"/>
      <c r="IM72" s="120"/>
      <c r="IN72" s="120"/>
      <c r="IO72" s="120"/>
      <c r="IP72" s="120"/>
      <c r="IQ72" s="120"/>
      <c r="IR72" s="120"/>
      <c r="IS72" s="120"/>
      <c r="IT72" s="120"/>
      <c r="IU72" s="120"/>
      <c r="IV72" s="120"/>
      <c r="IW72" s="120"/>
      <c r="IX72" s="120"/>
      <c r="IY72" s="120"/>
      <c r="IZ72" s="120"/>
      <c r="JA72" s="120"/>
      <c r="JB72" s="120"/>
      <c r="JC72" s="120"/>
      <c r="JD72" s="120"/>
      <c r="JE72" s="120"/>
      <c r="JF72" s="120"/>
      <c r="JG72" s="120"/>
      <c r="JH72" s="120"/>
      <c r="JI72" s="120"/>
      <c r="JJ72" s="120"/>
      <c r="JK72" s="120"/>
      <c r="JL72" s="120"/>
      <c r="JM72" s="120"/>
      <c r="JN72" s="120"/>
      <c r="JO72" s="120"/>
      <c r="JP72" s="120"/>
      <c r="JQ72" s="120"/>
      <c r="JR72" s="120"/>
      <c r="JS72" s="120"/>
      <c r="JT72" s="120"/>
      <c r="JU72" s="120"/>
      <c r="JV72" s="120"/>
      <c r="JW72" s="120"/>
      <c r="JX72" s="120"/>
      <c r="JY72" s="120"/>
      <c r="JZ72" s="120"/>
      <c r="KA72" s="120"/>
      <c r="KB72" s="120"/>
      <c r="KC72" s="120"/>
      <c r="KD72" s="120"/>
      <c r="KE72" s="120"/>
      <c r="KF72" s="120"/>
      <c r="KG72" s="120"/>
      <c r="KH72" s="120"/>
      <c r="KI72" s="120"/>
      <c r="KJ72" s="120"/>
      <c r="KK72" s="120"/>
      <c r="KL72" s="120"/>
      <c r="KM72" s="120"/>
      <c r="KN72" s="120"/>
      <c r="KO72" s="120"/>
      <c r="KP72" s="120"/>
      <c r="KQ72" s="120"/>
      <c r="KR72" s="120"/>
      <c r="KS72" s="120"/>
      <c r="KT72" s="120"/>
      <c r="KU72" s="120"/>
      <c r="KV72" s="120"/>
      <c r="KW72" s="120"/>
      <c r="KX72" s="120"/>
      <c r="KY72" s="120"/>
      <c r="KZ72" s="120"/>
      <c r="LA72" s="120"/>
      <c r="LB72" s="120"/>
      <c r="LC72" s="120"/>
      <c r="LD72" s="120"/>
      <c r="LE72" s="120"/>
      <c r="LF72" s="120"/>
      <c r="LG72" s="120"/>
      <c r="LH72" s="120"/>
      <c r="LI72" s="120"/>
      <c r="LJ72" s="120"/>
      <c r="LK72" s="120"/>
      <c r="LL72" s="120"/>
      <c r="LM72" s="120"/>
      <c r="LN72" s="120"/>
      <c r="LO72" s="120"/>
      <c r="LP72" s="120"/>
      <c r="LQ72" s="120"/>
      <c r="LR72" s="120"/>
      <c r="LS72" s="120"/>
      <c r="LT72" s="120"/>
      <c r="LU72" s="120"/>
      <c r="LV72" s="120"/>
      <c r="LW72" s="120"/>
      <c r="LX72" s="120"/>
      <c r="LY72" s="120"/>
      <c r="LZ72" s="120"/>
      <c r="MA72" s="120"/>
      <c r="MB72" s="120"/>
      <c r="MC72" s="120"/>
      <c r="MD72" s="120"/>
      <c r="ME72" s="120"/>
      <c r="MF72" s="120"/>
      <c r="MG72" s="120"/>
      <c r="MH72" s="120"/>
      <c r="MI72" s="120"/>
      <c r="MJ72" s="120"/>
      <c r="MK72" s="120"/>
      <c r="ML72" s="120"/>
      <c r="MM72" s="120"/>
      <c r="MN72" s="120"/>
      <c r="MO72" s="120"/>
      <c r="MP72" s="120"/>
      <c r="MQ72" s="120"/>
      <c r="MR72" s="120"/>
      <c r="MS72" s="120"/>
      <c r="MT72" s="120"/>
      <c r="MU72" s="120"/>
      <c r="MV72" s="120"/>
      <c r="MW72" s="120"/>
      <c r="MX72" s="120"/>
      <c r="MY72" s="120"/>
      <c r="MZ72" s="120"/>
      <c r="NA72" s="120"/>
      <c r="NB72" s="120"/>
      <c r="NC72" s="120"/>
      <c r="ND72" s="120"/>
      <c r="NE72" s="120"/>
      <c r="NF72" s="120"/>
      <c r="NG72" s="120"/>
      <c r="NH72" s="120"/>
      <c r="NI72" s="120"/>
      <c r="NJ72" s="120"/>
      <c r="NK72" s="120"/>
      <c r="NL72" s="120"/>
      <c r="NM72" s="120"/>
      <c r="NN72" s="120"/>
      <c r="NO72" s="120"/>
      <c r="NP72" s="120"/>
      <c r="NQ72" s="120"/>
      <c r="NR72" s="120"/>
      <c r="NS72" s="120"/>
      <c r="NT72" s="120"/>
      <c r="NU72" s="120"/>
      <c r="NV72" s="120"/>
      <c r="NW72" s="120"/>
      <c r="NX72" s="120"/>
      <c r="NY72" s="120"/>
      <c r="NZ72" s="120"/>
      <c r="OA72" s="120"/>
      <c r="OB72" s="120"/>
      <c r="OC72" s="120"/>
      <c r="OD72" s="120"/>
      <c r="OE72" s="120"/>
      <c r="OF72" s="120"/>
      <c r="OG72" s="120"/>
      <c r="OH72" s="120"/>
      <c r="OI72" s="120"/>
      <c r="OJ72" s="120"/>
      <c r="OK72" s="120"/>
      <c r="OL72" s="120"/>
      <c r="OM72" s="120"/>
      <c r="ON72" s="120"/>
      <c r="OO72" s="120"/>
      <c r="OP72" s="120"/>
      <c r="OQ72" s="120"/>
      <c r="OR72" s="120"/>
      <c r="OS72" s="120"/>
      <c r="OT72" s="120"/>
      <c r="OU72" s="120"/>
      <c r="OV72" s="120"/>
      <c r="OW72" s="120"/>
      <c r="OX72" s="120"/>
      <c r="OY72" s="120"/>
      <c r="OZ72" s="120"/>
      <c r="PA72" s="120"/>
      <c r="PB72" s="120"/>
      <c r="PC72" s="120"/>
      <c r="PD72" s="120"/>
      <c r="PE72" s="120"/>
      <c r="PF72" s="120"/>
      <c r="PG72" s="120"/>
      <c r="PH72" s="120"/>
      <c r="PI72" s="120"/>
      <c r="PJ72" s="120"/>
      <c r="PK72" s="120"/>
      <c r="PL72" s="120"/>
      <c r="PM72" s="120"/>
      <c r="PN72" s="120"/>
      <c r="PO72" s="120"/>
      <c r="PP72" s="120"/>
      <c r="PQ72" s="120"/>
      <c r="PR72" s="120"/>
      <c r="PS72" s="120"/>
      <c r="PT72" s="120"/>
      <c r="PU72" s="120"/>
      <c r="PV72" s="120"/>
      <c r="PW72" s="120"/>
      <c r="PX72" s="120"/>
      <c r="PY72" s="120"/>
      <c r="PZ72" s="120"/>
      <c r="QA72" s="120"/>
      <c r="QB72" s="120"/>
      <c r="QC72" s="120"/>
      <c r="QD72" s="120"/>
      <c r="QE72" s="120"/>
      <c r="QF72" s="120"/>
      <c r="QG72" s="120"/>
      <c r="QH72" s="120"/>
      <c r="QI72" s="120"/>
      <c r="QJ72" s="120"/>
      <c r="QK72" s="120"/>
      <c r="QL72" s="120"/>
      <c r="QM72" s="120"/>
      <c r="QN72" s="120"/>
      <c r="QO72" s="120"/>
      <c r="QP72" s="120"/>
      <c r="QQ72" s="120"/>
      <c r="QR72" s="120"/>
      <c r="QS72" s="120"/>
      <c r="QT72" s="120"/>
      <c r="QU72" s="120"/>
      <c r="QV72" s="120"/>
      <c r="QW72" s="120"/>
      <c r="QX72" s="120"/>
      <c r="QY72" s="120"/>
      <c r="QZ72" s="120"/>
      <c r="RA72" s="120"/>
      <c r="RB72" s="120"/>
      <c r="RC72" s="120"/>
      <c r="RD72" s="120"/>
      <c r="RE72" s="120"/>
      <c r="RF72" s="120"/>
      <c r="RG72" s="120"/>
      <c r="RH72" s="120"/>
      <c r="RI72" s="120"/>
      <c r="RJ72" s="120"/>
      <c r="RK72" s="120"/>
      <c r="RL72" s="120"/>
      <c r="RM72" s="120"/>
      <c r="RN72" s="120"/>
      <c r="RO72" s="120"/>
      <c r="RP72" s="120"/>
      <c r="RQ72" s="120"/>
      <c r="RR72" s="120"/>
      <c r="RS72" s="120"/>
      <c r="RT72" s="120"/>
      <c r="RU72" s="120"/>
      <c r="RV72" s="120"/>
      <c r="RW72" s="120"/>
      <c r="RX72" s="120"/>
      <c r="RY72" s="120"/>
      <c r="RZ72" s="120"/>
      <c r="SA72" s="120"/>
      <c r="SB72" s="120"/>
      <c r="SC72" s="120"/>
      <c r="SD72" s="120"/>
      <c r="SE72" s="120"/>
      <c r="SF72" s="120"/>
      <c r="SG72" s="120"/>
      <c r="SH72" s="120"/>
      <c r="SI72" s="120"/>
      <c r="SJ72" s="120"/>
      <c r="SK72" s="120"/>
      <c r="SL72" s="120"/>
      <c r="SM72" s="120"/>
      <c r="SN72" s="120"/>
      <c r="SO72" s="120"/>
      <c r="SP72" s="120"/>
      <c r="SQ72" s="120"/>
      <c r="SR72" s="120"/>
      <c r="SS72" s="120"/>
      <c r="ST72" s="120"/>
      <c r="SU72" s="120"/>
      <c r="SV72" s="120"/>
      <c r="SW72" s="120"/>
      <c r="SX72" s="120"/>
      <c r="SY72" s="120"/>
      <c r="SZ72" s="120"/>
      <c r="TA72" s="120"/>
      <c r="TB72" s="120"/>
      <c r="TC72" s="120"/>
      <c r="TD72" s="120"/>
      <c r="TE72" s="120"/>
      <c r="TF72" s="120"/>
      <c r="TG72" s="120"/>
      <c r="TH72" s="120"/>
      <c r="TI72" s="120"/>
      <c r="TJ72" s="120"/>
      <c r="TK72" s="120"/>
      <c r="TL72" s="120"/>
      <c r="TM72" s="120"/>
      <c r="TN72" s="120"/>
      <c r="TO72" s="120"/>
      <c r="TP72" s="120"/>
      <c r="TQ72" s="120"/>
      <c r="TR72" s="120"/>
      <c r="TS72" s="120"/>
      <c r="TT72" s="120"/>
      <c r="TU72" s="120"/>
      <c r="TV72" s="120"/>
      <c r="TW72" s="120"/>
      <c r="TX72" s="120"/>
      <c r="TY72" s="120"/>
      <c r="TZ72" s="120"/>
      <c r="UA72" s="120"/>
      <c r="UB72" s="120"/>
      <c r="UC72" s="120"/>
      <c r="UD72" s="120"/>
      <c r="UE72" s="120"/>
      <c r="UF72" s="120"/>
      <c r="UG72" s="120"/>
      <c r="UH72" s="120"/>
      <c r="UI72" s="120"/>
      <c r="UJ72" s="120"/>
      <c r="UK72" s="120"/>
      <c r="UL72" s="120"/>
      <c r="UM72" s="120"/>
      <c r="UN72" s="120"/>
      <c r="UO72" s="120"/>
      <c r="UP72" s="120"/>
      <c r="UQ72" s="120"/>
      <c r="UR72" s="120"/>
      <c r="US72" s="120"/>
      <c r="UT72" s="120"/>
      <c r="UU72" s="120"/>
      <c r="UV72" s="120"/>
      <c r="UW72" s="120"/>
      <c r="UX72" s="120"/>
      <c r="UY72" s="120"/>
      <c r="UZ72" s="120"/>
      <c r="VA72" s="120"/>
      <c r="VB72" s="120"/>
      <c r="VC72" s="120"/>
      <c r="VD72" s="120"/>
      <c r="VE72" s="120"/>
      <c r="VF72" s="120"/>
      <c r="VG72" s="120"/>
      <c r="VH72" s="120"/>
      <c r="VI72" s="120"/>
      <c r="VJ72" s="120"/>
      <c r="VK72" s="120"/>
      <c r="VL72" s="120"/>
      <c r="VM72" s="120"/>
      <c r="VN72" s="120"/>
      <c r="VO72" s="120"/>
      <c r="VP72" s="120"/>
      <c r="VQ72" s="120"/>
      <c r="VR72" s="120"/>
      <c r="VS72" s="120"/>
      <c r="VT72" s="120"/>
      <c r="VU72" s="120"/>
      <c r="VV72" s="120"/>
      <c r="VW72" s="120"/>
      <c r="VX72" s="120"/>
      <c r="VY72" s="120"/>
      <c r="VZ72" s="120"/>
      <c r="WA72" s="120"/>
      <c r="WB72" s="120"/>
      <c r="WC72" s="120"/>
      <c r="WD72" s="120"/>
      <c r="WE72" s="120"/>
      <c r="WF72" s="120"/>
      <c r="WG72" s="120"/>
      <c r="WH72" s="120"/>
      <c r="WI72" s="120"/>
      <c r="WJ72" s="120"/>
      <c r="WK72" s="120"/>
      <c r="WL72" s="120"/>
      <c r="WM72" s="120"/>
      <c r="WN72" s="120"/>
      <c r="WO72" s="120"/>
      <c r="WP72" s="120"/>
      <c r="WQ72" s="120"/>
      <c r="WR72" s="120"/>
      <c r="WS72" s="120"/>
      <c r="WT72" s="120"/>
      <c r="WU72" s="120"/>
      <c r="WV72" s="120"/>
      <c r="WW72" s="120"/>
      <c r="WX72" s="120"/>
      <c r="WY72" s="120"/>
      <c r="WZ72" s="120"/>
      <c r="XA72" s="120"/>
      <c r="XB72" s="120"/>
      <c r="XC72" s="120"/>
      <c r="XD72" s="120"/>
      <c r="XE72" s="120"/>
      <c r="XF72" s="120"/>
      <c r="XG72" s="120"/>
      <c r="XH72" s="120"/>
      <c r="XI72" s="120"/>
      <c r="XJ72" s="120"/>
      <c r="XK72" s="120"/>
      <c r="XL72" s="120"/>
      <c r="XM72" s="120"/>
      <c r="XN72" s="120"/>
      <c r="XO72" s="120"/>
      <c r="XP72" s="120"/>
      <c r="XQ72" s="120"/>
      <c r="XR72" s="120"/>
      <c r="XS72" s="120"/>
      <c r="XT72" s="120"/>
      <c r="XU72" s="120"/>
      <c r="XV72" s="120"/>
      <c r="XW72" s="120"/>
      <c r="XX72" s="120"/>
      <c r="XY72" s="120"/>
      <c r="XZ72" s="120"/>
      <c r="YA72" s="120"/>
      <c r="YB72" s="120"/>
      <c r="YC72" s="120"/>
      <c r="YD72" s="120"/>
      <c r="YE72" s="120"/>
      <c r="YF72" s="120"/>
      <c r="YG72" s="120"/>
      <c r="YH72" s="120"/>
      <c r="YI72" s="120"/>
      <c r="YJ72" s="120"/>
      <c r="YK72" s="120"/>
      <c r="YL72" s="120"/>
      <c r="YM72" s="120"/>
      <c r="YN72" s="120"/>
      <c r="YO72" s="120"/>
      <c r="YP72" s="120"/>
      <c r="YQ72" s="120"/>
      <c r="YR72" s="120"/>
      <c r="YS72" s="120"/>
      <c r="YT72" s="120"/>
      <c r="YU72" s="120"/>
      <c r="YV72" s="120"/>
      <c r="YW72" s="120"/>
      <c r="YX72" s="120"/>
      <c r="YY72" s="120"/>
      <c r="YZ72" s="120"/>
      <c r="ZA72" s="120"/>
      <c r="ZB72" s="120"/>
      <c r="ZC72" s="120"/>
      <c r="ZD72" s="120"/>
      <c r="ZE72" s="120"/>
      <c r="ZF72" s="120"/>
      <c r="ZG72" s="120"/>
      <c r="ZH72" s="120"/>
      <c r="ZI72" s="120"/>
      <c r="ZJ72" s="120"/>
      <c r="ZK72" s="120"/>
      <c r="ZL72" s="120"/>
      <c r="ZM72" s="120"/>
      <c r="ZN72" s="120"/>
      <c r="ZO72" s="120"/>
      <c r="ZP72" s="120"/>
      <c r="ZQ72" s="120"/>
      <c r="ZR72" s="120"/>
      <c r="ZS72" s="120"/>
      <c r="ZT72" s="120"/>
      <c r="ZU72" s="120"/>
      <c r="ZV72" s="120"/>
      <c r="ZW72" s="120"/>
      <c r="ZX72" s="120"/>
      <c r="ZY72" s="120"/>
      <c r="ZZ72" s="120"/>
      <c r="AAA72" s="120"/>
      <c r="AAB72" s="120"/>
      <c r="AAC72" s="120"/>
      <c r="AAD72" s="120"/>
      <c r="AAE72" s="120"/>
      <c r="AAF72" s="120"/>
      <c r="AAG72" s="120"/>
      <c r="AAH72" s="120"/>
      <c r="AAI72" s="120"/>
      <c r="AAJ72" s="120"/>
      <c r="AAK72" s="120"/>
      <c r="AAL72" s="120"/>
      <c r="AAM72" s="120"/>
      <c r="AAN72" s="120"/>
      <c r="AAO72" s="120"/>
      <c r="AAP72" s="120"/>
      <c r="AAQ72" s="120"/>
      <c r="AAR72" s="120"/>
      <c r="AAS72" s="120"/>
      <c r="AAT72" s="120"/>
      <c r="AAU72" s="120"/>
      <c r="AAV72" s="120"/>
      <c r="AAW72" s="120"/>
      <c r="AAX72" s="120"/>
      <c r="AAY72" s="120"/>
      <c r="AAZ72" s="120"/>
      <c r="ABA72" s="120"/>
      <c r="ABB72" s="120"/>
      <c r="ABC72" s="120"/>
      <c r="ABD72" s="120"/>
      <c r="ABE72" s="120"/>
      <c r="ABF72" s="120"/>
      <c r="ABG72" s="120"/>
      <c r="ABH72" s="120"/>
      <c r="ABI72" s="120"/>
      <c r="ABJ72" s="120"/>
      <c r="ABK72" s="120"/>
      <c r="ABL72" s="120"/>
      <c r="ABM72" s="120"/>
      <c r="ABN72" s="120"/>
      <c r="ABO72" s="120"/>
      <c r="ABP72" s="120"/>
      <c r="ABQ72" s="120"/>
      <c r="ABR72" s="120"/>
      <c r="ABS72" s="120"/>
      <c r="ABT72" s="120"/>
      <c r="ABU72" s="120"/>
      <c r="ABV72" s="120"/>
      <c r="ABW72" s="120"/>
      <c r="ABX72" s="120"/>
      <c r="ABY72" s="120"/>
      <c r="ABZ72" s="120"/>
      <c r="ACA72" s="120"/>
      <c r="ACB72" s="120"/>
      <c r="ACC72" s="120"/>
      <c r="ACD72" s="120"/>
      <c r="ACE72" s="120"/>
      <c r="ACF72" s="120"/>
      <c r="ACG72" s="120"/>
      <c r="ACH72" s="120"/>
      <c r="ACI72" s="120"/>
      <c r="ACJ72" s="120"/>
      <c r="ACK72" s="120"/>
      <c r="ACL72" s="120"/>
      <c r="ACM72" s="120"/>
      <c r="ACN72" s="120"/>
      <c r="ACO72" s="120"/>
      <c r="ACP72" s="120"/>
      <c r="ACQ72" s="120"/>
      <c r="ACR72" s="120"/>
      <c r="ACS72" s="120"/>
      <c r="ACT72" s="120"/>
      <c r="ACU72" s="120"/>
      <c r="ACV72" s="120"/>
      <c r="ACW72" s="120"/>
      <c r="ACX72" s="120"/>
      <c r="ACY72" s="120"/>
      <c r="ACZ72" s="120"/>
      <c r="ADA72" s="120"/>
      <c r="ADB72" s="120"/>
      <c r="ADC72" s="120"/>
      <c r="ADD72" s="120"/>
      <c r="ADE72" s="120"/>
      <c r="ADF72" s="120"/>
      <c r="ADG72" s="120"/>
      <c r="ADH72" s="120"/>
      <c r="ADI72" s="120"/>
      <c r="ADJ72" s="120"/>
      <c r="ADK72" s="120"/>
      <c r="ADL72" s="120"/>
      <c r="ADM72" s="120"/>
      <c r="ADN72" s="120"/>
      <c r="ADO72" s="120"/>
      <c r="ADP72" s="120"/>
      <c r="ADQ72" s="120"/>
      <c r="ADR72" s="120"/>
      <c r="ADS72" s="120"/>
      <c r="ADT72" s="120"/>
      <c r="ADU72" s="120"/>
      <c r="ADV72" s="120"/>
      <c r="ADW72" s="120"/>
      <c r="ADX72" s="120"/>
      <c r="ADY72" s="120"/>
      <c r="ADZ72" s="120"/>
      <c r="AEA72" s="120"/>
      <c r="AEB72" s="120"/>
      <c r="AEC72" s="120"/>
      <c r="AED72" s="120"/>
      <c r="AEE72" s="120"/>
      <c r="AEF72" s="120"/>
      <c r="AEG72" s="120"/>
      <c r="AEH72" s="120"/>
      <c r="AEI72" s="120"/>
      <c r="AEJ72" s="120"/>
      <c r="AEK72" s="120"/>
      <c r="AEL72" s="120"/>
      <c r="AEM72" s="120"/>
      <c r="AEN72" s="120"/>
      <c r="AEO72" s="120"/>
      <c r="AEP72" s="120"/>
      <c r="AEQ72" s="120"/>
      <c r="AER72" s="120"/>
      <c r="AES72" s="120"/>
      <c r="AET72" s="120"/>
      <c r="AEU72" s="120"/>
      <c r="AEV72" s="120"/>
      <c r="AEW72" s="120"/>
      <c r="AEX72" s="120"/>
      <c r="AEY72" s="120"/>
      <c r="AEZ72" s="120"/>
      <c r="AFA72" s="120"/>
      <c r="AFB72" s="120"/>
      <c r="AFC72" s="120"/>
      <c r="AFD72" s="120"/>
      <c r="AFE72" s="120"/>
      <c r="AFF72" s="120"/>
      <c r="AFG72" s="120"/>
      <c r="AFH72" s="120"/>
      <c r="AFI72" s="120"/>
      <c r="AFJ72" s="120"/>
      <c r="AFK72" s="120"/>
      <c r="AFL72" s="120"/>
      <c r="AFM72" s="120"/>
      <c r="AFN72" s="120"/>
      <c r="AFO72" s="120"/>
      <c r="AFP72" s="120"/>
      <c r="AFQ72" s="120"/>
      <c r="AFR72" s="120"/>
      <c r="AFS72" s="120"/>
      <c r="AFT72" s="120"/>
      <c r="AFU72" s="120"/>
      <c r="AFV72" s="120"/>
      <c r="AFW72" s="120"/>
      <c r="AFX72" s="120"/>
      <c r="AFY72" s="120"/>
      <c r="AFZ72" s="120"/>
      <c r="AGA72" s="120"/>
      <c r="AGB72" s="120"/>
      <c r="AGC72" s="120"/>
      <c r="AGD72" s="120"/>
      <c r="AGE72" s="120"/>
      <c r="AGF72" s="120"/>
      <c r="AGG72" s="120"/>
      <c r="AGH72" s="120"/>
      <c r="AGI72" s="120"/>
      <c r="AGJ72" s="120"/>
      <c r="AGK72" s="120"/>
      <c r="AGL72" s="120"/>
      <c r="AGM72" s="120"/>
      <c r="AGN72" s="120"/>
      <c r="AGO72" s="120"/>
      <c r="AGP72" s="120"/>
      <c r="AGQ72" s="120"/>
      <c r="AGR72" s="120"/>
      <c r="AGS72" s="120"/>
      <c r="AGT72" s="120"/>
      <c r="AGU72" s="120"/>
      <c r="AGV72" s="120"/>
      <c r="AGW72" s="120"/>
      <c r="AGX72" s="120"/>
      <c r="AGY72" s="120"/>
      <c r="AGZ72" s="120"/>
      <c r="AHA72" s="120"/>
      <c r="AHB72" s="120"/>
      <c r="AHC72" s="120"/>
      <c r="AHD72" s="120"/>
      <c r="AHE72" s="120"/>
      <c r="AHF72" s="120"/>
      <c r="AHG72" s="120"/>
      <c r="AHH72" s="120"/>
      <c r="AHI72" s="120"/>
      <c r="AHJ72" s="120"/>
      <c r="AHK72" s="120"/>
      <c r="AHL72" s="120"/>
      <c r="AHM72" s="120"/>
      <c r="AHN72" s="120"/>
      <c r="AHO72" s="120"/>
      <c r="AHP72" s="120"/>
      <c r="AHQ72" s="120"/>
      <c r="AHR72" s="120"/>
      <c r="AHS72" s="120"/>
      <c r="AHT72" s="120"/>
      <c r="AHU72" s="120"/>
      <c r="AHV72" s="120"/>
      <c r="AHW72" s="120"/>
      <c r="AHX72" s="120"/>
      <c r="AHY72" s="120"/>
      <c r="AHZ72" s="120"/>
      <c r="AIA72" s="120"/>
      <c r="AIB72" s="120"/>
      <c r="AIC72" s="120"/>
      <c r="AID72" s="120"/>
      <c r="AIE72" s="120"/>
      <c r="AIF72" s="120"/>
      <c r="AIG72" s="120"/>
      <c r="AIH72" s="120"/>
      <c r="AII72" s="120"/>
      <c r="AIJ72" s="120"/>
      <c r="AIK72" s="120"/>
      <c r="AIL72" s="120"/>
      <c r="AIM72" s="120"/>
      <c r="AIN72" s="120"/>
      <c r="AIO72" s="120"/>
      <c r="AIP72" s="120"/>
      <c r="AIQ72" s="120"/>
      <c r="AIR72" s="120"/>
      <c r="AIS72" s="120"/>
      <c r="AIT72" s="120"/>
      <c r="AIU72" s="120"/>
      <c r="AIV72" s="120"/>
      <c r="AIW72" s="120"/>
      <c r="AIX72" s="120"/>
      <c r="AIY72" s="120"/>
      <c r="AIZ72" s="120"/>
      <c r="AJA72" s="120"/>
      <c r="AJB72" s="120"/>
      <c r="AJC72" s="120"/>
      <c r="AJD72" s="120"/>
      <c r="AJE72" s="120"/>
      <c r="AJF72" s="120"/>
      <c r="AJG72" s="120"/>
      <c r="AJH72" s="120"/>
      <c r="AJI72" s="120"/>
      <c r="AJJ72" s="120"/>
      <c r="AJK72" s="120"/>
      <c r="AJL72" s="120"/>
      <c r="AJM72" s="120"/>
      <c r="AJN72" s="120"/>
      <c r="AJO72" s="120"/>
      <c r="AJP72" s="120"/>
      <c r="AJQ72" s="120"/>
      <c r="AJR72" s="120"/>
      <c r="AJS72" s="120"/>
      <c r="AJT72" s="120"/>
      <c r="AJU72" s="120"/>
      <c r="AJV72" s="120"/>
      <c r="AJW72" s="120"/>
      <c r="AJX72" s="120"/>
      <c r="AJY72" s="120"/>
      <c r="AJZ72" s="120"/>
      <c r="AKA72" s="120"/>
      <c r="AKB72" s="120"/>
      <c r="AKC72" s="120"/>
      <c r="AKD72" s="120"/>
      <c r="AKE72" s="120"/>
      <c r="AKF72" s="120"/>
      <c r="AKG72" s="120"/>
      <c r="AKH72" s="120"/>
      <c r="AKI72" s="120"/>
      <c r="AKJ72" s="120"/>
      <c r="AKK72" s="120"/>
      <c r="AKL72" s="120"/>
      <c r="AKM72" s="120"/>
      <c r="AKN72" s="120"/>
      <c r="AKO72" s="120"/>
      <c r="AKP72" s="120"/>
      <c r="AKQ72" s="120"/>
      <c r="AKR72" s="120"/>
      <c r="AKS72" s="120"/>
      <c r="AKT72" s="120"/>
      <c r="AKU72" s="120"/>
      <c r="AKV72" s="120"/>
      <c r="AKW72" s="120"/>
      <c r="AKX72" s="120"/>
      <c r="AKY72" s="120"/>
      <c r="AKZ72" s="120"/>
      <c r="ALA72" s="120"/>
      <c r="ALB72" s="120"/>
      <c r="ALC72" s="120"/>
      <c r="ALD72" s="120"/>
      <c r="ALE72" s="120"/>
      <c r="ALF72" s="120"/>
      <c r="ALG72" s="120"/>
      <c r="ALH72" s="120"/>
      <c r="ALI72" s="120"/>
      <c r="ALJ72" s="120"/>
      <c r="ALK72" s="120"/>
      <c r="ALL72" s="120"/>
      <c r="ALM72" s="120"/>
      <c r="ALN72" s="120"/>
      <c r="ALO72" s="120"/>
      <c r="ALP72" s="120"/>
      <c r="ALQ72" s="120"/>
      <c r="ALR72" s="120"/>
      <c r="ALS72" s="120"/>
      <c r="ALT72" s="120"/>
      <c r="ALU72" s="120"/>
      <c r="ALV72" s="120"/>
      <c r="ALW72" s="120"/>
      <c r="ALX72" s="120"/>
      <c r="ALY72" s="120"/>
      <c r="ALZ72" s="120"/>
      <c r="AMA72" s="120"/>
      <c r="AMB72" s="120"/>
      <c r="AMC72" s="120"/>
      <c r="AMD72" s="120"/>
      <c r="AME72" s="120"/>
      <c r="AMF72" s="120"/>
      <c r="AMG72" s="120"/>
      <c r="AMH72" s="120"/>
      <c r="AMI72" s="120"/>
      <c r="AMJ72" s="120"/>
      <c r="AMK72" s="120"/>
      <c r="AML72" s="120"/>
      <c r="AMM72" s="120"/>
      <c r="AMN72" s="120"/>
      <c r="AMO72" s="120"/>
      <c r="AMP72" s="120"/>
      <c r="AMQ72" s="120"/>
      <c r="AMR72" s="120"/>
      <c r="AMS72" s="120"/>
      <c r="AMT72" s="120"/>
      <c r="AMU72" s="120"/>
      <c r="AMV72" s="120"/>
      <c r="AMW72" s="120"/>
      <c r="AMX72" s="120"/>
      <c r="AMY72" s="120"/>
      <c r="AMZ72" s="120"/>
      <c r="ANA72" s="120"/>
      <c r="ANB72" s="120"/>
      <c r="ANC72" s="120"/>
      <c r="AND72" s="120"/>
      <c r="ANE72" s="120"/>
      <c r="ANF72" s="120"/>
      <c r="ANG72" s="120"/>
      <c r="ANH72" s="120"/>
      <c r="ANI72" s="120"/>
      <c r="ANJ72" s="120"/>
      <c r="ANK72" s="120"/>
      <c r="ANL72" s="120"/>
      <c r="ANM72" s="120"/>
      <c r="ANN72" s="120"/>
      <c r="ANO72" s="120"/>
      <c r="ANP72" s="120"/>
      <c r="ANQ72" s="120"/>
      <c r="ANR72" s="120"/>
      <c r="ANS72" s="120"/>
      <c r="ANT72" s="120"/>
      <c r="ANU72" s="120"/>
      <c r="ANV72" s="120"/>
      <c r="ANW72" s="120"/>
      <c r="ANX72" s="120"/>
      <c r="ANY72" s="120"/>
      <c r="ANZ72" s="120"/>
      <c r="AOA72" s="120"/>
      <c r="AOB72" s="120"/>
      <c r="AOC72" s="120"/>
      <c r="AOD72" s="120"/>
      <c r="AOE72" s="120"/>
      <c r="AOF72" s="120"/>
      <c r="AOG72" s="120"/>
      <c r="AOH72" s="120"/>
      <c r="AOI72" s="120"/>
      <c r="AOJ72" s="120"/>
      <c r="AOK72" s="120"/>
      <c r="AOL72" s="120"/>
      <c r="AOM72" s="120"/>
      <c r="AON72" s="120"/>
      <c r="AOO72" s="120"/>
      <c r="AOP72" s="120"/>
      <c r="AOQ72" s="120"/>
      <c r="AOR72" s="120"/>
      <c r="AOS72" s="120"/>
      <c r="AOT72" s="120"/>
      <c r="AOU72" s="120"/>
      <c r="AOV72" s="120"/>
      <c r="AOW72" s="120"/>
      <c r="AOX72" s="120"/>
      <c r="AOY72" s="120"/>
      <c r="AOZ72" s="120"/>
      <c r="APA72" s="120"/>
      <c r="APB72" s="120"/>
      <c r="APC72" s="120"/>
      <c r="APD72" s="120"/>
      <c r="APE72" s="120"/>
      <c r="APF72" s="120"/>
      <c r="APG72" s="120"/>
      <c r="APH72" s="120"/>
      <c r="API72" s="120"/>
      <c r="APJ72" s="120"/>
      <c r="APK72" s="120"/>
      <c r="APL72" s="120"/>
      <c r="APM72" s="120"/>
      <c r="APN72" s="120"/>
      <c r="APO72" s="120"/>
      <c r="APP72" s="120"/>
      <c r="APQ72" s="120"/>
      <c r="APR72" s="120"/>
      <c r="APS72" s="120"/>
      <c r="APT72" s="120"/>
      <c r="APU72" s="120"/>
      <c r="APV72" s="120"/>
      <c r="APW72" s="120"/>
      <c r="APX72" s="120"/>
      <c r="APY72" s="120"/>
      <c r="APZ72" s="120"/>
      <c r="AQA72" s="120"/>
      <c r="AQB72" s="120"/>
      <c r="AQC72" s="120"/>
      <c r="AQD72" s="120"/>
      <c r="AQE72" s="120"/>
      <c r="AQF72" s="120"/>
      <c r="AQG72" s="120"/>
      <c r="AQH72" s="120"/>
      <c r="AQI72" s="120"/>
      <c r="AQJ72" s="120"/>
      <c r="AQK72" s="120"/>
      <c r="AQL72" s="120"/>
      <c r="AQM72" s="120"/>
      <c r="AQN72" s="120"/>
      <c r="AQO72" s="120"/>
      <c r="AQP72" s="120"/>
      <c r="AQQ72" s="120"/>
      <c r="AQR72" s="120"/>
      <c r="AQS72" s="120"/>
      <c r="AQT72" s="120"/>
      <c r="AQU72" s="120"/>
      <c r="AQV72" s="120"/>
      <c r="AQW72" s="120"/>
      <c r="AQX72" s="120"/>
      <c r="AQY72" s="120"/>
      <c r="AQZ72" s="120"/>
      <c r="ARA72" s="120"/>
      <c r="ARB72" s="120"/>
      <c r="ARC72" s="120"/>
      <c r="ARD72" s="120"/>
      <c r="ARE72" s="120"/>
      <c r="ARF72" s="120"/>
      <c r="ARG72" s="120"/>
      <c r="ARH72" s="120"/>
      <c r="ARI72" s="120"/>
      <c r="ARJ72" s="120"/>
      <c r="ARK72" s="120"/>
      <c r="ARL72" s="120"/>
      <c r="ARM72" s="120"/>
      <c r="ARN72" s="120"/>
      <c r="ARO72" s="120"/>
      <c r="ARP72" s="120"/>
      <c r="ARQ72" s="120"/>
      <c r="ARR72" s="120"/>
      <c r="ARS72" s="120"/>
      <c r="ART72" s="120"/>
      <c r="ARU72" s="120"/>
      <c r="ARV72" s="120"/>
      <c r="ARW72" s="120"/>
      <c r="ARX72" s="120"/>
      <c r="ARY72" s="120"/>
      <c r="ARZ72" s="120"/>
      <c r="ASA72" s="120"/>
      <c r="ASB72" s="120"/>
      <c r="ASC72" s="120"/>
      <c r="ASD72" s="120"/>
      <c r="ASE72" s="120"/>
      <c r="ASF72" s="120"/>
      <c r="ASG72" s="120"/>
      <c r="ASH72" s="120"/>
      <c r="ASI72" s="120"/>
      <c r="ASJ72" s="120"/>
      <c r="ASK72" s="120"/>
      <c r="ASL72" s="120"/>
      <c r="ASM72" s="120"/>
      <c r="ASN72" s="120"/>
      <c r="ASO72" s="120"/>
      <c r="ASP72" s="120"/>
      <c r="ASQ72" s="120"/>
      <c r="ASR72" s="120"/>
      <c r="ASS72" s="120"/>
      <c r="AST72" s="120"/>
      <c r="ASU72" s="120"/>
      <c r="ASV72" s="120"/>
      <c r="ASW72" s="120"/>
      <c r="ASX72" s="120"/>
      <c r="ASY72" s="120"/>
      <c r="ASZ72" s="120"/>
      <c r="ATA72" s="120"/>
      <c r="ATB72" s="120"/>
      <c r="ATC72" s="120"/>
      <c r="ATD72" s="120"/>
      <c r="ATE72" s="120"/>
      <c r="ATF72" s="120"/>
      <c r="ATG72" s="120"/>
      <c r="ATH72" s="120"/>
      <c r="ATI72" s="120"/>
      <c r="ATJ72" s="120"/>
      <c r="ATK72" s="120"/>
      <c r="ATL72" s="120"/>
      <c r="ATM72" s="120"/>
      <c r="ATN72" s="120"/>
      <c r="ATO72" s="120"/>
      <c r="ATP72" s="120"/>
      <c r="ATQ72" s="120"/>
      <c r="ATR72" s="120"/>
      <c r="ATS72" s="120"/>
      <c r="ATT72" s="120"/>
      <c r="ATU72" s="120"/>
      <c r="ATV72" s="120"/>
      <c r="ATW72" s="120"/>
      <c r="ATX72" s="120"/>
      <c r="ATY72" s="120"/>
      <c r="ATZ72" s="120"/>
      <c r="AUA72" s="120"/>
      <c r="AUB72" s="120"/>
      <c r="AUC72" s="120"/>
      <c r="AUD72" s="120"/>
      <c r="AUE72" s="120"/>
      <c r="AUF72" s="120"/>
      <c r="AUG72" s="120"/>
      <c r="AUH72" s="120"/>
      <c r="AUI72" s="120"/>
      <c r="AUJ72" s="120"/>
      <c r="AUK72" s="120"/>
      <c r="AUL72" s="120"/>
      <c r="AUM72" s="120"/>
      <c r="AUN72" s="120"/>
      <c r="AUO72" s="120"/>
      <c r="AUP72" s="120"/>
      <c r="AUQ72" s="120"/>
      <c r="AUR72" s="120"/>
      <c r="AUS72" s="120"/>
      <c r="AUT72" s="120"/>
      <c r="AUU72" s="120"/>
      <c r="AUV72" s="120"/>
      <c r="AUW72" s="120"/>
      <c r="AUX72" s="120"/>
      <c r="AUY72" s="120"/>
      <c r="AUZ72" s="120"/>
      <c r="AVA72" s="120"/>
      <c r="AVB72" s="120"/>
      <c r="AVC72" s="120"/>
      <c r="AVD72" s="120"/>
      <c r="AVE72" s="120"/>
      <c r="AVF72" s="120"/>
      <c r="AVG72" s="120"/>
      <c r="AVH72" s="120"/>
      <c r="AVI72" s="120"/>
      <c r="AVJ72" s="120"/>
      <c r="AVK72" s="120"/>
      <c r="AVL72" s="120"/>
      <c r="AVM72" s="120"/>
      <c r="AVN72" s="120"/>
      <c r="AVO72" s="120"/>
      <c r="AVP72" s="120"/>
      <c r="AVQ72" s="120"/>
      <c r="AVR72" s="120"/>
      <c r="AVS72" s="120"/>
      <c r="AVT72" s="120"/>
      <c r="AVU72" s="120"/>
      <c r="AVV72" s="120"/>
      <c r="AVW72" s="120"/>
      <c r="AVX72" s="120"/>
      <c r="AVY72" s="120"/>
      <c r="AVZ72" s="120"/>
      <c r="AWA72" s="120"/>
      <c r="AWB72" s="120"/>
      <c r="AWC72" s="120"/>
      <c r="AWD72" s="120"/>
      <c r="AWE72" s="120"/>
      <c r="AWF72" s="120"/>
      <c r="AWG72" s="120"/>
      <c r="AWH72" s="120"/>
      <c r="AWI72" s="120"/>
      <c r="AWJ72" s="120"/>
      <c r="AWK72" s="120"/>
      <c r="AWL72" s="120"/>
      <c r="AWM72" s="120"/>
      <c r="AWN72" s="120"/>
      <c r="AWO72" s="120"/>
      <c r="AWP72" s="120"/>
      <c r="AWQ72" s="120"/>
      <c r="AWR72" s="120"/>
      <c r="AWS72" s="120"/>
      <c r="AWT72" s="120"/>
      <c r="AWU72" s="120"/>
      <c r="AWV72" s="120"/>
      <c r="AWW72" s="120"/>
      <c r="AWX72" s="120"/>
      <c r="AWY72" s="120"/>
      <c r="AWZ72" s="120"/>
      <c r="AXA72" s="120"/>
      <c r="AXB72" s="120"/>
      <c r="AXC72" s="120"/>
      <c r="AXD72" s="120"/>
      <c r="AXE72" s="120"/>
      <c r="AXF72" s="120"/>
      <c r="AXG72" s="120"/>
      <c r="AXH72" s="120"/>
      <c r="AXI72" s="120"/>
      <c r="AXJ72" s="120"/>
      <c r="AXK72" s="120"/>
      <c r="AXL72" s="120"/>
      <c r="AXM72" s="120"/>
      <c r="AXN72" s="120"/>
      <c r="AXO72" s="120"/>
      <c r="AXP72" s="120"/>
      <c r="AXQ72" s="120"/>
      <c r="AXR72" s="120"/>
      <c r="AXS72" s="120"/>
      <c r="AXT72" s="120"/>
      <c r="AXU72" s="120"/>
      <c r="AXV72" s="120"/>
      <c r="AXW72" s="120"/>
      <c r="AXX72" s="120"/>
      <c r="AXY72" s="120"/>
      <c r="AXZ72" s="120"/>
      <c r="AYA72" s="120"/>
      <c r="AYB72" s="120"/>
      <c r="AYC72" s="120"/>
      <c r="AYD72" s="120"/>
      <c r="AYE72" s="120"/>
      <c r="AYF72" s="120"/>
      <c r="AYG72" s="120"/>
      <c r="AYH72" s="120"/>
      <c r="AYI72" s="120"/>
      <c r="AYJ72" s="120"/>
      <c r="AYK72" s="120"/>
      <c r="AYL72" s="120"/>
      <c r="AYM72" s="120"/>
      <c r="AYN72" s="120"/>
      <c r="AYO72" s="120"/>
      <c r="AYP72" s="120"/>
      <c r="AYQ72" s="120"/>
      <c r="AYR72" s="120"/>
      <c r="AYS72" s="120"/>
      <c r="AYT72" s="120"/>
      <c r="AYU72" s="120"/>
      <c r="AYV72" s="120"/>
      <c r="AYW72" s="120"/>
      <c r="AYX72" s="120"/>
      <c r="AYY72" s="120"/>
      <c r="AYZ72" s="120"/>
      <c r="AZA72" s="120"/>
      <c r="AZB72" s="120"/>
      <c r="AZC72" s="120"/>
      <c r="AZD72" s="120"/>
      <c r="AZE72" s="120"/>
      <c r="AZF72" s="120"/>
      <c r="AZG72" s="120"/>
      <c r="AZH72" s="120"/>
      <c r="AZI72" s="120"/>
      <c r="AZJ72" s="120"/>
      <c r="AZK72" s="120"/>
      <c r="AZL72" s="120"/>
      <c r="AZM72" s="120"/>
      <c r="AZN72" s="120"/>
      <c r="AZO72" s="120"/>
      <c r="AZP72" s="120"/>
      <c r="AZQ72" s="120"/>
      <c r="AZR72" s="120"/>
      <c r="AZS72" s="120"/>
      <c r="AZT72" s="120"/>
      <c r="AZU72" s="120"/>
      <c r="AZV72" s="120"/>
      <c r="AZW72" s="120"/>
      <c r="AZX72" s="120"/>
      <c r="AZY72" s="120"/>
      <c r="AZZ72" s="120"/>
      <c r="BAA72" s="120"/>
      <c r="BAB72" s="120"/>
      <c r="BAC72" s="120"/>
      <c r="BAD72" s="120"/>
      <c r="BAE72" s="120"/>
      <c r="BAF72" s="120"/>
      <c r="BAG72" s="120"/>
      <c r="BAH72" s="120"/>
      <c r="BAI72" s="120"/>
      <c r="BAJ72" s="120"/>
      <c r="BAK72" s="120"/>
      <c r="BAL72" s="120"/>
      <c r="BAM72" s="120"/>
      <c r="BAN72" s="120"/>
      <c r="BAO72" s="120"/>
      <c r="BAP72" s="120"/>
      <c r="BAQ72" s="120"/>
      <c r="BAR72" s="120"/>
      <c r="BAS72" s="120"/>
      <c r="BAT72" s="120"/>
      <c r="BAU72" s="120"/>
      <c r="BAV72" s="120"/>
      <c r="BAW72" s="120"/>
      <c r="BAX72" s="120"/>
      <c r="BAY72" s="120"/>
      <c r="BAZ72" s="120"/>
      <c r="BBA72" s="120"/>
      <c r="BBB72" s="120"/>
      <c r="BBC72" s="120"/>
      <c r="BBD72" s="120"/>
      <c r="BBE72" s="120"/>
      <c r="BBF72" s="120"/>
      <c r="BBG72" s="120"/>
      <c r="BBH72" s="120"/>
      <c r="BBI72" s="120"/>
      <c r="BBJ72" s="120"/>
      <c r="BBK72" s="120"/>
      <c r="BBL72" s="120"/>
      <c r="BBM72" s="120"/>
      <c r="BBN72" s="120"/>
      <c r="BBO72" s="120"/>
      <c r="BBP72" s="120"/>
      <c r="BBQ72" s="120"/>
      <c r="BBR72" s="120"/>
      <c r="BBS72" s="120"/>
      <c r="BBT72" s="120"/>
      <c r="BBU72" s="120"/>
      <c r="BBV72" s="120"/>
      <c r="BBW72" s="120"/>
      <c r="BBX72" s="120"/>
      <c r="BBY72" s="120"/>
      <c r="BBZ72" s="120"/>
      <c r="BCA72" s="120"/>
      <c r="BCB72" s="120"/>
      <c r="BCC72" s="120"/>
      <c r="BCD72" s="120"/>
      <c r="BCE72" s="120"/>
      <c r="BCF72" s="120"/>
      <c r="BCG72" s="120"/>
      <c r="BCH72" s="120"/>
      <c r="BCI72" s="120"/>
      <c r="BCJ72" s="120"/>
      <c r="BCK72" s="120"/>
      <c r="BCL72" s="120"/>
      <c r="BCM72" s="120"/>
      <c r="BCN72" s="120"/>
      <c r="BCO72" s="120"/>
      <c r="BCP72" s="120"/>
      <c r="BCQ72" s="120"/>
      <c r="BCR72" s="120"/>
      <c r="BCS72" s="120"/>
      <c r="BCT72" s="120"/>
      <c r="BCU72" s="120"/>
      <c r="BCV72" s="120"/>
      <c r="BCW72" s="120"/>
      <c r="BCX72" s="120"/>
      <c r="BCY72" s="120"/>
      <c r="BCZ72" s="120"/>
      <c r="BDA72" s="120"/>
      <c r="BDB72" s="120"/>
      <c r="BDC72" s="120"/>
      <c r="BDD72" s="120"/>
      <c r="BDE72" s="120"/>
      <c r="BDF72" s="120"/>
      <c r="BDG72" s="120"/>
      <c r="BDH72" s="120"/>
      <c r="BDI72" s="120"/>
      <c r="BDJ72" s="120"/>
      <c r="BDK72" s="120"/>
      <c r="BDL72" s="120"/>
      <c r="BDM72" s="120"/>
      <c r="BDN72" s="120"/>
      <c r="BDO72" s="120"/>
      <c r="BDP72" s="120"/>
      <c r="BDQ72" s="120"/>
      <c r="BDR72" s="120"/>
      <c r="BDS72" s="120"/>
      <c r="BDT72" s="120"/>
      <c r="BDU72" s="120"/>
      <c r="BDV72" s="120"/>
      <c r="BDW72" s="120"/>
      <c r="BDX72" s="120"/>
      <c r="BDY72" s="120"/>
      <c r="BDZ72" s="120"/>
      <c r="BEA72" s="120"/>
      <c r="BEB72" s="120"/>
      <c r="BEC72" s="120"/>
      <c r="BED72" s="120"/>
      <c r="BEE72" s="120"/>
      <c r="BEF72" s="120"/>
      <c r="BEG72" s="120"/>
      <c r="BEH72" s="120"/>
      <c r="BEI72" s="120"/>
      <c r="BEJ72" s="120"/>
      <c r="BEK72" s="120"/>
      <c r="BEL72" s="120"/>
      <c r="BEM72" s="120"/>
      <c r="BEN72" s="120"/>
      <c r="BEO72" s="120"/>
      <c r="BEP72" s="120"/>
      <c r="BEQ72" s="120"/>
      <c r="BER72" s="120"/>
      <c r="BES72" s="120"/>
      <c r="BET72" s="120"/>
      <c r="BEU72" s="120"/>
      <c r="BEV72" s="120"/>
      <c r="BEW72" s="120"/>
      <c r="BEX72" s="120"/>
      <c r="BEY72" s="120"/>
      <c r="BEZ72" s="120"/>
      <c r="BFA72" s="120"/>
      <c r="BFB72" s="120"/>
      <c r="BFC72" s="120"/>
      <c r="BFD72" s="120"/>
      <c r="BFE72" s="120"/>
      <c r="BFF72" s="120"/>
      <c r="BFG72" s="120"/>
      <c r="BFH72" s="120"/>
      <c r="BFI72" s="120"/>
      <c r="BFJ72" s="120"/>
      <c r="BFK72" s="120"/>
      <c r="BFL72" s="120"/>
      <c r="BFM72" s="120"/>
      <c r="BFN72" s="120"/>
      <c r="BFO72" s="120"/>
      <c r="BFP72" s="120"/>
      <c r="BFQ72" s="120"/>
      <c r="BFR72" s="120"/>
      <c r="BFS72" s="120"/>
      <c r="BFT72" s="120"/>
      <c r="BFU72" s="120"/>
      <c r="BFV72" s="120"/>
      <c r="BFW72" s="120"/>
      <c r="BFX72" s="120"/>
      <c r="BFY72" s="120"/>
      <c r="BFZ72" s="120"/>
      <c r="BGA72" s="120"/>
      <c r="BGB72" s="120"/>
      <c r="BGC72" s="120"/>
      <c r="BGD72" s="120"/>
      <c r="BGE72" s="120"/>
      <c r="BGF72" s="120"/>
      <c r="BGG72" s="120"/>
      <c r="BGH72" s="120"/>
      <c r="BGI72" s="120"/>
      <c r="BGJ72" s="120"/>
      <c r="BGK72" s="120"/>
      <c r="BGL72" s="120"/>
      <c r="BGM72" s="120"/>
      <c r="BGN72" s="120"/>
      <c r="BGO72" s="120"/>
      <c r="BGP72" s="120"/>
      <c r="BGQ72" s="120"/>
      <c r="BGR72" s="120"/>
      <c r="BGS72" s="120"/>
      <c r="BGT72" s="120"/>
      <c r="BGU72" s="120"/>
      <c r="BGV72" s="120"/>
      <c r="BGW72" s="120"/>
      <c r="BGX72" s="120"/>
      <c r="BGY72" s="120"/>
      <c r="BGZ72" s="120"/>
      <c r="BHA72" s="120"/>
      <c r="BHB72" s="120"/>
      <c r="BHC72" s="120"/>
      <c r="BHD72" s="120"/>
      <c r="BHE72" s="120"/>
      <c r="BHF72" s="120"/>
      <c r="BHG72" s="120"/>
      <c r="BHH72" s="120"/>
      <c r="BHI72" s="120"/>
      <c r="BHJ72" s="120"/>
      <c r="BHK72" s="120"/>
      <c r="BHL72" s="120"/>
      <c r="BHM72" s="120"/>
      <c r="BHN72" s="120"/>
      <c r="BHO72" s="120"/>
      <c r="BHP72" s="120"/>
      <c r="BHQ72" s="120"/>
      <c r="BHR72" s="120"/>
      <c r="BHS72" s="120"/>
      <c r="BHT72" s="120"/>
      <c r="BHU72" s="120"/>
      <c r="BHV72" s="120"/>
      <c r="BHW72" s="120"/>
      <c r="BHX72" s="120"/>
      <c r="BHY72" s="120"/>
      <c r="BHZ72" s="120"/>
      <c r="BIA72" s="120"/>
      <c r="BIB72" s="120"/>
      <c r="BIC72" s="120"/>
      <c r="BID72" s="120"/>
      <c r="BIE72" s="120"/>
      <c r="BIF72" s="120"/>
      <c r="BIG72" s="120"/>
      <c r="BIH72" s="120"/>
      <c r="BII72" s="120"/>
      <c r="BIJ72" s="120"/>
      <c r="BIK72" s="120"/>
      <c r="BIL72" s="120"/>
      <c r="BIM72" s="120"/>
      <c r="BIN72" s="120"/>
      <c r="BIO72" s="120"/>
      <c r="BIP72" s="120"/>
      <c r="BIQ72" s="120"/>
      <c r="BIR72" s="120"/>
      <c r="BIS72" s="120"/>
      <c r="BIT72" s="120"/>
      <c r="BIU72" s="120"/>
      <c r="BIV72" s="120"/>
      <c r="BIW72" s="120"/>
      <c r="BIX72" s="120"/>
      <c r="BIY72" s="120"/>
      <c r="BIZ72" s="120"/>
      <c r="BJA72" s="120"/>
      <c r="BJB72" s="120"/>
      <c r="BJC72" s="120"/>
      <c r="BJD72" s="120"/>
      <c r="BJE72" s="120"/>
      <c r="BJF72" s="120"/>
      <c r="BJG72" s="120"/>
      <c r="BJH72" s="120"/>
      <c r="BJI72" s="120"/>
      <c r="BJJ72" s="120"/>
      <c r="BJK72" s="120"/>
      <c r="BJL72" s="120"/>
      <c r="BJM72" s="120"/>
      <c r="BJN72" s="120"/>
      <c r="BJO72" s="120"/>
      <c r="BJP72" s="120"/>
      <c r="BJQ72" s="120"/>
      <c r="BJR72" s="120"/>
      <c r="BJS72" s="120"/>
      <c r="BJT72" s="120"/>
      <c r="BJU72" s="120"/>
      <c r="BJV72" s="120"/>
      <c r="BJW72" s="120"/>
      <c r="BJX72" s="120"/>
      <c r="BJY72" s="120"/>
      <c r="BJZ72" s="120"/>
      <c r="BKA72" s="120"/>
      <c r="BKB72" s="120"/>
      <c r="BKC72" s="120"/>
      <c r="BKD72" s="120"/>
      <c r="BKE72" s="120"/>
      <c r="BKF72" s="120"/>
      <c r="BKG72" s="120"/>
      <c r="BKH72" s="120"/>
      <c r="BKI72" s="120"/>
      <c r="BKJ72" s="120"/>
      <c r="BKK72" s="120"/>
      <c r="BKL72" s="120"/>
      <c r="BKM72" s="120"/>
      <c r="BKN72" s="120"/>
      <c r="BKO72" s="120"/>
      <c r="BKP72" s="120"/>
      <c r="BKQ72" s="120"/>
      <c r="BKR72" s="120"/>
      <c r="BKS72" s="120"/>
      <c r="BKT72" s="120"/>
      <c r="BKU72" s="120"/>
      <c r="BKV72" s="120"/>
      <c r="BKW72" s="120"/>
      <c r="BKX72" s="120"/>
      <c r="BKY72" s="120"/>
      <c r="BKZ72" s="120"/>
      <c r="BLA72" s="120"/>
      <c r="BLB72" s="120"/>
      <c r="BLC72" s="120"/>
      <c r="BLD72" s="120"/>
      <c r="BLE72" s="120"/>
      <c r="BLF72" s="120"/>
      <c r="BLG72" s="120"/>
      <c r="BLH72" s="120"/>
      <c r="BLI72" s="120"/>
      <c r="BLJ72" s="120"/>
      <c r="BLK72" s="120"/>
      <c r="BLL72" s="120"/>
      <c r="BLM72" s="120"/>
      <c r="BLN72" s="120"/>
      <c r="BLO72" s="120"/>
      <c r="BLP72" s="120"/>
      <c r="BLQ72" s="120"/>
      <c r="BLR72" s="120"/>
      <c r="BLS72" s="120"/>
      <c r="BLT72" s="120"/>
      <c r="BLU72" s="120"/>
      <c r="BLV72" s="120"/>
      <c r="BLW72" s="120"/>
      <c r="BLX72" s="120"/>
      <c r="BLY72" s="120"/>
      <c r="BLZ72" s="120"/>
      <c r="BMA72" s="120"/>
      <c r="BMB72" s="120"/>
      <c r="BMC72" s="120"/>
      <c r="BMD72" s="120"/>
      <c r="BME72" s="120"/>
      <c r="BMF72" s="120"/>
      <c r="BMG72" s="120"/>
      <c r="BMH72" s="120"/>
      <c r="BMI72" s="120"/>
      <c r="BMJ72" s="120"/>
      <c r="BMK72" s="120"/>
      <c r="BML72" s="120"/>
      <c r="BMM72" s="120"/>
      <c r="BMN72" s="120"/>
      <c r="BMO72" s="120"/>
      <c r="BMP72" s="120"/>
      <c r="BMQ72" s="120"/>
      <c r="BMR72" s="120"/>
      <c r="BMS72" s="120"/>
      <c r="BMT72" s="120"/>
      <c r="BMU72" s="120"/>
      <c r="BMV72" s="120"/>
      <c r="BMW72" s="120"/>
      <c r="BMX72" s="120"/>
      <c r="BMY72" s="120"/>
      <c r="BMZ72" s="120"/>
      <c r="BNA72" s="120"/>
      <c r="BNB72" s="120"/>
      <c r="BNC72" s="120"/>
      <c r="BND72" s="120"/>
      <c r="BNE72" s="120"/>
      <c r="BNF72" s="120"/>
      <c r="BNG72" s="120"/>
      <c r="BNH72" s="120"/>
      <c r="BNI72" s="120"/>
      <c r="BNJ72" s="120"/>
      <c r="BNK72" s="120"/>
      <c r="BNL72" s="120"/>
      <c r="BNM72" s="120"/>
      <c r="BNN72" s="120"/>
      <c r="BNO72" s="120"/>
      <c r="BNP72" s="120"/>
      <c r="BNQ72" s="120"/>
      <c r="BNR72" s="120"/>
      <c r="BNS72" s="120"/>
      <c r="BNT72" s="120"/>
      <c r="BNU72" s="120"/>
      <c r="BNV72" s="120"/>
      <c r="BNW72" s="120"/>
      <c r="BNX72" s="120"/>
      <c r="BNY72" s="120"/>
      <c r="BNZ72" s="120"/>
      <c r="BOA72" s="120"/>
      <c r="BOB72" s="120"/>
      <c r="BOC72" s="120"/>
      <c r="BOD72" s="120"/>
      <c r="BOE72" s="120"/>
      <c r="BOF72" s="120"/>
      <c r="BOG72" s="120"/>
      <c r="BOH72" s="120"/>
      <c r="BOI72" s="120"/>
      <c r="BOJ72" s="120"/>
      <c r="BOK72" s="120"/>
      <c r="BOL72" s="120"/>
      <c r="BOM72" s="120"/>
      <c r="BON72" s="120"/>
      <c r="BOO72" s="120"/>
      <c r="BOP72" s="120"/>
      <c r="BOQ72" s="120"/>
      <c r="BOR72" s="120"/>
      <c r="BOS72" s="120"/>
      <c r="BOT72" s="120"/>
      <c r="BOU72" s="120"/>
      <c r="BOV72" s="120"/>
      <c r="BOW72" s="120"/>
      <c r="BOX72" s="120"/>
      <c r="BOY72" s="120"/>
      <c r="BOZ72" s="120"/>
      <c r="BPA72" s="120"/>
      <c r="BPB72" s="120"/>
      <c r="BPC72" s="120"/>
      <c r="BPD72" s="120"/>
      <c r="BPE72" s="120"/>
      <c r="BPF72" s="120"/>
      <c r="BPG72" s="120"/>
      <c r="BPH72" s="120"/>
      <c r="BPI72" s="120"/>
      <c r="BPJ72" s="120"/>
      <c r="BPK72" s="120"/>
      <c r="BPL72" s="120"/>
      <c r="BPM72" s="120"/>
      <c r="BPN72" s="120"/>
      <c r="BPO72" s="120"/>
      <c r="BPP72" s="120"/>
      <c r="BPQ72" s="120"/>
      <c r="BPR72" s="120"/>
      <c r="BPS72" s="120"/>
      <c r="BPT72" s="120"/>
      <c r="BPU72" s="120"/>
      <c r="BPV72" s="120"/>
      <c r="BPW72" s="120"/>
      <c r="BPX72" s="120"/>
      <c r="BPY72" s="120"/>
      <c r="BPZ72" s="120"/>
      <c r="BQA72" s="120"/>
      <c r="BQB72" s="120"/>
      <c r="BQC72" s="120"/>
      <c r="BQD72" s="120"/>
      <c r="BQE72" s="120"/>
      <c r="BQF72" s="120"/>
      <c r="BQG72" s="120"/>
      <c r="BQH72" s="120"/>
      <c r="BQI72" s="120"/>
      <c r="BQJ72" s="120"/>
      <c r="BQK72" s="120"/>
      <c r="BQL72" s="120"/>
      <c r="BQM72" s="120"/>
      <c r="BQN72" s="120"/>
      <c r="BQO72" s="120"/>
      <c r="BQP72" s="120"/>
      <c r="BQQ72" s="120"/>
      <c r="BQR72" s="120"/>
      <c r="BQS72" s="120"/>
      <c r="BQT72" s="120"/>
      <c r="BQU72" s="120"/>
      <c r="BQV72" s="120"/>
      <c r="BQW72" s="120"/>
      <c r="BQX72" s="120"/>
      <c r="BQY72" s="120"/>
      <c r="BQZ72" s="120"/>
      <c r="BRA72" s="120"/>
      <c r="BRB72" s="120"/>
      <c r="BRC72" s="120"/>
      <c r="BRD72" s="120"/>
      <c r="BRE72" s="120"/>
      <c r="BRF72" s="120"/>
      <c r="BRG72" s="120"/>
      <c r="BRH72" s="120"/>
      <c r="BRI72" s="120"/>
      <c r="BRJ72" s="120"/>
      <c r="BRK72" s="120"/>
      <c r="BRL72" s="120"/>
      <c r="BRM72" s="120"/>
      <c r="BRN72" s="120"/>
      <c r="BRO72" s="120"/>
      <c r="BRP72" s="120"/>
      <c r="BRQ72" s="120"/>
      <c r="BRR72" s="120"/>
      <c r="BRS72" s="120"/>
      <c r="BRT72" s="120"/>
      <c r="BRU72" s="120"/>
      <c r="BRV72" s="120"/>
      <c r="BRW72" s="120"/>
      <c r="BRX72" s="120"/>
      <c r="BRY72" s="120"/>
      <c r="BRZ72" s="120"/>
      <c r="BSA72" s="120"/>
      <c r="BSB72" s="120"/>
      <c r="BSC72" s="120"/>
      <c r="BSD72" s="120"/>
      <c r="BSE72" s="120"/>
      <c r="BSF72" s="120"/>
      <c r="BSG72" s="120"/>
      <c r="BSH72" s="120"/>
      <c r="BSI72" s="120"/>
      <c r="BSJ72" s="120"/>
      <c r="BSK72" s="120"/>
      <c r="BSL72" s="120"/>
      <c r="BSM72" s="120"/>
      <c r="BSN72" s="120"/>
      <c r="BSO72" s="120"/>
      <c r="BSP72" s="120"/>
      <c r="BSQ72" s="120"/>
      <c r="BSR72" s="120"/>
      <c r="BSS72" s="120"/>
      <c r="BST72" s="120"/>
      <c r="BSU72" s="120"/>
      <c r="BSV72" s="120"/>
      <c r="BSW72" s="120"/>
      <c r="BSX72" s="120"/>
      <c r="BSY72" s="120"/>
      <c r="BSZ72" s="120"/>
      <c r="BTA72" s="120"/>
      <c r="BTB72" s="120"/>
      <c r="BTC72" s="120"/>
      <c r="BTD72" s="120"/>
      <c r="BTE72" s="120"/>
      <c r="BTF72" s="120"/>
      <c r="BTG72" s="120"/>
      <c r="BTH72" s="120"/>
      <c r="BTI72" s="120"/>
      <c r="BTJ72" s="120"/>
      <c r="BTK72" s="120"/>
      <c r="BTL72" s="120"/>
      <c r="BTM72" s="120"/>
      <c r="BTN72" s="120"/>
      <c r="BTO72" s="120"/>
      <c r="BTP72" s="120"/>
      <c r="BTQ72" s="120"/>
      <c r="BTR72" s="120"/>
      <c r="BTS72" s="120"/>
      <c r="BTT72" s="120"/>
      <c r="BTU72" s="120"/>
      <c r="BTV72" s="120"/>
      <c r="BTW72" s="120"/>
      <c r="BTX72" s="120"/>
      <c r="BTY72" s="120"/>
      <c r="BTZ72" s="120"/>
      <c r="BUA72" s="120"/>
      <c r="BUB72" s="120"/>
      <c r="BUC72" s="120"/>
      <c r="BUD72" s="120"/>
      <c r="BUE72" s="120"/>
      <c r="BUF72" s="120"/>
      <c r="BUG72" s="120"/>
      <c r="BUH72" s="120"/>
      <c r="BUI72" s="120"/>
      <c r="BUJ72" s="120"/>
      <c r="BUK72" s="120"/>
      <c r="BUL72" s="120"/>
      <c r="BUM72" s="120"/>
      <c r="BUN72" s="120"/>
      <c r="BUO72" s="120"/>
      <c r="BUP72" s="120"/>
      <c r="BUQ72" s="120"/>
      <c r="BUR72" s="120"/>
      <c r="BUS72" s="120"/>
      <c r="BUT72" s="120"/>
      <c r="BUU72" s="120"/>
      <c r="BUV72" s="120"/>
      <c r="BUW72" s="120"/>
      <c r="BUX72" s="120"/>
      <c r="BUY72" s="120"/>
      <c r="BUZ72" s="120"/>
      <c r="BVA72" s="120"/>
      <c r="BVB72" s="120"/>
      <c r="BVC72" s="120"/>
      <c r="BVD72" s="120"/>
      <c r="BVE72" s="120"/>
      <c r="BVF72" s="120"/>
      <c r="BVG72" s="120"/>
      <c r="BVH72" s="120"/>
      <c r="BVI72" s="120"/>
      <c r="BVJ72" s="120"/>
      <c r="BVK72" s="120"/>
      <c r="BVL72" s="120"/>
      <c r="BVM72" s="120"/>
      <c r="BVN72" s="120"/>
      <c r="BVO72" s="120"/>
      <c r="BVP72" s="120"/>
      <c r="BVQ72" s="120"/>
      <c r="BVR72" s="120"/>
      <c r="BVS72" s="120"/>
      <c r="BVT72" s="120"/>
      <c r="BVU72" s="120"/>
      <c r="BVV72" s="120"/>
      <c r="BVW72" s="120"/>
      <c r="BVX72" s="120"/>
      <c r="BVY72" s="120"/>
      <c r="BVZ72" s="120"/>
      <c r="BWA72" s="120"/>
      <c r="BWB72" s="120"/>
      <c r="BWC72" s="120"/>
      <c r="BWD72" s="120"/>
      <c r="BWE72" s="120"/>
      <c r="BWF72" s="120"/>
      <c r="BWG72" s="120"/>
      <c r="BWH72" s="120"/>
      <c r="BWI72" s="120"/>
      <c r="BWJ72" s="120"/>
      <c r="BWK72" s="120"/>
      <c r="BWL72" s="120"/>
      <c r="BWM72" s="120"/>
      <c r="BWN72" s="120"/>
      <c r="BWO72" s="120"/>
      <c r="BWP72" s="120"/>
      <c r="BWQ72" s="120"/>
      <c r="BWR72" s="120"/>
      <c r="BWS72" s="120"/>
      <c r="BWT72" s="120"/>
      <c r="BWU72" s="120"/>
      <c r="BWV72" s="120"/>
      <c r="BWW72" s="120"/>
      <c r="BWX72" s="120"/>
      <c r="BWY72" s="120"/>
      <c r="BWZ72" s="120"/>
      <c r="BXA72" s="120"/>
      <c r="BXB72" s="120"/>
      <c r="BXC72" s="120"/>
      <c r="BXD72" s="120"/>
      <c r="BXE72" s="120"/>
      <c r="BXF72" s="120"/>
      <c r="BXG72" s="120"/>
      <c r="BXH72" s="120"/>
      <c r="BXI72" s="120"/>
      <c r="BXJ72" s="120"/>
      <c r="BXK72" s="120"/>
      <c r="BXL72" s="120"/>
      <c r="BXM72" s="120"/>
      <c r="BXN72" s="120"/>
      <c r="BXO72" s="120"/>
      <c r="BXP72" s="120"/>
      <c r="BXQ72" s="120"/>
      <c r="BXR72" s="120"/>
      <c r="BXS72" s="120"/>
      <c r="BXT72" s="120"/>
      <c r="BXU72" s="120"/>
      <c r="BXV72" s="120"/>
      <c r="BXW72" s="120"/>
      <c r="BXX72" s="120"/>
      <c r="BXY72" s="120"/>
      <c r="BXZ72" s="120"/>
      <c r="BYA72" s="120"/>
      <c r="BYB72" s="120"/>
      <c r="BYC72" s="120"/>
      <c r="BYD72" s="120"/>
      <c r="BYE72" s="120"/>
      <c r="BYF72" s="120"/>
      <c r="BYG72" s="120"/>
      <c r="BYH72" s="120"/>
      <c r="BYI72" s="120"/>
      <c r="BYJ72" s="120"/>
      <c r="BYK72" s="120"/>
      <c r="BYL72" s="120"/>
      <c r="BYM72" s="120"/>
      <c r="BYN72" s="120"/>
      <c r="BYO72" s="120"/>
      <c r="BYP72" s="120"/>
      <c r="BYQ72" s="120"/>
      <c r="BYR72" s="120"/>
      <c r="BYS72" s="120"/>
      <c r="BYT72" s="120"/>
      <c r="BYU72" s="120"/>
      <c r="BYV72" s="120"/>
      <c r="BYW72" s="120"/>
      <c r="BYX72" s="120"/>
      <c r="BYY72" s="120"/>
      <c r="BYZ72" s="120"/>
      <c r="BZA72" s="120"/>
      <c r="BZB72" s="120"/>
      <c r="BZC72" s="120"/>
      <c r="BZD72" s="120"/>
      <c r="BZE72" s="120"/>
      <c r="BZF72" s="120"/>
      <c r="BZG72" s="120"/>
      <c r="BZH72" s="120"/>
      <c r="BZI72" s="120"/>
      <c r="BZJ72" s="120"/>
      <c r="BZK72" s="120"/>
      <c r="BZL72" s="120"/>
      <c r="BZM72" s="120"/>
      <c r="BZN72" s="120"/>
      <c r="BZO72" s="120"/>
      <c r="BZP72" s="120"/>
      <c r="BZQ72" s="120"/>
      <c r="BZR72" s="120"/>
      <c r="BZS72" s="120"/>
      <c r="BZT72" s="120"/>
      <c r="BZU72" s="120"/>
      <c r="BZV72" s="120"/>
      <c r="BZW72" s="120"/>
      <c r="BZX72" s="120"/>
      <c r="BZY72" s="120"/>
      <c r="BZZ72" s="120"/>
      <c r="CAA72" s="120"/>
      <c r="CAB72" s="120"/>
      <c r="CAC72" s="120"/>
      <c r="CAD72" s="120"/>
      <c r="CAE72" s="120"/>
      <c r="CAF72" s="120"/>
      <c r="CAG72" s="120"/>
      <c r="CAH72" s="120"/>
      <c r="CAI72" s="120"/>
      <c r="CAJ72" s="120"/>
      <c r="CAK72" s="120"/>
      <c r="CAL72" s="120"/>
      <c r="CAM72" s="120"/>
      <c r="CAN72" s="120"/>
      <c r="CAO72" s="120"/>
      <c r="CAP72" s="120"/>
      <c r="CAQ72" s="120"/>
      <c r="CAR72" s="120"/>
      <c r="CAS72" s="120"/>
      <c r="CAT72" s="120"/>
      <c r="CAU72" s="120"/>
      <c r="CAV72" s="120"/>
      <c r="CAW72" s="120"/>
      <c r="CAX72" s="120"/>
      <c r="CAY72" s="120"/>
      <c r="CAZ72" s="120"/>
      <c r="CBA72" s="120"/>
      <c r="CBB72" s="120"/>
      <c r="CBC72" s="120"/>
      <c r="CBD72" s="120"/>
      <c r="CBE72" s="120"/>
      <c r="CBF72" s="120"/>
      <c r="CBG72" s="120"/>
      <c r="CBH72" s="120"/>
      <c r="CBI72" s="120"/>
      <c r="CBJ72" s="120"/>
      <c r="CBK72" s="120"/>
      <c r="CBL72" s="120"/>
      <c r="CBM72" s="120"/>
      <c r="CBN72" s="120"/>
      <c r="CBO72" s="120"/>
      <c r="CBP72" s="120"/>
      <c r="CBQ72" s="120"/>
      <c r="CBR72" s="120"/>
      <c r="CBS72" s="120"/>
      <c r="CBT72" s="120"/>
      <c r="CBU72" s="120"/>
      <c r="CBV72" s="120"/>
      <c r="CBW72" s="120"/>
      <c r="CBX72" s="120"/>
      <c r="CBY72" s="120"/>
      <c r="CBZ72" s="120"/>
      <c r="CCA72" s="120"/>
      <c r="CCB72" s="120"/>
      <c r="CCC72" s="120"/>
      <c r="CCD72" s="120"/>
      <c r="CCE72" s="120"/>
      <c r="CCF72" s="120"/>
      <c r="CCG72" s="120"/>
      <c r="CCH72" s="120"/>
      <c r="CCI72" s="120"/>
      <c r="CCJ72" s="120"/>
      <c r="CCK72" s="120"/>
      <c r="CCL72" s="120"/>
      <c r="CCM72" s="120"/>
      <c r="CCN72" s="120"/>
      <c r="CCO72" s="120"/>
      <c r="CCP72" s="120"/>
      <c r="CCQ72" s="120"/>
      <c r="CCR72" s="120"/>
      <c r="CCS72" s="120"/>
      <c r="CCT72" s="120"/>
      <c r="CCU72" s="120"/>
      <c r="CCV72" s="120"/>
      <c r="CCW72" s="120"/>
      <c r="CCX72" s="120"/>
      <c r="CCY72" s="120"/>
      <c r="CCZ72" s="120"/>
      <c r="CDA72" s="120"/>
      <c r="CDB72" s="120"/>
      <c r="CDC72" s="120"/>
      <c r="CDD72" s="120"/>
      <c r="CDE72" s="120"/>
      <c r="CDF72" s="120"/>
      <c r="CDG72" s="120"/>
      <c r="CDH72" s="120"/>
      <c r="CDI72" s="120"/>
      <c r="CDJ72" s="120"/>
      <c r="CDK72" s="120"/>
      <c r="CDL72" s="120"/>
      <c r="CDM72" s="120"/>
      <c r="CDN72" s="120"/>
      <c r="CDO72" s="120"/>
      <c r="CDP72" s="120"/>
      <c r="CDQ72" s="120"/>
      <c r="CDR72" s="120"/>
      <c r="CDS72" s="120"/>
      <c r="CDT72" s="120"/>
      <c r="CDU72" s="120"/>
      <c r="CDV72" s="120"/>
      <c r="CDW72" s="120"/>
      <c r="CDX72" s="120"/>
      <c r="CDY72" s="120"/>
      <c r="CDZ72" s="120"/>
      <c r="CEA72" s="120"/>
      <c r="CEB72" s="120"/>
      <c r="CEC72" s="120"/>
      <c r="CED72" s="120"/>
      <c r="CEE72" s="120"/>
      <c r="CEF72" s="120"/>
      <c r="CEG72" s="120"/>
      <c r="CEH72" s="120"/>
      <c r="CEI72" s="120"/>
      <c r="CEJ72" s="120"/>
      <c r="CEK72" s="120"/>
      <c r="CEL72" s="120"/>
      <c r="CEM72" s="120"/>
      <c r="CEN72" s="120"/>
      <c r="CEO72" s="120"/>
      <c r="CEP72" s="120"/>
      <c r="CEQ72" s="120"/>
      <c r="CER72" s="120"/>
      <c r="CES72" s="120"/>
      <c r="CET72" s="120"/>
      <c r="CEU72" s="120"/>
      <c r="CEV72" s="120"/>
      <c r="CEW72" s="120"/>
      <c r="CEX72" s="120"/>
      <c r="CEY72" s="120"/>
      <c r="CEZ72" s="120"/>
      <c r="CFA72" s="120"/>
      <c r="CFB72" s="120"/>
      <c r="CFC72" s="120"/>
      <c r="CFD72" s="120"/>
      <c r="CFE72" s="120"/>
      <c r="CFF72" s="120"/>
      <c r="CFG72" s="120"/>
      <c r="CFH72" s="120"/>
      <c r="CFI72" s="120"/>
      <c r="CFJ72" s="120"/>
      <c r="CFK72" s="120"/>
      <c r="CFL72" s="120"/>
      <c r="CFM72" s="120"/>
      <c r="CFN72" s="120"/>
      <c r="CFO72" s="120"/>
      <c r="CFP72" s="120"/>
      <c r="CFQ72" s="120"/>
      <c r="CFR72" s="120"/>
      <c r="CFS72" s="120"/>
      <c r="CFT72" s="120"/>
      <c r="CFU72" s="120"/>
      <c r="CFV72" s="120"/>
      <c r="CFW72" s="120"/>
      <c r="CFX72" s="120"/>
      <c r="CFY72" s="120"/>
      <c r="CFZ72" s="120"/>
      <c r="CGA72" s="120"/>
      <c r="CGB72" s="120"/>
      <c r="CGC72" s="120"/>
      <c r="CGD72" s="120"/>
      <c r="CGE72" s="120"/>
      <c r="CGF72" s="120"/>
      <c r="CGG72" s="120"/>
      <c r="CGH72" s="120"/>
      <c r="CGI72" s="120"/>
      <c r="CGJ72" s="120"/>
      <c r="CGK72" s="120"/>
      <c r="CGL72" s="120"/>
      <c r="CGM72" s="120"/>
      <c r="CGN72" s="120"/>
      <c r="CGO72" s="120"/>
      <c r="CGP72" s="120"/>
      <c r="CGQ72" s="120"/>
      <c r="CGR72" s="120"/>
      <c r="CGS72" s="120"/>
      <c r="CGT72" s="120"/>
      <c r="CGU72" s="120"/>
      <c r="CGV72" s="120"/>
      <c r="CGW72" s="120"/>
      <c r="CGX72" s="120"/>
      <c r="CGY72" s="120"/>
      <c r="CGZ72" s="120"/>
      <c r="CHA72" s="120"/>
      <c r="CHB72" s="120"/>
      <c r="CHC72" s="120"/>
      <c r="CHD72" s="120"/>
      <c r="CHE72" s="120"/>
      <c r="CHF72" s="120"/>
      <c r="CHG72" s="120"/>
      <c r="CHH72" s="120"/>
      <c r="CHI72" s="120"/>
      <c r="CHJ72" s="120"/>
      <c r="CHK72" s="120"/>
      <c r="CHL72" s="120"/>
      <c r="CHM72" s="120"/>
      <c r="CHN72" s="120"/>
      <c r="CHO72" s="120"/>
      <c r="CHP72" s="120"/>
      <c r="CHQ72" s="120"/>
      <c r="CHR72" s="120"/>
      <c r="CHS72" s="120"/>
      <c r="CHT72" s="120"/>
      <c r="CHU72" s="120"/>
      <c r="CHV72" s="120"/>
      <c r="CHW72" s="120"/>
      <c r="CHX72" s="120"/>
      <c r="CHY72" s="120"/>
      <c r="CHZ72" s="120"/>
      <c r="CIA72" s="120"/>
      <c r="CIB72" s="120"/>
      <c r="CIC72" s="120"/>
      <c r="CID72" s="120"/>
      <c r="CIE72" s="120"/>
      <c r="CIF72" s="120"/>
      <c r="CIG72" s="120"/>
      <c r="CIH72" s="120"/>
      <c r="CII72" s="120"/>
      <c r="CIJ72" s="120"/>
      <c r="CIK72" s="120"/>
      <c r="CIL72" s="120"/>
      <c r="CIM72" s="120"/>
      <c r="CIN72" s="120"/>
      <c r="CIO72" s="120"/>
      <c r="CIP72" s="120"/>
      <c r="CIQ72" s="120"/>
      <c r="CIR72" s="120"/>
      <c r="CIS72" s="120"/>
      <c r="CIT72" s="120"/>
      <c r="CIU72" s="120"/>
      <c r="CIV72" s="120"/>
      <c r="CIW72" s="120"/>
      <c r="CIX72" s="120"/>
      <c r="CIY72" s="120"/>
      <c r="CIZ72" s="120"/>
      <c r="CJA72" s="120"/>
      <c r="CJB72" s="120"/>
      <c r="CJC72" s="120"/>
      <c r="CJD72" s="120"/>
      <c r="CJE72" s="120"/>
      <c r="CJF72" s="120"/>
      <c r="CJG72" s="120"/>
      <c r="CJH72" s="120"/>
      <c r="CJI72" s="120"/>
      <c r="CJJ72" s="120"/>
      <c r="CJK72" s="120"/>
      <c r="CJL72" s="120"/>
      <c r="CJM72" s="120"/>
      <c r="CJN72" s="120"/>
      <c r="CJO72" s="120"/>
      <c r="CJP72" s="120"/>
      <c r="CJQ72" s="120"/>
      <c r="CJR72" s="120"/>
      <c r="CJS72" s="120"/>
      <c r="CJT72" s="120"/>
      <c r="CJU72" s="120"/>
      <c r="CJV72" s="120"/>
      <c r="CJW72" s="120"/>
      <c r="CJX72" s="120"/>
      <c r="CJY72" s="120"/>
      <c r="CJZ72" s="120"/>
      <c r="CKA72" s="120"/>
      <c r="CKB72" s="120"/>
      <c r="CKC72" s="120"/>
      <c r="CKD72" s="120"/>
      <c r="CKE72" s="120"/>
      <c r="CKF72" s="120"/>
      <c r="CKG72" s="120"/>
      <c r="CKH72" s="120"/>
      <c r="CKI72" s="120"/>
      <c r="CKJ72" s="120"/>
      <c r="CKK72" s="120"/>
      <c r="CKL72" s="120"/>
      <c r="CKM72" s="120"/>
      <c r="CKN72" s="120"/>
      <c r="CKO72" s="120"/>
      <c r="CKP72" s="120"/>
      <c r="CKQ72" s="120"/>
      <c r="CKR72" s="120"/>
      <c r="CKS72" s="120"/>
      <c r="CKT72" s="120"/>
      <c r="CKU72" s="120"/>
      <c r="CKV72" s="120"/>
      <c r="CKW72" s="120"/>
      <c r="CKX72" s="120"/>
      <c r="CKY72" s="120"/>
      <c r="CKZ72" s="120"/>
      <c r="CLA72" s="120"/>
      <c r="CLB72" s="120"/>
      <c r="CLC72" s="120"/>
      <c r="CLD72" s="120"/>
      <c r="CLE72" s="120"/>
      <c r="CLF72" s="120"/>
      <c r="CLG72" s="120"/>
      <c r="CLH72" s="120"/>
      <c r="CLI72" s="120"/>
      <c r="CLJ72" s="120"/>
      <c r="CLK72" s="120"/>
      <c r="CLL72" s="120"/>
      <c r="CLM72" s="120"/>
      <c r="CLN72" s="120"/>
      <c r="CLO72" s="120"/>
      <c r="CLP72" s="120"/>
      <c r="CLQ72" s="120"/>
      <c r="CLR72" s="120"/>
      <c r="CLS72" s="120"/>
      <c r="CLT72" s="120"/>
      <c r="CLU72" s="120"/>
      <c r="CLV72" s="120"/>
      <c r="CLW72" s="120"/>
      <c r="CLX72" s="120"/>
      <c r="CLY72" s="120"/>
      <c r="CLZ72" s="120"/>
      <c r="CMA72" s="120"/>
      <c r="CMB72" s="120"/>
      <c r="CMC72" s="120"/>
      <c r="CMD72" s="120"/>
      <c r="CME72" s="120"/>
      <c r="CMF72" s="120"/>
      <c r="CMG72" s="120"/>
      <c r="CMH72" s="120"/>
      <c r="CMI72" s="120"/>
      <c r="CMJ72" s="120"/>
      <c r="CMK72" s="120"/>
      <c r="CML72" s="120"/>
      <c r="CMM72" s="120"/>
      <c r="CMN72" s="120"/>
      <c r="CMO72" s="120"/>
      <c r="CMP72" s="120"/>
      <c r="CMQ72" s="120"/>
      <c r="CMR72" s="120"/>
      <c r="CMS72" s="120"/>
      <c r="CMT72" s="120"/>
      <c r="CMU72" s="120"/>
      <c r="CMV72" s="120"/>
      <c r="CMW72" s="120"/>
      <c r="CMX72" s="120"/>
      <c r="CMY72" s="120"/>
      <c r="CMZ72" s="120"/>
      <c r="CNA72" s="120"/>
      <c r="CNB72" s="120"/>
      <c r="CNC72" s="120"/>
      <c r="CND72" s="120"/>
      <c r="CNE72" s="120"/>
      <c r="CNF72" s="120"/>
      <c r="CNG72" s="120"/>
      <c r="CNH72" s="120"/>
      <c r="CNI72" s="120"/>
      <c r="CNJ72" s="120"/>
      <c r="CNK72" s="120"/>
      <c r="CNL72" s="120"/>
      <c r="CNM72" s="120"/>
      <c r="CNN72" s="120"/>
      <c r="CNO72" s="120"/>
      <c r="CNP72" s="120"/>
      <c r="CNQ72" s="120"/>
      <c r="CNR72" s="120"/>
      <c r="CNS72" s="120"/>
      <c r="CNT72" s="120"/>
      <c r="CNU72" s="120"/>
      <c r="CNV72" s="120"/>
      <c r="CNW72" s="120"/>
      <c r="CNX72" s="120"/>
      <c r="CNY72" s="120"/>
      <c r="CNZ72" s="120"/>
      <c r="COA72" s="120"/>
      <c r="COB72" s="120"/>
      <c r="COC72" s="120"/>
      <c r="COD72" s="120"/>
      <c r="COE72" s="120"/>
      <c r="COF72" s="120"/>
      <c r="COG72" s="120"/>
      <c r="COH72" s="120"/>
      <c r="COI72" s="120"/>
      <c r="COJ72" s="120"/>
      <c r="COK72" s="120"/>
      <c r="COL72" s="120"/>
      <c r="COM72" s="120"/>
      <c r="CON72" s="120"/>
      <c r="COO72" s="120"/>
      <c r="COP72" s="120"/>
      <c r="COQ72" s="120"/>
      <c r="COR72" s="120"/>
      <c r="COS72" s="120"/>
      <c r="COT72" s="120"/>
      <c r="COU72" s="120"/>
      <c r="COV72" s="120"/>
      <c r="COW72" s="120"/>
      <c r="COX72" s="120"/>
      <c r="COY72" s="120"/>
      <c r="COZ72" s="120"/>
      <c r="CPA72" s="120"/>
      <c r="CPB72" s="120"/>
      <c r="CPC72" s="120"/>
      <c r="CPD72" s="120"/>
      <c r="CPE72" s="120"/>
      <c r="CPF72" s="120"/>
      <c r="CPG72" s="120"/>
      <c r="CPH72" s="120"/>
      <c r="CPI72" s="120"/>
      <c r="CPJ72" s="120"/>
      <c r="CPK72" s="120"/>
      <c r="CPL72" s="120"/>
      <c r="CPM72" s="120"/>
      <c r="CPN72" s="120"/>
      <c r="CPO72" s="120"/>
      <c r="CPP72" s="120"/>
      <c r="CPQ72" s="120"/>
      <c r="CPR72" s="120"/>
      <c r="CPS72" s="120"/>
      <c r="CPT72" s="120"/>
      <c r="CPU72" s="120"/>
      <c r="CPV72" s="120"/>
      <c r="CPW72" s="120"/>
      <c r="CPX72" s="120"/>
      <c r="CPY72" s="120"/>
      <c r="CPZ72" s="120"/>
      <c r="CQA72" s="120"/>
      <c r="CQB72" s="120"/>
      <c r="CQC72" s="120"/>
      <c r="CQD72" s="120"/>
      <c r="CQE72" s="120"/>
      <c r="CQF72" s="120"/>
      <c r="CQG72" s="120"/>
      <c r="CQH72" s="120"/>
      <c r="CQI72" s="120"/>
      <c r="CQJ72" s="120"/>
      <c r="CQK72" s="120"/>
      <c r="CQL72" s="120"/>
      <c r="CQM72" s="120"/>
      <c r="CQN72" s="120"/>
      <c r="CQO72" s="120"/>
      <c r="CQP72" s="120"/>
      <c r="CQQ72" s="120"/>
      <c r="CQR72" s="120"/>
      <c r="CQS72" s="120"/>
      <c r="CQT72" s="120"/>
      <c r="CQU72" s="120"/>
      <c r="CQV72" s="120"/>
      <c r="CQW72" s="120"/>
      <c r="CQX72" s="120"/>
      <c r="CQY72" s="120"/>
      <c r="CQZ72" s="120"/>
      <c r="CRA72" s="120"/>
      <c r="CRB72" s="120"/>
      <c r="CRC72" s="120"/>
      <c r="CRD72" s="120"/>
      <c r="CRE72" s="120"/>
      <c r="CRF72" s="120"/>
      <c r="CRG72" s="120"/>
      <c r="CRH72" s="120"/>
      <c r="CRI72" s="120"/>
      <c r="CRJ72" s="120"/>
      <c r="CRK72" s="120"/>
      <c r="CRL72" s="120"/>
      <c r="CRM72" s="120"/>
      <c r="CRN72" s="120"/>
      <c r="CRO72" s="120"/>
      <c r="CRP72" s="120"/>
      <c r="CRQ72" s="120"/>
      <c r="CRR72" s="120"/>
      <c r="CRS72" s="120"/>
      <c r="CRT72" s="120"/>
      <c r="CRU72" s="120"/>
      <c r="CRV72" s="120"/>
      <c r="CRW72" s="120"/>
      <c r="CRX72" s="120"/>
      <c r="CRY72" s="120"/>
      <c r="CRZ72" s="120"/>
      <c r="CSA72" s="120"/>
      <c r="CSB72" s="120"/>
      <c r="CSC72" s="120"/>
      <c r="CSD72" s="120"/>
      <c r="CSE72" s="120"/>
      <c r="CSF72" s="120"/>
      <c r="CSG72" s="120"/>
      <c r="CSH72" s="120"/>
      <c r="CSI72" s="120"/>
      <c r="CSJ72" s="120"/>
      <c r="CSK72" s="120"/>
      <c r="CSL72" s="120"/>
      <c r="CSM72" s="120"/>
      <c r="CSN72" s="120"/>
      <c r="CSO72" s="120"/>
      <c r="CSP72" s="120"/>
      <c r="CSQ72" s="120"/>
      <c r="CSR72" s="120"/>
      <c r="CSS72" s="120"/>
      <c r="CST72" s="120"/>
      <c r="CSU72" s="120"/>
      <c r="CSV72" s="120"/>
      <c r="CSW72" s="120"/>
      <c r="CSX72" s="120"/>
      <c r="CSY72" s="120"/>
      <c r="CSZ72" s="120"/>
      <c r="CTA72" s="120"/>
      <c r="CTB72" s="120"/>
      <c r="CTC72" s="120"/>
      <c r="CTD72" s="120"/>
      <c r="CTE72" s="120"/>
      <c r="CTF72" s="120"/>
      <c r="CTG72" s="120"/>
      <c r="CTH72" s="120"/>
      <c r="CTI72" s="120"/>
      <c r="CTJ72" s="120"/>
      <c r="CTK72" s="120"/>
      <c r="CTL72" s="120"/>
      <c r="CTM72" s="120"/>
      <c r="CTN72" s="120"/>
      <c r="CTO72" s="120"/>
      <c r="CTP72" s="120"/>
      <c r="CTQ72" s="120"/>
      <c r="CTR72" s="120"/>
      <c r="CTS72" s="120"/>
      <c r="CTT72" s="120"/>
      <c r="CTU72" s="120"/>
      <c r="CTV72" s="120"/>
      <c r="CTW72" s="120"/>
      <c r="CTX72" s="120"/>
      <c r="CTY72" s="120"/>
      <c r="CTZ72" s="120"/>
      <c r="CUA72" s="120"/>
      <c r="CUB72" s="120"/>
      <c r="CUC72" s="120"/>
      <c r="CUD72" s="120"/>
      <c r="CUE72" s="120"/>
      <c r="CUF72" s="120"/>
      <c r="CUG72" s="120"/>
      <c r="CUH72" s="120"/>
      <c r="CUI72" s="120"/>
      <c r="CUJ72" s="120"/>
      <c r="CUK72" s="120"/>
      <c r="CUL72" s="120"/>
      <c r="CUM72" s="120"/>
      <c r="CUN72" s="120"/>
      <c r="CUO72" s="120"/>
      <c r="CUP72" s="120"/>
      <c r="CUQ72" s="120"/>
      <c r="CUR72" s="120"/>
      <c r="CUS72" s="120"/>
      <c r="CUT72" s="120"/>
      <c r="CUU72" s="120"/>
      <c r="CUV72" s="120"/>
      <c r="CUW72" s="120"/>
      <c r="CUX72" s="120"/>
      <c r="CUY72" s="120"/>
      <c r="CUZ72" s="120"/>
      <c r="CVA72" s="120"/>
      <c r="CVB72" s="120"/>
      <c r="CVC72" s="120"/>
      <c r="CVD72" s="120"/>
      <c r="CVE72" s="120"/>
      <c r="CVF72" s="120"/>
      <c r="CVG72" s="120"/>
      <c r="CVH72" s="120"/>
      <c r="CVI72" s="120"/>
      <c r="CVJ72" s="120"/>
      <c r="CVK72" s="120"/>
      <c r="CVL72" s="120"/>
      <c r="CVM72" s="120"/>
      <c r="CVN72" s="120"/>
      <c r="CVO72" s="120"/>
      <c r="CVP72" s="120"/>
      <c r="CVQ72" s="120"/>
      <c r="CVR72" s="120"/>
      <c r="CVS72" s="120"/>
      <c r="CVT72" s="120"/>
      <c r="CVU72" s="120"/>
      <c r="CVV72" s="120"/>
      <c r="CVW72" s="120"/>
      <c r="CVX72" s="120"/>
      <c r="CVY72" s="120"/>
      <c r="CVZ72" s="120"/>
      <c r="CWA72" s="120"/>
      <c r="CWB72" s="120"/>
      <c r="CWC72" s="120"/>
      <c r="CWD72" s="120"/>
      <c r="CWE72" s="120"/>
      <c r="CWF72" s="120"/>
      <c r="CWG72" s="120"/>
      <c r="CWH72" s="120"/>
      <c r="CWI72" s="120"/>
      <c r="CWJ72" s="120"/>
      <c r="CWK72" s="120"/>
      <c r="CWL72" s="120"/>
      <c r="CWM72" s="120"/>
      <c r="CWN72" s="120"/>
      <c r="CWO72" s="120"/>
      <c r="CWP72" s="120"/>
      <c r="CWQ72" s="120"/>
      <c r="CWR72" s="120"/>
      <c r="CWS72" s="120"/>
      <c r="CWT72" s="120"/>
      <c r="CWU72" s="120"/>
      <c r="CWV72" s="120"/>
      <c r="CWW72" s="120"/>
      <c r="CWX72" s="120"/>
      <c r="CWY72" s="120"/>
      <c r="CWZ72" s="120"/>
      <c r="CXA72" s="120"/>
      <c r="CXB72" s="120"/>
      <c r="CXC72" s="120"/>
      <c r="CXD72" s="120"/>
      <c r="CXE72" s="120"/>
      <c r="CXF72" s="120"/>
      <c r="CXG72" s="120"/>
      <c r="CXH72" s="120"/>
      <c r="CXI72" s="120"/>
      <c r="CXJ72" s="120"/>
      <c r="CXK72" s="120"/>
      <c r="CXL72" s="120"/>
      <c r="CXM72" s="120"/>
      <c r="CXN72" s="120"/>
      <c r="CXO72" s="120"/>
      <c r="CXP72" s="120"/>
      <c r="CXQ72" s="120"/>
      <c r="CXR72" s="120"/>
      <c r="CXS72" s="120"/>
      <c r="CXT72" s="120"/>
      <c r="CXU72" s="120"/>
      <c r="CXV72" s="120"/>
      <c r="CXW72" s="120"/>
      <c r="CXX72" s="120"/>
      <c r="CXY72" s="120"/>
      <c r="CXZ72" s="120"/>
      <c r="CYA72" s="120"/>
      <c r="CYB72" s="120"/>
      <c r="CYC72" s="120"/>
      <c r="CYD72" s="120"/>
      <c r="CYE72" s="120"/>
      <c r="CYF72" s="120"/>
      <c r="CYG72" s="120"/>
      <c r="CYH72" s="120"/>
      <c r="CYI72" s="120"/>
      <c r="CYJ72" s="120"/>
      <c r="CYK72" s="120"/>
      <c r="CYL72" s="120"/>
      <c r="CYM72" s="120"/>
      <c r="CYN72" s="120"/>
      <c r="CYO72" s="120"/>
      <c r="CYP72" s="120"/>
      <c r="CYQ72" s="120"/>
      <c r="CYR72" s="120"/>
      <c r="CYS72" s="120"/>
      <c r="CYT72" s="120"/>
      <c r="CYU72" s="120"/>
      <c r="CYV72" s="120"/>
      <c r="CYW72" s="120"/>
      <c r="CYX72" s="120"/>
      <c r="CYY72" s="120"/>
      <c r="CYZ72" s="120"/>
      <c r="CZA72" s="120"/>
      <c r="CZB72" s="120"/>
      <c r="CZC72" s="120"/>
      <c r="CZD72" s="120"/>
      <c r="CZE72" s="120"/>
      <c r="CZF72" s="120"/>
      <c r="CZG72" s="120"/>
      <c r="CZH72" s="120"/>
      <c r="CZI72" s="120"/>
      <c r="CZJ72" s="120"/>
      <c r="CZK72" s="120"/>
      <c r="CZL72" s="120"/>
      <c r="CZM72" s="120"/>
      <c r="CZN72" s="120"/>
      <c r="CZO72" s="120"/>
      <c r="CZP72" s="120"/>
      <c r="CZQ72" s="120"/>
      <c r="CZR72" s="120"/>
      <c r="CZS72" s="120"/>
      <c r="CZT72" s="120"/>
      <c r="CZU72" s="120"/>
      <c r="CZV72" s="120"/>
      <c r="CZW72" s="120"/>
      <c r="CZX72" s="120"/>
      <c r="CZY72" s="120"/>
      <c r="CZZ72" s="120"/>
      <c r="DAA72" s="120"/>
      <c r="DAB72" s="120"/>
      <c r="DAC72" s="120"/>
      <c r="DAD72" s="120"/>
      <c r="DAE72" s="120"/>
      <c r="DAF72" s="120"/>
      <c r="DAG72" s="120"/>
      <c r="DAH72" s="120"/>
      <c r="DAI72" s="120"/>
      <c r="DAJ72" s="120"/>
      <c r="DAK72" s="120"/>
      <c r="DAL72" s="120"/>
      <c r="DAM72" s="120"/>
      <c r="DAN72" s="120"/>
      <c r="DAO72" s="120"/>
      <c r="DAP72" s="120"/>
      <c r="DAQ72" s="120"/>
      <c r="DAR72" s="120"/>
      <c r="DAS72" s="120"/>
      <c r="DAT72" s="120"/>
      <c r="DAU72" s="120"/>
      <c r="DAV72" s="120"/>
      <c r="DAW72" s="120"/>
      <c r="DAX72" s="120"/>
      <c r="DAY72" s="120"/>
      <c r="DAZ72" s="120"/>
      <c r="DBA72" s="120"/>
      <c r="DBB72" s="120"/>
      <c r="DBC72" s="120"/>
      <c r="DBD72" s="120"/>
      <c r="DBE72" s="120"/>
      <c r="DBF72" s="120"/>
      <c r="DBG72" s="120"/>
      <c r="DBH72" s="120"/>
      <c r="DBI72" s="120"/>
      <c r="DBJ72" s="120"/>
      <c r="DBK72" s="120"/>
      <c r="DBL72" s="120"/>
      <c r="DBM72" s="120"/>
      <c r="DBN72" s="120"/>
      <c r="DBO72" s="120"/>
      <c r="DBP72" s="120"/>
      <c r="DBQ72" s="120"/>
      <c r="DBR72" s="120"/>
      <c r="DBS72" s="120"/>
      <c r="DBT72" s="120"/>
      <c r="DBU72" s="120"/>
      <c r="DBV72" s="120"/>
      <c r="DBW72" s="120"/>
      <c r="DBX72" s="120"/>
      <c r="DBY72" s="120"/>
      <c r="DBZ72" s="120"/>
      <c r="DCA72" s="120"/>
      <c r="DCB72" s="120"/>
      <c r="DCC72" s="120"/>
      <c r="DCD72" s="120"/>
      <c r="DCE72" s="120"/>
      <c r="DCF72" s="120"/>
      <c r="DCG72" s="120"/>
      <c r="DCH72" s="120"/>
      <c r="DCI72" s="120"/>
      <c r="DCJ72" s="120"/>
      <c r="DCK72" s="120"/>
      <c r="DCL72" s="120"/>
      <c r="DCM72" s="120"/>
      <c r="DCN72" s="120"/>
      <c r="DCO72" s="120"/>
      <c r="DCP72" s="120"/>
      <c r="DCQ72" s="120"/>
      <c r="DCR72" s="120"/>
      <c r="DCS72" s="120"/>
      <c r="DCT72" s="120"/>
      <c r="DCU72" s="120"/>
      <c r="DCV72" s="120"/>
      <c r="DCW72" s="120"/>
      <c r="DCX72" s="120"/>
      <c r="DCY72" s="120"/>
      <c r="DCZ72" s="120"/>
      <c r="DDA72" s="120"/>
      <c r="DDB72" s="120"/>
      <c r="DDC72" s="120"/>
      <c r="DDD72" s="120"/>
      <c r="DDE72" s="120"/>
      <c r="DDF72" s="120"/>
      <c r="DDG72" s="120"/>
      <c r="DDH72" s="120"/>
      <c r="DDI72" s="120"/>
      <c r="DDJ72" s="120"/>
      <c r="DDK72" s="120"/>
      <c r="DDL72" s="120"/>
      <c r="DDM72" s="120"/>
      <c r="DDN72" s="120"/>
      <c r="DDO72" s="120"/>
      <c r="DDP72" s="120"/>
      <c r="DDQ72" s="120"/>
      <c r="DDR72" s="120"/>
      <c r="DDS72" s="120"/>
      <c r="DDT72" s="120"/>
      <c r="DDU72" s="120"/>
      <c r="DDV72" s="120"/>
      <c r="DDW72" s="120"/>
      <c r="DDX72" s="120"/>
      <c r="DDY72" s="120"/>
      <c r="DDZ72" s="120"/>
      <c r="DEA72" s="120"/>
      <c r="DEB72" s="120"/>
      <c r="DEC72" s="120"/>
      <c r="DED72" s="120"/>
      <c r="DEE72" s="120"/>
      <c r="DEF72" s="120"/>
      <c r="DEG72" s="120"/>
      <c r="DEH72" s="120"/>
      <c r="DEI72" s="120"/>
      <c r="DEJ72" s="120"/>
      <c r="DEK72" s="120"/>
      <c r="DEL72" s="120"/>
      <c r="DEM72" s="120"/>
      <c r="DEN72" s="120"/>
      <c r="DEO72" s="120"/>
      <c r="DEP72" s="120"/>
      <c r="DEQ72" s="120"/>
      <c r="DER72" s="120"/>
      <c r="DES72" s="120"/>
      <c r="DET72" s="120"/>
      <c r="DEU72" s="120"/>
      <c r="DEV72" s="120"/>
      <c r="DEW72" s="120"/>
      <c r="DEX72" s="120"/>
      <c r="DEY72" s="120"/>
      <c r="DEZ72" s="120"/>
      <c r="DFA72" s="120"/>
      <c r="DFB72" s="120"/>
      <c r="DFC72" s="120"/>
      <c r="DFD72" s="120"/>
      <c r="DFE72" s="120"/>
      <c r="DFF72" s="120"/>
      <c r="DFG72" s="120"/>
      <c r="DFH72" s="120"/>
      <c r="DFI72" s="120"/>
      <c r="DFJ72" s="120"/>
      <c r="DFK72" s="120"/>
      <c r="DFL72" s="120"/>
      <c r="DFM72" s="120"/>
      <c r="DFN72" s="120"/>
      <c r="DFO72" s="120"/>
      <c r="DFP72" s="120"/>
      <c r="DFQ72" s="120"/>
      <c r="DFR72" s="120"/>
      <c r="DFS72" s="120"/>
      <c r="DFT72" s="120"/>
      <c r="DFU72" s="120"/>
      <c r="DFV72" s="120"/>
      <c r="DFW72" s="120"/>
      <c r="DFX72" s="120"/>
      <c r="DFY72" s="120"/>
      <c r="DFZ72" s="120"/>
      <c r="DGA72" s="120"/>
      <c r="DGB72" s="120"/>
      <c r="DGC72" s="120"/>
      <c r="DGD72" s="120"/>
      <c r="DGE72" s="120"/>
      <c r="DGF72" s="120"/>
      <c r="DGG72" s="120"/>
      <c r="DGH72" s="120"/>
      <c r="DGI72" s="120"/>
      <c r="DGJ72" s="120"/>
      <c r="DGK72" s="120"/>
      <c r="DGL72" s="120"/>
      <c r="DGM72" s="120"/>
      <c r="DGN72" s="120"/>
      <c r="DGO72" s="120"/>
      <c r="DGP72" s="120"/>
      <c r="DGQ72" s="120"/>
      <c r="DGR72" s="120"/>
      <c r="DGS72" s="120"/>
      <c r="DGT72" s="120"/>
      <c r="DGU72" s="120"/>
      <c r="DGV72" s="120"/>
      <c r="DGW72" s="120"/>
      <c r="DGX72" s="120"/>
      <c r="DGY72" s="120"/>
      <c r="DGZ72" s="120"/>
      <c r="DHA72" s="120"/>
      <c r="DHB72" s="120"/>
      <c r="DHC72" s="120"/>
      <c r="DHD72" s="120"/>
      <c r="DHE72" s="120"/>
      <c r="DHF72" s="120"/>
      <c r="DHG72" s="120"/>
      <c r="DHH72" s="120"/>
      <c r="DHI72" s="120"/>
      <c r="DHJ72" s="120"/>
      <c r="DHK72" s="120"/>
      <c r="DHL72" s="120"/>
      <c r="DHM72" s="120"/>
      <c r="DHN72" s="120"/>
      <c r="DHO72" s="120"/>
      <c r="DHP72" s="120"/>
      <c r="DHQ72" s="120"/>
      <c r="DHR72" s="120"/>
      <c r="DHS72" s="120"/>
      <c r="DHT72" s="120"/>
      <c r="DHU72" s="120"/>
      <c r="DHV72" s="120"/>
      <c r="DHW72" s="120"/>
      <c r="DHX72" s="120"/>
      <c r="DHY72" s="120"/>
      <c r="DHZ72" s="120"/>
      <c r="DIA72" s="120"/>
      <c r="DIB72" s="120"/>
      <c r="DIC72" s="120"/>
      <c r="DID72" s="120"/>
      <c r="DIE72" s="120"/>
      <c r="DIF72" s="120"/>
      <c r="DIG72" s="120"/>
      <c r="DIH72" s="120"/>
      <c r="DII72" s="120"/>
      <c r="DIJ72" s="120"/>
      <c r="DIK72" s="120"/>
      <c r="DIL72" s="120"/>
      <c r="DIM72" s="120"/>
      <c r="DIN72" s="120"/>
      <c r="DIO72" s="120"/>
      <c r="DIP72" s="120"/>
      <c r="DIQ72" s="120"/>
      <c r="DIR72" s="120"/>
      <c r="DIS72" s="120"/>
      <c r="DIT72" s="120"/>
      <c r="DIU72" s="120"/>
      <c r="DIV72" s="120"/>
      <c r="DIW72" s="120"/>
      <c r="DIX72" s="120"/>
      <c r="DIY72" s="120"/>
      <c r="DIZ72" s="120"/>
      <c r="DJA72" s="120"/>
      <c r="DJB72" s="120"/>
      <c r="DJC72" s="120"/>
      <c r="DJD72" s="120"/>
      <c r="DJE72" s="120"/>
      <c r="DJF72" s="120"/>
      <c r="DJG72" s="120"/>
      <c r="DJH72" s="120"/>
      <c r="DJI72" s="120"/>
      <c r="DJJ72" s="120"/>
      <c r="DJK72" s="120"/>
      <c r="DJL72" s="120"/>
      <c r="DJM72" s="120"/>
      <c r="DJN72" s="120"/>
      <c r="DJO72" s="120"/>
      <c r="DJP72" s="120"/>
      <c r="DJQ72" s="120"/>
      <c r="DJR72" s="120"/>
      <c r="DJS72" s="120"/>
      <c r="DJT72" s="120"/>
      <c r="DJU72" s="120"/>
      <c r="DJV72" s="120"/>
      <c r="DJW72" s="120"/>
      <c r="DJX72" s="120"/>
      <c r="DJY72" s="120"/>
      <c r="DJZ72" s="120"/>
      <c r="DKA72" s="120"/>
      <c r="DKB72" s="120"/>
      <c r="DKC72" s="120"/>
      <c r="DKD72" s="120"/>
      <c r="DKE72" s="120"/>
      <c r="DKF72" s="120"/>
      <c r="DKG72" s="120"/>
      <c r="DKH72" s="120"/>
      <c r="DKI72" s="120"/>
      <c r="DKJ72" s="120"/>
      <c r="DKK72" s="120"/>
      <c r="DKL72" s="120"/>
      <c r="DKM72" s="120"/>
      <c r="DKN72" s="120"/>
      <c r="DKO72" s="120"/>
      <c r="DKP72" s="120"/>
      <c r="DKQ72" s="120"/>
      <c r="DKR72" s="120"/>
      <c r="DKS72" s="120"/>
      <c r="DKT72" s="120"/>
      <c r="DKU72" s="120"/>
      <c r="DKV72" s="120"/>
      <c r="DKW72" s="120"/>
      <c r="DKX72" s="120"/>
      <c r="DKY72" s="120"/>
      <c r="DKZ72" s="120"/>
      <c r="DLA72" s="120"/>
      <c r="DLB72" s="120"/>
      <c r="DLC72" s="120"/>
      <c r="DLD72" s="120"/>
      <c r="DLE72" s="120"/>
      <c r="DLF72" s="120"/>
      <c r="DLG72" s="120"/>
      <c r="DLH72" s="120"/>
      <c r="DLI72" s="120"/>
      <c r="DLJ72" s="120"/>
      <c r="DLK72" s="120"/>
      <c r="DLL72" s="120"/>
      <c r="DLM72" s="120"/>
      <c r="DLN72" s="120"/>
      <c r="DLO72" s="120"/>
      <c r="DLP72" s="120"/>
      <c r="DLQ72" s="120"/>
      <c r="DLR72" s="120"/>
      <c r="DLS72" s="120"/>
      <c r="DLT72" s="120"/>
      <c r="DLU72" s="120"/>
      <c r="DLV72" s="120"/>
      <c r="DLW72" s="120"/>
      <c r="DLX72" s="120"/>
      <c r="DLY72" s="120"/>
      <c r="DLZ72" s="120"/>
      <c r="DMA72" s="120"/>
      <c r="DMB72" s="120"/>
      <c r="DMC72" s="120"/>
      <c r="DMD72" s="120"/>
      <c r="DME72" s="120"/>
      <c r="DMF72" s="120"/>
      <c r="DMG72" s="120"/>
      <c r="DMH72" s="120"/>
      <c r="DMI72" s="120"/>
      <c r="DMJ72" s="120"/>
      <c r="DMK72" s="120"/>
      <c r="DML72" s="120"/>
      <c r="DMM72" s="120"/>
      <c r="DMN72" s="120"/>
      <c r="DMO72" s="120"/>
      <c r="DMP72" s="120"/>
      <c r="DMQ72" s="120"/>
      <c r="DMR72" s="120"/>
      <c r="DMS72" s="120"/>
      <c r="DMT72" s="120"/>
      <c r="DMU72" s="120"/>
      <c r="DMV72" s="120"/>
      <c r="DMW72" s="120"/>
      <c r="DMX72" s="120"/>
      <c r="DMY72" s="120"/>
      <c r="DMZ72" s="120"/>
      <c r="DNA72" s="120"/>
      <c r="DNB72" s="120"/>
      <c r="DNC72" s="120"/>
      <c r="DND72" s="120"/>
      <c r="DNE72" s="120"/>
      <c r="DNF72" s="120"/>
      <c r="DNG72" s="120"/>
      <c r="DNH72" s="120"/>
      <c r="DNI72" s="120"/>
      <c r="DNJ72" s="120"/>
      <c r="DNK72" s="120"/>
      <c r="DNL72" s="120"/>
      <c r="DNM72" s="120"/>
      <c r="DNN72" s="120"/>
      <c r="DNO72" s="120"/>
      <c r="DNP72" s="120"/>
      <c r="DNQ72" s="120"/>
      <c r="DNR72" s="120"/>
      <c r="DNS72" s="120"/>
      <c r="DNT72" s="120"/>
      <c r="DNU72" s="120"/>
      <c r="DNV72" s="120"/>
      <c r="DNW72" s="120"/>
      <c r="DNX72" s="120"/>
      <c r="DNY72" s="120"/>
      <c r="DNZ72" s="120"/>
      <c r="DOA72" s="120"/>
      <c r="DOB72" s="120"/>
      <c r="DOC72" s="120"/>
      <c r="DOD72" s="120"/>
      <c r="DOE72" s="120"/>
      <c r="DOF72" s="120"/>
      <c r="DOG72" s="120"/>
      <c r="DOH72" s="120"/>
      <c r="DOI72" s="120"/>
      <c r="DOJ72" s="120"/>
      <c r="DOK72" s="120"/>
      <c r="DOL72" s="120"/>
      <c r="DOM72" s="120"/>
      <c r="DON72" s="120"/>
      <c r="DOO72" s="120"/>
      <c r="DOP72" s="120"/>
      <c r="DOQ72" s="120"/>
      <c r="DOR72" s="120"/>
      <c r="DOS72" s="120"/>
      <c r="DOT72" s="120"/>
      <c r="DOU72" s="120"/>
      <c r="DOV72" s="120"/>
      <c r="DOW72" s="120"/>
      <c r="DOX72" s="120"/>
      <c r="DOY72" s="120"/>
      <c r="DOZ72" s="120"/>
      <c r="DPA72" s="120"/>
      <c r="DPB72" s="120"/>
      <c r="DPC72" s="120"/>
      <c r="DPD72" s="120"/>
      <c r="DPE72" s="120"/>
      <c r="DPF72" s="120"/>
      <c r="DPG72" s="120"/>
      <c r="DPH72" s="120"/>
      <c r="DPI72" s="120"/>
      <c r="DPJ72" s="120"/>
      <c r="DPK72" s="120"/>
      <c r="DPL72" s="120"/>
      <c r="DPM72" s="120"/>
      <c r="DPN72" s="120"/>
      <c r="DPO72" s="120"/>
      <c r="DPP72" s="120"/>
      <c r="DPQ72" s="120"/>
      <c r="DPR72" s="120"/>
      <c r="DPS72" s="120"/>
      <c r="DPT72" s="120"/>
      <c r="DPU72" s="120"/>
      <c r="DPV72" s="120"/>
      <c r="DPW72" s="120"/>
      <c r="DPX72" s="120"/>
      <c r="DPY72" s="120"/>
      <c r="DPZ72" s="120"/>
      <c r="DQA72" s="120"/>
      <c r="DQB72" s="120"/>
      <c r="DQC72" s="120"/>
      <c r="DQD72" s="120"/>
      <c r="DQE72" s="120"/>
      <c r="DQF72" s="120"/>
      <c r="DQG72" s="120"/>
      <c r="DQH72" s="120"/>
      <c r="DQI72" s="120"/>
      <c r="DQJ72" s="120"/>
      <c r="DQK72" s="120"/>
      <c r="DQL72" s="120"/>
      <c r="DQM72" s="120"/>
      <c r="DQN72" s="120"/>
      <c r="DQO72" s="120"/>
      <c r="DQP72" s="120"/>
      <c r="DQQ72" s="120"/>
      <c r="DQR72" s="120"/>
      <c r="DQS72" s="120"/>
      <c r="DQT72" s="120"/>
      <c r="DQU72" s="120"/>
      <c r="DQV72" s="120"/>
      <c r="DQW72" s="120"/>
      <c r="DQX72" s="120"/>
      <c r="DQY72" s="120"/>
      <c r="DQZ72" s="120"/>
      <c r="DRA72" s="120"/>
      <c r="DRB72" s="120"/>
      <c r="DRC72" s="120"/>
      <c r="DRD72" s="120"/>
      <c r="DRE72" s="120"/>
      <c r="DRF72" s="120"/>
      <c r="DRG72" s="120"/>
      <c r="DRH72" s="120"/>
      <c r="DRI72" s="120"/>
      <c r="DRJ72" s="120"/>
      <c r="DRK72" s="120"/>
      <c r="DRL72" s="120"/>
      <c r="DRM72" s="120"/>
      <c r="DRN72" s="120"/>
      <c r="DRO72" s="120"/>
      <c r="DRP72" s="120"/>
      <c r="DRQ72" s="120"/>
      <c r="DRR72" s="120"/>
      <c r="DRS72" s="120"/>
      <c r="DRT72" s="120"/>
      <c r="DRU72" s="120"/>
      <c r="DRV72" s="120"/>
      <c r="DRW72" s="120"/>
      <c r="DRX72" s="120"/>
      <c r="DRY72" s="120"/>
      <c r="DRZ72" s="120"/>
      <c r="DSA72" s="120"/>
      <c r="DSB72" s="120"/>
      <c r="DSC72" s="120"/>
      <c r="DSD72" s="120"/>
      <c r="DSE72" s="120"/>
      <c r="DSF72" s="120"/>
      <c r="DSG72" s="120"/>
      <c r="DSH72" s="120"/>
      <c r="DSI72" s="120"/>
      <c r="DSJ72" s="120"/>
      <c r="DSK72" s="120"/>
      <c r="DSL72" s="120"/>
      <c r="DSM72" s="120"/>
      <c r="DSN72" s="120"/>
      <c r="DSO72" s="120"/>
      <c r="DSP72" s="120"/>
      <c r="DSQ72" s="120"/>
      <c r="DSR72" s="120"/>
      <c r="DSS72" s="120"/>
      <c r="DST72" s="120"/>
      <c r="DSU72" s="120"/>
      <c r="DSV72" s="120"/>
      <c r="DSW72" s="120"/>
      <c r="DSX72" s="120"/>
      <c r="DSY72" s="120"/>
      <c r="DSZ72" s="120"/>
      <c r="DTA72" s="120"/>
      <c r="DTB72" s="120"/>
      <c r="DTC72" s="120"/>
      <c r="DTD72" s="120"/>
      <c r="DTE72" s="120"/>
      <c r="DTF72" s="120"/>
      <c r="DTG72" s="120"/>
      <c r="DTH72" s="120"/>
      <c r="DTI72" s="120"/>
      <c r="DTJ72" s="120"/>
      <c r="DTK72" s="120"/>
      <c r="DTL72" s="120"/>
      <c r="DTM72" s="120"/>
      <c r="DTN72" s="120"/>
      <c r="DTO72" s="120"/>
      <c r="DTP72" s="120"/>
      <c r="DTQ72" s="120"/>
      <c r="DTR72" s="120"/>
      <c r="DTS72" s="120"/>
      <c r="DTT72" s="120"/>
      <c r="DTU72" s="120"/>
      <c r="DTV72" s="120"/>
      <c r="DTW72" s="120"/>
      <c r="DTX72" s="120"/>
      <c r="DTY72" s="120"/>
      <c r="DTZ72" s="120"/>
      <c r="DUA72" s="120"/>
      <c r="DUB72" s="120"/>
      <c r="DUC72" s="120"/>
      <c r="DUD72" s="120"/>
      <c r="DUE72" s="120"/>
      <c r="DUF72" s="120"/>
      <c r="DUG72" s="120"/>
      <c r="DUH72" s="120"/>
      <c r="DUI72" s="120"/>
      <c r="DUJ72" s="120"/>
      <c r="DUK72" s="120"/>
      <c r="DUL72" s="120"/>
      <c r="DUM72" s="120"/>
      <c r="DUN72" s="120"/>
      <c r="DUO72" s="120"/>
      <c r="DUP72" s="120"/>
      <c r="DUQ72" s="120"/>
      <c r="DUR72" s="120"/>
      <c r="DUS72" s="120"/>
      <c r="DUT72" s="120"/>
      <c r="DUU72" s="120"/>
      <c r="DUV72" s="120"/>
      <c r="DUW72" s="120"/>
      <c r="DUX72" s="120"/>
      <c r="DUY72" s="120"/>
      <c r="DUZ72" s="120"/>
      <c r="DVA72" s="120"/>
      <c r="DVB72" s="120"/>
      <c r="DVC72" s="120"/>
      <c r="DVD72" s="120"/>
      <c r="DVE72" s="120"/>
      <c r="DVF72" s="120"/>
      <c r="DVG72" s="120"/>
      <c r="DVH72" s="120"/>
      <c r="DVI72" s="120"/>
      <c r="DVJ72" s="120"/>
      <c r="DVK72" s="120"/>
      <c r="DVL72" s="120"/>
      <c r="DVM72" s="120"/>
      <c r="DVN72" s="120"/>
      <c r="DVO72" s="120"/>
      <c r="DVP72" s="120"/>
      <c r="DVQ72" s="120"/>
      <c r="DVR72" s="120"/>
      <c r="DVS72" s="120"/>
      <c r="DVT72" s="120"/>
      <c r="DVU72" s="120"/>
      <c r="DVV72" s="120"/>
      <c r="DVW72" s="120"/>
      <c r="DVX72" s="120"/>
      <c r="DVY72" s="120"/>
      <c r="DVZ72" s="120"/>
      <c r="DWA72" s="120"/>
      <c r="DWB72" s="120"/>
      <c r="DWC72" s="120"/>
      <c r="DWD72" s="120"/>
      <c r="DWE72" s="120"/>
      <c r="DWF72" s="120"/>
      <c r="DWG72" s="120"/>
      <c r="DWH72" s="120"/>
      <c r="DWI72" s="120"/>
      <c r="DWJ72" s="120"/>
      <c r="DWK72" s="120"/>
      <c r="DWL72" s="120"/>
      <c r="DWM72" s="120"/>
      <c r="DWN72" s="120"/>
      <c r="DWO72" s="120"/>
      <c r="DWP72" s="120"/>
      <c r="DWQ72" s="120"/>
      <c r="DWR72" s="120"/>
      <c r="DWS72" s="120"/>
      <c r="DWT72" s="120"/>
      <c r="DWU72" s="120"/>
      <c r="DWV72" s="120"/>
      <c r="DWW72" s="120"/>
      <c r="DWX72" s="120"/>
      <c r="DWY72" s="120"/>
      <c r="DWZ72" s="120"/>
      <c r="DXA72" s="120"/>
      <c r="DXB72" s="120"/>
      <c r="DXC72" s="120"/>
      <c r="DXD72" s="120"/>
      <c r="DXE72" s="120"/>
      <c r="DXF72" s="120"/>
      <c r="DXG72" s="120"/>
      <c r="DXH72" s="120"/>
      <c r="DXI72" s="120"/>
      <c r="DXJ72" s="120"/>
      <c r="DXK72" s="120"/>
      <c r="DXL72" s="120"/>
      <c r="DXM72" s="120"/>
      <c r="DXN72" s="120"/>
      <c r="DXO72" s="120"/>
      <c r="DXP72" s="120"/>
      <c r="DXQ72" s="120"/>
      <c r="DXR72" s="120"/>
      <c r="DXS72" s="120"/>
      <c r="DXT72" s="120"/>
      <c r="DXU72" s="120"/>
      <c r="DXV72" s="120"/>
      <c r="DXW72" s="120"/>
      <c r="DXX72" s="120"/>
      <c r="DXY72" s="120"/>
      <c r="DXZ72" s="120"/>
      <c r="DYA72" s="120"/>
      <c r="DYB72" s="120"/>
      <c r="DYC72" s="120"/>
      <c r="DYD72" s="120"/>
      <c r="DYE72" s="120"/>
      <c r="DYF72" s="120"/>
      <c r="DYG72" s="120"/>
      <c r="DYH72" s="120"/>
      <c r="DYI72" s="120"/>
      <c r="DYJ72" s="120"/>
      <c r="DYK72" s="120"/>
      <c r="DYL72" s="120"/>
      <c r="DYM72" s="120"/>
      <c r="DYN72" s="120"/>
      <c r="DYO72" s="120"/>
      <c r="DYP72" s="120"/>
      <c r="DYQ72" s="120"/>
      <c r="DYR72" s="120"/>
      <c r="DYS72" s="120"/>
      <c r="DYT72" s="120"/>
      <c r="DYU72" s="120"/>
      <c r="DYV72" s="120"/>
      <c r="DYW72" s="120"/>
      <c r="DYX72" s="120"/>
      <c r="DYY72" s="120"/>
      <c r="DYZ72" s="120"/>
      <c r="DZA72" s="120"/>
      <c r="DZB72" s="120"/>
      <c r="DZC72" s="120"/>
      <c r="DZD72" s="120"/>
      <c r="DZE72" s="120"/>
      <c r="DZF72" s="120"/>
      <c r="DZG72" s="120"/>
      <c r="DZH72" s="120"/>
      <c r="DZI72" s="120"/>
      <c r="DZJ72" s="120"/>
      <c r="DZK72" s="120"/>
      <c r="DZL72" s="120"/>
      <c r="DZM72" s="120"/>
      <c r="DZN72" s="120"/>
      <c r="DZO72" s="120"/>
      <c r="DZP72" s="120"/>
      <c r="DZQ72" s="120"/>
      <c r="DZR72" s="120"/>
      <c r="DZS72" s="120"/>
      <c r="DZT72" s="120"/>
      <c r="DZU72" s="120"/>
      <c r="DZV72" s="120"/>
      <c r="DZW72" s="120"/>
      <c r="DZX72" s="120"/>
      <c r="DZY72" s="120"/>
      <c r="DZZ72" s="120"/>
      <c r="EAA72" s="120"/>
      <c r="EAB72" s="120"/>
      <c r="EAC72" s="120"/>
      <c r="EAD72" s="120"/>
      <c r="EAE72" s="120"/>
      <c r="EAF72" s="120"/>
      <c r="EAG72" s="120"/>
      <c r="EAH72" s="120"/>
      <c r="EAI72" s="120"/>
      <c r="EAJ72" s="120"/>
      <c r="EAK72" s="120"/>
      <c r="EAL72" s="120"/>
      <c r="EAM72" s="120"/>
      <c r="EAN72" s="120"/>
      <c r="EAO72" s="120"/>
      <c r="EAP72" s="120"/>
      <c r="EAQ72" s="120"/>
      <c r="EAR72" s="120"/>
      <c r="EAS72" s="120"/>
      <c r="EAT72" s="120"/>
      <c r="EAU72" s="120"/>
      <c r="EAV72" s="120"/>
      <c r="EAW72" s="120"/>
      <c r="EAX72" s="120"/>
      <c r="EAY72" s="120"/>
      <c r="EAZ72" s="120"/>
      <c r="EBA72" s="120"/>
      <c r="EBB72" s="120"/>
      <c r="EBC72" s="120"/>
      <c r="EBD72" s="120"/>
      <c r="EBE72" s="120"/>
      <c r="EBF72" s="120"/>
      <c r="EBG72" s="120"/>
      <c r="EBH72" s="120"/>
      <c r="EBI72" s="120"/>
      <c r="EBJ72" s="120"/>
      <c r="EBK72" s="120"/>
      <c r="EBL72" s="120"/>
      <c r="EBM72" s="120"/>
      <c r="EBN72" s="120"/>
      <c r="EBO72" s="120"/>
      <c r="EBP72" s="120"/>
      <c r="EBQ72" s="120"/>
      <c r="EBR72" s="120"/>
      <c r="EBS72" s="120"/>
      <c r="EBT72" s="120"/>
      <c r="EBU72" s="120"/>
      <c r="EBV72" s="120"/>
      <c r="EBW72" s="120"/>
      <c r="EBX72" s="120"/>
      <c r="EBY72" s="120"/>
      <c r="EBZ72" s="120"/>
      <c r="ECA72" s="120"/>
      <c r="ECB72" s="120"/>
      <c r="ECC72" s="120"/>
      <c r="ECD72" s="120"/>
      <c r="ECE72" s="120"/>
      <c r="ECF72" s="120"/>
      <c r="ECG72" s="120"/>
      <c r="ECH72" s="120"/>
      <c r="ECI72" s="120"/>
      <c r="ECJ72" s="120"/>
      <c r="ECK72" s="120"/>
      <c r="ECL72" s="120"/>
      <c r="ECM72" s="120"/>
      <c r="ECN72" s="120"/>
      <c r="ECO72" s="120"/>
      <c r="ECP72" s="120"/>
      <c r="ECQ72" s="120"/>
      <c r="ECR72" s="120"/>
      <c r="ECS72" s="120"/>
      <c r="ECT72" s="120"/>
      <c r="ECU72" s="120"/>
      <c r="ECV72" s="120"/>
      <c r="ECW72" s="120"/>
      <c r="ECX72" s="120"/>
      <c r="ECY72" s="120"/>
      <c r="ECZ72" s="120"/>
      <c r="EDA72" s="120"/>
      <c r="EDB72" s="120"/>
      <c r="EDC72" s="120"/>
      <c r="EDD72" s="120"/>
      <c r="EDE72" s="120"/>
      <c r="EDF72" s="120"/>
      <c r="EDG72" s="120"/>
      <c r="EDH72" s="120"/>
      <c r="EDI72" s="120"/>
      <c r="EDJ72" s="120"/>
      <c r="EDK72" s="120"/>
      <c r="EDL72" s="120"/>
      <c r="EDM72" s="120"/>
      <c r="EDN72" s="120"/>
      <c r="EDO72" s="120"/>
      <c r="EDP72" s="120"/>
      <c r="EDQ72" s="120"/>
      <c r="EDR72" s="120"/>
      <c r="EDS72" s="120"/>
      <c r="EDT72" s="120"/>
      <c r="EDU72" s="120"/>
      <c r="EDV72" s="120"/>
      <c r="EDW72" s="120"/>
      <c r="EDX72" s="120"/>
      <c r="EDY72" s="120"/>
      <c r="EDZ72" s="120"/>
      <c r="EEA72" s="120"/>
      <c r="EEB72" s="120"/>
      <c r="EEC72" s="120"/>
      <c r="EED72" s="120"/>
      <c r="EEE72" s="120"/>
      <c r="EEF72" s="120"/>
      <c r="EEG72" s="120"/>
      <c r="EEH72" s="120"/>
      <c r="EEI72" s="120"/>
      <c r="EEJ72" s="120"/>
      <c r="EEK72" s="120"/>
      <c r="EEL72" s="120"/>
      <c r="EEM72" s="120"/>
      <c r="EEN72" s="120"/>
      <c r="EEO72" s="120"/>
      <c r="EEP72" s="120"/>
      <c r="EEQ72" s="120"/>
      <c r="EER72" s="120"/>
      <c r="EES72" s="120"/>
      <c r="EET72" s="120"/>
      <c r="EEU72" s="120"/>
      <c r="EEV72" s="120"/>
      <c r="EEW72" s="120"/>
      <c r="EEX72" s="120"/>
      <c r="EEY72" s="120"/>
      <c r="EEZ72" s="120"/>
      <c r="EFA72" s="120"/>
      <c r="EFB72" s="120"/>
      <c r="EFC72" s="120"/>
      <c r="EFD72" s="120"/>
      <c r="EFE72" s="120"/>
      <c r="EFF72" s="120"/>
      <c r="EFG72" s="120"/>
      <c r="EFH72" s="120"/>
      <c r="EFI72" s="120"/>
      <c r="EFJ72" s="120"/>
      <c r="EFK72" s="120"/>
      <c r="EFL72" s="120"/>
      <c r="EFM72" s="120"/>
      <c r="EFN72" s="120"/>
      <c r="EFO72" s="120"/>
      <c r="EFP72" s="120"/>
      <c r="EFQ72" s="120"/>
      <c r="EFR72" s="120"/>
      <c r="EFS72" s="120"/>
      <c r="EFT72" s="120"/>
      <c r="EFU72" s="120"/>
      <c r="EFV72" s="120"/>
      <c r="EFW72" s="120"/>
      <c r="EFX72" s="120"/>
      <c r="EFY72" s="120"/>
      <c r="EFZ72" s="120"/>
      <c r="EGA72" s="120"/>
      <c r="EGB72" s="120"/>
      <c r="EGC72" s="120"/>
      <c r="EGD72" s="120"/>
      <c r="EGE72" s="120"/>
      <c r="EGF72" s="120"/>
      <c r="EGG72" s="120"/>
      <c r="EGH72" s="120"/>
      <c r="EGI72" s="120"/>
      <c r="EGJ72" s="120"/>
      <c r="EGK72" s="120"/>
      <c r="EGL72" s="120"/>
      <c r="EGM72" s="120"/>
      <c r="EGN72" s="120"/>
      <c r="EGO72" s="120"/>
      <c r="EGP72" s="120"/>
      <c r="EGQ72" s="120"/>
      <c r="EGR72" s="120"/>
      <c r="EGS72" s="120"/>
      <c r="EGT72" s="120"/>
      <c r="EGU72" s="120"/>
      <c r="EGV72" s="120"/>
      <c r="EGW72" s="120"/>
      <c r="EGX72" s="120"/>
      <c r="EGY72" s="120"/>
      <c r="EGZ72" s="120"/>
      <c r="EHA72" s="120"/>
      <c r="EHB72" s="120"/>
      <c r="EHC72" s="120"/>
      <c r="EHD72" s="120"/>
      <c r="EHE72" s="120"/>
      <c r="EHF72" s="120"/>
      <c r="EHG72" s="120"/>
      <c r="EHH72" s="120"/>
      <c r="EHI72" s="120"/>
      <c r="EHJ72" s="120"/>
      <c r="EHK72" s="120"/>
      <c r="EHL72" s="120"/>
      <c r="EHM72" s="120"/>
      <c r="EHN72" s="120"/>
      <c r="EHO72" s="120"/>
      <c r="EHP72" s="120"/>
      <c r="EHQ72" s="120"/>
      <c r="EHR72" s="120"/>
      <c r="EHS72" s="120"/>
      <c r="EHT72" s="120"/>
      <c r="EHU72" s="120"/>
      <c r="EHV72" s="120"/>
      <c r="EHW72" s="120"/>
      <c r="EHX72" s="120"/>
      <c r="EHY72" s="120"/>
      <c r="EHZ72" s="120"/>
      <c r="EIA72" s="120"/>
      <c r="EIB72" s="120"/>
      <c r="EIC72" s="120"/>
      <c r="EID72" s="120"/>
      <c r="EIE72" s="120"/>
      <c r="EIF72" s="120"/>
      <c r="EIG72" s="120"/>
      <c r="EIH72" s="120"/>
      <c r="EII72" s="120"/>
      <c r="EIJ72" s="120"/>
      <c r="EIK72" s="120"/>
      <c r="EIL72" s="120"/>
      <c r="EIM72" s="120"/>
      <c r="EIN72" s="120"/>
      <c r="EIO72" s="120"/>
      <c r="EIP72" s="120"/>
      <c r="EIQ72" s="120"/>
      <c r="EIR72" s="120"/>
      <c r="EIS72" s="120"/>
      <c r="EIT72" s="120"/>
      <c r="EIU72" s="120"/>
      <c r="EIV72" s="120"/>
      <c r="EIW72" s="120"/>
      <c r="EIX72" s="120"/>
      <c r="EIY72" s="120"/>
      <c r="EIZ72" s="120"/>
      <c r="EJA72" s="120"/>
      <c r="EJB72" s="120"/>
      <c r="EJC72" s="120"/>
      <c r="EJD72" s="120"/>
      <c r="EJE72" s="120"/>
      <c r="EJF72" s="120"/>
      <c r="EJG72" s="120"/>
      <c r="EJH72" s="120"/>
      <c r="EJI72" s="120"/>
      <c r="EJJ72" s="120"/>
      <c r="EJK72" s="120"/>
      <c r="EJL72" s="120"/>
      <c r="EJM72" s="120"/>
      <c r="EJN72" s="120"/>
      <c r="EJO72" s="120"/>
      <c r="EJP72" s="120"/>
      <c r="EJQ72" s="120"/>
      <c r="EJR72" s="120"/>
      <c r="EJS72" s="120"/>
      <c r="EJT72" s="120"/>
      <c r="EJU72" s="120"/>
      <c r="EJV72" s="120"/>
      <c r="EJW72" s="120"/>
      <c r="EJX72" s="120"/>
      <c r="EJY72" s="120"/>
      <c r="EJZ72" s="120"/>
      <c r="EKA72" s="120"/>
      <c r="EKB72" s="120"/>
      <c r="EKC72" s="120"/>
      <c r="EKD72" s="120"/>
      <c r="EKE72" s="120"/>
      <c r="EKF72" s="120"/>
      <c r="EKG72" s="120"/>
      <c r="EKH72" s="120"/>
      <c r="EKI72" s="120"/>
      <c r="EKJ72" s="120"/>
      <c r="EKK72" s="120"/>
      <c r="EKL72" s="120"/>
      <c r="EKM72" s="120"/>
      <c r="EKN72" s="120"/>
      <c r="EKO72" s="120"/>
      <c r="EKP72" s="120"/>
      <c r="EKQ72" s="120"/>
      <c r="EKR72" s="120"/>
      <c r="EKS72" s="120"/>
      <c r="EKT72" s="120"/>
      <c r="EKU72" s="120"/>
      <c r="EKV72" s="120"/>
      <c r="EKW72" s="120"/>
      <c r="EKX72" s="120"/>
      <c r="EKY72" s="120"/>
      <c r="EKZ72" s="120"/>
      <c r="ELA72" s="120"/>
      <c r="ELB72" s="120"/>
      <c r="ELC72" s="120"/>
      <c r="ELD72" s="120"/>
      <c r="ELE72" s="120"/>
      <c r="ELF72" s="120"/>
      <c r="ELG72" s="120"/>
      <c r="ELH72" s="120"/>
      <c r="ELI72" s="120"/>
      <c r="ELJ72" s="120"/>
      <c r="ELK72" s="120"/>
      <c r="ELL72" s="120"/>
      <c r="ELM72" s="120"/>
      <c r="ELN72" s="120"/>
      <c r="ELO72" s="120"/>
      <c r="ELP72" s="120"/>
      <c r="ELQ72" s="120"/>
      <c r="ELR72" s="120"/>
      <c r="ELS72" s="120"/>
      <c r="ELT72" s="120"/>
      <c r="ELU72" s="120"/>
      <c r="ELV72" s="120"/>
      <c r="ELW72" s="120"/>
      <c r="ELX72" s="120"/>
      <c r="ELY72" s="120"/>
      <c r="ELZ72" s="120"/>
      <c r="EMA72" s="120"/>
      <c r="EMB72" s="120"/>
      <c r="EMC72" s="120"/>
      <c r="EMD72" s="120"/>
      <c r="EME72" s="120"/>
      <c r="EMF72" s="120"/>
      <c r="EMG72" s="120"/>
      <c r="EMH72" s="120"/>
      <c r="EMI72" s="120"/>
      <c r="EMJ72" s="120"/>
      <c r="EMK72" s="120"/>
      <c r="EML72" s="120"/>
      <c r="EMM72" s="120"/>
      <c r="EMN72" s="120"/>
      <c r="EMO72" s="120"/>
      <c r="EMP72" s="120"/>
      <c r="EMQ72" s="120"/>
      <c r="EMR72" s="120"/>
      <c r="EMS72" s="120"/>
      <c r="EMT72" s="120"/>
      <c r="EMU72" s="120"/>
      <c r="EMV72" s="120"/>
      <c r="EMW72" s="120"/>
      <c r="EMX72" s="120"/>
      <c r="EMY72" s="120"/>
      <c r="EMZ72" s="120"/>
      <c r="ENA72" s="120"/>
      <c r="ENB72" s="120"/>
      <c r="ENC72" s="120"/>
      <c r="END72" s="120"/>
      <c r="ENE72" s="120"/>
      <c r="ENF72" s="120"/>
      <c r="ENG72" s="120"/>
      <c r="ENH72" s="120"/>
      <c r="ENI72" s="120"/>
      <c r="ENJ72" s="120"/>
      <c r="ENK72" s="120"/>
      <c r="ENL72" s="120"/>
      <c r="ENM72" s="120"/>
      <c r="ENN72" s="120"/>
      <c r="ENO72" s="120"/>
      <c r="ENP72" s="120"/>
      <c r="ENQ72" s="120"/>
      <c r="ENR72" s="120"/>
      <c r="ENS72" s="120"/>
      <c r="ENT72" s="120"/>
      <c r="ENU72" s="120"/>
      <c r="ENV72" s="120"/>
      <c r="ENW72" s="120"/>
      <c r="ENX72" s="120"/>
      <c r="ENY72" s="120"/>
      <c r="ENZ72" s="120"/>
      <c r="EOA72" s="120"/>
      <c r="EOB72" s="120"/>
      <c r="EOC72" s="120"/>
      <c r="EOD72" s="120"/>
      <c r="EOE72" s="120"/>
      <c r="EOF72" s="120"/>
      <c r="EOG72" s="120"/>
      <c r="EOH72" s="120"/>
      <c r="EOI72" s="120"/>
      <c r="EOJ72" s="120"/>
      <c r="EOK72" s="120"/>
      <c r="EOL72" s="120"/>
      <c r="EOM72" s="120"/>
      <c r="EON72" s="120"/>
      <c r="EOO72" s="120"/>
      <c r="EOP72" s="120"/>
      <c r="EOQ72" s="120"/>
      <c r="EOR72" s="120"/>
      <c r="EOS72" s="120"/>
      <c r="EOT72" s="120"/>
      <c r="EOU72" s="120"/>
      <c r="EOV72" s="120"/>
      <c r="EOW72" s="120"/>
      <c r="EOX72" s="120"/>
      <c r="EOY72" s="120"/>
      <c r="EOZ72" s="120"/>
      <c r="EPA72" s="120"/>
      <c r="EPB72" s="120"/>
      <c r="EPC72" s="120"/>
      <c r="EPD72" s="120"/>
      <c r="EPE72" s="120"/>
      <c r="EPF72" s="120"/>
      <c r="EPG72" s="120"/>
      <c r="EPH72" s="120"/>
      <c r="EPI72" s="120"/>
      <c r="EPJ72" s="120"/>
      <c r="EPK72" s="120"/>
      <c r="EPL72" s="120"/>
      <c r="EPM72" s="120"/>
      <c r="EPN72" s="120"/>
      <c r="EPO72" s="120"/>
      <c r="EPP72" s="120"/>
      <c r="EPQ72" s="120"/>
      <c r="EPR72" s="120"/>
      <c r="EPS72" s="120"/>
      <c r="EPT72" s="120"/>
      <c r="EPU72" s="120"/>
      <c r="EPV72" s="120"/>
      <c r="EPW72" s="120"/>
      <c r="EPX72" s="120"/>
      <c r="EPY72" s="120"/>
      <c r="EPZ72" s="120"/>
      <c r="EQA72" s="120"/>
      <c r="EQB72" s="120"/>
      <c r="EQC72" s="120"/>
      <c r="EQD72" s="120"/>
      <c r="EQE72" s="120"/>
      <c r="EQF72" s="120"/>
      <c r="EQG72" s="120"/>
      <c r="EQH72" s="120"/>
      <c r="EQI72" s="120"/>
      <c r="EQJ72" s="120"/>
      <c r="EQK72" s="120"/>
      <c r="EQL72" s="120"/>
      <c r="EQM72" s="120"/>
      <c r="EQN72" s="120"/>
      <c r="EQO72" s="120"/>
      <c r="EQP72" s="120"/>
      <c r="EQQ72" s="120"/>
      <c r="EQR72" s="120"/>
      <c r="EQS72" s="120"/>
      <c r="EQT72" s="120"/>
      <c r="EQU72" s="120"/>
      <c r="EQV72" s="120"/>
      <c r="EQW72" s="120"/>
      <c r="EQX72" s="120"/>
      <c r="EQY72" s="120"/>
      <c r="EQZ72" s="120"/>
      <c r="ERA72" s="120"/>
      <c r="ERB72" s="120"/>
      <c r="ERC72" s="120"/>
      <c r="ERD72" s="120"/>
      <c r="ERE72" s="120"/>
      <c r="ERF72" s="120"/>
      <c r="ERG72" s="120"/>
      <c r="ERH72" s="120"/>
      <c r="ERI72" s="120"/>
      <c r="ERJ72" s="120"/>
      <c r="ERK72" s="120"/>
      <c r="ERL72" s="120"/>
      <c r="ERM72" s="120"/>
      <c r="ERN72" s="120"/>
      <c r="ERO72" s="120"/>
      <c r="ERP72" s="120"/>
      <c r="ERQ72" s="120"/>
      <c r="ERR72" s="120"/>
      <c r="ERS72" s="120"/>
      <c r="ERT72" s="120"/>
      <c r="ERU72" s="120"/>
      <c r="ERV72" s="120"/>
      <c r="ERW72" s="120"/>
      <c r="ERX72" s="120"/>
      <c r="ERY72" s="120"/>
      <c r="ERZ72" s="120"/>
      <c r="ESA72" s="120"/>
      <c r="ESB72" s="120"/>
      <c r="ESC72" s="120"/>
      <c r="ESD72" s="120"/>
      <c r="ESE72" s="120"/>
      <c r="ESF72" s="120"/>
      <c r="ESG72" s="120"/>
      <c r="ESH72" s="120"/>
      <c r="ESI72" s="120"/>
      <c r="ESJ72" s="120"/>
      <c r="ESK72" s="120"/>
      <c r="ESL72" s="120"/>
      <c r="ESM72" s="120"/>
      <c r="ESN72" s="120"/>
      <c r="ESO72" s="120"/>
      <c r="ESP72" s="120"/>
      <c r="ESQ72" s="120"/>
      <c r="ESR72" s="120"/>
      <c r="ESS72" s="120"/>
      <c r="EST72" s="120"/>
      <c r="ESU72" s="120"/>
      <c r="ESV72" s="120"/>
      <c r="ESW72" s="120"/>
      <c r="ESX72" s="120"/>
      <c r="ESY72" s="120"/>
      <c r="ESZ72" s="120"/>
      <c r="ETA72" s="120"/>
      <c r="ETB72" s="120"/>
      <c r="ETC72" s="120"/>
      <c r="ETD72" s="120"/>
      <c r="ETE72" s="120"/>
      <c r="ETF72" s="120"/>
      <c r="ETG72" s="120"/>
      <c r="ETH72" s="120"/>
      <c r="ETI72" s="120"/>
      <c r="ETJ72" s="120"/>
      <c r="ETK72" s="120"/>
      <c r="ETL72" s="120"/>
      <c r="ETM72" s="120"/>
      <c r="ETN72" s="120"/>
      <c r="ETO72" s="120"/>
      <c r="ETP72" s="120"/>
      <c r="ETQ72" s="120"/>
      <c r="ETR72" s="120"/>
      <c r="ETS72" s="120"/>
      <c r="ETT72" s="120"/>
      <c r="ETU72" s="120"/>
      <c r="ETV72" s="120"/>
      <c r="ETW72" s="120"/>
      <c r="ETX72" s="120"/>
      <c r="ETY72" s="120"/>
      <c r="ETZ72" s="120"/>
      <c r="EUA72" s="120"/>
      <c r="EUB72" s="120"/>
      <c r="EUC72" s="120"/>
      <c r="EUD72" s="120"/>
      <c r="EUE72" s="120"/>
      <c r="EUF72" s="120"/>
      <c r="EUG72" s="120"/>
      <c r="EUH72" s="120"/>
      <c r="EUI72" s="120"/>
      <c r="EUJ72" s="120"/>
      <c r="EUK72" s="120"/>
      <c r="EUL72" s="120"/>
      <c r="EUM72" s="120"/>
      <c r="EUN72" s="120"/>
      <c r="EUO72" s="120"/>
      <c r="EUP72" s="120"/>
      <c r="EUQ72" s="120"/>
      <c r="EUR72" s="120"/>
      <c r="EUS72" s="120"/>
      <c r="EUT72" s="120"/>
      <c r="EUU72" s="120"/>
      <c r="EUV72" s="120"/>
      <c r="EUW72" s="120"/>
      <c r="EUX72" s="120"/>
      <c r="EUY72" s="120"/>
      <c r="EUZ72" s="120"/>
      <c r="EVA72" s="120"/>
      <c r="EVB72" s="120"/>
      <c r="EVC72" s="120"/>
      <c r="EVD72" s="120"/>
      <c r="EVE72" s="120"/>
      <c r="EVF72" s="120"/>
      <c r="EVG72" s="120"/>
      <c r="EVH72" s="120"/>
      <c r="EVI72" s="120"/>
      <c r="EVJ72" s="120"/>
      <c r="EVK72" s="120"/>
      <c r="EVL72" s="120"/>
      <c r="EVM72" s="120"/>
      <c r="EVN72" s="120"/>
      <c r="EVO72" s="120"/>
      <c r="EVP72" s="120"/>
      <c r="EVQ72" s="120"/>
      <c r="EVR72" s="120"/>
      <c r="EVS72" s="120"/>
      <c r="EVT72" s="120"/>
      <c r="EVU72" s="120"/>
      <c r="EVV72" s="120"/>
      <c r="EVW72" s="120"/>
      <c r="EVX72" s="120"/>
      <c r="EVY72" s="120"/>
      <c r="EVZ72" s="120"/>
      <c r="EWA72" s="120"/>
      <c r="EWB72" s="120"/>
      <c r="EWC72" s="120"/>
      <c r="EWD72" s="120"/>
      <c r="EWE72" s="120"/>
      <c r="EWF72" s="120"/>
      <c r="EWG72" s="120"/>
      <c r="EWH72" s="120"/>
      <c r="EWI72" s="120"/>
      <c r="EWJ72" s="120"/>
      <c r="EWK72" s="120"/>
      <c r="EWL72" s="120"/>
      <c r="EWM72" s="120"/>
      <c r="EWN72" s="120"/>
      <c r="EWO72" s="120"/>
      <c r="EWP72" s="120"/>
      <c r="EWQ72" s="120"/>
      <c r="EWR72" s="120"/>
      <c r="EWS72" s="120"/>
      <c r="EWT72" s="120"/>
      <c r="EWU72" s="120"/>
      <c r="EWV72" s="120"/>
      <c r="EWW72" s="120"/>
      <c r="EWX72" s="120"/>
      <c r="EWY72" s="120"/>
      <c r="EWZ72" s="120"/>
      <c r="EXA72" s="120"/>
      <c r="EXB72" s="120"/>
      <c r="EXC72" s="120"/>
      <c r="EXD72" s="120"/>
      <c r="EXE72" s="120"/>
      <c r="EXF72" s="120"/>
      <c r="EXG72" s="120"/>
      <c r="EXH72" s="120"/>
      <c r="EXI72" s="120"/>
      <c r="EXJ72" s="120"/>
      <c r="EXK72" s="120"/>
      <c r="EXL72" s="120"/>
      <c r="EXM72" s="120"/>
      <c r="EXN72" s="120"/>
      <c r="EXO72" s="120"/>
      <c r="EXP72" s="120"/>
      <c r="EXQ72" s="120"/>
      <c r="EXR72" s="120"/>
      <c r="EXS72" s="120"/>
      <c r="EXT72" s="120"/>
      <c r="EXU72" s="120"/>
      <c r="EXV72" s="120"/>
      <c r="EXW72" s="120"/>
      <c r="EXX72" s="120"/>
      <c r="EXY72" s="120"/>
      <c r="EXZ72" s="120"/>
      <c r="EYA72" s="120"/>
      <c r="EYB72" s="120"/>
      <c r="EYC72" s="120"/>
      <c r="EYD72" s="120"/>
      <c r="EYE72" s="120"/>
      <c r="EYF72" s="120"/>
      <c r="EYG72" s="120"/>
      <c r="EYH72" s="120"/>
      <c r="EYI72" s="120"/>
      <c r="EYJ72" s="120"/>
      <c r="EYK72" s="120"/>
      <c r="EYL72" s="120"/>
      <c r="EYM72" s="120"/>
      <c r="EYN72" s="120"/>
      <c r="EYO72" s="120"/>
      <c r="EYP72" s="120"/>
      <c r="EYQ72" s="120"/>
      <c r="EYR72" s="120"/>
      <c r="EYS72" s="120"/>
      <c r="EYT72" s="120"/>
      <c r="EYU72" s="120"/>
      <c r="EYV72" s="120"/>
      <c r="EYW72" s="120"/>
      <c r="EYX72" s="120"/>
      <c r="EYY72" s="120"/>
      <c r="EYZ72" s="120"/>
      <c r="EZA72" s="120"/>
      <c r="EZB72" s="120"/>
      <c r="EZC72" s="120"/>
      <c r="EZD72" s="120"/>
      <c r="EZE72" s="120"/>
      <c r="EZF72" s="120"/>
      <c r="EZG72" s="120"/>
      <c r="EZH72" s="120"/>
      <c r="EZI72" s="120"/>
      <c r="EZJ72" s="120"/>
      <c r="EZK72" s="120"/>
      <c r="EZL72" s="120"/>
      <c r="EZM72" s="120"/>
      <c r="EZN72" s="120"/>
      <c r="EZO72" s="120"/>
      <c r="EZP72" s="120"/>
      <c r="EZQ72" s="120"/>
      <c r="EZR72" s="120"/>
      <c r="EZS72" s="120"/>
      <c r="EZT72" s="120"/>
      <c r="EZU72" s="120"/>
      <c r="EZV72" s="120"/>
      <c r="EZW72" s="120"/>
      <c r="EZX72" s="120"/>
      <c r="EZY72" s="120"/>
      <c r="EZZ72" s="120"/>
      <c r="FAA72" s="120"/>
      <c r="FAB72" s="120"/>
      <c r="FAC72" s="120"/>
      <c r="FAD72" s="120"/>
      <c r="FAE72" s="120"/>
      <c r="FAF72" s="120"/>
      <c r="FAG72" s="120"/>
      <c r="FAH72" s="120"/>
      <c r="FAI72" s="120"/>
      <c r="FAJ72" s="120"/>
      <c r="FAK72" s="120"/>
      <c r="FAL72" s="120"/>
      <c r="FAM72" s="120"/>
      <c r="FAN72" s="120"/>
      <c r="FAO72" s="120"/>
      <c r="FAP72" s="120"/>
      <c r="FAQ72" s="120"/>
      <c r="FAR72" s="120"/>
      <c r="FAS72" s="120"/>
      <c r="FAT72" s="120"/>
      <c r="FAU72" s="120"/>
      <c r="FAV72" s="120"/>
      <c r="FAW72" s="120"/>
      <c r="FAX72" s="120"/>
      <c r="FAY72" s="120"/>
      <c r="FAZ72" s="120"/>
      <c r="FBA72" s="120"/>
      <c r="FBB72" s="120"/>
      <c r="FBC72" s="120"/>
      <c r="FBD72" s="120"/>
      <c r="FBE72" s="120"/>
      <c r="FBF72" s="120"/>
      <c r="FBG72" s="120"/>
      <c r="FBH72" s="120"/>
      <c r="FBI72" s="120"/>
      <c r="FBJ72" s="120"/>
      <c r="FBK72" s="120"/>
      <c r="FBL72" s="120"/>
      <c r="FBM72" s="120"/>
      <c r="FBN72" s="120"/>
      <c r="FBO72" s="120"/>
      <c r="FBP72" s="120"/>
      <c r="FBQ72" s="120"/>
      <c r="FBR72" s="120"/>
      <c r="FBS72" s="120"/>
      <c r="FBT72" s="120"/>
      <c r="FBU72" s="120"/>
      <c r="FBV72" s="120"/>
      <c r="FBW72" s="120"/>
      <c r="FBX72" s="120"/>
      <c r="FBY72" s="120"/>
      <c r="FBZ72" s="120"/>
      <c r="FCA72" s="120"/>
      <c r="FCB72" s="120"/>
      <c r="FCC72" s="120"/>
      <c r="FCD72" s="120"/>
      <c r="FCE72" s="120"/>
      <c r="FCF72" s="120"/>
      <c r="FCG72" s="120"/>
      <c r="FCH72" s="120"/>
      <c r="FCI72" s="120"/>
      <c r="FCJ72" s="120"/>
      <c r="FCK72" s="120"/>
      <c r="FCL72" s="120"/>
      <c r="FCM72" s="120"/>
      <c r="FCN72" s="120"/>
      <c r="FCO72" s="120"/>
      <c r="FCP72" s="120"/>
      <c r="FCQ72" s="120"/>
      <c r="FCR72" s="120"/>
      <c r="FCS72" s="120"/>
      <c r="FCT72" s="120"/>
      <c r="FCU72" s="120"/>
      <c r="FCV72" s="120"/>
      <c r="FCW72" s="120"/>
      <c r="FCX72" s="120"/>
      <c r="FCY72" s="120"/>
      <c r="FCZ72" s="120"/>
      <c r="FDA72" s="120"/>
      <c r="FDB72" s="120"/>
      <c r="FDC72" s="120"/>
      <c r="FDD72" s="120"/>
      <c r="FDE72" s="120"/>
      <c r="FDF72" s="120"/>
      <c r="FDG72" s="120"/>
      <c r="FDH72" s="120"/>
      <c r="FDI72" s="120"/>
      <c r="FDJ72" s="120"/>
      <c r="FDK72" s="120"/>
      <c r="FDL72" s="120"/>
      <c r="FDM72" s="120"/>
      <c r="FDN72" s="120"/>
      <c r="FDO72" s="120"/>
      <c r="FDP72" s="120"/>
      <c r="FDQ72" s="120"/>
      <c r="FDR72" s="120"/>
      <c r="FDS72" s="120"/>
      <c r="FDT72" s="120"/>
      <c r="FDU72" s="120"/>
      <c r="FDV72" s="120"/>
      <c r="FDW72" s="120"/>
      <c r="FDX72" s="120"/>
      <c r="FDY72" s="120"/>
      <c r="FDZ72" s="120"/>
      <c r="FEA72" s="120"/>
      <c r="FEB72" s="120"/>
      <c r="FEC72" s="120"/>
      <c r="FED72" s="120"/>
      <c r="FEE72" s="120"/>
      <c r="FEF72" s="120"/>
      <c r="FEG72" s="120"/>
      <c r="FEH72" s="120"/>
      <c r="FEI72" s="120"/>
      <c r="FEJ72" s="120"/>
      <c r="FEK72" s="120"/>
      <c r="FEL72" s="120"/>
      <c r="FEM72" s="120"/>
      <c r="FEN72" s="120"/>
      <c r="FEO72" s="120"/>
      <c r="FEP72" s="120"/>
      <c r="FEQ72" s="120"/>
      <c r="FER72" s="120"/>
      <c r="FES72" s="120"/>
      <c r="FET72" s="120"/>
      <c r="FEU72" s="120"/>
      <c r="FEV72" s="120"/>
      <c r="FEW72" s="120"/>
      <c r="FEX72" s="120"/>
      <c r="FEY72" s="120"/>
      <c r="FEZ72" s="120"/>
      <c r="FFA72" s="120"/>
      <c r="FFB72" s="120"/>
      <c r="FFC72" s="120"/>
      <c r="FFD72" s="120"/>
      <c r="FFE72" s="120"/>
      <c r="FFF72" s="120"/>
      <c r="FFG72" s="120"/>
      <c r="FFH72" s="120"/>
      <c r="FFI72" s="120"/>
      <c r="FFJ72" s="120"/>
      <c r="FFK72" s="120"/>
      <c r="FFL72" s="120"/>
      <c r="FFM72" s="120"/>
      <c r="FFN72" s="120"/>
      <c r="FFO72" s="120"/>
      <c r="FFP72" s="120"/>
      <c r="FFQ72" s="120"/>
      <c r="FFR72" s="120"/>
      <c r="FFS72" s="120"/>
      <c r="FFT72" s="120"/>
      <c r="FFU72" s="120"/>
      <c r="FFV72" s="120"/>
      <c r="FFW72" s="120"/>
      <c r="FFX72" s="120"/>
      <c r="FFY72" s="120"/>
      <c r="FFZ72" s="120"/>
      <c r="FGA72" s="120"/>
      <c r="FGB72" s="120"/>
      <c r="FGC72" s="120"/>
      <c r="FGD72" s="120"/>
      <c r="FGE72" s="120"/>
      <c r="FGF72" s="120"/>
      <c r="FGG72" s="120"/>
      <c r="FGH72" s="120"/>
      <c r="FGI72" s="120"/>
      <c r="FGJ72" s="120"/>
      <c r="FGK72" s="120"/>
      <c r="FGL72" s="120"/>
      <c r="FGM72" s="120"/>
      <c r="FGN72" s="120"/>
      <c r="FGO72" s="120"/>
      <c r="FGP72" s="120"/>
      <c r="FGQ72" s="120"/>
      <c r="FGR72" s="120"/>
      <c r="FGS72" s="120"/>
      <c r="FGT72" s="120"/>
      <c r="FGU72" s="120"/>
      <c r="FGV72" s="120"/>
      <c r="FGW72" s="120"/>
      <c r="FGX72" s="120"/>
      <c r="FGY72" s="120"/>
      <c r="FGZ72" s="120"/>
      <c r="FHA72" s="120"/>
      <c r="FHB72" s="120"/>
      <c r="FHC72" s="120"/>
      <c r="FHD72" s="120"/>
      <c r="FHE72" s="120"/>
      <c r="FHF72" s="120"/>
      <c r="FHG72" s="120"/>
      <c r="FHH72" s="120"/>
      <c r="FHI72" s="120"/>
      <c r="FHJ72" s="120"/>
      <c r="FHK72" s="120"/>
      <c r="FHL72" s="120"/>
      <c r="FHM72" s="120"/>
      <c r="FHN72" s="120"/>
      <c r="FHO72" s="120"/>
      <c r="FHP72" s="120"/>
      <c r="FHQ72" s="120"/>
      <c r="FHR72" s="120"/>
      <c r="FHS72" s="120"/>
      <c r="FHT72" s="120"/>
      <c r="FHU72" s="120"/>
      <c r="FHV72" s="120"/>
      <c r="FHW72" s="120"/>
      <c r="FHX72" s="120"/>
      <c r="FHY72" s="120"/>
      <c r="FHZ72" s="120"/>
      <c r="FIA72" s="120"/>
      <c r="FIB72" s="120"/>
      <c r="FIC72" s="120"/>
      <c r="FID72" s="120"/>
      <c r="FIE72" s="120"/>
      <c r="FIF72" s="120"/>
      <c r="FIG72" s="120"/>
      <c r="FIH72" s="120"/>
      <c r="FII72" s="120"/>
      <c r="FIJ72" s="120"/>
      <c r="FIK72" s="120"/>
      <c r="FIL72" s="120"/>
      <c r="FIM72" s="120"/>
      <c r="FIN72" s="120"/>
      <c r="FIO72" s="120"/>
      <c r="FIP72" s="120"/>
      <c r="FIQ72" s="120"/>
      <c r="FIR72" s="120"/>
      <c r="FIS72" s="120"/>
      <c r="FIT72" s="120"/>
      <c r="FIU72" s="120"/>
      <c r="FIV72" s="120"/>
      <c r="FIW72" s="120"/>
      <c r="FIX72" s="120"/>
      <c r="FIY72" s="120"/>
      <c r="FIZ72" s="120"/>
      <c r="FJA72" s="120"/>
      <c r="FJB72" s="120"/>
      <c r="FJC72" s="120"/>
      <c r="FJD72" s="120"/>
      <c r="FJE72" s="120"/>
      <c r="FJF72" s="120"/>
      <c r="FJG72" s="120"/>
      <c r="FJH72" s="120"/>
      <c r="FJI72" s="120"/>
      <c r="FJJ72" s="120"/>
      <c r="FJK72" s="120"/>
      <c r="FJL72" s="120"/>
      <c r="FJM72" s="120"/>
      <c r="FJN72" s="120"/>
      <c r="FJO72" s="120"/>
      <c r="FJP72" s="120"/>
      <c r="FJQ72" s="120"/>
      <c r="FJR72" s="120"/>
      <c r="FJS72" s="120"/>
      <c r="FJT72" s="120"/>
      <c r="FJU72" s="120"/>
      <c r="FJV72" s="120"/>
      <c r="FJW72" s="120"/>
      <c r="FJX72" s="120"/>
      <c r="FJY72" s="120"/>
      <c r="FJZ72" s="120"/>
      <c r="FKA72" s="120"/>
      <c r="FKB72" s="120"/>
      <c r="FKC72" s="120"/>
      <c r="FKD72" s="120"/>
      <c r="FKE72" s="120"/>
      <c r="FKF72" s="120"/>
      <c r="FKG72" s="120"/>
      <c r="FKH72" s="120"/>
      <c r="FKI72" s="120"/>
      <c r="FKJ72" s="120"/>
      <c r="FKK72" s="120"/>
      <c r="FKL72" s="120"/>
      <c r="FKM72" s="120"/>
      <c r="FKN72" s="120"/>
      <c r="FKO72" s="120"/>
      <c r="FKP72" s="120"/>
      <c r="FKQ72" s="120"/>
      <c r="FKR72" s="120"/>
      <c r="FKS72" s="120"/>
      <c r="FKT72" s="120"/>
      <c r="FKU72" s="120"/>
      <c r="FKV72" s="120"/>
      <c r="FKW72" s="120"/>
      <c r="FKX72" s="120"/>
      <c r="FKY72" s="120"/>
      <c r="FKZ72" s="120"/>
      <c r="FLA72" s="120"/>
      <c r="FLB72" s="120"/>
      <c r="FLC72" s="120"/>
      <c r="FLD72" s="120"/>
      <c r="FLE72" s="120"/>
      <c r="FLF72" s="120"/>
      <c r="FLG72" s="120"/>
      <c r="FLH72" s="120"/>
      <c r="FLI72" s="120"/>
      <c r="FLJ72" s="120"/>
      <c r="FLK72" s="120"/>
      <c r="FLL72" s="120"/>
      <c r="FLM72" s="120"/>
      <c r="FLN72" s="120"/>
      <c r="FLO72" s="120"/>
      <c r="FLP72" s="120"/>
      <c r="FLQ72" s="120"/>
      <c r="FLR72" s="120"/>
      <c r="FLS72" s="120"/>
      <c r="FLT72" s="120"/>
      <c r="FLU72" s="120"/>
      <c r="FLV72" s="120"/>
      <c r="FLW72" s="120"/>
      <c r="FLX72" s="120"/>
      <c r="FLY72" s="120"/>
      <c r="FLZ72" s="120"/>
      <c r="FMA72" s="120"/>
      <c r="FMB72" s="120"/>
      <c r="FMC72" s="120"/>
      <c r="FMD72" s="120"/>
      <c r="FME72" s="120"/>
      <c r="FMF72" s="120"/>
      <c r="FMG72" s="120"/>
      <c r="FMH72" s="120"/>
      <c r="FMI72" s="120"/>
      <c r="FMJ72" s="120"/>
      <c r="FMK72" s="120"/>
      <c r="FML72" s="120"/>
      <c r="FMM72" s="120"/>
      <c r="FMN72" s="120"/>
      <c r="FMO72" s="120"/>
      <c r="FMP72" s="120"/>
      <c r="FMQ72" s="120"/>
      <c r="FMR72" s="120"/>
      <c r="FMS72" s="120"/>
      <c r="FMT72" s="120"/>
      <c r="FMU72" s="120"/>
      <c r="FMV72" s="120"/>
      <c r="FMW72" s="120"/>
      <c r="FMX72" s="120"/>
      <c r="FMY72" s="120"/>
      <c r="FMZ72" s="120"/>
      <c r="FNA72" s="120"/>
      <c r="FNB72" s="120"/>
      <c r="FNC72" s="120"/>
      <c r="FND72" s="120"/>
      <c r="FNE72" s="120"/>
      <c r="FNF72" s="120"/>
      <c r="FNG72" s="120"/>
      <c r="FNH72" s="120"/>
      <c r="FNI72" s="120"/>
      <c r="FNJ72" s="120"/>
      <c r="FNK72" s="120"/>
      <c r="FNL72" s="120"/>
      <c r="FNM72" s="120"/>
      <c r="FNN72" s="120"/>
      <c r="FNO72" s="120"/>
      <c r="FNP72" s="120"/>
      <c r="FNQ72" s="120"/>
      <c r="FNR72" s="120"/>
      <c r="FNS72" s="120"/>
      <c r="FNT72" s="120"/>
      <c r="FNU72" s="120"/>
      <c r="FNV72" s="120"/>
      <c r="FNW72" s="120"/>
      <c r="FNX72" s="120"/>
      <c r="FNY72" s="120"/>
      <c r="FNZ72" s="120"/>
      <c r="FOA72" s="120"/>
      <c r="FOB72" s="120"/>
      <c r="FOC72" s="120"/>
      <c r="FOD72" s="120"/>
      <c r="FOE72" s="120"/>
      <c r="FOF72" s="120"/>
      <c r="FOG72" s="120"/>
      <c r="FOH72" s="120"/>
      <c r="FOI72" s="120"/>
      <c r="FOJ72" s="120"/>
      <c r="FOK72" s="120"/>
      <c r="FOL72" s="120"/>
      <c r="FOM72" s="120"/>
      <c r="FON72" s="120"/>
      <c r="FOO72" s="120"/>
      <c r="FOP72" s="120"/>
      <c r="FOQ72" s="120"/>
      <c r="FOR72" s="120"/>
      <c r="FOS72" s="120"/>
      <c r="FOT72" s="120"/>
      <c r="FOU72" s="120"/>
      <c r="FOV72" s="120"/>
      <c r="FOW72" s="120"/>
      <c r="FOX72" s="120"/>
      <c r="FOY72" s="120"/>
      <c r="FOZ72" s="120"/>
      <c r="FPA72" s="120"/>
      <c r="FPB72" s="120"/>
      <c r="FPC72" s="120"/>
      <c r="FPD72" s="120"/>
      <c r="FPE72" s="120"/>
      <c r="FPF72" s="120"/>
      <c r="FPG72" s="120"/>
      <c r="FPH72" s="120"/>
      <c r="FPI72" s="120"/>
      <c r="FPJ72" s="120"/>
      <c r="FPK72" s="120"/>
      <c r="FPL72" s="120"/>
      <c r="FPM72" s="120"/>
      <c r="FPN72" s="120"/>
      <c r="FPO72" s="120"/>
      <c r="FPP72" s="120"/>
      <c r="FPQ72" s="120"/>
      <c r="FPR72" s="120"/>
      <c r="FPS72" s="120"/>
      <c r="FPT72" s="120"/>
      <c r="FPU72" s="120"/>
      <c r="FPV72" s="120"/>
      <c r="FPW72" s="120"/>
      <c r="FPX72" s="120"/>
      <c r="FPY72" s="120"/>
      <c r="FPZ72" s="120"/>
      <c r="FQA72" s="120"/>
      <c r="FQB72" s="120"/>
      <c r="FQC72" s="120"/>
      <c r="FQD72" s="120"/>
      <c r="FQE72" s="120"/>
      <c r="FQF72" s="120"/>
      <c r="FQG72" s="120"/>
      <c r="FQH72" s="120"/>
      <c r="FQI72" s="120"/>
      <c r="FQJ72" s="120"/>
      <c r="FQK72" s="120"/>
      <c r="FQL72" s="120"/>
      <c r="FQM72" s="120"/>
      <c r="FQN72" s="120"/>
      <c r="FQO72" s="120"/>
      <c r="FQP72" s="120"/>
      <c r="FQQ72" s="120"/>
      <c r="FQR72" s="120"/>
      <c r="FQS72" s="120"/>
      <c r="FQT72" s="120"/>
      <c r="FQU72" s="120"/>
      <c r="FQV72" s="120"/>
      <c r="FQW72" s="120"/>
      <c r="FQX72" s="120"/>
      <c r="FQY72" s="120"/>
      <c r="FQZ72" s="120"/>
      <c r="FRA72" s="120"/>
      <c r="FRB72" s="120"/>
      <c r="FRC72" s="120"/>
      <c r="FRD72" s="120"/>
      <c r="FRE72" s="120"/>
      <c r="FRF72" s="120"/>
      <c r="FRG72" s="120"/>
      <c r="FRH72" s="120"/>
      <c r="FRI72" s="120"/>
      <c r="FRJ72" s="120"/>
      <c r="FRK72" s="120"/>
      <c r="FRL72" s="120"/>
      <c r="FRM72" s="120"/>
      <c r="FRN72" s="120"/>
      <c r="FRO72" s="120"/>
      <c r="FRP72" s="120"/>
      <c r="FRQ72" s="120"/>
      <c r="FRR72" s="120"/>
      <c r="FRS72" s="120"/>
      <c r="FRT72" s="120"/>
      <c r="FRU72" s="120"/>
      <c r="FRV72" s="120"/>
      <c r="FRW72" s="120"/>
      <c r="FRX72" s="120"/>
      <c r="FRY72" s="120"/>
      <c r="FRZ72" s="120"/>
      <c r="FSA72" s="120"/>
      <c r="FSB72" s="120"/>
      <c r="FSC72" s="120"/>
      <c r="FSD72" s="120"/>
      <c r="FSE72" s="120"/>
      <c r="FSF72" s="120"/>
      <c r="FSG72" s="120"/>
      <c r="FSH72" s="120"/>
      <c r="FSI72" s="120"/>
      <c r="FSJ72" s="120"/>
      <c r="FSK72" s="120"/>
      <c r="FSL72" s="120"/>
      <c r="FSM72" s="120"/>
      <c r="FSN72" s="120"/>
      <c r="FSO72" s="120"/>
      <c r="FSP72" s="120"/>
      <c r="FSQ72" s="120"/>
      <c r="FSR72" s="120"/>
      <c r="FSS72" s="120"/>
      <c r="FST72" s="120"/>
      <c r="FSU72" s="120"/>
      <c r="FSV72" s="120"/>
      <c r="FSW72" s="120"/>
      <c r="FSX72" s="120"/>
      <c r="FSY72" s="120"/>
      <c r="FSZ72" s="120"/>
      <c r="FTA72" s="120"/>
      <c r="FTB72" s="120"/>
      <c r="FTC72" s="120"/>
      <c r="FTD72" s="120"/>
      <c r="FTE72" s="120"/>
      <c r="FTF72" s="120"/>
      <c r="FTG72" s="120"/>
      <c r="FTH72" s="120"/>
      <c r="FTI72" s="120"/>
      <c r="FTJ72" s="120"/>
      <c r="FTK72" s="120"/>
      <c r="FTL72" s="120"/>
      <c r="FTM72" s="120"/>
      <c r="FTN72" s="120"/>
      <c r="FTO72" s="120"/>
      <c r="FTP72" s="120"/>
      <c r="FTQ72" s="120"/>
      <c r="FTR72" s="120"/>
      <c r="FTS72" s="120"/>
      <c r="FTT72" s="120"/>
      <c r="FTU72" s="120"/>
      <c r="FTV72" s="120"/>
      <c r="FTW72" s="120"/>
      <c r="FTX72" s="120"/>
      <c r="FTY72" s="120"/>
      <c r="FTZ72" s="120"/>
      <c r="FUA72" s="120"/>
      <c r="FUB72" s="120"/>
      <c r="FUC72" s="120"/>
      <c r="FUD72" s="120"/>
      <c r="FUE72" s="120"/>
      <c r="FUF72" s="120"/>
      <c r="FUG72" s="120"/>
      <c r="FUH72" s="120"/>
      <c r="FUI72" s="120"/>
      <c r="FUJ72" s="120"/>
      <c r="FUK72" s="120"/>
      <c r="FUL72" s="120"/>
      <c r="FUM72" s="120"/>
      <c r="FUN72" s="120"/>
      <c r="FUO72" s="120"/>
      <c r="FUP72" s="120"/>
      <c r="FUQ72" s="120"/>
      <c r="FUR72" s="120"/>
      <c r="FUS72" s="120"/>
      <c r="FUT72" s="120"/>
      <c r="FUU72" s="120"/>
      <c r="FUV72" s="120"/>
      <c r="FUW72" s="120"/>
      <c r="FUX72" s="120"/>
      <c r="FUY72" s="120"/>
      <c r="FUZ72" s="120"/>
      <c r="FVA72" s="120"/>
      <c r="FVB72" s="120"/>
      <c r="FVC72" s="120"/>
      <c r="FVD72" s="120"/>
      <c r="FVE72" s="120"/>
      <c r="FVF72" s="120"/>
      <c r="FVG72" s="120"/>
      <c r="FVH72" s="120"/>
      <c r="FVI72" s="120"/>
      <c r="FVJ72" s="120"/>
      <c r="FVK72" s="120"/>
      <c r="FVL72" s="120"/>
      <c r="FVM72" s="120"/>
      <c r="FVN72" s="120"/>
      <c r="FVO72" s="120"/>
      <c r="FVP72" s="120"/>
      <c r="FVQ72" s="120"/>
      <c r="FVR72" s="120"/>
      <c r="FVS72" s="120"/>
      <c r="FVT72" s="120"/>
      <c r="FVU72" s="120"/>
      <c r="FVV72" s="120"/>
      <c r="FVW72" s="120"/>
      <c r="FVX72" s="120"/>
      <c r="FVY72" s="120"/>
      <c r="FVZ72" s="120"/>
      <c r="FWA72" s="120"/>
      <c r="FWB72" s="120"/>
      <c r="FWC72" s="120"/>
      <c r="FWD72" s="120"/>
      <c r="FWE72" s="120"/>
      <c r="FWF72" s="120"/>
      <c r="FWG72" s="120"/>
      <c r="FWH72" s="120"/>
      <c r="FWI72" s="120"/>
      <c r="FWJ72" s="120"/>
      <c r="FWK72" s="120"/>
      <c r="FWL72" s="120"/>
      <c r="FWM72" s="120"/>
      <c r="FWN72" s="120"/>
      <c r="FWO72" s="120"/>
      <c r="FWP72" s="120"/>
      <c r="FWQ72" s="120"/>
      <c r="FWR72" s="120"/>
      <c r="FWS72" s="120"/>
      <c r="FWT72" s="120"/>
      <c r="FWU72" s="120"/>
      <c r="FWV72" s="120"/>
      <c r="FWW72" s="120"/>
      <c r="FWX72" s="120"/>
      <c r="FWY72" s="120"/>
      <c r="FWZ72" s="120"/>
      <c r="FXA72" s="120"/>
      <c r="FXB72" s="120"/>
      <c r="FXC72" s="120"/>
      <c r="FXD72" s="120"/>
      <c r="FXE72" s="120"/>
      <c r="FXF72" s="120"/>
      <c r="FXG72" s="120"/>
      <c r="FXH72" s="120"/>
      <c r="FXI72" s="120"/>
      <c r="FXJ72" s="120"/>
      <c r="FXK72" s="120"/>
      <c r="FXL72" s="120"/>
      <c r="FXM72" s="120"/>
      <c r="FXN72" s="120"/>
      <c r="FXO72" s="120"/>
      <c r="FXP72" s="120"/>
      <c r="FXQ72" s="120"/>
      <c r="FXR72" s="120"/>
      <c r="FXS72" s="120"/>
      <c r="FXT72" s="120"/>
      <c r="FXU72" s="120"/>
      <c r="FXV72" s="120"/>
      <c r="FXW72" s="120"/>
      <c r="FXX72" s="120"/>
      <c r="FXY72" s="120"/>
      <c r="FXZ72" s="120"/>
      <c r="FYA72" s="120"/>
      <c r="FYB72" s="120"/>
      <c r="FYC72" s="120"/>
      <c r="FYD72" s="120"/>
      <c r="FYE72" s="120"/>
      <c r="FYF72" s="120"/>
      <c r="FYG72" s="120"/>
      <c r="FYH72" s="120"/>
      <c r="FYI72" s="120"/>
      <c r="FYJ72" s="120"/>
      <c r="FYK72" s="120"/>
      <c r="FYL72" s="120"/>
      <c r="FYM72" s="120"/>
      <c r="FYN72" s="120"/>
      <c r="FYO72" s="120"/>
      <c r="FYP72" s="120"/>
      <c r="FYQ72" s="120"/>
      <c r="FYR72" s="120"/>
      <c r="FYS72" s="120"/>
      <c r="FYT72" s="120"/>
      <c r="FYU72" s="120"/>
      <c r="FYV72" s="120"/>
      <c r="FYW72" s="120"/>
      <c r="FYX72" s="120"/>
      <c r="FYY72" s="120"/>
      <c r="FYZ72" s="120"/>
      <c r="FZA72" s="120"/>
      <c r="FZB72" s="120"/>
      <c r="FZC72" s="120"/>
      <c r="FZD72" s="120"/>
      <c r="FZE72" s="120"/>
      <c r="FZF72" s="120"/>
      <c r="FZG72" s="120"/>
      <c r="FZH72" s="120"/>
      <c r="FZI72" s="120"/>
      <c r="FZJ72" s="120"/>
      <c r="FZK72" s="120"/>
      <c r="FZL72" s="120"/>
      <c r="FZM72" s="120"/>
      <c r="FZN72" s="120"/>
      <c r="FZO72" s="120"/>
      <c r="FZP72" s="120"/>
      <c r="FZQ72" s="120"/>
      <c r="FZR72" s="120"/>
      <c r="FZS72" s="120"/>
      <c r="FZT72" s="120"/>
      <c r="FZU72" s="120"/>
      <c r="FZV72" s="120"/>
      <c r="FZW72" s="120"/>
      <c r="FZX72" s="120"/>
      <c r="FZY72" s="120"/>
      <c r="FZZ72" s="120"/>
      <c r="GAA72" s="120"/>
      <c r="GAB72" s="120"/>
      <c r="GAC72" s="120"/>
      <c r="GAD72" s="120"/>
      <c r="GAE72" s="120"/>
      <c r="GAF72" s="120"/>
      <c r="GAG72" s="120"/>
      <c r="GAH72" s="120"/>
      <c r="GAI72" s="120"/>
      <c r="GAJ72" s="120"/>
      <c r="GAK72" s="120"/>
      <c r="GAL72" s="120"/>
      <c r="GAM72" s="120"/>
      <c r="GAN72" s="120"/>
      <c r="GAO72" s="120"/>
      <c r="GAP72" s="120"/>
      <c r="GAQ72" s="120"/>
      <c r="GAR72" s="120"/>
      <c r="GAS72" s="120"/>
      <c r="GAT72" s="120"/>
      <c r="GAU72" s="120"/>
      <c r="GAV72" s="120"/>
      <c r="GAW72" s="120"/>
      <c r="GAX72" s="120"/>
      <c r="GAY72" s="120"/>
      <c r="GAZ72" s="120"/>
      <c r="GBA72" s="120"/>
      <c r="GBB72" s="120"/>
      <c r="GBC72" s="120"/>
      <c r="GBD72" s="120"/>
      <c r="GBE72" s="120"/>
      <c r="GBF72" s="120"/>
      <c r="GBG72" s="120"/>
      <c r="GBH72" s="120"/>
      <c r="GBI72" s="120"/>
      <c r="GBJ72" s="120"/>
      <c r="GBK72" s="120"/>
      <c r="GBL72" s="120"/>
      <c r="GBM72" s="120"/>
      <c r="GBN72" s="120"/>
      <c r="GBO72" s="120"/>
      <c r="GBP72" s="120"/>
      <c r="GBQ72" s="120"/>
      <c r="GBR72" s="120"/>
      <c r="GBS72" s="120"/>
      <c r="GBT72" s="120"/>
      <c r="GBU72" s="120"/>
      <c r="GBV72" s="120"/>
      <c r="GBW72" s="120"/>
      <c r="GBX72" s="120"/>
      <c r="GBY72" s="120"/>
      <c r="GBZ72" s="120"/>
      <c r="GCA72" s="120"/>
      <c r="GCB72" s="120"/>
      <c r="GCC72" s="120"/>
      <c r="GCD72" s="120"/>
      <c r="GCE72" s="120"/>
      <c r="GCF72" s="120"/>
      <c r="GCG72" s="120"/>
      <c r="GCH72" s="120"/>
      <c r="GCI72" s="120"/>
      <c r="GCJ72" s="120"/>
      <c r="GCK72" s="120"/>
      <c r="GCL72" s="120"/>
      <c r="GCM72" s="120"/>
      <c r="GCN72" s="120"/>
      <c r="GCO72" s="120"/>
      <c r="GCP72" s="120"/>
      <c r="GCQ72" s="120"/>
      <c r="GCR72" s="120"/>
      <c r="GCS72" s="120"/>
      <c r="GCT72" s="120"/>
      <c r="GCU72" s="120"/>
      <c r="GCV72" s="120"/>
      <c r="GCW72" s="120"/>
      <c r="GCX72" s="120"/>
      <c r="GCY72" s="120"/>
      <c r="GCZ72" s="120"/>
      <c r="GDA72" s="120"/>
      <c r="GDB72" s="120"/>
      <c r="GDC72" s="120"/>
      <c r="GDD72" s="120"/>
      <c r="GDE72" s="120"/>
      <c r="GDF72" s="120"/>
      <c r="GDG72" s="120"/>
      <c r="GDH72" s="120"/>
      <c r="GDI72" s="120"/>
      <c r="GDJ72" s="120"/>
      <c r="GDK72" s="120"/>
      <c r="GDL72" s="120"/>
      <c r="GDM72" s="120"/>
      <c r="GDN72" s="120"/>
      <c r="GDO72" s="120"/>
      <c r="GDP72" s="120"/>
      <c r="GDQ72" s="120"/>
      <c r="GDR72" s="120"/>
      <c r="GDS72" s="120"/>
      <c r="GDT72" s="120"/>
      <c r="GDU72" s="120"/>
      <c r="GDV72" s="120"/>
      <c r="GDW72" s="120"/>
      <c r="GDX72" s="120"/>
      <c r="GDY72" s="120"/>
      <c r="GDZ72" s="120"/>
      <c r="GEA72" s="120"/>
      <c r="GEB72" s="120"/>
      <c r="GEC72" s="120"/>
      <c r="GED72" s="120"/>
      <c r="GEE72" s="120"/>
      <c r="GEF72" s="120"/>
      <c r="GEG72" s="120"/>
      <c r="GEH72" s="120"/>
      <c r="GEI72" s="120"/>
      <c r="GEJ72" s="120"/>
      <c r="GEK72" s="120"/>
      <c r="GEL72" s="120"/>
      <c r="GEM72" s="120"/>
      <c r="GEN72" s="120"/>
      <c r="GEO72" s="120"/>
      <c r="GEP72" s="120"/>
      <c r="GEQ72" s="120"/>
      <c r="GER72" s="120"/>
      <c r="GES72" s="120"/>
      <c r="GET72" s="120"/>
      <c r="GEU72" s="120"/>
      <c r="GEV72" s="120"/>
      <c r="GEW72" s="120"/>
      <c r="GEX72" s="120"/>
      <c r="GEY72" s="120"/>
      <c r="GEZ72" s="120"/>
      <c r="GFA72" s="120"/>
      <c r="GFB72" s="120"/>
      <c r="GFC72" s="120"/>
      <c r="GFD72" s="120"/>
      <c r="GFE72" s="120"/>
      <c r="GFF72" s="120"/>
      <c r="GFG72" s="120"/>
      <c r="GFH72" s="120"/>
      <c r="GFI72" s="120"/>
      <c r="GFJ72" s="120"/>
      <c r="GFK72" s="120"/>
      <c r="GFL72" s="120"/>
      <c r="GFM72" s="120"/>
      <c r="GFN72" s="120"/>
      <c r="GFO72" s="120"/>
      <c r="GFP72" s="120"/>
      <c r="GFQ72" s="120"/>
      <c r="GFR72" s="120"/>
      <c r="GFS72" s="120"/>
      <c r="GFT72" s="120"/>
      <c r="GFU72" s="120"/>
      <c r="GFV72" s="120"/>
      <c r="GFW72" s="120"/>
      <c r="GFX72" s="120"/>
      <c r="GFY72" s="120"/>
      <c r="GFZ72" s="120"/>
      <c r="GGA72" s="120"/>
      <c r="GGB72" s="120"/>
      <c r="GGC72" s="120"/>
      <c r="GGD72" s="120"/>
      <c r="GGE72" s="120"/>
      <c r="GGF72" s="120"/>
      <c r="GGG72" s="120"/>
      <c r="GGH72" s="120"/>
      <c r="GGI72" s="120"/>
      <c r="GGJ72" s="120"/>
      <c r="GGK72" s="120"/>
      <c r="GGL72" s="120"/>
      <c r="GGM72" s="120"/>
      <c r="GGN72" s="120"/>
      <c r="GGO72" s="120"/>
      <c r="GGP72" s="120"/>
      <c r="GGQ72" s="120"/>
      <c r="GGR72" s="120"/>
      <c r="GGS72" s="120"/>
      <c r="GGT72" s="120"/>
      <c r="GGU72" s="120"/>
      <c r="GGV72" s="120"/>
      <c r="GGW72" s="120"/>
      <c r="GGX72" s="120"/>
      <c r="GGY72" s="120"/>
      <c r="GGZ72" s="120"/>
      <c r="GHA72" s="120"/>
      <c r="GHB72" s="120"/>
      <c r="GHC72" s="120"/>
      <c r="GHD72" s="120"/>
      <c r="GHE72" s="120"/>
      <c r="GHF72" s="120"/>
      <c r="GHG72" s="120"/>
      <c r="GHH72" s="120"/>
      <c r="GHI72" s="120"/>
      <c r="GHJ72" s="120"/>
      <c r="GHK72" s="120"/>
      <c r="GHL72" s="120"/>
      <c r="GHM72" s="120"/>
      <c r="GHN72" s="120"/>
      <c r="GHO72" s="120"/>
      <c r="GHP72" s="120"/>
      <c r="GHQ72" s="120"/>
      <c r="GHR72" s="120"/>
      <c r="GHS72" s="120"/>
      <c r="GHT72" s="120"/>
      <c r="GHU72" s="120"/>
      <c r="GHV72" s="120"/>
      <c r="GHW72" s="120"/>
      <c r="GHX72" s="120"/>
      <c r="GHY72" s="120"/>
      <c r="GHZ72" s="120"/>
      <c r="GIA72" s="120"/>
      <c r="GIB72" s="120"/>
      <c r="GIC72" s="120"/>
      <c r="GID72" s="120"/>
      <c r="GIE72" s="120"/>
      <c r="GIF72" s="120"/>
      <c r="GIG72" s="120"/>
      <c r="GIH72" s="120"/>
      <c r="GII72" s="120"/>
      <c r="GIJ72" s="120"/>
      <c r="GIK72" s="120"/>
      <c r="GIL72" s="120"/>
      <c r="GIM72" s="120"/>
      <c r="GIN72" s="120"/>
      <c r="GIO72" s="120"/>
      <c r="GIP72" s="120"/>
      <c r="GIQ72" s="120"/>
      <c r="GIR72" s="120"/>
      <c r="GIS72" s="120"/>
      <c r="GIT72" s="120"/>
      <c r="GIU72" s="120"/>
      <c r="GIV72" s="120"/>
      <c r="GIW72" s="120"/>
      <c r="GIX72" s="120"/>
      <c r="GIY72" s="120"/>
      <c r="GIZ72" s="120"/>
      <c r="GJA72" s="120"/>
      <c r="GJB72" s="120"/>
      <c r="GJC72" s="120"/>
      <c r="GJD72" s="120"/>
      <c r="GJE72" s="120"/>
      <c r="GJF72" s="120"/>
      <c r="GJG72" s="120"/>
      <c r="GJH72" s="120"/>
      <c r="GJI72" s="120"/>
      <c r="GJJ72" s="120"/>
      <c r="GJK72" s="120"/>
      <c r="GJL72" s="120"/>
      <c r="GJM72" s="120"/>
      <c r="GJN72" s="120"/>
      <c r="GJO72" s="120"/>
      <c r="GJP72" s="120"/>
      <c r="GJQ72" s="120"/>
      <c r="GJR72" s="120"/>
      <c r="GJS72" s="120"/>
      <c r="GJT72" s="120"/>
      <c r="GJU72" s="120"/>
      <c r="GJV72" s="120"/>
      <c r="GJW72" s="120"/>
      <c r="GJX72" s="120"/>
      <c r="GJY72" s="120"/>
      <c r="GJZ72" s="120"/>
      <c r="GKA72" s="120"/>
      <c r="GKB72" s="120"/>
      <c r="GKC72" s="120"/>
      <c r="GKD72" s="120"/>
      <c r="GKE72" s="120"/>
      <c r="GKF72" s="120"/>
      <c r="GKG72" s="120"/>
      <c r="GKH72" s="120"/>
      <c r="GKI72" s="120"/>
      <c r="GKJ72" s="120"/>
      <c r="GKK72" s="120"/>
      <c r="GKL72" s="120"/>
      <c r="GKM72" s="120"/>
      <c r="GKN72" s="120"/>
      <c r="GKO72" s="120"/>
      <c r="GKP72" s="120"/>
      <c r="GKQ72" s="120"/>
      <c r="GKR72" s="120"/>
      <c r="GKS72" s="120"/>
      <c r="GKT72" s="120"/>
      <c r="GKU72" s="120"/>
      <c r="GKV72" s="120"/>
      <c r="GKW72" s="120"/>
      <c r="GKX72" s="120"/>
      <c r="GKY72" s="120"/>
      <c r="GKZ72" s="120"/>
      <c r="GLA72" s="120"/>
      <c r="GLB72" s="120"/>
      <c r="GLC72" s="120"/>
      <c r="GLD72" s="120"/>
      <c r="GLE72" s="120"/>
      <c r="GLF72" s="120"/>
      <c r="GLG72" s="120"/>
      <c r="GLH72" s="120"/>
      <c r="GLI72" s="120"/>
      <c r="GLJ72" s="120"/>
      <c r="GLK72" s="120"/>
      <c r="GLL72" s="120"/>
      <c r="GLM72" s="120"/>
      <c r="GLN72" s="120"/>
      <c r="GLO72" s="120"/>
      <c r="GLP72" s="120"/>
      <c r="GLQ72" s="120"/>
      <c r="GLR72" s="120"/>
      <c r="GLS72" s="120"/>
      <c r="GLT72" s="120"/>
      <c r="GLU72" s="120"/>
      <c r="GLV72" s="120"/>
      <c r="GLW72" s="120"/>
      <c r="GLX72" s="120"/>
      <c r="GLY72" s="120"/>
      <c r="GLZ72" s="120"/>
      <c r="GMA72" s="120"/>
      <c r="GMB72" s="120"/>
      <c r="GMC72" s="120"/>
      <c r="GMD72" s="120"/>
      <c r="GME72" s="120"/>
      <c r="GMF72" s="120"/>
      <c r="GMG72" s="120"/>
      <c r="GMH72" s="120"/>
      <c r="GMI72" s="120"/>
      <c r="GMJ72" s="120"/>
      <c r="GMK72" s="120"/>
      <c r="GML72" s="120"/>
      <c r="GMM72" s="120"/>
      <c r="GMN72" s="120"/>
      <c r="GMO72" s="120"/>
      <c r="GMP72" s="120"/>
      <c r="GMQ72" s="120"/>
      <c r="GMR72" s="120"/>
      <c r="GMS72" s="120"/>
      <c r="GMT72" s="120"/>
      <c r="GMU72" s="120"/>
      <c r="GMV72" s="120"/>
      <c r="GMW72" s="120"/>
      <c r="GMX72" s="120"/>
      <c r="GMY72" s="120"/>
      <c r="GMZ72" s="120"/>
      <c r="GNA72" s="120"/>
      <c r="GNB72" s="120"/>
      <c r="GNC72" s="120"/>
      <c r="GND72" s="120"/>
      <c r="GNE72" s="120"/>
      <c r="GNF72" s="120"/>
      <c r="GNG72" s="120"/>
      <c r="GNH72" s="120"/>
      <c r="GNI72" s="120"/>
      <c r="GNJ72" s="120"/>
      <c r="GNK72" s="120"/>
      <c r="GNL72" s="120"/>
      <c r="GNM72" s="120"/>
      <c r="GNN72" s="120"/>
      <c r="GNO72" s="120"/>
      <c r="GNP72" s="120"/>
      <c r="GNQ72" s="120"/>
      <c r="GNR72" s="120"/>
      <c r="GNS72" s="120"/>
      <c r="GNT72" s="120"/>
      <c r="GNU72" s="120"/>
      <c r="GNV72" s="120"/>
      <c r="GNW72" s="120"/>
      <c r="GNX72" s="120"/>
      <c r="GNY72" s="120"/>
      <c r="GNZ72" s="120"/>
      <c r="GOA72" s="120"/>
      <c r="GOB72" s="120"/>
      <c r="GOC72" s="120"/>
      <c r="GOD72" s="120"/>
      <c r="GOE72" s="120"/>
      <c r="GOF72" s="120"/>
      <c r="GOG72" s="120"/>
      <c r="GOH72" s="120"/>
      <c r="GOI72" s="120"/>
      <c r="GOJ72" s="120"/>
      <c r="GOK72" s="120"/>
      <c r="GOL72" s="120"/>
      <c r="GOM72" s="120"/>
      <c r="GON72" s="120"/>
      <c r="GOO72" s="120"/>
      <c r="GOP72" s="120"/>
      <c r="GOQ72" s="120"/>
      <c r="GOR72" s="120"/>
      <c r="GOS72" s="120"/>
      <c r="GOT72" s="120"/>
      <c r="GOU72" s="120"/>
      <c r="GOV72" s="120"/>
      <c r="GOW72" s="120"/>
      <c r="GOX72" s="120"/>
      <c r="GOY72" s="120"/>
      <c r="GOZ72" s="120"/>
      <c r="GPA72" s="120"/>
      <c r="GPB72" s="120"/>
      <c r="GPC72" s="120"/>
      <c r="GPD72" s="120"/>
      <c r="GPE72" s="120"/>
      <c r="GPF72" s="120"/>
      <c r="GPG72" s="120"/>
      <c r="GPH72" s="120"/>
      <c r="GPI72" s="120"/>
      <c r="GPJ72" s="120"/>
      <c r="GPK72" s="120"/>
      <c r="GPL72" s="120"/>
      <c r="GPM72" s="120"/>
      <c r="GPN72" s="120"/>
      <c r="GPO72" s="120"/>
      <c r="GPP72" s="120"/>
      <c r="GPQ72" s="120"/>
      <c r="GPR72" s="120"/>
      <c r="GPS72" s="120"/>
      <c r="GPT72" s="120"/>
      <c r="GPU72" s="120"/>
      <c r="GPV72" s="120"/>
      <c r="GPW72" s="120"/>
      <c r="GPX72" s="120"/>
      <c r="GPY72" s="120"/>
      <c r="GPZ72" s="120"/>
      <c r="GQA72" s="120"/>
      <c r="GQB72" s="120"/>
      <c r="GQC72" s="120"/>
      <c r="GQD72" s="120"/>
      <c r="GQE72" s="120"/>
      <c r="GQF72" s="120"/>
      <c r="GQG72" s="120"/>
      <c r="GQH72" s="120"/>
      <c r="GQI72" s="120"/>
      <c r="GQJ72" s="120"/>
      <c r="GQK72" s="120"/>
      <c r="GQL72" s="120"/>
      <c r="GQM72" s="120"/>
      <c r="GQN72" s="120"/>
      <c r="GQO72" s="120"/>
      <c r="GQP72" s="120"/>
      <c r="GQQ72" s="120"/>
      <c r="GQR72" s="120"/>
      <c r="GQS72" s="120"/>
      <c r="GQT72" s="120"/>
      <c r="GQU72" s="120"/>
      <c r="GQV72" s="120"/>
      <c r="GQW72" s="120"/>
      <c r="GQX72" s="120"/>
      <c r="GQY72" s="120"/>
      <c r="GQZ72" s="120"/>
      <c r="GRA72" s="120"/>
      <c r="GRB72" s="120"/>
      <c r="GRC72" s="120"/>
      <c r="GRD72" s="120"/>
      <c r="GRE72" s="120"/>
      <c r="GRF72" s="120"/>
      <c r="GRG72" s="120"/>
      <c r="GRH72" s="120"/>
      <c r="GRI72" s="120"/>
      <c r="GRJ72" s="120"/>
      <c r="GRK72" s="120"/>
      <c r="GRL72" s="120"/>
      <c r="GRM72" s="120"/>
      <c r="GRN72" s="120"/>
      <c r="GRO72" s="120"/>
      <c r="GRP72" s="120"/>
      <c r="GRQ72" s="120"/>
      <c r="GRR72" s="120"/>
      <c r="GRS72" s="120"/>
      <c r="GRT72" s="120"/>
      <c r="GRU72" s="120"/>
      <c r="GRV72" s="120"/>
      <c r="GRW72" s="120"/>
      <c r="GRX72" s="120"/>
      <c r="GRY72" s="120"/>
      <c r="GRZ72" s="120"/>
      <c r="GSA72" s="120"/>
      <c r="GSB72" s="120"/>
      <c r="GSC72" s="120"/>
      <c r="GSD72" s="120"/>
      <c r="GSE72" s="120"/>
      <c r="GSF72" s="120"/>
      <c r="GSG72" s="120"/>
      <c r="GSH72" s="120"/>
      <c r="GSI72" s="120"/>
      <c r="GSJ72" s="120"/>
      <c r="GSK72" s="120"/>
      <c r="GSL72" s="120"/>
      <c r="GSM72" s="120"/>
      <c r="GSN72" s="120"/>
      <c r="GSO72" s="120"/>
      <c r="GSP72" s="120"/>
      <c r="GSQ72" s="120"/>
      <c r="GSR72" s="120"/>
      <c r="GSS72" s="120"/>
      <c r="GST72" s="120"/>
      <c r="GSU72" s="120"/>
      <c r="GSV72" s="120"/>
      <c r="GSW72" s="120"/>
      <c r="GSX72" s="120"/>
      <c r="GSY72" s="120"/>
      <c r="GSZ72" s="120"/>
      <c r="GTA72" s="120"/>
      <c r="GTB72" s="120"/>
      <c r="GTC72" s="120"/>
      <c r="GTD72" s="120"/>
      <c r="GTE72" s="120"/>
      <c r="GTF72" s="120"/>
      <c r="GTG72" s="120"/>
      <c r="GTH72" s="120"/>
      <c r="GTI72" s="120"/>
      <c r="GTJ72" s="120"/>
      <c r="GTK72" s="120"/>
      <c r="GTL72" s="120"/>
      <c r="GTM72" s="120"/>
      <c r="GTN72" s="120"/>
      <c r="GTO72" s="120"/>
      <c r="GTP72" s="120"/>
      <c r="GTQ72" s="120"/>
      <c r="GTR72" s="120"/>
      <c r="GTS72" s="120"/>
      <c r="GTT72" s="120"/>
      <c r="GTU72" s="120"/>
      <c r="GTV72" s="120"/>
      <c r="GTW72" s="120"/>
      <c r="GTX72" s="120"/>
      <c r="GTY72" s="120"/>
      <c r="GTZ72" s="120"/>
      <c r="GUA72" s="120"/>
      <c r="GUB72" s="120"/>
      <c r="GUC72" s="120"/>
      <c r="GUD72" s="120"/>
      <c r="GUE72" s="120"/>
      <c r="GUF72" s="120"/>
      <c r="GUG72" s="120"/>
      <c r="GUH72" s="120"/>
      <c r="GUI72" s="120"/>
      <c r="GUJ72" s="120"/>
      <c r="GUK72" s="120"/>
      <c r="GUL72" s="120"/>
      <c r="GUM72" s="120"/>
      <c r="GUN72" s="120"/>
      <c r="GUO72" s="120"/>
      <c r="GUP72" s="120"/>
      <c r="GUQ72" s="120"/>
      <c r="GUR72" s="120"/>
      <c r="GUS72" s="120"/>
      <c r="GUT72" s="120"/>
      <c r="GUU72" s="120"/>
      <c r="GUV72" s="120"/>
      <c r="GUW72" s="120"/>
      <c r="GUX72" s="120"/>
      <c r="GUY72" s="120"/>
      <c r="GUZ72" s="120"/>
      <c r="GVA72" s="120"/>
      <c r="GVB72" s="120"/>
      <c r="GVC72" s="120"/>
      <c r="GVD72" s="120"/>
      <c r="GVE72" s="120"/>
      <c r="GVF72" s="120"/>
      <c r="GVG72" s="120"/>
      <c r="GVH72" s="120"/>
      <c r="GVI72" s="120"/>
      <c r="GVJ72" s="120"/>
      <c r="GVK72" s="120"/>
      <c r="GVL72" s="120"/>
      <c r="GVM72" s="120"/>
      <c r="GVN72" s="120"/>
      <c r="GVO72" s="120"/>
      <c r="GVP72" s="120"/>
      <c r="GVQ72" s="120"/>
      <c r="GVR72" s="120"/>
      <c r="GVS72" s="120"/>
      <c r="GVT72" s="120"/>
      <c r="GVU72" s="120"/>
      <c r="GVV72" s="120"/>
      <c r="GVW72" s="120"/>
      <c r="GVX72" s="120"/>
      <c r="GVY72" s="120"/>
      <c r="GVZ72" s="120"/>
      <c r="GWA72" s="120"/>
      <c r="GWB72" s="120"/>
      <c r="GWC72" s="120"/>
      <c r="GWD72" s="120"/>
      <c r="GWE72" s="120"/>
      <c r="GWF72" s="120"/>
      <c r="GWG72" s="120"/>
      <c r="GWH72" s="120"/>
      <c r="GWI72" s="120"/>
      <c r="GWJ72" s="120"/>
      <c r="GWK72" s="120"/>
      <c r="GWL72" s="120"/>
      <c r="GWM72" s="120"/>
      <c r="GWN72" s="120"/>
      <c r="GWO72" s="120"/>
      <c r="GWP72" s="120"/>
      <c r="GWQ72" s="120"/>
      <c r="GWR72" s="120"/>
      <c r="GWS72" s="120"/>
      <c r="GWT72" s="120"/>
      <c r="GWU72" s="120"/>
      <c r="GWV72" s="120"/>
      <c r="GWW72" s="120"/>
      <c r="GWX72" s="120"/>
      <c r="GWY72" s="120"/>
      <c r="GWZ72" s="120"/>
      <c r="GXA72" s="120"/>
      <c r="GXB72" s="120"/>
      <c r="GXC72" s="120"/>
      <c r="GXD72" s="120"/>
      <c r="GXE72" s="120"/>
      <c r="GXF72" s="120"/>
      <c r="GXG72" s="120"/>
      <c r="GXH72" s="120"/>
      <c r="GXI72" s="120"/>
      <c r="GXJ72" s="120"/>
      <c r="GXK72" s="120"/>
      <c r="GXL72" s="120"/>
      <c r="GXM72" s="120"/>
      <c r="GXN72" s="120"/>
      <c r="GXO72" s="120"/>
      <c r="GXP72" s="120"/>
      <c r="GXQ72" s="120"/>
      <c r="GXR72" s="120"/>
      <c r="GXS72" s="120"/>
      <c r="GXT72" s="120"/>
      <c r="GXU72" s="120"/>
      <c r="GXV72" s="120"/>
      <c r="GXW72" s="120"/>
      <c r="GXX72" s="120"/>
      <c r="GXY72" s="120"/>
      <c r="GXZ72" s="120"/>
      <c r="GYA72" s="120"/>
      <c r="GYB72" s="120"/>
      <c r="GYC72" s="120"/>
      <c r="GYD72" s="120"/>
      <c r="GYE72" s="120"/>
      <c r="GYF72" s="120"/>
      <c r="GYG72" s="120"/>
      <c r="GYH72" s="120"/>
      <c r="GYI72" s="120"/>
      <c r="GYJ72" s="120"/>
      <c r="GYK72" s="120"/>
      <c r="GYL72" s="120"/>
      <c r="GYM72" s="120"/>
      <c r="GYN72" s="120"/>
      <c r="GYO72" s="120"/>
      <c r="GYP72" s="120"/>
      <c r="GYQ72" s="120"/>
      <c r="GYR72" s="120"/>
      <c r="GYS72" s="120"/>
      <c r="GYT72" s="120"/>
      <c r="GYU72" s="120"/>
      <c r="GYV72" s="120"/>
      <c r="GYW72" s="120"/>
      <c r="GYX72" s="120"/>
      <c r="GYY72" s="120"/>
      <c r="GYZ72" s="120"/>
      <c r="GZA72" s="120"/>
      <c r="GZB72" s="120"/>
      <c r="GZC72" s="120"/>
      <c r="GZD72" s="120"/>
      <c r="GZE72" s="120"/>
      <c r="GZF72" s="120"/>
      <c r="GZG72" s="120"/>
      <c r="GZH72" s="120"/>
      <c r="GZI72" s="120"/>
      <c r="GZJ72" s="120"/>
      <c r="GZK72" s="120"/>
      <c r="GZL72" s="120"/>
      <c r="GZM72" s="120"/>
      <c r="GZN72" s="120"/>
      <c r="GZO72" s="120"/>
      <c r="GZP72" s="120"/>
      <c r="GZQ72" s="120"/>
      <c r="GZR72" s="120"/>
      <c r="GZS72" s="120"/>
      <c r="GZT72" s="120"/>
      <c r="GZU72" s="120"/>
      <c r="GZV72" s="120"/>
      <c r="GZW72" s="120"/>
      <c r="GZX72" s="120"/>
      <c r="GZY72" s="120"/>
      <c r="GZZ72" s="120"/>
      <c r="HAA72" s="120"/>
      <c r="HAB72" s="120"/>
      <c r="HAC72" s="120"/>
      <c r="HAD72" s="120"/>
      <c r="HAE72" s="120"/>
      <c r="HAF72" s="120"/>
      <c r="HAG72" s="120"/>
      <c r="HAH72" s="120"/>
      <c r="HAI72" s="120"/>
      <c r="HAJ72" s="120"/>
      <c r="HAK72" s="120"/>
      <c r="HAL72" s="120"/>
      <c r="HAM72" s="120"/>
      <c r="HAN72" s="120"/>
      <c r="HAO72" s="120"/>
      <c r="HAP72" s="120"/>
      <c r="HAQ72" s="120"/>
      <c r="HAR72" s="120"/>
      <c r="HAS72" s="120"/>
      <c r="HAT72" s="120"/>
      <c r="HAU72" s="120"/>
      <c r="HAV72" s="120"/>
      <c r="HAW72" s="120"/>
      <c r="HAX72" s="120"/>
      <c r="HAY72" s="120"/>
      <c r="HAZ72" s="120"/>
      <c r="HBA72" s="120"/>
      <c r="HBB72" s="120"/>
      <c r="HBC72" s="120"/>
      <c r="HBD72" s="120"/>
      <c r="HBE72" s="120"/>
      <c r="HBF72" s="120"/>
      <c r="HBG72" s="120"/>
      <c r="HBH72" s="120"/>
      <c r="HBI72" s="120"/>
      <c r="HBJ72" s="120"/>
      <c r="HBK72" s="120"/>
      <c r="HBL72" s="120"/>
      <c r="HBM72" s="120"/>
      <c r="HBN72" s="120"/>
      <c r="HBO72" s="120"/>
      <c r="HBP72" s="120"/>
      <c r="HBQ72" s="120"/>
      <c r="HBR72" s="120"/>
      <c r="HBS72" s="120"/>
      <c r="HBT72" s="120"/>
      <c r="HBU72" s="120"/>
      <c r="HBV72" s="120"/>
      <c r="HBW72" s="120"/>
      <c r="HBX72" s="120"/>
      <c r="HBY72" s="120"/>
      <c r="HBZ72" s="120"/>
      <c r="HCA72" s="120"/>
      <c r="HCB72" s="120"/>
      <c r="HCC72" s="120"/>
      <c r="HCD72" s="120"/>
      <c r="HCE72" s="120"/>
      <c r="HCF72" s="120"/>
      <c r="HCG72" s="120"/>
      <c r="HCH72" s="120"/>
      <c r="HCI72" s="120"/>
      <c r="HCJ72" s="120"/>
      <c r="HCK72" s="120"/>
      <c r="HCL72" s="120"/>
      <c r="HCM72" s="120"/>
      <c r="HCN72" s="120"/>
      <c r="HCO72" s="120"/>
      <c r="HCP72" s="120"/>
      <c r="HCQ72" s="120"/>
      <c r="HCR72" s="120"/>
      <c r="HCS72" s="120"/>
      <c r="HCT72" s="120"/>
      <c r="HCU72" s="120"/>
      <c r="HCV72" s="120"/>
      <c r="HCW72" s="120"/>
      <c r="HCX72" s="120"/>
      <c r="HCY72" s="120"/>
      <c r="HCZ72" s="120"/>
      <c r="HDA72" s="120"/>
      <c r="HDB72" s="120"/>
      <c r="HDC72" s="120"/>
      <c r="HDD72" s="120"/>
      <c r="HDE72" s="120"/>
      <c r="HDF72" s="120"/>
      <c r="HDG72" s="120"/>
      <c r="HDH72" s="120"/>
      <c r="HDI72" s="120"/>
      <c r="HDJ72" s="120"/>
      <c r="HDK72" s="120"/>
      <c r="HDL72" s="120"/>
      <c r="HDM72" s="120"/>
      <c r="HDN72" s="120"/>
      <c r="HDO72" s="120"/>
      <c r="HDP72" s="120"/>
      <c r="HDQ72" s="120"/>
      <c r="HDR72" s="120"/>
      <c r="HDS72" s="120"/>
      <c r="HDT72" s="120"/>
      <c r="HDU72" s="120"/>
      <c r="HDV72" s="120"/>
      <c r="HDW72" s="120"/>
      <c r="HDX72" s="120"/>
      <c r="HDY72" s="120"/>
      <c r="HDZ72" s="120"/>
      <c r="HEA72" s="120"/>
      <c r="HEB72" s="120"/>
      <c r="HEC72" s="120"/>
      <c r="HED72" s="120"/>
      <c r="HEE72" s="120"/>
      <c r="HEF72" s="120"/>
      <c r="HEG72" s="120"/>
      <c r="HEH72" s="120"/>
      <c r="HEI72" s="120"/>
      <c r="HEJ72" s="120"/>
      <c r="HEK72" s="120"/>
      <c r="HEL72" s="120"/>
      <c r="HEM72" s="120"/>
      <c r="HEN72" s="120"/>
      <c r="HEO72" s="120"/>
      <c r="HEP72" s="120"/>
      <c r="HEQ72" s="120"/>
      <c r="HER72" s="120"/>
      <c r="HES72" s="120"/>
      <c r="HET72" s="120"/>
      <c r="HEU72" s="120"/>
      <c r="HEV72" s="120"/>
      <c r="HEW72" s="120"/>
      <c r="HEX72" s="120"/>
      <c r="HEY72" s="120"/>
      <c r="HEZ72" s="120"/>
      <c r="HFA72" s="120"/>
      <c r="HFB72" s="120"/>
      <c r="HFC72" s="120"/>
      <c r="HFD72" s="120"/>
      <c r="HFE72" s="120"/>
      <c r="HFF72" s="120"/>
      <c r="HFG72" s="120"/>
      <c r="HFH72" s="120"/>
      <c r="HFI72" s="120"/>
      <c r="HFJ72" s="120"/>
      <c r="HFK72" s="120"/>
      <c r="HFL72" s="120"/>
      <c r="HFM72" s="120"/>
      <c r="HFN72" s="120"/>
      <c r="HFO72" s="120"/>
      <c r="HFP72" s="120"/>
      <c r="HFQ72" s="120"/>
      <c r="HFR72" s="120"/>
      <c r="HFS72" s="120"/>
      <c r="HFT72" s="120"/>
      <c r="HFU72" s="120"/>
      <c r="HFV72" s="120"/>
      <c r="HFW72" s="120"/>
      <c r="HFX72" s="120"/>
      <c r="HFY72" s="120"/>
      <c r="HFZ72" s="120"/>
      <c r="HGA72" s="120"/>
      <c r="HGB72" s="120"/>
      <c r="HGC72" s="120"/>
      <c r="HGD72" s="120"/>
      <c r="HGE72" s="120"/>
      <c r="HGF72" s="120"/>
      <c r="HGG72" s="120"/>
      <c r="HGH72" s="120"/>
      <c r="HGI72" s="120"/>
      <c r="HGJ72" s="120"/>
      <c r="HGK72" s="120"/>
      <c r="HGL72" s="120"/>
      <c r="HGM72" s="120"/>
      <c r="HGN72" s="120"/>
      <c r="HGO72" s="120"/>
      <c r="HGP72" s="120"/>
      <c r="HGQ72" s="120"/>
      <c r="HGR72" s="120"/>
      <c r="HGS72" s="120"/>
      <c r="HGT72" s="120"/>
      <c r="HGU72" s="120"/>
      <c r="HGV72" s="120"/>
      <c r="HGW72" s="120"/>
      <c r="HGX72" s="120"/>
      <c r="HGY72" s="120"/>
      <c r="HGZ72" s="120"/>
      <c r="HHA72" s="120"/>
      <c r="HHB72" s="120"/>
      <c r="HHC72" s="120"/>
      <c r="HHD72" s="120"/>
      <c r="HHE72" s="120"/>
      <c r="HHF72" s="120"/>
      <c r="HHG72" s="120"/>
      <c r="HHH72" s="120"/>
      <c r="HHI72" s="120"/>
      <c r="HHJ72" s="120"/>
      <c r="HHK72" s="120"/>
      <c r="HHL72" s="120"/>
      <c r="HHM72" s="120"/>
      <c r="HHN72" s="120"/>
      <c r="HHO72" s="120"/>
      <c r="HHP72" s="120"/>
      <c r="HHQ72" s="120"/>
      <c r="HHR72" s="120"/>
      <c r="HHS72" s="120"/>
      <c r="HHT72" s="120"/>
      <c r="HHU72" s="120"/>
      <c r="HHV72" s="120"/>
      <c r="HHW72" s="120"/>
      <c r="HHX72" s="120"/>
      <c r="HHY72" s="120"/>
      <c r="HHZ72" s="120"/>
      <c r="HIA72" s="120"/>
      <c r="HIB72" s="120"/>
      <c r="HIC72" s="120"/>
      <c r="HID72" s="120"/>
      <c r="HIE72" s="120"/>
      <c r="HIF72" s="120"/>
      <c r="HIG72" s="120"/>
      <c r="HIH72" s="120"/>
      <c r="HII72" s="120"/>
      <c r="HIJ72" s="120"/>
      <c r="HIK72" s="120"/>
      <c r="HIL72" s="120"/>
      <c r="HIM72" s="120"/>
      <c r="HIN72" s="120"/>
      <c r="HIO72" s="120"/>
      <c r="HIP72" s="120"/>
      <c r="HIQ72" s="120"/>
      <c r="HIR72" s="120"/>
      <c r="HIS72" s="120"/>
      <c r="HIT72" s="120"/>
      <c r="HIU72" s="120"/>
      <c r="HIV72" s="120"/>
      <c r="HIW72" s="120"/>
      <c r="HIX72" s="120"/>
      <c r="HIY72" s="120"/>
      <c r="HIZ72" s="120"/>
      <c r="HJA72" s="120"/>
      <c r="HJB72" s="120"/>
      <c r="HJC72" s="120"/>
      <c r="HJD72" s="120"/>
      <c r="HJE72" s="120"/>
      <c r="HJF72" s="120"/>
      <c r="HJG72" s="120"/>
      <c r="HJH72" s="120"/>
      <c r="HJI72" s="120"/>
      <c r="HJJ72" s="120"/>
      <c r="HJK72" s="120"/>
      <c r="HJL72" s="120"/>
      <c r="HJM72" s="120"/>
      <c r="HJN72" s="120"/>
      <c r="HJO72" s="120"/>
      <c r="HJP72" s="120"/>
      <c r="HJQ72" s="120"/>
      <c r="HJR72" s="120"/>
      <c r="HJS72" s="120"/>
      <c r="HJT72" s="120"/>
      <c r="HJU72" s="120"/>
      <c r="HJV72" s="120"/>
      <c r="HJW72" s="120"/>
      <c r="HJX72" s="120"/>
      <c r="HJY72" s="120"/>
      <c r="HJZ72" s="120"/>
      <c r="HKA72" s="120"/>
      <c r="HKB72" s="120"/>
      <c r="HKC72" s="120"/>
      <c r="HKD72" s="120"/>
      <c r="HKE72" s="120"/>
      <c r="HKF72" s="120"/>
      <c r="HKG72" s="120"/>
      <c r="HKH72" s="120"/>
      <c r="HKI72" s="120"/>
      <c r="HKJ72" s="120"/>
      <c r="HKK72" s="120"/>
      <c r="HKL72" s="120"/>
      <c r="HKM72" s="120"/>
      <c r="HKN72" s="120"/>
      <c r="HKO72" s="120"/>
      <c r="HKP72" s="120"/>
      <c r="HKQ72" s="120"/>
      <c r="HKR72" s="120"/>
      <c r="HKS72" s="120"/>
      <c r="HKT72" s="120"/>
      <c r="HKU72" s="120"/>
      <c r="HKV72" s="120"/>
      <c r="HKW72" s="120"/>
      <c r="HKX72" s="120"/>
      <c r="HKY72" s="120"/>
      <c r="HKZ72" s="120"/>
      <c r="HLA72" s="120"/>
      <c r="HLB72" s="120"/>
      <c r="HLC72" s="120"/>
      <c r="HLD72" s="120"/>
      <c r="HLE72" s="120"/>
      <c r="HLF72" s="120"/>
      <c r="HLG72" s="120"/>
      <c r="HLH72" s="120"/>
      <c r="HLI72" s="120"/>
      <c r="HLJ72" s="120"/>
      <c r="HLK72" s="120"/>
      <c r="HLL72" s="120"/>
      <c r="HLM72" s="120"/>
      <c r="HLN72" s="120"/>
      <c r="HLO72" s="120"/>
      <c r="HLP72" s="120"/>
      <c r="HLQ72" s="120"/>
      <c r="HLR72" s="120"/>
      <c r="HLS72" s="120"/>
      <c r="HLT72" s="120"/>
      <c r="HLU72" s="120"/>
      <c r="HLV72" s="120"/>
      <c r="HLW72" s="120"/>
      <c r="HLX72" s="120"/>
      <c r="HLY72" s="120"/>
      <c r="HLZ72" s="120"/>
      <c r="HMA72" s="120"/>
      <c r="HMB72" s="120"/>
      <c r="HMC72" s="120"/>
      <c r="HMD72" s="120"/>
      <c r="HME72" s="120"/>
      <c r="HMF72" s="120"/>
      <c r="HMG72" s="120"/>
      <c r="HMH72" s="120"/>
      <c r="HMI72" s="120"/>
      <c r="HMJ72" s="120"/>
      <c r="HMK72" s="120"/>
      <c r="HML72" s="120"/>
      <c r="HMM72" s="120"/>
      <c r="HMN72" s="120"/>
      <c r="HMO72" s="120"/>
      <c r="HMP72" s="120"/>
      <c r="HMQ72" s="120"/>
      <c r="HMR72" s="120"/>
      <c r="HMS72" s="120"/>
      <c r="HMT72" s="120"/>
      <c r="HMU72" s="120"/>
      <c r="HMV72" s="120"/>
      <c r="HMW72" s="120"/>
      <c r="HMX72" s="120"/>
      <c r="HMY72" s="120"/>
      <c r="HMZ72" s="120"/>
      <c r="HNA72" s="120"/>
      <c r="HNB72" s="120"/>
      <c r="HNC72" s="120"/>
      <c r="HND72" s="120"/>
      <c r="HNE72" s="120"/>
      <c r="HNF72" s="120"/>
      <c r="HNG72" s="120"/>
      <c r="HNH72" s="120"/>
      <c r="HNI72" s="120"/>
      <c r="HNJ72" s="120"/>
      <c r="HNK72" s="120"/>
      <c r="HNL72" s="120"/>
      <c r="HNM72" s="120"/>
      <c r="HNN72" s="120"/>
      <c r="HNO72" s="120"/>
      <c r="HNP72" s="120"/>
      <c r="HNQ72" s="120"/>
      <c r="HNR72" s="120"/>
      <c r="HNS72" s="120"/>
      <c r="HNT72" s="120"/>
      <c r="HNU72" s="120"/>
      <c r="HNV72" s="120"/>
      <c r="HNW72" s="120"/>
      <c r="HNX72" s="120"/>
      <c r="HNY72" s="120"/>
      <c r="HNZ72" s="120"/>
      <c r="HOA72" s="120"/>
      <c r="HOB72" s="120"/>
      <c r="HOC72" s="120"/>
      <c r="HOD72" s="120"/>
      <c r="HOE72" s="120"/>
      <c r="HOF72" s="120"/>
      <c r="HOG72" s="120"/>
      <c r="HOH72" s="120"/>
      <c r="HOI72" s="120"/>
      <c r="HOJ72" s="120"/>
      <c r="HOK72" s="120"/>
      <c r="HOL72" s="120"/>
      <c r="HOM72" s="120"/>
      <c r="HON72" s="120"/>
      <c r="HOO72" s="120"/>
      <c r="HOP72" s="120"/>
      <c r="HOQ72" s="120"/>
      <c r="HOR72" s="120"/>
      <c r="HOS72" s="120"/>
      <c r="HOT72" s="120"/>
      <c r="HOU72" s="120"/>
      <c r="HOV72" s="120"/>
      <c r="HOW72" s="120"/>
      <c r="HOX72" s="120"/>
      <c r="HOY72" s="120"/>
      <c r="HOZ72" s="120"/>
      <c r="HPA72" s="120"/>
      <c r="HPB72" s="120"/>
      <c r="HPC72" s="120"/>
      <c r="HPD72" s="120"/>
      <c r="HPE72" s="120"/>
      <c r="HPF72" s="120"/>
      <c r="HPG72" s="120"/>
      <c r="HPH72" s="120"/>
      <c r="HPI72" s="120"/>
      <c r="HPJ72" s="120"/>
      <c r="HPK72" s="120"/>
      <c r="HPL72" s="120"/>
      <c r="HPM72" s="120"/>
      <c r="HPN72" s="120"/>
      <c r="HPO72" s="120"/>
      <c r="HPP72" s="120"/>
      <c r="HPQ72" s="120"/>
      <c r="HPR72" s="120"/>
      <c r="HPS72" s="120"/>
      <c r="HPT72" s="120"/>
      <c r="HPU72" s="120"/>
      <c r="HPV72" s="120"/>
      <c r="HPW72" s="120"/>
      <c r="HPX72" s="120"/>
      <c r="HPY72" s="120"/>
      <c r="HPZ72" s="120"/>
      <c r="HQA72" s="120"/>
      <c r="HQB72" s="120"/>
      <c r="HQC72" s="120"/>
      <c r="HQD72" s="120"/>
      <c r="HQE72" s="120"/>
      <c r="HQF72" s="120"/>
      <c r="HQG72" s="120"/>
      <c r="HQH72" s="120"/>
      <c r="HQI72" s="120"/>
      <c r="HQJ72" s="120"/>
      <c r="HQK72" s="120"/>
      <c r="HQL72" s="120"/>
      <c r="HQM72" s="120"/>
      <c r="HQN72" s="120"/>
      <c r="HQO72" s="120"/>
      <c r="HQP72" s="120"/>
      <c r="HQQ72" s="120"/>
      <c r="HQR72" s="120"/>
      <c r="HQS72" s="120"/>
      <c r="HQT72" s="120"/>
      <c r="HQU72" s="120"/>
      <c r="HQV72" s="120"/>
      <c r="HQW72" s="120"/>
      <c r="HQX72" s="120"/>
      <c r="HQY72" s="120"/>
      <c r="HQZ72" s="120"/>
      <c r="HRA72" s="120"/>
      <c r="HRB72" s="120"/>
      <c r="HRC72" s="120"/>
      <c r="HRD72" s="120"/>
      <c r="HRE72" s="120"/>
      <c r="HRF72" s="120"/>
      <c r="HRG72" s="120"/>
      <c r="HRH72" s="120"/>
      <c r="HRI72" s="120"/>
      <c r="HRJ72" s="120"/>
      <c r="HRK72" s="120"/>
      <c r="HRL72" s="120"/>
      <c r="HRM72" s="120"/>
      <c r="HRN72" s="120"/>
      <c r="HRO72" s="120"/>
      <c r="HRP72" s="120"/>
      <c r="HRQ72" s="120"/>
      <c r="HRR72" s="120"/>
      <c r="HRS72" s="120"/>
      <c r="HRT72" s="120"/>
      <c r="HRU72" s="120"/>
      <c r="HRV72" s="120"/>
      <c r="HRW72" s="120"/>
      <c r="HRX72" s="120"/>
      <c r="HRY72" s="120"/>
      <c r="HRZ72" s="120"/>
      <c r="HSA72" s="120"/>
      <c r="HSB72" s="120"/>
      <c r="HSC72" s="120"/>
      <c r="HSD72" s="120"/>
      <c r="HSE72" s="120"/>
      <c r="HSF72" s="120"/>
      <c r="HSG72" s="120"/>
      <c r="HSH72" s="120"/>
      <c r="HSI72" s="120"/>
      <c r="HSJ72" s="120"/>
      <c r="HSK72" s="120"/>
      <c r="HSL72" s="120"/>
      <c r="HSM72" s="120"/>
      <c r="HSN72" s="120"/>
      <c r="HSO72" s="120"/>
      <c r="HSP72" s="120"/>
      <c r="HSQ72" s="120"/>
      <c r="HSR72" s="120"/>
      <c r="HSS72" s="120"/>
      <c r="HST72" s="120"/>
      <c r="HSU72" s="120"/>
      <c r="HSV72" s="120"/>
      <c r="HSW72" s="120"/>
      <c r="HSX72" s="120"/>
      <c r="HSY72" s="120"/>
      <c r="HSZ72" s="120"/>
      <c r="HTA72" s="120"/>
      <c r="HTB72" s="120"/>
      <c r="HTC72" s="120"/>
      <c r="HTD72" s="120"/>
      <c r="HTE72" s="120"/>
      <c r="HTF72" s="120"/>
      <c r="HTG72" s="120"/>
      <c r="HTH72" s="120"/>
      <c r="HTI72" s="120"/>
      <c r="HTJ72" s="120"/>
      <c r="HTK72" s="120"/>
      <c r="HTL72" s="120"/>
      <c r="HTM72" s="120"/>
      <c r="HTN72" s="120"/>
      <c r="HTO72" s="120"/>
      <c r="HTP72" s="120"/>
      <c r="HTQ72" s="120"/>
      <c r="HTR72" s="120"/>
      <c r="HTS72" s="120"/>
      <c r="HTT72" s="120"/>
      <c r="HTU72" s="120"/>
      <c r="HTV72" s="120"/>
      <c r="HTW72" s="120"/>
      <c r="HTX72" s="120"/>
      <c r="HTY72" s="120"/>
      <c r="HTZ72" s="120"/>
      <c r="HUA72" s="120"/>
      <c r="HUB72" s="120"/>
      <c r="HUC72" s="120"/>
      <c r="HUD72" s="120"/>
      <c r="HUE72" s="120"/>
      <c r="HUF72" s="120"/>
      <c r="HUG72" s="120"/>
      <c r="HUH72" s="120"/>
      <c r="HUI72" s="120"/>
      <c r="HUJ72" s="120"/>
      <c r="HUK72" s="120"/>
      <c r="HUL72" s="120"/>
      <c r="HUM72" s="120"/>
      <c r="HUN72" s="120"/>
      <c r="HUO72" s="120"/>
      <c r="HUP72" s="120"/>
      <c r="HUQ72" s="120"/>
      <c r="HUR72" s="120"/>
      <c r="HUS72" s="120"/>
      <c r="HUT72" s="120"/>
      <c r="HUU72" s="120"/>
      <c r="HUV72" s="120"/>
      <c r="HUW72" s="120"/>
      <c r="HUX72" s="120"/>
      <c r="HUY72" s="120"/>
      <c r="HUZ72" s="120"/>
      <c r="HVA72" s="120"/>
      <c r="HVB72" s="120"/>
      <c r="HVC72" s="120"/>
      <c r="HVD72" s="120"/>
      <c r="HVE72" s="120"/>
      <c r="HVF72" s="120"/>
      <c r="HVG72" s="120"/>
      <c r="HVH72" s="120"/>
      <c r="HVI72" s="120"/>
      <c r="HVJ72" s="120"/>
      <c r="HVK72" s="120"/>
      <c r="HVL72" s="120"/>
      <c r="HVM72" s="120"/>
      <c r="HVN72" s="120"/>
      <c r="HVO72" s="120"/>
      <c r="HVP72" s="120"/>
      <c r="HVQ72" s="120"/>
      <c r="HVR72" s="120"/>
      <c r="HVS72" s="120"/>
      <c r="HVT72" s="120"/>
      <c r="HVU72" s="120"/>
      <c r="HVV72" s="120"/>
      <c r="HVW72" s="120"/>
      <c r="HVX72" s="120"/>
      <c r="HVY72" s="120"/>
      <c r="HVZ72" s="120"/>
      <c r="HWA72" s="120"/>
      <c r="HWB72" s="120"/>
      <c r="HWC72" s="120"/>
      <c r="HWD72" s="120"/>
      <c r="HWE72" s="120"/>
      <c r="HWF72" s="120"/>
      <c r="HWG72" s="120"/>
      <c r="HWH72" s="120"/>
      <c r="HWI72" s="120"/>
      <c r="HWJ72" s="120"/>
      <c r="HWK72" s="120"/>
      <c r="HWL72" s="120"/>
      <c r="HWM72" s="120"/>
      <c r="HWN72" s="120"/>
      <c r="HWO72" s="120"/>
      <c r="HWP72" s="120"/>
      <c r="HWQ72" s="120"/>
      <c r="HWR72" s="120"/>
      <c r="HWS72" s="120"/>
      <c r="HWT72" s="120"/>
      <c r="HWU72" s="120"/>
      <c r="HWV72" s="120"/>
      <c r="HWW72" s="120"/>
      <c r="HWX72" s="120"/>
      <c r="HWY72" s="120"/>
      <c r="HWZ72" s="120"/>
      <c r="HXA72" s="120"/>
      <c r="HXB72" s="120"/>
      <c r="HXC72" s="120"/>
      <c r="HXD72" s="120"/>
      <c r="HXE72" s="120"/>
      <c r="HXF72" s="120"/>
      <c r="HXG72" s="120"/>
      <c r="HXH72" s="120"/>
      <c r="HXI72" s="120"/>
      <c r="HXJ72" s="120"/>
      <c r="HXK72" s="120"/>
      <c r="HXL72" s="120"/>
      <c r="HXM72" s="120"/>
      <c r="HXN72" s="120"/>
      <c r="HXO72" s="120"/>
      <c r="HXP72" s="120"/>
      <c r="HXQ72" s="120"/>
      <c r="HXR72" s="120"/>
      <c r="HXS72" s="120"/>
      <c r="HXT72" s="120"/>
      <c r="HXU72" s="120"/>
      <c r="HXV72" s="120"/>
      <c r="HXW72" s="120"/>
      <c r="HXX72" s="120"/>
      <c r="HXY72" s="120"/>
      <c r="HXZ72" s="120"/>
      <c r="HYA72" s="120"/>
      <c r="HYB72" s="120"/>
      <c r="HYC72" s="120"/>
      <c r="HYD72" s="120"/>
      <c r="HYE72" s="120"/>
      <c r="HYF72" s="120"/>
      <c r="HYG72" s="120"/>
      <c r="HYH72" s="120"/>
      <c r="HYI72" s="120"/>
      <c r="HYJ72" s="120"/>
      <c r="HYK72" s="120"/>
      <c r="HYL72" s="120"/>
      <c r="HYM72" s="120"/>
      <c r="HYN72" s="120"/>
      <c r="HYO72" s="120"/>
      <c r="HYP72" s="120"/>
      <c r="HYQ72" s="120"/>
      <c r="HYR72" s="120"/>
      <c r="HYS72" s="120"/>
      <c r="HYT72" s="120"/>
      <c r="HYU72" s="120"/>
      <c r="HYV72" s="120"/>
      <c r="HYW72" s="120"/>
      <c r="HYX72" s="120"/>
      <c r="HYY72" s="120"/>
      <c r="HYZ72" s="120"/>
      <c r="HZA72" s="120"/>
      <c r="HZB72" s="120"/>
      <c r="HZC72" s="120"/>
      <c r="HZD72" s="120"/>
      <c r="HZE72" s="120"/>
      <c r="HZF72" s="120"/>
      <c r="HZG72" s="120"/>
      <c r="HZH72" s="120"/>
      <c r="HZI72" s="120"/>
      <c r="HZJ72" s="120"/>
      <c r="HZK72" s="120"/>
      <c r="HZL72" s="120"/>
      <c r="HZM72" s="120"/>
      <c r="HZN72" s="120"/>
      <c r="HZO72" s="120"/>
      <c r="HZP72" s="120"/>
      <c r="HZQ72" s="120"/>
      <c r="HZR72" s="120"/>
      <c r="HZS72" s="120"/>
      <c r="HZT72" s="120"/>
      <c r="HZU72" s="120"/>
      <c r="HZV72" s="120"/>
      <c r="HZW72" s="120"/>
      <c r="HZX72" s="120"/>
      <c r="HZY72" s="120"/>
      <c r="HZZ72" s="120"/>
      <c r="IAA72" s="120"/>
      <c r="IAB72" s="120"/>
      <c r="IAC72" s="120"/>
      <c r="IAD72" s="120"/>
      <c r="IAE72" s="120"/>
      <c r="IAF72" s="120"/>
      <c r="IAG72" s="120"/>
      <c r="IAH72" s="120"/>
      <c r="IAI72" s="120"/>
      <c r="IAJ72" s="120"/>
      <c r="IAK72" s="120"/>
      <c r="IAL72" s="120"/>
      <c r="IAM72" s="120"/>
      <c r="IAN72" s="120"/>
      <c r="IAO72" s="120"/>
      <c r="IAP72" s="120"/>
      <c r="IAQ72" s="120"/>
      <c r="IAR72" s="120"/>
      <c r="IAS72" s="120"/>
      <c r="IAT72" s="120"/>
      <c r="IAU72" s="120"/>
      <c r="IAV72" s="120"/>
      <c r="IAW72" s="120"/>
      <c r="IAX72" s="120"/>
      <c r="IAY72" s="120"/>
      <c r="IAZ72" s="120"/>
      <c r="IBA72" s="120"/>
      <c r="IBB72" s="120"/>
      <c r="IBC72" s="120"/>
      <c r="IBD72" s="120"/>
      <c r="IBE72" s="120"/>
      <c r="IBF72" s="120"/>
      <c r="IBG72" s="120"/>
      <c r="IBH72" s="120"/>
      <c r="IBI72" s="120"/>
      <c r="IBJ72" s="120"/>
      <c r="IBK72" s="120"/>
      <c r="IBL72" s="120"/>
      <c r="IBM72" s="120"/>
      <c r="IBN72" s="120"/>
      <c r="IBO72" s="120"/>
      <c r="IBP72" s="120"/>
      <c r="IBQ72" s="120"/>
      <c r="IBR72" s="120"/>
      <c r="IBS72" s="120"/>
      <c r="IBT72" s="120"/>
      <c r="IBU72" s="120"/>
      <c r="IBV72" s="120"/>
      <c r="IBW72" s="120"/>
      <c r="IBX72" s="120"/>
      <c r="IBY72" s="120"/>
      <c r="IBZ72" s="120"/>
      <c r="ICA72" s="120"/>
      <c r="ICB72" s="120"/>
      <c r="ICC72" s="120"/>
      <c r="ICD72" s="120"/>
      <c r="ICE72" s="120"/>
      <c r="ICF72" s="120"/>
      <c r="ICG72" s="120"/>
      <c r="ICH72" s="120"/>
      <c r="ICI72" s="120"/>
      <c r="ICJ72" s="120"/>
      <c r="ICK72" s="120"/>
      <c r="ICL72" s="120"/>
      <c r="ICM72" s="120"/>
      <c r="ICN72" s="120"/>
      <c r="ICO72" s="120"/>
      <c r="ICP72" s="120"/>
      <c r="ICQ72" s="120"/>
      <c r="ICR72" s="120"/>
      <c r="ICS72" s="120"/>
      <c r="ICT72" s="120"/>
      <c r="ICU72" s="120"/>
      <c r="ICV72" s="120"/>
      <c r="ICW72" s="120"/>
      <c r="ICX72" s="120"/>
      <c r="ICY72" s="120"/>
      <c r="ICZ72" s="120"/>
      <c r="IDA72" s="120"/>
      <c r="IDB72" s="120"/>
      <c r="IDC72" s="120"/>
      <c r="IDD72" s="120"/>
      <c r="IDE72" s="120"/>
      <c r="IDF72" s="120"/>
      <c r="IDG72" s="120"/>
      <c r="IDH72" s="120"/>
      <c r="IDI72" s="120"/>
      <c r="IDJ72" s="120"/>
      <c r="IDK72" s="120"/>
      <c r="IDL72" s="120"/>
      <c r="IDM72" s="120"/>
      <c r="IDN72" s="120"/>
      <c r="IDO72" s="120"/>
      <c r="IDP72" s="120"/>
      <c r="IDQ72" s="120"/>
      <c r="IDR72" s="120"/>
      <c r="IDS72" s="120"/>
      <c r="IDT72" s="120"/>
      <c r="IDU72" s="120"/>
      <c r="IDV72" s="120"/>
      <c r="IDW72" s="120"/>
      <c r="IDX72" s="120"/>
      <c r="IDY72" s="120"/>
      <c r="IDZ72" s="120"/>
      <c r="IEA72" s="120"/>
      <c r="IEB72" s="120"/>
      <c r="IEC72" s="120"/>
      <c r="IED72" s="120"/>
      <c r="IEE72" s="120"/>
      <c r="IEF72" s="120"/>
      <c r="IEG72" s="120"/>
      <c r="IEH72" s="120"/>
      <c r="IEI72" s="120"/>
      <c r="IEJ72" s="120"/>
      <c r="IEK72" s="120"/>
      <c r="IEL72" s="120"/>
      <c r="IEM72" s="120"/>
      <c r="IEN72" s="120"/>
      <c r="IEO72" s="120"/>
      <c r="IEP72" s="120"/>
      <c r="IEQ72" s="120"/>
      <c r="IER72" s="120"/>
      <c r="IES72" s="120"/>
      <c r="IET72" s="120"/>
      <c r="IEU72" s="120"/>
      <c r="IEV72" s="120"/>
      <c r="IEW72" s="120"/>
      <c r="IEX72" s="120"/>
      <c r="IEY72" s="120"/>
      <c r="IEZ72" s="120"/>
      <c r="IFA72" s="120"/>
      <c r="IFB72" s="120"/>
      <c r="IFC72" s="120"/>
      <c r="IFD72" s="120"/>
      <c r="IFE72" s="120"/>
      <c r="IFF72" s="120"/>
      <c r="IFG72" s="120"/>
      <c r="IFH72" s="120"/>
      <c r="IFI72" s="120"/>
      <c r="IFJ72" s="120"/>
      <c r="IFK72" s="120"/>
      <c r="IFL72" s="120"/>
      <c r="IFM72" s="120"/>
      <c r="IFN72" s="120"/>
      <c r="IFO72" s="120"/>
      <c r="IFP72" s="120"/>
      <c r="IFQ72" s="120"/>
      <c r="IFR72" s="120"/>
      <c r="IFS72" s="120"/>
      <c r="IFT72" s="120"/>
      <c r="IFU72" s="120"/>
      <c r="IFV72" s="120"/>
      <c r="IFW72" s="120"/>
      <c r="IFX72" s="120"/>
      <c r="IFY72" s="120"/>
      <c r="IFZ72" s="120"/>
      <c r="IGA72" s="120"/>
      <c r="IGB72" s="120"/>
      <c r="IGC72" s="120"/>
      <c r="IGD72" s="120"/>
      <c r="IGE72" s="120"/>
      <c r="IGF72" s="120"/>
      <c r="IGG72" s="120"/>
      <c r="IGH72" s="120"/>
      <c r="IGI72" s="120"/>
      <c r="IGJ72" s="120"/>
      <c r="IGK72" s="120"/>
      <c r="IGL72" s="120"/>
      <c r="IGM72" s="120"/>
      <c r="IGN72" s="120"/>
      <c r="IGO72" s="120"/>
      <c r="IGP72" s="120"/>
      <c r="IGQ72" s="120"/>
      <c r="IGR72" s="120"/>
      <c r="IGS72" s="120"/>
      <c r="IGT72" s="120"/>
      <c r="IGU72" s="120"/>
      <c r="IGV72" s="120"/>
      <c r="IGW72" s="120"/>
      <c r="IGX72" s="120"/>
      <c r="IGY72" s="120"/>
      <c r="IGZ72" s="120"/>
      <c r="IHA72" s="120"/>
      <c r="IHB72" s="120"/>
      <c r="IHC72" s="120"/>
      <c r="IHD72" s="120"/>
      <c r="IHE72" s="120"/>
      <c r="IHF72" s="120"/>
      <c r="IHG72" s="120"/>
      <c r="IHH72" s="120"/>
      <c r="IHI72" s="120"/>
      <c r="IHJ72" s="120"/>
      <c r="IHK72" s="120"/>
      <c r="IHL72" s="120"/>
      <c r="IHM72" s="120"/>
      <c r="IHN72" s="120"/>
      <c r="IHO72" s="120"/>
      <c r="IHP72" s="120"/>
      <c r="IHQ72" s="120"/>
      <c r="IHR72" s="120"/>
      <c r="IHS72" s="120"/>
      <c r="IHT72" s="120"/>
      <c r="IHU72" s="120"/>
      <c r="IHV72" s="120"/>
      <c r="IHW72" s="120"/>
      <c r="IHX72" s="120"/>
      <c r="IHY72" s="120"/>
      <c r="IHZ72" s="120"/>
      <c r="IIA72" s="120"/>
      <c r="IIB72" s="120"/>
      <c r="IIC72" s="120"/>
      <c r="IID72" s="120"/>
      <c r="IIE72" s="120"/>
      <c r="IIF72" s="120"/>
      <c r="IIG72" s="120"/>
      <c r="IIH72" s="120"/>
      <c r="III72" s="120"/>
      <c r="IIJ72" s="120"/>
      <c r="IIK72" s="120"/>
      <c r="IIL72" s="120"/>
      <c r="IIM72" s="120"/>
      <c r="IIN72" s="120"/>
      <c r="IIO72" s="120"/>
      <c r="IIP72" s="120"/>
      <c r="IIQ72" s="120"/>
      <c r="IIR72" s="120"/>
      <c r="IIS72" s="120"/>
      <c r="IIT72" s="120"/>
      <c r="IIU72" s="120"/>
      <c r="IIV72" s="120"/>
      <c r="IIW72" s="120"/>
      <c r="IIX72" s="120"/>
      <c r="IIY72" s="120"/>
      <c r="IIZ72" s="120"/>
      <c r="IJA72" s="120"/>
      <c r="IJB72" s="120"/>
      <c r="IJC72" s="120"/>
      <c r="IJD72" s="120"/>
      <c r="IJE72" s="120"/>
      <c r="IJF72" s="120"/>
      <c r="IJG72" s="120"/>
      <c r="IJH72" s="120"/>
      <c r="IJI72" s="120"/>
      <c r="IJJ72" s="120"/>
      <c r="IJK72" s="120"/>
      <c r="IJL72" s="120"/>
      <c r="IJM72" s="120"/>
      <c r="IJN72" s="120"/>
      <c r="IJO72" s="120"/>
      <c r="IJP72" s="120"/>
      <c r="IJQ72" s="120"/>
      <c r="IJR72" s="120"/>
      <c r="IJS72" s="120"/>
      <c r="IJT72" s="120"/>
      <c r="IJU72" s="120"/>
      <c r="IJV72" s="120"/>
      <c r="IJW72" s="120"/>
      <c r="IJX72" s="120"/>
      <c r="IJY72" s="120"/>
      <c r="IJZ72" s="120"/>
      <c r="IKA72" s="120"/>
      <c r="IKB72" s="120"/>
      <c r="IKC72" s="120"/>
      <c r="IKD72" s="120"/>
      <c r="IKE72" s="120"/>
      <c r="IKF72" s="120"/>
      <c r="IKG72" s="120"/>
      <c r="IKH72" s="120"/>
      <c r="IKI72" s="120"/>
      <c r="IKJ72" s="120"/>
      <c r="IKK72" s="120"/>
      <c r="IKL72" s="120"/>
      <c r="IKM72" s="120"/>
      <c r="IKN72" s="120"/>
      <c r="IKO72" s="120"/>
      <c r="IKP72" s="120"/>
      <c r="IKQ72" s="120"/>
      <c r="IKR72" s="120"/>
      <c r="IKS72" s="120"/>
      <c r="IKT72" s="120"/>
      <c r="IKU72" s="120"/>
      <c r="IKV72" s="120"/>
      <c r="IKW72" s="120"/>
      <c r="IKX72" s="120"/>
      <c r="IKY72" s="120"/>
      <c r="IKZ72" s="120"/>
      <c r="ILA72" s="120"/>
      <c r="ILB72" s="120"/>
      <c r="ILC72" s="120"/>
      <c r="ILD72" s="120"/>
      <c r="ILE72" s="120"/>
      <c r="ILF72" s="120"/>
      <c r="ILG72" s="120"/>
      <c r="ILH72" s="120"/>
      <c r="ILI72" s="120"/>
      <c r="ILJ72" s="120"/>
      <c r="ILK72" s="120"/>
      <c r="ILL72" s="120"/>
      <c r="ILM72" s="120"/>
      <c r="ILN72" s="120"/>
      <c r="ILO72" s="120"/>
      <c r="ILP72" s="120"/>
      <c r="ILQ72" s="120"/>
      <c r="ILR72" s="120"/>
      <c r="ILS72" s="120"/>
      <c r="ILT72" s="120"/>
      <c r="ILU72" s="120"/>
      <c r="ILV72" s="120"/>
      <c r="ILW72" s="120"/>
      <c r="ILX72" s="120"/>
      <c r="ILY72" s="120"/>
      <c r="ILZ72" s="120"/>
      <c r="IMA72" s="120"/>
      <c r="IMB72" s="120"/>
      <c r="IMC72" s="120"/>
      <c r="IMD72" s="120"/>
      <c r="IME72" s="120"/>
      <c r="IMF72" s="120"/>
      <c r="IMG72" s="120"/>
      <c r="IMH72" s="120"/>
      <c r="IMI72" s="120"/>
      <c r="IMJ72" s="120"/>
      <c r="IMK72" s="120"/>
      <c r="IML72" s="120"/>
      <c r="IMM72" s="120"/>
      <c r="IMN72" s="120"/>
      <c r="IMO72" s="120"/>
      <c r="IMP72" s="120"/>
      <c r="IMQ72" s="120"/>
      <c r="IMR72" s="120"/>
      <c r="IMS72" s="120"/>
      <c r="IMT72" s="120"/>
      <c r="IMU72" s="120"/>
      <c r="IMV72" s="120"/>
      <c r="IMW72" s="120"/>
      <c r="IMX72" s="120"/>
      <c r="IMY72" s="120"/>
      <c r="IMZ72" s="120"/>
      <c r="INA72" s="120"/>
      <c r="INB72" s="120"/>
      <c r="INC72" s="120"/>
      <c r="IND72" s="120"/>
      <c r="INE72" s="120"/>
      <c r="INF72" s="120"/>
      <c r="ING72" s="120"/>
      <c r="INH72" s="120"/>
      <c r="INI72" s="120"/>
      <c r="INJ72" s="120"/>
      <c r="INK72" s="120"/>
      <c r="INL72" s="120"/>
      <c r="INM72" s="120"/>
      <c r="INN72" s="120"/>
      <c r="INO72" s="120"/>
      <c r="INP72" s="120"/>
      <c r="INQ72" s="120"/>
      <c r="INR72" s="120"/>
      <c r="INS72" s="120"/>
      <c r="INT72" s="120"/>
      <c r="INU72" s="120"/>
      <c r="INV72" s="120"/>
      <c r="INW72" s="120"/>
      <c r="INX72" s="120"/>
      <c r="INY72" s="120"/>
      <c r="INZ72" s="120"/>
      <c r="IOA72" s="120"/>
      <c r="IOB72" s="120"/>
      <c r="IOC72" s="120"/>
      <c r="IOD72" s="120"/>
      <c r="IOE72" s="120"/>
      <c r="IOF72" s="120"/>
      <c r="IOG72" s="120"/>
      <c r="IOH72" s="120"/>
      <c r="IOI72" s="120"/>
      <c r="IOJ72" s="120"/>
      <c r="IOK72" s="120"/>
      <c r="IOL72" s="120"/>
      <c r="IOM72" s="120"/>
      <c r="ION72" s="120"/>
      <c r="IOO72" s="120"/>
      <c r="IOP72" s="120"/>
      <c r="IOQ72" s="120"/>
      <c r="IOR72" s="120"/>
      <c r="IOS72" s="120"/>
      <c r="IOT72" s="120"/>
      <c r="IOU72" s="120"/>
      <c r="IOV72" s="120"/>
      <c r="IOW72" s="120"/>
      <c r="IOX72" s="120"/>
      <c r="IOY72" s="120"/>
      <c r="IOZ72" s="120"/>
      <c r="IPA72" s="120"/>
      <c r="IPB72" s="120"/>
      <c r="IPC72" s="120"/>
      <c r="IPD72" s="120"/>
      <c r="IPE72" s="120"/>
      <c r="IPF72" s="120"/>
      <c r="IPG72" s="120"/>
      <c r="IPH72" s="120"/>
      <c r="IPI72" s="120"/>
      <c r="IPJ72" s="120"/>
      <c r="IPK72" s="120"/>
      <c r="IPL72" s="120"/>
      <c r="IPM72" s="120"/>
      <c r="IPN72" s="120"/>
      <c r="IPO72" s="120"/>
      <c r="IPP72" s="120"/>
      <c r="IPQ72" s="120"/>
      <c r="IPR72" s="120"/>
      <c r="IPS72" s="120"/>
      <c r="IPT72" s="120"/>
      <c r="IPU72" s="120"/>
      <c r="IPV72" s="120"/>
      <c r="IPW72" s="120"/>
      <c r="IPX72" s="120"/>
      <c r="IPY72" s="120"/>
      <c r="IPZ72" s="120"/>
      <c r="IQA72" s="120"/>
      <c r="IQB72" s="120"/>
      <c r="IQC72" s="120"/>
      <c r="IQD72" s="120"/>
      <c r="IQE72" s="120"/>
      <c r="IQF72" s="120"/>
      <c r="IQG72" s="120"/>
      <c r="IQH72" s="120"/>
      <c r="IQI72" s="120"/>
      <c r="IQJ72" s="120"/>
      <c r="IQK72" s="120"/>
      <c r="IQL72" s="120"/>
      <c r="IQM72" s="120"/>
      <c r="IQN72" s="120"/>
      <c r="IQO72" s="120"/>
      <c r="IQP72" s="120"/>
      <c r="IQQ72" s="120"/>
      <c r="IQR72" s="120"/>
      <c r="IQS72" s="120"/>
      <c r="IQT72" s="120"/>
      <c r="IQU72" s="120"/>
      <c r="IQV72" s="120"/>
      <c r="IQW72" s="120"/>
      <c r="IQX72" s="120"/>
      <c r="IQY72" s="120"/>
      <c r="IQZ72" s="120"/>
      <c r="IRA72" s="120"/>
      <c r="IRB72" s="120"/>
      <c r="IRC72" s="120"/>
      <c r="IRD72" s="120"/>
      <c r="IRE72" s="120"/>
      <c r="IRF72" s="120"/>
      <c r="IRG72" s="120"/>
      <c r="IRH72" s="120"/>
      <c r="IRI72" s="120"/>
      <c r="IRJ72" s="120"/>
      <c r="IRK72" s="120"/>
      <c r="IRL72" s="120"/>
      <c r="IRM72" s="120"/>
      <c r="IRN72" s="120"/>
      <c r="IRO72" s="120"/>
      <c r="IRP72" s="120"/>
      <c r="IRQ72" s="120"/>
      <c r="IRR72" s="120"/>
      <c r="IRS72" s="120"/>
      <c r="IRT72" s="120"/>
      <c r="IRU72" s="120"/>
      <c r="IRV72" s="120"/>
      <c r="IRW72" s="120"/>
      <c r="IRX72" s="120"/>
      <c r="IRY72" s="120"/>
      <c r="IRZ72" s="120"/>
      <c r="ISA72" s="120"/>
      <c r="ISB72" s="120"/>
      <c r="ISC72" s="120"/>
      <c r="ISD72" s="120"/>
      <c r="ISE72" s="120"/>
      <c r="ISF72" s="120"/>
      <c r="ISG72" s="120"/>
      <c r="ISH72" s="120"/>
      <c r="ISI72" s="120"/>
      <c r="ISJ72" s="120"/>
      <c r="ISK72" s="120"/>
      <c r="ISL72" s="120"/>
      <c r="ISM72" s="120"/>
      <c r="ISN72" s="120"/>
      <c r="ISO72" s="120"/>
      <c r="ISP72" s="120"/>
      <c r="ISQ72" s="120"/>
      <c r="ISR72" s="120"/>
      <c r="ISS72" s="120"/>
      <c r="IST72" s="120"/>
      <c r="ISU72" s="120"/>
      <c r="ISV72" s="120"/>
      <c r="ISW72" s="120"/>
      <c r="ISX72" s="120"/>
      <c r="ISY72" s="120"/>
      <c r="ISZ72" s="120"/>
      <c r="ITA72" s="120"/>
      <c r="ITB72" s="120"/>
      <c r="ITC72" s="120"/>
      <c r="ITD72" s="120"/>
      <c r="ITE72" s="120"/>
      <c r="ITF72" s="120"/>
      <c r="ITG72" s="120"/>
      <c r="ITH72" s="120"/>
      <c r="ITI72" s="120"/>
      <c r="ITJ72" s="120"/>
      <c r="ITK72" s="120"/>
      <c r="ITL72" s="120"/>
      <c r="ITM72" s="120"/>
      <c r="ITN72" s="120"/>
      <c r="ITO72" s="120"/>
      <c r="ITP72" s="120"/>
      <c r="ITQ72" s="120"/>
      <c r="ITR72" s="120"/>
      <c r="ITS72" s="120"/>
      <c r="ITT72" s="120"/>
      <c r="ITU72" s="120"/>
      <c r="ITV72" s="120"/>
      <c r="ITW72" s="120"/>
      <c r="ITX72" s="120"/>
      <c r="ITY72" s="120"/>
      <c r="ITZ72" s="120"/>
      <c r="IUA72" s="120"/>
      <c r="IUB72" s="120"/>
      <c r="IUC72" s="120"/>
      <c r="IUD72" s="120"/>
      <c r="IUE72" s="120"/>
      <c r="IUF72" s="120"/>
      <c r="IUG72" s="120"/>
      <c r="IUH72" s="120"/>
      <c r="IUI72" s="120"/>
      <c r="IUJ72" s="120"/>
      <c r="IUK72" s="120"/>
      <c r="IUL72" s="120"/>
      <c r="IUM72" s="120"/>
      <c r="IUN72" s="120"/>
      <c r="IUO72" s="120"/>
      <c r="IUP72" s="120"/>
      <c r="IUQ72" s="120"/>
      <c r="IUR72" s="120"/>
      <c r="IUS72" s="120"/>
      <c r="IUT72" s="120"/>
      <c r="IUU72" s="120"/>
      <c r="IUV72" s="120"/>
      <c r="IUW72" s="120"/>
      <c r="IUX72" s="120"/>
      <c r="IUY72" s="120"/>
      <c r="IUZ72" s="120"/>
      <c r="IVA72" s="120"/>
      <c r="IVB72" s="120"/>
      <c r="IVC72" s="120"/>
      <c r="IVD72" s="120"/>
      <c r="IVE72" s="120"/>
      <c r="IVF72" s="120"/>
      <c r="IVG72" s="120"/>
      <c r="IVH72" s="120"/>
      <c r="IVI72" s="120"/>
      <c r="IVJ72" s="120"/>
      <c r="IVK72" s="120"/>
      <c r="IVL72" s="120"/>
      <c r="IVM72" s="120"/>
      <c r="IVN72" s="120"/>
      <c r="IVO72" s="120"/>
      <c r="IVP72" s="120"/>
      <c r="IVQ72" s="120"/>
      <c r="IVR72" s="120"/>
      <c r="IVS72" s="120"/>
      <c r="IVT72" s="120"/>
      <c r="IVU72" s="120"/>
      <c r="IVV72" s="120"/>
      <c r="IVW72" s="120"/>
      <c r="IVX72" s="120"/>
      <c r="IVY72" s="120"/>
      <c r="IVZ72" s="120"/>
      <c r="IWA72" s="120"/>
      <c r="IWB72" s="120"/>
      <c r="IWC72" s="120"/>
      <c r="IWD72" s="120"/>
      <c r="IWE72" s="120"/>
      <c r="IWF72" s="120"/>
      <c r="IWG72" s="120"/>
      <c r="IWH72" s="120"/>
      <c r="IWI72" s="120"/>
      <c r="IWJ72" s="120"/>
      <c r="IWK72" s="120"/>
      <c r="IWL72" s="120"/>
      <c r="IWM72" s="120"/>
      <c r="IWN72" s="120"/>
      <c r="IWO72" s="120"/>
      <c r="IWP72" s="120"/>
      <c r="IWQ72" s="120"/>
      <c r="IWR72" s="120"/>
      <c r="IWS72" s="120"/>
      <c r="IWT72" s="120"/>
      <c r="IWU72" s="120"/>
      <c r="IWV72" s="120"/>
      <c r="IWW72" s="120"/>
      <c r="IWX72" s="120"/>
      <c r="IWY72" s="120"/>
      <c r="IWZ72" s="120"/>
      <c r="IXA72" s="120"/>
      <c r="IXB72" s="120"/>
      <c r="IXC72" s="120"/>
      <c r="IXD72" s="120"/>
      <c r="IXE72" s="120"/>
      <c r="IXF72" s="120"/>
      <c r="IXG72" s="120"/>
      <c r="IXH72" s="120"/>
      <c r="IXI72" s="120"/>
      <c r="IXJ72" s="120"/>
      <c r="IXK72" s="120"/>
      <c r="IXL72" s="120"/>
      <c r="IXM72" s="120"/>
      <c r="IXN72" s="120"/>
      <c r="IXO72" s="120"/>
      <c r="IXP72" s="120"/>
      <c r="IXQ72" s="120"/>
      <c r="IXR72" s="120"/>
      <c r="IXS72" s="120"/>
      <c r="IXT72" s="120"/>
      <c r="IXU72" s="120"/>
      <c r="IXV72" s="120"/>
      <c r="IXW72" s="120"/>
      <c r="IXX72" s="120"/>
      <c r="IXY72" s="120"/>
      <c r="IXZ72" s="120"/>
      <c r="IYA72" s="120"/>
      <c r="IYB72" s="120"/>
      <c r="IYC72" s="120"/>
      <c r="IYD72" s="120"/>
      <c r="IYE72" s="120"/>
      <c r="IYF72" s="120"/>
      <c r="IYG72" s="120"/>
      <c r="IYH72" s="120"/>
      <c r="IYI72" s="120"/>
      <c r="IYJ72" s="120"/>
      <c r="IYK72" s="120"/>
      <c r="IYL72" s="120"/>
      <c r="IYM72" s="120"/>
      <c r="IYN72" s="120"/>
      <c r="IYO72" s="120"/>
      <c r="IYP72" s="120"/>
      <c r="IYQ72" s="120"/>
      <c r="IYR72" s="120"/>
      <c r="IYS72" s="120"/>
      <c r="IYT72" s="120"/>
      <c r="IYU72" s="120"/>
      <c r="IYV72" s="120"/>
      <c r="IYW72" s="120"/>
      <c r="IYX72" s="120"/>
      <c r="IYY72" s="120"/>
      <c r="IYZ72" s="120"/>
      <c r="IZA72" s="120"/>
      <c r="IZB72" s="120"/>
      <c r="IZC72" s="120"/>
      <c r="IZD72" s="120"/>
      <c r="IZE72" s="120"/>
      <c r="IZF72" s="120"/>
      <c r="IZG72" s="120"/>
      <c r="IZH72" s="120"/>
      <c r="IZI72" s="120"/>
      <c r="IZJ72" s="120"/>
      <c r="IZK72" s="120"/>
      <c r="IZL72" s="120"/>
      <c r="IZM72" s="120"/>
      <c r="IZN72" s="120"/>
      <c r="IZO72" s="120"/>
      <c r="IZP72" s="120"/>
      <c r="IZQ72" s="120"/>
      <c r="IZR72" s="120"/>
      <c r="IZS72" s="120"/>
      <c r="IZT72" s="120"/>
      <c r="IZU72" s="120"/>
      <c r="IZV72" s="120"/>
      <c r="IZW72" s="120"/>
      <c r="IZX72" s="120"/>
      <c r="IZY72" s="120"/>
      <c r="IZZ72" s="120"/>
      <c r="JAA72" s="120"/>
      <c r="JAB72" s="120"/>
      <c r="JAC72" s="120"/>
      <c r="JAD72" s="120"/>
      <c r="JAE72" s="120"/>
      <c r="JAF72" s="120"/>
      <c r="JAG72" s="120"/>
      <c r="JAH72" s="120"/>
      <c r="JAI72" s="120"/>
      <c r="JAJ72" s="120"/>
      <c r="JAK72" s="120"/>
      <c r="JAL72" s="120"/>
      <c r="JAM72" s="120"/>
      <c r="JAN72" s="120"/>
      <c r="JAO72" s="120"/>
      <c r="JAP72" s="120"/>
      <c r="JAQ72" s="120"/>
      <c r="JAR72" s="120"/>
      <c r="JAS72" s="120"/>
      <c r="JAT72" s="120"/>
      <c r="JAU72" s="120"/>
      <c r="JAV72" s="120"/>
      <c r="JAW72" s="120"/>
      <c r="JAX72" s="120"/>
      <c r="JAY72" s="120"/>
      <c r="JAZ72" s="120"/>
      <c r="JBA72" s="120"/>
      <c r="JBB72" s="120"/>
      <c r="JBC72" s="120"/>
      <c r="JBD72" s="120"/>
      <c r="JBE72" s="120"/>
      <c r="JBF72" s="120"/>
      <c r="JBG72" s="120"/>
      <c r="JBH72" s="120"/>
      <c r="JBI72" s="120"/>
      <c r="JBJ72" s="120"/>
      <c r="JBK72" s="120"/>
      <c r="JBL72" s="120"/>
      <c r="JBM72" s="120"/>
      <c r="JBN72" s="120"/>
      <c r="JBO72" s="120"/>
      <c r="JBP72" s="120"/>
      <c r="JBQ72" s="120"/>
      <c r="JBR72" s="120"/>
      <c r="JBS72" s="120"/>
      <c r="JBT72" s="120"/>
      <c r="JBU72" s="120"/>
      <c r="JBV72" s="120"/>
      <c r="JBW72" s="120"/>
      <c r="JBX72" s="120"/>
      <c r="JBY72" s="120"/>
      <c r="JBZ72" s="120"/>
      <c r="JCA72" s="120"/>
      <c r="JCB72" s="120"/>
      <c r="JCC72" s="120"/>
      <c r="JCD72" s="120"/>
      <c r="JCE72" s="120"/>
      <c r="JCF72" s="120"/>
      <c r="JCG72" s="120"/>
      <c r="JCH72" s="120"/>
      <c r="JCI72" s="120"/>
      <c r="JCJ72" s="120"/>
      <c r="JCK72" s="120"/>
      <c r="JCL72" s="120"/>
      <c r="JCM72" s="120"/>
      <c r="JCN72" s="120"/>
      <c r="JCO72" s="120"/>
      <c r="JCP72" s="120"/>
      <c r="JCQ72" s="120"/>
      <c r="JCR72" s="120"/>
      <c r="JCS72" s="120"/>
      <c r="JCT72" s="120"/>
      <c r="JCU72" s="120"/>
      <c r="JCV72" s="120"/>
      <c r="JCW72" s="120"/>
      <c r="JCX72" s="120"/>
      <c r="JCY72" s="120"/>
      <c r="JCZ72" s="120"/>
      <c r="JDA72" s="120"/>
      <c r="JDB72" s="120"/>
      <c r="JDC72" s="120"/>
      <c r="JDD72" s="120"/>
      <c r="JDE72" s="120"/>
      <c r="JDF72" s="120"/>
      <c r="JDG72" s="120"/>
      <c r="JDH72" s="120"/>
      <c r="JDI72" s="120"/>
      <c r="JDJ72" s="120"/>
      <c r="JDK72" s="120"/>
      <c r="JDL72" s="120"/>
      <c r="JDM72" s="120"/>
      <c r="JDN72" s="120"/>
      <c r="JDO72" s="120"/>
      <c r="JDP72" s="120"/>
      <c r="JDQ72" s="120"/>
      <c r="JDR72" s="120"/>
      <c r="JDS72" s="120"/>
      <c r="JDT72" s="120"/>
      <c r="JDU72" s="120"/>
      <c r="JDV72" s="120"/>
      <c r="JDW72" s="120"/>
      <c r="JDX72" s="120"/>
      <c r="JDY72" s="120"/>
      <c r="JDZ72" s="120"/>
      <c r="JEA72" s="120"/>
      <c r="JEB72" s="120"/>
      <c r="JEC72" s="120"/>
      <c r="JED72" s="120"/>
      <c r="JEE72" s="120"/>
      <c r="JEF72" s="120"/>
      <c r="JEG72" s="120"/>
      <c r="JEH72" s="120"/>
      <c r="JEI72" s="120"/>
      <c r="JEJ72" s="120"/>
      <c r="JEK72" s="120"/>
      <c r="JEL72" s="120"/>
      <c r="JEM72" s="120"/>
      <c r="JEN72" s="120"/>
      <c r="JEO72" s="120"/>
      <c r="JEP72" s="120"/>
      <c r="JEQ72" s="120"/>
      <c r="JER72" s="120"/>
      <c r="JES72" s="120"/>
      <c r="JET72" s="120"/>
      <c r="JEU72" s="120"/>
      <c r="JEV72" s="120"/>
      <c r="JEW72" s="120"/>
      <c r="JEX72" s="120"/>
      <c r="JEY72" s="120"/>
      <c r="JEZ72" s="120"/>
      <c r="JFA72" s="120"/>
      <c r="JFB72" s="120"/>
      <c r="JFC72" s="120"/>
      <c r="JFD72" s="120"/>
      <c r="JFE72" s="120"/>
      <c r="JFF72" s="120"/>
      <c r="JFG72" s="120"/>
      <c r="JFH72" s="120"/>
      <c r="JFI72" s="120"/>
      <c r="JFJ72" s="120"/>
      <c r="JFK72" s="120"/>
      <c r="JFL72" s="120"/>
      <c r="JFM72" s="120"/>
      <c r="JFN72" s="120"/>
      <c r="JFO72" s="120"/>
      <c r="JFP72" s="120"/>
      <c r="JFQ72" s="120"/>
      <c r="JFR72" s="120"/>
      <c r="JFS72" s="120"/>
      <c r="JFT72" s="120"/>
      <c r="JFU72" s="120"/>
      <c r="JFV72" s="120"/>
      <c r="JFW72" s="120"/>
      <c r="JFX72" s="120"/>
      <c r="JFY72" s="120"/>
      <c r="JFZ72" s="120"/>
      <c r="JGA72" s="120"/>
      <c r="JGB72" s="120"/>
      <c r="JGC72" s="120"/>
      <c r="JGD72" s="120"/>
      <c r="JGE72" s="120"/>
      <c r="JGF72" s="120"/>
      <c r="JGG72" s="120"/>
      <c r="JGH72" s="120"/>
      <c r="JGI72" s="120"/>
      <c r="JGJ72" s="120"/>
      <c r="JGK72" s="120"/>
      <c r="JGL72" s="120"/>
      <c r="JGM72" s="120"/>
      <c r="JGN72" s="120"/>
      <c r="JGO72" s="120"/>
      <c r="JGP72" s="120"/>
      <c r="JGQ72" s="120"/>
      <c r="JGR72" s="120"/>
      <c r="JGS72" s="120"/>
      <c r="JGT72" s="120"/>
      <c r="JGU72" s="120"/>
      <c r="JGV72" s="120"/>
      <c r="JGW72" s="120"/>
      <c r="JGX72" s="120"/>
      <c r="JGY72" s="120"/>
      <c r="JGZ72" s="120"/>
      <c r="JHA72" s="120"/>
      <c r="JHB72" s="120"/>
      <c r="JHC72" s="120"/>
      <c r="JHD72" s="120"/>
      <c r="JHE72" s="120"/>
      <c r="JHF72" s="120"/>
      <c r="JHG72" s="120"/>
      <c r="JHH72" s="120"/>
      <c r="JHI72" s="120"/>
      <c r="JHJ72" s="120"/>
      <c r="JHK72" s="120"/>
      <c r="JHL72" s="120"/>
      <c r="JHM72" s="120"/>
      <c r="JHN72" s="120"/>
      <c r="JHO72" s="120"/>
      <c r="JHP72" s="120"/>
      <c r="JHQ72" s="120"/>
      <c r="JHR72" s="120"/>
      <c r="JHS72" s="120"/>
      <c r="JHT72" s="120"/>
      <c r="JHU72" s="120"/>
      <c r="JHV72" s="120"/>
      <c r="JHW72" s="120"/>
      <c r="JHX72" s="120"/>
      <c r="JHY72" s="120"/>
      <c r="JHZ72" s="120"/>
      <c r="JIA72" s="120"/>
      <c r="JIB72" s="120"/>
      <c r="JIC72" s="120"/>
      <c r="JID72" s="120"/>
      <c r="JIE72" s="120"/>
      <c r="JIF72" s="120"/>
      <c r="JIG72" s="120"/>
      <c r="JIH72" s="120"/>
      <c r="JII72" s="120"/>
      <c r="JIJ72" s="120"/>
      <c r="JIK72" s="120"/>
      <c r="JIL72" s="120"/>
      <c r="JIM72" s="120"/>
      <c r="JIN72" s="120"/>
      <c r="JIO72" s="120"/>
      <c r="JIP72" s="120"/>
      <c r="JIQ72" s="120"/>
      <c r="JIR72" s="120"/>
      <c r="JIS72" s="120"/>
      <c r="JIT72" s="120"/>
      <c r="JIU72" s="120"/>
      <c r="JIV72" s="120"/>
      <c r="JIW72" s="120"/>
      <c r="JIX72" s="120"/>
      <c r="JIY72" s="120"/>
      <c r="JIZ72" s="120"/>
      <c r="JJA72" s="120"/>
      <c r="JJB72" s="120"/>
      <c r="JJC72" s="120"/>
      <c r="JJD72" s="120"/>
      <c r="JJE72" s="120"/>
      <c r="JJF72" s="120"/>
      <c r="JJG72" s="120"/>
      <c r="JJH72" s="120"/>
      <c r="JJI72" s="120"/>
      <c r="JJJ72" s="120"/>
      <c r="JJK72" s="120"/>
      <c r="JJL72" s="120"/>
      <c r="JJM72" s="120"/>
      <c r="JJN72" s="120"/>
      <c r="JJO72" s="120"/>
      <c r="JJP72" s="120"/>
      <c r="JJQ72" s="120"/>
      <c r="JJR72" s="120"/>
      <c r="JJS72" s="120"/>
      <c r="JJT72" s="120"/>
      <c r="JJU72" s="120"/>
      <c r="JJV72" s="120"/>
      <c r="JJW72" s="120"/>
      <c r="JJX72" s="120"/>
      <c r="JJY72" s="120"/>
      <c r="JJZ72" s="120"/>
      <c r="JKA72" s="120"/>
      <c r="JKB72" s="120"/>
      <c r="JKC72" s="120"/>
      <c r="JKD72" s="120"/>
      <c r="JKE72" s="120"/>
      <c r="JKF72" s="120"/>
      <c r="JKG72" s="120"/>
      <c r="JKH72" s="120"/>
      <c r="JKI72" s="120"/>
      <c r="JKJ72" s="120"/>
      <c r="JKK72" s="120"/>
      <c r="JKL72" s="120"/>
      <c r="JKM72" s="120"/>
      <c r="JKN72" s="120"/>
      <c r="JKO72" s="120"/>
      <c r="JKP72" s="120"/>
      <c r="JKQ72" s="120"/>
      <c r="JKR72" s="120"/>
      <c r="JKS72" s="120"/>
      <c r="JKT72" s="120"/>
      <c r="JKU72" s="120"/>
      <c r="JKV72" s="120"/>
      <c r="JKW72" s="120"/>
      <c r="JKX72" s="120"/>
      <c r="JKY72" s="120"/>
      <c r="JKZ72" s="120"/>
      <c r="JLA72" s="120"/>
      <c r="JLB72" s="120"/>
      <c r="JLC72" s="120"/>
      <c r="JLD72" s="120"/>
      <c r="JLE72" s="120"/>
      <c r="JLF72" s="120"/>
      <c r="JLG72" s="120"/>
      <c r="JLH72" s="120"/>
      <c r="JLI72" s="120"/>
      <c r="JLJ72" s="120"/>
      <c r="JLK72" s="120"/>
      <c r="JLL72" s="120"/>
      <c r="JLM72" s="120"/>
      <c r="JLN72" s="120"/>
      <c r="JLO72" s="120"/>
      <c r="JLP72" s="120"/>
      <c r="JLQ72" s="120"/>
      <c r="JLR72" s="120"/>
      <c r="JLS72" s="120"/>
      <c r="JLT72" s="120"/>
      <c r="JLU72" s="120"/>
      <c r="JLV72" s="120"/>
      <c r="JLW72" s="120"/>
      <c r="JLX72" s="120"/>
      <c r="JLY72" s="120"/>
      <c r="JLZ72" s="120"/>
      <c r="JMA72" s="120"/>
      <c r="JMB72" s="120"/>
      <c r="JMC72" s="120"/>
      <c r="JMD72" s="120"/>
      <c r="JME72" s="120"/>
      <c r="JMF72" s="120"/>
      <c r="JMG72" s="120"/>
      <c r="JMH72" s="120"/>
      <c r="JMI72" s="120"/>
      <c r="JMJ72" s="120"/>
      <c r="JMK72" s="120"/>
      <c r="JML72" s="120"/>
      <c r="JMM72" s="120"/>
      <c r="JMN72" s="120"/>
      <c r="JMO72" s="120"/>
      <c r="JMP72" s="120"/>
      <c r="JMQ72" s="120"/>
      <c r="JMR72" s="120"/>
      <c r="JMS72" s="120"/>
      <c r="JMT72" s="120"/>
      <c r="JMU72" s="120"/>
      <c r="JMV72" s="120"/>
      <c r="JMW72" s="120"/>
      <c r="JMX72" s="120"/>
      <c r="JMY72" s="120"/>
      <c r="JMZ72" s="120"/>
      <c r="JNA72" s="120"/>
      <c r="JNB72" s="120"/>
      <c r="JNC72" s="120"/>
      <c r="JND72" s="120"/>
      <c r="JNE72" s="120"/>
      <c r="JNF72" s="120"/>
      <c r="JNG72" s="120"/>
      <c r="JNH72" s="120"/>
      <c r="JNI72" s="120"/>
      <c r="JNJ72" s="120"/>
      <c r="JNK72" s="120"/>
      <c r="JNL72" s="120"/>
      <c r="JNM72" s="120"/>
      <c r="JNN72" s="120"/>
      <c r="JNO72" s="120"/>
      <c r="JNP72" s="120"/>
      <c r="JNQ72" s="120"/>
      <c r="JNR72" s="120"/>
      <c r="JNS72" s="120"/>
      <c r="JNT72" s="120"/>
      <c r="JNU72" s="120"/>
      <c r="JNV72" s="120"/>
      <c r="JNW72" s="120"/>
      <c r="JNX72" s="120"/>
      <c r="JNY72" s="120"/>
      <c r="JNZ72" s="120"/>
      <c r="JOA72" s="120"/>
      <c r="JOB72" s="120"/>
      <c r="JOC72" s="120"/>
      <c r="JOD72" s="120"/>
      <c r="JOE72" s="120"/>
      <c r="JOF72" s="120"/>
      <c r="JOG72" s="120"/>
      <c r="JOH72" s="120"/>
      <c r="JOI72" s="120"/>
      <c r="JOJ72" s="120"/>
      <c r="JOK72" s="120"/>
      <c r="JOL72" s="120"/>
      <c r="JOM72" s="120"/>
      <c r="JON72" s="120"/>
      <c r="JOO72" s="120"/>
      <c r="JOP72" s="120"/>
      <c r="JOQ72" s="120"/>
      <c r="JOR72" s="120"/>
      <c r="JOS72" s="120"/>
      <c r="JOT72" s="120"/>
      <c r="JOU72" s="120"/>
      <c r="JOV72" s="120"/>
      <c r="JOW72" s="120"/>
      <c r="JOX72" s="120"/>
      <c r="JOY72" s="120"/>
      <c r="JOZ72" s="120"/>
      <c r="JPA72" s="120"/>
      <c r="JPB72" s="120"/>
      <c r="JPC72" s="120"/>
      <c r="JPD72" s="120"/>
      <c r="JPE72" s="120"/>
      <c r="JPF72" s="120"/>
      <c r="JPG72" s="120"/>
      <c r="JPH72" s="120"/>
      <c r="JPI72" s="120"/>
      <c r="JPJ72" s="120"/>
      <c r="JPK72" s="120"/>
      <c r="JPL72" s="120"/>
      <c r="JPM72" s="120"/>
      <c r="JPN72" s="120"/>
      <c r="JPO72" s="120"/>
      <c r="JPP72" s="120"/>
      <c r="JPQ72" s="120"/>
      <c r="JPR72" s="120"/>
      <c r="JPS72" s="120"/>
      <c r="JPT72" s="120"/>
      <c r="JPU72" s="120"/>
      <c r="JPV72" s="120"/>
      <c r="JPW72" s="120"/>
      <c r="JPX72" s="120"/>
      <c r="JPY72" s="120"/>
      <c r="JPZ72" s="120"/>
      <c r="JQA72" s="120"/>
      <c r="JQB72" s="120"/>
      <c r="JQC72" s="120"/>
      <c r="JQD72" s="120"/>
      <c r="JQE72" s="120"/>
      <c r="JQF72" s="120"/>
      <c r="JQG72" s="120"/>
      <c r="JQH72" s="120"/>
      <c r="JQI72" s="120"/>
      <c r="JQJ72" s="120"/>
      <c r="JQK72" s="120"/>
      <c r="JQL72" s="120"/>
      <c r="JQM72" s="120"/>
      <c r="JQN72" s="120"/>
      <c r="JQO72" s="120"/>
      <c r="JQP72" s="120"/>
      <c r="JQQ72" s="120"/>
      <c r="JQR72" s="120"/>
      <c r="JQS72" s="120"/>
      <c r="JQT72" s="120"/>
      <c r="JQU72" s="120"/>
      <c r="JQV72" s="120"/>
      <c r="JQW72" s="120"/>
      <c r="JQX72" s="120"/>
      <c r="JQY72" s="120"/>
      <c r="JQZ72" s="120"/>
      <c r="JRA72" s="120"/>
      <c r="JRB72" s="120"/>
      <c r="JRC72" s="120"/>
      <c r="JRD72" s="120"/>
      <c r="JRE72" s="120"/>
      <c r="JRF72" s="120"/>
      <c r="JRG72" s="120"/>
      <c r="JRH72" s="120"/>
      <c r="JRI72" s="120"/>
      <c r="JRJ72" s="120"/>
      <c r="JRK72" s="120"/>
      <c r="JRL72" s="120"/>
      <c r="JRM72" s="120"/>
      <c r="JRN72" s="120"/>
      <c r="JRO72" s="120"/>
      <c r="JRP72" s="120"/>
      <c r="JRQ72" s="120"/>
      <c r="JRR72" s="120"/>
      <c r="JRS72" s="120"/>
      <c r="JRT72" s="120"/>
      <c r="JRU72" s="120"/>
      <c r="JRV72" s="120"/>
      <c r="JRW72" s="120"/>
      <c r="JRX72" s="120"/>
      <c r="JRY72" s="120"/>
      <c r="JRZ72" s="120"/>
      <c r="JSA72" s="120"/>
      <c r="JSB72" s="120"/>
      <c r="JSC72" s="120"/>
      <c r="JSD72" s="120"/>
      <c r="JSE72" s="120"/>
      <c r="JSF72" s="120"/>
      <c r="JSG72" s="120"/>
      <c r="JSH72" s="120"/>
      <c r="JSI72" s="120"/>
      <c r="JSJ72" s="120"/>
      <c r="JSK72" s="120"/>
      <c r="JSL72" s="120"/>
      <c r="JSM72" s="120"/>
      <c r="JSN72" s="120"/>
      <c r="JSO72" s="120"/>
      <c r="JSP72" s="120"/>
      <c r="JSQ72" s="120"/>
      <c r="JSR72" s="120"/>
      <c r="JSS72" s="120"/>
      <c r="JST72" s="120"/>
      <c r="JSU72" s="120"/>
      <c r="JSV72" s="120"/>
      <c r="JSW72" s="120"/>
      <c r="JSX72" s="120"/>
      <c r="JSY72" s="120"/>
      <c r="JSZ72" s="120"/>
      <c r="JTA72" s="120"/>
      <c r="JTB72" s="120"/>
      <c r="JTC72" s="120"/>
      <c r="JTD72" s="120"/>
      <c r="JTE72" s="120"/>
      <c r="JTF72" s="120"/>
      <c r="JTG72" s="120"/>
      <c r="JTH72" s="120"/>
      <c r="JTI72" s="120"/>
      <c r="JTJ72" s="120"/>
      <c r="JTK72" s="120"/>
      <c r="JTL72" s="120"/>
      <c r="JTM72" s="120"/>
      <c r="JTN72" s="120"/>
      <c r="JTO72" s="120"/>
      <c r="JTP72" s="120"/>
      <c r="JTQ72" s="120"/>
      <c r="JTR72" s="120"/>
      <c r="JTS72" s="120"/>
      <c r="JTT72" s="120"/>
      <c r="JTU72" s="120"/>
      <c r="JTV72" s="120"/>
      <c r="JTW72" s="120"/>
      <c r="JTX72" s="120"/>
      <c r="JTY72" s="120"/>
      <c r="JTZ72" s="120"/>
      <c r="JUA72" s="120"/>
      <c r="JUB72" s="120"/>
      <c r="JUC72" s="120"/>
      <c r="JUD72" s="120"/>
      <c r="JUE72" s="120"/>
      <c r="JUF72" s="120"/>
      <c r="JUG72" s="120"/>
      <c r="JUH72" s="120"/>
      <c r="JUI72" s="120"/>
      <c r="JUJ72" s="120"/>
      <c r="JUK72" s="120"/>
      <c r="JUL72" s="120"/>
      <c r="JUM72" s="120"/>
      <c r="JUN72" s="120"/>
      <c r="JUO72" s="120"/>
      <c r="JUP72" s="120"/>
      <c r="JUQ72" s="120"/>
      <c r="JUR72" s="120"/>
      <c r="JUS72" s="120"/>
      <c r="JUT72" s="120"/>
      <c r="JUU72" s="120"/>
      <c r="JUV72" s="120"/>
      <c r="JUW72" s="120"/>
      <c r="JUX72" s="120"/>
      <c r="JUY72" s="120"/>
      <c r="JUZ72" s="120"/>
      <c r="JVA72" s="120"/>
      <c r="JVB72" s="120"/>
      <c r="JVC72" s="120"/>
      <c r="JVD72" s="120"/>
      <c r="JVE72" s="120"/>
      <c r="JVF72" s="120"/>
      <c r="JVG72" s="120"/>
      <c r="JVH72" s="120"/>
      <c r="JVI72" s="120"/>
      <c r="JVJ72" s="120"/>
      <c r="JVK72" s="120"/>
      <c r="JVL72" s="120"/>
      <c r="JVM72" s="120"/>
      <c r="JVN72" s="120"/>
      <c r="JVO72" s="120"/>
      <c r="JVP72" s="120"/>
      <c r="JVQ72" s="120"/>
      <c r="JVR72" s="120"/>
      <c r="JVS72" s="120"/>
      <c r="JVT72" s="120"/>
      <c r="JVU72" s="120"/>
      <c r="JVV72" s="120"/>
      <c r="JVW72" s="120"/>
      <c r="JVX72" s="120"/>
      <c r="JVY72" s="120"/>
      <c r="JVZ72" s="120"/>
      <c r="JWA72" s="120"/>
      <c r="JWB72" s="120"/>
      <c r="JWC72" s="120"/>
      <c r="JWD72" s="120"/>
      <c r="JWE72" s="120"/>
      <c r="JWF72" s="120"/>
      <c r="JWG72" s="120"/>
      <c r="JWH72" s="120"/>
      <c r="JWI72" s="120"/>
      <c r="JWJ72" s="120"/>
      <c r="JWK72" s="120"/>
      <c r="JWL72" s="120"/>
      <c r="JWM72" s="120"/>
      <c r="JWN72" s="120"/>
      <c r="JWO72" s="120"/>
      <c r="JWP72" s="120"/>
      <c r="JWQ72" s="120"/>
      <c r="JWR72" s="120"/>
      <c r="JWS72" s="120"/>
      <c r="JWT72" s="120"/>
      <c r="JWU72" s="120"/>
      <c r="JWV72" s="120"/>
      <c r="JWW72" s="120"/>
      <c r="JWX72" s="120"/>
      <c r="JWY72" s="120"/>
      <c r="JWZ72" s="120"/>
      <c r="JXA72" s="120"/>
      <c r="JXB72" s="120"/>
      <c r="JXC72" s="120"/>
      <c r="JXD72" s="120"/>
      <c r="JXE72" s="120"/>
      <c r="JXF72" s="120"/>
      <c r="JXG72" s="120"/>
      <c r="JXH72" s="120"/>
      <c r="JXI72" s="120"/>
      <c r="JXJ72" s="120"/>
      <c r="JXK72" s="120"/>
      <c r="JXL72" s="120"/>
      <c r="JXM72" s="120"/>
      <c r="JXN72" s="120"/>
      <c r="JXO72" s="120"/>
      <c r="JXP72" s="120"/>
      <c r="JXQ72" s="120"/>
      <c r="JXR72" s="120"/>
      <c r="JXS72" s="120"/>
      <c r="JXT72" s="120"/>
      <c r="JXU72" s="120"/>
      <c r="JXV72" s="120"/>
      <c r="JXW72" s="120"/>
      <c r="JXX72" s="120"/>
      <c r="JXY72" s="120"/>
      <c r="JXZ72" s="120"/>
      <c r="JYA72" s="120"/>
      <c r="JYB72" s="120"/>
      <c r="JYC72" s="120"/>
      <c r="JYD72" s="120"/>
      <c r="JYE72" s="120"/>
      <c r="JYF72" s="120"/>
      <c r="JYG72" s="120"/>
      <c r="JYH72" s="120"/>
      <c r="JYI72" s="120"/>
      <c r="JYJ72" s="120"/>
      <c r="JYK72" s="120"/>
      <c r="JYL72" s="120"/>
      <c r="JYM72" s="120"/>
      <c r="JYN72" s="120"/>
      <c r="JYO72" s="120"/>
      <c r="JYP72" s="120"/>
      <c r="JYQ72" s="120"/>
      <c r="JYR72" s="120"/>
      <c r="JYS72" s="120"/>
      <c r="JYT72" s="120"/>
      <c r="JYU72" s="120"/>
      <c r="JYV72" s="120"/>
      <c r="JYW72" s="120"/>
      <c r="JYX72" s="120"/>
      <c r="JYY72" s="120"/>
      <c r="JYZ72" s="120"/>
      <c r="JZA72" s="120"/>
      <c r="JZB72" s="120"/>
      <c r="JZC72" s="120"/>
      <c r="JZD72" s="120"/>
      <c r="JZE72" s="120"/>
      <c r="JZF72" s="120"/>
      <c r="JZG72" s="120"/>
      <c r="JZH72" s="120"/>
      <c r="JZI72" s="120"/>
      <c r="JZJ72" s="120"/>
      <c r="JZK72" s="120"/>
      <c r="JZL72" s="120"/>
      <c r="JZM72" s="120"/>
      <c r="JZN72" s="120"/>
      <c r="JZO72" s="120"/>
      <c r="JZP72" s="120"/>
      <c r="JZQ72" s="120"/>
      <c r="JZR72" s="120"/>
      <c r="JZS72" s="120"/>
      <c r="JZT72" s="120"/>
      <c r="JZU72" s="120"/>
      <c r="JZV72" s="120"/>
      <c r="JZW72" s="120"/>
      <c r="JZX72" s="120"/>
      <c r="JZY72" s="120"/>
      <c r="JZZ72" s="120"/>
      <c r="KAA72" s="120"/>
      <c r="KAB72" s="120"/>
      <c r="KAC72" s="120"/>
      <c r="KAD72" s="120"/>
      <c r="KAE72" s="120"/>
      <c r="KAF72" s="120"/>
      <c r="KAG72" s="120"/>
      <c r="KAH72" s="120"/>
      <c r="KAI72" s="120"/>
      <c r="KAJ72" s="120"/>
      <c r="KAK72" s="120"/>
      <c r="KAL72" s="120"/>
      <c r="KAM72" s="120"/>
      <c r="KAN72" s="120"/>
      <c r="KAO72" s="120"/>
      <c r="KAP72" s="120"/>
      <c r="KAQ72" s="120"/>
      <c r="KAR72" s="120"/>
      <c r="KAS72" s="120"/>
      <c r="KAT72" s="120"/>
      <c r="KAU72" s="120"/>
      <c r="KAV72" s="120"/>
      <c r="KAW72" s="120"/>
      <c r="KAX72" s="120"/>
      <c r="KAY72" s="120"/>
      <c r="KAZ72" s="120"/>
      <c r="KBA72" s="120"/>
      <c r="KBB72" s="120"/>
      <c r="KBC72" s="120"/>
      <c r="KBD72" s="120"/>
      <c r="KBE72" s="120"/>
      <c r="KBF72" s="120"/>
      <c r="KBG72" s="120"/>
      <c r="KBH72" s="120"/>
      <c r="KBI72" s="120"/>
      <c r="KBJ72" s="120"/>
      <c r="KBK72" s="120"/>
      <c r="KBL72" s="120"/>
      <c r="KBM72" s="120"/>
      <c r="KBN72" s="120"/>
      <c r="KBO72" s="120"/>
      <c r="KBP72" s="120"/>
      <c r="KBQ72" s="120"/>
      <c r="KBR72" s="120"/>
      <c r="KBS72" s="120"/>
      <c r="KBT72" s="120"/>
      <c r="KBU72" s="120"/>
      <c r="KBV72" s="120"/>
      <c r="KBW72" s="120"/>
      <c r="KBX72" s="120"/>
      <c r="KBY72" s="120"/>
      <c r="KBZ72" s="120"/>
      <c r="KCA72" s="120"/>
      <c r="KCB72" s="120"/>
      <c r="KCC72" s="120"/>
      <c r="KCD72" s="120"/>
      <c r="KCE72" s="120"/>
      <c r="KCF72" s="120"/>
      <c r="KCG72" s="120"/>
      <c r="KCH72" s="120"/>
      <c r="KCI72" s="120"/>
      <c r="KCJ72" s="120"/>
      <c r="KCK72" s="120"/>
      <c r="KCL72" s="120"/>
      <c r="KCM72" s="120"/>
      <c r="KCN72" s="120"/>
      <c r="KCO72" s="120"/>
      <c r="KCP72" s="120"/>
      <c r="KCQ72" s="120"/>
      <c r="KCR72" s="120"/>
      <c r="KCS72" s="120"/>
      <c r="KCT72" s="120"/>
      <c r="KCU72" s="120"/>
      <c r="KCV72" s="120"/>
      <c r="KCW72" s="120"/>
      <c r="KCX72" s="120"/>
      <c r="KCY72" s="120"/>
      <c r="KCZ72" s="120"/>
      <c r="KDA72" s="120"/>
      <c r="KDB72" s="120"/>
      <c r="KDC72" s="120"/>
      <c r="KDD72" s="120"/>
      <c r="KDE72" s="120"/>
      <c r="KDF72" s="120"/>
      <c r="KDG72" s="120"/>
      <c r="KDH72" s="120"/>
      <c r="KDI72" s="120"/>
      <c r="KDJ72" s="120"/>
      <c r="KDK72" s="120"/>
      <c r="KDL72" s="120"/>
      <c r="KDM72" s="120"/>
      <c r="KDN72" s="120"/>
      <c r="KDO72" s="120"/>
      <c r="KDP72" s="120"/>
      <c r="KDQ72" s="120"/>
      <c r="KDR72" s="120"/>
      <c r="KDS72" s="120"/>
      <c r="KDT72" s="120"/>
      <c r="KDU72" s="120"/>
      <c r="KDV72" s="120"/>
      <c r="KDW72" s="120"/>
      <c r="KDX72" s="120"/>
      <c r="KDY72" s="120"/>
      <c r="KDZ72" s="120"/>
      <c r="KEA72" s="120"/>
      <c r="KEB72" s="120"/>
      <c r="KEC72" s="120"/>
      <c r="KED72" s="120"/>
      <c r="KEE72" s="120"/>
      <c r="KEF72" s="120"/>
      <c r="KEG72" s="120"/>
      <c r="KEH72" s="120"/>
      <c r="KEI72" s="120"/>
      <c r="KEJ72" s="120"/>
      <c r="KEK72" s="120"/>
      <c r="KEL72" s="120"/>
      <c r="KEM72" s="120"/>
      <c r="KEN72" s="120"/>
      <c r="KEO72" s="120"/>
      <c r="KEP72" s="120"/>
      <c r="KEQ72" s="120"/>
      <c r="KER72" s="120"/>
      <c r="KES72" s="120"/>
      <c r="KET72" s="120"/>
      <c r="KEU72" s="120"/>
      <c r="KEV72" s="120"/>
      <c r="KEW72" s="120"/>
      <c r="KEX72" s="120"/>
      <c r="KEY72" s="120"/>
      <c r="KEZ72" s="120"/>
      <c r="KFA72" s="120"/>
      <c r="KFB72" s="120"/>
      <c r="KFC72" s="120"/>
      <c r="KFD72" s="120"/>
      <c r="KFE72" s="120"/>
      <c r="KFF72" s="120"/>
      <c r="KFG72" s="120"/>
      <c r="KFH72" s="120"/>
      <c r="KFI72" s="120"/>
      <c r="KFJ72" s="120"/>
      <c r="KFK72" s="120"/>
      <c r="KFL72" s="120"/>
      <c r="KFM72" s="120"/>
      <c r="KFN72" s="120"/>
      <c r="KFO72" s="120"/>
      <c r="KFP72" s="120"/>
      <c r="KFQ72" s="120"/>
      <c r="KFR72" s="120"/>
      <c r="KFS72" s="120"/>
      <c r="KFT72" s="120"/>
      <c r="KFU72" s="120"/>
      <c r="KFV72" s="120"/>
      <c r="KFW72" s="120"/>
      <c r="KFX72" s="120"/>
      <c r="KFY72" s="120"/>
      <c r="KFZ72" s="120"/>
      <c r="KGA72" s="120"/>
      <c r="KGB72" s="120"/>
      <c r="KGC72" s="120"/>
      <c r="KGD72" s="120"/>
      <c r="KGE72" s="120"/>
      <c r="KGF72" s="120"/>
      <c r="KGG72" s="120"/>
      <c r="KGH72" s="120"/>
      <c r="KGI72" s="120"/>
      <c r="KGJ72" s="120"/>
      <c r="KGK72" s="120"/>
      <c r="KGL72" s="120"/>
      <c r="KGM72" s="120"/>
      <c r="KGN72" s="120"/>
      <c r="KGO72" s="120"/>
      <c r="KGP72" s="120"/>
      <c r="KGQ72" s="120"/>
      <c r="KGR72" s="120"/>
      <c r="KGS72" s="120"/>
      <c r="KGT72" s="120"/>
      <c r="KGU72" s="120"/>
      <c r="KGV72" s="120"/>
      <c r="KGW72" s="120"/>
      <c r="KGX72" s="120"/>
      <c r="KGY72" s="120"/>
      <c r="KGZ72" s="120"/>
      <c r="KHA72" s="120"/>
      <c r="KHB72" s="120"/>
      <c r="KHC72" s="120"/>
      <c r="KHD72" s="120"/>
      <c r="KHE72" s="120"/>
      <c r="KHF72" s="120"/>
      <c r="KHG72" s="120"/>
      <c r="KHH72" s="120"/>
      <c r="KHI72" s="120"/>
      <c r="KHJ72" s="120"/>
      <c r="KHK72" s="120"/>
      <c r="KHL72" s="120"/>
      <c r="KHM72" s="120"/>
      <c r="KHN72" s="120"/>
      <c r="KHO72" s="120"/>
      <c r="KHP72" s="120"/>
      <c r="KHQ72" s="120"/>
      <c r="KHR72" s="120"/>
      <c r="KHS72" s="120"/>
      <c r="KHT72" s="120"/>
      <c r="KHU72" s="120"/>
      <c r="KHV72" s="120"/>
      <c r="KHW72" s="120"/>
      <c r="KHX72" s="120"/>
      <c r="KHY72" s="120"/>
      <c r="KHZ72" s="120"/>
      <c r="KIA72" s="120"/>
      <c r="KIB72" s="120"/>
      <c r="KIC72" s="120"/>
      <c r="KID72" s="120"/>
      <c r="KIE72" s="120"/>
      <c r="KIF72" s="120"/>
      <c r="KIG72" s="120"/>
      <c r="KIH72" s="120"/>
      <c r="KII72" s="120"/>
      <c r="KIJ72" s="120"/>
      <c r="KIK72" s="120"/>
      <c r="KIL72" s="120"/>
      <c r="KIM72" s="120"/>
      <c r="KIN72" s="120"/>
      <c r="KIO72" s="120"/>
      <c r="KIP72" s="120"/>
      <c r="KIQ72" s="120"/>
      <c r="KIR72" s="120"/>
      <c r="KIS72" s="120"/>
      <c r="KIT72" s="120"/>
      <c r="KIU72" s="120"/>
      <c r="KIV72" s="120"/>
      <c r="KIW72" s="120"/>
      <c r="KIX72" s="120"/>
      <c r="KIY72" s="120"/>
      <c r="KIZ72" s="120"/>
      <c r="KJA72" s="120"/>
      <c r="KJB72" s="120"/>
      <c r="KJC72" s="120"/>
      <c r="KJD72" s="120"/>
      <c r="KJE72" s="120"/>
      <c r="KJF72" s="120"/>
      <c r="KJG72" s="120"/>
      <c r="KJH72" s="120"/>
      <c r="KJI72" s="120"/>
      <c r="KJJ72" s="120"/>
      <c r="KJK72" s="120"/>
      <c r="KJL72" s="120"/>
      <c r="KJM72" s="120"/>
      <c r="KJN72" s="120"/>
      <c r="KJO72" s="120"/>
      <c r="KJP72" s="120"/>
      <c r="KJQ72" s="120"/>
      <c r="KJR72" s="120"/>
      <c r="KJS72" s="120"/>
      <c r="KJT72" s="120"/>
      <c r="KJU72" s="120"/>
      <c r="KJV72" s="120"/>
      <c r="KJW72" s="120"/>
      <c r="KJX72" s="120"/>
      <c r="KJY72" s="120"/>
      <c r="KJZ72" s="120"/>
      <c r="KKA72" s="120"/>
      <c r="KKB72" s="120"/>
      <c r="KKC72" s="120"/>
      <c r="KKD72" s="120"/>
      <c r="KKE72" s="120"/>
      <c r="KKF72" s="120"/>
      <c r="KKG72" s="120"/>
      <c r="KKH72" s="120"/>
      <c r="KKI72" s="120"/>
      <c r="KKJ72" s="120"/>
      <c r="KKK72" s="120"/>
      <c r="KKL72" s="120"/>
      <c r="KKM72" s="120"/>
      <c r="KKN72" s="120"/>
      <c r="KKO72" s="120"/>
      <c r="KKP72" s="120"/>
      <c r="KKQ72" s="120"/>
      <c r="KKR72" s="120"/>
      <c r="KKS72" s="120"/>
      <c r="KKT72" s="120"/>
      <c r="KKU72" s="120"/>
      <c r="KKV72" s="120"/>
      <c r="KKW72" s="120"/>
      <c r="KKX72" s="120"/>
      <c r="KKY72" s="120"/>
      <c r="KKZ72" s="120"/>
      <c r="KLA72" s="120"/>
      <c r="KLB72" s="120"/>
      <c r="KLC72" s="120"/>
      <c r="KLD72" s="120"/>
      <c r="KLE72" s="120"/>
      <c r="KLF72" s="120"/>
      <c r="KLG72" s="120"/>
      <c r="KLH72" s="120"/>
      <c r="KLI72" s="120"/>
      <c r="KLJ72" s="120"/>
      <c r="KLK72" s="120"/>
      <c r="KLL72" s="120"/>
      <c r="KLM72" s="120"/>
      <c r="KLN72" s="120"/>
      <c r="KLO72" s="120"/>
      <c r="KLP72" s="120"/>
      <c r="KLQ72" s="120"/>
      <c r="KLR72" s="120"/>
      <c r="KLS72" s="120"/>
      <c r="KLT72" s="120"/>
      <c r="KLU72" s="120"/>
      <c r="KLV72" s="120"/>
      <c r="KLW72" s="120"/>
      <c r="KLX72" s="120"/>
      <c r="KLY72" s="120"/>
      <c r="KLZ72" s="120"/>
      <c r="KMA72" s="120"/>
      <c r="KMB72" s="120"/>
      <c r="KMC72" s="120"/>
      <c r="KMD72" s="120"/>
      <c r="KME72" s="120"/>
      <c r="KMF72" s="120"/>
      <c r="KMG72" s="120"/>
      <c r="KMH72" s="120"/>
      <c r="KMI72" s="120"/>
      <c r="KMJ72" s="120"/>
      <c r="KMK72" s="120"/>
      <c r="KML72" s="120"/>
      <c r="KMM72" s="120"/>
      <c r="KMN72" s="120"/>
      <c r="KMO72" s="120"/>
      <c r="KMP72" s="120"/>
      <c r="KMQ72" s="120"/>
      <c r="KMR72" s="120"/>
      <c r="KMS72" s="120"/>
      <c r="KMT72" s="120"/>
      <c r="KMU72" s="120"/>
      <c r="KMV72" s="120"/>
      <c r="KMW72" s="120"/>
      <c r="KMX72" s="120"/>
      <c r="KMY72" s="120"/>
      <c r="KMZ72" s="120"/>
      <c r="KNA72" s="120"/>
      <c r="KNB72" s="120"/>
      <c r="KNC72" s="120"/>
      <c r="KND72" s="120"/>
      <c r="KNE72" s="120"/>
      <c r="KNF72" s="120"/>
      <c r="KNG72" s="120"/>
      <c r="KNH72" s="120"/>
      <c r="KNI72" s="120"/>
      <c r="KNJ72" s="120"/>
      <c r="KNK72" s="120"/>
      <c r="KNL72" s="120"/>
      <c r="KNM72" s="120"/>
      <c r="KNN72" s="120"/>
      <c r="KNO72" s="120"/>
      <c r="KNP72" s="120"/>
      <c r="KNQ72" s="120"/>
      <c r="KNR72" s="120"/>
      <c r="KNS72" s="120"/>
      <c r="KNT72" s="120"/>
      <c r="KNU72" s="120"/>
      <c r="KNV72" s="120"/>
      <c r="KNW72" s="120"/>
      <c r="KNX72" s="120"/>
      <c r="KNY72" s="120"/>
      <c r="KNZ72" s="120"/>
      <c r="KOA72" s="120"/>
      <c r="KOB72" s="120"/>
      <c r="KOC72" s="120"/>
      <c r="KOD72" s="120"/>
      <c r="KOE72" s="120"/>
      <c r="KOF72" s="120"/>
      <c r="KOG72" s="120"/>
      <c r="KOH72" s="120"/>
      <c r="KOI72" s="120"/>
      <c r="KOJ72" s="120"/>
      <c r="KOK72" s="120"/>
      <c r="KOL72" s="120"/>
      <c r="KOM72" s="120"/>
      <c r="KON72" s="120"/>
      <c r="KOO72" s="120"/>
      <c r="KOP72" s="120"/>
      <c r="KOQ72" s="120"/>
      <c r="KOR72" s="120"/>
      <c r="KOS72" s="120"/>
      <c r="KOT72" s="120"/>
      <c r="KOU72" s="120"/>
      <c r="KOV72" s="120"/>
      <c r="KOW72" s="120"/>
      <c r="KOX72" s="120"/>
      <c r="KOY72" s="120"/>
      <c r="KOZ72" s="120"/>
      <c r="KPA72" s="120"/>
      <c r="KPB72" s="120"/>
      <c r="KPC72" s="120"/>
      <c r="KPD72" s="120"/>
      <c r="KPE72" s="120"/>
      <c r="KPF72" s="120"/>
      <c r="KPG72" s="120"/>
      <c r="KPH72" s="120"/>
      <c r="KPI72" s="120"/>
      <c r="KPJ72" s="120"/>
      <c r="KPK72" s="120"/>
      <c r="KPL72" s="120"/>
      <c r="KPM72" s="120"/>
      <c r="KPN72" s="120"/>
      <c r="KPO72" s="120"/>
      <c r="KPP72" s="120"/>
      <c r="KPQ72" s="120"/>
      <c r="KPR72" s="120"/>
      <c r="KPS72" s="120"/>
      <c r="KPT72" s="120"/>
      <c r="KPU72" s="120"/>
      <c r="KPV72" s="120"/>
      <c r="KPW72" s="120"/>
      <c r="KPX72" s="120"/>
      <c r="KPY72" s="120"/>
      <c r="KPZ72" s="120"/>
      <c r="KQA72" s="120"/>
      <c r="KQB72" s="120"/>
      <c r="KQC72" s="120"/>
      <c r="KQD72" s="120"/>
      <c r="KQE72" s="120"/>
      <c r="KQF72" s="120"/>
      <c r="KQG72" s="120"/>
      <c r="KQH72" s="120"/>
      <c r="KQI72" s="120"/>
      <c r="KQJ72" s="120"/>
      <c r="KQK72" s="120"/>
      <c r="KQL72" s="120"/>
      <c r="KQM72" s="120"/>
      <c r="KQN72" s="120"/>
      <c r="KQO72" s="120"/>
      <c r="KQP72" s="120"/>
      <c r="KQQ72" s="120"/>
      <c r="KQR72" s="120"/>
      <c r="KQS72" s="120"/>
      <c r="KQT72" s="120"/>
      <c r="KQU72" s="120"/>
      <c r="KQV72" s="120"/>
      <c r="KQW72" s="120"/>
      <c r="KQX72" s="120"/>
      <c r="KQY72" s="120"/>
      <c r="KQZ72" s="120"/>
      <c r="KRA72" s="120"/>
      <c r="KRB72" s="120"/>
      <c r="KRC72" s="120"/>
      <c r="KRD72" s="120"/>
      <c r="KRE72" s="120"/>
      <c r="KRF72" s="120"/>
      <c r="KRG72" s="120"/>
      <c r="KRH72" s="120"/>
      <c r="KRI72" s="120"/>
      <c r="KRJ72" s="120"/>
      <c r="KRK72" s="120"/>
      <c r="KRL72" s="120"/>
      <c r="KRM72" s="120"/>
      <c r="KRN72" s="120"/>
      <c r="KRO72" s="120"/>
      <c r="KRP72" s="120"/>
      <c r="KRQ72" s="120"/>
      <c r="KRR72" s="120"/>
      <c r="KRS72" s="120"/>
      <c r="KRT72" s="120"/>
      <c r="KRU72" s="120"/>
      <c r="KRV72" s="120"/>
      <c r="KRW72" s="120"/>
      <c r="KRX72" s="120"/>
      <c r="KRY72" s="120"/>
      <c r="KRZ72" s="120"/>
      <c r="KSA72" s="120"/>
      <c r="KSB72" s="120"/>
      <c r="KSC72" s="120"/>
      <c r="KSD72" s="120"/>
      <c r="KSE72" s="120"/>
      <c r="KSF72" s="120"/>
      <c r="KSG72" s="120"/>
      <c r="KSH72" s="120"/>
      <c r="KSI72" s="120"/>
      <c r="KSJ72" s="120"/>
      <c r="KSK72" s="120"/>
      <c r="KSL72" s="120"/>
      <c r="KSM72" s="120"/>
      <c r="KSN72" s="120"/>
      <c r="KSO72" s="120"/>
      <c r="KSP72" s="120"/>
      <c r="KSQ72" s="120"/>
      <c r="KSR72" s="120"/>
      <c r="KSS72" s="120"/>
      <c r="KST72" s="120"/>
      <c r="KSU72" s="120"/>
      <c r="KSV72" s="120"/>
      <c r="KSW72" s="120"/>
      <c r="KSX72" s="120"/>
      <c r="KSY72" s="120"/>
      <c r="KSZ72" s="120"/>
      <c r="KTA72" s="120"/>
      <c r="KTB72" s="120"/>
      <c r="KTC72" s="120"/>
      <c r="KTD72" s="120"/>
      <c r="KTE72" s="120"/>
      <c r="KTF72" s="120"/>
      <c r="KTG72" s="120"/>
      <c r="KTH72" s="120"/>
      <c r="KTI72" s="120"/>
      <c r="KTJ72" s="120"/>
      <c r="KTK72" s="120"/>
      <c r="KTL72" s="120"/>
      <c r="KTM72" s="120"/>
      <c r="KTN72" s="120"/>
      <c r="KTO72" s="120"/>
      <c r="KTP72" s="120"/>
      <c r="KTQ72" s="120"/>
      <c r="KTR72" s="120"/>
      <c r="KTS72" s="120"/>
      <c r="KTT72" s="120"/>
      <c r="KTU72" s="120"/>
      <c r="KTV72" s="120"/>
      <c r="KTW72" s="120"/>
      <c r="KTX72" s="120"/>
      <c r="KTY72" s="120"/>
      <c r="KTZ72" s="120"/>
      <c r="KUA72" s="120"/>
      <c r="KUB72" s="120"/>
      <c r="KUC72" s="120"/>
      <c r="KUD72" s="120"/>
      <c r="KUE72" s="120"/>
      <c r="KUF72" s="120"/>
      <c r="KUG72" s="120"/>
      <c r="KUH72" s="120"/>
      <c r="KUI72" s="120"/>
      <c r="KUJ72" s="120"/>
      <c r="KUK72" s="120"/>
      <c r="KUL72" s="120"/>
      <c r="KUM72" s="120"/>
      <c r="KUN72" s="120"/>
      <c r="KUO72" s="120"/>
      <c r="KUP72" s="120"/>
      <c r="KUQ72" s="120"/>
      <c r="KUR72" s="120"/>
      <c r="KUS72" s="120"/>
      <c r="KUT72" s="120"/>
      <c r="KUU72" s="120"/>
      <c r="KUV72" s="120"/>
      <c r="KUW72" s="120"/>
      <c r="KUX72" s="120"/>
      <c r="KUY72" s="120"/>
      <c r="KUZ72" s="120"/>
      <c r="KVA72" s="120"/>
      <c r="KVB72" s="120"/>
      <c r="KVC72" s="120"/>
      <c r="KVD72" s="120"/>
      <c r="KVE72" s="120"/>
      <c r="KVF72" s="120"/>
      <c r="KVG72" s="120"/>
      <c r="KVH72" s="120"/>
      <c r="KVI72" s="120"/>
      <c r="KVJ72" s="120"/>
      <c r="KVK72" s="120"/>
      <c r="KVL72" s="120"/>
      <c r="KVM72" s="120"/>
      <c r="KVN72" s="120"/>
      <c r="KVO72" s="120"/>
      <c r="KVP72" s="120"/>
      <c r="KVQ72" s="120"/>
      <c r="KVR72" s="120"/>
      <c r="KVS72" s="120"/>
      <c r="KVT72" s="120"/>
      <c r="KVU72" s="120"/>
      <c r="KVV72" s="120"/>
      <c r="KVW72" s="120"/>
      <c r="KVX72" s="120"/>
      <c r="KVY72" s="120"/>
      <c r="KVZ72" s="120"/>
      <c r="KWA72" s="120"/>
      <c r="KWB72" s="120"/>
      <c r="KWC72" s="120"/>
      <c r="KWD72" s="120"/>
      <c r="KWE72" s="120"/>
      <c r="KWF72" s="120"/>
      <c r="KWG72" s="120"/>
      <c r="KWH72" s="120"/>
      <c r="KWI72" s="120"/>
      <c r="KWJ72" s="120"/>
      <c r="KWK72" s="120"/>
      <c r="KWL72" s="120"/>
      <c r="KWM72" s="120"/>
      <c r="KWN72" s="120"/>
      <c r="KWO72" s="120"/>
      <c r="KWP72" s="120"/>
      <c r="KWQ72" s="120"/>
      <c r="KWR72" s="120"/>
      <c r="KWS72" s="120"/>
      <c r="KWT72" s="120"/>
      <c r="KWU72" s="120"/>
      <c r="KWV72" s="120"/>
      <c r="KWW72" s="120"/>
      <c r="KWX72" s="120"/>
      <c r="KWY72" s="120"/>
      <c r="KWZ72" s="120"/>
      <c r="KXA72" s="120"/>
      <c r="KXB72" s="120"/>
      <c r="KXC72" s="120"/>
      <c r="KXD72" s="120"/>
      <c r="KXE72" s="120"/>
      <c r="KXF72" s="120"/>
      <c r="KXG72" s="120"/>
      <c r="KXH72" s="120"/>
      <c r="KXI72" s="120"/>
      <c r="KXJ72" s="120"/>
      <c r="KXK72" s="120"/>
      <c r="KXL72" s="120"/>
      <c r="KXM72" s="120"/>
      <c r="KXN72" s="120"/>
      <c r="KXO72" s="120"/>
      <c r="KXP72" s="120"/>
      <c r="KXQ72" s="120"/>
      <c r="KXR72" s="120"/>
      <c r="KXS72" s="120"/>
      <c r="KXT72" s="120"/>
      <c r="KXU72" s="120"/>
      <c r="KXV72" s="120"/>
      <c r="KXW72" s="120"/>
      <c r="KXX72" s="120"/>
      <c r="KXY72" s="120"/>
      <c r="KXZ72" s="120"/>
      <c r="KYA72" s="120"/>
      <c r="KYB72" s="120"/>
      <c r="KYC72" s="120"/>
      <c r="KYD72" s="120"/>
      <c r="KYE72" s="120"/>
      <c r="KYF72" s="120"/>
      <c r="KYG72" s="120"/>
      <c r="KYH72" s="120"/>
      <c r="KYI72" s="120"/>
      <c r="KYJ72" s="120"/>
      <c r="KYK72" s="120"/>
      <c r="KYL72" s="120"/>
      <c r="KYM72" s="120"/>
      <c r="KYN72" s="120"/>
      <c r="KYO72" s="120"/>
      <c r="KYP72" s="120"/>
      <c r="KYQ72" s="120"/>
      <c r="KYR72" s="120"/>
      <c r="KYS72" s="120"/>
      <c r="KYT72" s="120"/>
      <c r="KYU72" s="120"/>
      <c r="KYV72" s="120"/>
      <c r="KYW72" s="120"/>
      <c r="KYX72" s="120"/>
      <c r="KYY72" s="120"/>
      <c r="KYZ72" s="120"/>
      <c r="KZA72" s="120"/>
      <c r="KZB72" s="120"/>
      <c r="KZC72" s="120"/>
      <c r="KZD72" s="120"/>
      <c r="KZE72" s="120"/>
      <c r="KZF72" s="120"/>
      <c r="KZG72" s="120"/>
      <c r="KZH72" s="120"/>
      <c r="KZI72" s="120"/>
      <c r="KZJ72" s="120"/>
      <c r="KZK72" s="120"/>
      <c r="KZL72" s="120"/>
      <c r="KZM72" s="120"/>
      <c r="KZN72" s="120"/>
      <c r="KZO72" s="120"/>
      <c r="KZP72" s="120"/>
      <c r="KZQ72" s="120"/>
      <c r="KZR72" s="120"/>
      <c r="KZS72" s="120"/>
      <c r="KZT72" s="120"/>
      <c r="KZU72" s="120"/>
      <c r="KZV72" s="120"/>
      <c r="KZW72" s="120"/>
      <c r="KZX72" s="120"/>
      <c r="KZY72" s="120"/>
      <c r="KZZ72" s="120"/>
      <c r="LAA72" s="120"/>
      <c r="LAB72" s="120"/>
      <c r="LAC72" s="120"/>
      <c r="LAD72" s="120"/>
      <c r="LAE72" s="120"/>
      <c r="LAF72" s="120"/>
      <c r="LAG72" s="120"/>
      <c r="LAH72" s="120"/>
      <c r="LAI72" s="120"/>
      <c r="LAJ72" s="120"/>
      <c r="LAK72" s="120"/>
      <c r="LAL72" s="120"/>
      <c r="LAM72" s="120"/>
      <c r="LAN72" s="120"/>
      <c r="LAO72" s="120"/>
      <c r="LAP72" s="120"/>
      <c r="LAQ72" s="120"/>
      <c r="LAR72" s="120"/>
      <c r="LAS72" s="120"/>
      <c r="LAT72" s="120"/>
      <c r="LAU72" s="120"/>
      <c r="LAV72" s="120"/>
      <c r="LAW72" s="120"/>
      <c r="LAX72" s="120"/>
      <c r="LAY72" s="120"/>
      <c r="LAZ72" s="120"/>
      <c r="LBA72" s="120"/>
      <c r="LBB72" s="120"/>
      <c r="LBC72" s="120"/>
      <c r="LBD72" s="120"/>
      <c r="LBE72" s="120"/>
      <c r="LBF72" s="120"/>
      <c r="LBG72" s="120"/>
      <c r="LBH72" s="120"/>
      <c r="LBI72" s="120"/>
      <c r="LBJ72" s="120"/>
      <c r="LBK72" s="120"/>
      <c r="LBL72" s="120"/>
      <c r="LBM72" s="120"/>
      <c r="LBN72" s="120"/>
      <c r="LBO72" s="120"/>
      <c r="LBP72" s="120"/>
      <c r="LBQ72" s="120"/>
      <c r="LBR72" s="120"/>
      <c r="LBS72" s="120"/>
      <c r="LBT72" s="120"/>
      <c r="LBU72" s="120"/>
      <c r="LBV72" s="120"/>
      <c r="LBW72" s="120"/>
      <c r="LBX72" s="120"/>
      <c r="LBY72" s="120"/>
      <c r="LBZ72" s="120"/>
      <c r="LCA72" s="120"/>
      <c r="LCB72" s="120"/>
      <c r="LCC72" s="120"/>
      <c r="LCD72" s="120"/>
      <c r="LCE72" s="120"/>
      <c r="LCF72" s="120"/>
      <c r="LCG72" s="120"/>
      <c r="LCH72" s="120"/>
      <c r="LCI72" s="120"/>
      <c r="LCJ72" s="120"/>
      <c r="LCK72" s="120"/>
      <c r="LCL72" s="120"/>
      <c r="LCM72" s="120"/>
      <c r="LCN72" s="120"/>
      <c r="LCO72" s="120"/>
      <c r="LCP72" s="120"/>
      <c r="LCQ72" s="120"/>
      <c r="LCR72" s="120"/>
      <c r="LCS72" s="120"/>
      <c r="LCT72" s="120"/>
      <c r="LCU72" s="120"/>
      <c r="LCV72" s="120"/>
      <c r="LCW72" s="120"/>
      <c r="LCX72" s="120"/>
      <c r="LCY72" s="120"/>
      <c r="LCZ72" s="120"/>
      <c r="LDA72" s="120"/>
      <c r="LDB72" s="120"/>
      <c r="LDC72" s="120"/>
      <c r="LDD72" s="120"/>
      <c r="LDE72" s="120"/>
      <c r="LDF72" s="120"/>
      <c r="LDG72" s="120"/>
      <c r="LDH72" s="120"/>
      <c r="LDI72" s="120"/>
      <c r="LDJ72" s="120"/>
      <c r="LDK72" s="120"/>
      <c r="LDL72" s="120"/>
      <c r="LDM72" s="120"/>
      <c r="LDN72" s="120"/>
      <c r="LDO72" s="120"/>
      <c r="LDP72" s="120"/>
      <c r="LDQ72" s="120"/>
      <c r="LDR72" s="120"/>
      <c r="LDS72" s="120"/>
      <c r="LDT72" s="120"/>
      <c r="LDU72" s="120"/>
      <c r="LDV72" s="120"/>
      <c r="LDW72" s="120"/>
      <c r="LDX72" s="120"/>
      <c r="LDY72" s="120"/>
      <c r="LDZ72" s="120"/>
      <c r="LEA72" s="120"/>
      <c r="LEB72" s="120"/>
      <c r="LEC72" s="120"/>
      <c r="LED72" s="120"/>
      <c r="LEE72" s="120"/>
      <c r="LEF72" s="120"/>
      <c r="LEG72" s="120"/>
      <c r="LEH72" s="120"/>
      <c r="LEI72" s="120"/>
      <c r="LEJ72" s="120"/>
      <c r="LEK72" s="120"/>
      <c r="LEL72" s="120"/>
      <c r="LEM72" s="120"/>
      <c r="LEN72" s="120"/>
      <c r="LEO72" s="120"/>
      <c r="LEP72" s="120"/>
      <c r="LEQ72" s="120"/>
      <c r="LER72" s="120"/>
      <c r="LES72" s="120"/>
      <c r="LET72" s="120"/>
      <c r="LEU72" s="120"/>
      <c r="LEV72" s="120"/>
      <c r="LEW72" s="120"/>
      <c r="LEX72" s="120"/>
      <c r="LEY72" s="120"/>
      <c r="LEZ72" s="120"/>
      <c r="LFA72" s="120"/>
      <c r="LFB72" s="120"/>
      <c r="LFC72" s="120"/>
      <c r="LFD72" s="120"/>
      <c r="LFE72" s="120"/>
      <c r="LFF72" s="120"/>
      <c r="LFG72" s="120"/>
      <c r="LFH72" s="120"/>
      <c r="LFI72" s="120"/>
      <c r="LFJ72" s="120"/>
      <c r="LFK72" s="120"/>
      <c r="LFL72" s="120"/>
      <c r="LFM72" s="120"/>
      <c r="LFN72" s="120"/>
      <c r="LFO72" s="120"/>
      <c r="LFP72" s="120"/>
      <c r="LFQ72" s="120"/>
      <c r="LFR72" s="120"/>
      <c r="LFS72" s="120"/>
      <c r="LFT72" s="120"/>
      <c r="LFU72" s="120"/>
      <c r="LFV72" s="120"/>
      <c r="LFW72" s="120"/>
      <c r="LFX72" s="120"/>
      <c r="LFY72" s="120"/>
      <c r="LFZ72" s="120"/>
      <c r="LGA72" s="120"/>
      <c r="LGB72" s="120"/>
      <c r="LGC72" s="120"/>
      <c r="LGD72" s="120"/>
      <c r="LGE72" s="120"/>
      <c r="LGF72" s="120"/>
      <c r="LGG72" s="120"/>
      <c r="LGH72" s="120"/>
      <c r="LGI72" s="120"/>
      <c r="LGJ72" s="120"/>
      <c r="LGK72" s="120"/>
      <c r="LGL72" s="120"/>
      <c r="LGM72" s="120"/>
      <c r="LGN72" s="120"/>
      <c r="LGO72" s="120"/>
      <c r="LGP72" s="120"/>
      <c r="LGQ72" s="120"/>
      <c r="LGR72" s="120"/>
      <c r="LGS72" s="120"/>
      <c r="LGT72" s="120"/>
      <c r="LGU72" s="120"/>
      <c r="LGV72" s="120"/>
      <c r="LGW72" s="120"/>
      <c r="LGX72" s="120"/>
      <c r="LGY72" s="120"/>
      <c r="LGZ72" s="120"/>
      <c r="LHA72" s="120"/>
      <c r="LHB72" s="120"/>
      <c r="LHC72" s="120"/>
      <c r="LHD72" s="120"/>
      <c r="LHE72" s="120"/>
      <c r="LHF72" s="120"/>
      <c r="LHG72" s="120"/>
      <c r="LHH72" s="120"/>
      <c r="LHI72" s="120"/>
      <c r="LHJ72" s="120"/>
      <c r="LHK72" s="120"/>
      <c r="LHL72" s="120"/>
      <c r="LHM72" s="120"/>
      <c r="LHN72" s="120"/>
      <c r="LHO72" s="120"/>
      <c r="LHP72" s="120"/>
      <c r="LHQ72" s="120"/>
      <c r="LHR72" s="120"/>
      <c r="LHS72" s="120"/>
      <c r="LHT72" s="120"/>
      <c r="LHU72" s="120"/>
      <c r="LHV72" s="120"/>
      <c r="LHW72" s="120"/>
      <c r="LHX72" s="120"/>
      <c r="LHY72" s="120"/>
      <c r="LHZ72" s="120"/>
      <c r="LIA72" s="120"/>
      <c r="LIB72" s="120"/>
      <c r="LIC72" s="120"/>
      <c r="LID72" s="120"/>
      <c r="LIE72" s="120"/>
      <c r="LIF72" s="120"/>
      <c r="LIG72" s="120"/>
      <c r="LIH72" s="120"/>
      <c r="LII72" s="120"/>
      <c r="LIJ72" s="120"/>
      <c r="LIK72" s="120"/>
      <c r="LIL72" s="120"/>
      <c r="LIM72" s="120"/>
      <c r="LIN72" s="120"/>
      <c r="LIO72" s="120"/>
      <c r="LIP72" s="120"/>
      <c r="LIQ72" s="120"/>
      <c r="LIR72" s="120"/>
      <c r="LIS72" s="120"/>
      <c r="LIT72" s="120"/>
      <c r="LIU72" s="120"/>
      <c r="LIV72" s="120"/>
      <c r="LIW72" s="120"/>
      <c r="LIX72" s="120"/>
      <c r="LIY72" s="120"/>
      <c r="LIZ72" s="120"/>
      <c r="LJA72" s="120"/>
      <c r="LJB72" s="120"/>
      <c r="LJC72" s="120"/>
      <c r="LJD72" s="120"/>
      <c r="LJE72" s="120"/>
      <c r="LJF72" s="120"/>
      <c r="LJG72" s="120"/>
      <c r="LJH72" s="120"/>
      <c r="LJI72" s="120"/>
      <c r="LJJ72" s="120"/>
      <c r="LJK72" s="120"/>
      <c r="LJL72" s="120"/>
      <c r="LJM72" s="120"/>
      <c r="LJN72" s="120"/>
      <c r="LJO72" s="120"/>
      <c r="LJP72" s="120"/>
      <c r="LJQ72" s="120"/>
      <c r="LJR72" s="120"/>
      <c r="LJS72" s="120"/>
      <c r="LJT72" s="120"/>
      <c r="LJU72" s="120"/>
      <c r="LJV72" s="120"/>
      <c r="LJW72" s="120"/>
      <c r="LJX72" s="120"/>
      <c r="LJY72" s="120"/>
      <c r="LJZ72" s="120"/>
      <c r="LKA72" s="120"/>
      <c r="LKB72" s="120"/>
      <c r="LKC72" s="120"/>
      <c r="LKD72" s="120"/>
      <c r="LKE72" s="120"/>
      <c r="LKF72" s="120"/>
      <c r="LKG72" s="120"/>
      <c r="LKH72" s="120"/>
      <c r="LKI72" s="120"/>
      <c r="LKJ72" s="120"/>
      <c r="LKK72" s="120"/>
      <c r="LKL72" s="120"/>
      <c r="LKM72" s="120"/>
      <c r="LKN72" s="120"/>
      <c r="LKO72" s="120"/>
      <c r="LKP72" s="120"/>
      <c r="LKQ72" s="120"/>
      <c r="LKR72" s="120"/>
      <c r="LKS72" s="120"/>
      <c r="LKT72" s="120"/>
      <c r="LKU72" s="120"/>
      <c r="LKV72" s="120"/>
      <c r="LKW72" s="120"/>
      <c r="LKX72" s="120"/>
      <c r="LKY72" s="120"/>
      <c r="LKZ72" s="120"/>
      <c r="LLA72" s="120"/>
      <c r="LLB72" s="120"/>
      <c r="LLC72" s="120"/>
      <c r="LLD72" s="120"/>
      <c r="LLE72" s="120"/>
      <c r="LLF72" s="120"/>
      <c r="LLG72" s="120"/>
      <c r="LLH72" s="120"/>
      <c r="LLI72" s="120"/>
      <c r="LLJ72" s="120"/>
      <c r="LLK72" s="120"/>
      <c r="LLL72" s="120"/>
      <c r="LLM72" s="120"/>
      <c r="LLN72" s="120"/>
      <c r="LLO72" s="120"/>
      <c r="LLP72" s="120"/>
      <c r="LLQ72" s="120"/>
      <c r="LLR72" s="120"/>
      <c r="LLS72" s="120"/>
      <c r="LLT72" s="120"/>
      <c r="LLU72" s="120"/>
      <c r="LLV72" s="120"/>
      <c r="LLW72" s="120"/>
      <c r="LLX72" s="120"/>
      <c r="LLY72" s="120"/>
      <c r="LLZ72" s="120"/>
      <c r="LMA72" s="120"/>
      <c r="LMB72" s="120"/>
      <c r="LMC72" s="120"/>
      <c r="LMD72" s="120"/>
      <c r="LME72" s="120"/>
      <c r="LMF72" s="120"/>
      <c r="LMG72" s="120"/>
      <c r="LMH72" s="120"/>
      <c r="LMI72" s="120"/>
      <c r="LMJ72" s="120"/>
      <c r="LMK72" s="120"/>
      <c r="LML72" s="120"/>
      <c r="LMM72" s="120"/>
      <c r="LMN72" s="120"/>
      <c r="LMO72" s="120"/>
      <c r="LMP72" s="120"/>
      <c r="LMQ72" s="120"/>
      <c r="LMR72" s="120"/>
      <c r="LMS72" s="120"/>
      <c r="LMT72" s="120"/>
      <c r="LMU72" s="120"/>
      <c r="LMV72" s="120"/>
      <c r="LMW72" s="120"/>
      <c r="LMX72" s="120"/>
      <c r="LMY72" s="120"/>
      <c r="LMZ72" s="120"/>
      <c r="LNA72" s="120"/>
      <c r="LNB72" s="120"/>
      <c r="LNC72" s="120"/>
      <c r="LND72" s="120"/>
      <c r="LNE72" s="120"/>
      <c r="LNF72" s="120"/>
      <c r="LNG72" s="120"/>
      <c r="LNH72" s="120"/>
      <c r="LNI72" s="120"/>
      <c r="LNJ72" s="120"/>
      <c r="LNK72" s="120"/>
      <c r="LNL72" s="120"/>
      <c r="LNM72" s="120"/>
      <c r="LNN72" s="120"/>
      <c r="LNO72" s="120"/>
      <c r="LNP72" s="120"/>
      <c r="LNQ72" s="120"/>
      <c r="LNR72" s="120"/>
      <c r="LNS72" s="120"/>
      <c r="LNT72" s="120"/>
      <c r="LNU72" s="120"/>
      <c r="LNV72" s="120"/>
      <c r="LNW72" s="120"/>
      <c r="LNX72" s="120"/>
      <c r="LNY72" s="120"/>
      <c r="LNZ72" s="120"/>
      <c r="LOA72" s="120"/>
      <c r="LOB72" s="120"/>
      <c r="LOC72" s="120"/>
      <c r="LOD72" s="120"/>
      <c r="LOE72" s="120"/>
      <c r="LOF72" s="120"/>
      <c r="LOG72" s="120"/>
      <c r="LOH72" s="120"/>
      <c r="LOI72" s="120"/>
      <c r="LOJ72" s="120"/>
      <c r="LOK72" s="120"/>
      <c r="LOL72" s="120"/>
      <c r="LOM72" s="120"/>
      <c r="LON72" s="120"/>
      <c r="LOO72" s="120"/>
      <c r="LOP72" s="120"/>
      <c r="LOQ72" s="120"/>
      <c r="LOR72" s="120"/>
      <c r="LOS72" s="120"/>
      <c r="LOT72" s="120"/>
      <c r="LOU72" s="120"/>
      <c r="LOV72" s="120"/>
      <c r="LOW72" s="120"/>
      <c r="LOX72" s="120"/>
      <c r="LOY72" s="120"/>
      <c r="LOZ72" s="120"/>
      <c r="LPA72" s="120"/>
      <c r="LPB72" s="120"/>
      <c r="LPC72" s="120"/>
      <c r="LPD72" s="120"/>
      <c r="LPE72" s="120"/>
      <c r="LPF72" s="120"/>
      <c r="LPG72" s="120"/>
      <c r="LPH72" s="120"/>
      <c r="LPI72" s="120"/>
      <c r="LPJ72" s="120"/>
      <c r="LPK72" s="120"/>
      <c r="LPL72" s="120"/>
      <c r="LPM72" s="120"/>
      <c r="LPN72" s="120"/>
      <c r="LPO72" s="120"/>
      <c r="LPP72" s="120"/>
      <c r="LPQ72" s="120"/>
      <c r="LPR72" s="120"/>
      <c r="LPS72" s="120"/>
      <c r="LPT72" s="120"/>
      <c r="LPU72" s="120"/>
      <c r="LPV72" s="120"/>
      <c r="LPW72" s="120"/>
      <c r="LPX72" s="120"/>
      <c r="LPY72" s="120"/>
      <c r="LPZ72" s="120"/>
      <c r="LQA72" s="120"/>
      <c r="LQB72" s="120"/>
      <c r="LQC72" s="120"/>
      <c r="LQD72" s="120"/>
      <c r="LQE72" s="120"/>
      <c r="LQF72" s="120"/>
      <c r="LQG72" s="120"/>
      <c r="LQH72" s="120"/>
      <c r="LQI72" s="120"/>
      <c r="LQJ72" s="120"/>
      <c r="LQK72" s="120"/>
      <c r="LQL72" s="120"/>
      <c r="LQM72" s="120"/>
      <c r="LQN72" s="120"/>
      <c r="LQO72" s="120"/>
      <c r="LQP72" s="120"/>
      <c r="LQQ72" s="120"/>
      <c r="LQR72" s="120"/>
      <c r="LQS72" s="120"/>
      <c r="LQT72" s="120"/>
      <c r="LQU72" s="120"/>
      <c r="LQV72" s="120"/>
      <c r="LQW72" s="120"/>
      <c r="LQX72" s="120"/>
      <c r="LQY72" s="120"/>
      <c r="LQZ72" s="120"/>
      <c r="LRA72" s="120"/>
      <c r="LRB72" s="120"/>
      <c r="LRC72" s="120"/>
      <c r="LRD72" s="120"/>
      <c r="LRE72" s="120"/>
      <c r="LRF72" s="120"/>
      <c r="LRG72" s="120"/>
      <c r="LRH72" s="120"/>
      <c r="LRI72" s="120"/>
      <c r="LRJ72" s="120"/>
      <c r="LRK72" s="120"/>
      <c r="LRL72" s="120"/>
      <c r="LRM72" s="120"/>
      <c r="LRN72" s="120"/>
      <c r="LRO72" s="120"/>
      <c r="LRP72" s="120"/>
      <c r="LRQ72" s="120"/>
      <c r="LRR72" s="120"/>
      <c r="LRS72" s="120"/>
      <c r="LRT72" s="120"/>
      <c r="LRU72" s="120"/>
      <c r="LRV72" s="120"/>
      <c r="LRW72" s="120"/>
      <c r="LRX72" s="120"/>
      <c r="LRY72" s="120"/>
      <c r="LRZ72" s="120"/>
      <c r="LSA72" s="120"/>
      <c r="LSB72" s="120"/>
      <c r="LSC72" s="120"/>
      <c r="LSD72" s="120"/>
      <c r="LSE72" s="120"/>
      <c r="LSF72" s="120"/>
      <c r="LSG72" s="120"/>
      <c r="LSH72" s="120"/>
      <c r="LSI72" s="120"/>
      <c r="LSJ72" s="120"/>
      <c r="LSK72" s="120"/>
      <c r="LSL72" s="120"/>
      <c r="LSM72" s="120"/>
      <c r="LSN72" s="120"/>
      <c r="LSO72" s="120"/>
      <c r="LSP72" s="120"/>
      <c r="LSQ72" s="120"/>
      <c r="LSR72" s="120"/>
      <c r="LSS72" s="120"/>
      <c r="LST72" s="120"/>
      <c r="LSU72" s="120"/>
      <c r="LSV72" s="120"/>
      <c r="LSW72" s="120"/>
      <c r="LSX72" s="120"/>
      <c r="LSY72" s="120"/>
      <c r="LSZ72" s="120"/>
      <c r="LTA72" s="120"/>
      <c r="LTB72" s="120"/>
      <c r="LTC72" s="120"/>
      <c r="LTD72" s="120"/>
      <c r="LTE72" s="120"/>
      <c r="LTF72" s="120"/>
      <c r="LTG72" s="120"/>
      <c r="LTH72" s="120"/>
      <c r="LTI72" s="120"/>
      <c r="LTJ72" s="120"/>
      <c r="LTK72" s="120"/>
      <c r="LTL72" s="120"/>
      <c r="LTM72" s="120"/>
      <c r="LTN72" s="120"/>
      <c r="LTO72" s="120"/>
      <c r="LTP72" s="120"/>
      <c r="LTQ72" s="120"/>
      <c r="LTR72" s="120"/>
      <c r="LTS72" s="120"/>
      <c r="LTT72" s="120"/>
      <c r="LTU72" s="120"/>
      <c r="LTV72" s="120"/>
      <c r="LTW72" s="120"/>
      <c r="LTX72" s="120"/>
      <c r="LTY72" s="120"/>
      <c r="LTZ72" s="120"/>
      <c r="LUA72" s="120"/>
      <c r="LUB72" s="120"/>
      <c r="LUC72" s="120"/>
      <c r="LUD72" s="120"/>
      <c r="LUE72" s="120"/>
      <c r="LUF72" s="120"/>
      <c r="LUG72" s="120"/>
      <c r="LUH72" s="120"/>
      <c r="LUI72" s="120"/>
      <c r="LUJ72" s="120"/>
      <c r="LUK72" s="120"/>
      <c r="LUL72" s="120"/>
      <c r="LUM72" s="120"/>
      <c r="LUN72" s="120"/>
      <c r="LUO72" s="120"/>
      <c r="LUP72" s="120"/>
      <c r="LUQ72" s="120"/>
      <c r="LUR72" s="120"/>
      <c r="LUS72" s="120"/>
      <c r="LUT72" s="120"/>
      <c r="LUU72" s="120"/>
      <c r="LUV72" s="120"/>
      <c r="LUW72" s="120"/>
      <c r="LUX72" s="120"/>
      <c r="LUY72" s="120"/>
      <c r="LUZ72" s="120"/>
      <c r="LVA72" s="120"/>
      <c r="LVB72" s="120"/>
      <c r="LVC72" s="120"/>
      <c r="LVD72" s="120"/>
      <c r="LVE72" s="120"/>
      <c r="LVF72" s="120"/>
      <c r="LVG72" s="120"/>
      <c r="LVH72" s="120"/>
      <c r="LVI72" s="120"/>
      <c r="LVJ72" s="120"/>
      <c r="LVK72" s="120"/>
      <c r="LVL72" s="120"/>
      <c r="LVM72" s="120"/>
      <c r="LVN72" s="120"/>
      <c r="LVO72" s="120"/>
      <c r="LVP72" s="120"/>
      <c r="LVQ72" s="120"/>
      <c r="LVR72" s="120"/>
      <c r="LVS72" s="120"/>
      <c r="LVT72" s="120"/>
      <c r="LVU72" s="120"/>
      <c r="LVV72" s="120"/>
      <c r="LVW72" s="120"/>
      <c r="LVX72" s="120"/>
      <c r="LVY72" s="120"/>
      <c r="LVZ72" s="120"/>
      <c r="LWA72" s="120"/>
      <c r="LWB72" s="120"/>
      <c r="LWC72" s="120"/>
      <c r="LWD72" s="120"/>
      <c r="LWE72" s="120"/>
      <c r="LWF72" s="120"/>
      <c r="LWG72" s="120"/>
      <c r="LWH72" s="120"/>
      <c r="LWI72" s="120"/>
      <c r="LWJ72" s="120"/>
      <c r="LWK72" s="120"/>
      <c r="LWL72" s="120"/>
      <c r="LWM72" s="120"/>
      <c r="LWN72" s="120"/>
      <c r="LWO72" s="120"/>
      <c r="LWP72" s="120"/>
      <c r="LWQ72" s="120"/>
      <c r="LWR72" s="120"/>
      <c r="LWS72" s="120"/>
      <c r="LWT72" s="120"/>
      <c r="LWU72" s="120"/>
      <c r="LWV72" s="120"/>
      <c r="LWW72" s="120"/>
      <c r="LWX72" s="120"/>
      <c r="LWY72" s="120"/>
      <c r="LWZ72" s="120"/>
      <c r="LXA72" s="120"/>
      <c r="LXB72" s="120"/>
      <c r="LXC72" s="120"/>
      <c r="LXD72" s="120"/>
      <c r="LXE72" s="120"/>
      <c r="LXF72" s="120"/>
      <c r="LXG72" s="120"/>
      <c r="LXH72" s="120"/>
      <c r="LXI72" s="120"/>
      <c r="LXJ72" s="120"/>
      <c r="LXK72" s="120"/>
      <c r="LXL72" s="120"/>
      <c r="LXM72" s="120"/>
      <c r="LXN72" s="120"/>
      <c r="LXO72" s="120"/>
      <c r="LXP72" s="120"/>
      <c r="LXQ72" s="120"/>
      <c r="LXR72" s="120"/>
      <c r="LXS72" s="120"/>
      <c r="LXT72" s="120"/>
      <c r="LXU72" s="120"/>
      <c r="LXV72" s="120"/>
      <c r="LXW72" s="120"/>
      <c r="LXX72" s="120"/>
      <c r="LXY72" s="120"/>
      <c r="LXZ72" s="120"/>
      <c r="LYA72" s="120"/>
      <c r="LYB72" s="120"/>
      <c r="LYC72" s="120"/>
      <c r="LYD72" s="120"/>
      <c r="LYE72" s="120"/>
      <c r="LYF72" s="120"/>
      <c r="LYG72" s="120"/>
      <c r="LYH72" s="120"/>
      <c r="LYI72" s="120"/>
      <c r="LYJ72" s="120"/>
      <c r="LYK72" s="120"/>
      <c r="LYL72" s="120"/>
      <c r="LYM72" s="120"/>
      <c r="LYN72" s="120"/>
      <c r="LYO72" s="120"/>
      <c r="LYP72" s="120"/>
      <c r="LYQ72" s="120"/>
      <c r="LYR72" s="120"/>
      <c r="LYS72" s="120"/>
      <c r="LYT72" s="120"/>
      <c r="LYU72" s="120"/>
      <c r="LYV72" s="120"/>
      <c r="LYW72" s="120"/>
      <c r="LYX72" s="120"/>
      <c r="LYY72" s="120"/>
      <c r="LYZ72" s="120"/>
      <c r="LZA72" s="120"/>
      <c r="LZB72" s="120"/>
      <c r="LZC72" s="120"/>
      <c r="LZD72" s="120"/>
      <c r="LZE72" s="120"/>
      <c r="LZF72" s="120"/>
      <c r="LZG72" s="120"/>
      <c r="LZH72" s="120"/>
      <c r="LZI72" s="120"/>
      <c r="LZJ72" s="120"/>
      <c r="LZK72" s="120"/>
      <c r="LZL72" s="120"/>
      <c r="LZM72" s="120"/>
      <c r="LZN72" s="120"/>
      <c r="LZO72" s="120"/>
      <c r="LZP72" s="120"/>
      <c r="LZQ72" s="120"/>
      <c r="LZR72" s="120"/>
      <c r="LZS72" s="120"/>
      <c r="LZT72" s="120"/>
      <c r="LZU72" s="120"/>
      <c r="LZV72" s="120"/>
      <c r="LZW72" s="120"/>
      <c r="LZX72" s="120"/>
      <c r="LZY72" s="120"/>
      <c r="LZZ72" s="120"/>
      <c r="MAA72" s="120"/>
      <c r="MAB72" s="120"/>
      <c r="MAC72" s="120"/>
      <c r="MAD72" s="120"/>
      <c r="MAE72" s="120"/>
      <c r="MAF72" s="120"/>
      <c r="MAG72" s="120"/>
      <c r="MAH72" s="120"/>
      <c r="MAI72" s="120"/>
      <c r="MAJ72" s="120"/>
      <c r="MAK72" s="120"/>
      <c r="MAL72" s="120"/>
      <c r="MAM72" s="120"/>
      <c r="MAN72" s="120"/>
      <c r="MAO72" s="120"/>
      <c r="MAP72" s="120"/>
      <c r="MAQ72" s="120"/>
      <c r="MAR72" s="120"/>
      <c r="MAS72" s="120"/>
      <c r="MAT72" s="120"/>
      <c r="MAU72" s="120"/>
      <c r="MAV72" s="120"/>
      <c r="MAW72" s="120"/>
      <c r="MAX72" s="120"/>
      <c r="MAY72" s="120"/>
      <c r="MAZ72" s="120"/>
      <c r="MBA72" s="120"/>
      <c r="MBB72" s="120"/>
      <c r="MBC72" s="120"/>
      <c r="MBD72" s="120"/>
      <c r="MBE72" s="120"/>
      <c r="MBF72" s="120"/>
      <c r="MBG72" s="120"/>
      <c r="MBH72" s="120"/>
      <c r="MBI72" s="120"/>
      <c r="MBJ72" s="120"/>
      <c r="MBK72" s="120"/>
      <c r="MBL72" s="120"/>
      <c r="MBM72" s="120"/>
      <c r="MBN72" s="120"/>
      <c r="MBO72" s="120"/>
      <c r="MBP72" s="120"/>
      <c r="MBQ72" s="120"/>
      <c r="MBR72" s="120"/>
      <c r="MBS72" s="120"/>
      <c r="MBT72" s="120"/>
      <c r="MBU72" s="120"/>
      <c r="MBV72" s="120"/>
      <c r="MBW72" s="120"/>
      <c r="MBX72" s="120"/>
      <c r="MBY72" s="120"/>
      <c r="MBZ72" s="120"/>
      <c r="MCA72" s="120"/>
      <c r="MCB72" s="120"/>
      <c r="MCC72" s="120"/>
      <c r="MCD72" s="120"/>
      <c r="MCE72" s="120"/>
      <c r="MCF72" s="120"/>
      <c r="MCG72" s="120"/>
      <c r="MCH72" s="120"/>
      <c r="MCI72" s="120"/>
      <c r="MCJ72" s="120"/>
      <c r="MCK72" s="120"/>
      <c r="MCL72" s="120"/>
      <c r="MCM72" s="120"/>
      <c r="MCN72" s="120"/>
      <c r="MCO72" s="120"/>
      <c r="MCP72" s="120"/>
      <c r="MCQ72" s="120"/>
      <c r="MCR72" s="120"/>
      <c r="MCS72" s="120"/>
      <c r="MCT72" s="120"/>
      <c r="MCU72" s="120"/>
      <c r="MCV72" s="120"/>
      <c r="MCW72" s="120"/>
      <c r="MCX72" s="120"/>
      <c r="MCY72" s="120"/>
      <c r="MCZ72" s="120"/>
      <c r="MDA72" s="120"/>
      <c r="MDB72" s="120"/>
      <c r="MDC72" s="120"/>
      <c r="MDD72" s="120"/>
      <c r="MDE72" s="120"/>
      <c r="MDF72" s="120"/>
      <c r="MDG72" s="120"/>
      <c r="MDH72" s="120"/>
      <c r="MDI72" s="120"/>
      <c r="MDJ72" s="120"/>
      <c r="MDK72" s="120"/>
      <c r="MDL72" s="120"/>
      <c r="MDM72" s="120"/>
      <c r="MDN72" s="120"/>
      <c r="MDO72" s="120"/>
      <c r="MDP72" s="120"/>
      <c r="MDQ72" s="120"/>
      <c r="MDR72" s="120"/>
      <c r="MDS72" s="120"/>
      <c r="MDT72" s="120"/>
      <c r="MDU72" s="120"/>
      <c r="MDV72" s="120"/>
      <c r="MDW72" s="120"/>
      <c r="MDX72" s="120"/>
      <c r="MDY72" s="120"/>
      <c r="MDZ72" s="120"/>
      <c r="MEA72" s="120"/>
      <c r="MEB72" s="120"/>
      <c r="MEC72" s="120"/>
      <c r="MED72" s="120"/>
      <c r="MEE72" s="120"/>
      <c r="MEF72" s="120"/>
      <c r="MEG72" s="120"/>
      <c r="MEH72" s="120"/>
      <c r="MEI72" s="120"/>
      <c r="MEJ72" s="120"/>
      <c r="MEK72" s="120"/>
      <c r="MEL72" s="120"/>
      <c r="MEM72" s="120"/>
      <c r="MEN72" s="120"/>
      <c r="MEO72" s="120"/>
      <c r="MEP72" s="120"/>
      <c r="MEQ72" s="120"/>
      <c r="MER72" s="120"/>
      <c r="MES72" s="120"/>
      <c r="MET72" s="120"/>
      <c r="MEU72" s="120"/>
      <c r="MEV72" s="120"/>
      <c r="MEW72" s="120"/>
      <c r="MEX72" s="120"/>
      <c r="MEY72" s="120"/>
      <c r="MEZ72" s="120"/>
      <c r="MFA72" s="120"/>
      <c r="MFB72" s="120"/>
      <c r="MFC72" s="120"/>
      <c r="MFD72" s="120"/>
      <c r="MFE72" s="120"/>
      <c r="MFF72" s="120"/>
      <c r="MFG72" s="120"/>
      <c r="MFH72" s="120"/>
      <c r="MFI72" s="120"/>
      <c r="MFJ72" s="120"/>
      <c r="MFK72" s="120"/>
      <c r="MFL72" s="120"/>
      <c r="MFM72" s="120"/>
      <c r="MFN72" s="120"/>
      <c r="MFO72" s="120"/>
      <c r="MFP72" s="120"/>
      <c r="MFQ72" s="120"/>
      <c r="MFR72" s="120"/>
      <c r="MFS72" s="120"/>
      <c r="MFT72" s="120"/>
      <c r="MFU72" s="120"/>
      <c r="MFV72" s="120"/>
      <c r="MFW72" s="120"/>
      <c r="MFX72" s="120"/>
      <c r="MFY72" s="120"/>
      <c r="MFZ72" s="120"/>
      <c r="MGA72" s="120"/>
      <c r="MGB72" s="120"/>
      <c r="MGC72" s="120"/>
      <c r="MGD72" s="120"/>
      <c r="MGE72" s="120"/>
      <c r="MGF72" s="120"/>
      <c r="MGG72" s="120"/>
      <c r="MGH72" s="120"/>
      <c r="MGI72" s="120"/>
      <c r="MGJ72" s="120"/>
      <c r="MGK72" s="120"/>
      <c r="MGL72" s="120"/>
      <c r="MGM72" s="120"/>
      <c r="MGN72" s="120"/>
      <c r="MGO72" s="120"/>
      <c r="MGP72" s="120"/>
      <c r="MGQ72" s="120"/>
      <c r="MGR72" s="120"/>
      <c r="MGS72" s="120"/>
      <c r="MGT72" s="120"/>
      <c r="MGU72" s="120"/>
      <c r="MGV72" s="120"/>
      <c r="MGW72" s="120"/>
      <c r="MGX72" s="120"/>
      <c r="MGY72" s="120"/>
      <c r="MGZ72" s="120"/>
      <c r="MHA72" s="120"/>
      <c r="MHB72" s="120"/>
      <c r="MHC72" s="120"/>
      <c r="MHD72" s="120"/>
      <c r="MHE72" s="120"/>
      <c r="MHF72" s="120"/>
      <c r="MHG72" s="120"/>
      <c r="MHH72" s="120"/>
      <c r="MHI72" s="120"/>
      <c r="MHJ72" s="120"/>
      <c r="MHK72" s="120"/>
      <c r="MHL72" s="120"/>
      <c r="MHM72" s="120"/>
      <c r="MHN72" s="120"/>
      <c r="MHO72" s="120"/>
      <c r="MHP72" s="120"/>
      <c r="MHQ72" s="120"/>
      <c r="MHR72" s="120"/>
      <c r="MHS72" s="120"/>
      <c r="MHT72" s="120"/>
      <c r="MHU72" s="120"/>
      <c r="MHV72" s="120"/>
      <c r="MHW72" s="120"/>
      <c r="MHX72" s="120"/>
      <c r="MHY72" s="120"/>
      <c r="MHZ72" s="120"/>
      <c r="MIA72" s="120"/>
      <c r="MIB72" s="120"/>
      <c r="MIC72" s="120"/>
      <c r="MID72" s="120"/>
      <c r="MIE72" s="120"/>
      <c r="MIF72" s="120"/>
      <c r="MIG72" s="120"/>
      <c r="MIH72" s="120"/>
      <c r="MII72" s="120"/>
      <c r="MIJ72" s="120"/>
      <c r="MIK72" s="120"/>
      <c r="MIL72" s="120"/>
      <c r="MIM72" s="120"/>
      <c r="MIN72" s="120"/>
      <c r="MIO72" s="120"/>
      <c r="MIP72" s="120"/>
      <c r="MIQ72" s="120"/>
      <c r="MIR72" s="120"/>
      <c r="MIS72" s="120"/>
      <c r="MIT72" s="120"/>
      <c r="MIU72" s="120"/>
      <c r="MIV72" s="120"/>
      <c r="MIW72" s="120"/>
      <c r="MIX72" s="120"/>
      <c r="MIY72" s="120"/>
      <c r="MIZ72" s="120"/>
      <c r="MJA72" s="120"/>
      <c r="MJB72" s="120"/>
      <c r="MJC72" s="120"/>
      <c r="MJD72" s="120"/>
      <c r="MJE72" s="120"/>
      <c r="MJF72" s="120"/>
      <c r="MJG72" s="120"/>
      <c r="MJH72" s="120"/>
      <c r="MJI72" s="120"/>
      <c r="MJJ72" s="120"/>
      <c r="MJK72" s="120"/>
      <c r="MJL72" s="120"/>
      <c r="MJM72" s="120"/>
      <c r="MJN72" s="120"/>
      <c r="MJO72" s="120"/>
      <c r="MJP72" s="120"/>
      <c r="MJQ72" s="120"/>
      <c r="MJR72" s="120"/>
      <c r="MJS72" s="120"/>
      <c r="MJT72" s="120"/>
      <c r="MJU72" s="120"/>
      <c r="MJV72" s="120"/>
      <c r="MJW72" s="120"/>
      <c r="MJX72" s="120"/>
      <c r="MJY72" s="120"/>
      <c r="MJZ72" s="120"/>
      <c r="MKA72" s="120"/>
      <c r="MKB72" s="120"/>
      <c r="MKC72" s="120"/>
      <c r="MKD72" s="120"/>
      <c r="MKE72" s="120"/>
      <c r="MKF72" s="120"/>
      <c r="MKG72" s="120"/>
      <c r="MKH72" s="120"/>
      <c r="MKI72" s="120"/>
      <c r="MKJ72" s="120"/>
      <c r="MKK72" s="120"/>
      <c r="MKL72" s="120"/>
      <c r="MKM72" s="120"/>
      <c r="MKN72" s="120"/>
      <c r="MKO72" s="120"/>
      <c r="MKP72" s="120"/>
      <c r="MKQ72" s="120"/>
      <c r="MKR72" s="120"/>
      <c r="MKS72" s="120"/>
      <c r="MKT72" s="120"/>
      <c r="MKU72" s="120"/>
      <c r="MKV72" s="120"/>
      <c r="MKW72" s="120"/>
      <c r="MKX72" s="120"/>
      <c r="MKY72" s="120"/>
      <c r="MKZ72" s="120"/>
      <c r="MLA72" s="120"/>
      <c r="MLB72" s="120"/>
      <c r="MLC72" s="120"/>
      <c r="MLD72" s="120"/>
      <c r="MLE72" s="120"/>
      <c r="MLF72" s="120"/>
      <c r="MLG72" s="120"/>
      <c r="MLH72" s="120"/>
      <c r="MLI72" s="120"/>
      <c r="MLJ72" s="120"/>
      <c r="MLK72" s="120"/>
      <c r="MLL72" s="120"/>
      <c r="MLM72" s="120"/>
      <c r="MLN72" s="120"/>
      <c r="MLO72" s="120"/>
      <c r="MLP72" s="120"/>
      <c r="MLQ72" s="120"/>
      <c r="MLR72" s="120"/>
      <c r="MLS72" s="120"/>
      <c r="MLT72" s="120"/>
      <c r="MLU72" s="120"/>
      <c r="MLV72" s="120"/>
      <c r="MLW72" s="120"/>
      <c r="MLX72" s="120"/>
      <c r="MLY72" s="120"/>
      <c r="MLZ72" s="120"/>
      <c r="MMA72" s="120"/>
      <c r="MMB72" s="120"/>
      <c r="MMC72" s="120"/>
      <c r="MMD72" s="120"/>
      <c r="MME72" s="120"/>
      <c r="MMF72" s="120"/>
      <c r="MMG72" s="120"/>
      <c r="MMH72" s="120"/>
      <c r="MMI72" s="120"/>
      <c r="MMJ72" s="120"/>
      <c r="MMK72" s="120"/>
      <c r="MML72" s="120"/>
      <c r="MMM72" s="120"/>
      <c r="MMN72" s="120"/>
      <c r="MMO72" s="120"/>
      <c r="MMP72" s="120"/>
      <c r="MMQ72" s="120"/>
      <c r="MMR72" s="120"/>
      <c r="MMS72" s="120"/>
      <c r="MMT72" s="120"/>
      <c r="MMU72" s="120"/>
      <c r="MMV72" s="120"/>
      <c r="MMW72" s="120"/>
      <c r="MMX72" s="120"/>
      <c r="MMY72" s="120"/>
      <c r="MMZ72" s="120"/>
      <c r="MNA72" s="120"/>
      <c r="MNB72" s="120"/>
      <c r="MNC72" s="120"/>
      <c r="MND72" s="120"/>
      <c r="MNE72" s="120"/>
      <c r="MNF72" s="120"/>
      <c r="MNG72" s="120"/>
      <c r="MNH72" s="120"/>
      <c r="MNI72" s="120"/>
      <c r="MNJ72" s="120"/>
      <c r="MNK72" s="120"/>
      <c r="MNL72" s="120"/>
      <c r="MNM72" s="120"/>
      <c r="MNN72" s="120"/>
      <c r="MNO72" s="120"/>
      <c r="MNP72" s="120"/>
      <c r="MNQ72" s="120"/>
      <c r="MNR72" s="120"/>
      <c r="MNS72" s="120"/>
      <c r="MNT72" s="120"/>
      <c r="MNU72" s="120"/>
      <c r="MNV72" s="120"/>
      <c r="MNW72" s="120"/>
      <c r="MNX72" s="120"/>
      <c r="MNY72" s="120"/>
      <c r="MNZ72" s="120"/>
      <c r="MOA72" s="120"/>
      <c r="MOB72" s="120"/>
      <c r="MOC72" s="120"/>
      <c r="MOD72" s="120"/>
      <c r="MOE72" s="120"/>
      <c r="MOF72" s="120"/>
      <c r="MOG72" s="120"/>
      <c r="MOH72" s="120"/>
      <c r="MOI72" s="120"/>
      <c r="MOJ72" s="120"/>
      <c r="MOK72" s="120"/>
      <c r="MOL72" s="120"/>
      <c r="MOM72" s="120"/>
      <c r="MON72" s="120"/>
      <c r="MOO72" s="120"/>
      <c r="MOP72" s="120"/>
      <c r="MOQ72" s="120"/>
      <c r="MOR72" s="120"/>
      <c r="MOS72" s="120"/>
      <c r="MOT72" s="120"/>
      <c r="MOU72" s="120"/>
      <c r="MOV72" s="120"/>
      <c r="MOW72" s="120"/>
      <c r="MOX72" s="120"/>
      <c r="MOY72" s="120"/>
      <c r="MOZ72" s="120"/>
      <c r="MPA72" s="120"/>
      <c r="MPB72" s="120"/>
      <c r="MPC72" s="120"/>
      <c r="MPD72" s="120"/>
      <c r="MPE72" s="120"/>
      <c r="MPF72" s="120"/>
      <c r="MPG72" s="120"/>
      <c r="MPH72" s="120"/>
      <c r="MPI72" s="120"/>
      <c r="MPJ72" s="120"/>
      <c r="MPK72" s="120"/>
      <c r="MPL72" s="120"/>
      <c r="MPM72" s="120"/>
      <c r="MPN72" s="120"/>
      <c r="MPO72" s="120"/>
      <c r="MPP72" s="120"/>
      <c r="MPQ72" s="120"/>
      <c r="MPR72" s="120"/>
      <c r="MPS72" s="120"/>
      <c r="MPT72" s="120"/>
      <c r="MPU72" s="120"/>
      <c r="MPV72" s="120"/>
      <c r="MPW72" s="120"/>
      <c r="MPX72" s="120"/>
      <c r="MPY72" s="120"/>
      <c r="MPZ72" s="120"/>
      <c r="MQA72" s="120"/>
      <c r="MQB72" s="120"/>
      <c r="MQC72" s="120"/>
      <c r="MQD72" s="120"/>
      <c r="MQE72" s="120"/>
      <c r="MQF72" s="120"/>
      <c r="MQG72" s="120"/>
      <c r="MQH72" s="120"/>
      <c r="MQI72" s="120"/>
      <c r="MQJ72" s="120"/>
      <c r="MQK72" s="120"/>
      <c r="MQL72" s="120"/>
      <c r="MQM72" s="120"/>
      <c r="MQN72" s="120"/>
      <c r="MQO72" s="120"/>
      <c r="MQP72" s="120"/>
      <c r="MQQ72" s="120"/>
      <c r="MQR72" s="120"/>
      <c r="MQS72" s="120"/>
      <c r="MQT72" s="120"/>
      <c r="MQU72" s="120"/>
      <c r="MQV72" s="120"/>
      <c r="MQW72" s="120"/>
      <c r="MQX72" s="120"/>
      <c r="MQY72" s="120"/>
      <c r="MQZ72" s="120"/>
      <c r="MRA72" s="120"/>
      <c r="MRB72" s="120"/>
      <c r="MRC72" s="120"/>
      <c r="MRD72" s="120"/>
      <c r="MRE72" s="120"/>
      <c r="MRF72" s="120"/>
      <c r="MRG72" s="120"/>
      <c r="MRH72" s="120"/>
      <c r="MRI72" s="120"/>
      <c r="MRJ72" s="120"/>
      <c r="MRK72" s="120"/>
      <c r="MRL72" s="120"/>
      <c r="MRM72" s="120"/>
      <c r="MRN72" s="120"/>
      <c r="MRO72" s="120"/>
      <c r="MRP72" s="120"/>
      <c r="MRQ72" s="120"/>
      <c r="MRR72" s="120"/>
      <c r="MRS72" s="120"/>
      <c r="MRT72" s="120"/>
      <c r="MRU72" s="120"/>
      <c r="MRV72" s="120"/>
      <c r="MRW72" s="120"/>
      <c r="MRX72" s="120"/>
      <c r="MRY72" s="120"/>
      <c r="MRZ72" s="120"/>
      <c r="MSA72" s="120"/>
      <c r="MSB72" s="120"/>
      <c r="MSC72" s="120"/>
      <c r="MSD72" s="120"/>
      <c r="MSE72" s="120"/>
      <c r="MSF72" s="120"/>
      <c r="MSG72" s="120"/>
      <c r="MSH72" s="120"/>
      <c r="MSI72" s="120"/>
      <c r="MSJ72" s="120"/>
      <c r="MSK72" s="120"/>
      <c r="MSL72" s="120"/>
      <c r="MSM72" s="120"/>
      <c r="MSN72" s="120"/>
      <c r="MSO72" s="120"/>
      <c r="MSP72" s="120"/>
      <c r="MSQ72" s="120"/>
      <c r="MSR72" s="120"/>
      <c r="MSS72" s="120"/>
      <c r="MST72" s="120"/>
      <c r="MSU72" s="120"/>
      <c r="MSV72" s="120"/>
      <c r="MSW72" s="120"/>
      <c r="MSX72" s="120"/>
      <c r="MSY72" s="120"/>
      <c r="MSZ72" s="120"/>
      <c r="MTA72" s="120"/>
      <c r="MTB72" s="120"/>
      <c r="MTC72" s="120"/>
      <c r="MTD72" s="120"/>
      <c r="MTE72" s="120"/>
      <c r="MTF72" s="120"/>
      <c r="MTG72" s="120"/>
      <c r="MTH72" s="120"/>
      <c r="MTI72" s="120"/>
      <c r="MTJ72" s="120"/>
      <c r="MTK72" s="120"/>
      <c r="MTL72" s="120"/>
      <c r="MTM72" s="120"/>
      <c r="MTN72" s="120"/>
      <c r="MTO72" s="120"/>
      <c r="MTP72" s="120"/>
      <c r="MTQ72" s="120"/>
      <c r="MTR72" s="120"/>
      <c r="MTS72" s="120"/>
      <c r="MTT72" s="120"/>
      <c r="MTU72" s="120"/>
      <c r="MTV72" s="120"/>
      <c r="MTW72" s="120"/>
      <c r="MTX72" s="120"/>
      <c r="MTY72" s="120"/>
      <c r="MTZ72" s="120"/>
      <c r="MUA72" s="120"/>
      <c r="MUB72" s="120"/>
      <c r="MUC72" s="120"/>
      <c r="MUD72" s="120"/>
      <c r="MUE72" s="120"/>
      <c r="MUF72" s="120"/>
      <c r="MUG72" s="120"/>
      <c r="MUH72" s="120"/>
      <c r="MUI72" s="120"/>
      <c r="MUJ72" s="120"/>
      <c r="MUK72" s="120"/>
      <c r="MUL72" s="120"/>
      <c r="MUM72" s="120"/>
      <c r="MUN72" s="120"/>
      <c r="MUO72" s="120"/>
      <c r="MUP72" s="120"/>
      <c r="MUQ72" s="120"/>
      <c r="MUR72" s="120"/>
      <c r="MUS72" s="120"/>
      <c r="MUT72" s="120"/>
      <c r="MUU72" s="120"/>
      <c r="MUV72" s="120"/>
      <c r="MUW72" s="120"/>
      <c r="MUX72" s="120"/>
      <c r="MUY72" s="120"/>
      <c r="MUZ72" s="120"/>
      <c r="MVA72" s="120"/>
      <c r="MVB72" s="120"/>
      <c r="MVC72" s="120"/>
      <c r="MVD72" s="120"/>
      <c r="MVE72" s="120"/>
      <c r="MVF72" s="120"/>
      <c r="MVG72" s="120"/>
      <c r="MVH72" s="120"/>
      <c r="MVI72" s="120"/>
      <c r="MVJ72" s="120"/>
      <c r="MVK72" s="120"/>
      <c r="MVL72" s="120"/>
      <c r="MVM72" s="120"/>
      <c r="MVN72" s="120"/>
      <c r="MVO72" s="120"/>
      <c r="MVP72" s="120"/>
      <c r="MVQ72" s="120"/>
      <c r="MVR72" s="120"/>
      <c r="MVS72" s="120"/>
      <c r="MVT72" s="120"/>
      <c r="MVU72" s="120"/>
      <c r="MVV72" s="120"/>
      <c r="MVW72" s="120"/>
      <c r="MVX72" s="120"/>
      <c r="MVY72" s="120"/>
      <c r="MVZ72" s="120"/>
      <c r="MWA72" s="120"/>
      <c r="MWB72" s="120"/>
      <c r="MWC72" s="120"/>
      <c r="MWD72" s="120"/>
      <c r="MWE72" s="120"/>
      <c r="MWF72" s="120"/>
      <c r="MWG72" s="120"/>
      <c r="MWH72" s="120"/>
      <c r="MWI72" s="120"/>
      <c r="MWJ72" s="120"/>
      <c r="MWK72" s="120"/>
      <c r="MWL72" s="120"/>
      <c r="MWM72" s="120"/>
      <c r="MWN72" s="120"/>
      <c r="MWO72" s="120"/>
      <c r="MWP72" s="120"/>
      <c r="MWQ72" s="120"/>
      <c r="MWR72" s="120"/>
      <c r="MWS72" s="120"/>
      <c r="MWT72" s="120"/>
      <c r="MWU72" s="120"/>
      <c r="MWV72" s="120"/>
      <c r="MWW72" s="120"/>
      <c r="MWX72" s="120"/>
      <c r="MWY72" s="120"/>
      <c r="MWZ72" s="120"/>
      <c r="MXA72" s="120"/>
      <c r="MXB72" s="120"/>
      <c r="MXC72" s="120"/>
      <c r="MXD72" s="120"/>
      <c r="MXE72" s="120"/>
      <c r="MXF72" s="120"/>
      <c r="MXG72" s="120"/>
      <c r="MXH72" s="120"/>
      <c r="MXI72" s="120"/>
      <c r="MXJ72" s="120"/>
      <c r="MXK72" s="120"/>
      <c r="MXL72" s="120"/>
      <c r="MXM72" s="120"/>
      <c r="MXN72" s="120"/>
      <c r="MXO72" s="120"/>
      <c r="MXP72" s="120"/>
      <c r="MXQ72" s="120"/>
      <c r="MXR72" s="120"/>
      <c r="MXS72" s="120"/>
      <c r="MXT72" s="120"/>
      <c r="MXU72" s="120"/>
      <c r="MXV72" s="120"/>
      <c r="MXW72" s="120"/>
      <c r="MXX72" s="120"/>
      <c r="MXY72" s="120"/>
      <c r="MXZ72" s="120"/>
      <c r="MYA72" s="120"/>
      <c r="MYB72" s="120"/>
      <c r="MYC72" s="120"/>
      <c r="MYD72" s="120"/>
      <c r="MYE72" s="120"/>
      <c r="MYF72" s="120"/>
      <c r="MYG72" s="120"/>
      <c r="MYH72" s="120"/>
      <c r="MYI72" s="120"/>
      <c r="MYJ72" s="120"/>
      <c r="MYK72" s="120"/>
      <c r="MYL72" s="120"/>
      <c r="MYM72" s="120"/>
      <c r="MYN72" s="120"/>
      <c r="MYO72" s="120"/>
      <c r="MYP72" s="120"/>
      <c r="MYQ72" s="120"/>
      <c r="MYR72" s="120"/>
      <c r="MYS72" s="120"/>
      <c r="MYT72" s="120"/>
      <c r="MYU72" s="120"/>
      <c r="MYV72" s="120"/>
      <c r="MYW72" s="120"/>
      <c r="MYX72" s="120"/>
      <c r="MYY72" s="120"/>
      <c r="MYZ72" s="120"/>
      <c r="MZA72" s="120"/>
      <c r="MZB72" s="120"/>
      <c r="MZC72" s="120"/>
      <c r="MZD72" s="120"/>
      <c r="MZE72" s="120"/>
      <c r="MZF72" s="120"/>
      <c r="MZG72" s="120"/>
      <c r="MZH72" s="120"/>
      <c r="MZI72" s="120"/>
      <c r="MZJ72" s="120"/>
      <c r="MZK72" s="120"/>
      <c r="MZL72" s="120"/>
      <c r="MZM72" s="120"/>
      <c r="MZN72" s="120"/>
      <c r="MZO72" s="120"/>
      <c r="MZP72" s="120"/>
      <c r="MZQ72" s="120"/>
      <c r="MZR72" s="120"/>
      <c r="MZS72" s="120"/>
      <c r="MZT72" s="120"/>
      <c r="MZU72" s="120"/>
      <c r="MZV72" s="120"/>
      <c r="MZW72" s="120"/>
      <c r="MZX72" s="120"/>
      <c r="MZY72" s="120"/>
      <c r="MZZ72" s="120"/>
      <c r="NAA72" s="120"/>
      <c r="NAB72" s="120"/>
      <c r="NAC72" s="120"/>
      <c r="NAD72" s="120"/>
      <c r="NAE72" s="120"/>
      <c r="NAF72" s="120"/>
      <c r="NAG72" s="120"/>
      <c r="NAH72" s="120"/>
      <c r="NAI72" s="120"/>
      <c r="NAJ72" s="120"/>
      <c r="NAK72" s="120"/>
      <c r="NAL72" s="120"/>
      <c r="NAM72" s="120"/>
      <c r="NAN72" s="120"/>
      <c r="NAO72" s="120"/>
      <c r="NAP72" s="120"/>
      <c r="NAQ72" s="120"/>
      <c r="NAR72" s="120"/>
      <c r="NAS72" s="120"/>
      <c r="NAT72" s="120"/>
      <c r="NAU72" s="120"/>
      <c r="NAV72" s="120"/>
      <c r="NAW72" s="120"/>
      <c r="NAX72" s="120"/>
      <c r="NAY72" s="120"/>
      <c r="NAZ72" s="120"/>
      <c r="NBA72" s="120"/>
      <c r="NBB72" s="120"/>
      <c r="NBC72" s="120"/>
      <c r="NBD72" s="120"/>
      <c r="NBE72" s="120"/>
      <c r="NBF72" s="120"/>
      <c r="NBG72" s="120"/>
      <c r="NBH72" s="120"/>
      <c r="NBI72" s="120"/>
      <c r="NBJ72" s="120"/>
      <c r="NBK72" s="120"/>
      <c r="NBL72" s="120"/>
      <c r="NBM72" s="120"/>
      <c r="NBN72" s="120"/>
      <c r="NBO72" s="120"/>
      <c r="NBP72" s="120"/>
      <c r="NBQ72" s="120"/>
      <c r="NBR72" s="120"/>
      <c r="NBS72" s="120"/>
      <c r="NBT72" s="120"/>
      <c r="NBU72" s="120"/>
      <c r="NBV72" s="120"/>
      <c r="NBW72" s="120"/>
      <c r="NBX72" s="120"/>
      <c r="NBY72" s="120"/>
      <c r="NBZ72" s="120"/>
      <c r="NCA72" s="120"/>
      <c r="NCB72" s="120"/>
      <c r="NCC72" s="120"/>
      <c r="NCD72" s="120"/>
      <c r="NCE72" s="120"/>
      <c r="NCF72" s="120"/>
      <c r="NCG72" s="120"/>
      <c r="NCH72" s="120"/>
      <c r="NCI72" s="120"/>
      <c r="NCJ72" s="120"/>
      <c r="NCK72" s="120"/>
      <c r="NCL72" s="120"/>
      <c r="NCM72" s="120"/>
      <c r="NCN72" s="120"/>
      <c r="NCO72" s="120"/>
      <c r="NCP72" s="120"/>
      <c r="NCQ72" s="120"/>
      <c r="NCR72" s="120"/>
      <c r="NCS72" s="120"/>
      <c r="NCT72" s="120"/>
      <c r="NCU72" s="120"/>
      <c r="NCV72" s="120"/>
      <c r="NCW72" s="120"/>
      <c r="NCX72" s="120"/>
      <c r="NCY72" s="120"/>
      <c r="NCZ72" s="120"/>
      <c r="NDA72" s="120"/>
      <c r="NDB72" s="120"/>
      <c r="NDC72" s="120"/>
      <c r="NDD72" s="120"/>
      <c r="NDE72" s="120"/>
      <c r="NDF72" s="120"/>
      <c r="NDG72" s="120"/>
      <c r="NDH72" s="120"/>
      <c r="NDI72" s="120"/>
      <c r="NDJ72" s="120"/>
      <c r="NDK72" s="120"/>
      <c r="NDL72" s="120"/>
      <c r="NDM72" s="120"/>
      <c r="NDN72" s="120"/>
      <c r="NDO72" s="120"/>
      <c r="NDP72" s="120"/>
      <c r="NDQ72" s="120"/>
      <c r="NDR72" s="120"/>
      <c r="NDS72" s="120"/>
      <c r="NDT72" s="120"/>
      <c r="NDU72" s="120"/>
      <c r="NDV72" s="120"/>
      <c r="NDW72" s="120"/>
      <c r="NDX72" s="120"/>
      <c r="NDY72" s="120"/>
      <c r="NDZ72" s="120"/>
      <c r="NEA72" s="120"/>
      <c r="NEB72" s="120"/>
      <c r="NEC72" s="120"/>
      <c r="NED72" s="120"/>
      <c r="NEE72" s="120"/>
      <c r="NEF72" s="120"/>
      <c r="NEG72" s="120"/>
      <c r="NEH72" s="120"/>
      <c r="NEI72" s="120"/>
      <c r="NEJ72" s="120"/>
      <c r="NEK72" s="120"/>
      <c r="NEL72" s="120"/>
      <c r="NEM72" s="120"/>
      <c r="NEN72" s="120"/>
      <c r="NEO72" s="120"/>
      <c r="NEP72" s="120"/>
      <c r="NEQ72" s="120"/>
      <c r="NER72" s="120"/>
      <c r="NES72" s="120"/>
      <c r="NET72" s="120"/>
      <c r="NEU72" s="120"/>
      <c r="NEV72" s="120"/>
      <c r="NEW72" s="120"/>
      <c r="NEX72" s="120"/>
      <c r="NEY72" s="120"/>
      <c r="NEZ72" s="120"/>
      <c r="NFA72" s="120"/>
      <c r="NFB72" s="120"/>
      <c r="NFC72" s="120"/>
      <c r="NFD72" s="120"/>
      <c r="NFE72" s="120"/>
      <c r="NFF72" s="120"/>
      <c r="NFG72" s="120"/>
      <c r="NFH72" s="120"/>
      <c r="NFI72" s="120"/>
      <c r="NFJ72" s="120"/>
      <c r="NFK72" s="120"/>
      <c r="NFL72" s="120"/>
      <c r="NFM72" s="120"/>
      <c r="NFN72" s="120"/>
      <c r="NFO72" s="120"/>
      <c r="NFP72" s="120"/>
      <c r="NFQ72" s="120"/>
      <c r="NFR72" s="120"/>
      <c r="NFS72" s="120"/>
      <c r="NFT72" s="120"/>
      <c r="NFU72" s="120"/>
      <c r="NFV72" s="120"/>
      <c r="NFW72" s="120"/>
      <c r="NFX72" s="120"/>
      <c r="NFY72" s="120"/>
      <c r="NFZ72" s="120"/>
      <c r="NGA72" s="120"/>
      <c r="NGB72" s="120"/>
      <c r="NGC72" s="120"/>
      <c r="NGD72" s="120"/>
      <c r="NGE72" s="120"/>
      <c r="NGF72" s="120"/>
      <c r="NGG72" s="120"/>
      <c r="NGH72" s="120"/>
      <c r="NGI72" s="120"/>
      <c r="NGJ72" s="120"/>
      <c r="NGK72" s="120"/>
      <c r="NGL72" s="120"/>
      <c r="NGM72" s="120"/>
      <c r="NGN72" s="120"/>
      <c r="NGO72" s="120"/>
      <c r="NGP72" s="120"/>
      <c r="NGQ72" s="120"/>
      <c r="NGR72" s="120"/>
      <c r="NGS72" s="120"/>
      <c r="NGT72" s="120"/>
      <c r="NGU72" s="120"/>
      <c r="NGV72" s="120"/>
      <c r="NGW72" s="120"/>
      <c r="NGX72" s="120"/>
      <c r="NGY72" s="120"/>
      <c r="NGZ72" s="120"/>
      <c r="NHA72" s="120"/>
      <c r="NHB72" s="120"/>
      <c r="NHC72" s="120"/>
      <c r="NHD72" s="120"/>
      <c r="NHE72" s="120"/>
      <c r="NHF72" s="120"/>
      <c r="NHG72" s="120"/>
      <c r="NHH72" s="120"/>
      <c r="NHI72" s="120"/>
      <c r="NHJ72" s="120"/>
      <c r="NHK72" s="120"/>
      <c r="NHL72" s="120"/>
      <c r="NHM72" s="120"/>
      <c r="NHN72" s="120"/>
      <c r="NHO72" s="120"/>
      <c r="NHP72" s="120"/>
      <c r="NHQ72" s="120"/>
      <c r="NHR72" s="120"/>
      <c r="NHS72" s="120"/>
      <c r="NHT72" s="120"/>
      <c r="NHU72" s="120"/>
      <c r="NHV72" s="120"/>
      <c r="NHW72" s="120"/>
      <c r="NHX72" s="120"/>
      <c r="NHY72" s="120"/>
      <c r="NHZ72" s="120"/>
      <c r="NIA72" s="120"/>
      <c r="NIB72" s="120"/>
      <c r="NIC72" s="120"/>
      <c r="NID72" s="120"/>
      <c r="NIE72" s="120"/>
      <c r="NIF72" s="120"/>
      <c r="NIG72" s="120"/>
      <c r="NIH72" s="120"/>
      <c r="NII72" s="120"/>
      <c r="NIJ72" s="120"/>
      <c r="NIK72" s="120"/>
      <c r="NIL72" s="120"/>
      <c r="NIM72" s="120"/>
      <c r="NIN72" s="120"/>
      <c r="NIO72" s="120"/>
      <c r="NIP72" s="120"/>
      <c r="NIQ72" s="120"/>
      <c r="NIR72" s="120"/>
      <c r="NIS72" s="120"/>
      <c r="NIT72" s="120"/>
      <c r="NIU72" s="120"/>
      <c r="NIV72" s="120"/>
      <c r="NIW72" s="120"/>
      <c r="NIX72" s="120"/>
      <c r="NIY72" s="120"/>
      <c r="NIZ72" s="120"/>
      <c r="NJA72" s="120"/>
      <c r="NJB72" s="120"/>
      <c r="NJC72" s="120"/>
      <c r="NJD72" s="120"/>
      <c r="NJE72" s="120"/>
      <c r="NJF72" s="120"/>
      <c r="NJG72" s="120"/>
      <c r="NJH72" s="120"/>
      <c r="NJI72" s="120"/>
      <c r="NJJ72" s="120"/>
      <c r="NJK72" s="120"/>
      <c r="NJL72" s="120"/>
      <c r="NJM72" s="120"/>
      <c r="NJN72" s="120"/>
      <c r="NJO72" s="120"/>
      <c r="NJP72" s="120"/>
      <c r="NJQ72" s="120"/>
      <c r="NJR72" s="120"/>
      <c r="NJS72" s="120"/>
      <c r="NJT72" s="120"/>
      <c r="NJU72" s="120"/>
      <c r="NJV72" s="120"/>
      <c r="NJW72" s="120"/>
      <c r="NJX72" s="120"/>
      <c r="NJY72" s="120"/>
      <c r="NJZ72" s="120"/>
      <c r="NKA72" s="120"/>
      <c r="NKB72" s="120"/>
      <c r="NKC72" s="120"/>
      <c r="NKD72" s="120"/>
      <c r="NKE72" s="120"/>
      <c r="NKF72" s="120"/>
      <c r="NKG72" s="120"/>
      <c r="NKH72" s="120"/>
      <c r="NKI72" s="120"/>
      <c r="NKJ72" s="120"/>
      <c r="NKK72" s="120"/>
      <c r="NKL72" s="120"/>
      <c r="NKM72" s="120"/>
      <c r="NKN72" s="120"/>
      <c r="NKO72" s="120"/>
      <c r="NKP72" s="120"/>
      <c r="NKQ72" s="120"/>
      <c r="NKR72" s="120"/>
      <c r="NKS72" s="120"/>
      <c r="NKT72" s="120"/>
      <c r="NKU72" s="120"/>
      <c r="NKV72" s="120"/>
      <c r="NKW72" s="120"/>
      <c r="NKX72" s="120"/>
      <c r="NKY72" s="120"/>
      <c r="NKZ72" s="120"/>
      <c r="NLA72" s="120"/>
      <c r="NLB72" s="120"/>
      <c r="NLC72" s="120"/>
      <c r="NLD72" s="120"/>
      <c r="NLE72" s="120"/>
      <c r="NLF72" s="120"/>
      <c r="NLG72" s="120"/>
      <c r="NLH72" s="120"/>
      <c r="NLI72" s="120"/>
      <c r="NLJ72" s="120"/>
      <c r="NLK72" s="120"/>
      <c r="NLL72" s="120"/>
      <c r="NLM72" s="120"/>
      <c r="NLN72" s="120"/>
      <c r="NLO72" s="120"/>
      <c r="NLP72" s="120"/>
      <c r="NLQ72" s="120"/>
      <c r="NLR72" s="120"/>
      <c r="NLS72" s="120"/>
      <c r="NLT72" s="120"/>
      <c r="NLU72" s="120"/>
      <c r="NLV72" s="120"/>
      <c r="NLW72" s="120"/>
      <c r="NLX72" s="120"/>
      <c r="NLY72" s="120"/>
      <c r="NLZ72" s="120"/>
      <c r="NMA72" s="120"/>
      <c r="NMB72" s="120"/>
      <c r="NMC72" s="120"/>
      <c r="NMD72" s="120"/>
      <c r="NME72" s="120"/>
      <c r="NMF72" s="120"/>
      <c r="NMG72" s="120"/>
      <c r="NMH72" s="120"/>
      <c r="NMI72" s="120"/>
      <c r="NMJ72" s="120"/>
      <c r="NMK72" s="120"/>
      <c r="NML72" s="120"/>
      <c r="NMM72" s="120"/>
      <c r="NMN72" s="120"/>
      <c r="NMO72" s="120"/>
      <c r="NMP72" s="120"/>
      <c r="NMQ72" s="120"/>
      <c r="NMR72" s="120"/>
      <c r="NMS72" s="120"/>
      <c r="NMT72" s="120"/>
      <c r="NMU72" s="120"/>
      <c r="NMV72" s="120"/>
      <c r="NMW72" s="120"/>
      <c r="NMX72" s="120"/>
      <c r="NMY72" s="120"/>
      <c r="NMZ72" s="120"/>
      <c r="NNA72" s="120"/>
      <c r="NNB72" s="120"/>
      <c r="NNC72" s="120"/>
      <c r="NND72" s="120"/>
      <c r="NNE72" s="120"/>
      <c r="NNF72" s="120"/>
      <c r="NNG72" s="120"/>
      <c r="NNH72" s="120"/>
      <c r="NNI72" s="120"/>
      <c r="NNJ72" s="120"/>
      <c r="NNK72" s="120"/>
      <c r="NNL72" s="120"/>
      <c r="NNM72" s="120"/>
      <c r="NNN72" s="120"/>
      <c r="NNO72" s="120"/>
      <c r="NNP72" s="120"/>
      <c r="NNQ72" s="120"/>
      <c r="NNR72" s="120"/>
      <c r="NNS72" s="120"/>
      <c r="NNT72" s="120"/>
      <c r="NNU72" s="120"/>
      <c r="NNV72" s="120"/>
      <c r="NNW72" s="120"/>
      <c r="NNX72" s="120"/>
      <c r="NNY72" s="120"/>
      <c r="NNZ72" s="120"/>
      <c r="NOA72" s="120"/>
      <c r="NOB72" s="120"/>
      <c r="NOC72" s="120"/>
      <c r="NOD72" s="120"/>
      <c r="NOE72" s="120"/>
      <c r="NOF72" s="120"/>
      <c r="NOG72" s="120"/>
      <c r="NOH72" s="120"/>
      <c r="NOI72" s="120"/>
      <c r="NOJ72" s="120"/>
      <c r="NOK72" s="120"/>
      <c r="NOL72" s="120"/>
      <c r="NOM72" s="120"/>
      <c r="NON72" s="120"/>
      <c r="NOO72" s="120"/>
      <c r="NOP72" s="120"/>
      <c r="NOQ72" s="120"/>
      <c r="NOR72" s="120"/>
      <c r="NOS72" s="120"/>
      <c r="NOT72" s="120"/>
      <c r="NOU72" s="120"/>
      <c r="NOV72" s="120"/>
      <c r="NOW72" s="120"/>
      <c r="NOX72" s="120"/>
      <c r="NOY72" s="120"/>
      <c r="NOZ72" s="120"/>
      <c r="NPA72" s="120"/>
      <c r="NPB72" s="120"/>
      <c r="NPC72" s="120"/>
      <c r="NPD72" s="120"/>
      <c r="NPE72" s="120"/>
      <c r="NPF72" s="120"/>
      <c r="NPG72" s="120"/>
      <c r="NPH72" s="120"/>
      <c r="NPI72" s="120"/>
      <c r="NPJ72" s="120"/>
      <c r="NPK72" s="120"/>
      <c r="NPL72" s="120"/>
      <c r="NPM72" s="120"/>
      <c r="NPN72" s="120"/>
      <c r="NPO72" s="120"/>
      <c r="NPP72" s="120"/>
      <c r="NPQ72" s="120"/>
      <c r="NPR72" s="120"/>
      <c r="NPS72" s="120"/>
      <c r="NPT72" s="120"/>
      <c r="NPU72" s="120"/>
      <c r="NPV72" s="120"/>
      <c r="NPW72" s="120"/>
      <c r="NPX72" s="120"/>
      <c r="NPY72" s="120"/>
      <c r="NPZ72" s="120"/>
      <c r="NQA72" s="120"/>
      <c r="NQB72" s="120"/>
      <c r="NQC72" s="120"/>
      <c r="NQD72" s="120"/>
      <c r="NQE72" s="120"/>
      <c r="NQF72" s="120"/>
      <c r="NQG72" s="120"/>
      <c r="NQH72" s="120"/>
      <c r="NQI72" s="120"/>
      <c r="NQJ72" s="120"/>
      <c r="NQK72" s="120"/>
      <c r="NQL72" s="120"/>
      <c r="NQM72" s="120"/>
      <c r="NQN72" s="120"/>
      <c r="NQO72" s="120"/>
      <c r="NQP72" s="120"/>
      <c r="NQQ72" s="120"/>
      <c r="NQR72" s="120"/>
      <c r="NQS72" s="120"/>
      <c r="NQT72" s="120"/>
      <c r="NQU72" s="120"/>
      <c r="NQV72" s="120"/>
      <c r="NQW72" s="120"/>
      <c r="NQX72" s="120"/>
      <c r="NQY72" s="120"/>
      <c r="NQZ72" s="120"/>
      <c r="NRA72" s="120"/>
      <c r="NRB72" s="120"/>
      <c r="NRC72" s="120"/>
      <c r="NRD72" s="120"/>
      <c r="NRE72" s="120"/>
      <c r="NRF72" s="120"/>
      <c r="NRG72" s="120"/>
      <c r="NRH72" s="120"/>
      <c r="NRI72" s="120"/>
      <c r="NRJ72" s="120"/>
      <c r="NRK72" s="120"/>
      <c r="NRL72" s="120"/>
      <c r="NRM72" s="120"/>
      <c r="NRN72" s="120"/>
      <c r="NRO72" s="120"/>
      <c r="NRP72" s="120"/>
      <c r="NRQ72" s="120"/>
      <c r="NRR72" s="120"/>
      <c r="NRS72" s="120"/>
      <c r="NRT72" s="120"/>
      <c r="NRU72" s="120"/>
      <c r="NRV72" s="120"/>
      <c r="NRW72" s="120"/>
      <c r="NRX72" s="120"/>
      <c r="NRY72" s="120"/>
      <c r="NRZ72" s="120"/>
      <c r="NSA72" s="120"/>
      <c r="NSB72" s="120"/>
      <c r="NSC72" s="120"/>
      <c r="NSD72" s="120"/>
      <c r="NSE72" s="120"/>
      <c r="NSF72" s="120"/>
      <c r="NSG72" s="120"/>
      <c r="NSH72" s="120"/>
      <c r="NSI72" s="120"/>
      <c r="NSJ72" s="120"/>
      <c r="NSK72" s="120"/>
      <c r="NSL72" s="120"/>
      <c r="NSM72" s="120"/>
      <c r="NSN72" s="120"/>
      <c r="NSO72" s="120"/>
      <c r="NSP72" s="120"/>
      <c r="NSQ72" s="120"/>
      <c r="NSR72" s="120"/>
      <c r="NSS72" s="120"/>
      <c r="NST72" s="120"/>
      <c r="NSU72" s="120"/>
      <c r="NSV72" s="120"/>
      <c r="NSW72" s="120"/>
      <c r="NSX72" s="120"/>
      <c r="NSY72" s="120"/>
      <c r="NSZ72" s="120"/>
      <c r="NTA72" s="120"/>
      <c r="NTB72" s="120"/>
      <c r="NTC72" s="120"/>
      <c r="NTD72" s="120"/>
      <c r="NTE72" s="120"/>
      <c r="NTF72" s="120"/>
      <c r="NTG72" s="120"/>
      <c r="NTH72" s="120"/>
      <c r="NTI72" s="120"/>
      <c r="NTJ72" s="120"/>
      <c r="NTK72" s="120"/>
      <c r="NTL72" s="120"/>
      <c r="NTM72" s="120"/>
      <c r="NTN72" s="120"/>
      <c r="NTO72" s="120"/>
      <c r="NTP72" s="120"/>
      <c r="NTQ72" s="120"/>
      <c r="NTR72" s="120"/>
      <c r="NTS72" s="120"/>
      <c r="NTT72" s="120"/>
      <c r="NTU72" s="120"/>
      <c r="NTV72" s="120"/>
      <c r="NTW72" s="120"/>
      <c r="NTX72" s="120"/>
      <c r="NTY72" s="120"/>
      <c r="NTZ72" s="120"/>
      <c r="NUA72" s="120"/>
      <c r="NUB72" s="120"/>
      <c r="NUC72" s="120"/>
      <c r="NUD72" s="120"/>
      <c r="NUE72" s="120"/>
      <c r="NUF72" s="120"/>
      <c r="NUG72" s="120"/>
      <c r="NUH72" s="120"/>
      <c r="NUI72" s="120"/>
      <c r="NUJ72" s="120"/>
      <c r="NUK72" s="120"/>
      <c r="NUL72" s="120"/>
      <c r="NUM72" s="120"/>
      <c r="NUN72" s="120"/>
      <c r="NUO72" s="120"/>
      <c r="NUP72" s="120"/>
      <c r="NUQ72" s="120"/>
      <c r="NUR72" s="120"/>
      <c r="NUS72" s="120"/>
      <c r="NUT72" s="120"/>
      <c r="NUU72" s="120"/>
      <c r="NUV72" s="120"/>
      <c r="NUW72" s="120"/>
      <c r="NUX72" s="120"/>
      <c r="NUY72" s="120"/>
      <c r="NUZ72" s="120"/>
      <c r="NVA72" s="120"/>
      <c r="NVB72" s="120"/>
      <c r="NVC72" s="120"/>
      <c r="NVD72" s="120"/>
      <c r="NVE72" s="120"/>
      <c r="NVF72" s="120"/>
      <c r="NVG72" s="120"/>
      <c r="NVH72" s="120"/>
      <c r="NVI72" s="120"/>
      <c r="NVJ72" s="120"/>
      <c r="NVK72" s="120"/>
      <c r="NVL72" s="120"/>
      <c r="NVM72" s="120"/>
      <c r="NVN72" s="120"/>
      <c r="NVO72" s="120"/>
      <c r="NVP72" s="120"/>
      <c r="NVQ72" s="120"/>
      <c r="NVR72" s="120"/>
      <c r="NVS72" s="120"/>
      <c r="NVT72" s="120"/>
      <c r="NVU72" s="120"/>
      <c r="NVV72" s="120"/>
      <c r="NVW72" s="120"/>
      <c r="NVX72" s="120"/>
      <c r="NVY72" s="120"/>
      <c r="NVZ72" s="120"/>
      <c r="NWA72" s="120"/>
      <c r="NWB72" s="120"/>
      <c r="NWC72" s="120"/>
      <c r="NWD72" s="120"/>
      <c r="NWE72" s="120"/>
      <c r="NWF72" s="120"/>
      <c r="NWG72" s="120"/>
      <c r="NWH72" s="120"/>
      <c r="NWI72" s="120"/>
      <c r="NWJ72" s="120"/>
      <c r="NWK72" s="120"/>
      <c r="NWL72" s="120"/>
      <c r="NWM72" s="120"/>
      <c r="NWN72" s="120"/>
      <c r="NWO72" s="120"/>
      <c r="NWP72" s="120"/>
      <c r="NWQ72" s="120"/>
      <c r="NWR72" s="120"/>
      <c r="NWS72" s="120"/>
      <c r="NWT72" s="120"/>
      <c r="NWU72" s="120"/>
      <c r="NWV72" s="120"/>
      <c r="NWW72" s="120"/>
      <c r="NWX72" s="120"/>
      <c r="NWY72" s="120"/>
      <c r="NWZ72" s="120"/>
      <c r="NXA72" s="120"/>
      <c r="NXB72" s="120"/>
      <c r="NXC72" s="120"/>
      <c r="NXD72" s="120"/>
      <c r="NXE72" s="120"/>
      <c r="NXF72" s="120"/>
      <c r="NXG72" s="120"/>
      <c r="NXH72" s="120"/>
      <c r="NXI72" s="120"/>
      <c r="NXJ72" s="120"/>
      <c r="NXK72" s="120"/>
      <c r="NXL72" s="120"/>
      <c r="NXM72" s="120"/>
      <c r="NXN72" s="120"/>
      <c r="NXO72" s="120"/>
      <c r="NXP72" s="120"/>
      <c r="NXQ72" s="120"/>
      <c r="NXR72" s="120"/>
      <c r="NXS72" s="120"/>
      <c r="NXT72" s="120"/>
      <c r="NXU72" s="120"/>
      <c r="NXV72" s="120"/>
      <c r="NXW72" s="120"/>
      <c r="NXX72" s="120"/>
      <c r="NXY72" s="120"/>
      <c r="NXZ72" s="120"/>
      <c r="NYA72" s="120"/>
      <c r="NYB72" s="120"/>
      <c r="NYC72" s="120"/>
      <c r="NYD72" s="120"/>
      <c r="NYE72" s="120"/>
      <c r="NYF72" s="120"/>
      <c r="NYG72" s="120"/>
      <c r="NYH72" s="120"/>
      <c r="NYI72" s="120"/>
      <c r="NYJ72" s="120"/>
      <c r="NYK72" s="120"/>
      <c r="NYL72" s="120"/>
      <c r="NYM72" s="120"/>
      <c r="NYN72" s="120"/>
      <c r="NYO72" s="120"/>
      <c r="NYP72" s="120"/>
      <c r="NYQ72" s="120"/>
      <c r="NYR72" s="120"/>
      <c r="NYS72" s="120"/>
      <c r="NYT72" s="120"/>
      <c r="NYU72" s="120"/>
      <c r="NYV72" s="120"/>
      <c r="NYW72" s="120"/>
      <c r="NYX72" s="120"/>
      <c r="NYY72" s="120"/>
      <c r="NYZ72" s="120"/>
      <c r="NZA72" s="120"/>
      <c r="NZB72" s="120"/>
      <c r="NZC72" s="120"/>
      <c r="NZD72" s="120"/>
      <c r="NZE72" s="120"/>
      <c r="NZF72" s="120"/>
      <c r="NZG72" s="120"/>
      <c r="NZH72" s="120"/>
      <c r="NZI72" s="120"/>
      <c r="NZJ72" s="120"/>
      <c r="NZK72" s="120"/>
      <c r="NZL72" s="120"/>
      <c r="NZM72" s="120"/>
      <c r="NZN72" s="120"/>
      <c r="NZO72" s="120"/>
      <c r="NZP72" s="120"/>
      <c r="NZQ72" s="120"/>
      <c r="NZR72" s="120"/>
      <c r="NZS72" s="120"/>
      <c r="NZT72" s="120"/>
      <c r="NZU72" s="120"/>
      <c r="NZV72" s="120"/>
      <c r="NZW72" s="120"/>
      <c r="NZX72" s="120"/>
      <c r="NZY72" s="120"/>
      <c r="NZZ72" s="120"/>
      <c r="OAA72" s="120"/>
      <c r="OAB72" s="120"/>
      <c r="OAC72" s="120"/>
      <c r="OAD72" s="120"/>
      <c r="OAE72" s="120"/>
      <c r="OAF72" s="120"/>
      <c r="OAG72" s="120"/>
      <c r="OAH72" s="120"/>
      <c r="OAI72" s="120"/>
      <c r="OAJ72" s="120"/>
      <c r="OAK72" s="120"/>
      <c r="OAL72" s="120"/>
      <c r="OAM72" s="120"/>
      <c r="OAN72" s="120"/>
      <c r="OAO72" s="120"/>
      <c r="OAP72" s="120"/>
      <c r="OAQ72" s="120"/>
      <c r="OAR72" s="120"/>
      <c r="OAS72" s="120"/>
      <c r="OAT72" s="120"/>
      <c r="OAU72" s="120"/>
      <c r="OAV72" s="120"/>
      <c r="OAW72" s="120"/>
      <c r="OAX72" s="120"/>
      <c r="OAY72" s="120"/>
      <c r="OAZ72" s="120"/>
      <c r="OBA72" s="120"/>
      <c r="OBB72" s="120"/>
      <c r="OBC72" s="120"/>
      <c r="OBD72" s="120"/>
      <c r="OBE72" s="120"/>
      <c r="OBF72" s="120"/>
      <c r="OBG72" s="120"/>
      <c r="OBH72" s="120"/>
      <c r="OBI72" s="120"/>
      <c r="OBJ72" s="120"/>
      <c r="OBK72" s="120"/>
      <c r="OBL72" s="120"/>
      <c r="OBM72" s="120"/>
      <c r="OBN72" s="120"/>
      <c r="OBO72" s="120"/>
      <c r="OBP72" s="120"/>
      <c r="OBQ72" s="120"/>
      <c r="OBR72" s="120"/>
      <c r="OBS72" s="120"/>
      <c r="OBT72" s="120"/>
      <c r="OBU72" s="120"/>
      <c r="OBV72" s="120"/>
      <c r="OBW72" s="120"/>
      <c r="OBX72" s="120"/>
      <c r="OBY72" s="120"/>
      <c r="OBZ72" s="120"/>
      <c r="OCA72" s="120"/>
      <c r="OCB72" s="120"/>
      <c r="OCC72" s="120"/>
      <c r="OCD72" s="120"/>
      <c r="OCE72" s="120"/>
      <c r="OCF72" s="120"/>
      <c r="OCG72" s="120"/>
      <c r="OCH72" s="120"/>
      <c r="OCI72" s="120"/>
      <c r="OCJ72" s="120"/>
      <c r="OCK72" s="120"/>
      <c r="OCL72" s="120"/>
      <c r="OCM72" s="120"/>
      <c r="OCN72" s="120"/>
      <c r="OCO72" s="120"/>
      <c r="OCP72" s="120"/>
      <c r="OCQ72" s="120"/>
      <c r="OCR72" s="120"/>
      <c r="OCS72" s="120"/>
      <c r="OCT72" s="120"/>
      <c r="OCU72" s="120"/>
      <c r="OCV72" s="120"/>
      <c r="OCW72" s="120"/>
      <c r="OCX72" s="120"/>
      <c r="OCY72" s="120"/>
      <c r="OCZ72" s="120"/>
      <c r="ODA72" s="120"/>
      <c r="ODB72" s="120"/>
      <c r="ODC72" s="120"/>
      <c r="ODD72" s="120"/>
      <c r="ODE72" s="120"/>
      <c r="ODF72" s="120"/>
      <c r="ODG72" s="120"/>
      <c r="ODH72" s="120"/>
      <c r="ODI72" s="120"/>
      <c r="ODJ72" s="120"/>
      <c r="ODK72" s="120"/>
      <c r="ODL72" s="120"/>
      <c r="ODM72" s="120"/>
      <c r="ODN72" s="120"/>
      <c r="ODO72" s="120"/>
      <c r="ODP72" s="120"/>
      <c r="ODQ72" s="120"/>
      <c r="ODR72" s="120"/>
      <c r="ODS72" s="120"/>
      <c r="ODT72" s="120"/>
      <c r="ODU72" s="120"/>
      <c r="ODV72" s="120"/>
      <c r="ODW72" s="120"/>
      <c r="ODX72" s="120"/>
      <c r="ODY72" s="120"/>
      <c r="ODZ72" s="120"/>
      <c r="OEA72" s="120"/>
      <c r="OEB72" s="120"/>
      <c r="OEC72" s="120"/>
      <c r="OED72" s="120"/>
      <c r="OEE72" s="120"/>
      <c r="OEF72" s="120"/>
      <c r="OEG72" s="120"/>
      <c r="OEH72" s="120"/>
      <c r="OEI72" s="120"/>
      <c r="OEJ72" s="120"/>
      <c r="OEK72" s="120"/>
      <c r="OEL72" s="120"/>
      <c r="OEM72" s="120"/>
      <c r="OEN72" s="120"/>
      <c r="OEO72" s="120"/>
      <c r="OEP72" s="120"/>
      <c r="OEQ72" s="120"/>
      <c r="OER72" s="120"/>
      <c r="OES72" s="120"/>
      <c r="OET72" s="120"/>
      <c r="OEU72" s="120"/>
      <c r="OEV72" s="120"/>
      <c r="OEW72" s="120"/>
      <c r="OEX72" s="120"/>
      <c r="OEY72" s="120"/>
      <c r="OEZ72" s="120"/>
      <c r="OFA72" s="120"/>
      <c r="OFB72" s="120"/>
      <c r="OFC72" s="120"/>
      <c r="OFD72" s="120"/>
      <c r="OFE72" s="120"/>
      <c r="OFF72" s="120"/>
      <c r="OFG72" s="120"/>
      <c r="OFH72" s="120"/>
      <c r="OFI72" s="120"/>
      <c r="OFJ72" s="120"/>
      <c r="OFK72" s="120"/>
      <c r="OFL72" s="120"/>
      <c r="OFM72" s="120"/>
      <c r="OFN72" s="120"/>
      <c r="OFO72" s="120"/>
      <c r="OFP72" s="120"/>
      <c r="OFQ72" s="120"/>
      <c r="OFR72" s="120"/>
      <c r="OFS72" s="120"/>
      <c r="OFT72" s="120"/>
      <c r="OFU72" s="120"/>
      <c r="OFV72" s="120"/>
      <c r="OFW72" s="120"/>
      <c r="OFX72" s="120"/>
      <c r="OFY72" s="120"/>
      <c r="OFZ72" s="120"/>
      <c r="OGA72" s="120"/>
      <c r="OGB72" s="120"/>
      <c r="OGC72" s="120"/>
      <c r="OGD72" s="120"/>
      <c r="OGE72" s="120"/>
      <c r="OGF72" s="120"/>
      <c r="OGG72" s="120"/>
      <c r="OGH72" s="120"/>
      <c r="OGI72" s="120"/>
      <c r="OGJ72" s="120"/>
      <c r="OGK72" s="120"/>
      <c r="OGL72" s="120"/>
      <c r="OGM72" s="120"/>
      <c r="OGN72" s="120"/>
      <c r="OGO72" s="120"/>
      <c r="OGP72" s="120"/>
      <c r="OGQ72" s="120"/>
      <c r="OGR72" s="120"/>
      <c r="OGS72" s="120"/>
      <c r="OGT72" s="120"/>
      <c r="OGU72" s="120"/>
      <c r="OGV72" s="120"/>
      <c r="OGW72" s="120"/>
      <c r="OGX72" s="120"/>
      <c r="OGY72" s="120"/>
      <c r="OGZ72" s="120"/>
      <c r="OHA72" s="120"/>
      <c r="OHB72" s="120"/>
      <c r="OHC72" s="120"/>
      <c r="OHD72" s="120"/>
      <c r="OHE72" s="120"/>
      <c r="OHF72" s="120"/>
      <c r="OHG72" s="120"/>
      <c r="OHH72" s="120"/>
      <c r="OHI72" s="120"/>
      <c r="OHJ72" s="120"/>
      <c r="OHK72" s="120"/>
      <c r="OHL72" s="120"/>
      <c r="OHM72" s="120"/>
      <c r="OHN72" s="120"/>
      <c r="OHO72" s="120"/>
      <c r="OHP72" s="120"/>
      <c r="OHQ72" s="120"/>
      <c r="OHR72" s="120"/>
      <c r="OHS72" s="120"/>
      <c r="OHT72" s="120"/>
      <c r="OHU72" s="120"/>
      <c r="OHV72" s="120"/>
      <c r="OHW72" s="120"/>
      <c r="OHX72" s="120"/>
      <c r="OHY72" s="120"/>
      <c r="OHZ72" s="120"/>
      <c r="OIA72" s="120"/>
      <c r="OIB72" s="120"/>
      <c r="OIC72" s="120"/>
      <c r="OID72" s="120"/>
      <c r="OIE72" s="120"/>
      <c r="OIF72" s="120"/>
      <c r="OIG72" s="120"/>
      <c r="OIH72" s="120"/>
      <c r="OII72" s="120"/>
      <c r="OIJ72" s="120"/>
      <c r="OIK72" s="120"/>
      <c r="OIL72" s="120"/>
      <c r="OIM72" s="120"/>
      <c r="OIN72" s="120"/>
      <c r="OIO72" s="120"/>
      <c r="OIP72" s="120"/>
      <c r="OIQ72" s="120"/>
      <c r="OIR72" s="120"/>
      <c r="OIS72" s="120"/>
      <c r="OIT72" s="120"/>
      <c r="OIU72" s="120"/>
      <c r="OIV72" s="120"/>
      <c r="OIW72" s="120"/>
      <c r="OIX72" s="120"/>
      <c r="OIY72" s="120"/>
      <c r="OIZ72" s="120"/>
      <c r="OJA72" s="120"/>
      <c r="OJB72" s="120"/>
      <c r="OJC72" s="120"/>
      <c r="OJD72" s="120"/>
      <c r="OJE72" s="120"/>
      <c r="OJF72" s="120"/>
      <c r="OJG72" s="120"/>
      <c r="OJH72" s="120"/>
      <c r="OJI72" s="120"/>
      <c r="OJJ72" s="120"/>
      <c r="OJK72" s="120"/>
      <c r="OJL72" s="120"/>
      <c r="OJM72" s="120"/>
      <c r="OJN72" s="120"/>
      <c r="OJO72" s="120"/>
      <c r="OJP72" s="120"/>
      <c r="OJQ72" s="120"/>
      <c r="OJR72" s="120"/>
      <c r="OJS72" s="120"/>
      <c r="OJT72" s="120"/>
      <c r="OJU72" s="120"/>
      <c r="OJV72" s="120"/>
      <c r="OJW72" s="120"/>
      <c r="OJX72" s="120"/>
      <c r="OJY72" s="120"/>
      <c r="OJZ72" s="120"/>
      <c r="OKA72" s="120"/>
      <c r="OKB72" s="120"/>
      <c r="OKC72" s="120"/>
      <c r="OKD72" s="120"/>
      <c r="OKE72" s="120"/>
      <c r="OKF72" s="120"/>
      <c r="OKG72" s="120"/>
      <c r="OKH72" s="120"/>
      <c r="OKI72" s="120"/>
      <c r="OKJ72" s="120"/>
      <c r="OKK72" s="120"/>
      <c r="OKL72" s="120"/>
      <c r="OKM72" s="120"/>
      <c r="OKN72" s="120"/>
      <c r="OKO72" s="120"/>
      <c r="OKP72" s="120"/>
      <c r="OKQ72" s="120"/>
      <c r="OKR72" s="120"/>
      <c r="OKS72" s="120"/>
      <c r="OKT72" s="120"/>
      <c r="OKU72" s="120"/>
      <c r="OKV72" s="120"/>
      <c r="OKW72" s="120"/>
      <c r="OKX72" s="120"/>
      <c r="OKY72" s="120"/>
      <c r="OKZ72" s="120"/>
      <c r="OLA72" s="120"/>
      <c r="OLB72" s="120"/>
      <c r="OLC72" s="120"/>
      <c r="OLD72" s="120"/>
      <c r="OLE72" s="120"/>
      <c r="OLF72" s="120"/>
      <c r="OLG72" s="120"/>
      <c r="OLH72" s="120"/>
      <c r="OLI72" s="120"/>
      <c r="OLJ72" s="120"/>
      <c r="OLK72" s="120"/>
      <c r="OLL72" s="120"/>
      <c r="OLM72" s="120"/>
      <c r="OLN72" s="120"/>
      <c r="OLO72" s="120"/>
      <c r="OLP72" s="120"/>
      <c r="OLQ72" s="120"/>
      <c r="OLR72" s="120"/>
      <c r="OLS72" s="120"/>
      <c r="OLT72" s="120"/>
      <c r="OLU72" s="120"/>
      <c r="OLV72" s="120"/>
      <c r="OLW72" s="120"/>
      <c r="OLX72" s="120"/>
      <c r="OLY72" s="120"/>
      <c r="OLZ72" s="120"/>
      <c r="OMA72" s="120"/>
      <c r="OMB72" s="120"/>
      <c r="OMC72" s="120"/>
      <c r="OMD72" s="120"/>
      <c r="OME72" s="120"/>
      <c r="OMF72" s="120"/>
      <c r="OMG72" s="120"/>
      <c r="OMH72" s="120"/>
      <c r="OMI72" s="120"/>
      <c r="OMJ72" s="120"/>
      <c r="OMK72" s="120"/>
      <c r="OML72" s="120"/>
      <c r="OMM72" s="120"/>
      <c r="OMN72" s="120"/>
      <c r="OMO72" s="120"/>
      <c r="OMP72" s="120"/>
      <c r="OMQ72" s="120"/>
      <c r="OMR72" s="120"/>
      <c r="OMS72" s="120"/>
      <c r="OMT72" s="120"/>
      <c r="OMU72" s="120"/>
      <c r="OMV72" s="120"/>
      <c r="OMW72" s="120"/>
      <c r="OMX72" s="120"/>
      <c r="OMY72" s="120"/>
      <c r="OMZ72" s="120"/>
      <c r="ONA72" s="120"/>
      <c r="ONB72" s="120"/>
      <c r="ONC72" s="120"/>
      <c r="OND72" s="120"/>
      <c r="ONE72" s="120"/>
      <c r="ONF72" s="120"/>
      <c r="ONG72" s="120"/>
      <c r="ONH72" s="120"/>
      <c r="ONI72" s="120"/>
      <c r="ONJ72" s="120"/>
      <c r="ONK72" s="120"/>
      <c r="ONL72" s="120"/>
      <c r="ONM72" s="120"/>
      <c r="ONN72" s="120"/>
      <c r="ONO72" s="120"/>
      <c r="ONP72" s="120"/>
      <c r="ONQ72" s="120"/>
      <c r="ONR72" s="120"/>
      <c r="ONS72" s="120"/>
      <c r="ONT72" s="120"/>
      <c r="ONU72" s="120"/>
      <c r="ONV72" s="120"/>
      <c r="ONW72" s="120"/>
      <c r="ONX72" s="120"/>
      <c r="ONY72" s="120"/>
      <c r="ONZ72" s="120"/>
      <c r="OOA72" s="120"/>
      <c r="OOB72" s="120"/>
      <c r="OOC72" s="120"/>
      <c r="OOD72" s="120"/>
      <c r="OOE72" s="120"/>
      <c r="OOF72" s="120"/>
      <c r="OOG72" s="120"/>
      <c r="OOH72" s="120"/>
      <c r="OOI72" s="120"/>
      <c r="OOJ72" s="120"/>
      <c r="OOK72" s="120"/>
      <c r="OOL72" s="120"/>
      <c r="OOM72" s="120"/>
      <c r="OON72" s="120"/>
      <c r="OOO72" s="120"/>
      <c r="OOP72" s="120"/>
      <c r="OOQ72" s="120"/>
      <c r="OOR72" s="120"/>
      <c r="OOS72" s="120"/>
      <c r="OOT72" s="120"/>
      <c r="OOU72" s="120"/>
      <c r="OOV72" s="120"/>
      <c r="OOW72" s="120"/>
      <c r="OOX72" s="120"/>
      <c r="OOY72" s="120"/>
      <c r="OOZ72" s="120"/>
      <c r="OPA72" s="120"/>
      <c r="OPB72" s="120"/>
      <c r="OPC72" s="120"/>
      <c r="OPD72" s="120"/>
      <c r="OPE72" s="120"/>
      <c r="OPF72" s="120"/>
      <c r="OPG72" s="120"/>
      <c r="OPH72" s="120"/>
      <c r="OPI72" s="120"/>
      <c r="OPJ72" s="120"/>
      <c r="OPK72" s="120"/>
      <c r="OPL72" s="120"/>
      <c r="OPM72" s="120"/>
      <c r="OPN72" s="120"/>
      <c r="OPO72" s="120"/>
      <c r="OPP72" s="120"/>
      <c r="OPQ72" s="120"/>
      <c r="OPR72" s="120"/>
      <c r="OPS72" s="120"/>
      <c r="OPT72" s="120"/>
      <c r="OPU72" s="120"/>
      <c r="OPV72" s="120"/>
      <c r="OPW72" s="120"/>
      <c r="OPX72" s="120"/>
      <c r="OPY72" s="120"/>
      <c r="OPZ72" s="120"/>
      <c r="OQA72" s="120"/>
      <c r="OQB72" s="120"/>
      <c r="OQC72" s="120"/>
      <c r="OQD72" s="120"/>
      <c r="OQE72" s="120"/>
      <c r="OQF72" s="120"/>
      <c r="OQG72" s="120"/>
      <c r="OQH72" s="120"/>
      <c r="OQI72" s="120"/>
      <c r="OQJ72" s="120"/>
      <c r="OQK72" s="120"/>
      <c r="OQL72" s="120"/>
      <c r="OQM72" s="120"/>
      <c r="OQN72" s="120"/>
      <c r="OQO72" s="120"/>
      <c r="OQP72" s="120"/>
      <c r="OQQ72" s="120"/>
      <c r="OQR72" s="120"/>
      <c r="OQS72" s="120"/>
      <c r="OQT72" s="120"/>
      <c r="OQU72" s="120"/>
      <c r="OQV72" s="120"/>
      <c r="OQW72" s="120"/>
      <c r="OQX72" s="120"/>
      <c r="OQY72" s="120"/>
      <c r="OQZ72" s="120"/>
      <c r="ORA72" s="120"/>
      <c r="ORB72" s="120"/>
      <c r="ORC72" s="120"/>
      <c r="ORD72" s="120"/>
      <c r="ORE72" s="120"/>
      <c r="ORF72" s="120"/>
      <c r="ORG72" s="120"/>
      <c r="ORH72" s="120"/>
      <c r="ORI72" s="120"/>
      <c r="ORJ72" s="120"/>
      <c r="ORK72" s="120"/>
      <c r="ORL72" s="120"/>
      <c r="ORM72" s="120"/>
      <c r="ORN72" s="120"/>
      <c r="ORO72" s="120"/>
      <c r="ORP72" s="120"/>
      <c r="ORQ72" s="120"/>
      <c r="ORR72" s="120"/>
      <c r="ORS72" s="120"/>
      <c r="ORT72" s="120"/>
      <c r="ORU72" s="120"/>
      <c r="ORV72" s="120"/>
      <c r="ORW72" s="120"/>
      <c r="ORX72" s="120"/>
      <c r="ORY72" s="120"/>
      <c r="ORZ72" s="120"/>
      <c r="OSA72" s="120"/>
      <c r="OSB72" s="120"/>
      <c r="OSC72" s="120"/>
      <c r="OSD72" s="120"/>
      <c r="OSE72" s="120"/>
      <c r="OSF72" s="120"/>
      <c r="OSG72" s="120"/>
      <c r="OSH72" s="120"/>
      <c r="OSI72" s="120"/>
      <c r="OSJ72" s="120"/>
      <c r="OSK72" s="120"/>
      <c r="OSL72" s="120"/>
      <c r="OSM72" s="120"/>
      <c r="OSN72" s="120"/>
      <c r="OSO72" s="120"/>
      <c r="OSP72" s="120"/>
      <c r="OSQ72" s="120"/>
      <c r="OSR72" s="120"/>
      <c r="OSS72" s="120"/>
      <c r="OST72" s="120"/>
      <c r="OSU72" s="120"/>
      <c r="OSV72" s="120"/>
      <c r="OSW72" s="120"/>
      <c r="OSX72" s="120"/>
      <c r="OSY72" s="120"/>
      <c r="OSZ72" s="120"/>
      <c r="OTA72" s="120"/>
      <c r="OTB72" s="120"/>
      <c r="OTC72" s="120"/>
      <c r="OTD72" s="120"/>
      <c r="OTE72" s="120"/>
      <c r="OTF72" s="120"/>
      <c r="OTG72" s="120"/>
      <c r="OTH72" s="120"/>
      <c r="OTI72" s="120"/>
      <c r="OTJ72" s="120"/>
      <c r="OTK72" s="120"/>
      <c r="OTL72" s="120"/>
      <c r="OTM72" s="120"/>
      <c r="OTN72" s="120"/>
      <c r="OTO72" s="120"/>
      <c r="OTP72" s="120"/>
      <c r="OTQ72" s="120"/>
      <c r="OTR72" s="120"/>
      <c r="OTS72" s="120"/>
      <c r="OTT72" s="120"/>
      <c r="OTU72" s="120"/>
      <c r="OTV72" s="120"/>
      <c r="OTW72" s="120"/>
      <c r="OTX72" s="120"/>
      <c r="OTY72" s="120"/>
      <c r="OTZ72" s="120"/>
      <c r="OUA72" s="120"/>
      <c r="OUB72" s="120"/>
      <c r="OUC72" s="120"/>
      <c r="OUD72" s="120"/>
      <c r="OUE72" s="120"/>
      <c r="OUF72" s="120"/>
      <c r="OUG72" s="120"/>
      <c r="OUH72" s="120"/>
      <c r="OUI72" s="120"/>
      <c r="OUJ72" s="120"/>
      <c r="OUK72" s="120"/>
      <c r="OUL72" s="120"/>
      <c r="OUM72" s="120"/>
      <c r="OUN72" s="120"/>
      <c r="OUO72" s="120"/>
      <c r="OUP72" s="120"/>
      <c r="OUQ72" s="120"/>
      <c r="OUR72" s="120"/>
      <c r="OUS72" s="120"/>
      <c r="OUT72" s="120"/>
      <c r="OUU72" s="120"/>
      <c r="OUV72" s="120"/>
      <c r="OUW72" s="120"/>
      <c r="OUX72" s="120"/>
      <c r="OUY72" s="120"/>
      <c r="OUZ72" s="120"/>
      <c r="OVA72" s="120"/>
      <c r="OVB72" s="120"/>
      <c r="OVC72" s="120"/>
      <c r="OVD72" s="120"/>
      <c r="OVE72" s="120"/>
      <c r="OVF72" s="120"/>
      <c r="OVG72" s="120"/>
      <c r="OVH72" s="120"/>
      <c r="OVI72" s="120"/>
      <c r="OVJ72" s="120"/>
      <c r="OVK72" s="120"/>
      <c r="OVL72" s="120"/>
      <c r="OVM72" s="120"/>
      <c r="OVN72" s="120"/>
      <c r="OVO72" s="120"/>
      <c r="OVP72" s="120"/>
      <c r="OVQ72" s="120"/>
      <c r="OVR72" s="120"/>
      <c r="OVS72" s="120"/>
      <c r="OVT72" s="120"/>
      <c r="OVU72" s="120"/>
      <c r="OVV72" s="120"/>
      <c r="OVW72" s="120"/>
      <c r="OVX72" s="120"/>
      <c r="OVY72" s="120"/>
      <c r="OVZ72" s="120"/>
      <c r="OWA72" s="120"/>
      <c r="OWB72" s="120"/>
      <c r="OWC72" s="120"/>
      <c r="OWD72" s="120"/>
      <c r="OWE72" s="120"/>
      <c r="OWF72" s="120"/>
      <c r="OWG72" s="120"/>
      <c r="OWH72" s="120"/>
      <c r="OWI72" s="120"/>
      <c r="OWJ72" s="120"/>
      <c r="OWK72" s="120"/>
      <c r="OWL72" s="120"/>
      <c r="OWM72" s="120"/>
      <c r="OWN72" s="120"/>
      <c r="OWO72" s="120"/>
      <c r="OWP72" s="120"/>
      <c r="OWQ72" s="120"/>
      <c r="OWR72" s="120"/>
      <c r="OWS72" s="120"/>
      <c r="OWT72" s="120"/>
      <c r="OWU72" s="120"/>
      <c r="OWV72" s="120"/>
      <c r="OWW72" s="120"/>
      <c r="OWX72" s="120"/>
      <c r="OWY72" s="120"/>
      <c r="OWZ72" s="120"/>
      <c r="OXA72" s="120"/>
      <c r="OXB72" s="120"/>
      <c r="OXC72" s="120"/>
      <c r="OXD72" s="120"/>
      <c r="OXE72" s="120"/>
      <c r="OXF72" s="120"/>
      <c r="OXG72" s="120"/>
      <c r="OXH72" s="120"/>
      <c r="OXI72" s="120"/>
      <c r="OXJ72" s="120"/>
      <c r="OXK72" s="120"/>
      <c r="OXL72" s="120"/>
      <c r="OXM72" s="120"/>
      <c r="OXN72" s="120"/>
      <c r="OXO72" s="120"/>
      <c r="OXP72" s="120"/>
      <c r="OXQ72" s="120"/>
      <c r="OXR72" s="120"/>
      <c r="OXS72" s="120"/>
      <c r="OXT72" s="120"/>
      <c r="OXU72" s="120"/>
      <c r="OXV72" s="120"/>
      <c r="OXW72" s="120"/>
      <c r="OXX72" s="120"/>
      <c r="OXY72" s="120"/>
      <c r="OXZ72" s="120"/>
      <c r="OYA72" s="120"/>
      <c r="OYB72" s="120"/>
      <c r="OYC72" s="120"/>
      <c r="OYD72" s="120"/>
      <c r="OYE72" s="120"/>
      <c r="OYF72" s="120"/>
      <c r="OYG72" s="120"/>
      <c r="OYH72" s="120"/>
      <c r="OYI72" s="120"/>
      <c r="OYJ72" s="120"/>
      <c r="OYK72" s="120"/>
      <c r="OYL72" s="120"/>
      <c r="OYM72" s="120"/>
      <c r="OYN72" s="120"/>
      <c r="OYO72" s="120"/>
      <c r="OYP72" s="120"/>
      <c r="OYQ72" s="120"/>
      <c r="OYR72" s="120"/>
      <c r="OYS72" s="120"/>
      <c r="OYT72" s="120"/>
      <c r="OYU72" s="120"/>
      <c r="OYV72" s="120"/>
      <c r="OYW72" s="120"/>
      <c r="OYX72" s="120"/>
      <c r="OYY72" s="120"/>
      <c r="OYZ72" s="120"/>
      <c r="OZA72" s="120"/>
      <c r="OZB72" s="120"/>
      <c r="OZC72" s="120"/>
      <c r="OZD72" s="120"/>
      <c r="OZE72" s="120"/>
      <c r="OZF72" s="120"/>
      <c r="OZG72" s="120"/>
      <c r="OZH72" s="120"/>
      <c r="OZI72" s="120"/>
      <c r="OZJ72" s="120"/>
      <c r="OZK72" s="120"/>
      <c r="OZL72" s="120"/>
      <c r="OZM72" s="120"/>
      <c r="OZN72" s="120"/>
      <c r="OZO72" s="120"/>
      <c r="OZP72" s="120"/>
      <c r="OZQ72" s="120"/>
      <c r="OZR72" s="120"/>
      <c r="OZS72" s="120"/>
      <c r="OZT72" s="120"/>
      <c r="OZU72" s="120"/>
      <c r="OZV72" s="120"/>
      <c r="OZW72" s="120"/>
      <c r="OZX72" s="120"/>
      <c r="OZY72" s="120"/>
      <c r="OZZ72" s="120"/>
      <c r="PAA72" s="120"/>
      <c r="PAB72" s="120"/>
      <c r="PAC72" s="120"/>
      <c r="PAD72" s="120"/>
      <c r="PAE72" s="120"/>
      <c r="PAF72" s="120"/>
      <c r="PAG72" s="120"/>
      <c r="PAH72" s="120"/>
      <c r="PAI72" s="120"/>
      <c r="PAJ72" s="120"/>
      <c r="PAK72" s="120"/>
      <c r="PAL72" s="120"/>
      <c r="PAM72" s="120"/>
      <c r="PAN72" s="120"/>
      <c r="PAO72" s="120"/>
      <c r="PAP72" s="120"/>
      <c r="PAQ72" s="120"/>
      <c r="PAR72" s="120"/>
      <c r="PAS72" s="120"/>
      <c r="PAT72" s="120"/>
      <c r="PAU72" s="120"/>
      <c r="PAV72" s="120"/>
      <c r="PAW72" s="120"/>
      <c r="PAX72" s="120"/>
      <c r="PAY72" s="120"/>
      <c r="PAZ72" s="120"/>
      <c r="PBA72" s="120"/>
      <c r="PBB72" s="120"/>
      <c r="PBC72" s="120"/>
      <c r="PBD72" s="120"/>
      <c r="PBE72" s="120"/>
      <c r="PBF72" s="120"/>
      <c r="PBG72" s="120"/>
      <c r="PBH72" s="120"/>
      <c r="PBI72" s="120"/>
      <c r="PBJ72" s="120"/>
      <c r="PBK72" s="120"/>
      <c r="PBL72" s="120"/>
      <c r="PBM72" s="120"/>
      <c r="PBN72" s="120"/>
      <c r="PBO72" s="120"/>
      <c r="PBP72" s="120"/>
      <c r="PBQ72" s="120"/>
      <c r="PBR72" s="120"/>
      <c r="PBS72" s="120"/>
      <c r="PBT72" s="120"/>
      <c r="PBU72" s="120"/>
      <c r="PBV72" s="120"/>
      <c r="PBW72" s="120"/>
      <c r="PBX72" s="120"/>
      <c r="PBY72" s="120"/>
      <c r="PBZ72" s="120"/>
      <c r="PCA72" s="120"/>
      <c r="PCB72" s="120"/>
      <c r="PCC72" s="120"/>
      <c r="PCD72" s="120"/>
      <c r="PCE72" s="120"/>
      <c r="PCF72" s="120"/>
      <c r="PCG72" s="120"/>
      <c r="PCH72" s="120"/>
      <c r="PCI72" s="120"/>
      <c r="PCJ72" s="120"/>
      <c r="PCK72" s="120"/>
      <c r="PCL72" s="120"/>
      <c r="PCM72" s="120"/>
      <c r="PCN72" s="120"/>
      <c r="PCO72" s="120"/>
      <c r="PCP72" s="120"/>
      <c r="PCQ72" s="120"/>
      <c r="PCR72" s="120"/>
      <c r="PCS72" s="120"/>
      <c r="PCT72" s="120"/>
      <c r="PCU72" s="120"/>
      <c r="PCV72" s="120"/>
      <c r="PCW72" s="120"/>
      <c r="PCX72" s="120"/>
      <c r="PCY72" s="120"/>
      <c r="PCZ72" s="120"/>
      <c r="PDA72" s="120"/>
      <c r="PDB72" s="120"/>
      <c r="PDC72" s="120"/>
      <c r="PDD72" s="120"/>
      <c r="PDE72" s="120"/>
      <c r="PDF72" s="120"/>
      <c r="PDG72" s="120"/>
      <c r="PDH72" s="120"/>
      <c r="PDI72" s="120"/>
      <c r="PDJ72" s="120"/>
      <c r="PDK72" s="120"/>
      <c r="PDL72" s="120"/>
      <c r="PDM72" s="120"/>
      <c r="PDN72" s="120"/>
      <c r="PDO72" s="120"/>
      <c r="PDP72" s="120"/>
      <c r="PDQ72" s="120"/>
      <c r="PDR72" s="120"/>
      <c r="PDS72" s="120"/>
      <c r="PDT72" s="120"/>
      <c r="PDU72" s="120"/>
      <c r="PDV72" s="120"/>
      <c r="PDW72" s="120"/>
      <c r="PDX72" s="120"/>
      <c r="PDY72" s="120"/>
      <c r="PDZ72" s="120"/>
      <c r="PEA72" s="120"/>
      <c r="PEB72" s="120"/>
      <c r="PEC72" s="120"/>
      <c r="PED72" s="120"/>
      <c r="PEE72" s="120"/>
      <c r="PEF72" s="120"/>
      <c r="PEG72" s="120"/>
      <c r="PEH72" s="120"/>
      <c r="PEI72" s="120"/>
      <c r="PEJ72" s="120"/>
      <c r="PEK72" s="120"/>
      <c r="PEL72" s="120"/>
      <c r="PEM72" s="120"/>
      <c r="PEN72" s="120"/>
      <c r="PEO72" s="120"/>
      <c r="PEP72" s="120"/>
      <c r="PEQ72" s="120"/>
      <c r="PER72" s="120"/>
      <c r="PES72" s="120"/>
      <c r="PET72" s="120"/>
      <c r="PEU72" s="120"/>
      <c r="PEV72" s="120"/>
      <c r="PEW72" s="120"/>
      <c r="PEX72" s="120"/>
      <c r="PEY72" s="120"/>
      <c r="PEZ72" s="120"/>
      <c r="PFA72" s="120"/>
      <c r="PFB72" s="120"/>
      <c r="PFC72" s="120"/>
      <c r="PFD72" s="120"/>
      <c r="PFE72" s="120"/>
      <c r="PFF72" s="120"/>
      <c r="PFG72" s="120"/>
      <c r="PFH72" s="120"/>
      <c r="PFI72" s="120"/>
      <c r="PFJ72" s="120"/>
      <c r="PFK72" s="120"/>
      <c r="PFL72" s="120"/>
      <c r="PFM72" s="120"/>
      <c r="PFN72" s="120"/>
      <c r="PFO72" s="120"/>
      <c r="PFP72" s="120"/>
      <c r="PFQ72" s="120"/>
      <c r="PFR72" s="120"/>
      <c r="PFS72" s="120"/>
      <c r="PFT72" s="120"/>
      <c r="PFU72" s="120"/>
      <c r="PFV72" s="120"/>
      <c r="PFW72" s="120"/>
      <c r="PFX72" s="120"/>
      <c r="PFY72" s="120"/>
      <c r="PFZ72" s="120"/>
      <c r="PGA72" s="120"/>
      <c r="PGB72" s="120"/>
      <c r="PGC72" s="120"/>
      <c r="PGD72" s="120"/>
      <c r="PGE72" s="120"/>
      <c r="PGF72" s="120"/>
      <c r="PGG72" s="120"/>
      <c r="PGH72" s="120"/>
      <c r="PGI72" s="120"/>
      <c r="PGJ72" s="120"/>
      <c r="PGK72" s="120"/>
      <c r="PGL72" s="120"/>
      <c r="PGM72" s="120"/>
      <c r="PGN72" s="120"/>
      <c r="PGO72" s="120"/>
      <c r="PGP72" s="120"/>
      <c r="PGQ72" s="120"/>
      <c r="PGR72" s="120"/>
      <c r="PGS72" s="120"/>
      <c r="PGT72" s="120"/>
      <c r="PGU72" s="120"/>
      <c r="PGV72" s="120"/>
      <c r="PGW72" s="120"/>
      <c r="PGX72" s="120"/>
      <c r="PGY72" s="120"/>
      <c r="PGZ72" s="120"/>
      <c r="PHA72" s="120"/>
      <c r="PHB72" s="120"/>
      <c r="PHC72" s="120"/>
      <c r="PHD72" s="120"/>
      <c r="PHE72" s="120"/>
      <c r="PHF72" s="120"/>
      <c r="PHG72" s="120"/>
      <c r="PHH72" s="120"/>
      <c r="PHI72" s="120"/>
      <c r="PHJ72" s="120"/>
      <c r="PHK72" s="120"/>
      <c r="PHL72" s="120"/>
      <c r="PHM72" s="120"/>
      <c r="PHN72" s="120"/>
      <c r="PHO72" s="120"/>
      <c r="PHP72" s="120"/>
      <c r="PHQ72" s="120"/>
      <c r="PHR72" s="120"/>
      <c r="PHS72" s="120"/>
      <c r="PHT72" s="120"/>
      <c r="PHU72" s="120"/>
      <c r="PHV72" s="120"/>
      <c r="PHW72" s="120"/>
      <c r="PHX72" s="120"/>
      <c r="PHY72" s="120"/>
      <c r="PHZ72" s="120"/>
      <c r="PIA72" s="120"/>
      <c r="PIB72" s="120"/>
      <c r="PIC72" s="120"/>
      <c r="PID72" s="120"/>
      <c r="PIE72" s="120"/>
      <c r="PIF72" s="120"/>
      <c r="PIG72" s="120"/>
      <c r="PIH72" s="120"/>
      <c r="PII72" s="120"/>
      <c r="PIJ72" s="120"/>
      <c r="PIK72" s="120"/>
      <c r="PIL72" s="120"/>
      <c r="PIM72" s="120"/>
      <c r="PIN72" s="120"/>
      <c r="PIO72" s="120"/>
      <c r="PIP72" s="120"/>
      <c r="PIQ72" s="120"/>
      <c r="PIR72" s="120"/>
      <c r="PIS72" s="120"/>
      <c r="PIT72" s="120"/>
      <c r="PIU72" s="120"/>
      <c r="PIV72" s="120"/>
      <c r="PIW72" s="120"/>
      <c r="PIX72" s="120"/>
      <c r="PIY72" s="120"/>
      <c r="PIZ72" s="120"/>
      <c r="PJA72" s="120"/>
      <c r="PJB72" s="120"/>
      <c r="PJC72" s="120"/>
      <c r="PJD72" s="120"/>
      <c r="PJE72" s="120"/>
      <c r="PJF72" s="120"/>
      <c r="PJG72" s="120"/>
      <c r="PJH72" s="120"/>
      <c r="PJI72" s="120"/>
      <c r="PJJ72" s="120"/>
      <c r="PJK72" s="120"/>
      <c r="PJL72" s="120"/>
      <c r="PJM72" s="120"/>
      <c r="PJN72" s="120"/>
      <c r="PJO72" s="120"/>
      <c r="PJP72" s="120"/>
      <c r="PJQ72" s="120"/>
      <c r="PJR72" s="120"/>
      <c r="PJS72" s="120"/>
      <c r="PJT72" s="120"/>
      <c r="PJU72" s="120"/>
      <c r="PJV72" s="120"/>
      <c r="PJW72" s="120"/>
      <c r="PJX72" s="120"/>
      <c r="PJY72" s="120"/>
      <c r="PJZ72" s="120"/>
      <c r="PKA72" s="120"/>
      <c r="PKB72" s="120"/>
      <c r="PKC72" s="120"/>
      <c r="PKD72" s="120"/>
      <c r="PKE72" s="120"/>
      <c r="PKF72" s="120"/>
      <c r="PKG72" s="120"/>
      <c r="PKH72" s="120"/>
      <c r="PKI72" s="120"/>
      <c r="PKJ72" s="120"/>
      <c r="PKK72" s="120"/>
      <c r="PKL72" s="120"/>
      <c r="PKM72" s="120"/>
      <c r="PKN72" s="120"/>
      <c r="PKO72" s="120"/>
      <c r="PKP72" s="120"/>
      <c r="PKQ72" s="120"/>
      <c r="PKR72" s="120"/>
      <c r="PKS72" s="120"/>
      <c r="PKT72" s="120"/>
      <c r="PKU72" s="120"/>
      <c r="PKV72" s="120"/>
      <c r="PKW72" s="120"/>
      <c r="PKX72" s="120"/>
      <c r="PKY72" s="120"/>
      <c r="PKZ72" s="120"/>
      <c r="PLA72" s="120"/>
      <c r="PLB72" s="120"/>
      <c r="PLC72" s="120"/>
      <c r="PLD72" s="120"/>
      <c r="PLE72" s="120"/>
      <c r="PLF72" s="120"/>
      <c r="PLG72" s="120"/>
      <c r="PLH72" s="120"/>
      <c r="PLI72" s="120"/>
      <c r="PLJ72" s="120"/>
      <c r="PLK72" s="120"/>
      <c r="PLL72" s="120"/>
      <c r="PLM72" s="120"/>
      <c r="PLN72" s="120"/>
      <c r="PLO72" s="120"/>
      <c r="PLP72" s="120"/>
      <c r="PLQ72" s="120"/>
      <c r="PLR72" s="120"/>
      <c r="PLS72" s="120"/>
      <c r="PLT72" s="120"/>
      <c r="PLU72" s="120"/>
      <c r="PLV72" s="120"/>
      <c r="PLW72" s="120"/>
      <c r="PLX72" s="120"/>
      <c r="PLY72" s="120"/>
      <c r="PLZ72" s="120"/>
      <c r="PMA72" s="120"/>
      <c r="PMB72" s="120"/>
      <c r="PMC72" s="120"/>
      <c r="PMD72" s="120"/>
      <c r="PME72" s="120"/>
      <c r="PMF72" s="120"/>
      <c r="PMG72" s="120"/>
      <c r="PMH72" s="120"/>
      <c r="PMI72" s="120"/>
      <c r="PMJ72" s="120"/>
      <c r="PMK72" s="120"/>
      <c r="PML72" s="120"/>
      <c r="PMM72" s="120"/>
      <c r="PMN72" s="120"/>
      <c r="PMO72" s="120"/>
      <c r="PMP72" s="120"/>
      <c r="PMQ72" s="120"/>
      <c r="PMR72" s="120"/>
      <c r="PMS72" s="120"/>
      <c r="PMT72" s="120"/>
      <c r="PMU72" s="120"/>
      <c r="PMV72" s="120"/>
      <c r="PMW72" s="120"/>
      <c r="PMX72" s="120"/>
      <c r="PMY72" s="120"/>
      <c r="PMZ72" s="120"/>
      <c r="PNA72" s="120"/>
      <c r="PNB72" s="120"/>
      <c r="PNC72" s="120"/>
      <c r="PND72" s="120"/>
      <c r="PNE72" s="120"/>
      <c r="PNF72" s="120"/>
      <c r="PNG72" s="120"/>
      <c r="PNH72" s="120"/>
      <c r="PNI72" s="120"/>
      <c r="PNJ72" s="120"/>
      <c r="PNK72" s="120"/>
      <c r="PNL72" s="120"/>
      <c r="PNM72" s="120"/>
      <c r="PNN72" s="120"/>
      <c r="PNO72" s="120"/>
      <c r="PNP72" s="120"/>
      <c r="PNQ72" s="120"/>
      <c r="PNR72" s="120"/>
      <c r="PNS72" s="120"/>
      <c r="PNT72" s="120"/>
      <c r="PNU72" s="120"/>
      <c r="PNV72" s="120"/>
      <c r="PNW72" s="120"/>
      <c r="PNX72" s="120"/>
      <c r="PNY72" s="120"/>
      <c r="PNZ72" s="120"/>
      <c r="POA72" s="120"/>
      <c r="POB72" s="120"/>
      <c r="POC72" s="120"/>
      <c r="POD72" s="120"/>
      <c r="POE72" s="120"/>
      <c r="POF72" s="120"/>
      <c r="POG72" s="120"/>
      <c r="POH72" s="120"/>
      <c r="POI72" s="120"/>
      <c r="POJ72" s="120"/>
      <c r="POK72" s="120"/>
      <c r="POL72" s="120"/>
      <c r="POM72" s="120"/>
      <c r="PON72" s="120"/>
      <c r="POO72" s="120"/>
      <c r="POP72" s="120"/>
      <c r="POQ72" s="120"/>
      <c r="POR72" s="120"/>
      <c r="POS72" s="120"/>
      <c r="POT72" s="120"/>
      <c r="POU72" s="120"/>
      <c r="POV72" s="120"/>
      <c r="POW72" s="120"/>
      <c r="POX72" s="120"/>
      <c r="POY72" s="120"/>
      <c r="POZ72" s="120"/>
      <c r="PPA72" s="120"/>
      <c r="PPB72" s="120"/>
      <c r="PPC72" s="120"/>
      <c r="PPD72" s="120"/>
      <c r="PPE72" s="120"/>
      <c r="PPF72" s="120"/>
      <c r="PPG72" s="120"/>
      <c r="PPH72" s="120"/>
      <c r="PPI72" s="120"/>
      <c r="PPJ72" s="120"/>
      <c r="PPK72" s="120"/>
      <c r="PPL72" s="120"/>
      <c r="PPM72" s="120"/>
      <c r="PPN72" s="120"/>
      <c r="PPO72" s="120"/>
      <c r="PPP72" s="120"/>
      <c r="PPQ72" s="120"/>
      <c r="PPR72" s="120"/>
      <c r="PPS72" s="120"/>
      <c r="PPT72" s="120"/>
      <c r="PPU72" s="120"/>
      <c r="PPV72" s="120"/>
      <c r="PPW72" s="120"/>
      <c r="PPX72" s="120"/>
      <c r="PPY72" s="120"/>
      <c r="PPZ72" s="120"/>
      <c r="PQA72" s="120"/>
      <c r="PQB72" s="120"/>
      <c r="PQC72" s="120"/>
      <c r="PQD72" s="120"/>
      <c r="PQE72" s="120"/>
      <c r="PQF72" s="120"/>
      <c r="PQG72" s="120"/>
      <c r="PQH72" s="120"/>
      <c r="PQI72" s="120"/>
      <c r="PQJ72" s="120"/>
      <c r="PQK72" s="120"/>
      <c r="PQL72" s="120"/>
      <c r="PQM72" s="120"/>
      <c r="PQN72" s="120"/>
      <c r="PQO72" s="120"/>
      <c r="PQP72" s="120"/>
      <c r="PQQ72" s="120"/>
      <c r="PQR72" s="120"/>
      <c r="PQS72" s="120"/>
      <c r="PQT72" s="120"/>
      <c r="PQU72" s="120"/>
      <c r="PQV72" s="120"/>
      <c r="PQW72" s="120"/>
      <c r="PQX72" s="120"/>
      <c r="PQY72" s="120"/>
      <c r="PQZ72" s="120"/>
      <c r="PRA72" s="120"/>
      <c r="PRB72" s="120"/>
      <c r="PRC72" s="120"/>
      <c r="PRD72" s="120"/>
      <c r="PRE72" s="120"/>
      <c r="PRF72" s="120"/>
      <c r="PRG72" s="120"/>
      <c r="PRH72" s="120"/>
      <c r="PRI72" s="120"/>
      <c r="PRJ72" s="120"/>
      <c r="PRK72" s="120"/>
      <c r="PRL72" s="120"/>
      <c r="PRM72" s="120"/>
      <c r="PRN72" s="120"/>
      <c r="PRO72" s="120"/>
      <c r="PRP72" s="120"/>
      <c r="PRQ72" s="120"/>
      <c r="PRR72" s="120"/>
      <c r="PRS72" s="120"/>
      <c r="PRT72" s="120"/>
      <c r="PRU72" s="120"/>
      <c r="PRV72" s="120"/>
      <c r="PRW72" s="120"/>
      <c r="PRX72" s="120"/>
      <c r="PRY72" s="120"/>
      <c r="PRZ72" s="120"/>
      <c r="PSA72" s="120"/>
      <c r="PSB72" s="120"/>
      <c r="PSC72" s="120"/>
      <c r="PSD72" s="120"/>
      <c r="PSE72" s="120"/>
      <c r="PSF72" s="120"/>
      <c r="PSG72" s="120"/>
      <c r="PSH72" s="120"/>
      <c r="PSI72" s="120"/>
      <c r="PSJ72" s="120"/>
      <c r="PSK72" s="120"/>
      <c r="PSL72" s="120"/>
      <c r="PSM72" s="120"/>
      <c r="PSN72" s="120"/>
      <c r="PSO72" s="120"/>
      <c r="PSP72" s="120"/>
      <c r="PSQ72" s="120"/>
      <c r="PSR72" s="120"/>
      <c r="PSS72" s="120"/>
      <c r="PST72" s="120"/>
      <c r="PSU72" s="120"/>
      <c r="PSV72" s="120"/>
      <c r="PSW72" s="120"/>
      <c r="PSX72" s="120"/>
      <c r="PSY72" s="120"/>
      <c r="PSZ72" s="120"/>
      <c r="PTA72" s="120"/>
      <c r="PTB72" s="120"/>
      <c r="PTC72" s="120"/>
      <c r="PTD72" s="120"/>
      <c r="PTE72" s="120"/>
      <c r="PTF72" s="120"/>
      <c r="PTG72" s="120"/>
      <c r="PTH72" s="120"/>
      <c r="PTI72" s="120"/>
      <c r="PTJ72" s="120"/>
      <c r="PTK72" s="120"/>
      <c r="PTL72" s="120"/>
      <c r="PTM72" s="120"/>
      <c r="PTN72" s="120"/>
      <c r="PTO72" s="120"/>
      <c r="PTP72" s="120"/>
      <c r="PTQ72" s="120"/>
      <c r="PTR72" s="120"/>
      <c r="PTS72" s="120"/>
      <c r="PTT72" s="120"/>
      <c r="PTU72" s="120"/>
      <c r="PTV72" s="120"/>
      <c r="PTW72" s="120"/>
      <c r="PTX72" s="120"/>
      <c r="PTY72" s="120"/>
      <c r="PTZ72" s="120"/>
      <c r="PUA72" s="120"/>
      <c r="PUB72" s="120"/>
      <c r="PUC72" s="120"/>
      <c r="PUD72" s="120"/>
      <c r="PUE72" s="120"/>
      <c r="PUF72" s="120"/>
      <c r="PUG72" s="120"/>
      <c r="PUH72" s="120"/>
      <c r="PUI72" s="120"/>
      <c r="PUJ72" s="120"/>
      <c r="PUK72" s="120"/>
      <c r="PUL72" s="120"/>
      <c r="PUM72" s="120"/>
      <c r="PUN72" s="120"/>
      <c r="PUO72" s="120"/>
      <c r="PUP72" s="120"/>
      <c r="PUQ72" s="120"/>
      <c r="PUR72" s="120"/>
      <c r="PUS72" s="120"/>
      <c r="PUT72" s="120"/>
      <c r="PUU72" s="120"/>
      <c r="PUV72" s="120"/>
      <c r="PUW72" s="120"/>
      <c r="PUX72" s="120"/>
      <c r="PUY72" s="120"/>
      <c r="PUZ72" s="120"/>
      <c r="PVA72" s="120"/>
      <c r="PVB72" s="120"/>
      <c r="PVC72" s="120"/>
      <c r="PVD72" s="120"/>
      <c r="PVE72" s="120"/>
      <c r="PVF72" s="120"/>
      <c r="PVG72" s="120"/>
      <c r="PVH72" s="120"/>
      <c r="PVI72" s="120"/>
      <c r="PVJ72" s="120"/>
      <c r="PVK72" s="120"/>
      <c r="PVL72" s="120"/>
      <c r="PVM72" s="120"/>
      <c r="PVN72" s="120"/>
      <c r="PVO72" s="120"/>
      <c r="PVP72" s="120"/>
      <c r="PVQ72" s="120"/>
      <c r="PVR72" s="120"/>
      <c r="PVS72" s="120"/>
      <c r="PVT72" s="120"/>
      <c r="PVU72" s="120"/>
      <c r="PVV72" s="120"/>
      <c r="PVW72" s="120"/>
      <c r="PVX72" s="120"/>
      <c r="PVY72" s="120"/>
      <c r="PVZ72" s="120"/>
      <c r="PWA72" s="120"/>
      <c r="PWB72" s="120"/>
      <c r="PWC72" s="120"/>
      <c r="PWD72" s="120"/>
      <c r="PWE72" s="120"/>
      <c r="PWF72" s="120"/>
      <c r="PWG72" s="120"/>
      <c r="PWH72" s="120"/>
      <c r="PWI72" s="120"/>
      <c r="PWJ72" s="120"/>
      <c r="PWK72" s="120"/>
      <c r="PWL72" s="120"/>
      <c r="PWM72" s="120"/>
      <c r="PWN72" s="120"/>
      <c r="PWO72" s="120"/>
      <c r="PWP72" s="120"/>
      <c r="PWQ72" s="120"/>
      <c r="PWR72" s="120"/>
      <c r="PWS72" s="120"/>
      <c r="PWT72" s="120"/>
      <c r="PWU72" s="120"/>
      <c r="PWV72" s="120"/>
      <c r="PWW72" s="120"/>
      <c r="PWX72" s="120"/>
      <c r="PWY72" s="120"/>
      <c r="PWZ72" s="120"/>
      <c r="PXA72" s="120"/>
      <c r="PXB72" s="120"/>
      <c r="PXC72" s="120"/>
      <c r="PXD72" s="120"/>
      <c r="PXE72" s="120"/>
      <c r="PXF72" s="120"/>
      <c r="PXG72" s="120"/>
      <c r="PXH72" s="120"/>
      <c r="PXI72" s="120"/>
      <c r="PXJ72" s="120"/>
      <c r="PXK72" s="120"/>
      <c r="PXL72" s="120"/>
      <c r="PXM72" s="120"/>
      <c r="PXN72" s="120"/>
      <c r="PXO72" s="120"/>
      <c r="PXP72" s="120"/>
      <c r="PXQ72" s="120"/>
      <c r="PXR72" s="120"/>
      <c r="PXS72" s="120"/>
      <c r="PXT72" s="120"/>
      <c r="PXU72" s="120"/>
      <c r="PXV72" s="120"/>
      <c r="PXW72" s="120"/>
      <c r="PXX72" s="120"/>
      <c r="PXY72" s="120"/>
      <c r="PXZ72" s="120"/>
      <c r="PYA72" s="120"/>
      <c r="PYB72" s="120"/>
      <c r="PYC72" s="120"/>
      <c r="PYD72" s="120"/>
      <c r="PYE72" s="120"/>
      <c r="PYF72" s="120"/>
      <c r="PYG72" s="120"/>
      <c r="PYH72" s="120"/>
      <c r="PYI72" s="120"/>
      <c r="PYJ72" s="120"/>
      <c r="PYK72" s="120"/>
      <c r="PYL72" s="120"/>
      <c r="PYM72" s="120"/>
      <c r="PYN72" s="120"/>
      <c r="PYO72" s="120"/>
      <c r="PYP72" s="120"/>
      <c r="PYQ72" s="120"/>
      <c r="PYR72" s="120"/>
      <c r="PYS72" s="120"/>
      <c r="PYT72" s="120"/>
      <c r="PYU72" s="120"/>
      <c r="PYV72" s="120"/>
      <c r="PYW72" s="120"/>
      <c r="PYX72" s="120"/>
      <c r="PYY72" s="120"/>
      <c r="PYZ72" s="120"/>
      <c r="PZA72" s="120"/>
      <c r="PZB72" s="120"/>
      <c r="PZC72" s="120"/>
      <c r="PZD72" s="120"/>
      <c r="PZE72" s="120"/>
      <c r="PZF72" s="120"/>
      <c r="PZG72" s="120"/>
      <c r="PZH72" s="120"/>
      <c r="PZI72" s="120"/>
      <c r="PZJ72" s="120"/>
      <c r="PZK72" s="120"/>
      <c r="PZL72" s="120"/>
      <c r="PZM72" s="120"/>
      <c r="PZN72" s="120"/>
      <c r="PZO72" s="120"/>
      <c r="PZP72" s="120"/>
      <c r="PZQ72" s="120"/>
      <c r="PZR72" s="120"/>
      <c r="PZS72" s="120"/>
      <c r="PZT72" s="120"/>
      <c r="PZU72" s="120"/>
      <c r="PZV72" s="120"/>
      <c r="PZW72" s="120"/>
      <c r="PZX72" s="120"/>
      <c r="PZY72" s="120"/>
      <c r="PZZ72" s="120"/>
      <c r="QAA72" s="120"/>
      <c r="QAB72" s="120"/>
      <c r="QAC72" s="120"/>
      <c r="QAD72" s="120"/>
      <c r="QAE72" s="120"/>
      <c r="QAF72" s="120"/>
      <c r="QAG72" s="120"/>
      <c r="QAH72" s="120"/>
      <c r="QAI72" s="120"/>
      <c r="QAJ72" s="120"/>
      <c r="QAK72" s="120"/>
      <c r="QAL72" s="120"/>
      <c r="QAM72" s="120"/>
      <c r="QAN72" s="120"/>
      <c r="QAO72" s="120"/>
      <c r="QAP72" s="120"/>
      <c r="QAQ72" s="120"/>
      <c r="QAR72" s="120"/>
      <c r="QAS72" s="120"/>
      <c r="QAT72" s="120"/>
      <c r="QAU72" s="120"/>
      <c r="QAV72" s="120"/>
      <c r="QAW72" s="120"/>
      <c r="QAX72" s="120"/>
      <c r="QAY72" s="120"/>
      <c r="QAZ72" s="120"/>
      <c r="QBA72" s="120"/>
      <c r="QBB72" s="120"/>
      <c r="QBC72" s="120"/>
      <c r="QBD72" s="120"/>
      <c r="QBE72" s="120"/>
      <c r="QBF72" s="120"/>
      <c r="QBG72" s="120"/>
      <c r="QBH72" s="120"/>
      <c r="QBI72" s="120"/>
      <c r="QBJ72" s="120"/>
      <c r="QBK72" s="120"/>
      <c r="QBL72" s="120"/>
      <c r="QBM72" s="120"/>
      <c r="QBN72" s="120"/>
      <c r="QBO72" s="120"/>
      <c r="QBP72" s="120"/>
      <c r="QBQ72" s="120"/>
      <c r="QBR72" s="120"/>
      <c r="QBS72" s="120"/>
      <c r="QBT72" s="120"/>
      <c r="QBU72" s="120"/>
      <c r="QBV72" s="120"/>
      <c r="QBW72" s="120"/>
      <c r="QBX72" s="120"/>
      <c r="QBY72" s="120"/>
      <c r="QBZ72" s="120"/>
      <c r="QCA72" s="120"/>
      <c r="QCB72" s="120"/>
      <c r="QCC72" s="120"/>
      <c r="QCD72" s="120"/>
      <c r="QCE72" s="120"/>
      <c r="QCF72" s="120"/>
      <c r="QCG72" s="120"/>
      <c r="QCH72" s="120"/>
      <c r="QCI72" s="120"/>
      <c r="QCJ72" s="120"/>
      <c r="QCK72" s="120"/>
      <c r="QCL72" s="120"/>
      <c r="QCM72" s="120"/>
      <c r="QCN72" s="120"/>
      <c r="QCO72" s="120"/>
      <c r="QCP72" s="120"/>
      <c r="QCQ72" s="120"/>
      <c r="QCR72" s="120"/>
      <c r="QCS72" s="120"/>
      <c r="QCT72" s="120"/>
      <c r="QCU72" s="120"/>
      <c r="QCV72" s="120"/>
      <c r="QCW72" s="120"/>
      <c r="QCX72" s="120"/>
      <c r="QCY72" s="120"/>
      <c r="QCZ72" s="120"/>
      <c r="QDA72" s="120"/>
      <c r="QDB72" s="120"/>
      <c r="QDC72" s="120"/>
      <c r="QDD72" s="120"/>
      <c r="QDE72" s="120"/>
      <c r="QDF72" s="120"/>
      <c r="QDG72" s="120"/>
      <c r="QDH72" s="120"/>
      <c r="QDI72" s="120"/>
      <c r="QDJ72" s="120"/>
      <c r="QDK72" s="120"/>
      <c r="QDL72" s="120"/>
      <c r="QDM72" s="120"/>
      <c r="QDN72" s="120"/>
      <c r="QDO72" s="120"/>
      <c r="QDP72" s="120"/>
      <c r="QDQ72" s="120"/>
      <c r="QDR72" s="120"/>
      <c r="QDS72" s="120"/>
      <c r="QDT72" s="120"/>
      <c r="QDU72" s="120"/>
      <c r="QDV72" s="120"/>
      <c r="QDW72" s="120"/>
      <c r="QDX72" s="120"/>
      <c r="QDY72" s="120"/>
      <c r="QDZ72" s="120"/>
      <c r="QEA72" s="120"/>
      <c r="QEB72" s="120"/>
      <c r="QEC72" s="120"/>
      <c r="QED72" s="120"/>
      <c r="QEE72" s="120"/>
      <c r="QEF72" s="120"/>
      <c r="QEG72" s="120"/>
      <c r="QEH72" s="120"/>
      <c r="QEI72" s="120"/>
      <c r="QEJ72" s="120"/>
      <c r="QEK72" s="120"/>
      <c r="QEL72" s="120"/>
      <c r="QEM72" s="120"/>
      <c r="QEN72" s="120"/>
      <c r="QEO72" s="120"/>
      <c r="QEP72" s="120"/>
      <c r="QEQ72" s="120"/>
      <c r="QER72" s="120"/>
      <c r="QES72" s="120"/>
      <c r="QET72" s="120"/>
      <c r="QEU72" s="120"/>
      <c r="QEV72" s="120"/>
      <c r="QEW72" s="120"/>
      <c r="QEX72" s="120"/>
      <c r="QEY72" s="120"/>
      <c r="QEZ72" s="120"/>
      <c r="QFA72" s="120"/>
      <c r="QFB72" s="120"/>
      <c r="QFC72" s="120"/>
      <c r="QFD72" s="120"/>
      <c r="QFE72" s="120"/>
      <c r="QFF72" s="120"/>
      <c r="QFG72" s="120"/>
      <c r="QFH72" s="120"/>
      <c r="QFI72" s="120"/>
      <c r="QFJ72" s="120"/>
      <c r="QFK72" s="120"/>
      <c r="QFL72" s="120"/>
      <c r="QFM72" s="120"/>
      <c r="QFN72" s="120"/>
      <c r="QFO72" s="120"/>
      <c r="QFP72" s="120"/>
      <c r="QFQ72" s="120"/>
      <c r="QFR72" s="120"/>
      <c r="QFS72" s="120"/>
      <c r="QFT72" s="120"/>
      <c r="QFU72" s="120"/>
      <c r="QFV72" s="120"/>
      <c r="QFW72" s="120"/>
      <c r="QFX72" s="120"/>
      <c r="QFY72" s="120"/>
      <c r="QFZ72" s="120"/>
      <c r="QGA72" s="120"/>
      <c r="QGB72" s="120"/>
      <c r="QGC72" s="120"/>
      <c r="QGD72" s="120"/>
      <c r="QGE72" s="120"/>
      <c r="QGF72" s="120"/>
      <c r="QGG72" s="120"/>
      <c r="QGH72" s="120"/>
      <c r="QGI72" s="120"/>
      <c r="QGJ72" s="120"/>
      <c r="QGK72" s="120"/>
      <c r="QGL72" s="120"/>
      <c r="QGM72" s="120"/>
      <c r="QGN72" s="120"/>
      <c r="QGO72" s="120"/>
      <c r="QGP72" s="120"/>
      <c r="QGQ72" s="120"/>
      <c r="QGR72" s="120"/>
      <c r="QGS72" s="120"/>
      <c r="QGT72" s="120"/>
      <c r="QGU72" s="120"/>
      <c r="QGV72" s="120"/>
      <c r="QGW72" s="120"/>
      <c r="QGX72" s="120"/>
      <c r="QGY72" s="120"/>
      <c r="QGZ72" s="120"/>
      <c r="QHA72" s="120"/>
      <c r="QHB72" s="120"/>
      <c r="QHC72" s="120"/>
      <c r="QHD72" s="120"/>
      <c r="QHE72" s="120"/>
      <c r="QHF72" s="120"/>
      <c r="QHG72" s="120"/>
      <c r="QHH72" s="120"/>
      <c r="QHI72" s="120"/>
      <c r="QHJ72" s="120"/>
      <c r="QHK72" s="120"/>
      <c r="QHL72" s="120"/>
      <c r="QHM72" s="120"/>
      <c r="QHN72" s="120"/>
      <c r="QHO72" s="120"/>
      <c r="QHP72" s="120"/>
      <c r="QHQ72" s="120"/>
      <c r="QHR72" s="120"/>
      <c r="QHS72" s="120"/>
      <c r="QHT72" s="120"/>
      <c r="QHU72" s="120"/>
      <c r="QHV72" s="120"/>
      <c r="QHW72" s="120"/>
      <c r="QHX72" s="120"/>
      <c r="QHY72" s="120"/>
      <c r="QHZ72" s="120"/>
      <c r="QIA72" s="120"/>
      <c r="QIB72" s="120"/>
      <c r="QIC72" s="120"/>
      <c r="QID72" s="120"/>
      <c r="QIE72" s="120"/>
      <c r="QIF72" s="120"/>
      <c r="QIG72" s="120"/>
      <c r="QIH72" s="120"/>
      <c r="QII72" s="120"/>
      <c r="QIJ72" s="120"/>
      <c r="QIK72" s="120"/>
      <c r="QIL72" s="120"/>
      <c r="QIM72" s="120"/>
      <c r="QIN72" s="120"/>
      <c r="QIO72" s="120"/>
      <c r="QIP72" s="120"/>
      <c r="QIQ72" s="120"/>
      <c r="QIR72" s="120"/>
      <c r="QIS72" s="120"/>
      <c r="QIT72" s="120"/>
      <c r="QIU72" s="120"/>
      <c r="QIV72" s="120"/>
      <c r="QIW72" s="120"/>
      <c r="QIX72" s="120"/>
      <c r="QIY72" s="120"/>
      <c r="QIZ72" s="120"/>
      <c r="QJA72" s="120"/>
      <c r="QJB72" s="120"/>
      <c r="QJC72" s="120"/>
      <c r="QJD72" s="120"/>
      <c r="QJE72" s="120"/>
      <c r="QJF72" s="120"/>
      <c r="QJG72" s="120"/>
      <c r="QJH72" s="120"/>
      <c r="QJI72" s="120"/>
      <c r="QJJ72" s="120"/>
      <c r="QJK72" s="120"/>
      <c r="QJL72" s="120"/>
      <c r="QJM72" s="120"/>
      <c r="QJN72" s="120"/>
      <c r="QJO72" s="120"/>
      <c r="QJP72" s="120"/>
      <c r="QJQ72" s="120"/>
      <c r="QJR72" s="120"/>
      <c r="QJS72" s="120"/>
      <c r="QJT72" s="120"/>
      <c r="QJU72" s="120"/>
      <c r="QJV72" s="120"/>
      <c r="QJW72" s="120"/>
      <c r="QJX72" s="120"/>
      <c r="QJY72" s="120"/>
      <c r="QJZ72" s="120"/>
      <c r="QKA72" s="120"/>
      <c r="QKB72" s="120"/>
      <c r="QKC72" s="120"/>
      <c r="QKD72" s="120"/>
      <c r="QKE72" s="120"/>
      <c r="QKF72" s="120"/>
      <c r="QKG72" s="120"/>
      <c r="QKH72" s="120"/>
      <c r="QKI72" s="120"/>
      <c r="QKJ72" s="120"/>
      <c r="QKK72" s="120"/>
      <c r="QKL72" s="120"/>
      <c r="QKM72" s="120"/>
      <c r="QKN72" s="120"/>
      <c r="QKO72" s="120"/>
      <c r="QKP72" s="120"/>
      <c r="QKQ72" s="120"/>
      <c r="QKR72" s="120"/>
      <c r="QKS72" s="120"/>
      <c r="QKT72" s="120"/>
      <c r="QKU72" s="120"/>
      <c r="QKV72" s="120"/>
      <c r="QKW72" s="120"/>
      <c r="QKX72" s="120"/>
      <c r="QKY72" s="120"/>
      <c r="QKZ72" s="120"/>
      <c r="QLA72" s="120"/>
      <c r="QLB72" s="120"/>
      <c r="QLC72" s="120"/>
      <c r="QLD72" s="120"/>
      <c r="QLE72" s="120"/>
      <c r="QLF72" s="120"/>
      <c r="QLG72" s="120"/>
      <c r="QLH72" s="120"/>
      <c r="QLI72" s="120"/>
      <c r="QLJ72" s="120"/>
      <c r="QLK72" s="120"/>
      <c r="QLL72" s="120"/>
      <c r="QLM72" s="120"/>
      <c r="QLN72" s="120"/>
      <c r="QLO72" s="120"/>
      <c r="QLP72" s="120"/>
      <c r="QLQ72" s="120"/>
      <c r="QLR72" s="120"/>
      <c r="QLS72" s="120"/>
      <c r="QLT72" s="120"/>
      <c r="QLU72" s="120"/>
      <c r="QLV72" s="120"/>
      <c r="QLW72" s="120"/>
      <c r="QLX72" s="120"/>
      <c r="QLY72" s="120"/>
      <c r="QLZ72" s="120"/>
      <c r="QMA72" s="120"/>
      <c r="QMB72" s="120"/>
      <c r="QMC72" s="120"/>
      <c r="QMD72" s="120"/>
      <c r="QME72" s="120"/>
      <c r="QMF72" s="120"/>
      <c r="QMG72" s="120"/>
      <c r="QMH72" s="120"/>
      <c r="QMI72" s="120"/>
      <c r="QMJ72" s="120"/>
      <c r="QMK72" s="120"/>
      <c r="QML72" s="120"/>
      <c r="QMM72" s="120"/>
      <c r="QMN72" s="120"/>
      <c r="QMO72" s="120"/>
      <c r="QMP72" s="120"/>
      <c r="QMQ72" s="120"/>
      <c r="QMR72" s="120"/>
      <c r="QMS72" s="120"/>
      <c r="QMT72" s="120"/>
      <c r="QMU72" s="120"/>
      <c r="QMV72" s="120"/>
      <c r="QMW72" s="120"/>
      <c r="QMX72" s="120"/>
      <c r="QMY72" s="120"/>
      <c r="QMZ72" s="120"/>
      <c r="QNA72" s="120"/>
      <c r="QNB72" s="120"/>
      <c r="QNC72" s="120"/>
      <c r="QND72" s="120"/>
      <c r="QNE72" s="120"/>
      <c r="QNF72" s="120"/>
      <c r="QNG72" s="120"/>
      <c r="QNH72" s="120"/>
      <c r="QNI72" s="120"/>
      <c r="QNJ72" s="120"/>
      <c r="QNK72" s="120"/>
      <c r="QNL72" s="120"/>
      <c r="QNM72" s="120"/>
      <c r="QNN72" s="120"/>
      <c r="QNO72" s="120"/>
      <c r="QNP72" s="120"/>
      <c r="QNQ72" s="120"/>
      <c r="QNR72" s="120"/>
      <c r="QNS72" s="120"/>
      <c r="QNT72" s="120"/>
      <c r="QNU72" s="120"/>
      <c r="QNV72" s="120"/>
      <c r="QNW72" s="120"/>
      <c r="QNX72" s="120"/>
      <c r="QNY72" s="120"/>
      <c r="QNZ72" s="120"/>
      <c r="QOA72" s="120"/>
      <c r="QOB72" s="120"/>
      <c r="QOC72" s="120"/>
      <c r="QOD72" s="120"/>
      <c r="QOE72" s="120"/>
      <c r="QOF72" s="120"/>
      <c r="QOG72" s="120"/>
      <c r="QOH72" s="120"/>
      <c r="QOI72" s="120"/>
      <c r="QOJ72" s="120"/>
      <c r="QOK72" s="120"/>
      <c r="QOL72" s="120"/>
      <c r="QOM72" s="120"/>
      <c r="QON72" s="120"/>
      <c r="QOO72" s="120"/>
      <c r="QOP72" s="120"/>
      <c r="QOQ72" s="120"/>
      <c r="QOR72" s="120"/>
      <c r="QOS72" s="120"/>
      <c r="QOT72" s="120"/>
      <c r="QOU72" s="120"/>
      <c r="QOV72" s="120"/>
      <c r="QOW72" s="120"/>
      <c r="QOX72" s="120"/>
      <c r="QOY72" s="120"/>
      <c r="QOZ72" s="120"/>
      <c r="QPA72" s="120"/>
      <c r="QPB72" s="120"/>
      <c r="QPC72" s="120"/>
      <c r="QPD72" s="120"/>
      <c r="QPE72" s="120"/>
      <c r="QPF72" s="120"/>
      <c r="QPG72" s="120"/>
      <c r="QPH72" s="120"/>
      <c r="QPI72" s="120"/>
      <c r="QPJ72" s="120"/>
      <c r="QPK72" s="120"/>
      <c r="QPL72" s="120"/>
      <c r="QPM72" s="120"/>
      <c r="QPN72" s="120"/>
      <c r="QPO72" s="120"/>
      <c r="QPP72" s="120"/>
      <c r="QPQ72" s="120"/>
      <c r="QPR72" s="120"/>
      <c r="QPS72" s="120"/>
      <c r="QPT72" s="120"/>
      <c r="QPU72" s="120"/>
      <c r="QPV72" s="120"/>
      <c r="QPW72" s="120"/>
      <c r="QPX72" s="120"/>
      <c r="QPY72" s="120"/>
      <c r="QPZ72" s="120"/>
      <c r="QQA72" s="120"/>
      <c r="QQB72" s="120"/>
      <c r="QQC72" s="120"/>
      <c r="QQD72" s="120"/>
      <c r="QQE72" s="120"/>
      <c r="QQF72" s="120"/>
      <c r="QQG72" s="120"/>
      <c r="QQH72" s="120"/>
      <c r="QQI72" s="120"/>
      <c r="QQJ72" s="120"/>
      <c r="QQK72" s="120"/>
      <c r="QQL72" s="120"/>
      <c r="QQM72" s="120"/>
      <c r="QQN72" s="120"/>
      <c r="QQO72" s="120"/>
      <c r="QQP72" s="120"/>
      <c r="QQQ72" s="120"/>
      <c r="QQR72" s="120"/>
      <c r="QQS72" s="120"/>
      <c r="QQT72" s="120"/>
      <c r="QQU72" s="120"/>
      <c r="QQV72" s="120"/>
      <c r="QQW72" s="120"/>
      <c r="QQX72" s="120"/>
      <c r="QQY72" s="120"/>
      <c r="QQZ72" s="120"/>
      <c r="QRA72" s="120"/>
      <c r="QRB72" s="120"/>
      <c r="QRC72" s="120"/>
      <c r="QRD72" s="120"/>
      <c r="QRE72" s="120"/>
      <c r="QRF72" s="120"/>
      <c r="QRG72" s="120"/>
      <c r="QRH72" s="120"/>
      <c r="QRI72" s="120"/>
      <c r="QRJ72" s="120"/>
      <c r="QRK72" s="120"/>
      <c r="QRL72" s="120"/>
      <c r="QRM72" s="120"/>
      <c r="QRN72" s="120"/>
      <c r="QRO72" s="120"/>
      <c r="QRP72" s="120"/>
      <c r="QRQ72" s="120"/>
      <c r="QRR72" s="120"/>
      <c r="QRS72" s="120"/>
      <c r="QRT72" s="120"/>
      <c r="QRU72" s="120"/>
      <c r="QRV72" s="120"/>
      <c r="QRW72" s="120"/>
      <c r="QRX72" s="120"/>
      <c r="QRY72" s="120"/>
      <c r="QRZ72" s="120"/>
      <c r="QSA72" s="120"/>
      <c r="QSB72" s="120"/>
      <c r="QSC72" s="120"/>
      <c r="QSD72" s="120"/>
      <c r="QSE72" s="120"/>
      <c r="QSF72" s="120"/>
      <c r="QSG72" s="120"/>
      <c r="QSH72" s="120"/>
      <c r="QSI72" s="120"/>
      <c r="QSJ72" s="120"/>
      <c r="QSK72" s="120"/>
      <c r="QSL72" s="120"/>
      <c r="QSM72" s="120"/>
      <c r="QSN72" s="120"/>
      <c r="QSO72" s="120"/>
      <c r="QSP72" s="120"/>
      <c r="QSQ72" s="120"/>
      <c r="QSR72" s="120"/>
      <c r="QSS72" s="120"/>
      <c r="QST72" s="120"/>
      <c r="QSU72" s="120"/>
      <c r="QSV72" s="120"/>
      <c r="QSW72" s="120"/>
      <c r="QSX72" s="120"/>
      <c r="QSY72" s="120"/>
      <c r="QSZ72" s="120"/>
      <c r="QTA72" s="120"/>
      <c r="QTB72" s="120"/>
      <c r="QTC72" s="120"/>
      <c r="QTD72" s="120"/>
      <c r="QTE72" s="120"/>
      <c r="QTF72" s="120"/>
      <c r="QTG72" s="120"/>
      <c r="QTH72" s="120"/>
      <c r="QTI72" s="120"/>
      <c r="QTJ72" s="120"/>
      <c r="QTK72" s="120"/>
      <c r="QTL72" s="120"/>
      <c r="QTM72" s="120"/>
      <c r="QTN72" s="120"/>
      <c r="QTO72" s="120"/>
      <c r="QTP72" s="120"/>
      <c r="QTQ72" s="120"/>
      <c r="QTR72" s="120"/>
      <c r="QTS72" s="120"/>
      <c r="QTT72" s="120"/>
      <c r="QTU72" s="120"/>
      <c r="QTV72" s="120"/>
      <c r="QTW72" s="120"/>
      <c r="QTX72" s="120"/>
      <c r="QTY72" s="120"/>
      <c r="QTZ72" s="120"/>
      <c r="QUA72" s="120"/>
      <c r="QUB72" s="120"/>
      <c r="QUC72" s="120"/>
      <c r="QUD72" s="120"/>
      <c r="QUE72" s="120"/>
      <c r="QUF72" s="120"/>
      <c r="QUG72" s="120"/>
      <c r="QUH72" s="120"/>
      <c r="QUI72" s="120"/>
      <c r="QUJ72" s="120"/>
      <c r="QUK72" s="120"/>
      <c r="QUL72" s="120"/>
      <c r="QUM72" s="120"/>
      <c r="QUN72" s="120"/>
      <c r="QUO72" s="120"/>
      <c r="QUP72" s="120"/>
      <c r="QUQ72" s="120"/>
      <c r="QUR72" s="120"/>
      <c r="QUS72" s="120"/>
      <c r="QUT72" s="120"/>
      <c r="QUU72" s="120"/>
      <c r="QUV72" s="120"/>
      <c r="QUW72" s="120"/>
      <c r="QUX72" s="120"/>
      <c r="QUY72" s="120"/>
      <c r="QUZ72" s="120"/>
      <c r="QVA72" s="120"/>
      <c r="QVB72" s="120"/>
      <c r="QVC72" s="120"/>
      <c r="QVD72" s="120"/>
      <c r="QVE72" s="120"/>
      <c r="QVF72" s="120"/>
      <c r="QVG72" s="120"/>
      <c r="QVH72" s="120"/>
      <c r="QVI72" s="120"/>
      <c r="QVJ72" s="120"/>
      <c r="QVK72" s="120"/>
      <c r="QVL72" s="120"/>
      <c r="QVM72" s="120"/>
      <c r="QVN72" s="120"/>
      <c r="QVO72" s="120"/>
      <c r="QVP72" s="120"/>
      <c r="QVQ72" s="120"/>
      <c r="QVR72" s="120"/>
      <c r="QVS72" s="120"/>
      <c r="QVT72" s="120"/>
      <c r="QVU72" s="120"/>
      <c r="QVV72" s="120"/>
      <c r="QVW72" s="120"/>
      <c r="QVX72" s="120"/>
      <c r="QVY72" s="120"/>
      <c r="QVZ72" s="120"/>
      <c r="QWA72" s="120"/>
      <c r="QWB72" s="120"/>
      <c r="QWC72" s="120"/>
      <c r="QWD72" s="120"/>
      <c r="QWE72" s="120"/>
      <c r="QWF72" s="120"/>
      <c r="QWG72" s="120"/>
      <c r="QWH72" s="120"/>
      <c r="QWI72" s="120"/>
      <c r="QWJ72" s="120"/>
      <c r="QWK72" s="120"/>
      <c r="QWL72" s="120"/>
      <c r="QWM72" s="120"/>
      <c r="QWN72" s="120"/>
      <c r="QWO72" s="120"/>
      <c r="QWP72" s="120"/>
      <c r="QWQ72" s="120"/>
      <c r="QWR72" s="120"/>
      <c r="QWS72" s="120"/>
      <c r="QWT72" s="120"/>
      <c r="QWU72" s="120"/>
      <c r="QWV72" s="120"/>
      <c r="QWW72" s="120"/>
      <c r="QWX72" s="120"/>
      <c r="QWY72" s="120"/>
      <c r="QWZ72" s="120"/>
      <c r="QXA72" s="120"/>
      <c r="QXB72" s="120"/>
      <c r="QXC72" s="120"/>
      <c r="QXD72" s="120"/>
      <c r="QXE72" s="120"/>
      <c r="QXF72" s="120"/>
      <c r="QXG72" s="120"/>
      <c r="QXH72" s="120"/>
      <c r="QXI72" s="120"/>
      <c r="QXJ72" s="120"/>
      <c r="QXK72" s="120"/>
      <c r="QXL72" s="120"/>
      <c r="QXM72" s="120"/>
      <c r="QXN72" s="120"/>
      <c r="QXO72" s="120"/>
      <c r="QXP72" s="120"/>
      <c r="QXQ72" s="120"/>
      <c r="QXR72" s="120"/>
      <c r="QXS72" s="120"/>
      <c r="QXT72" s="120"/>
      <c r="QXU72" s="120"/>
      <c r="QXV72" s="120"/>
      <c r="QXW72" s="120"/>
      <c r="QXX72" s="120"/>
      <c r="QXY72" s="120"/>
      <c r="QXZ72" s="120"/>
      <c r="QYA72" s="120"/>
      <c r="QYB72" s="120"/>
      <c r="QYC72" s="120"/>
      <c r="QYD72" s="120"/>
      <c r="QYE72" s="120"/>
      <c r="QYF72" s="120"/>
      <c r="QYG72" s="120"/>
      <c r="QYH72" s="120"/>
      <c r="QYI72" s="120"/>
      <c r="QYJ72" s="120"/>
      <c r="QYK72" s="120"/>
      <c r="QYL72" s="120"/>
      <c r="QYM72" s="120"/>
      <c r="QYN72" s="120"/>
      <c r="QYO72" s="120"/>
      <c r="QYP72" s="120"/>
      <c r="QYQ72" s="120"/>
      <c r="QYR72" s="120"/>
      <c r="QYS72" s="120"/>
      <c r="QYT72" s="120"/>
      <c r="QYU72" s="120"/>
      <c r="QYV72" s="120"/>
      <c r="QYW72" s="120"/>
      <c r="QYX72" s="120"/>
      <c r="QYY72" s="120"/>
      <c r="QYZ72" s="120"/>
      <c r="QZA72" s="120"/>
      <c r="QZB72" s="120"/>
      <c r="QZC72" s="120"/>
      <c r="QZD72" s="120"/>
      <c r="QZE72" s="120"/>
      <c r="QZF72" s="120"/>
      <c r="QZG72" s="120"/>
      <c r="QZH72" s="120"/>
      <c r="QZI72" s="120"/>
      <c r="QZJ72" s="120"/>
      <c r="QZK72" s="120"/>
      <c r="QZL72" s="120"/>
      <c r="QZM72" s="120"/>
      <c r="QZN72" s="120"/>
      <c r="QZO72" s="120"/>
      <c r="QZP72" s="120"/>
      <c r="QZQ72" s="120"/>
      <c r="QZR72" s="120"/>
      <c r="QZS72" s="120"/>
      <c r="QZT72" s="120"/>
      <c r="QZU72" s="120"/>
      <c r="QZV72" s="120"/>
      <c r="QZW72" s="120"/>
      <c r="QZX72" s="120"/>
      <c r="QZY72" s="120"/>
      <c r="QZZ72" s="120"/>
      <c r="RAA72" s="120"/>
      <c r="RAB72" s="120"/>
      <c r="RAC72" s="120"/>
      <c r="RAD72" s="120"/>
      <c r="RAE72" s="120"/>
      <c r="RAF72" s="120"/>
      <c r="RAG72" s="120"/>
      <c r="RAH72" s="120"/>
      <c r="RAI72" s="120"/>
      <c r="RAJ72" s="120"/>
      <c r="RAK72" s="120"/>
      <c r="RAL72" s="120"/>
      <c r="RAM72" s="120"/>
      <c r="RAN72" s="120"/>
      <c r="RAO72" s="120"/>
      <c r="RAP72" s="120"/>
      <c r="RAQ72" s="120"/>
      <c r="RAR72" s="120"/>
      <c r="RAS72" s="120"/>
      <c r="RAT72" s="120"/>
      <c r="RAU72" s="120"/>
      <c r="RAV72" s="120"/>
      <c r="RAW72" s="120"/>
      <c r="RAX72" s="120"/>
      <c r="RAY72" s="120"/>
      <c r="RAZ72" s="120"/>
      <c r="RBA72" s="120"/>
      <c r="RBB72" s="120"/>
      <c r="RBC72" s="120"/>
      <c r="RBD72" s="120"/>
      <c r="RBE72" s="120"/>
      <c r="RBF72" s="120"/>
      <c r="RBG72" s="120"/>
      <c r="RBH72" s="120"/>
      <c r="RBI72" s="120"/>
      <c r="RBJ72" s="120"/>
      <c r="RBK72" s="120"/>
      <c r="RBL72" s="120"/>
      <c r="RBM72" s="120"/>
      <c r="RBN72" s="120"/>
      <c r="RBO72" s="120"/>
      <c r="RBP72" s="120"/>
      <c r="RBQ72" s="120"/>
      <c r="RBR72" s="120"/>
      <c r="RBS72" s="120"/>
      <c r="RBT72" s="120"/>
      <c r="RBU72" s="120"/>
      <c r="RBV72" s="120"/>
      <c r="RBW72" s="120"/>
      <c r="RBX72" s="120"/>
      <c r="RBY72" s="120"/>
      <c r="RBZ72" s="120"/>
      <c r="RCA72" s="120"/>
      <c r="RCB72" s="120"/>
      <c r="RCC72" s="120"/>
      <c r="RCD72" s="120"/>
      <c r="RCE72" s="120"/>
      <c r="RCF72" s="120"/>
      <c r="RCG72" s="120"/>
      <c r="RCH72" s="120"/>
      <c r="RCI72" s="120"/>
      <c r="RCJ72" s="120"/>
      <c r="RCK72" s="120"/>
      <c r="RCL72" s="120"/>
      <c r="RCM72" s="120"/>
      <c r="RCN72" s="120"/>
      <c r="RCO72" s="120"/>
      <c r="RCP72" s="120"/>
      <c r="RCQ72" s="120"/>
      <c r="RCR72" s="120"/>
      <c r="RCS72" s="120"/>
      <c r="RCT72" s="120"/>
      <c r="RCU72" s="120"/>
      <c r="RCV72" s="120"/>
      <c r="RCW72" s="120"/>
      <c r="RCX72" s="120"/>
      <c r="RCY72" s="120"/>
      <c r="RCZ72" s="120"/>
      <c r="RDA72" s="120"/>
      <c r="RDB72" s="120"/>
      <c r="RDC72" s="120"/>
      <c r="RDD72" s="120"/>
      <c r="RDE72" s="120"/>
      <c r="RDF72" s="120"/>
      <c r="RDG72" s="120"/>
      <c r="RDH72" s="120"/>
      <c r="RDI72" s="120"/>
      <c r="RDJ72" s="120"/>
      <c r="RDK72" s="120"/>
      <c r="RDL72" s="120"/>
      <c r="RDM72" s="120"/>
      <c r="RDN72" s="120"/>
      <c r="RDO72" s="120"/>
      <c r="RDP72" s="120"/>
      <c r="RDQ72" s="120"/>
      <c r="RDR72" s="120"/>
      <c r="RDS72" s="120"/>
      <c r="RDT72" s="120"/>
      <c r="RDU72" s="120"/>
      <c r="RDV72" s="120"/>
      <c r="RDW72" s="120"/>
      <c r="RDX72" s="120"/>
      <c r="RDY72" s="120"/>
      <c r="RDZ72" s="120"/>
      <c r="REA72" s="120"/>
      <c r="REB72" s="120"/>
      <c r="REC72" s="120"/>
      <c r="RED72" s="120"/>
      <c r="REE72" s="120"/>
      <c r="REF72" s="120"/>
      <c r="REG72" s="120"/>
      <c r="REH72" s="120"/>
      <c r="REI72" s="120"/>
      <c r="REJ72" s="120"/>
      <c r="REK72" s="120"/>
      <c r="REL72" s="120"/>
      <c r="REM72" s="120"/>
      <c r="REN72" s="120"/>
      <c r="REO72" s="120"/>
      <c r="REP72" s="120"/>
      <c r="REQ72" s="120"/>
      <c r="RER72" s="120"/>
      <c r="RES72" s="120"/>
      <c r="RET72" s="120"/>
      <c r="REU72" s="120"/>
      <c r="REV72" s="120"/>
      <c r="REW72" s="120"/>
      <c r="REX72" s="120"/>
      <c r="REY72" s="120"/>
      <c r="REZ72" s="120"/>
      <c r="RFA72" s="120"/>
      <c r="RFB72" s="120"/>
      <c r="RFC72" s="120"/>
      <c r="RFD72" s="120"/>
      <c r="RFE72" s="120"/>
      <c r="RFF72" s="120"/>
      <c r="RFG72" s="120"/>
      <c r="RFH72" s="120"/>
      <c r="RFI72" s="120"/>
      <c r="RFJ72" s="120"/>
      <c r="RFK72" s="120"/>
      <c r="RFL72" s="120"/>
      <c r="RFM72" s="120"/>
      <c r="RFN72" s="120"/>
      <c r="RFO72" s="120"/>
      <c r="RFP72" s="120"/>
      <c r="RFQ72" s="120"/>
      <c r="RFR72" s="120"/>
      <c r="RFS72" s="120"/>
      <c r="RFT72" s="120"/>
      <c r="RFU72" s="120"/>
      <c r="RFV72" s="120"/>
      <c r="RFW72" s="120"/>
      <c r="RFX72" s="120"/>
      <c r="RFY72" s="120"/>
      <c r="RFZ72" s="120"/>
      <c r="RGA72" s="120"/>
      <c r="RGB72" s="120"/>
      <c r="RGC72" s="120"/>
      <c r="RGD72" s="120"/>
      <c r="RGE72" s="120"/>
      <c r="RGF72" s="120"/>
      <c r="RGG72" s="120"/>
      <c r="RGH72" s="120"/>
      <c r="RGI72" s="120"/>
      <c r="RGJ72" s="120"/>
      <c r="RGK72" s="120"/>
      <c r="RGL72" s="120"/>
      <c r="RGM72" s="120"/>
      <c r="RGN72" s="120"/>
      <c r="RGO72" s="120"/>
      <c r="RGP72" s="120"/>
      <c r="RGQ72" s="120"/>
      <c r="RGR72" s="120"/>
      <c r="RGS72" s="120"/>
      <c r="RGT72" s="120"/>
      <c r="RGU72" s="120"/>
      <c r="RGV72" s="120"/>
      <c r="RGW72" s="120"/>
      <c r="RGX72" s="120"/>
      <c r="RGY72" s="120"/>
      <c r="RGZ72" s="120"/>
      <c r="RHA72" s="120"/>
      <c r="RHB72" s="120"/>
      <c r="RHC72" s="120"/>
      <c r="RHD72" s="120"/>
      <c r="RHE72" s="120"/>
      <c r="RHF72" s="120"/>
      <c r="RHG72" s="120"/>
      <c r="RHH72" s="120"/>
      <c r="RHI72" s="120"/>
      <c r="RHJ72" s="120"/>
      <c r="RHK72" s="120"/>
      <c r="RHL72" s="120"/>
      <c r="RHM72" s="120"/>
      <c r="RHN72" s="120"/>
      <c r="RHO72" s="120"/>
      <c r="RHP72" s="120"/>
      <c r="RHQ72" s="120"/>
      <c r="RHR72" s="120"/>
      <c r="RHS72" s="120"/>
      <c r="RHT72" s="120"/>
      <c r="RHU72" s="120"/>
      <c r="RHV72" s="120"/>
      <c r="RHW72" s="120"/>
      <c r="RHX72" s="120"/>
      <c r="RHY72" s="120"/>
      <c r="RHZ72" s="120"/>
      <c r="RIA72" s="120"/>
      <c r="RIB72" s="120"/>
      <c r="RIC72" s="120"/>
      <c r="RID72" s="120"/>
      <c r="RIE72" s="120"/>
      <c r="RIF72" s="120"/>
      <c r="RIG72" s="120"/>
      <c r="RIH72" s="120"/>
      <c r="RII72" s="120"/>
      <c r="RIJ72" s="120"/>
      <c r="RIK72" s="120"/>
      <c r="RIL72" s="120"/>
      <c r="RIM72" s="120"/>
      <c r="RIN72" s="120"/>
      <c r="RIO72" s="120"/>
      <c r="RIP72" s="120"/>
      <c r="RIQ72" s="120"/>
      <c r="RIR72" s="120"/>
      <c r="RIS72" s="120"/>
      <c r="RIT72" s="120"/>
      <c r="RIU72" s="120"/>
      <c r="RIV72" s="120"/>
      <c r="RIW72" s="120"/>
      <c r="RIX72" s="120"/>
      <c r="RIY72" s="120"/>
      <c r="RIZ72" s="120"/>
      <c r="RJA72" s="120"/>
      <c r="RJB72" s="120"/>
      <c r="RJC72" s="120"/>
      <c r="RJD72" s="120"/>
      <c r="RJE72" s="120"/>
      <c r="RJF72" s="120"/>
      <c r="RJG72" s="120"/>
      <c r="RJH72" s="120"/>
      <c r="RJI72" s="120"/>
      <c r="RJJ72" s="120"/>
      <c r="RJK72" s="120"/>
      <c r="RJL72" s="120"/>
      <c r="RJM72" s="120"/>
      <c r="RJN72" s="120"/>
      <c r="RJO72" s="120"/>
      <c r="RJP72" s="120"/>
      <c r="RJQ72" s="120"/>
      <c r="RJR72" s="120"/>
      <c r="RJS72" s="120"/>
      <c r="RJT72" s="120"/>
      <c r="RJU72" s="120"/>
      <c r="RJV72" s="120"/>
      <c r="RJW72" s="120"/>
      <c r="RJX72" s="120"/>
      <c r="RJY72" s="120"/>
      <c r="RJZ72" s="120"/>
      <c r="RKA72" s="120"/>
      <c r="RKB72" s="120"/>
      <c r="RKC72" s="120"/>
      <c r="RKD72" s="120"/>
      <c r="RKE72" s="120"/>
      <c r="RKF72" s="120"/>
      <c r="RKG72" s="120"/>
      <c r="RKH72" s="120"/>
      <c r="RKI72" s="120"/>
      <c r="RKJ72" s="120"/>
      <c r="RKK72" s="120"/>
      <c r="RKL72" s="120"/>
      <c r="RKM72" s="120"/>
      <c r="RKN72" s="120"/>
      <c r="RKO72" s="120"/>
      <c r="RKP72" s="120"/>
      <c r="RKQ72" s="120"/>
      <c r="RKR72" s="120"/>
      <c r="RKS72" s="120"/>
      <c r="RKT72" s="120"/>
      <c r="RKU72" s="120"/>
      <c r="RKV72" s="120"/>
      <c r="RKW72" s="120"/>
      <c r="RKX72" s="120"/>
      <c r="RKY72" s="120"/>
      <c r="RKZ72" s="120"/>
      <c r="RLA72" s="120"/>
      <c r="RLB72" s="120"/>
      <c r="RLC72" s="120"/>
      <c r="RLD72" s="120"/>
      <c r="RLE72" s="120"/>
      <c r="RLF72" s="120"/>
      <c r="RLG72" s="120"/>
      <c r="RLH72" s="120"/>
      <c r="RLI72" s="120"/>
      <c r="RLJ72" s="120"/>
      <c r="RLK72" s="120"/>
      <c r="RLL72" s="120"/>
      <c r="RLM72" s="120"/>
      <c r="RLN72" s="120"/>
      <c r="RLO72" s="120"/>
      <c r="RLP72" s="120"/>
      <c r="RLQ72" s="120"/>
      <c r="RLR72" s="120"/>
      <c r="RLS72" s="120"/>
      <c r="RLT72" s="120"/>
      <c r="RLU72" s="120"/>
      <c r="RLV72" s="120"/>
      <c r="RLW72" s="120"/>
      <c r="RLX72" s="120"/>
      <c r="RLY72" s="120"/>
      <c r="RLZ72" s="120"/>
      <c r="RMA72" s="120"/>
      <c r="RMB72" s="120"/>
      <c r="RMC72" s="120"/>
      <c r="RMD72" s="120"/>
      <c r="RME72" s="120"/>
      <c r="RMF72" s="120"/>
      <c r="RMG72" s="120"/>
      <c r="RMH72" s="120"/>
      <c r="RMI72" s="120"/>
      <c r="RMJ72" s="120"/>
      <c r="RMK72" s="120"/>
      <c r="RML72" s="120"/>
      <c r="RMM72" s="120"/>
      <c r="RMN72" s="120"/>
      <c r="RMO72" s="120"/>
      <c r="RMP72" s="120"/>
      <c r="RMQ72" s="120"/>
      <c r="RMR72" s="120"/>
      <c r="RMS72" s="120"/>
      <c r="RMT72" s="120"/>
      <c r="RMU72" s="120"/>
      <c r="RMV72" s="120"/>
      <c r="RMW72" s="120"/>
      <c r="RMX72" s="120"/>
      <c r="RMY72" s="120"/>
      <c r="RMZ72" s="120"/>
      <c r="RNA72" s="120"/>
      <c r="RNB72" s="120"/>
      <c r="RNC72" s="120"/>
      <c r="RND72" s="120"/>
      <c r="RNE72" s="120"/>
      <c r="RNF72" s="120"/>
      <c r="RNG72" s="120"/>
      <c r="RNH72" s="120"/>
      <c r="RNI72" s="120"/>
      <c r="RNJ72" s="120"/>
      <c r="RNK72" s="120"/>
      <c r="RNL72" s="120"/>
      <c r="RNM72" s="120"/>
      <c r="RNN72" s="120"/>
      <c r="RNO72" s="120"/>
      <c r="RNP72" s="120"/>
      <c r="RNQ72" s="120"/>
      <c r="RNR72" s="120"/>
      <c r="RNS72" s="120"/>
      <c r="RNT72" s="120"/>
      <c r="RNU72" s="120"/>
      <c r="RNV72" s="120"/>
      <c r="RNW72" s="120"/>
      <c r="RNX72" s="120"/>
      <c r="RNY72" s="120"/>
      <c r="RNZ72" s="120"/>
      <c r="ROA72" s="120"/>
      <c r="ROB72" s="120"/>
      <c r="ROC72" s="120"/>
      <c r="ROD72" s="120"/>
      <c r="ROE72" s="120"/>
      <c r="ROF72" s="120"/>
      <c r="ROG72" s="120"/>
      <c r="ROH72" s="120"/>
      <c r="ROI72" s="120"/>
      <c r="ROJ72" s="120"/>
      <c r="ROK72" s="120"/>
      <c r="ROL72" s="120"/>
      <c r="ROM72" s="120"/>
      <c r="RON72" s="120"/>
      <c r="ROO72" s="120"/>
      <c r="ROP72" s="120"/>
      <c r="ROQ72" s="120"/>
      <c r="ROR72" s="120"/>
      <c r="ROS72" s="120"/>
      <c r="ROT72" s="120"/>
      <c r="ROU72" s="120"/>
      <c r="ROV72" s="120"/>
      <c r="ROW72" s="120"/>
      <c r="ROX72" s="120"/>
      <c r="ROY72" s="120"/>
      <c r="ROZ72" s="120"/>
      <c r="RPA72" s="120"/>
      <c r="RPB72" s="120"/>
      <c r="RPC72" s="120"/>
      <c r="RPD72" s="120"/>
      <c r="RPE72" s="120"/>
      <c r="RPF72" s="120"/>
      <c r="RPG72" s="120"/>
      <c r="RPH72" s="120"/>
      <c r="RPI72" s="120"/>
      <c r="RPJ72" s="120"/>
      <c r="RPK72" s="120"/>
      <c r="RPL72" s="120"/>
      <c r="RPM72" s="120"/>
      <c r="RPN72" s="120"/>
      <c r="RPO72" s="120"/>
      <c r="RPP72" s="120"/>
      <c r="RPQ72" s="120"/>
      <c r="RPR72" s="120"/>
      <c r="RPS72" s="120"/>
      <c r="RPT72" s="120"/>
      <c r="RPU72" s="120"/>
      <c r="RPV72" s="120"/>
      <c r="RPW72" s="120"/>
      <c r="RPX72" s="120"/>
      <c r="RPY72" s="120"/>
      <c r="RPZ72" s="120"/>
      <c r="RQA72" s="120"/>
      <c r="RQB72" s="120"/>
      <c r="RQC72" s="120"/>
      <c r="RQD72" s="120"/>
      <c r="RQE72" s="120"/>
      <c r="RQF72" s="120"/>
      <c r="RQG72" s="120"/>
      <c r="RQH72" s="120"/>
      <c r="RQI72" s="120"/>
      <c r="RQJ72" s="120"/>
      <c r="RQK72" s="120"/>
      <c r="RQL72" s="120"/>
      <c r="RQM72" s="120"/>
      <c r="RQN72" s="120"/>
      <c r="RQO72" s="120"/>
      <c r="RQP72" s="120"/>
      <c r="RQQ72" s="120"/>
      <c r="RQR72" s="120"/>
      <c r="RQS72" s="120"/>
      <c r="RQT72" s="120"/>
      <c r="RQU72" s="120"/>
      <c r="RQV72" s="120"/>
      <c r="RQW72" s="120"/>
      <c r="RQX72" s="120"/>
      <c r="RQY72" s="120"/>
      <c r="RQZ72" s="120"/>
      <c r="RRA72" s="120"/>
      <c r="RRB72" s="120"/>
      <c r="RRC72" s="120"/>
      <c r="RRD72" s="120"/>
      <c r="RRE72" s="120"/>
      <c r="RRF72" s="120"/>
      <c r="RRG72" s="120"/>
      <c r="RRH72" s="120"/>
      <c r="RRI72" s="120"/>
      <c r="RRJ72" s="120"/>
      <c r="RRK72" s="120"/>
      <c r="RRL72" s="120"/>
      <c r="RRM72" s="120"/>
      <c r="RRN72" s="120"/>
      <c r="RRO72" s="120"/>
      <c r="RRP72" s="120"/>
      <c r="RRQ72" s="120"/>
      <c r="RRR72" s="120"/>
      <c r="RRS72" s="120"/>
      <c r="RRT72" s="120"/>
      <c r="RRU72" s="120"/>
      <c r="RRV72" s="120"/>
      <c r="RRW72" s="120"/>
      <c r="RRX72" s="120"/>
      <c r="RRY72" s="120"/>
      <c r="RRZ72" s="120"/>
      <c r="RSA72" s="120"/>
      <c r="RSB72" s="120"/>
      <c r="RSC72" s="120"/>
      <c r="RSD72" s="120"/>
      <c r="RSE72" s="120"/>
      <c r="RSF72" s="120"/>
      <c r="RSG72" s="120"/>
      <c r="RSH72" s="120"/>
      <c r="RSI72" s="120"/>
      <c r="RSJ72" s="120"/>
      <c r="RSK72" s="120"/>
      <c r="RSL72" s="120"/>
      <c r="RSM72" s="120"/>
      <c r="RSN72" s="120"/>
      <c r="RSO72" s="120"/>
      <c r="RSP72" s="120"/>
      <c r="RSQ72" s="120"/>
      <c r="RSR72" s="120"/>
      <c r="RSS72" s="120"/>
      <c r="RST72" s="120"/>
      <c r="RSU72" s="120"/>
      <c r="RSV72" s="120"/>
      <c r="RSW72" s="120"/>
      <c r="RSX72" s="120"/>
      <c r="RSY72" s="120"/>
      <c r="RSZ72" s="120"/>
      <c r="RTA72" s="120"/>
      <c r="RTB72" s="120"/>
      <c r="RTC72" s="120"/>
      <c r="RTD72" s="120"/>
      <c r="RTE72" s="120"/>
      <c r="RTF72" s="120"/>
      <c r="RTG72" s="120"/>
      <c r="RTH72" s="120"/>
      <c r="RTI72" s="120"/>
      <c r="RTJ72" s="120"/>
      <c r="RTK72" s="120"/>
      <c r="RTL72" s="120"/>
      <c r="RTM72" s="120"/>
      <c r="RTN72" s="120"/>
      <c r="RTO72" s="120"/>
      <c r="RTP72" s="120"/>
      <c r="RTQ72" s="120"/>
      <c r="RTR72" s="120"/>
      <c r="RTS72" s="120"/>
      <c r="RTT72" s="120"/>
      <c r="RTU72" s="120"/>
      <c r="RTV72" s="120"/>
      <c r="RTW72" s="120"/>
      <c r="RTX72" s="120"/>
      <c r="RTY72" s="120"/>
      <c r="RTZ72" s="120"/>
      <c r="RUA72" s="120"/>
      <c r="RUB72" s="120"/>
      <c r="RUC72" s="120"/>
      <c r="RUD72" s="120"/>
      <c r="RUE72" s="120"/>
      <c r="RUF72" s="120"/>
      <c r="RUG72" s="120"/>
      <c r="RUH72" s="120"/>
      <c r="RUI72" s="120"/>
      <c r="RUJ72" s="120"/>
      <c r="RUK72" s="120"/>
      <c r="RUL72" s="120"/>
      <c r="RUM72" s="120"/>
      <c r="RUN72" s="120"/>
      <c r="RUO72" s="120"/>
      <c r="RUP72" s="120"/>
      <c r="RUQ72" s="120"/>
      <c r="RUR72" s="120"/>
      <c r="RUS72" s="120"/>
      <c r="RUT72" s="120"/>
      <c r="RUU72" s="120"/>
      <c r="RUV72" s="120"/>
      <c r="RUW72" s="120"/>
      <c r="RUX72" s="120"/>
      <c r="RUY72" s="120"/>
      <c r="RUZ72" s="120"/>
      <c r="RVA72" s="120"/>
      <c r="RVB72" s="120"/>
      <c r="RVC72" s="120"/>
      <c r="RVD72" s="120"/>
      <c r="RVE72" s="120"/>
      <c r="RVF72" s="120"/>
      <c r="RVG72" s="120"/>
      <c r="RVH72" s="120"/>
      <c r="RVI72" s="120"/>
      <c r="RVJ72" s="120"/>
      <c r="RVK72" s="120"/>
      <c r="RVL72" s="120"/>
      <c r="RVM72" s="120"/>
      <c r="RVN72" s="120"/>
      <c r="RVO72" s="120"/>
      <c r="RVP72" s="120"/>
      <c r="RVQ72" s="120"/>
      <c r="RVR72" s="120"/>
      <c r="RVS72" s="120"/>
      <c r="RVT72" s="120"/>
      <c r="RVU72" s="120"/>
      <c r="RVV72" s="120"/>
      <c r="RVW72" s="120"/>
      <c r="RVX72" s="120"/>
      <c r="RVY72" s="120"/>
      <c r="RVZ72" s="120"/>
      <c r="RWA72" s="120"/>
      <c r="RWB72" s="120"/>
      <c r="RWC72" s="120"/>
      <c r="RWD72" s="120"/>
      <c r="RWE72" s="120"/>
      <c r="RWF72" s="120"/>
      <c r="RWG72" s="120"/>
      <c r="RWH72" s="120"/>
      <c r="RWI72" s="120"/>
      <c r="RWJ72" s="120"/>
      <c r="RWK72" s="120"/>
      <c r="RWL72" s="120"/>
      <c r="RWM72" s="120"/>
      <c r="RWN72" s="120"/>
      <c r="RWO72" s="120"/>
      <c r="RWP72" s="120"/>
      <c r="RWQ72" s="120"/>
      <c r="RWR72" s="120"/>
      <c r="RWS72" s="120"/>
      <c r="RWT72" s="120"/>
      <c r="RWU72" s="120"/>
      <c r="RWV72" s="120"/>
      <c r="RWW72" s="120"/>
      <c r="RWX72" s="120"/>
      <c r="RWY72" s="120"/>
      <c r="RWZ72" s="120"/>
      <c r="RXA72" s="120"/>
      <c r="RXB72" s="120"/>
      <c r="RXC72" s="120"/>
      <c r="RXD72" s="120"/>
      <c r="RXE72" s="120"/>
      <c r="RXF72" s="120"/>
      <c r="RXG72" s="120"/>
      <c r="RXH72" s="120"/>
      <c r="RXI72" s="120"/>
      <c r="RXJ72" s="120"/>
      <c r="RXK72" s="120"/>
      <c r="RXL72" s="120"/>
      <c r="RXM72" s="120"/>
      <c r="RXN72" s="120"/>
      <c r="RXO72" s="120"/>
      <c r="RXP72" s="120"/>
      <c r="RXQ72" s="120"/>
      <c r="RXR72" s="120"/>
      <c r="RXS72" s="120"/>
      <c r="RXT72" s="120"/>
      <c r="RXU72" s="120"/>
      <c r="RXV72" s="120"/>
      <c r="RXW72" s="120"/>
      <c r="RXX72" s="120"/>
      <c r="RXY72" s="120"/>
      <c r="RXZ72" s="120"/>
      <c r="RYA72" s="120"/>
      <c r="RYB72" s="120"/>
      <c r="RYC72" s="120"/>
      <c r="RYD72" s="120"/>
      <c r="RYE72" s="120"/>
      <c r="RYF72" s="120"/>
      <c r="RYG72" s="120"/>
      <c r="RYH72" s="120"/>
      <c r="RYI72" s="120"/>
      <c r="RYJ72" s="120"/>
      <c r="RYK72" s="120"/>
      <c r="RYL72" s="120"/>
      <c r="RYM72" s="120"/>
      <c r="RYN72" s="120"/>
      <c r="RYO72" s="120"/>
      <c r="RYP72" s="120"/>
      <c r="RYQ72" s="120"/>
      <c r="RYR72" s="120"/>
      <c r="RYS72" s="120"/>
      <c r="RYT72" s="120"/>
      <c r="RYU72" s="120"/>
      <c r="RYV72" s="120"/>
      <c r="RYW72" s="120"/>
      <c r="RYX72" s="120"/>
      <c r="RYY72" s="120"/>
      <c r="RYZ72" s="120"/>
      <c r="RZA72" s="120"/>
      <c r="RZB72" s="120"/>
      <c r="RZC72" s="120"/>
      <c r="RZD72" s="120"/>
      <c r="RZE72" s="120"/>
      <c r="RZF72" s="120"/>
      <c r="RZG72" s="120"/>
      <c r="RZH72" s="120"/>
      <c r="RZI72" s="120"/>
      <c r="RZJ72" s="120"/>
      <c r="RZK72" s="120"/>
      <c r="RZL72" s="120"/>
      <c r="RZM72" s="120"/>
      <c r="RZN72" s="120"/>
      <c r="RZO72" s="120"/>
      <c r="RZP72" s="120"/>
      <c r="RZQ72" s="120"/>
      <c r="RZR72" s="120"/>
      <c r="RZS72" s="120"/>
      <c r="RZT72" s="120"/>
      <c r="RZU72" s="120"/>
      <c r="RZV72" s="120"/>
      <c r="RZW72" s="120"/>
      <c r="RZX72" s="120"/>
      <c r="RZY72" s="120"/>
      <c r="RZZ72" s="120"/>
      <c r="SAA72" s="120"/>
      <c r="SAB72" s="120"/>
      <c r="SAC72" s="120"/>
      <c r="SAD72" s="120"/>
      <c r="SAE72" s="120"/>
      <c r="SAF72" s="120"/>
      <c r="SAG72" s="120"/>
      <c r="SAH72" s="120"/>
      <c r="SAI72" s="120"/>
      <c r="SAJ72" s="120"/>
      <c r="SAK72" s="120"/>
      <c r="SAL72" s="120"/>
      <c r="SAM72" s="120"/>
      <c r="SAN72" s="120"/>
      <c r="SAO72" s="120"/>
      <c r="SAP72" s="120"/>
      <c r="SAQ72" s="120"/>
      <c r="SAR72" s="120"/>
      <c r="SAS72" s="120"/>
      <c r="SAT72" s="120"/>
      <c r="SAU72" s="120"/>
      <c r="SAV72" s="120"/>
      <c r="SAW72" s="120"/>
      <c r="SAX72" s="120"/>
      <c r="SAY72" s="120"/>
      <c r="SAZ72" s="120"/>
      <c r="SBA72" s="120"/>
      <c r="SBB72" s="120"/>
      <c r="SBC72" s="120"/>
      <c r="SBD72" s="120"/>
      <c r="SBE72" s="120"/>
      <c r="SBF72" s="120"/>
      <c r="SBG72" s="120"/>
      <c r="SBH72" s="120"/>
      <c r="SBI72" s="120"/>
      <c r="SBJ72" s="120"/>
      <c r="SBK72" s="120"/>
      <c r="SBL72" s="120"/>
      <c r="SBM72" s="120"/>
      <c r="SBN72" s="120"/>
      <c r="SBO72" s="120"/>
      <c r="SBP72" s="120"/>
      <c r="SBQ72" s="120"/>
      <c r="SBR72" s="120"/>
      <c r="SBS72" s="120"/>
      <c r="SBT72" s="120"/>
      <c r="SBU72" s="120"/>
      <c r="SBV72" s="120"/>
      <c r="SBW72" s="120"/>
      <c r="SBX72" s="120"/>
      <c r="SBY72" s="120"/>
      <c r="SBZ72" s="120"/>
      <c r="SCA72" s="120"/>
      <c r="SCB72" s="120"/>
      <c r="SCC72" s="120"/>
      <c r="SCD72" s="120"/>
      <c r="SCE72" s="120"/>
      <c r="SCF72" s="120"/>
      <c r="SCG72" s="120"/>
      <c r="SCH72" s="120"/>
      <c r="SCI72" s="120"/>
      <c r="SCJ72" s="120"/>
      <c r="SCK72" s="120"/>
      <c r="SCL72" s="120"/>
      <c r="SCM72" s="120"/>
      <c r="SCN72" s="120"/>
      <c r="SCO72" s="120"/>
      <c r="SCP72" s="120"/>
      <c r="SCQ72" s="120"/>
      <c r="SCR72" s="120"/>
      <c r="SCS72" s="120"/>
      <c r="SCT72" s="120"/>
      <c r="SCU72" s="120"/>
      <c r="SCV72" s="120"/>
      <c r="SCW72" s="120"/>
      <c r="SCX72" s="120"/>
      <c r="SCY72" s="120"/>
      <c r="SCZ72" s="120"/>
      <c r="SDA72" s="120"/>
      <c r="SDB72" s="120"/>
      <c r="SDC72" s="120"/>
      <c r="SDD72" s="120"/>
      <c r="SDE72" s="120"/>
      <c r="SDF72" s="120"/>
      <c r="SDG72" s="120"/>
      <c r="SDH72" s="120"/>
      <c r="SDI72" s="120"/>
      <c r="SDJ72" s="120"/>
      <c r="SDK72" s="120"/>
      <c r="SDL72" s="120"/>
      <c r="SDM72" s="120"/>
      <c r="SDN72" s="120"/>
      <c r="SDO72" s="120"/>
      <c r="SDP72" s="120"/>
      <c r="SDQ72" s="120"/>
      <c r="SDR72" s="120"/>
      <c r="SDS72" s="120"/>
      <c r="SDT72" s="120"/>
      <c r="SDU72" s="120"/>
      <c r="SDV72" s="120"/>
      <c r="SDW72" s="120"/>
      <c r="SDX72" s="120"/>
      <c r="SDY72" s="120"/>
      <c r="SDZ72" s="120"/>
      <c r="SEA72" s="120"/>
      <c r="SEB72" s="120"/>
      <c r="SEC72" s="120"/>
      <c r="SED72" s="120"/>
      <c r="SEE72" s="120"/>
      <c r="SEF72" s="120"/>
      <c r="SEG72" s="120"/>
      <c r="SEH72" s="120"/>
      <c r="SEI72" s="120"/>
      <c r="SEJ72" s="120"/>
      <c r="SEK72" s="120"/>
      <c r="SEL72" s="120"/>
      <c r="SEM72" s="120"/>
      <c r="SEN72" s="120"/>
      <c r="SEO72" s="120"/>
      <c r="SEP72" s="120"/>
      <c r="SEQ72" s="120"/>
      <c r="SER72" s="120"/>
      <c r="SES72" s="120"/>
      <c r="SET72" s="120"/>
      <c r="SEU72" s="120"/>
      <c r="SEV72" s="120"/>
      <c r="SEW72" s="120"/>
      <c r="SEX72" s="120"/>
      <c r="SEY72" s="120"/>
      <c r="SEZ72" s="120"/>
      <c r="SFA72" s="120"/>
      <c r="SFB72" s="120"/>
      <c r="SFC72" s="120"/>
      <c r="SFD72" s="120"/>
      <c r="SFE72" s="120"/>
      <c r="SFF72" s="120"/>
      <c r="SFG72" s="120"/>
      <c r="SFH72" s="120"/>
      <c r="SFI72" s="120"/>
      <c r="SFJ72" s="120"/>
      <c r="SFK72" s="120"/>
      <c r="SFL72" s="120"/>
      <c r="SFM72" s="120"/>
      <c r="SFN72" s="120"/>
      <c r="SFO72" s="120"/>
      <c r="SFP72" s="120"/>
      <c r="SFQ72" s="120"/>
      <c r="SFR72" s="120"/>
      <c r="SFS72" s="120"/>
      <c r="SFT72" s="120"/>
      <c r="SFU72" s="120"/>
      <c r="SFV72" s="120"/>
      <c r="SFW72" s="120"/>
      <c r="SFX72" s="120"/>
      <c r="SFY72" s="120"/>
      <c r="SFZ72" s="120"/>
      <c r="SGA72" s="120"/>
      <c r="SGB72" s="120"/>
      <c r="SGC72" s="120"/>
      <c r="SGD72" s="120"/>
      <c r="SGE72" s="120"/>
      <c r="SGF72" s="120"/>
      <c r="SGG72" s="120"/>
      <c r="SGH72" s="120"/>
      <c r="SGI72" s="120"/>
      <c r="SGJ72" s="120"/>
      <c r="SGK72" s="120"/>
      <c r="SGL72" s="120"/>
      <c r="SGM72" s="120"/>
      <c r="SGN72" s="120"/>
      <c r="SGO72" s="120"/>
      <c r="SGP72" s="120"/>
      <c r="SGQ72" s="120"/>
      <c r="SGR72" s="120"/>
      <c r="SGS72" s="120"/>
      <c r="SGT72" s="120"/>
      <c r="SGU72" s="120"/>
      <c r="SGV72" s="120"/>
      <c r="SGW72" s="120"/>
      <c r="SGX72" s="120"/>
      <c r="SGY72" s="120"/>
      <c r="SGZ72" s="120"/>
      <c r="SHA72" s="120"/>
      <c r="SHB72" s="120"/>
      <c r="SHC72" s="120"/>
      <c r="SHD72" s="120"/>
      <c r="SHE72" s="120"/>
      <c r="SHF72" s="120"/>
      <c r="SHG72" s="120"/>
      <c r="SHH72" s="120"/>
      <c r="SHI72" s="120"/>
      <c r="SHJ72" s="120"/>
      <c r="SHK72" s="120"/>
      <c r="SHL72" s="120"/>
      <c r="SHM72" s="120"/>
      <c r="SHN72" s="120"/>
      <c r="SHO72" s="120"/>
      <c r="SHP72" s="120"/>
      <c r="SHQ72" s="120"/>
      <c r="SHR72" s="120"/>
      <c r="SHS72" s="120"/>
      <c r="SHT72" s="120"/>
      <c r="SHU72" s="120"/>
      <c r="SHV72" s="120"/>
      <c r="SHW72" s="120"/>
      <c r="SHX72" s="120"/>
      <c r="SHY72" s="120"/>
      <c r="SHZ72" s="120"/>
      <c r="SIA72" s="120"/>
      <c r="SIB72" s="120"/>
      <c r="SIC72" s="120"/>
      <c r="SID72" s="120"/>
      <c r="SIE72" s="120"/>
      <c r="SIF72" s="120"/>
      <c r="SIG72" s="120"/>
      <c r="SIH72" s="120"/>
      <c r="SII72" s="120"/>
      <c r="SIJ72" s="120"/>
      <c r="SIK72" s="120"/>
      <c r="SIL72" s="120"/>
      <c r="SIM72" s="120"/>
      <c r="SIN72" s="120"/>
      <c r="SIO72" s="120"/>
      <c r="SIP72" s="120"/>
      <c r="SIQ72" s="120"/>
      <c r="SIR72" s="120"/>
      <c r="SIS72" s="120"/>
      <c r="SIT72" s="120"/>
      <c r="SIU72" s="120"/>
      <c r="SIV72" s="120"/>
      <c r="SIW72" s="120"/>
      <c r="SIX72" s="120"/>
      <c r="SIY72" s="120"/>
      <c r="SIZ72" s="120"/>
      <c r="SJA72" s="120"/>
      <c r="SJB72" s="120"/>
      <c r="SJC72" s="120"/>
      <c r="SJD72" s="120"/>
      <c r="SJE72" s="120"/>
      <c r="SJF72" s="120"/>
      <c r="SJG72" s="120"/>
      <c r="SJH72" s="120"/>
      <c r="SJI72" s="120"/>
      <c r="SJJ72" s="120"/>
      <c r="SJK72" s="120"/>
      <c r="SJL72" s="120"/>
      <c r="SJM72" s="120"/>
      <c r="SJN72" s="120"/>
      <c r="SJO72" s="120"/>
      <c r="SJP72" s="120"/>
      <c r="SJQ72" s="120"/>
      <c r="SJR72" s="120"/>
      <c r="SJS72" s="120"/>
      <c r="SJT72" s="120"/>
      <c r="SJU72" s="120"/>
      <c r="SJV72" s="120"/>
      <c r="SJW72" s="120"/>
      <c r="SJX72" s="120"/>
      <c r="SJY72" s="120"/>
      <c r="SJZ72" s="120"/>
      <c r="SKA72" s="120"/>
      <c r="SKB72" s="120"/>
      <c r="SKC72" s="120"/>
      <c r="SKD72" s="120"/>
      <c r="SKE72" s="120"/>
      <c r="SKF72" s="120"/>
      <c r="SKG72" s="120"/>
      <c r="SKH72" s="120"/>
      <c r="SKI72" s="120"/>
      <c r="SKJ72" s="120"/>
      <c r="SKK72" s="120"/>
      <c r="SKL72" s="120"/>
      <c r="SKM72" s="120"/>
      <c r="SKN72" s="120"/>
      <c r="SKO72" s="120"/>
      <c r="SKP72" s="120"/>
      <c r="SKQ72" s="120"/>
      <c r="SKR72" s="120"/>
      <c r="SKS72" s="120"/>
      <c r="SKT72" s="120"/>
      <c r="SKU72" s="120"/>
      <c r="SKV72" s="120"/>
      <c r="SKW72" s="120"/>
      <c r="SKX72" s="120"/>
      <c r="SKY72" s="120"/>
      <c r="SKZ72" s="120"/>
      <c r="SLA72" s="120"/>
      <c r="SLB72" s="120"/>
      <c r="SLC72" s="120"/>
      <c r="SLD72" s="120"/>
      <c r="SLE72" s="120"/>
      <c r="SLF72" s="120"/>
      <c r="SLG72" s="120"/>
      <c r="SLH72" s="120"/>
      <c r="SLI72" s="120"/>
      <c r="SLJ72" s="120"/>
      <c r="SLK72" s="120"/>
      <c r="SLL72" s="120"/>
      <c r="SLM72" s="120"/>
      <c r="SLN72" s="120"/>
      <c r="SLO72" s="120"/>
      <c r="SLP72" s="120"/>
      <c r="SLQ72" s="120"/>
      <c r="SLR72" s="120"/>
      <c r="SLS72" s="120"/>
      <c r="SLT72" s="120"/>
      <c r="SLU72" s="120"/>
      <c r="SLV72" s="120"/>
      <c r="SLW72" s="120"/>
      <c r="SLX72" s="120"/>
      <c r="SLY72" s="120"/>
      <c r="SLZ72" s="120"/>
      <c r="SMA72" s="120"/>
      <c r="SMB72" s="120"/>
      <c r="SMC72" s="120"/>
      <c r="SMD72" s="120"/>
      <c r="SME72" s="120"/>
      <c r="SMF72" s="120"/>
      <c r="SMG72" s="120"/>
      <c r="SMH72" s="120"/>
      <c r="SMI72" s="120"/>
      <c r="SMJ72" s="120"/>
      <c r="SMK72" s="120"/>
      <c r="SML72" s="120"/>
      <c r="SMM72" s="120"/>
      <c r="SMN72" s="120"/>
      <c r="SMO72" s="120"/>
      <c r="SMP72" s="120"/>
      <c r="SMQ72" s="120"/>
      <c r="SMR72" s="120"/>
      <c r="SMS72" s="120"/>
      <c r="SMT72" s="120"/>
      <c r="SMU72" s="120"/>
      <c r="SMV72" s="120"/>
      <c r="SMW72" s="120"/>
      <c r="SMX72" s="120"/>
      <c r="SMY72" s="120"/>
      <c r="SMZ72" s="120"/>
      <c r="SNA72" s="120"/>
      <c r="SNB72" s="120"/>
      <c r="SNC72" s="120"/>
      <c r="SND72" s="120"/>
      <c r="SNE72" s="120"/>
      <c r="SNF72" s="120"/>
      <c r="SNG72" s="120"/>
      <c r="SNH72" s="120"/>
      <c r="SNI72" s="120"/>
      <c r="SNJ72" s="120"/>
      <c r="SNK72" s="120"/>
      <c r="SNL72" s="120"/>
      <c r="SNM72" s="120"/>
      <c r="SNN72" s="120"/>
      <c r="SNO72" s="120"/>
      <c r="SNP72" s="120"/>
      <c r="SNQ72" s="120"/>
      <c r="SNR72" s="120"/>
      <c r="SNS72" s="120"/>
      <c r="SNT72" s="120"/>
      <c r="SNU72" s="120"/>
      <c r="SNV72" s="120"/>
      <c r="SNW72" s="120"/>
      <c r="SNX72" s="120"/>
      <c r="SNY72" s="120"/>
      <c r="SNZ72" s="120"/>
      <c r="SOA72" s="120"/>
      <c r="SOB72" s="120"/>
      <c r="SOC72" s="120"/>
      <c r="SOD72" s="120"/>
      <c r="SOE72" s="120"/>
      <c r="SOF72" s="120"/>
      <c r="SOG72" s="120"/>
      <c r="SOH72" s="120"/>
      <c r="SOI72" s="120"/>
      <c r="SOJ72" s="120"/>
      <c r="SOK72" s="120"/>
      <c r="SOL72" s="120"/>
      <c r="SOM72" s="120"/>
      <c r="SON72" s="120"/>
      <c r="SOO72" s="120"/>
      <c r="SOP72" s="120"/>
      <c r="SOQ72" s="120"/>
      <c r="SOR72" s="120"/>
      <c r="SOS72" s="120"/>
      <c r="SOT72" s="120"/>
      <c r="SOU72" s="120"/>
      <c r="SOV72" s="120"/>
      <c r="SOW72" s="120"/>
      <c r="SOX72" s="120"/>
      <c r="SOY72" s="120"/>
      <c r="SOZ72" s="120"/>
      <c r="SPA72" s="120"/>
      <c r="SPB72" s="120"/>
      <c r="SPC72" s="120"/>
      <c r="SPD72" s="120"/>
      <c r="SPE72" s="120"/>
      <c r="SPF72" s="120"/>
      <c r="SPG72" s="120"/>
      <c r="SPH72" s="120"/>
      <c r="SPI72" s="120"/>
      <c r="SPJ72" s="120"/>
      <c r="SPK72" s="120"/>
      <c r="SPL72" s="120"/>
      <c r="SPM72" s="120"/>
      <c r="SPN72" s="120"/>
      <c r="SPO72" s="120"/>
      <c r="SPP72" s="120"/>
      <c r="SPQ72" s="120"/>
      <c r="SPR72" s="120"/>
      <c r="SPS72" s="120"/>
      <c r="SPT72" s="120"/>
      <c r="SPU72" s="120"/>
      <c r="SPV72" s="120"/>
      <c r="SPW72" s="120"/>
      <c r="SPX72" s="120"/>
      <c r="SPY72" s="120"/>
      <c r="SPZ72" s="120"/>
      <c r="SQA72" s="120"/>
      <c r="SQB72" s="120"/>
      <c r="SQC72" s="120"/>
      <c r="SQD72" s="120"/>
      <c r="SQE72" s="120"/>
      <c r="SQF72" s="120"/>
      <c r="SQG72" s="120"/>
      <c r="SQH72" s="120"/>
      <c r="SQI72" s="120"/>
      <c r="SQJ72" s="120"/>
      <c r="SQK72" s="120"/>
      <c r="SQL72" s="120"/>
      <c r="SQM72" s="120"/>
      <c r="SQN72" s="120"/>
      <c r="SQO72" s="120"/>
      <c r="SQP72" s="120"/>
      <c r="SQQ72" s="120"/>
      <c r="SQR72" s="120"/>
      <c r="SQS72" s="120"/>
      <c r="SQT72" s="120"/>
      <c r="SQU72" s="120"/>
      <c r="SQV72" s="120"/>
      <c r="SQW72" s="120"/>
      <c r="SQX72" s="120"/>
      <c r="SQY72" s="120"/>
      <c r="SQZ72" s="120"/>
      <c r="SRA72" s="120"/>
      <c r="SRB72" s="120"/>
      <c r="SRC72" s="120"/>
      <c r="SRD72" s="120"/>
      <c r="SRE72" s="120"/>
      <c r="SRF72" s="120"/>
      <c r="SRG72" s="120"/>
      <c r="SRH72" s="120"/>
      <c r="SRI72" s="120"/>
      <c r="SRJ72" s="120"/>
      <c r="SRK72" s="120"/>
      <c r="SRL72" s="120"/>
      <c r="SRM72" s="120"/>
      <c r="SRN72" s="120"/>
      <c r="SRO72" s="120"/>
      <c r="SRP72" s="120"/>
      <c r="SRQ72" s="120"/>
      <c r="SRR72" s="120"/>
      <c r="SRS72" s="120"/>
      <c r="SRT72" s="120"/>
      <c r="SRU72" s="120"/>
      <c r="SRV72" s="120"/>
      <c r="SRW72" s="120"/>
      <c r="SRX72" s="120"/>
      <c r="SRY72" s="120"/>
      <c r="SRZ72" s="120"/>
      <c r="SSA72" s="120"/>
      <c r="SSB72" s="120"/>
      <c r="SSC72" s="120"/>
      <c r="SSD72" s="120"/>
      <c r="SSE72" s="120"/>
      <c r="SSF72" s="120"/>
      <c r="SSG72" s="120"/>
      <c r="SSH72" s="120"/>
      <c r="SSI72" s="120"/>
      <c r="SSJ72" s="120"/>
      <c r="SSK72" s="120"/>
      <c r="SSL72" s="120"/>
      <c r="SSM72" s="120"/>
      <c r="SSN72" s="120"/>
      <c r="SSO72" s="120"/>
      <c r="SSP72" s="120"/>
      <c r="SSQ72" s="120"/>
      <c r="SSR72" s="120"/>
      <c r="SSS72" s="120"/>
      <c r="SST72" s="120"/>
      <c r="SSU72" s="120"/>
      <c r="SSV72" s="120"/>
      <c r="SSW72" s="120"/>
      <c r="SSX72" s="120"/>
      <c r="SSY72" s="120"/>
      <c r="SSZ72" s="120"/>
      <c r="STA72" s="120"/>
      <c r="STB72" s="120"/>
      <c r="STC72" s="120"/>
      <c r="STD72" s="120"/>
      <c r="STE72" s="120"/>
      <c r="STF72" s="120"/>
      <c r="STG72" s="120"/>
      <c r="STH72" s="120"/>
      <c r="STI72" s="120"/>
      <c r="STJ72" s="120"/>
      <c r="STK72" s="120"/>
      <c r="STL72" s="120"/>
      <c r="STM72" s="120"/>
      <c r="STN72" s="120"/>
      <c r="STO72" s="120"/>
      <c r="STP72" s="120"/>
      <c r="STQ72" s="120"/>
      <c r="STR72" s="120"/>
      <c r="STS72" s="120"/>
      <c r="STT72" s="120"/>
      <c r="STU72" s="120"/>
      <c r="STV72" s="120"/>
      <c r="STW72" s="120"/>
      <c r="STX72" s="120"/>
      <c r="STY72" s="120"/>
      <c r="STZ72" s="120"/>
      <c r="SUA72" s="120"/>
      <c r="SUB72" s="120"/>
      <c r="SUC72" s="120"/>
      <c r="SUD72" s="120"/>
      <c r="SUE72" s="120"/>
      <c r="SUF72" s="120"/>
      <c r="SUG72" s="120"/>
      <c r="SUH72" s="120"/>
      <c r="SUI72" s="120"/>
      <c r="SUJ72" s="120"/>
      <c r="SUK72" s="120"/>
      <c r="SUL72" s="120"/>
      <c r="SUM72" s="120"/>
      <c r="SUN72" s="120"/>
      <c r="SUO72" s="120"/>
      <c r="SUP72" s="120"/>
      <c r="SUQ72" s="120"/>
      <c r="SUR72" s="120"/>
      <c r="SUS72" s="120"/>
      <c r="SUT72" s="120"/>
      <c r="SUU72" s="120"/>
      <c r="SUV72" s="120"/>
      <c r="SUW72" s="120"/>
      <c r="SUX72" s="120"/>
      <c r="SUY72" s="120"/>
      <c r="SUZ72" s="120"/>
      <c r="SVA72" s="120"/>
      <c r="SVB72" s="120"/>
      <c r="SVC72" s="120"/>
      <c r="SVD72" s="120"/>
      <c r="SVE72" s="120"/>
      <c r="SVF72" s="120"/>
      <c r="SVG72" s="120"/>
      <c r="SVH72" s="120"/>
      <c r="SVI72" s="120"/>
      <c r="SVJ72" s="120"/>
      <c r="SVK72" s="120"/>
      <c r="SVL72" s="120"/>
      <c r="SVM72" s="120"/>
      <c r="SVN72" s="120"/>
      <c r="SVO72" s="120"/>
      <c r="SVP72" s="120"/>
      <c r="SVQ72" s="120"/>
      <c r="SVR72" s="120"/>
      <c r="SVS72" s="120"/>
      <c r="SVT72" s="120"/>
      <c r="SVU72" s="120"/>
      <c r="SVV72" s="120"/>
      <c r="SVW72" s="120"/>
      <c r="SVX72" s="120"/>
      <c r="SVY72" s="120"/>
      <c r="SVZ72" s="120"/>
      <c r="SWA72" s="120"/>
      <c r="SWB72" s="120"/>
      <c r="SWC72" s="120"/>
      <c r="SWD72" s="120"/>
      <c r="SWE72" s="120"/>
      <c r="SWF72" s="120"/>
      <c r="SWG72" s="120"/>
      <c r="SWH72" s="120"/>
      <c r="SWI72" s="120"/>
      <c r="SWJ72" s="120"/>
      <c r="SWK72" s="120"/>
      <c r="SWL72" s="120"/>
      <c r="SWM72" s="120"/>
      <c r="SWN72" s="120"/>
      <c r="SWO72" s="120"/>
      <c r="SWP72" s="120"/>
      <c r="SWQ72" s="120"/>
      <c r="SWR72" s="120"/>
      <c r="SWS72" s="120"/>
      <c r="SWT72" s="120"/>
      <c r="SWU72" s="120"/>
      <c r="SWV72" s="120"/>
      <c r="SWW72" s="120"/>
      <c r="SWX72" s="120"/>
      <c r="SWY72" s="120"/>
      <c r="SWZ72" s="120"/>
      <c r="SXA72" s="120"/>
      <c r="SXB72" s="120"/>
      <c r="SXC72" s="120"/>
      <c r="SXD72" s="120"/>
      <c r="SXE72" s="120"/>
      <c r="SXF72" s="120"/>
      <c r="SXG72" s="120"/>
      <c r="SXH72" s="120"/>
      <c r="SXI72" s="120"/>
      <c r="SXJ72" s="120"/>
      <c r="SXK72" s="120"/>
      <c r="SXL72" s="120"/>
      <c r="SXM72" s="120"/>
      <c r="SXN72" s="120"/>
      <c r="SXO72" s="120"/>
      <c r="SXP72" s="120"/>
      <c r="SXQ72" s="120"/>
      <c r="SXR72" s="120"/>
      <c r="SXS72" s="120"/>
      <c r="SXT72" s="120"/>
      <c r="SXU72" s="120"/>
      <c r="SXV72" s="120"/>
      <c r="SXW72" s="120"/>
      <c r="SXX72" s="120"/>
      <c r="SXY72" s="120"/>
      <c r="SXZ72" s="120"/>
      <c r="SYA72" s="120"/>
      <c r="SYB72" s="120"/>
      <c r="SYC72" s="120"/>
      <c r="SYD72" s="120"/>
      <c r="SYE72" s="120"/>
      <c r="SYF72" s="120"/>
      <c r="SYG72" s="120"/>
      <c r="SYH72" s="120"/>
      <c r="SYI72" s="120"/>
      <c r="SYJ72" s="120"/>
      <c r="SYK72" s="120"/>
      <c r="SYL72" s="120"/>
      <c r="SYM72" s="120"/>
      <c r="SYN72" s="120"/>
      <c r="SYO72" s="120"/>
      <c r="SYP72" s="120"/>
      <c r="SYQ72" s="120"/>
      <c r="SYR72" s="120"/>
      <c r="SYS72" s="120"/>
      <c r="SYT72" s="120"/>
      <c r="SYU72" s="120"/>
      <c r="SYV72" s="120"/>
      <c r="SYW72" s="120"/>
      <c r="SYX72" s="120"/>
      <c r="SYY72" s="120"/>
      <c r="SYZ72" s="120"/>
      <c r="SZA72" s="120"/>
      <c r="SZB72" s="120"/>
      <c r="SZC72" s="120"/>
      <c r="SZD72" s="120"/>
      <c r="SZE72" s="120"/>
      <c r="SZF72" s="120"/>
      <c r="SZG72" s="120"/>
      <c r="SZH72" s="120"/>
      <c r="SZI72" s="120"/>
      <c r="SZJ72" s="120"/>
      <c r="SZK72" s="120"/>
      <c r="SZL72" s="120"/>
      <c r="SZM72" s="120"/>
      <c r="SZN72" s="120"/>
      <c r="SZO72" s="120"/>
      <c r="SZP72" s="120"/>
      <c r="SZQ72" s="120"/>
      <c r="SZR72" s="120"/>
      <c r="SZS72" s="120"/>
      <c r="SZT72" s="120"/>
      <c r="SZU72" s="120"/>
      <c r="SZV72" s="120"/>
      <c r="SZW72" s="120"/>
      <c r="SZX72" s="120"/>
      <c r="SZY72" s="120"/>
      <c r="SZZ72" s="120"/>
      <c r="TAA72" s="120"/>
      <c r="TAB72" s="120"/>
      <c r="TAC72" s="120"/>
      <c r="TAD72" s="120"/>
      <c r="TAE72" s="120"/>
      <c r="TAF72" s="120"/>
      <c r="TAG72" s="120"/>
      <c r="TAH72" s="120"/>
      <c r="TAI72" s="120"/>
      <c r="TAJ72" s="120"/>
      <c r="TAK72" s="120"/>
      <c r="TAL72" s="120"/>
      <c r="TAM72" s="120"/>
      <c r="TAN72" s="120"/>
      <c r="TAO72" s="120"/>
      <c r="TAP72" s="120"/>
      <c r="TAQ72" s="120"/>
      <c r="TAR72" s="120"/>
      <c r="TAS72" s="120"/>
      <c r="TAT72" s="120"/>
      <c r="TAU72" s="120"/>
      <c r="TAV72" s="120"/>
      <c r="TAW72" s="120"/>
      <c r="TAX72" s="120"/>
      <c r="TAY72" s="120"/>
      <c r="TAZ72" s="120"/>
      <c r="TBA72" s="120"/>
      <c r="TBB72" s="120"/>
      <c r="TBC72" s="120"/>
      <c r="TBD72" s="120"/>
      <c r="TBE72" s="120"/>
      <c r="TBF72" s="120"/>
      <c r="TBG72" s="120"/>
      <c r="TBH72" s="120"/>
      <c r="TBI72" s="120"/>
      <c r="TBJ72" s="120"/>
      <c r="TBK72" s="120"/>
      <c r="TBL72" s="120"/>
      <c r="TBM72" s="120"/>
      <c r="TBN72" s="120"/>
      <c r="TBO72" s="120"/>
      <c r="TBP72" s="120"/>
      <c r="TBQ72" s="120"/>
      <c r="TBR72" s="120"/>
      <c r="TBS72" s="120"/>
      <c r="TBT72" s="120"/>
      <c r="TBU72" s="120"/>
      <c r="TBV72" s="120"/>
      <c r="TBW72" s="120"/>
      <c r="TBX72" s="120"/>
      <c r="TBY72" s="120"/>
      <c r="TBZ72" s="120"/>
      <c r="TCA72" s="120"/>
      <c r="TCB72" s="120"/>
      <c r="TCC72" s="120"/>
      <c r="TCD72" s="120"/>
      <c r="TCE72" s="120"/>
      <c r="TCF72" s="120"/>
      <c r="TCG72" s="120"/>
      <c r="TCH72" s="120"/>
      <c r="TCI72" s="120"/>
      <c r="TCJ72" s="120"/>
      <c r="TCK72" s="120"/>
      <c r="TCL72" s="120"/>
      <c r="TCM72" s="120"/>
      <c r="TCN72" s="120"/>
      <c r="TCO72" s="120"/>
      <c r="TCP72" s="120"/>
      <c r="TCQ72" s="120"/>
      <c r="TCR72" s="120"/>
      <c r="TCS72" s="120"/>
      <c r="TCT72" s="120"/>
      <c r="TCU72" s="120"/>
      <c r="TCV72" s="120"/>
      <c r="TCW72" s="120"/>
      <c r="TCX72" s="120"/>
      <c r="TCY72" s="120"/>
      <c r="TCZ72" s="120"/>
      <c r="TDA72" s="120"/>
      <c r="TDB72" s="120"/>
      <c r="TDC72" s="120"/>
      <c r="TDD72" s="120"/>
      <c r="TDE72" s="120"/>
      <c r="TDF72" s="120"/>
      <c r="TDG72" s="120"/>
      <c r="TDH72" s="120"/>
      <c r="TDI72" s="120"/>
      <c r="TDJ72" s="120"/>
      <c r="TDK72" s="120"/>
      <c r="TDL72" s="120"/>
      <c r="TDM72" s="120"/>
      <c r="TDN72" s="120"/>
      <c r="TDO72" s="120"/>
      <c r="TDP72" s="120"/>
      <c r="TDQ72" s="120"/>
      <c r="TDR72" s="120"/>
      <c r="TDS72" s="120"/>
      <c r="TDT72" s="120"/>
      <c r="TDU72" s="120"/>
      <c r="TDV72" s="120"/>
      <c r="TDW72" s="120"/>
      <c r="TDX72" s="120"/>
      <c r="TDY72" s="120"/>
      <c r="TDZ72" s="120"/>
      <c r="TEA72" s="120"/>
      <c r="TEB72" s="120"/>
      <c r="TEC72" s="120"/>
      <c r="TED72" s="120"/>
      <c r="TEE72" s="120"/>
      <c r="TEF72" s="120"/>
      <c r="TEG72" s="120"/>
      <c r="TEH72" s="120"/>
      <c r="TEI72" s="120"/>
      <c r="TEJ72" s="120"/>
      <c r="TEK72" s="120"/>
      <c r="TEL72" s="120"/>
      <c r="TEM72" s="120"/>
      <c r="TEN72" s="120"/>
      <c r="TEO72" s="120"/>
      <c r="TEP72" s="120"/>
      <c r="TEQ72" s="120"/>
      <c r="TER72" s="120"/>
      <c r="TES72" s="120"/>
      <c r="TET72" s="120"/>
      <c r="TEU72" s="120"/>
      <c r="TEV72" s="120"/>
      <c r="TEW72" s="120"/>
      <c r="TEX72" s="120"/>
      <c r="TEY72" s="120"/>
      <c r="TEZ72" s="120"/>
      <c r="TFA72" s="120"/>
      <c r="TFB72" s="120"/>
      <c r="TFC72" s="120"/>
      <c r="TFD72" s="120"/>
      <c r="TFE72" s="120"/>
      <c r="TFF72" s="120"/>
      <c r="TFG72" s="120"/>
      <c r="TFH72" s="120"/>
      <c r="TFI72" s="120"/>
      <c r="TFJ72" s="120"/>
      <c r="TFK72" s="120"/>
      <c r="TFL72" s="120"/>
      <c r="TFM72" s="120"/>
      <c r="TFN72" s="120"/>
      <c r="TFO72" s="120"/>
      <c r="TFP72" s="120"/>
      <c r="TFQ72" s="120"/>
      <c r="TFR72" s="120"/>
      <c r="TFS72" s="120"/>
      <c r="TFT72" s="120"/>
      <c r="TFU72" s="120"/>
      <c r="TFV72" s="120"/>
      <c r="TFW72" s="120"/>
      <c r="TFX72" s="120"/>
      <c r="TFY72" s="120"/>
      <c r="TFZ72" s="120"/>
      <c r="TGA72" s="120"/>
      <c r="TGB72" s="120"/>
      <c r="TGC72" s="120"/>
      <c r="TGD72" s="120"/>
      <c r="TGE72" s="120"/>
      <c r="TGF72" s="120"/>
      <c r="TGG72" s="120"/>
      <c r="TGH72" s="120"/>
      <c r="TGI72" s="120"/>
      <c r="TGJ72" s="120"/>
      <c r="TGK72" s="120"/>
      <c r="TGL72" s="120"/>
      <c r="TGM72" s="120"/>
      <c r="TGN72" s="120"/>
      <c r="TGO72" s="120"/>
      <c r="TGP72" s="120"/>
      <c r="TGQ72" s="120"/>
      <c r="TGR72" s="120"/>
      <c r="TGS72" s="120"/>
      <c r="TGT72" s="120"/>
      <c r="TGU72" s="120"/>
      <c r="TGV72" s="120"/>
      <c r="TGW72" s="120"/>
      <c r="TGX72" s="120"/>
      <c r="TGY72" s="120"/>
      <c r="TGZ72" s="120"/>
      <c r="THA72" s="120"/>
      <c r="THB72" s="120"/>
      <c r="THC72" s="120"/>
      <c r="THD72" s="120"/>
      <c r="THE72" s="120"/>
      <c r="THF72" s="120"/>
      <c r="THG72" s="120"/>
      <c r="THH72" s="120"/>
      <c r="THI72" s="120"/>
      <c r="THJ72" s="120"/>
      <c r="THK72" s="120"/>
      <c r="THL72" s="120"/>
      <c r="THM72" s="120"/>
      <c r="THN72" s="120"/>
      <c r="THO72" s="120"/>
      <c r="THP72" s="120"/>
      <c r="THQ72" s="120"/>
      <c r="THR72" s="120"/>
      <c r="THS72" s="120"/>
      <c r="THT72" s="120"/>
      <c r="THU72" s="120"/>
      <c r="THV72" s="120"/>
      <c r="THW72" s="120"/>
      <c r="THX72" s="120"/>
      <c r="THY72" s="120"/>
      <c r="THZ72" s="120"/>
      <c r="TIA72" s="120"/>
      <c r="TIB72" s="120"/>
      <c r="TIC72" s="120"/>
      <c r="TID72" s="120"/>
      <c r="TIE72" s="120"/>
      <c r="TIF72" s="120"/>
      <c r="TIG72" s="120"/>
      <c r="TIH72" s="120"/>
      <c r="TII72" s="120"/>
      <c r="TIJ72" s="120"/>
      <c r="TIK72" s="120"/>
      <c r="TIL72" s="120"/>
      <c r="TIM72" s="120"/>
      <c r="TIN72" s="120"/>
      <c r="TIO72" s="120"/>
      <c r="TIP72" s="120"/>
      <c r="TIQ72" s="120"/>
      <c r="TIR72" s="120"/>
      <c r="TIS72" s="120"/>
      <c r="TIT72" s="120"/>
      <c r="TIU72" s="120"/>
      <c r="TIV72" s="120"/>
      <c r="TIW72" s="120"/>
      <c r="TIX72" s="120"/>
      <c r="TIY72" s="120"/>
      <c r="TIZ72" s="120"/>
      <c r="TJA72" s="120"/>
      <c r="TJB72" s="120"/>
      <c r="TJC72" s="120"/>
      <c r="TJD72" s="120"/>
      <c r="TJE72" s="120"/>
      <c r="TJF72" s="120"/>
      <c r="TJG72" s="120"/>
      <c r="TJH72" s="120"/>
      <c r="TJI72" s="120"/>
      <c r="TJJ72" s="120"/>
      <c r="TJK72" s="120"/>
      <c r="TJL72" s="120"/>
      <c r="TJM72" s="120"/>
      <c r="TJN72" s="120"/>
      <c r="TJO72" s="120"/>
      <c r="TJP72" s="120"/>
      <c r="TJQ72" s="120"/>
      <c r="TJR72" s="120"/>
      <c r="TJS72" s="120"/>
      <c r="TJT72" s="120"/>
      <c r="TJU72" s="120"/>
      <c r="TJV72" s="120"/>
      <c r="TJW72" s="120"/>
      <c r="TJX72" s="120"/>
      <c r="TJY72" s="120"/>
      <c r="TJZ72" s="120"/>
      <c r="TKA72" s="120"/>
      <c r="TKB72" s="120"/>
      <c r="TKC72" s="120"/>
      <c r="TKD72" s="120"/>
      <c r="TKE72" s="120"/>
      <c r="TKF72" s="120"/>
      <c r="TKG72" s="120"/>
      <c r="TKH72" s="120"/>
      <c r="TKI72" s="120"/>
      <c r="TKJ72" s="120"/>
      <c r="TKK72" s="120"/>
      <c r="TKL72" s="120"/>
      <c r="TKM72" s="120"/>
      <c r="TKN72" s="120"/>
      <c r="TKO72" s="120"/>
      <c r="TKP72" s="120"/>
      <c r="TKQ72" s="120"/>
      <c r="TKR72" s="120"/>
      <c r="TKS72" s="120"/>
      <c r="TKT72" s="120"/>
      <c r="TKU72" s="120"/>
      <c r="TKV72" s="120"/>
      <c r="TKW72" s="120"/>
      <c r="TKX72" s="120"/>
      <c r="TKY72" s="120"/>
      <c r="TKZ72" s="120"/>
      <c r="TLA72" s="120"/>
      <c r="TLB72" s="120"/>
      <c r="TLC72" s="120"/>
      <c r="TLD72" s="120"/>
      <c r="TLE72" s="120"/>
      <c r="TLF72" s="120"/>
      <c r="TLG72" s="120"/>
      <c r="TLH72" s="120"/>
      <c r="TLI72" s="120"/>
      <c r="TLJ72" s="120"/>
      <c r="TLK72" s="120"/>
      <c r="TLL72" s="120"/>
      <c r="TLM72" s="120"/>
      <c r="TLN72" s="120"/>
      <c r="TLO72" s="120"/>
      <c r="TLP72" s="120"/>
      <c r="TLQ72" s="120"/>
      <c r="TLR72" s="120"/>
      <c r="TLS72" s="120"/>
      <c r="TLT72" s="120"/>
      <c r="TLU72" s="120"/>
      <c r="TLV72" s="120"/>
      <c r="TLW72" s="120"/>
      <c r="TLX72" s="120"/>
      <c r="TLY72" s="120"/>
      <c r="TLZ72" s="120"/>
      <c r="TMA72" s="120"/>
      <c r="TMB72" s="120"/>
      <c r="TMC72" s="120"/>
      <c r="TMD72" s="120"/>
      <c r="TME72" s="120"/>
      <c r="TMF72" s="120"/>
      <c r="TMG72" s="120"/>
      <c r="TMH72" s="120"/>
      <c r="TMI72" s="120"/>
      <c r="TMJ72" s="120"/>
      <c r="TMK72" s="120"/>
      <c r="TML72" s="120"/>
      <c r="TMM72" s="120"/>
      <c r="TMN72" s="120"/>
      <c r="TMO72" s="120"/>
      <c r="TMP72" s="120"/>
      <c r="TMQ72" s="120"/>
      <c r="TMR72" s="120"/>
      <c r="TMS72" s="120"/>
      <c r="TMT72" s="120"/>
      <c r="TMU72" s="120"/>
      <c r="TMV72" s="120"/>
      <c r="TMW72" s="120"/>
      <c r="TMX72" s="120"/>
      <c r="TMY72" s="120"/>
      <c r="TMZ72" s="120"/>
      <c r="TNA72" s="120"/>
      <c r="TNB72" s="120"/>
      <c r="TNC72" s="120"/>
      <c r="TND72" s="120"/>
      <c r="TNE72" s="120"/>
      <c r="TNF72" s="120"/>
      <c r="TNG72" s="120"/>
      <c r="TNH72" s="120"/>
      <c r="TNI72" s="120"/>
      <c r="TNJ72" s="120"/>
      <c r="TNK72" s="120"/>
      <c r="TNL72" s="120"/>
      <c r="TNM72" s="120"/>
      <c r="TNN72" s="120"/>
      <c r="TNO72" s="120"/>
      <c r="TNP72" s="120"/>
      <c r="TNQ72" s="120"/>
      <c r="TNR72" s="120"/>
      <c r="TNS72" s="120"/>
      <c r="TNT72" s="120"/>
      <c r="TNU72" s="120"/>
      <c r="TNV72" s="120"/>
      <c r="TNW72" s="120"/>
      <c r="TNX72" s="120"/>
      <c r="TNY72" s="120"/>
      <c r="TNZ72" s="120"/>
      <c r="TOA72" s="120"/>
      <c r="TOB72" s="120"/>
      <c r="TOC72" s="120"/>
      <c r="TOD72" s="120"/>
      <c r="TOE72" s="120"/>
      <c r="TOF72" s="120"/>
      <c r="TOG72" s="120"/>
      <c r="TOH72" s="120"/>
      <c r="TOI72" s="120"/>
      <c r="TOJ72" s="120"/>
      <c r="TOK72" s="120"/>
      <c r="TOL72" s="120"/>
      <c r="TOM72" s="120"/>
      <c r="TON72" s="120"/>
      <c r="TOO72" s="120"/>
      <c r="TOP72" s="120"/>
      <c r="TOQ72" s="120"/>
      <c r="TOR72" s="120"/>
      <c r="TOS72" s="120"/>
      <c r="TOT72" s="120"/>
      <c r="TOU72" s="120"/>
      <c r="TOV72" s="120"/>
      <c r="TOW72" s="120"/>
      <c r="TOX72" s="120"/>
      <c r="TOY72" s="120"/>
      <c r="TOZ72" s="120"/>
      <c r="TPA72" s="120"/>
      <c r="TPB72" s="120"/>
      <c r="TPC72" s="120"/>
      <c r="TPD72" s="120"/>
      <c r="TPE72" s="120"/>
      <c r="TPF72" s="120"/>
      <c r="TPG72" s="120"/>
      <c r="TPH72" s="120"/>
      <c r="TPI72" s="120"/>
      <c r="TPJ72" s="120"/>
      <c r="TPK72" s="120"/>
      <c r="TPL72" s="120"/>
      <c r="TPM72" s="120"/>
      <c r="TPN72" s="120"/>
      <c r="TPO72" s="120"/>
      <c r="TPP72" s="120"/>
      <c r="TPQ72" s="120"/>
      <c r="TPR72" s="120"/>
      <c r="TPS72" s="120"/>
      <c r="TPT72" s="120"/>
      <c r="TPU72" s="120"/>
      <c r="TPV72" s="120"/>
      <c r="TPW72" s="120"/>
      <c r="TPX72" s="120"/>
      <c r="TPY72" s="120"/>
      <c r="TPZ72" s="120"/>
      <c r="TQA72" s="120"/>
      <c r="TQB72" s="120"/>
      <c r="TQC72" s="120"/>
      <c r="TQD72" s="120"/>
      <c r="TQE72" s="120"/>
      <c r="TQF72" s="120"/>
      <c r="TQG72" s="120"/>
      <c r="TQH72" s="120"/>
      <c r="TQI72" s="120"/>
      <c r="TQJ72" s="120"/>
      <c r="TQK72" s="120"/>
      <c r="TQL72" s="120"/>
      <c r="TQM72" s="120"/>
      <c r="TQN72" s="120"/>
      <c r="TQO72" s="120"/>
      <c r="TQP72" s="120"/>
      <c r="TQQ72" s="120"/>
      <c r="TQR72" s="120"/>
      <c r="TQS72" s="120"/>
      <c r="TQT72" s="120"/>
      <c r="TQU72" s="120"/>
      <c r="TQV72" s="120"/>
      <c r="TQW72" s="120"/>
      <c r="TQX72" s="120"/>
      <c r="TQY72" s="120"/>
      <c r="TQZ72" s="120"/>
      <c r="TRA72" s="120"/>
      <c r="TRB72" s="120"/>
      <c r="TRC72" s="120"/>
      <c r="TRD72" s="120"/>
      <c r="TRE72" s="120"/>
      <c r="TRF72" s="120"/>
      <c r="TRG72" s="120"/>
      <c r="TRH72" s="120"/>
      <c r="TRI72" s="120"/>
      <c r="TRJ72" s="120"/>
      <c r="TRK72" s="120"/>
      <c r="TRL72" s="120"/>
      <c r="TRM72" s="120"/>
      <c r="TRN72" s="120"/>
      <c r="TRO72" s="120"/>
      <c r="TRP72" s="120"/>
      <c r="TRQ72" s="120"/>
      <c r="TRR72" s="120"/>
      <c r="TRS72" s="120"/>
      <c r="TRT72" s="120"/>
      <c r="TRU72" s="120"/>
      <c r="TRV72" s="120"/>
      <c r="TRW72" s="120"/>
      <c r="TRX72" s="120"/>
      <c r="TRY72" s="120"/>
      <c r="TRZ72" s="120"/>
      <c r="TSA72" s="120"/>
      <c r="TSB72" s="120"/>
      <c r="TSC72" s="120"/>
      <c r="TSD72" s="120"/>
      <c r="TSE72" s="120"/>
      <c r="TSF72" s="120"/>
      <c r="TSG72" s="120"/>
      <c r="TSH72" s="120"/>
      <c r="TSI72" s="120"/>
      <c r="TSJ72" s="120"/>
      <c r="TSK72" s="120"/>
      <c r="TSL72" s="120"/>
      <c r="TSM72" s="120"/>
      <c r="TSN72" s="120"/>
      <c r="TSO72" s="120"/>
      <c r="TSP72" s="120"/>
      <c r="TSQ72" s="120"/>
      <c r="TSR72" s="120"/>
      <c r="TSS72" s="120"/>
      <c r="TST72" s="120"/>
      <c r="TSU72" s="120"/>
      <c r="TSV72" s="120"/>
      <c r="TSW72" s="120"/>
      <c r="TSX72" s="120"/>
      <c r="TSY72" s="120"/>
      <c r="TSZ72" s="120"/>
      <c r="TTA72" s="120"/>
      <c r="TTB72" s="120"/>
      <c r="TTC72" s="120"/>
      <c r="TTD72" s="120"/>
      <c r="TTE72" s="120"/>
      <c r="TTF72" s="120"/>
      <c r="TTG72" s="120"/>
      <c r="TTH72" s="120"/>
      <c r="TTI72" s="120"/>
      <c r="TTJ72" s="120"/>
      <c r="TTK72" s="120"/>
      <c r="TTL72" s="120"/>
      <c r="TTM72" s="120"/>
      <c r="TTN72" s="120"/>
      <c r="TTO72" s="120"/>
      <c r="TTP72" s="120"/>
      <c r="TTQ72" s="120"/>
      <c r="TTR72" s="120"/>
      <c r="TTS72" s="120"/>
      <c r="TTT72" s="120"/>
      <c r="TTU72" s="120"/>
      <c r="TTV72" s="120"/>
      <c r="TTW72" s="120"/>
      <c r="TTX72" s="120"/>
      <c r="TTY72" s="120"/>
      <c r="TTZ72" s="120"/>
      <c r="TUA72" s="120"/>
      <c r="TUB72" s="120"/>
      <c r="TUC72" s="120"/>
      <c r="TUD72" s="120"/>
      <c r="TUE72" s="120"/>
      <c r="TUF72" s="120"/>
      <c r="TUG72" s="120"/>
      <c r="TUH72" s="120"/>
      <c r="TUI72" s="120"/>
      <c r="TUJ72" s="120"/>
      <c r="TUK72" s="120"/>
      <c r="TUL72" s="120"/>
      <c r="TUM72" s="120"/>
      <c r="TUN72" s="120"/>
      <c r="TUO72" s="120"/>
      <c r="TUP72" s="120"/>
      <c r="TUQ72" s="120"/>
      <c r="TUR72" s="120"/>
      <c r="TUS72" s="120"/>
      <c r="TUT72" s="120"/>
      <c r="TUU72" s="120"/>
      <c r="TUV72" s="120"/>
      <c r="TUW72" s="120"/>
      <c r="TUX72" s="120"/>
      <c r="TUY72" s="120"/>
      <c r="TUZ72" s="120"/>
      <c r="TVA72" s="120"/>
      <c r="TVB72" s="120"/>
      <c r="TVC72" s="120"/>
      <c r="TVD72" s="120"/>
      <c r="TVE72" s="120"/>
      <c r="TVF72" s="120"/>
      <c r="TVG72" s="120"/>
      <c r="TVH72" s="120"/>
      <c r="TVI72" s="120"/>
      <c r="TVJ72" s="120"/>
      <c r="TVK72" s="120"/>
      <c r="TVL72" s="120"/>
      <c r="TVM72" s="120"/>
      <c r="TVN72" s="120"/>
      <c r="TVO72" s="120"/>
      <c r="TVP72" s="120"/>
      <c r="TVQ72" s="120"/>
      <c r="TVR72" s="120"/>
      <c r="TVS72" s="120"/>
      <c r="TVT72" s="120"/>
      <c r="TVU72" s="120"/>
      <c r="TVV72" s="120"/>
      <c r="TVW72" s="120"/>
      <c r="TVX72" s="120"/>
      <c r="TVY72" s="120"/>
      <c r="TVZ72" s="120"/>
      <c r="TWA72" s="120"/>
      <c r="TWB72" s="120"/>
      <c r="TWC72" s="120"/>
      <c r="TWD72" s="120"/>
      <c r="TWE72" s="120"/>
      <c r="TWF72" s="120"/>
      <c r="TWG72" s="120"/>
      <c r="TWH72" s="120"/>
      <c r="TWI72" s="120"/>
      <c r="TWJ72" s="120"/>
      <c r="TWK72" s="120"/>
      <c r="TWL72" s="120"/>
      <c r="TWM72" s="120"/>
      <c r="TWN72" s="120"/>
      <c r="TWO72" s="120"/>
      <c r="TWP72" s="120"/>
      <c r="TWQ72" s="120"/>
      <c r="TWR72" s="120"/>
      <c r="TWS72" s="120"/>
      <c r="TWT72" s="120"/>
      <c r="TWU72" s="120"/>
      <c r="TWV72" s="120"/>
      <c r="TWW72" s="120"/>
      <c r="TWX72" s="120"/>
      <c r="TWY72" s="120"/>
      <c r="TWZ72" s="120"/>
      <c r="TXA72" s="120"/>
      <c r="TXB72" s="120"/>
      <c r="TXC72" s="120"/>
      <c r="TXD72" s="120"/>
      <c r="TXE72" s="120"/>
      <c r="TXF72" s="120"/>
      <c r="TXG72" s="120"/>
      <c r="TXH72" s="120"/>
      <c r="TXI72" s="120"/>
      <c r="TXJ72" s="120"/>
      <c r="TXK72" s="120"/>
      <c r="TXL72" s="120"/>
      <c r="TXM72" s="120"/>
      <c r="TXN72" s="120"/>
      <c r="TXO72" s="120"/>
      <c r="TXP72" s="120"/>
      <c r="TXQ72" s="120"/>
      <c r="TXR72" s="120"/>
      <c r="TXS72" s="120"/>
      <c r="TXT72" s="120"/>
      <c r="TXU72" s="120"/>
      <c r="TXV72" s="120"/>
      <c r="TXW72" s="120"/>
      <c r="TXX72" s="120"/>
      <c r="TXY72" s="120"/>
      <c r="TXZ72" s="120"/>
      <c r="TYA72" s="120"/>
      <c r="TYB72" s="120"/>
      <c r="TYC72" s="120"/>
      <c r="TYD72" s="120"/>
      <c r="TYE72" s="120"/>
      <c r="TYF72" s="120"/>
      <c r="TYG72" s="120"/>
      <c r="TYH72" s="120"/>
      <c r="TYI72" s="120"/>
      <c r="TYJ72" s="120"/>
      <c r="TYK72" s="120"/>
      <c r="TYL72" s="120"/>
      <c r="TYM72" s="120"/>
      <c r="TYN72" s="120"/>
      <c r="TYO72" s="120"/>
      <c r="TYP72" s="120"/>
      <c r="TYQ72" s="120"/>
      <c r="TYR72" s="120"/>
      <c r="TYS72" s="120"/>
      <c r="TYT72" s="120"/>
      <c r="TYU72" s="120"/>
      <c r="TYV72" s="120"/>
      <c r="TYW72" s="120"/>
      <c r="TYX72" s="120"/>
      <c r="TYY72" s="120"/>
      <c r="TYZ72" s="120"/>
      <c r="TZA72" s="120"/>
      <c r="TZB72" s="120"/>
      <c r="TZC72" s="120"/>
      <c r="TZD72" s="120"/>
      <c r="TZE72" s="120"/>
      <c r="TZF72" s="120"/>
      <c r="TZG72" s="120"/>
      <c r="TZH72" s="120"/>
      <c r="TZI72" s="120"/>
      <c r="TZJ72" s="120"/>
      <c r="TZK72" s="120"/>
      <c r="TZL72" s="120"/>
      <c r="TZM72" s="120"/>
      <c r="TZN72" s="120"/>
      <c r="TZO72" s="120"/>
      <c r="TZP72" s="120"/>
      <c r="TZQ72" s="120"/>
      <c r="TZR72" s="120"/>
      <c r="TZS72" s="120"/>
      <c r="TZT72" s="120"/>
      <c r="TZU72" s="120"/>
      <c r="TZV72" s="120"/>
      <c r="TZW72" s="120"/>
      <c r="TZX72" s="120"/>
      <c r="TZY72" s="120"/>
      <c r="TZZ72" s="120"/>
      <c r="UAA72" s="120"/>
      <c r="UAB72" s="120"/>
      <c r="UAC72" s="120"/>
      <c r="UAD72" s="120"/>
      <c r="UAE72" s="120"/>
      <c r="UAF72" s="120"/>
      <c r="UAG72" s="120"/>
      <c r="UAH72" s="120"/>
      <c r="UAI72" s="120"/>
      <c r="UAJ72" s="120"/>
      <c r="UAK72" s="120"/>
      <c r="UAL72" s="120"/>
      <c r="UAM72" s="120"/>
      <c r="UAN72" s="120"/>
      <c r="UAO72" s="120"/>
      <c r="UAP72" s="120"/>
      <c r="UAQ72" s="120"/>
      <c r="UAR72" s="120"/>
      <c r="UAS72" s="120"/>
      <c r="UAT72" s="120"/>
      <c r="UAU72" s="120"/>
      <c r="UAV72" s="120"/>
      <c r="UAW72" s="120"/>
      <c r="UAX72" s="120"/>
      <c r="UAY72" s="120"/>
      <c r="UAZ72" s="120"/>
      <c r="UBA72" s="120"/>
      <c r="UBB72" s="120"/>
      <c r="UBC72" s="120"/>
      <c r="UBD72" s="120"/>
      <c r="UBE72" s="120"/>
      <c r="UBF72" s="120"/>
      <c r="UBG72" s="120"/>
      <c r="UBH72" s="120"/>
      <c r="UBI72" s="120"/>
      <c r="UBJ72" s="120"/>
      <c r="UBK72" s="120"/>
      <c r="UBL72" s="120"/>
      <c r="UBM72" s="120"/>
      <c r="UBN72" s="120"/>
      <c r="UBO72" s="120"/>
      <c r="UBP72" s="120"/>
      <c r="UBQ72" s="120"/>
      <c r="UBR72" s="120"/>
      <c r="UBS72" s="120"/>
      <c r="UBT72" s="120"/>
      <c r="UBU72" s="120"/>
      <c r="UBV72" s="120"/>
      <c r="UBW72" s="120"/>
      <c r="UBX72" s="120"/>
      <c r="UBY72" s="120"/>
      <c r="UBZ72" s="120"/>
      <c r="UCA72" s="120"/>
      <c r="UCB72" s="120"/>
      <c r="UCC72" s="120"/>
      <c r="UCD72" s="120"/>
      <c r="UCE72" s="120"/>
      <c r="UCF72" s="120"/>
      <c r="UCG72" s="120"/>
      <c r="UCH72" s="120"/>
      <c r="UCI72" s="120"/>
      <c r="UCJ72" s="120"/>
      <c r="UCK72" s="120"/>
      <c r="UCL72" s="120"/>
      <c r="UCM72" s="120"/>
      <c r="UCN72" s="120"/>
      <c r="UCO72" s="120"/>
      <c r="UCP72" s="120"/>
      <c r="UCQ72" s="120"/>
      <c r="UCR72" s="120"/>
      <c r="UCS72" s="120"/>
      <c r="UCT72" s="120"/>
      <c r="UCU72" s="120"/>
      <c r="UCV72" s="120"/>
      <c r="UCW72" s="120"/>
      <c r="UCX72" s="120"/>
      <c r="UCY72" s="120"/>
      <c r="UCZ72" s="120"/>
      <c r="UDA72" s="120"/>
      <c r="UDB72" s="120"/>
      <c r="UDC72" s="120"/>
      <c r="UDD72" s="120"/>
      <c r="UDE72" s="120"/>
      <c r="UDF72" s="120"/>
      <c r="UDG72" s="120"/>
      <c r="UDH72" s="120"/>
      <c r="UDI72" s="120"/>
      <c r="UDJ72" s="120"/>
      <c r="UDK72" s="120"/>
      <c r="UDL72" s="120"/>
      <c r="UDM72" s="120"/>
      <c r="UDN72" s="120"/>
      <c r="UDO72" s="120"/>
      <c r="UDP72" s="120"/>
      <c r="UDQ72" s="120"/>
      <c r="UDR72" s="120"/>
      <c r="UDS72" s="120"/>
      <c r="UDT72" s="120"/>
      <c r="UDU72" s="120"/>
      <c r="UDV72" s="120"/>
      <c r="UDW72" s="120"/>
      <c r="UDX72" s="120"/>
      <c r="UDY72" s="120"/>
      <c r="UDZ72" s="120"/>
      <c r="UEA72" s="120"/>
      <c r="UEB72" s="120"/>
      <c r="UEC72" s="120"/>
      <c r="UED72" s="120"/>
      <c r="UEE72" s="120"/>
      <c r="UEF72" s="120"/>
      <c r="UEG72" s="120"/>
      <c r="UEH72" s="120"/>
      <c r="UEI72" s="120"/>
      <c r="UEJ72" s="120"/>
      <c r="UEK72" s="120"/>
      <c r="UEL72" s="120"/>
      <c r="UEM72" s="120"/>
      <c r="UEN72" s="120"/>
      <c r="UEO72" s="120"/>
      <c r="UEP72" s="120"/>
      <c r="UEQ72" s="120"/>
      <c r="UER72" s="120"/>
      <c r="UES72" s="120"/>
      <c r="UET72" s="120"/>
      <c r="UEU72" s="120"/>
      <c r="UEV72" s="120"/>
      <c r="UEW72" s="120"/>
      <c r="UEX72" s="120"/>
      <c r="UEY72" s="120"/>
      <c r="UEZ72" s="120"/>
      <c r="UFA72" s="120"/>
      <c r="UFB72" s="120"/>
      <c r="UFC72" s="120"/>
      <c r="UFD72" s="120"/>
      <c r="UFE72" s="120"/>
      <c r="UFF72" s="120"/>
      <c r="UFG72" s="120"/>
      <c r="UFH72" s="120"/>
      <c r="UFI72" s="120"/>
      <c r="UFJ72" s="120"/>
      <c r="UFK72" s="120"/>
      <c r="UFL72" s="120"/>
      <c r="UFM72" s="120"/>
      <c r="UFN72" s="120"/>
      <c r="UFO72" s="120"/>
      <c r="UFP72" s="120"/>
      <c r="UFQ72" s="120"/>
      <c r="UFR72" s="120"/>
      <c r="UFS72" s="120"/>
      <c r="UFT72" s="120"/>
      <c r="UFU72" s="120"/>
      <c r="UFV72" s="120"/>
      <c r="UFW72" s="120"/>
      <c r="UFX72" s="120"/>
      <c r="UFY72" s="120"/>
      <c r="UFZ72" s="120"/>
      <c r="UGA72" s="120"/>
      <c r="UGB72" s="120"/>
      <c r="UGC72" s="120"/>
      <c r="UGD72" s="120"/>
      <c r="UGE72" s="120"/>
      <c r="UGF72" s="120"/>
      <c r="UGG72" s="120"/>
      <c r="UGH72" s="120"/>
      <c r="UGI72" s="120"/>
      <c r="UGJ72" s="120"/>
      <c r="UGK72" s="120"/>
      <c r="UGL72" s="120"/>
      <c r="UGM72" s="120"/>
      <c r="UGN72" s="120"/>
      <c r="UGO72" s="120"/>
      <c r="UGP72" s="120"/>
      <c r="UGQ72" s="120"/>
      <c r="UGR72" s="120"/>
      <c r="UGS72" s="120"/>
      <c r="UGT72" s="120"/>
      <c r="UGU72" s="120"/>
      <c r="UGV72" s="120"/>
      <c r="UGW72" s="120"/>
      <c r="UGX72" s="120"/>
      <c r="UGY72" s="120"/>
      <c r="UGZ72" s="120"/>
      <c r="UHA72" s="120"/>
      <c r="UHB72" s="120"/>
      <c r="UHC72" s="120"/>
      <c r="UHD72" s="120"/>
      <c r="UHE72" s="120"/>
      <c r="UHF72" s="120"/>
      <c r="UHG72" s="120"/>
      <c r="UHH72" s="120"/>
      <c r="UHI72" s="120"/>
      <c r="UHJ72" s="120"/>
      <c r="UHK72" s="120"/>
      <c r="UHL72" s="120"/>
      <c r="UHM72" s="120"/>
      <c r="UHN72" s="120"/>
      <c r="UHO72" s="120"/>
      <c r="UHP72" s="120"/>
      <c r="UHQ72" s="120"/>
      <c r="UHR72" s="120"/>
      <c r="UHS72" s="120"/>
      <c r="UHT72" s="120"/>
      <c r="UHU72" s="120"/>
      <c r="UHV72" s="120"/>
      <c r="UHW72" s="120"/>
      <c r="UHX72" s="120"/>
      <c r="UHY72" s="120"/>
      <c r="UHZ72" s="120"/>
      <c r="UIA72" s="120"/>
      <c r="UIB72" s="120"/>
      <c r="UIC72" s="120"/>
      <c r="UID72" s="120"/>
      <c r="UIE72" s="120"/>
      <c r="UIF72" s="120"/>
      <c r="UIG72" s="120"/>
      <c r="UIH72" s="120"/>
      <c r="UII72" s="120"/>
      <c r="UIJ72" s="120"/>
      <c r="UIK72" s="120"/>
      <c r="UIL72" s="120"/>
      <c r="UIM72" s="120"/>
      <c r="UIN72" s="120"/>
      <c r="UIO72" s="120"/>
      <c r="UIP72" s="120"/>
      <c r="UIQ72" s="120"/>
      <c r="UIR72" s="120"/>
      <c r="UIS72" s="120"/>
      <c r="UIT72" s="120"/>
      <c r="UIU72" s="120"/>
      <c r="UIV72" s="120"/>
      <c r="UIW72" s="120"/>
      <c r="UIX72" s="120"/>
      <c r="UIY72" s="120"/>
      <c r="UIZ72" s="120"/>
      <c r="UJA72" s="120"/>
      <c r="UJB72" s="120"/>
      <c r="UJC72" s="120"/>
      <c r="UJD72" s="120"/>
      <c r="UJE72" s="120"/>
      <c r="UJF72" s="120"/>
      <c r="UJG72" s="120"/>
      <c r="UJH72" s="120"/>
      <c r="UJI72" s="120"/>
      <c r="UJJ72" s="120"/>
      <c r="UJK72" s="120"/>
      <c r="UJL72" s="120"/>
      <c r="UJM72" s="120"/>
      <c r="UJN72" s="120"/>
      <c r="UJO72" s="120"/>
      <c r="UJP72" s="120"/>
      <c r="UJQ72" s="120"/>
      <c r="UJR72" s="120"/>
      <c r="UJS72" s="120"/>
      <c r="UJT72" s="120"/>
      <c r="UJU72" s="120"/>
      <c r="UJV72" s="120"/>
      <c r="UJW72" s="120"/>
      <c r="UJX72" s="120"/>
      <c r="UJY72" s="120"/>
      <c r="UJZ72" s="120"/>
      <c r="UKA72" s="120"/>
      <c r="UKB72" s="120"/>
      <c r="UKC72" s="120"/>
      <c r="UKD72" s="120"/>
      <c r="UKE72" s="120"/>
      <c r="UKF72" s="120"/>
      <c r="UKG72" s="120"/>
      <c r="UKH72" s="120"/>
      <c r="UKI72" s="120"/>
      <c r="UKJ72" s="120"/>
      <c r="UKK72" s="120"/>
      <c r="UKL72" s="120"/>
      <c r="UKM72" s="120"/>
      <c r="UKN72" s="120"/>
      <c r="UKO72" s="120"/>
      <c r="UKP72" s="120"/>
      <c r="UKQ72" s="120"/>
      <c r="UKR72" s="120"/>
      <c r="UKS72" s="120"/>
      <c r="UKT72" s="120"/>
      <c r="UKU72" s="120"/>
      <c r="UKV72" s="120"/>
      <c r="UKW72" s="120"/>
      <c r="UKX72" s="120"/>
      <c r="UKY72" s="120"/>
      <c r="UKZ72" s="120"/>
      <c r="ULA72" s="120"/>
      <c r="ULB72" s="120"/>
      <c r="ULC72" s="120"/>
      <c r="ULD72" s="120"/>
      <c r="ULE72" s="120"/>
      <c r="ULF72" s="120"/>
      <c r="ULG72" s="120"/>
      <c r="ULH72" s="120"/>
      <c r="ULI72" s="120"/>
      <c r="ULJ72" s="120"/>
      <c r="ULK72" s="120"/>
      <c r="ULL72" s="120"/>
      <c r="ULM72" s="120"/>
      <c r="ULN72" s="120"/>
      <c r="ULO72" s="120"/>
      <c r="ULP72" s="120"/>
      <c r="ULQ72" s="120"/>
      <c r="ULR72" s="120"/>
      <c r="ULS72" s="120"/>
      <c r="ULT72" s="120"/>
      <c r="ULU72" s="120"/>
      <c r="ULV72" s="120"/>
      <c r="ULW72" s="120"/>
      <c r="ULX72" s="120"/>
      <c r="ULY72" s="120"/>
      <c r="ULZ72" s="120"/>
      <c r="UMA72" s="120"/>
      <c r="UMB72" s="120"/>
      <c r="UMC72" s="120"/>
      <c r="UMD72" s="120"/>
      <c r="UME72" s="120"/>
      <c r="UMF72" s="120"/>
      <c r="UMG72" s="120"/>
      <c r="UMH72" s="120"/>
      <c r="UMI72" s="120"/>
      <c r="UMJ72" s="120"/>
      <c r="UMK72" s="120"/>
      <c r="UML72" s="120"/>
      <c r="UMM72" s="120"/>
      <c r="UMN72" s="120"/>
      <c r="UMO72" s="120"/>
      <c r="UMP72" s="120"/>
      <c r="UMQ72" s="120"/>
      <c r="UMR72" s="120"/>
      <c r="UMS72" s="120"/>
      <c r="UMT72" s="120"/>
      <c r="UMU72" s="120"/>
      <c r="UMV72" s="120"/>
      <c r="UMW72" s="120"/>
      <c r="UMX72" s="120"/>
      <c r="UMY72" s="120"/>
      <c r="UMZ72" s="120"/>
      <c r="UNA72" s="120"/>
      <c r="UNB72" s="120"/>
      <c r="UNC72" s="120"/>
      <c r="UND72" s="120"/>
      <c r="UNE72" s="120"/>
      <c r="UNF72" s="120"/>
      <c r="UNG72" s="120"/>
      <c r="UNH72" s="120"/>
      <c r="UNI72" s="120"/>
      <c r="UNJ72" s="120"/>
      <c r="UNK72" s="120"/>
      <c r="UNL72" s="120"/>
      <c r="UNM72" s="120"/>
      <c r="UNN72" s="120"/>
      <c r="UNO72" s="120"/>
      <c r="UNP72" s="120"/>
      <c r="UNQ72" s="120"/>
      <c r="UNR72" s="120"/>
      <c r="UNS72" s="120"/>
      <c r="UNT72" s="120"/>
      <c r="UNU72" s="120"/>
      <c r="UNV72" s="120"/>
      <c r="UNW72" s="120"/>
      <c r="UNX72" s="120"/>
      <c r="UNY72" s="120"/>
      <c r="UNZ72" s="120"/>
      <c r="UOA72" s="120"/>
      <c r="UOB72" s="120"/>
      <c r="UOC72" s="120"/>
      <c r="UOD72" s="120"/>
      <c r="UOE72" s="120"/>
      <c r="UOF72" s="120"/>
      <c r="UOG72" s="120"/>
      <c r="UOH72" s="120"/>
      <c r="UOI72" s="120"/>
      <c r="UOJ72" s="120"/>
      <c r="UOK72" s="120"/>
      <c r="UOL72" s="120"/>
      <c r="UOM72" s="120"/>
      <c r="UON72" s="120"/>
      <c r="UOO72" s="120"/>
      <c r="UOP72" s="120"/>
      <c r="UOQ72" s="120"/>
      <c r="UOR72" s="120"/>
      <c r="UOS72" s="120"/>
      <c r="UOT72" s="120"/>
      <c r="UOU72" s="120"/>
      <c r="UOV72" s="120"/>
      <c r="UOW72" s="120"/>
      <c r="UOX72" s="120"/>
      <c r="UOY72" s="120"/>
      <c r="UOZ72" s="120"/>
      <c r="UPA72" s="120"/>
      <c r="UPB72" s="120"/>
      <c r="UPC72" s="120"/>
      <c r="UPD72" s="120"/>
      <c r="UPE72" s="120"/>
      <c r="UPF72" s="120"/>
      <c r="UPG72" s="120"/>
      <c r="UPH72" s="120"/>
      <c r="UPI72" s="120"/>
      <c r="UPJ72" s="120"/>
      <c r="UPK72" s="120"/>
      <c r="UPL72" s="120"/>
      <c r="UPM72" s="120"/>
      <c r="UPN72" s="120"/>
      <c r="UPO72" s="120"/>
      <c r="UPP72" s="120"/>
      <c r="UPQ72" s="120"/>
      <c r="UPR72" s="120"/>
      <c r="UPS72" s="120"/>
      <c r="UPT72" s="120"/>
      <c r="UPU72" s="120"/>
      <c r="UPV72" s="120"/>
      <c r="UPW72" s="120"/>
      <c r="UPX72" s="120"/>
      <c r="UPY72" s="120"/>
      <c r="UPZ72" s="120"/>
      <c r="UQA72" s="120"/>
      <c r="UQB72" s="120"/>
      <c r="UQC72" s="120"/>
      <c r="UQD72" s="120"/>
      <c r="UQE72" s="120"/>
      <c r="UQF72" s="120"/>
      <c r="UQG72" s="120"/>
      <c r="UQH72" s="120"/>
      <c r="UQI72" s="120"/>
      <c r="UQJ72" s="120"/>
      <c r="UQK72" s="120"/>
      <c r="UQL72" s="120"/>
      <c r="UQM72" s="120"/>
      <c r="UQN72" s="120"/>
      <c r="UQO72" s="120"/>
      <c r="UQP72" s="120"/>
      <c r="UQQ72" s="120"/>
      <c r="UQR72" s="120"/>
      <c r="UQS72" s="120"/>
      <c r="UQT72" s="120"/>
      <c r="UQU72" s="120"/>
      <c r="UQV72" s="120"/>
      <c r="UQW72" s="120"/>
      <c r="UQX72" s="120"/>
      <c r="UQY72" s="120"/>
      <c r="UQZ72" s="120"/>
      <c r="URA72" s="120"/>
      <c r="URB72" s="120"/>
      <c r="URC72" s="120"/>
      <c r="URD72" s="120"/>
      <c r="URE72" s="120"/>
      <c r="URF72" s="120"/>
      <c r="URG72" s="120"/>
      <c r="URH72" s="120"/>
      <c r="URI72" s="120"/>
      <c r="URJ72" s="120"/>
      <c r="URK72" s="120"/>
      <c r="URL72" s="120"/>
      <c r="URM72" s="120"/>
      <c r="URN72" s="120"/>
      <c r="URO72" s="120"/>
      <c r="URP72" s="120"/>
      <c r="URQ72" s="120"/>
      <c r="URR72" s="120"/>
      <c r="URS72" s="120"/>
      <c r="URT72" s="120"/>
      <c r="URU72" s="120"/>
      <c r="URV72" s="120"/>
      <c r="URW72" s="120"/>
      <c r="URX72" s="120"/>
      <c r="URY72" s="120"/>
      <c r="URZ72" s="120"/>
      <c r="USA72" s="120"/>
      <c r="USB72" s="120"/>
      <c r="USC72" s="120"/>
      <c r="USD72" s="120"/>
      <c r="USE72" s="120"/>
      <c r="USF72" s="120"/>
      <c r="USG72" s="120"/>
      <c r="USH72" s="120"/>
      <c r="USI72" s="120"/>
      <c r="USJ72" s="120"/>
      <c r="USK72" s="120"/>
      <c r="USL72" s="120"/>
      <c r="USM72" s="120"/>
      <c r="USN72" s="120"/>
      <c r="USO72" s="120"/>
      <c r="USP72" s="120"/>
      <c r="USQ72" s="120"/>
      <c r="USR72" s="120"/>
      <c r="USS72" s="120"/>
      <c r="UST72" s="120"/>
      <c r="USU72" s="120"/>
      <c r="USV72" s="120"/>
      <c r="USW72" s="120"/>
      <c r="USX72" s="120"/>
      <c r="USY72" s="120"/>
      <c r="USZ72" s="120"/>
      <c r="UTA72" s="120"/>
      <c r="UTB72" s="120"/>
      <c r="UTC72" s="120"/>
      <c r="UTD72" s="120"/>
      <c r="UTE72" s="120"/>
      <c r="UTF72" s="120"/>
      <c r="UTG72" s="120"/>
      <c r="UTH72" s="120"/>
      <c r="UTI72" s="120"/>
      <c r="UTJ72" s="120"/>
      <c r="UTK72" s="120"/>
      <c r="UTL72" s="120"/>
      <c r="UTM72" s="120"/>
      <c r="UTN72" s="120"/>
      <c r="UTO72" s="120"/>
      <c r="UTP72" s="120"/>
      <c r="UTQ72" s="120"/>
      <c r="UTR72" s="120"/>
      <c r="UTS72" s="120"/>
      <c r="UTT72" s="120"/>
      <c r="UTU72" s="120"/>
      <c r="UTV72" s="120"/>
      <c r="UTW72" s="120"/>
      <c r="UTX72" s="120"/>
      <c r="UTY72" s="120"/>
      <c r="UTZ72" s="120"/>
      <c r="UUA72" s="120"/>
      <c r="UUB72" s="120"/>
      <c r="UUC72" s="120"/>
      <c r="UUD72" s="120"/>
      <c r="UUE72" s="120"/>
      <c r="UUF72" s="120"/>
      <c r="UUG72" s="120"/>
      <c r="UUH72" s="120"/>
      <c r="UUI72" s="120"/>
      <c r="UUJ72" s="120"/>
      <c r="UUK72" s="120"/>
      <c r="UUL72" s="120"/>
      <c r="UUM72" s="120"/>
      <c r="UUN72" s="120"/>
      <c r="UUO72" s="120"/>
      <c r="UUP72" s="120"/>
      <c r="UUQ72" s="120"/>
      <c r="UUR72" s="120"/>
      <c r="UUS72" s="120"/>
      <c r="UUT72" s="120"/>
      <c r="UUU72" s="120"/>
      <c r="UUV72" s="120"/>
      <c r="UUW72" s="120"/>
      <c r="UUX72" s="120"/>
      <c r="UUY72" s="120"/>
      <c r="UUZ72" s="120"/>
      <c r="UVA72" s="120"/>
      <c r="UVB72" s="120"/>
      <c r="UVC72" s="120"/>
      <c r="UVD72" s="120"/>
      <c r="UVE72" s="120"/>
      <c r="UVF72" s="120"/>
      <c r="UVG72" s="120"/>
      <c r="UVH72" s="120"/>
      <c r="UVI72" s="120"/>
      <c r="UVJ72" s="120"/>
      <c r="UVK72" s="120"/>
      <c r="UVL72" s="120"/>
      <c r="UVM72" s="120"/>
      <c r="UVN72" s="120"/>
      <c r="UVO72" s="120"/>
      <c r="UVP72" s="120"/>
      <c r="UVQ72" s="120"/>
      <c r="UVR72" s="120"/>
      <c r="UVS72" s="120"/>
      <c r="UVT72" s="120"/>
      <c r="UVU72" s="120"/>
      <c r="UVV72" s="120"/>
      <c r="UVW72" s="120"/>
      <c r="UVX72" s="120"/>
      <c r="UVY72" s="120"/>
      <c r="UVZ72" s="120"/>
      <c r="UWA72" s="120"/>
      <c r="UWB72" s="120"/>
      <c r="UWC72" s="120"/>
      <c r="UWD72" s="120"/>
      <c r="UWE72" s="120"/>
      <c r="UWF72" s="120"/>
      <c r="UWG72" s="120"/>
      <c r="UWH72" s="120"/>
      <c r="UWI72" s="120"/>
      <c r="UWJ72" s="120"/>
      <c r="UWK72" s="120"/>
      <c r="UWL72" s="120"/>
      <c r="UWM72" s="120"/>
      <c r="UWN72" s="120"/>
      <c r="UWO72" s="120"/>
      <c r="UWP72" s="120"/>
      <c r="UWQ72" s="120"/>
      <c r="UWR72" s="120"/>
      <c r="UWS72" s="120"/>
      <c r="UWT72" s="120"/>
      <c r="UWU72" s="120"/>
      <c r="UWV72" s="120"/>
      <c r="UWW72" s="120"/>
      <c r="UWX72" s="120"/>
      <c r="UWY72" s="120"/>
      <c r="UWZ72" s="120"/>
      <c r="UXA72" s="120"/>
      <c r="UXB72" s="120"/>
      <c r="UXC72" s="120"/>
      <c r="UXD72" s="120"/>
      <c r="UXE72" s="120"/>
      <c r="UXF72" s="120"/>
      <c r="UXG72" s="120"/>
      <c r="UXH72" s="120"/>
      <c r="UXI72" s="120"/>
      <c r="UXJ72" s="120"/>
      <c r="UXK72" s="120"/>
      <c r="UXL72" s="120"/>
      <c r="UXM72" s="120"/>
      <c r="UXN72" s="120"/>
      <c r="UXO72" s="120"/>
      <c r="UXP72" s="120"/>
      <c r="UXQ72" s="120"/>
      <c r="UXR72" s="120"/>
      <c r="UXS72" s="120"/>
      <c r="UXT72" s="120"/>
      <c r="UXU72" s="120"/>
      <c r="UXV72" s="120"/>
      <c r="UXW72" s="120"/>
      <c r="UXX72" s="120"/>
      <c r="UXY72" s="120"/>
      <c r="UXZ72" s="120"/>
      <c r="UYA72" s="120"/>
      <c r="UYB72" s="120"/>
      <c r="UYC72" s="120"/>
      <c r="UYD72" s="120"/>
      <c r="UYE72" s="120"/>
      <c r="UYF72" s="120"/>
      <c r="UYG72" s="120"/>
      <c r="UYH72" s="120"/>
      <c r="UYI72" s="120"/>
      <c r="UYJ72" s="120"/>
      <c r="UYK72" s="120"/>
      <c r="UYL72" s="120"/>
      <c r="UYM72" s="120"/>
      <c r="UYN72" s="120"/>
      <c r="UYO72" s="120"/>
      <c r="UYP72" s="120"/>
      <c r="UYQ72" s="120"/>
      <c r="UYR72" s="120"/>
      <c r="UYS72" s="120"/>
      <c r="UYT72" s="120"/>
      <c r="UYU72" s="120"/>
      <c r="UYV72" s="120"/>
      <c r="UYW72" s="120"/>
      <c r="UYX72" s="120"/>
      <c r="UYY72" s="120"/>
      <c r="UYZ72" s="120"/>
      <c r="UZA72" s="120"/>
      <c r="UZB72" s="120"/>
      <c r="UZC72" s="120"/>
      <c r="UZD72" s="120"/>
      <c r="UZE72" s="120"/>
      <c r="UZF72" s="120"/>
      <c r="UZG72" s="120"/>
      <c r="UZH72" s="120"/>
      <c r="UZI72" s="120"/>
      <c r="UZJ72" s="120"/>
      <c r="UZK72" s="120"/>
      <c r="UZL72" s="120"/>
      <c r="UZM72" s="120"/>
      <c r="UZN72" s="120"/>
      <c r="UZO72" s="120"/>
      <c r="UZP72" s="120"/>
      <c r="UZQ72" s="120"/>
      <c r="UZR72" s="120"/>
      <c r="UZS72" s="120"/>
      <c r="UZT72" s="120"/>
      <c r="UZU72" s="120"/>
      <c r="UZV72" s="120"/>
      <c r="UZW72" s="120"/>
      <c r="UZX72" s="120"/>
      <c r="UZY72" s="120"/>
      <c r="UZZ72" s="120"/>
      <c r="VAA72" s="120"/>
      <c r="VAB72" s="120"/>
      <c r="VAC72" s="120"/>
      <c r="VAD72" s="120"/>
      <c r="VAE72" s="120"/>
      <c r="VAF72" s="120"/>
      <c r="VAG72" s="120"/>
      <c r="VAH72" s="120"/>
      <c r="VAI72" s="120"/>
      <c r="VAJ72" s="120"/>
      <c r="VAK72" s="120"/>
      <c r="VAL72" s="120"/>
      <c r="VAM72" s="120"/>
      <c r="VAN72" s="120"/>
      <c r="VAO72" s="120"/>
      <c r="VAP72" s="120"/>
      <c r="VAQ72" s="120"/>
      <c r="VAR72" s="120"/>
      <c r="VAS72" s="120"/>
      <c r="VAT72" s="120"/>
      <c r="VAU72" s="120"/>
      <c r="VAV72" s="120"/>
      <c r="VAW72" s="120"/>
      <c r="VAX72" s="120"/>
      <c r="VAY72" s="120"/>
      <c r="VAZ72" s="120"/>
      <c r="VBA72" s="120"/>
      <c r="VBB72" s="120"/>
      <c r="VBC72" s="120"/>
      <c r="VBD72" s="120"/>
      <c r="VBE72" s="120"/>
      <c r="VBF72" s="120"/>
      <c r="VBG72" s="120"/>
      <c r="VBH72" s="120"/>
      <c r="VBI72" s="120"/>
      <c r="VBJ72" s="120"/>
      <c r="VBK72" s="120"/>
      <c r="VBL72" s="120"/>
      <c r="VBM72" s="120"/>
      <c r="VBN72" s="120"/>
      <c r="VBO72" s="120"/>
      <c r="VBP72" s="120"/>
      <c r="VBQ72" s="120"/>
      <c r="VBR72" s="120"/>
      <c r="VBS72" s="120"/>
      <c r="VBT72" s="120"/>
      <c r="VBU72" s="120"/>
      <c r="VBV72" s="120"/>
      <c r="VBW72" s="120"/>
      <c r="VBX72" s="120"/>
      <c r="VBY72" s="120"/>
      <c r="VBZ72" s="120"/>
      <c r="VCA72" s="120"/>
      <c r="VCB72" s="120"/>
      <c r="VCC72" s="120"/>
      <c r="VCD72" s="120"/>
      <c r="VCE72" s="120"/>
      <c r="VCF72" s="120"/>
      <c r="VCG72" s="120"/>
      <c r="VCH72" s="120"/>
      <c r="VCI72" s="120"/>
      <c r="VCJ72" s="120"/>
      <c r="VCK72" s="120"/>
      <c r="VCL72" s="120"/>
      <c r="VCM72" s="120"/>
      <c r="VCN72" s="120"/>
      <c r="VCO72" s="120"/>
      <c r="VCP72" s="120"/>
      <c r="VCQ72" s="120"/>
      <c r="VCR72" s="120"/>
      <c r="VCS72" s="120"/>
      <c r="VCT72" s="120"/>
      <c r="VCU72" s="120"/>
      <c r="VCV72" s="120"/>
      <c r="VCW72" s="120"/>
      <c r="VCX72" s="120"/>
      <c r="VCY72" s="120"/>
      <c r="VCZ72" s="120"/>
      <c r="VDA72" s="120"/>
      <c r="VDB72" s="120"/>
      <c r="VDC72" s="120"/>
      <c r="VDD72" s="120"/>
      <c r="VDE72" s="120"/>
      <c r="VDF72" s="120"/>
      <c r="VDG72" s="120"/>
      <c r="VDH72" s="120"/>
      <c r="VDI72" s="120"/>
      <c r="VDJ72" s="120"/>
      <c r="VDK72" s="120"/>
      <c r="VDL72" s="120"/>
      <c r="VDM72" s="120"/>
      <c r="VDN72" s="120"/>
      <c r="VDO72" s="120"/>
      <c r="VDP72" s="120"/>
      <c r="VDQ72" s="120"/>
      <c r="VDR72" s="120"/>
      <c r="VDS72" s="120"/>
      <c r="VDT72" s="120"/>
      <c r="VDU72" s="120"/>
      <c r="VDV72" s="120"/>
      <c r="VDW72" s="120"/>
      <c r="VDX72" s="120"/>
      <c r="VDY72" s="120"/>
      <c r="VDZ72" s="120"/>
      <c r="VEA72" s="120"/>
      <c r="VEB72" s="120"/>
      <c r="VEC72" s="120"/>
      <c r="VED72" s="120"/>
      <c r="VEE72" s="120"/>
      <c r="VEF72" s="120"/>
      <c r="VEG72" s="120"/>
      <c r="VEH72" s="120"/>
      <c r="VEI72" s="120"/>
      <c r="VEJ72" s="120"/>
      <c r="VEK72" s="120"/>
      <c r="VEL72" s="120"/>
      <c r="VEM72" s="120"/>
      <c r="VEN72" s="120"/>
      <c r="VEO72" s="120"/>
      <c r="VEP72" s="120"/>
      <c r="VEQ72" s="120"/>
      <c r="VER72" s="120"/>
      <c r="VES72" s="120"/>
      <c r="VET72" s="120"/>
      <c r="VEU72" s="120"/>
      <c r="VEV72" s="120"/>
      <c r="VEW72" s="120"/>
      <c r="VEX72" s="120"/>
      <c r="VEY72" s="120"/>
      <c r="VEZ72" s="120"/>
      <c r="VFA72" s="120"/>
      <c r="VFB72" s="120"/>
      <c r="VFC72" s="120"/>
      <c r="VFD72" s="120"/>
      <c r="VFE72" s="120"/>
      <c r="VFF72" s="120"/>
      <c r="VFG72" s="120"/>
      <c r="VFH72" s="120"/>
      <c r="VFI72" s="120"/>
      <c r="VFJ72" s="120"/>
      <c r="VFK72" s="120"/>
      <c r="VFL72" s="120"/>
      <c r="VFM72" s="120"/>
      <c r="VFN72" s="120"/>
      <c r="VFO72" s="120"/>
      <c r="VFP72" s="120"/>
      <c r="VFQ72" s="120"/>
      <c r="VFR72" s="120"/>
      <c r="VFS72" s="120"/>
      <c r="VFT72" s="120"/>
      <c r="VFU72" s="120"/>
      <c r="VFV72" s="120"/>
      <c r="VFW72" s="120"/>
      <c r="VFX72" s="120"/>
      <c r="VFY72" s="120"/>
      <c r="VFZ72" s="120"/>
      <c r="VGA72" s="120"/>
      <c r="VGB72" s="120"/>
      <c r="VGC72" s="120"/>
      <c r="VGD72" s="120"/>
      <c r="VGE72" s="120"/>
      <c r="VGF72" s="120"/>
      <c r="VGG72" s="120"/>
      <c r="VGH72" s="120"/>
      <c r="VGI72" s="120"/>
      <c r="VGJ72" s="120"/>
      <c r="VGK72" s="120"/>
      <c r="VGL72" s="120"/>
      <c r="VGM72" s="120"/>
      <c r="VGN72" s="120"/>
      <c r="VGO72" s="120"/>
      <c r="VGP72" s="120"/>
      <c r="VGQ72" s="120"/>
      <c r="VGR72" s="120"/>
      <c r="VGS72" s="120"/>
      <c r="VGT72" s="120"/>
      <c r="VGU72" s="120"/>
      <c r="VGV72" s="120"/>
      <c r="VGW72" s="120"/>
      <c r="VGX72" s="120"/>
      <c r="VGY72" s="120"/>
      <c r="VGZ72" s="120"/>
      <c r="VHA72" s="120"/>
      <c r="VHB72" s="120"/>
      <c r="VHC72" s="120"/>
      <c r="VHD72" s="120"/>
      <c r="VHE72" s="120"/>
      <c r="VHF72" s="120"/>
      <c r="VHG72" s="120"/>
      <c r="VHH72" s="120"/>
      <c r="VHI72" s="120"/>
      <c r="VHJ72" s="120"/>
      <c r="VHK72" s="120"/>
      <c r="VHL72" s="120"/>
      <c r="VHM72" s="120"/>
      <c r="VHN72" s="120"/>
      <c r="VHO72" s="120"/>
      <c r="VHP72" s="120"/>
      <c r="VHQ72" s="120"/>
      <c r="VHR72" s="120"/>
      <c r="VHS72" s="120"/>
      <c r="VHT72" s="120"/>
      <c r="VHU72" s="120"/>
      <c r="VHV72" s="120"/>
      <c r="VHW72" s="120"/>
      <c r="VHX72" s="120"/>
      <c r="VHY72" s="120"/>
      <c r="VHZ72" s="120"/>
      <c r="VIA72" s="120"/>
      <c r="VIB72" s="120"/>
      <c r="VIC72" s="120"/>
      <c r="VID72" s="120"/>
      <c r="VIE72" s="120"/>
      <c r="VIF72" s="120"/>
      <c r="VIG72" s="120"/>
      <c r="VIH72" s="120"/>
      <c r="VII72" s="120"/>
      <c r="VIJ72" s="120"/>
      <c r="VIK72" s="120"/>
      <c r="VIL72" s="120"/>
      <c r="VIM72" s="120"/>
      <c r="VIN72" s="120"/>
      <c r="VIO72" s="120"/>
      <c r="VIP72" s="120"/>
      <c r="VIQ72" s="120"/>
      <c r="VIR72" s="120"/>
      <c r="VIS72" s="120"/>
      <c r="VIT72" s="120"/>
      <c r="VIU72" s="120"/>
      <c r="VIV72" s="120"/>
      <c r="VIW72" s="120"/>
      <c r="VIX72" s="120"/>
      <c r="VIY72" s="120"/>
      <c r="VIZ72" s="120"/>
      <c r="VJA72" s="120"/>
      <c r="VJB72" s="120"/>
      <c r="VJC72" s="120"/>
      <c r="VJD72" s="120"/>
      <c r="VJE72" s="120"/>
      <c r="VJF72" s="120"/>
      <c r="VJG72" s="120"/>
      <c r="VJH72" s="120"/>
      <c r="VJI72" s="120"/>
      <c r="VJJ72" s="120"/>
      <c r="VJK72" s="120"/>
      <c r="VJL72" s="120"/>
      <c r="VJM72" s="120"/>
      <c r="VJN72" s="120"/>
      <c r="VJO72" s="120"/>
      <c r="VJP72" s="120"/>
      <c r="VJQ72" s="120"/>
      <c r="VJR72" s="120"/>
      <c r="VJS72" s="120"/>
      <c r="VJT72" s="120"/>
      <c r="VJU72" s="120"/>
      <c r="VJV72" s="120"/>
      <c r="VJW72" s="120"/>
      <c r="VJX72" s="120"/>
      <c r="VJY72" s="120"/>
      <c r="VJZ72" s="120"/>
      <c r="VKA72" s="120"/>
      <c r="VKB72" s="120"/>
      <c r="VKC72" s="120"/>
      <c r="VKD72" s="120"/>
      <c r="VKE72" s="120"/>
      <c r="VKF72" s="120"/>
      <c r="VKG72" s="120"/>
      <c r="VKH72" s="120"/>
      <c r="VKI72" s="120"/>
      <c r="VKJ72" s="120"/>
      <c r="VKK72" s="120"/>
      <c r="VKL72" s="120"/>
      <c r="VKM72" s="120"/>
      <c r="VKN72" s="120"/>
      <c r="VKO72" s="120"/>
      <c r="VKP72" s="120"/>
      <c r="VKQ72" s="120"/>
      <c r="VKR72" s="120"/>
      <c r="VKS72" s="120"/>
      <c r="VKT72" s="120"/>
      <c r="VKU72" s="120"/>
      <c r="VKV72" s="120"/>
      <c r="VKW72" s="120"/>
      <c r="VKX72" s="120"/>
      <c r="VKY72" s="120"/>
      <c r="VKZ72" s="120"/>
      <c r="VLA72" s="120"/>
      <c r="VLB72" s="120"/>
      <c r="VLC72" s="120"/>
      <c r="VLD72" s="120"/>
      <c r="VLE72" s="120"/>
      <c r="VLF72" s="120"/>
      <c r="VLG72" s="120"/>
      <c r="VLH72" s="120"/>
      <c r="VLI72" s="120"/>
      <c r="VLJ72" s="120"/>
      <c r="VLK72" s="120"/>
      <c r="VLL72" s="120"/>
      <c r="VLM72" s="120"/>
      <c r="VLN72" s="120"/>
      <c r="VLO72" s="120"/>
      <c r="VLP72" s="120"/>
      <c r="VLQ72" s="120"/>
      <c r="VLR72" s="120"/>
      <c r="VLS72" s="120"/>
      <c r="VLT72" s="120"/>
      <c r="VLU72" s="120"/>
      <c r="VLV72" s="120"/>
      <c r="VLW72" s="120"/>
      <c r="VLX72" s="120"/>
      <c r="VLY72" s="120"/>
      <c r="VLZ72" s="120"/>
      <c r="VMA72" s="120"/>
      <c r="VMB72" s="120"/>
      <c r="VMC72" s="120"/>
      <c r="VMD72" s="120"/>
      <c r="VME72" s="120"/>
      <c r="VMF72" s="120"/>
      <c r="VMG72" s="120"/>
      <c r="VMH72" s="120"/>
      <c r="VMI72" s="120"/>
      <c r="VMJ72" s="120"/>
      <c r="VMK72" s="120"/>
      <c r="VML72" s="120"/>
      <c r="VMM72" s="120"/>
      <c r="VMN72" s="120"/>
      <c r="VMO72" s="120"/>
      <c r="VMP72" s="120"/>
      <c r="VMQ72" s="120"/>
      <c r="VMR72" s="120"/>
      <c r="VMS72" s="120"/>
      <c r="VMT72" s="120"/>
      <c r="VMU72" s="120"/>
      <c r="VMV72" s="120"/>
      <c r="VMW72" s="120"/>
      <c r="VMX72" s="120"/>
      <c r="VMY72" s="120"/>
      <c r="VMZ72" s="120"/>
      <c r="VNA72" s="120"/>
      <c r="VNB72" s="120"/>
      <c r="VNC72" s="120"/>
      <c r="VND72" s="120"/>
      <c r="VNE72" s="120"/>
      <c r="VNF72" s="120"/>
      <c r="VNG72" s="120"/>
      <c r="VNH72" s="120"/>
      <c r="VNI72" s="120"/>
      <c r="VNJ72" s="120"/>
      <c r="VNK72" s="120"/>
      <c r="VNL72" s="120"/>
      <c r="VNM72" s="120"/>
      <c r="VNN72" s="120"/>
      <c r="VNO72" s="120"/>
      <c r="VNP72" s="120"/>
      <c r="VNQ72" s="120"/>
      <c r="VNR72" s="120"/>
      <c r="VNS72" s="120"/>
      <c r="VNT72" s="120"/>
      <c r="VNU72" s="120"/>
      <c r="VNV72" s="120"/>
      <c r="VNW72" s="120"/>
      <c r="VNX72" s="120"/>
      <c r="VNY72" s="120"/>
      <c r="VNZ72" s="120"/>
      <c r="VOA72" s="120"/>
      <c r="VOB72" s="120"/>
      <c r="VOC72" s="120"/>
      <c r="VOD72" s="120"/>
      <c r="VOE72" s="120"/>
      <c r="VOF72" s="120"/>
      <c r="VOG72" s="120"/>
      <c r="VOH72" s="120"/>
      <c r="VOI72" s="120"/>
      <c r="VOJ72" s="120"/>
      <c r="VOK72" s="120"/>
      <c r="VOL72" s="120"/>
      <c r="VOM72" s="120"/>
      <c r="VON72" s="120"/>
      <c r="VOO72" s="120"/>
      <c r="VOP72" s="120"/>
      <c r="VOQ72" s="120"/>
      <c r="VOR72" s="120"/>
      <c r="VOS72" s="120"/>
      <c r="VOT72" s="120"/>
      <c r="VOU72" s="120"/>
      <c r="VOV72" s="120"/>
      <c r="VOW72" s="120"/>
      <c r="VOX72" s="120"/>
      <c r="VOY72" s="120"/>
      <c r="VOZ72" s="120"/>
      <c r="VPA72" s="120"/>
      <c r="VPB72" s="120"/>
      <c r="VPC72" s="120"/>
      <c r="VPD72" s="120"/>
      <c r="VPE72" s="120"/>
      <c r="VPF72" s="120"/>
      <c r="VPG72" s="120"/>
      <c r="VPH72" s="120"/>
      <c r="VPI72" s="120"/>
      <c r="VPJ72" s="120"/>
      <c r="VPK72" s="120"/>
      <c r="VPL72" s="120"/>
      <c r="VPM72" s="120"/>
      <c r="VPN72" s="120"/>
      <c r="VPO72" s="120"/>
      <c r="VPP72" s="120"/>
      <c r="VPQ72" s="120"/>
      <c r="VPR72" s="120"/>
      <c r="VPS72" s="120"/>
      <c r="VPT72" s="120"/>
      <c r="VPU72" s="120"/>
      <c r="VPV72" s="120"/>
      <c r="VPW72" s="120"/>
      <c r="VPX72" s="120"/>
      <c r="VPY72" s="120"/>
      <c r="VPZ72" s="120"/>
      <c r="VQA72" s="120"/>
      <c r="VQB72" s="120"/>
      <c r="VQC72" s="120"/>
      <c r="VQD72" s="120"/>
      <c r="VQE72" s="120"/>
      <c r="VQF72" s="120"/>
      <c r="VQG72" s="120"/>
      <c r="VQH72" s="120"/>
      <c r="VQI72" s="120"/>
      <c r="VQJ72" s="120"/>
      <c r="VQK72" s="120"/>
      <c r="VQL72" s="120"/>
      <c r="VQM72" s="120"/>
      <c r="VQN72" s="120"/>
      <c r="VQO72" s="120"/>
      <c r="VQP72" s="120"/>
      <c r="VQQ72" s="120"/>
      <c r="VQR72" s="120"/>
      <c r="VQS72" s="120"/>
      <c r="VQT72" s="120"/>
      <c r="VQU72" s="120"/>
      <c r="VQV72" s="120"/>
      <c r="VQW72" s="120"/>
      <c r="VQX72" s="120"/>
      <c r="VQY72" s="120"/>
      <c r="VQZ72" s="120"/>
      <c r="VRA72" s="120"/>
      <c r="VRB72" s="120"/>
      <c r="VRC72" s="120"/>
      <c r="VRD72" s="120"/>
      <c r="VRE72" s="120"/>
      <c r="VRF72" s="120"/>
      <c r="VRG72" s="120"/>
      <c r="VRH72" s="120"/>
      <c r="VRI72" s="120"/>
      <c r="VRJ72" s="120"/>
      <c r="VRK72" s="120"/>
      <c r="VRL72" s="120"/>
      <c r="VRM72" s="120"/>
      <c r="VRN72" s="120"/>
      <c r="VRO72" s="120"/>
      <c r="VRP72" s="120"/>
      <c r="VRQ72" s="120"/>
      <c r="VRR72" s="120"/>
      <c r="VRS72" s="120"/>
      <c r="VRT72" s="120"/>
      <c r="VRU72" s="120"/>
      <c r="VRV72" s="120"/>
      <c r="VRW72" s="120"/>
      <c r="VRX72" s="120"/>
      <c r="VRY72" s="120"/>
      <c r="VRZ72" s="120"/>
      <c r="VSA72" s="120"/>
      <c r="VSB72" s="120"/>
      <c r="VSC72" s="120"/>
      <c r="VSD72" s="120"/>
      <c r="VSE72" s="120"/>
      <c r="VSF72" s="120"/>
      <c r="VSG72" s="120"/>
      <c r="VSH72" s="120"/>
      <c r="VSI72" s="120"/>
      <c r="VSJ72" s="120"/>
      <c r="VSK72" s="120"/>
      <c r="VSL72" s="120"/>
      <c r="VSM72" s="120"/>
      <c r="VSN72" s="120"/>
      <c r="VSO72" s="120"/>
      <c r="VSP72" s="120"/>
      <c r="VSQ72" s="120"/>
      <c r="VSR72" s="120"/>
      <c r="VSS72" s="120"/>
      <c r="VST72" s="120"/>
      <c r="VSU72" s="120"/>
      <c r="VSV72" s="120"/>
      <c r="VSW72" s="120"/>
      <c r="VSX72" s="120"/>
      <c r="VSY72" s="120"/>
      <c r="VSZ72" s="120"/>
      <c r="VTA72" s="120"/>
      <c r="VTB72" s="120"/>
      <c r="VTC72" s="120"/>
      <c r="VTD72" s="120"/>
      <c r="VTE72" s="120"/>
      <c r="VTF72" s="120"/>
      <c r="VTG72" s="120"/>
      <c r="VTH72" s="120"/>
      <c r="VTI72" s="120"/>
      <c r="VTJ72" s="120"/>
      <c r="VTK72" s="120"/>
      <c r="VTL72" s="120"/>
      <c r="VTM72" s="120"/>
      <c r="VTN72" s="120"/>
      <c r="VTO72" s="120"/>
      <c r="VTP72" s="120"/>
      <c r="VTQ72" s="120"/>
      <c r="VTR72" s="120"/>
      <c r="VTS72" s="120"/>
      <c r="VTT72" s="120"/>
      <c r="VTU72" s="120"/>
      <c r="VTV72" s="120"/>
      <c r="VTW72" s="120"/>
      <c r="VTX72" s="120"/>
      <c r="VTY72" s="120"/>
      <c r="VTZ72" s="120"/>
      <c r="VUA72" s="120"/>
      <c r="VUB72" s="120"/>
      <c r="VUC72" s="120"/>
      <c r="VUD72" s="120"/>
      <c r="VUE72" s="120"/>
      <c r="VUF72" s="120"/>
      <c r="VUG72" s="120"/>
      <c r="VUH72" s="120"/>
      <c r="VUI72" s="120"/>
      <c r="VUJ72" s="120"/>
      <c r="VUK72" s="120"/>
      <c r="VUL72" s="120"/>
      <c r="VUM72" s="120"/>
      <c r="VUN72" s="120"/>
      <c r="VUO72" s="120"/>
      <c r="VUP72" s="120"/>
      <c r="VUQ72" s="120"/>
      <c r="VUR72" s="120"/>
      <c r="VUS72" s="120"/>
      <c r="VUT72" s="120"/>
      <c r="VUU72" s="120"/>
      <c r="VUV72" s="120"/>
      <c r="VUW72" s="120"/>
      <c r="VUX72" s="120"/>
      <c r="VUY72" s="120"/>
      <c r="VUZ72" s="120"/>
      <c r="VVA72" s="120"/>
      <c r="VVB72" s="120"/>
      <c r="VVC72" s="120"/>
      <c r="VVD72" s="120"/>
      <c r="VVE72" s="120"/>
      <c r="VVF72" s="120"/>
      <c r="VVG72" s="120"/>
      <c r="VVH72" s="120"/>
      <c r="VVI72" s="120"/>
      <c r="VVJ72" s="120"/>
      <c r="VVK72" s="120"/>
      <c r="VVL72" s="120"/>
      <c r="VVM72" s="120"/>
      <c r="VVN72" s="120"/>
      <c r="VVO72" s="120"/>
      <c r="VVP72" s="120"/>
      <c r="VVQ72" s="120"/>
      <c r="VVR72" s="120"/>
      <c r="VVS72" s="120"/>
      <c r="VVT72" s="120"/>
      <c r="VVU72" s="120"/>
      <c r="VVV72" s="120"/>
      <c r="VVW72" s="120"/>
      <c r="VVX72" s="120"/>
      <c r="VVY72" s="120"/>
      <c r="VVZ72" s="120"/>
      <c r="VWA72" s="120"/>
      <c r="VWB72" s="120"/>
      <c r="VWC72" s="120"/>
      <c r="VWD72" s="120"/>
      <c r="VWE72" s="120"/>
      <c r="VWF72" s="120"/>
      <c r="VWG72" s="120"/>
      <c r="VWH72" s="120"/>
      <c r="VWI72" s="120"/>
      <c r="VWJ72" s="120"/>
      <c r="VWK72" s="120"/>
      <c r="VWL72" s="120"/>
      <c r="VWM72" s="120"/>
      <c r="VWN72" s="120"/>
      <c r="VWO72" s="120"/>
      <c r="VWP72" s="120"/>
      <c r="VWQ72" s="120"/>
      <c r="VWR72" s="120"/>
      <c r="VWS72" s="120"/>
      <c r="VWT72" s="120"/>
      <c r="VWU72" s="120"/>
      <c r="VWV72" s="120"/>
      <c r="VWW72" s="120"/>
      <c r="VWX72" s="120"/>
      <c r="VWY72" s="120"/>
      <c r="VWZ72" s="120"/>
      <c r="VXA72" s="120"/>
      <c r="VXB72" s="120"/>
      <c r="VXC72" s="120"/>
      <c r="VXD72" s="120"/>
      <c r="VXE72" s="120"/>
      <c r="VXF72" s="120"/>
      <c r="VXG72" s="120"/>
      <c r="VXH72" s="120"/>
      <c r="VXI72" s="120"/>
      <c r="VXJ72" s="120"/>
      <c r="VXK72" s="120"/>
      <c r="VXL72" s="120"/>
      <c r="VXM72" s="120"/>
      <c r="VXN72" s="120"/>
      <c r="VXO72" s="120"/>
      <c r="VXP72" s="120"/>
      <c r="VXQ72" s="120"/>
      <c r="VXR72" s="120"/>
      <c r="VXS72" s="120"/>
      <c r="VXT72" s="120"/>
      <c r="VXU72" s="120"/>
      <c r="VXV72" s="120"/>
      <c r="VXW72" s="120"/>
      <c r="VXX72" s="120"/>
      <c r="VXY72" s="120"/>
      <c r="VXZ72" s="120"/>
      <c r="VYA72" s="120"/>
      <c r="VYB72" s="120"/>
      <c r="VYC72" s="120"/>
      <c r="VYD72" s="120"/>
      <c r="VYE72" s="120"/>
      <c r="VYF72" s="120"/>
      <c r="VYG72" s="120"/>
      <c r="VYH72" s="120"/>
      <c r="VYI72" s="120"/>
      <c r="VYJ72" s="120"/>
      <c r="VYK72" s="120"/>
      <c r="VYL72" s="120"/>
      <c r="VYM72" s="120"/>
      <c r="VYN72" s="120"/>
      <c r="VYO72" s="120"/>
      <c r="VYP72" s="120"/>
      <c r="VYQ72" s="120"/>
      <c r="VYR72" s="120"/>
      <c r="VYS72" s="120"/>
      <c r="VYT72" s="120"/>
      <c r="VYU72" s="120"/>
      <c r="VYV72" s="120"/>
      <c r="VYW72" s="120"/>
      <c r="VYX72" s="120"/>
      <c r="VYY72" s="120"/>
      <c r="VYZ72" s="120"/>
      <c r="VZA72" s="120"/>
      <c r="VZB72" s="120"/>
      <c r="VZC72" s="120"/>
      <c r="VZD72" s="120"/>
      <c r="VZE72" s="120"/>
      <c r="VZF72" s="120"/>
      <c r="VZG72" s="120"/>
      <c r="VZH72" s="120"/>
      <c r="VZI72" s="120"/>
      <c r="VZJ72" s="120"/>
      <c r="VZK72" s="120"/>
      <c r="VZL72" s="120"/>
      <c r="VZM72" s="120"/>
      <c r="VZN72" s="120"/>
      <c r="VZO72" s="120"/>
      <c r="VZP72" s="120"/>
      <c r="VZQ72" s="120"/>
      <c r="VZR72" s="120"/>
      <c r="VZS72" s="120"/>
      <c r="VZT72" s="120"/>
      <c r="VZU72" s="120"/>
      <c r="VZV72" s="120"/>
      <c r="VZW72" s="120"/>
      <c r="VZX72" s="120"/>
      <c r="VZY72" s="120"/>
      <c r="VZZ72" s="120"/>
      <c r="WAA72" s="120"/>
      <c r="WAB72" s="120"/>
      <c r="WAC72" s="120"/>
      <c r="WAD72" s="120"/>
      <c r="WAE72" s="120"/>
      <c r="WAF72" s="120"/>
      <c r="WAG72" s="120"/>
      <c r="WAH72" s="120"/>
      <c r="WAI72" s="120"/>
      <c r="WAJ72" s="120"/>
      <c r="WAK72" s="120"/>
      <c r="WAL72" s="120"/>
      <c r="WAM72" s="120"/>
      <c r="WAN72" s="120"/>
      <c r="WAO72" s="120"/>
      <c r="WAP72" s="120"/>
      <c r="WAQ72" s="120"/>
      <c r="WAR72" s="120"/>
      <c r="WAS72" s="120"/>
      <c r="WAT72" s="120"/>
      <c r="WAU72" s="120"/>
      <c r="WAV72" s="120"/>
      <c r="WAW72" s="120"/>
      <c r="WAX72" s="120"/>
      <c r="WAY72" s="120"/>
      <c r="WAZ72" s="120"/>
      <c r="WBA72" s="120"/>
      <c r="WBB72" s="120"/>
      <c r="WBC72" s="120"/>
      <c r="WBD72" s="120"/>
      <c r="WBE72" s="120"/>
      <c r="WBF72" s="120"/>
      <c r="WBG72" s="120"/>
      <c r="WBH72" s="120"/>
      <c r="WBI72" s="120"/>
      <c r="WBJ72" s="120"/>
      <c r="WBK72" s="120"/>
      <c r="WBL72" s="120"/>
      <c r="WBM72" s="120"/>
      <c r="WBN72" s="120"/>
      <c r="WBO72" s="120"/>
      <c r="WBP72" s="120"/>
      <c r="WBQ72" s="120"/>
      <c r="WBR72" s="120"/>
      <c r="WBS72" s="120"/>
      <c r="WBT72" s="120"/>
      <c r="WBU72" s="120"/>
      <c r="WBV72" s="120"/>
      <c r="WBW72" s="120"/>
      <c r="WBX72" s="120"/>
      <c r="WBY72" s="120"/>
      <c r="WBZ72" s="120"/>
      <c r="WCA72" s="120"/>
      <c r="WCB72" s="120"/>
      <c r="WCC72" s="120"/>
      <c r="WCD72" s="120"/>
      <c r="WCE72" s="120"/>
      <c r="WCF72" s="120"/>
      <c r="WCG72" s="120"/>
      <c r="WCH72" s="120"/>
      <c r="WCI72" s="120"/>
      <c r="WCJ72" s="120"/>
      <c r="WCK72" s="120"/>
      <c r="WCL72" s="120"/>
      <c r="WCM72" s="120"/>
      <c r="WCN72" s="120"/>
      <c r="WCO72" s="120"/>
      <c r="WCP72" s="120"/>
      <c r="WCQ72" s="120"/>
      <c r="WCR72" s="120"/>
      <c r="WCS72" s="120"/>
      <c r="WCT72" s="120"/>
      <c r="WCU72" s="120"/>
      <c r="WCV72" s="120"/>
      <c r="WCW72" s="120"/>
      <c r="WCX72" s="120"/>
      <c r="WCY72" s="120"/>
      <c r="WCZ72" s="120"/>
      <c r="WDA72" s="120"/>
      <c r="WDB72" s="120"/>
      <c r="WDC72" s="120"/>
      <c r="WDD72" s="120"/>
      <c r="WDE72" s="120"/>
      <c r="WDF72" s="120"/>
      <c r="WDG72" s="120"/>
      <c r="WDH72" s="120"/>
      <c r="WDI72" s="120"/>
      <c r="WDJ72" s="120"/>
      <c r="WDK72" s="120"/>
      <c r="WDL72" s="120"/>
      <c r="WDM72" s="120"/>
      <c r="WDN72" s="120"/>
      <c r="WDO72" s="120"/>
      <c r="WDP72" s="120"/>
      <c r="WDQ72" s="120"/>
      <c r="WDR72" s="120"/>
      <c r="WDS72" s="120"/>
      <c r="WDT72" s="120"/>
      <c r="WDU72" s="120"/>
      <c r="WDV72" s="120"/>
      <c r="WDW72" s="120"/>
      <c r="WDX72" s="120"/>
      <c r="WDY72" s="120"/>
      <c r="WDZ72" s="120"/>
      <c r="WEA72" s="120"/>
      <c r="WEB72" s="120"/>
      <c r="WEC72" s="120"/>
      <c r="WED72" s="120"/>
      <c r="WEE72" s="120"/>
      <c r="WEF72" s="120"/>
      <c r="WEG72" s="120"/>
      <c r="WEH72" s="120"/>
      <c r="WEI72" s="120"/>
      <c r="WEJ72" s="120"/>
      <c r="WEK72" s="120"/>
      <c r="WEL72" s="120"/>
      <c r="WEM72" s="120"/>
      <c r="WEN72" s="120"/>
      <c r="WEO72" s="120"/>
      <c r="WEP72" s="120"/>
      <c r="WEQ72" s="120"/>
      <c r="WER72" s="120"/>
      <c r="WES72" s="120"/>
      <c r="WET72" s="120"/>
      <c r="WEU72" s="120"/>
      <c r="WEV72" s="120"/>
      <c r="WEW72" s="120"/>
      <c r="WEX72" s="120"/>
      <c r="WEY72" s="120"/>
      <c r="WEZ72" s="120"/>
      <c r="WFA72" s="120"/>
      <c r="WFB72" s="120"/>
      <c r="WFC72" s="120"/>
      <c r="WFD72" s="120"/>
      <c r="WFE72" s="120"/>
      <c r="WFF72" s="120"/>
      <c r="WFG72" s="120"/>
      <c r="WFH72" s="120"/>
      <c r="WFI72" s="120"/>
      <c r="WFJ72" s="120"/>
      <c r="WFK72" s="120"/>
      <c r="WFL72" s="120"/>
      <c r="WFM72" s="120"/>
      <c r="WFN72" s="120"/>
      <c r="WFO72" s="120"/>
      <c r="WFP72" s="120"/>
      <c r="WFQ72" s="120"/>
      <c r="WFR72" s="120"/>
      <c r="WFS72" s="120"/>
      <c r="WFT72" s="120"/>
      <c r="WFU72" s="120"/>
      <c r="WFV72" s="120"/>
      <c r="WFW72" s="120"/>
      <c r="WFX72" s="120"/>
      <c r="WFY72" s="120"/>
      <c r="WFZ72" s="120"/>
      <c r="WGA72" s="120"/>
      <c r="WGB72" s="120"/>
      <c r="WGC72" s="120"/>
      <c r="WGD72" s="120"/>
      <c r="WGE72" s="120"/>
      <c r="WGF72" s="120"/>
      <c r="WGG72" s="120"/>
      <c r="WGH72" s="120"/>
      <c r="WGI72" s="120"/>
      <c r="WGJ72" s="120"/>
      <c r="WGK72" s="120"/>
      <c r="WGL72" s="120"/>
      <c r="WGM72" s="120"/>
      <c r="WGN72" s="120"/>
      <c r="WGO72" s="120"/>
      <c r="WGP72" s="120"/>
      <c r="WGQ72" s="120"/>
      <c r="WGR72" s="120"/>
      <c r="WGS72" s="120"/>
      <c r="WGT72" s="120"/>
      <c r="WGU72" s="120"/>
      <c r="WGV72" s="120"/>
      <c r="WGW72" s="120"/>
      <c r="WGX72" s="120"/>
      <c r="WGY72" s="120"/>
      <c r="WGZ72" s="120"/>
      <c r="WHA72" s="120"/>
      <c r="WHB72" s="120"/>
      <c r="WHC72" s="120"/>
      <c r="WHD72" s="120"/>
      <c r="WHE72" s="120"/>
      <c r="WHF72" s="120"/>
      <c r="WHG72" s="120"/>
      <c r="WHH72" s="120"/>
      <c r="WHI72" s="120"/>
      <c r="WHJ72" s="120"/>
      <c r="WHK72" s="120"/>
      <c r="WHL72" s="120"/>
      <c r="WHM72" s="120"/>
      <c r="WHN72" s="120"/>
      <c r="WHO72" s="120"/>
      <c r="WHP72" s="120"/>
      <c r="WHQ72" s="120"/>
      <c r="WHR72" s="120"/>
      <c r="WHS72" s="120"/>
      <c r="WHT72" s="120"/>
      <c r="WHU72" s="120"/>
      <c r="WHV72" s="120"/>
      <c r="WHW72" s="120"/>
      <c r="WHX72" s="120"/>
      <c r="WHY72" s="120"/>
      <c r="WHZ72" s="120"/>
      <c r="WIA72" s="120"/>
      <c r="WIB72" s="120"/>
      <c r="WIC72" s="120"/>
      <c r="WID72" s="120"/>
      <c r="WIE72" s="120"/>
      <c r="WIF72" s="120"/>
      <c r="WIG72" s="120"/>
      <c r="WIH72" s="120"/>
      <c r="WII72" s="120"/>
      <c r="WIJ72" s="120"/>
      <c r="WIK72" s="120"/>
      <c r="WIL72" s="120"/>
      <c r="WIM72" s="120"/>
      <c r="WIN72" s="120"/>
      <c r="WIO72" s="120"/>
      <c r="WIP72" s="120"/>
      <c r="WIQ72" s="120"/>
      <c r="WIR72" s="120"/>
      <c r="WIS72" s="120"/>
      <c r="WIT72" s="120"/>
      <c r="WIU72" s="120"/>
      <c r="WIV72" s="120"/>
      <c r="WIW72" s="120"/>
      <c r="WIX72" s="120"/>
      <c r="WIY72" s="120"/>
      <c r="WIZ72" s="120"/>
      <c r="WJA72" s="120"/>
      <c r="WJB72" s="120"/>
      <c r="WJC72" s="120"/>
      <c r="WJD72" s="120"/>
      <c r="WJE72" s="120"/>
      <c r="WJF72" s="120"/>
      <c r="WJG72" s="120"/>
      <c r="WJH72" s="120"/>
      <c r="WJI72" s="120"/>
      <c r="WJJ72" s="120"/>
      <c r="WJK72" s="120"/>
      <c r="WJL72" s="120"/>
      <c r="WJM72" s="120"/>
      <c r="WJN72" s="120"/>
      <c r="WJO72" s="120"/>
      <c r="WJP72" s="120"/>
      <c r="WJQ72" s="120"/>
      <c r="WJR72" s="120"/>
      <c r="WJS72" s="120"/>
      <c r="WJT72" s="120"/>
      <c r="WJU72" s="120"/>
      <c r="WJV72" s="120"/>
      <c r="WJW72" s="120"/>
      <c r="WJX72" s="120"/>
      <c r="WJY72" s="120"/>
      <c r="WJZ72" s="120"/>
      <c r="WKA72" s="120"/>
      <c r="WKB72" s="120"/>
      <c r="WKC72" s="120"/>
      <c r="WKD72" s="120"/>
      <c r="WKE72" s="120"/>
      <c r="WKF72" s="120"/>
      <c r="WKG72" s="120"/>
      <c r="WKH72" s="120"/>
      <c r="WKI72" s="120"/>
      <c r="WKJ72" s="120"/>
      <c r="WKK72" s="120"/>
      <c r="WKL72" s="120"/>
      <c r="WKM72" s="120"/>
      <c r="WKN72" s="120"/>
      <c r="WKO72" s="120"/>
      <c r="WKP72" s="120"/>
      <c r="WKQ72" s="120"/>
      <c r="WKR72" s="120"/>
      <c r="WKS72" s="120"/>
      <c r="WKT72" s="120"/>
      <c r="WKU72" s="120"/>
      <c r="WKV72" s="120"/>
      <c r="WKW72" s="120"/>
      <c r="WKX72" s="120"/>
      <c r="WKY72" s="120"/>
      <c r="WKZ72" s="120"/>
      <c r="WLA72" s="120"/>
      <c r="WLB72" s="120"/>
      <c r="WLC72" s="120"/>
      <c r="WLD72" s="120"/>
      <c r="WLE72" s="120"/>
      <c r="WLF72" s="120"/>
      <c r="WLG72" s="120"/>
      <c r="WLH72" s="120"/>
      <c r="WLI72" s="120"/>
      <c r="WLJ72" s="120"/>
      <c r="WLK72" s="120"/>
      <c r="WLL72" s="120"/>
      <c r="WLM72" s="120"/>
      <c r="WLN72" s="120"/>
      <c r="WLO72" s="120"/>
      <c r="WLP72" s="120"/>
      <c r="WLQ72" s="120"/>
      <c r="WLR72" s="120"/>
      <c r="WLS72" s="120"/>
      <c r="WLT72" s="120"/>
      <c r="WLU72" s="120"/>
      <c r="WLV72" s="120"/>
      <c r="WLW72" s="120"/>
      <c r="WLX72" s="120"/>
      <c r="WLY72" s="120"/>
      <c r="WLZ72" s="120"/>
      <c r="WMA72" s="120"/>
      <c r="WMB72" s="120"/>
      <c r="WMC72" s="120"/>
      <c r="WMD72" s="120"/>
      <c r="WME72" s="120"/>
      <c r="WMF72" s="120"/>
      <c r="WMG72" s="120"/>
      <c r="WMH72" s="120"/>
      <c r="WMI72" s="120"/>
      <c r="WMJ72" s="120"/>
      <c r="WMK72" s="120"/>
      <c r="WML72" s="120"/>
      <c r="WMM72" s="120"/>
      <c r="WMN72" s="120"/>
      <c r="WMO72" s="120"/>
      <c r="WMP72" s="120"/>
      <c r="WMQ72" s="120"/>
      <c r="WMR72" s="120"/>
      <c r="WMS72" s="120"/>
      <c r="WMT72" s="120"/>
      <c r="WMU72" s="120"/>
      <c r="WMV72" s="120"/>
      <c r="WMW72" s="120"/>
      <c r="WMX72" s="120"/>
      <c r="WMY72" s="120"/>
      <c r="WMZ72" s="120"/>
      <c r="WNA72" s="120"/>
      <c r="WNB72" s="120"/>
      <c r="WNC72" s="120"/>
      <c r="WND72" s="120"/>
      <c r="WNE72" s="120"/>
      <c r="WNF72" s="120"/>
      <c r="WNG72" s="120"/>
      <c r="WNH72" s="120"/>
      <c r="WNI72" s="120"/>
      <c r="WNJ72" s="120"/>
      <c r="WNK72" s="120"/>
      <c r="WNL72" s="120"/>
      <c r="WNM72" s="120"/>
      <c r="WNN72" s="120"/>
      <c r="WNO72" s="120"/>
      <c r="WNP72" s="120"/>
      <c r="WNQ72" s="120"/>
      <c r="WNR72" s="120"/>
      <c r="WNS72" s="120"/>
      <c r="WNT72" s="120"/>
      <c r="WNU72" s="120"/>
      <c r="WNV72" s="120"/>
      <c r="WNW72" s="120"/>
      <c r="WNX72" s="120"/>
      <c r="WNY72" s="120"/>
      <c r="WNZ72" s="120"/>
      <c r="WOA72" s="120"/>
      <c r="WOB72" s="120"/>
      <c r="WOC72" s="120"/>
      <c r="WOD72" s="120"/>
      <c r="WOE72" s="120"/>
      <c r="WOF72" s="120"/>
      <c r="WOG72" s="120"/>
      <c r="WOH72" s="120"/>
      <c r="WOI72" s="120"/>
      <c r="WOJ72" s="120"/>
      <c r="WOK72" s="120"/>
      <c r="WOL72" s="120"/>
      <c r="WOM72" s="120"/>
      <c r="WON72" s="120"/>
      <c r="WOO72" s="120"/>
      <c r="WOP72" s="120"/>
      <c r="WOQ72" s="120"/>
      <c r="WOR72" s="120"/>
      <c r="WOS72" s="120"/>
      <c r="WOT72" s="120"/>
      <c r="WOU72" s="120"/>
      <c r="WOV72" s="120"/>
      <c r="WOW72" s="120"/>
      <c r="WOX72" s="120"/>
      <c r="WOY72" s="120"/>
      <c r="WOZ72" s="120"/>
      <c r="WPA72" s="120"/>
      <c r="WPB72" s="120"/>
      <c r="WPC72" s="120"/>
      <c r="WPD72" s="120"/>
      <c r="WPE72" s="120"/>
      <c r="WPF72" s="120"/>
      <c r="WPG72" s="120"/>
      <c r="WPH72" s="120"/>
      <c r="WPI72" s="120"/>
      <c r="WPJ72" s="120"/>
      <c r="WPK72" s="120"/>
      <c r="WPL72" s="120"/>
      <c r="WPM72" s="120"/>
      <c r="WPN72" s="120"/>
      <c r="WPO72" s="120"/>
      <c r="WPP72" s="120"/>
      <c r="WPQ72" s="120"/>
      <c r="WPR72" s="120"/>
      <c r="WPS72" s="120"/>
      <c r="WPT72" s="120"/>
      <c r="WPU72" s="120"/>
      <c r="WPV72" s="120"/>
      <c r="WPW72" s="120"/>
      <c r="WPX72" s="120"/>
      <c r="WPY72" s="120"/>
      <c r="WPZ72" s="120"/>
      <c r="WQA72" s="120"/>
      <c r="WQB72" s="120"/>
      <c r="WQC72" s="120"/>
      <c r="WQD72" s="120"/>
      <c r="WQE72" s="120"/>
      <c r="WQF72" s="120"/>
      <c r="WQG72" s="120"/>
      <c r="WQH72" s="120"/>
      <c r="WQI72" s="120"/>
      <c r="WQJ72" s="120"/>
      <c r="WQK72" s="120"/>
      <c r="WQL72" s="120"/>
      <c r="WQM72" s="120"/>
      <c r="WQN72" s="120"/>
      <c r="WQO72" s="120"/>
      <c r="WQP72" s="120"/>
      <c r="WQQ72" s="120"/>
      <c r="WQR72" s="120"/>
      <c r="WQS72" s="120"/>
      <c r="WQT72" s="120"/>
      <c r="WQU72" s="120"/>
      <c r="WQV72" s="120"/>
      <c r="WQW72" s="120"/>
      <c r="WQX72" s="120"/>
      <c r="WQY72" s="120"/>
      <c r="WQZ72" s="120"/>
      <c r="WRA72" s="120"/>
      <c r="WRB72" s="120"/>
      <c r="WRC72" s="120"/>
      <c r="WRD72" s="120"/>
      <c r="WRE72" s="120"/>
      <c r="WRF72" s="120"/>
      <c r="WRG72" s="120"/>
      <c r="WRH72" s="120"/>
      <c r="WRI72" s="120"/>
      <c r="WRJ72" s="120"/>
      <c r="WRK72" s="120"/>
      <c r="WRL72" s="120"/>
      <c r="WRM72" s="120"/>
      <c r="WRN72" s="120"/>
      <c r="WRO72" s="120"/>
      <c r="WRP72" s="120"/>
      <c r="WRQ72" s="120"/>
      <c r="WRR72" s="120"/>
      <c r="WRS72" s="120"/>
      <c r="WRT72" s="120"/>
      <c r="WRU72" s="120"/>
      <c r="WRV72" s="120"/>
      <c r="WRW72" s="120"/>
      <c r="WRX72" s="120"/>
      <c r="WRY72" s="120"/>
      <c r="WRZ72" s="120"/>
      <c r="WSA72" s="120"/>
      <c r="WSB72" s="120"/>
      <c r="WSC72" s="120"/>
      <c r="WSD72" s="120"/>
      <c r="WSE72" s="120"/>
      <c r="WSF72" s="120"/>
      <c r="WSG72" s="120"/>
      <c r="WSH72" s="120"/>
      <c r="WSI72" s="120"/>
      <c r="WSJ72" s="120"/>
      <c r="WSK72" s="120"/>
      <c r="WSL72" s="120"/>
      <c r="WSM72" s="120"/>
      <c r="WSN72" s="120"/>
      <c r="WSO72" s="120"/>
      <c r="WSP72" s="120"/>
      <c r="WSQ72" s="120"/>
      <c r="WSR72" s="120"/>
      <c r="WSS72" s="120"/>
      <c r="WST72" s="120"/>
      <c r="WSU72" s="120"/>
      <c r="WSV72" s="120"/>
      <c r="WSW72" s="120"/>
      <c r="WSX72" s="120"/>
      <c r="WSY72" s="120"/>
      <c r="WSZ72" s="120"/>
      <c r="WTA72" s="120"/>
      <c r="WTB72" s="120"/>
      <c r="WTC72" s="120"/>
      <c r="WTD72" s="120"/>
      <c r="WTE72" s="120"/>
      <c r="WTF72" s="120"/>
      <c r="WTG72" s="120"/>
      <c r="WTH72" s="120"/>
      <c r="WTI72" s="120"/>
      <c r="WTJ72" s="120"/>
      <c r="WTK72" s="120"/>
      <c r="WTL72" s="120"/>
      <c r="WTM72" s="120"/>
      <c r="WTN72" s="120"/>
      <c r="WTO72" s="120"/>
      <c r="WTP72" s="120"/>
      <c r="WTQ72" s="120"/>
      <c r="WTR72" s="120"/>
      <c r="WTS72" s="120"/>
      <c r="WTT72" s="120"/>
      <c r="WTU72" s="120"/>
      <c r="WTV72" s="120"/>
      <c r="WTW72" s="120"/>
      <c r="WTX72" s="120"/>
      <c r="WTY72" s="120"/>
      <c r="WTZ72" s="120"/>
      <c r="WUA72" s="120"/>
      <c r="WUB72" s="120"/>
      <c r="WUC72" s="120"/>
      <c r="WUD72" s="120"/>
      <c r="WUE72" s="120"/>
      <c r="WUF72" s="120"/>
      <c r="WUG72" s="120"/>
      <c r="WUH72" s="120"/>
      <c r="WUI72" s="120"/>
      <c r="WUJ72" s="120"/>
      <c r="WUK72" s="120"/>
      <c r="WUL72" s="120"/>
      <c r="WUM72" s="120"/>
      <c r="WUN72" s="120"/>
      <c r="WUO72" s="120"/>
      <c r="WUP72" s="120"/>
      <c r="WUQ72" s="120"/>
      <c r="WUR72" s="120"/>
      <c r="WUS72" s="120"/>
      <c r="WUT72" s="120"/>
      <c r="WUU72" s="120"/>
      <c r="WUV72" s="120"/>
      <c r="WUW72" s="120"/>
      <c r="WUX72" s="120"/>
      <c r="WUY72" s="120"/>
      <c r="WUZ72" s="120"/>
      <c r="WVA72" s="120"/>
      <c r="WVB72" s="120"/>
      <c r="WVC72" s="120"/>
      <c r="WVD72" s="120"/>
      <c r="WVE72" s="120"/>
      <c r="WVF72" s="120"/>
      <c r="WVG72" s="120"/>
      <c r="WVH72" s="120"/>
      <c r="WVI72" s="120"/>
      <c r="WVJ72" s="120"/>
      <c r="WVK72" s="120"/>
      <c r="WVL72" s="120"/>
      <c r="WVM72" s="120"/>
      <c r="WVN72" s="120"/>
      <c r="WVO72" s="120"/>
      <c r="WVP72" s="120"/>
      <c r="WVQ72" s="120"/>
      <c r="WVR72" s="120"/>
      <c r="WVS72" s="120"/>
      <c r="WVT72" s="120"/>
      <c r="WVU72" s="120"/>
      <c r="WVV72" s="120"/>
      <c r="WVW72" s="120"/>
      <c r="WVX72" s="120"/>
      <c r="WVY72" s="120"/>
      <c r="WVZ72" s="120"/>
      <c r="WWA72" s="120"/>
      <c r="WWB72" s="120"/>
      <c r="WWC72" s="120"/>
      <c r="WWD72" s="120"/>
      <c r="WWE72" s="120"/>
      <c r="WWF72" s="120"/>
      <c r="WWG72" s="120"/>
      <c r="WWH72" s="120"/>
      <c r="WWI72" s="120"/>
      <c r="WWJ72" s="120"/>
      <c r="WWK72" s="120"/>
      <c r="WWL72" s="120"/>
      <c r="WWM72" s="120"/>
      <c r="WWN72" s="120"/>
      <c r="WWO72" s="120"/>
      <c r="WWP72" s="120"/>
      <c r="WWQ72" s="120"/>
      <c r="WWR72" s="120"/>
      <c r="WWS72" s="120"/>
      <c r="WWT72" s="120"/>
      <c r="WWU72" s="120"/>
      <c r="WWV72" s="120"/>
      <c r="WWW72" s="120"/>
      <c r="WWX72" s="120"/>
      <c r="WWY72" s="120"/>
      <c r="WWZ72" s="120"/>
      <c r="WXA72" s="120"/>
      <c r="WXB72" s="120"/>
      <c r="WXC72" s="120"/>
      <c r="WXD72" s="120"/>
      <c r="WXE72" s="120"/>
      <c r="WXF72" s="120"/>
      <c r="WXG72" s="120"/>
      <c r="WXH72" s="120"/>
      <c r="WXI72" s="120"/>
      <c r="WXJ72" s="120"/>
      <c r="WXK72" s="120"/>
      <c r="WXL72" s="120"/>
      <c r="WXM72" s="120"/>
      <c r="WXN72" s="120"/>
      <c r="WXO72" s="120"/>
      <c r="WXP72" s="120"/>
      <c r="WXQ72" s="120"/>
      <c r="WXR72" s="120"/>
      <c r="WXS72" s="120"/>
      <c r="WXT72" s="120"/>
      <c r="WXU72" s="120"/>
      <c r="WXV72" s="120"/>
      <c r="WXW72" s="120"/>
      <c r="WXX72" s="120"/>
      <c r="WXY72" s="120"/>
      <c r="WXZ72" s="120"/>
      <c r="WYA72" s="120"/>
      <c r="WYB72" s="120"/>
      <c r="WYC72" s="120"/>
      <c r="WYD72" s="120"/>
      <c r="WYE72" s="120"/>
      <c r="WYF72" s="120"/>
      <c r="WYG72" s="120"/>
      <c r="WYH72" s="120"/>
      <c r="WYI72" s="120"/>
      <c r="WYJ72" s="120"/>
      <c r="WYK72" s="120"/>
      <c r="WYL72" s="120"/>
      <c r="WYM72" s="120"/>
      <c r="WYN72" s="120"/>
      <c r="WYO72" s="120"/>
      <c r="WYP72" s="120"/>
      <c r="WYQ72" s="120"/>
      <c r="WYR72" s="120"/>
      <c r="WYS72" s="120"/>
      <c r="WYT72" s="120"/>
      <c r="WYU72" s="120"/>
      <c r="WYV72" s="120"/>
      <c r="WYW72" s="120"/>
      <c r="WYX72" s="120"/>
      <c r="WYY72" s="120"/>
      <c r="WYZ72" s="120"/>
      <c r="WZA72" s="120"/>
      <c r="WZB72" s="120"/>
      <c r="WZC72" s="120"/>
      <c r="WZD72" s="120"/>
      <c r="WZE72" s="120"/>
      <c r="WZF72" s="120"/>
      <c r="WZG72" s="120"/>
      <c r="WZH72" s="120"/>
      <c r="WZI72" s="120"/>
      <c r="WZJ72" s="120"/>
      <c r="WZK72" s="120"/>
      <c r="WZL72" s="120"/>
      <c r="WZM72" s="120"/>
      <c r="WZN72" s="120"/>
      <c r="WZO72" s="120"/>
      <c r="WZP72" s="120"/>
      <c r="WZQ72" s="120"/>
      <c r="WZR72" s="120"/>
      <c r="WZS72" s="120"/>
      <c r="WZT72" s="120"/>
      <c r="WZU72" s="120"/>
      <c r="WZV72" s="120"/>
      <c r="WZW72" s="120"/>
      <c r="WZX72" s="120"/>
      <c r="WZY72" s="120"/>
      <c r="WZZ72" s="120"/>
      <c r="XAA72" s="120"/>
      <c r="XAB72" s="120"/>
      <c r="XAC72" s="120"/>
      <c r="XAD72" s="120"/>
      <c r="XAE72" s="120"/>
      <c r="XAF72" s="120"/>
      <c r="XAG72" s="120"/>
      <c r="XAH72" s="120"/>
      <c r="XAI72" s="120"/>
      <c r="XAJ72" s="120"/>
      <c r="XAK72" s="120"/>
      <c r="XAL72" s="120"/>
    </row>
    <row r="73" spans="1:16262" s="4" customFormat="1" ht="12" customHeight="1" x14ac:dyDescent="0.25">
      <c r="A73" s="139" t="s">
        <v>393</v>
      </c>
      <c r="B73" s="120"/>
      <c r="C73" s="120"/>
      <c r="D73" s="120"/>
      <c r="E73" s="120"/>
      <c r="F73" s="120"/>
      <c r="G73" s="120"/>
      <c r="H73" s="120"/>
      <c r="I73" s="120"/>
      <c r="J73" s="120"/>
      <c r="K73" s="120"/>
      <c r="L73" s="120"/>
      <c r="M73" s="120"/>
      <c r="N73" s="120"/>
      <c r="O73" s="120"/>
      <c r="P73" s="120"/>
      <c r="Q73" s="120"/>
      <c r="R73" s="120"/>
      <c r="S73" s="120"/>
      <c r="T73" s="120"/>
      <c r="U73" s="120"/>
      <c r="V73" s="120"/>
      <c r="W73" s="120"/>
      <c r="X73" s="120"/>
      <c r="Y73" s="120"/>
      <c r="Z73" s="120"/>
      <c r="AA73" s="120"/>
      <c r="AB73" s="120"/>
      <c r="AC73" s="120"/>
      <c r="AD73" s="120"/>
      <c r="AE73" s="120"/>
      <c r="AF73" s="120"/>
      <c r="AG73" s="120"/>
      <c r="AH73" s="120"/>
      <c r="AI73" s="120"/>
      <c r="AJ73" s="120"/>
      <c r="AK73" s="120"/>
      <c r="AL73" s="120"/>
      <c r="AM73" s="120"/>
      <c r="AN73" s="120"/>
      <c r="AO73" s="120"/>
      <c r="AP73" s="120"/>
      <c r="AQ73" s="120"/>
      <c r="AR73" s="120"/>
      <c r="AS73" s="120"/>
      <c r="AT73" s="120"/>
      <c r="AU73" s="120"/>
      <c r="AV73" s="120"/>
      <c r="AW73" s="120"/>
      <c r="AX73" s="120"/>
      <c r="AY73" s="120"/>
      <c r="AZ73" s="120"/>
      <c r="BA73" s="120"/>
      <c r="BB73" s="120"/>
      <c r="BC73" s="120"/>
      <c r="BD73" s="120"/>
      <c r="BE73" s="120"/>
      <c r="BF73" s="120"/>
      <c r="BG73" s="120"/>
      <c r="BH73" s="120"/>
      <c r="BI73" s="120"/>
      <c r="BJ73" s="120"/>
      <c r="BK73" s="120"/>
      <c r="BL73" s="120"/>
      <c r="BM73" s="120"/>
      <c r="BN73" s="120"/>
      <c r="BO73" s="120"/>
      <c r="BP73" s="120"/>
      <c r="BQ73" s="120"/>
      <c r="BR73" s="120"/>
      <c r="BS73" s="120"/>
      <c r="BT73" s="120"/>
      <c r="BU73" s="120"/>
      <c r="BV73" s="120"/>
      <c r="BW73" s="120"/>
      <c r="BX73" s="120"/>
      <c r="BY73" s="120"/>
      <c r="BZ73" s="120"/>
      <c r="CA73" s="120"/>
      <c r="CB73" s="120"/>
      <c r="CC73" s="120"/>
      <c r="CD73" s="120"/>
      <c r="CE73" s="120"/>
      <c r="CF73" s="120"/>
      <c r="CG73" s="120"/>
      <c r="CH73" s="120"/>
      <c r="CI73" s="120"/>
      <c r="CJ73" s="120"/>
      <c r="CK73" s="120"/>
      <c r="CL73" s="120"/>
      <c r="CM73" s="120"/>
      <c r="CN73" s="120"/>
      <c r="CO73" s="120"/>
      <c r="CP73" s="120"/>
      <c r="CQ73" s="120"/>
      <c r="CR73" s="120"/>
      <c r="CS73" s="120"/>
      <c r="CT73" s="120"/>
      <c r="CU73" s="120"/>
      <c r="CV73" s="120"/>
      <c r="CW73" s="120"/>
      <c r="CX73" s="120"/>
      <c r="CY73" s="120"/>
      <c r="CZ73" s="120"/>
      <c r="DA73" s="120"/>
      <c r="DB73" s="120"/>
      <c r="DC73" s="120"/>
      <c r="DD73" s="120"/>
      <c r="DE73" s="120"/>
      <c r="DF73" s="120"/>
      <c r="DG73" s="120"/>
      <c r="DH73" s="120"/>
      <c r="DI73" s="120"/>
      <c r="DJ73" s="120"/>
      <c r="DK73" s="120"/>
      <c r="DL73" s="120"/>
      <c r="DM73" s="120"/>
      <c r="DN73" s="120"/>
      <c r="DO73" s="120"/>
      <c r="DP73" s="120"/>
      <c r="DQ73" s="120"/>
      <c r="DR73" s="120"/>
      <c r="DS73" s="120"/>
      <c r="DT73" s="120"/>
      <c r="DU73" s="120"/>
      <c r="DV73" s="120"/>
      <c r="DW73" s="120"/>
      <c r="DX73" s="120"/>
      <c r="DY73" s="120"/>
      <c r="DZ73" s="120"/>
      <c r="EA73" s="120"/>
      <c r="EB73" s="120"/>
      <c r="EC73" s="120"/>
      <c r="ED73" s="120"/>
      <c r="EE73" s="120"/>
      <c r="EF73" s="120"/>
      <c r="EG73" s="120"/>
      <c r="EH73" s="120"/>
      <c r="EI73" s="120"/>
      <c r="EJ73" s="120"/>
      <c r="EK73" s="120"/>
      <c r="EL73" s="120"/>
      <c r="EM73" s="120"/>
      <c r="EN73" s="120"/>
      <c r="EO73" s="120"/>
      <c r="EP73" s="120"/>
      <c r="EQ73" s="120"/>
      <c r="ER73" s="120"/>
      <c r="ES73" s="120"/>
      <c r="ET73" s="120"/>
      <c r="EU73" s="120"/>
      <c r="EV73" s="120"/>
      <c r="EW73" s="120"/>
      <c r="EX73" s="120"/>
      <c r="EY73" s="120"/>
      <c r="EZ73" s="120"/>
      <c r="FA73" s="120"/>
      <c r="FB73" s="120"/>
      <c r="FC73" s="120"/>
      <c r="FD73" s="120"/>
      <c r="FE73" s="120"/>
      <c r="FF73" s="120"/>
      <c r="FG73" s="120"/>
      <c r="FH73" s="120"/>
      <c r="FI73" s="120"/>
      <c r="FJ73" s="120"/>
      <c r="FK73" s="120"/>
      <c r="FL73" s="120"/>
      <c r="FM73" s="120"/>
      <c r="FN73" s="120"/>
      <c r="FO73" s="120"/>
      <c r="FP73" s="120"/>
      <c r="FQ73" s="120"/>
      <c r="FR73" s="120"/>
      <c r="FS73" s="120"/>
      <c r="FT73" s="120"/>
      <c r="FU73" s="120"/>
      <c r="FV73" s="120"/>
      <c r="FW73" s="120"/>
      <c r="FX73" s="120"/>
      <c r="FY73" s="120"/>
      <c r="FZ73" s="120"/>
      <c r="GA73" s="120"/>
      <c r="GB73" s="120"/>
      <c r="GC73" s="120"/>
      <c r="GD73" s="120"/>
      <c r="GE73" s="120"/>
      <c r="GF73" s="120"/>
      <c r="GG73" s="120"/>
      <c r="GH73" s="120"/>
      <c r="GI73" s="120"/>
      <c r="GJ73" s="120"/>
      <c r="GK73" s="120"/>
      <c r="GL73" s="120"/>
      <c r="GM73" s="120"/>
      <c r="GN73" s="120"/>
      <c r="GO73" s="120"/>
      <c r="GP73" s="120"/>
      <c r="GQ73" s="120"/>
      <c r="GR73" s="120"/>
      <c r="GS73" s="120"/>
      <c r="GT73" s="120"/>
      <c r="GU73" s="120"/>
      <c r="GV73" s="120"/>
      <c r="GW73" s="120"/>
      <c r="GX73" s="120"/>
      <c r="GY73" s="120"/>
      <c r="GZ73" s="120"/>
      <c r="HA73" s="120"/>
      <c r="HB73" s="120"/>
      <c r="HC73" s="120"/>
      <c r="HD73" s="120"/>
      <c r="HE73" s="120"/>
      <c r="HF73" s="120"/>
      <c r="HG73" s="120"/>
      <c r="HH73" s="120"/>
      <c r="HI73" s="120"/>
      <c r="HJ73" s="120"/>
      <c r="HK73" s="120"/>
      <c r="HL73" s="120"/>
      <c r="HM73" s="120"/>
      <c r="HN73" s="120"/>
      <c r="HO73" s="120"/>
      <c r="HP73" s="120"/>
      <c r="HQ73" s="120"/>
      <c r="HR73" s="120"/>
      <c r="HS73" s="120"/>
      <c r="HT73" s="120"/>
      <c r="HU73" s="120"/>
      <c r="HV73" s="120"/>
      <c r="HW73" s="120"/>
      <c r="HX73" s="120"/>
      <c r="HY73" s="120"/>
      <c r="HZ73" s="120"/>
      <c r="IA73" s="120"/>
      <c r="IB73" s="120"/>
      <c r="IC73" s="120"/>
      <c r="ID73" s="120"/>
      <c r="IE73" s="120"/>
      <c r="IF73" s="120"/>
      <c r="IG73" s="120"/>
      <c r="IH73" s="120"/>
      <c r="II73" s="120"/>
      <c r="IJ73" s="120"/>
      <c r="IK73" s="120"/>
      <c r="IL73" s="120"/>
      <c r="IM73" s="120"/>
      <c r="IN73" s="120"/>
      <c r="IO73" s="120"/>
      <c r="IP73" s="120"/>
      <c r="IQ73" s="120"/>
      <c r="IR73" s="120"/>
      <c r="IS73" s="120"/>
      <c r="IT73" s="120"/>
      <c r="IU73" s="120"/>
      <c r="IV73" s="120"/>
      <c r="IW73" s="120"/>
      <c r="IX73" s="120"/>
      <c r="IY73" s="120"/>
      <c r="IZ73" s="120"/>
      <c r="JA73" s="120"/>
      <c r="JB73" s="120"/>
      <c r="JC73" s="120"/>
      <c r="JD73" s="120"/>
      <c r="JE73" s="120"/>
      <c r="JF73" s="120"/>
      <c r="JG73" s="120"/>
      <c r="JH73" s="120"/>
      <c r="JI73" s="120"/>
      <c r="JJ73" s="120"/>
      <c r="JK73" s="120"/>
      <c r="JL73" s="120"/>
      <c r="JM73" s="120"/>
      <c r="JN73" s="120"/>
      <c r="JO73" s="120"/>
      <c r="JP73" s="120"/>
      <c r="JQ73" s="120"/>
      <c r="JR73" s="120"/>
      <c r="JS73" s="120"/>
      <c r="JT73" s="120"/>
      <c r="JU73" s="120"/>
      <c r="JV73" s="120"/>
      <c r="JW73" s="120"/>
      <c r="JX73" s="120"/>
      <c r="JY73" s="120"/>
      <c r="JZ73" s="120"/>
      <c r="KA73" s="120"/>
      <c r="KB73" s="120"/>
      <c r="KC73" s="120"/>
      <c r="KD73" s="120"/>
      <c r="KE73" s="120"/>
      <c r="KF73" s="120"/>
      <c r="KG73" s="120"/>
      <c r="KH73" s="120"/>
      <c r="KI73" s="120"/>
      <c r="KJ73" s="120"/>
      <c r="KK73" s="120"/>
      <c r="KL73" s="120"/>
      <c r="KM73" s="120"/>
      <c r="KN73" s="120"/>
      <c r="KO73" s="120"/>
      <c r="KP73" s="120"/>
      <c r="KQ73" s="120"/>
      <c r="KR73" s="120"/>
      <c r="KS73" s="120"/>
      <c r="KT73" s="120"/>
      <c r="KU73" s="120"/>
      <c r="KV73" s="120"/>
      <c r="KW73" s="120"/>
      <c r="KX73" s="120"/>
      <c r="KY73" s="120"/>
      <c r="KZ73" s="120"/>
      <c r="LA73" s="120"/>
      <c r="LB73" s="120"/>
      <c r="LC73" s="120"/>
      <c r="LD73" s="120"/>
      <c r="LE73" s="120"/>
      <c r="LF73" s="120"/>
      <c r="LG73" s="120"/>
      <c r="LH73" s="120"/>
      <c r="LI73" s="120"/>
      <c r="LJ73" s="120"/>
      <c r="LK73" s="120"/>
      <c r="LL73" s="120"/>
      <c r="LM73" s="120"/>
      <c r="LN73" s="120"/>
      <c r="LO73" s="120"/>
      <c r="LP73" s="120"/>
      <c r="LQ73" s="120"/>
      <c r="LR73" s="120"/>
      <c r="LS73" s="120"/>
      <c r="LT73" s="120"/>
      <c r="LU73" s="120"/>
      <c r="LV73" s="120"/>
      <c r="LW73" s="120"/>
      <c r="LX73" s="120"/>
      <c r="LY73" s="120"/>
      <c r="LZ73" s="120"/>
      <c r="MA73" s="120"/>
      <c r="MB73" s="120"/>
      <c r="MC73" s="120"/>
      <c r="MD73" s="120"/>
      <c r="ME73" s="120"/>
      <c r="MF73" s="120"/>
      <c r="MG73" s="120"/>
      <c r="MH73" s="120"/>
      <c r="MI73" s="120"/>
      <c r="MJ73" s="120"/>
      <c r="MK73" s="120"/>
      <c r="ML73" s="120"/>
      <c r="MM73" s="120"/>
      <c r="MN73" s="120"/>
      <c r="MO73" s="120"/>
      <c r="MP73" s="120"/>
      <c r="MQ73" s="120"/>
      <c r="MR73" s="120"/>
      <c r="MS73" s="120"/>
      <c r="MT73" s="120"/>
      <c r="MU73" s="120"/>
      <c r="MV73" s="120"/>
      <c r="MW73" s="120"/>
      <c r="MX73" s="120"/>
      <c r="MY73" s="120"/>
      <c r="MZ73" s="120"/>
      <c r="NA73" s="120"/>
      <c r="NB73" s="120"/>
      <c r="NC73" s="120"/>
      <c r="ND73" s="120"/>
      <c r="NE73" s="120"/>
      <c r="NF73" s="120"/>
      <c r="NG73" s="120"/>
      <c r="NH73" s="120"/>
      <c r="NI73" s="120"/>
      <c r="NJ73" s="120"/>
      <c r="NK73" s="120"/>
      <c r="NL73" s="120"/>
      <c r="NM73" s="120"/>
      <c r="NN73" s="120"/>
      <c r="NO73" s="120"/>
      <c r="NP73" s="120"/>
      <c r="NQ73" s="120"/>
      <c r="NR73" s="120"/>
      <c r="NS73" s="120"/>
      <c r="NT73" s="120"/>
      <c r="NU73" s="120"/>
      <c r="NV73" s="120"/>
      <c r="NW73" s="120"/>
      <c r="NX73" s="120"/>
      <c r="NY73" s="120"/>
      <c r="NZ73" s="120"/>
      <c r="OA73" s="120"/>
      <c r="OB73" s="120"/>
      <c r="OC73" s="120"/>
      <c r="OD73" s="120"/>
      <c r="OE73" s="120"/>
      <c r="OF73" s="120"/>
      <c r="OG73" s="120"/>
      <c r="OH73" s="120"/>
      <c r="OI73" s="120"/>
      <c r="OJ73" s="120"/>
      <c r="OK73" s="120"/>
      <c r="OL73" s="120"/>
      <c r="OM73" s="120"/>
      <c r="ON73" s="120"/>
      <c r="OO73" s="120"/>
      <c r="OP73" s="120"/>
      <c r="OQ73" s="120"/>
      <c r="OR73" s="120"/>
      <c r="OS73" s="120"/>
      <c r="OT73" s="120"/>
      <c r="OU73" s="120"/>
      <c r="OV73" s="120"/>
      <c r="OW73" s="120"/>
      <c r="OX73" s="120"/>
      <c r="OY73" s="120"/>
      <c r="OZ73" s="120"/>
      <c r="PA73" s="120"/>
      <c r="PB73" s="120"/>
      <c r="PC73" s="120"/>
      <c r="PD73" s="120"/>
      <c r="PE73" s="120"/>
      <c r="PF73" s="120"/>
      <c r="PG73" s="120"/>
      <c r="PH73" s="120"/>
      <c r="PI73" s="120"/>
      <c r="PJ73" s="120"/>
      <c r="PK73" s="120"/>
      <c r="PL73" s="120"/>
      <c r="PM73" s="120"/>
      <c r="PN73" s="120"/>
      <c r="PO73" s="120"/>
      <c r="PP73" s="120"/>
      <c r="PQ73" s="120"/>
      <c r="PR73" s="120"/>
      <c r="PS73" s="120"/>
      <c r="PT73" s="120"/>
      <c r="PU73" s="120"/>
      <c r="PV73" s="120"/>
      <c r="PW73" s="120"/>
      <c r="PX73" s="120"/>
      <c r="PY73" s="120"/>
      <c r="PZ73" s="120"/>
      <c r="QA73" s="120"/>
      <c r="QB73" s="120"/>
      <c r="QC73" s="120"/>
      <c r="QD73" s="120"/>
      <c r="QE73" s="120"/>
      <c r="QF73" s="120"/>
      <c r="QG73" s="120"/>
      <c r="QH73" s="120"/>
      <c r="QI73" s="120"/>
      <c r="QJ73" s="120"/>
      <c r="QK73" s="120"/>
      <c r="QL73" s="120"/>
      <c r="QM73" s="120"/>
      <c r="QN73" s="120"/>
      <c r="QO73" s="120"/>
      <c r="QP73" s="120"/>
      <c r="QQ73" s="120"/>
      <c r="QR73" s="120"/>
      <c r="QS73" s="120"/>
      <c r="QT73" s="120"/>
      <c r="QU73" s="120"/>
      <c r="QV73" s="120"/>
      <c r="QW73" s="120"/>
      <c r="QX73" s="120"/>
      <c r="QY73" s="120"/>
      <c r="QZ73" s="120"/>
      <c r="RA73" s="120"/>
      <c r="RB73" s="120"/>
      <c r="RC73" s="120"/>
      <c r="RD73" s="120"/>
      <c r="RE73" s="120"/>
      <c r="RF73" s="120"/>
      <c r="RG73" s="120"/>
      <c r="RH73" s="120"/>
      <c r="RI73" s="120"/>
      <c r="RJ73" s="120"/>
      <c r="RK73" s="120"/>
      <c r="RL73" s="120"/>
      <c r="RM73" s="120"/>
      <c r="RN73" s="120"/>
      <c r="RO73" s="120"/>
      <c r="RP73" s="120"/>
      <c r="RQ73" s="120"/>
      <c r="RR73" s="120"/>
      <c r="RS73" s="120"/>
      <c r="RT73" s="120"/>
      <c r="RU73" s="120"/>
      <c r="RV73" s="120"/>
      <c r="RW73" s="120"/>
      <c r="RX73" s="120"/>
      <c r="RY73" s="120"/>
      <c r="RZ73" s="120"/>
      <c r="SA73" s="120"/>
      <c r="SB73" s="120"/>
      <c r="SC73" s="120"/>
      <c r="SD73" s="120"/>
      <c r="SE73" s="120"/>
      <c r="SF73" s="120"/>
      <c r="SG73" s="120"/>
      <c r="SH73" s="120"/>
      <c r="SI73" s="120"/>
      <c r="SJ73" s="120"/>
      <c r="SK73" s="120"/>
      <c r="SL73" s="120"/>
      <c r="SM73" s="120"/>
      <c r="SN73" s="120"/>
      <c r="SO73" s="120"/>
      <c r="SP73" s="120"/>
      <c r="SQ73" s="120"/>
      <c r="SR73" s="120"/>
      <c r="SS73" s="120"/>
      <c r="ST73" s="120"/>
      <c r="SU73" s="120"/>
      <c r="SV73" s="120"/>
      <c r="SW73" s="120"/>
      <c r="SX73" s="120"/>
      <c r="SY73" s="120"/>
      <c r="SZ73" s="120"/>
      <c r="TA73" s="120"/>
      <c r="TB73" s="120"/>
      <c r="TC73" s="120"/>
      <c r="TD73" s="120"/>
      <c r="TE73" s="120"/>
      <c r="TF73" s="120"/>
      <c r="TG73" s="120"/>
      <c r="TH73" s="120"/>
      <c r="TI73" s="120"/>
      <c r="TJ73" s="120"/>
      <c r="TK73" s="120"/>
      <c r="TL73" s="120"/>
      <c r="TM73" s="120"/>
      <c r="TN73" s="120"/>
      <c r="TO73" s="120"/>
      <c r="TP73" s="120"/>
      <c r="TQ73" s="120"/>
      <c r="TR73" s="120"/>
      <c r="TS73" s="120"/>
      <c r="TT73" s="120"/>
      <c r="TU73" s="120"/>
      <c r="TV73" s="120"/>
      <c r="TW73" s="120"/>
      <c r="TX73" s="120"/>
      <c r="TY73" s="120"/>
      <c r="TZ73" s="120"/>
      <c r="UA73" s="120"/>
      <c r="UB73" s="120"/>
      <c r="UC73" s="120"/>
      <c r="UD73" s="120"/>
      <c r="UE73" s="120"/>
      <c r="UF73" s="120"/>
      <c r="UG73" s="120"/>
      <c r="UH73" s="120"/>
      <c r="UI73" s="120"/>
      <c r="UJ73" s="120"/>
      <c r="UK73" s="120"/>
      <c r="UL73" s="120"/>
      <c r="UM73" s="120"/>
      <c r="UN73" s="120"/>
      <c r="UO73" s="120"/>
      <c r="UP73" s="120"/>
      <c r="UQ73" s="120"/>
      <c r="UR73" s="120"/>
      <c r="US73" s="120"/>
      <c r="UT73" s="120"/>
      <c r="UU73" s="120"/>
      <c r="UV73" s="120"/>
      <c r="UW73" s="120"/>
      <c r="UX73" s="120"/>
      <c r="UY73" s="120"/>
      <c r="UZ73" s="120"/>
      <c r="VA73" s="120"/>
      <c r="VB73" s="120"/>
      <c r="VC73" s="120"/>
      <c r="VD73" s="120"/>
      <c r="VE73" s="120"/>
      <c r="VF73" s="120"/>
      <c r="VG73" s="120"/>
      <c r="VH73" s="120"/>
      <c r="VI73" s="120"/>
      <c r="VJ73" s="120"/>
      <c r="VK73" s="120"/>
      <c r="VL73" s="120"/>
      <c r="VM73" s="120"/>
      <c r="VN73" s="120"/>
      <c r="VO73" s="120"/>
      <c r="VP73" s="120"/>
      <c r="VQ73" s="120"/>
      <c r="VR73" s="120"/>
      <c r="VS73" s="120"/>
      <c r="VT73" s="120"/>
      <c r="VU73" s="120"/>
      <c r="VV73" s="120"/>
      <c r="VW73" s="120"/>
      <c r="VX73" s="120"/>
      <c r="VY73" s="120"/>
      <c r="VZ73" s="120"/>
      <c r="WA73" s="120"/>
      <c r="WB73" s="120"/>
      <c r="WC73" s="120"/>
      <c r="WD73" s="120"/>
      <c r="WE73" s="120"/>
      <c r="WF73" s="120"/>
      <c r="WG73" s="120"/>
      <c r="WH73" s="120"/>
      <c r="WI73" s="120"/>
      <c r="WJ73" s="120"/>
      <c r="WK73" s="120"/>
      <c r="WL73" s="120"/>
      <c r="WM73" s="120"/>
      <c r="WN73" s="120"/>
      <c r="WO73" s="120"/>
      <c r="WP73" s="120"/>
      <c r="WQ73" s="120"/>
      <c r="WR73" s="120"/>
      <c r="WS73" s="120"/>
      <c r="WT73" s="120"/>
      <c r="WU73" s="120"/>
      <c r="WV73" s="120"/>
      <c r="WW73" s="120"/>
      <c r="WX73" s="120"/>
      <c r="WY73" s="120"/>
      <c r="WZ73" s="120"/>
      <c r="XA73" s="120"/>
      <c r="XB73" s="120"/>
      <c r="XC73" s="120"/>
      <c r="XD73" s="120"/>
      <c r="XE73" s="120"/>
      <c r="XF73" s="120"/>
      <c r="XG73" s="120"/>
      <c r="XH73" s="120"/>
      <c r="XI73" s="120"/>
      <c r="XJ73" s="120"/>
      <c r="XK73" s="120"/>
      <c r="XL73" s="120"/>
      <c r="XM73" s="120"/>
      <c r="XN73" s="120"/>
      <c r="XO73" s="120"/>
      <c r="XP73" s="120"/>
      <c r="XQ73" s="120"/>
      <c r="XR73" s="120"/>
      <c r="XS73" s="120"/>
      <c r="XT73" s="120"/>
      <c r="XU73" s="120"/>
      <c r="XV73" s="120"/>
      <c r="XW73" s="120"/>
      <c r="XX73" s="120"/>
      <c r="XY73" s="120"/>
      <c r="XZ73" s="120"/>
      <c r="YA73" s="120"/>
      <c r="YB73" s="120"/>
      <c r="YC73" s="120"/>
      <c r="YD73" s="120"/>
      <c r="YE73" s="120"/>
      <c r="YF73" s="120"/>
      <c r="YG73" s="120"/>
      <c r="YH73" s="120"/>
      <c r="YI73" s="120"/>
      <c r="YJ73" s="120"/>
      <c r="YK73" s="120"/>
      <c r="YL73" s="120"/>
      <c r="YM73" s="120"/>
      <c r="YN73" s="120"/>
      <c r="YO73" s="120"/>
      <c r="YP73" s="120"/>
      <c r="YQ73" s="120"/>
      <c r="YR73" s="120"/>
      <c r="YS73" s="120"/>
      <c r="YT73" s="120"/>
      <c r="YU73" s="120"/>
      <c r="YV73" s="120"/>
      <c r="YW73" s="120"/>
      <c r="YX73" s="120"/>
      <c r="YY73" s="120"/>
      <c r="YZ73" s="120"/>
      <c r="ZA73" s="120"/>
      <c r="ZB73" s="120"/>
      <c r="ZC73" s="120"/>
      <c r="ZD73" s="120"/>
      <c r="ZE73" s="120"/>
      <c r="ZF73" s="120"/>
      <c r="ZG73" s="120"/>
      <c r="ZH73" s="120"/>
      <c r="ZI73" s="120"/>
      <c r="ZJ73" s="120"/>
      <c r="ZK73" s="120"/>
      <c r="ZL73" s="120"/>
      <c r="ZM73" s="120"/>
      <c r="ZN73" s="120"/>
      <c r="ZO73" s="120"/>
      <c r="ZP73" s="120"/>
      <c r="ZQ73" s="120"/>
      <c r="ZR73" s="120"/>
      <c r="ZS73" s="120"/>
      <c r="ZT73" s="120"/>
      <c r="ZU73" s="120"/>
      <c r="ZV73" s="120"/>
      <c r="ZW73" s="120"/>
      <c r="ZX73" s="120"/>
      <c r="ZY73" s="120"/>
      <c r="ZZ73" s="120"/>
      <c r="AAA73" s="120"/>
      <c r="AAB73" s="120"/>
      <c r="AAC73" s="120"/>
      <c r="AAD73" s="120"/>
      <c r="AAE73" s="120"/>
      <c r="AAF73" s="120"/>
      <c r="AAG73" s="120"/>
      <c r="AAH73" s="120"/>
      <c r="AAI73" s="120"/>
      <c r="AAJ73" s="120"/>
      <c r="AAK73" s="120"/>
      <c r="AAL73" s="120"/>
      <c r="AAM73" s="120"/>
      <c r="AAN73" s="120"/>
      <c r="AAO73" s="120"/>
      <c r="AAP73" s="120"/>
      <c r="AAQ73" s="120"/>
      <c r="AAR73" s="120"/>
      <c r="AAS73" s="120"/>
      <c r="AAT73" s="120"/>
      <c r="AAU73" s="120"/>
      <c r="AAV73" s="120"/>
      <c r="AAW73" s="120"/>
      <c r="AAX73" s="120"/>
      <c r="AAY73" s="120"/>
      <c r="AAZ73" s="120"/>
      <c r="ABA73" s="120"/>
      <c r="ABB73" s="120"/>
      <c r="ABC73" s="120"/>
      <c r="ABD73" s="120"/>
      <c r="ABE73" s="120"/>
      <c r="ABF73" s="120"/>
      <c r="ABG73" s="120"/>
      <c r="ABH73" s="120"/>
      <c r="ABI73" s="120"/>
      <c r="ABJ73" s="120"/>
      <c r="ABK73" s="120"/>
      <c r="ABL73" s="120"/>
      <c r="ABM73" s="120"/>
      <c r="ABN73" s="120"/>
      <c r="ABO73" s="120"/>
      <c r="ABP73" s="120"/>
      <c r="ABQ73" s="120"/>
      <c r="ABR73" s="120"/>
      <c r="ABS73" s="120"/>
      <c r="ABT73" s="120"/>
      <c r="ABU73" s="120"/>
      <c r="ABV73" s="120"/>
      <c r="ABW73" s="120"/>
      <c r="ABX73" s="120"/>
      <c r="ABY73" s="120"/>
      <c r="ABZ73" s="120"/>
      <c r="ACA73" s="120"/>
      <c r="ACB73" s="120"/>
      <c r="ACC73" s="120"/>
      <c r="ACD73" s="120"/>
      <c r="ACE73" s="120"/>
      <c r="ACF73" s="120"/>
      <c r="ACG73" s="120"/>
      <c r="ACH73" s="120"/>
      <c r="ACI73" s="120"/>
      <c r="ACJ73" s="120"/>
      <c r="ACK73" s="120"/>
      <c r="ACL73" s="120"/>
      <c r="ACM73" s="120"/>
      <c r="ACN73" s="120"/>
      <c r="ACO73" s="120"/>
      <c r="ACP73" s="120"/>
      <c r="ACQ73" s="120"/>
      <c r="ACR73" s="120"/>
      <c r="ACS73" s="120"/>
      <c r="ACT73" s="120"/>
      <c r="ACU73" s="120"/>
      <c r="ACV73" s="120"/>
      <c r="ACW73" s="120"/>
      <c r="ACX73" s="120"/>
      <c r="ACY73" s="120"/>
      <c r="ACZ73" s="120"/>
      <c r="ADA73" s="120"/>
      <c r="ADB73" s="120"/>
      <c r="ADC73" s="120"/>
      <c r="ADD73" s="120"/>
      <c r="ADE73" s="120"/>
      <c r="ADF73" s="120"/>
      <c r="ADG73" s="120"/>
      <c r="ADH73" s="120"/>
      <c r="ADI73" s="120"/>
      <c r="ADJ73" s="120"/>
      <c r="ADK73" s="120"/>
      <c r="ADL73" s="120"/>
      <c r="ADM73" s="120"/>
      <c r="ADN73" s="120"/>
      <c r="ADO73" s="120"/>
      <c r="ADP73" s="120"/>
      <c r="ADQ73" s="120"/>
      <c r="ADR73" s="120"/>
      <c r="ADS73" s="120"/>
      <c r="ADT73" s="120"/>
      <c r="ADU73" s="120"/>
      <c r="ADV73" s="120"/>
      <c r="ADW73" s="120"/>
      <c r="ADX73" s="120"/>
      <c r="ADY73" s="120"/>
      <c r="ADZ73" s="120"/>
      <c r="AEA73" s="120"/>
      <c r="AEB73" s="120"/>
      <c r="AEC73" s="120"/>
      <c r="AED73" s="120"/>
      <c r="AEE73" s="120"/>
      <c r="AEF73" s="120"/>
      <c r="AEG73" s="120"/>
      <c r="AEH73" s="120"/>
      <c r="AEI73" s="120"/>
      <c r="AEJ73" s="120"/>
      <c r="AEK73" s="120"/>
      <c r="AEL73" s="120"/>
      <c r="AEM73" s="120"/>
      <c r="AEN73" s="120"/>
      <c r="AEO73" s="120"/>
      <c r="AEP73" s="120"/>
      <c r="AEQ73" s="120"/>
      <c r="AER73" s="120"/>
      <c r="AES73" s="120"/>
      <c r="AET73" s="120"/>
      <c r="AEU73" s="120"/>
      <c r="AEV73" s="120"/>
      <c r="AEW73" s="120"/>
      <c r="AEX73" s="120"/>
      <c r="AEY73" s="120"/>
      <c r="AEZ73" s="120"/>
      <c r="AFA73" s="120"/>
      <c r="AFB73" s="120"/>
      <c r="AFC73" s="120"/>
      <c r="AFD73" s="120"/>
      <c r="AFE73" s="120"/>
      <c r="AFF73" s="120"/>
      <c r="AFG73" s="120"/>
      <c r="AFH73" s="120"/>
      <c r="AFI73" s="120"/>
      <c r="AFJ73" s="120"/>
      <c r="AFK73" s="120"/>
      <c r="AFL73" s="120"/>
      <c r="AFM73" s="120"/>
      <c r="AFN73" s="120"/>
      <c r="AFO73" s="120"/>
      <c r="AFP73" s="120"/>
      <c r="AFQ73" s="120"/>
      <c r="AFR73" s="120"/>
      <c r="AFS73" s="120"/>
      <c r="AFT73" s="120"/>
      <c r="AFU73" s="120"/>
      <c r="AFV73" s="120"/>
      <c r="AFW73" s="120"/>
      <c r="AFX73" s="120"/>
      <c r="AFY73" s="120"/>
      <c r="AFZ73" s="120"/>
      <c r="AGA73" s="120"/>
      <c r="AGB73" s="120"/>
      <c r="AGC73" s="120"/>
      <c r="AGD73" s="120"/>
      <c r="AGE73" s="120"/>
      <c r="AGF73" s="120"/>
      <c r="AGG73" s="120"/>
      <c r="AGH73" s="120"/>
      <c r="AGI73" s="120"/>
      <c r="AGJ73" s="120"/>
      <c r="AGK73" s="120"/>
      <c r="AGL73" s="120"/>
      <c r="AGM73" s="120"/>
      <c r="AGN73" s="120"/>
      <c r="AGO73" s="120"/>
      <c r="AGP73" s="120"/>
      <c r="AGQ73" s="120"/>
      <c r="AGR73" s="120"/>
      <c r="AGS73" s="120"/>
      <c r="AGT73" s="120"/>
      <c r="AGU73" s="120"/>
      <c r="AGV73" s="120"/>
      <c r="AGW73" s="120"/>
      <c r="AGX73" s="120"/>
      <c r="AGY73" s="120"/>
      <c r="AGZ73" s="120"/>
      <c r="AHA73" s="120"/>
      <c r="AHB73" s="120"/>
      <c r="AHC73" s="120"/>
      <c r="AHD73" s="120"/>
      <c r="AHE73" s="120"/>
      <c r="AHF73" s="120"/>
      <c r="AHG73" s="120"/>
      <c r="AHH73" s="120"/>
      <c r="AHI73" s="120"/>
      <c r="AHJ73" s="120"/>
      <c r="AHK73" s="120"/>
      <c r="AHL73" s="120"/>
      <c r="AHM73" s="120"/>
      <c r="AHN73" s="120"/>
      <c r="AHO73" s="120"/>
      <c r="AHP73" s="120"/>
      <c r="AHQ73" s="120"/>
      <c r="AHR73" s="120"/>
      <c r="AHS73" s="120"/>
      <c r="AHT73" s="120"/>
      <c r="AHU73" s="120"/>
      <c r="AHV73" s="120"/>
      <c r="AHW73" s="120"/>
      <c r="AHX73" s="120"/>
      <c r="AHY73" s="120"/>
      <c r="AHZ73" s="120"/>
      <c r="AIA73" s="120"/>
      <c r="AIB73" s="120"/>
      <c r="AIC73" s="120"/>
      <c r="AID73" s="120"/>
      <c r="AIE73" s="120"/>
      <c r="AIF73" s="120"/>
      <c r="AIG73" s="120"/>
      <c r="AIH73" s="120"/>
      <c r="AII73" s="120"/>
      <c r="AIJ73" s="120"/>
      <c r="AIK73" s="120"/>
      <c r="AIL73" s="120"/>
      <c r="AIM73" s="120"/>
      <c r="AIN73" s="120"/>
      <c r="AIO73" s="120"/>
      <c r="AIP73" s="120"/>
      <c r="AIQ73" s="120"/>
      <c r="AIR73" s="120"/>
      <c r="AIS73" s="120"/>
      <c r="AIT73" s="120"/>
      <c r="AIU73" s="120"/>
      <c r="AIV73" s="120"/>
      <c r="AIW73" s="120"/>
      <c r="AIX73" s="120"/>
      <c r="AIY73" s="120"/>
      <c r="AIZ73" s="120"/>
      <c r="AJA73" s="120"/>
      <c r="AJB73" s="120"/>
      <c r="AJC73" s="120"/>
      <c r="AJD73" s="120"/>
      <c r="AJE73" s="120"/>
      <c r="AJF73" s="120"/>
      <c r="AJG73" s="120"/>
      <c r="AJH73" s="120"/>
      <c r="AJI73" s="120"/>
      <c r="AJJ73" s="120"/>
      <c r="AJK73" s="120"/>
      <c r="AJL73" s="120"/>
      <c r="AJM73" s="120"/>
      <c r="AJN73" s="120"/>
      <c r="AJO73" s="120"/>
      <c r="AJP73" s="120"/>
      <c r="AJQ73" s="120"/>
      <c r="AJR73" s="120"/>
      <c r="AJS73" s="120"/>
      <c r="AJT73" s="120"/>
      <c r="AJU73" s="120"/>
      <c r="AJV73" s="120"/>
      <c r="AJW73" s="120"/>
      <c r="AJX73" s="120"/>
      <c r="AJY73" s="120"/>
      <c r="AJZ73" s="120"/>
      <c r="AKA73" s="120"/>
      <c r="AKB73" s="120"/>
      <c r="AKC73" s="120"/>
      <c r="AKD73" s="120"/>
      <c r="AKE73" s="120"/>
      <c r="AKF73" s="120"/>
      <c r="AKG73" s="120"/>
      <c r="AKH73" s="120"/>
      <c r="AKI73" s="120"/>
      <c r="AKJ73" s="120"/>
      <c r="AKK73" s="120"/>
      <c r="AKL73" s="120"/>
      <c r="AKM73" s="120"/>
      <c r="AKN73" s="120"/>
      <c r="AKO73" s="120"/>
      <c r="AKP73" s="120"/>
      <c r="AKQ73" s="120"/>
      <c r="AKR73" s="120"/>
      <c r="AKS73" s="120"/>
      <c r="AKT73" s="120"/>
      <c r="AKU73" s="120"/>
      <c r="AKV73" s="120"/>
      <c r="AKW73" s="120"/>
      <c r="AKX73" s="120"/>
      <c r="AKY73" s="120"/>
      <c r="AKZ73" s="120"/>
      <c r="ALA73" s="120"/>
      <c r="ALB73" s="120"/>
      <c r="ALC73" s="120"/>
      <c r="ALD73" s="120"/>
      <c r="ALE73" s="120"/>
      <c r="ALF73" s="120"/>
      <c r="ALG73" s="120"/>
      <c r="ALH73" s="120"/>
      <c r="ALI73" s="120"/>
      <c r="ALJ73" s="120"/>
      <c r="ALK73" s="120"/>
      <c r="ALL73" s="120"/>
      <c r="ALM73" s="120"/>
      <c r="ALN73" s="120"/>
      <c r="ALO73" s="120"/>
      <c r="ALP73" s="120"/>
      <c r="ALQ73" s="120"/>
      <c r="ALR73" s="120"/>
      <c r="ALS73" s="120"/>
      <c r="ALT73" s="120"/>
      <c r="ALU73" s="120"/>
      <c r="ALV73" s="120"/>
      <c r="ALW73" s="120"/>
      <c r="ALX73" s="120"/>
      <c r="ALY73" s="120"/>
      <c r="ALZ73" s="120"/>
      <c r="AMA73" s="120"/>
      <c r="AMB73" s="120"/>
      <c r="AMC73" s="120"/>
      <c r="AMD73" s="120"/>
      <c r="AME73" s="120"/>
      <c r="AMF73" s="120"/>
      <c r="AMG73" s="120"/>
      <c r="AMH73" s="120"/>
      <c r="AMI73" s="120"/>
      <c r="AMJ73" s="120"/>
      <c r="AMK73" s="120"/>
      <c r="AML73" s="120"/>
      <c r="AMM73" s="120"/>
      <c r="AMN73" s="120"/>
      <c r="AMO73" s="120"/>
      <c r="AMP73" s="120"/>
      <c r="AMQ73" s="120"/>
      <c r="AMR73" s="120"/>
      <c r="AMS73" s="120"/>
      <c r="AMT73" s="120"/>
      <c r="AMU73" s="120"/>
      <c r="AMV73" s="120"/>
      <c r="AMW73" s="120"/>
      <c r="AMX73" s="120"/>
      <c r="AMY73" s="120"/>
      <c r="AMZ73" s="120"/>
      <c r="ANA73" s="120"/>
      <c r="ANB73" s="120"/>
      <c r="ANC73" s="120"/>
      <c r="AND73" s="120"/>
      <c r="ANE73" s="120"/>
      <c r="ANF73" s="120"/>
      <c r="ANG73" s="120"/>
      <c r="ANH73" s="120"/>
      <c r="ANI73" s="120"/>
      <c r="ANJ73" s="120"/>
      <c r="ANK73" s="120"/>
      <c r="ANL73" s="120"/>
      <c r="ANM73" s="120"/>
      <c r="ANN73" s="120"/>
      <c r="ANO73" s="120"/>
      <c r="ANP73" s="120"/>
      <c r="ANQ73" s="120"/>
      <c r="ANR73" s="120"/>
      <c r="ANS73" s="120"/>
      <c r="ANT73" s="120"/>
      <c r="ANU73" s="120"/>
      <c r="ANV73" s="120"/>
      <c r="ANW73" s="120"/>
      <c r="ANX73" s="120"/>
      <c r="ANY73" s="120"/>
      <c r="ANZ73" s="120"/>
      <c r="AOA73" s="120"/>
      <c r="AOB73" s="120"/>
      <c r="AOC73" s="120"/>
      <c r="AOD73" s="120"/>
      <c r="AOE73" s="120"/>
      <c r="AOF73" s="120"/>
      <c r="AOG73" s="120"/>
      <c r="AOH73" s="120"/>
      <c r="AOI73" s="120"/>
      <c r="AOJ73" s="120"/>
      <c r="AOK73" s="120"/>
      <c r="AOL73" s="120"/>
      <c r="AOM73" s="120"/>
      <c r="AON73" s="120"/>
      <c r="AOO73" s="120"/>
      <c r="AOP73" s="120"/>
      <c r="AOQ73" s="120"/>
      <c r="AOR73" s="120"/>
      <c r="AOS73" s="120"/>
      <c r="AOT73" s="120"/>
      <c r="AOU73" s="120"/>
      <c r="AOV73" s="120"/>
      <c r="AOW73" s="120"/>
      <c r="AOX73" s="120"/>
      <c r="AOY73" s="120"/>
      <c r="AOZ73" s="120"/>
      <c r="APA73" s="120"/>
      <c r="APB73" s="120"/>
      <c r="APC73" s="120"/>
      <c r="APD73" s="120"/>
      <c r="APE73" s="120"/>
      <c r="APF73" s="120"/>
      <c r="APG73" s="120"/>
      <c r="APH73" s="120"/>
      <c r="API73" s="120"/>
      <c r="APJ73" s="120"/>
      <c r="APK73" s="120"/>
      <c r="APL73" s="120"/>
      <c r="APM73" s="120"/>
      <c r="APN73" s="120"/>
      <c r="APO73" s="120"/>
      <c r="APP73" s="120"/>
      <c r="APQ73" s="120"/>
      <c r="APR73" s="120"/>
      <c r="APS73" s="120"/>
      <c r="APT73" s="120"/>
      <c r="APU73" s="120"/>
      <c r="APV73" s="120"/>
      <c r="APW73" s="120"/>
      <c r="APX73" s="120"/>
      <c r="APY73" s="120"/>
      <c r="APZ73" s="120"/>
      <c r="AQA73" s="120"/>
      <c r="AQB73" s="120"/>
      <c r="AQC73" s="120"/>
      <c r="AQD73" s="120"/>
      <c r="AQE73" s="120"/>
      <c r="AQF73" s="120"/>
      <c r="AQG73" s="120"/>
      <c r="AQH73" s="120"/>
      <c r="AQI73" s="120"/>
      <c r="AQJ73" s="120"/>
      <c r="AQK73" s="120"/>
      <c r="AQL73" s="120"/>
      <c r="AQM73" s="120"/>
      <c r="AQN73" s="120"/>
      <c r="AQO73" s="120"/>
      <c r="AQP73" s="120"/>
      <c r="AQQ73" s="120"/>
      <c r="AQR73" s="120"/>
      <c r="AQS73" s="120"/>
      <c r="AQT73" s="120"/>
      <c r="AQU73" s="120"/>
      <c r="AQV73" s="120"/>
      <c r="AQW73" s="120"/>
      <c r="AQX73" s="120"/>
      <c r="AQY73" s="120"/>
      <c r="AQZ73" s="120"/>
      <c r="ARA73" s="120"/>
      <c r="ARB73" s="120"/>
      <c r="ARC73" s="120"/>
      <c r="ARD73" s="120"/>
      <c r="ARE73" s="120"/>
      <c r="ARF73" s="120"/>
      <c r="ARG73" s="120"/>
      <c r="ARH73" s="120"/>
      <c r="ARI73" s="120"/>
      <c r="ARJ73" s="120"/>
      <c r="ARK73" s="120"/>
      <c r="ARL73" s="120"/>
      <c r="ARM73" s="120"/>
      <c r="ARN73" s="120"/>
      <c r="ARO73" s="120"/>
      <c r="ARP73" s="120"/>
      <c r="ARQ73" s="120"/>
      <c r="ARR73" s="120"/>
      <c r="ARS73" s="120"/>
      <c r="ART73" s="120"/>
      <c r="ARU73" s="120"/>
      <c r="ARV73" s="120"/>
      <c r="ARW73" s="120"/>
      <c r="ARX73" s="120"/>
      <c r="ARY73" s="120"/>
      <c r="ARZ73" s="120"/>
      <c r="ASA73" s="120"/>
      <c r="ASB73" s="120"/>
      <c r="ASC73" s="120"/>
      <c r="ASD73" s="120"/>
      <c r="ASE73" s="120"/>
      <c r="ASF73" s="120"/>
      <c r="ASG73" s="120"/>
      <c r="ASH73" s="120"/>
      <c r="ASI73" s="120"/>
      <c r="ASJ73" s="120"/>
      <c r="ASK73" s="120"/>
      <c r="ASL73" s="120"/>
      <c r="ASM73" s="120"/>
      <c r="ASN73" s="120"/>
      <c r="ASO73" s="120"/>
      <c r="ASP73" s="120"/>
      <c r="ASQ73" s="120"/>
      <c r="ASR73" s="120"/>
      <c r="ASS73" s="120"/>
      <c r="AST73" s="120"/>
      <c r="ASU73" s="120"/>
      <c r="ASV73" s="120"/>
      <c r="ASW73" s="120"/>
      <c r="ASX73" s="120"/>
      <c r="ASY73" s="120"/>
      <c r="ASZ73" s="120"/>
      <c r="ATA73" s="120"/>
      <c r="ATB73" s="120"/>
      <c r="ATC73" s="120"/>
      <c r="ATD73" s="120"/>
      <c r="ATE73" s="120"/>
      <c r="ATF73" s="120"/>
      <c r="ATG73" s="120"/>
      <c r="ATH73" s="120"/>
      <c r="ATI73" s="120"/>
      <c r="ATJ73" s="120"/>
      <c r="ATK73" s="120"/>
      <c r="ATL73" s="120"/>
      <c r="ATM73" s="120"/>
      <c r="ATN73" s="120"/>
      <c r="ATO73" s="120"/>
      <c r="ATP73" s="120"/>
      <c r="ATQ73" s="120"/>
      <c r="ATR73" s="120"/>
      <c r="ATS73" s="120"/>
      <c r="ATT73" s="120"/>
      <c r="ATU73" s="120"/>
      <c r="ATV73" s="120"/>
      <c r="ATW73" s="120"/>
      <c r="ATX73" s="120"/>
      <c r="ATY73" s="120"/>
      <c r="ATZ73" s="120"/>
      <c r="AUA73" s="120"/>
      <c r="AUB73" s="120"/>
      <c r="AUC73" s="120"/>
      <c r="AUD73" s="120"/>
      <c r="AUE73" s="120"/>
      <c r="AUF73" s="120"/>
      <c r="AUG73" s="120"/>
      <c r="AUH73" s="120"/>
      <c r="AUI73" s="120"/>
      <c r="AUJ73" s="120"/>
      <c r="AUK73" s="120"/>
      <c r="AUL73" s="120"/>
      <c r="AUM73" s="120"/>
      <c r="AUN73" s="120"/>
      <c r="AUO73" s="120"/>
      <c r="AUP73" s="120"/>
      <c r="AUQ73" s="120"/>
      <c r="AUR73" s="120"/>
      <c r="AUS73" s="120"/>
      <c r="AUT73" s="120"/>
      <c r="AUU73" s="120"/>
      <c r="AUV73" s="120"/>
      <c r="AUW73" s="120"/>
      <c r="AUX73" s="120"/>
      <c r="AUY73" s="120"/>
      <c r="AUZ73" s="120"/>
      <c r="AVA73" s="120"/>
      <c r="AVB73" s="120"/>
      <c r="AVC73" s="120"/>
      <c r="AVD73" s="120"/>
      <c r="AVE73" s="120"/>
      <c r="AVF73" s="120"/>
      <c r="AVG73" s="120"/>
      <c r="AVH73" s="120"/>
      <c r="AVI73" s="120"/>
      <c r="AVJ73" s="120"/>
      <c r="AVK73" s="120"/>
      <c r="AVL73" s="120"/>
      <c r="AVM73" s="120"/>
      <c r="AVN73" s="120"/>
      <c r="AVO73" s="120"/>
      <c r="AVP73" s="120"/>
      <c r="AVQ73" s="120"/>
      <c r="AVR73" s="120"/>
      <c r="AVS73" s="120"/>
      <c r="AVT73" s="120"/>
      <c r="AVU73" s="120"/>
      <c r="AVV73" s="120"/>
      <c r="AVW73" s="120"/>
      <c r="AVX73" s="120"/>
      <c r="AVY73" s="120"/>
      <c r="AVZ73" s="120"/>
      <c r="AWA73" s="120"/>
      <c r="AWB73" s="120"/>
      <c r="AWC73" s="120"/>
      <c r="AWD73" s="120"/>
      <c r="AWE73" s="120"/>
      <c r="AWF73" s="120"/>
      <c r="AWG73" s="120"/>
      <c r="AWH73" s="120"/>
      <c r="AWI73" s="120"/>
      <c r="AWJ73" s="120"/>
      <c r="AWK73" s="120"/>
      <c r="AWL73" s="120"/>
      <c r="AWM73" s="120"/>
      <c r="AWN73" s="120"/>
      <c r="AWO73" s="120"/>
      <c r="AWP73" s="120"/>
      <c r="AWQ73" s="120"/>
      <c r="AWR73" s="120"/>
      <c r="AWS73" s="120"/>
      <c r="AWT73" s="120"/>
      <c r="AWU73" s="120"/>
      <c r="AWV73" s="120"/>
      <c r="AWW73" s="120"/>
      <c r="AWX73" s="120"/>
      <c r="AWY73" s="120"/>
      <c r="AWZ73" s="120"/>
      <c r="AXA73" s="120"/>
      <c r="AXB73" s="120"/>
      <c r="AXC73" s="120"/>
      <c r="AXD73" s="120"/>
      <c r="AXE73" s="120"/>
      <c r="AXF73" s="120"/>
      <c r="AXG73" s="120"/>
      <c r="AXH73" s="120"/>
      <c r="AXI73" s="120"/>
      <c r="AXJ73" s="120"/>
      <c r="AXK73" s="120"/>
      <c r="AXL73" s="120"/>
      <c r="AXM73" s="120"/>
      <c r="AXN73" s="120"/>
      <c r="AXO73" s="120"/>
      <c r="AXP73" s="120"/>
      <c r="AXQ73" s="120"/>
      <c r="AXR73" s="120"/>
      <c r="AXS73" s="120"/>
      <c r="AXT73" s="120"/>
      <c r="AXU73" s="120"/>
      <c r="AXV73" s="120"/>
      <c r="AXW73" s="120"/>
      <c r="AXX73" s="120"/>
      <c r="AXY73" s="120"/>
      <c r="AXZ73" s="120"/>
      <c r="AYA73" s="120"/>
      <c r="AYB73" s="120"/>
      <c r="AYC73" s="120"/>
      <c r="AYD73" s="120"/>
      <c r="AYE73" s="120"/>
      <c r="AYF73" s="120"/>
      <c r="AYG73" s="120"/>
      <c r="AYH73" s="120"/>
      <c r="AYI73" s="120"/>
      <c r="AYJ73" s="120"/>
      <c r="AYK73" s="120"/>
      <c r="AYL73" s="120"/>
      <c r="AYM73" s="120"/>
      <c r="AYN73" s="120"/>
      <c r="AYO73" s="120"/>
      <c r="AYP73" s="120"/>
      <c r="AYQ73" s="120"/>
      <c r="AYR73" s="120"/>
      <c r="AYS73" s="120"/>
      <c r="AYT73" s="120"/>
      <c r="AYU73" s="120"/>
      <c r="AYV73" s="120"/>
      <c r="AYW73" s="120"/>
      <c r="AYX73" s="120"/>
      <c r="AYY73" s="120"/>
      <c r="AYZ73" s="120"/>
      <c r="AZA73" s="120"/>
      <c r="AZB73" s="120"/>
      <c r="AZC73" s="120"/>
      <c r="AZD73" s="120"/>
      <c r="AZE73" s="120"/>
      <c r="AZF73" s="120"/>
      <c r="AZG73" s="120"/>
      <c r="AZH73" s="120"/>
      <c r="AZI73" s="120"/>
      <c r="AZJ73" s="120"/>
      <c r="AZK73" s="120"/>
      <c r="AZL73" s="120"/>
      <c r="AZM73" s="120"/>
      <c r="AZN73" s="120"/>
      <c r="AZO73" s="120"/>
      <c r="AZP73" s="120"/>
      <c r="AZQ73" s="120"/>
      <c r="AZR73" s="120"/>
      <c r="AZS73" s="120"/>
      <c r="AZT73" s="120"/>
      <c r="AZU73" s="120"/>
      <c r="AZV73" s="120"/>
      <c r="AZW73" s="120"/>
      <c r="AZX73" s="120"/>
      <c r="AZY73" s="120"/>
      <c r="AZZ73" s="120"/>
      <c r="BAA73" s="120"/>
      <c r="BAB73" s="120"/>
      <c r="BAC73" s="120"/>
      <c r="BAD73" s="120"/>
      <c r="BAE73" s="120"/>
      <c r="BAF73" s="120"/>
      <c r="BAG73" s="120"/>
      <c r="BAH73" s="120"/>
      <c r="BAI73" s="120"/>
      <c r="BAJ73" s="120"/>
      <c r="BAK73" s="120"/>
      <c r="BAL73" s="120"/>
      <c r="BAM73" s="120"/>
      <c r="BAN73" s="120"/>
      <c r="BAO73" s="120"/>
      <c r="BAP73" s="120"/>
      <c r="BAQ73" s="120"/>
      <c r="BAR73" s="120"/>
      <c r="BAS73" s="120"/>
      <c r="BAT73" s="120"/>
      <c r="BAU73" s="120"/>
      <c r="BAV73" s="120"/>
      <c r="BAW73" s="120"/>
      <c r="BAX73" s="120"/>
      <c r="BAY73" s="120"/>
      <c r="BAZ73" s="120"/>
      <c r="BBA73" s="120"/>
      <c r="BBB73" s="120"/>
      <c r="BBC73" s="120"/>
      <c r="BBD73" s="120"/>
      <c r="BBE73" s="120"/>
      <c r="BBF73" s="120"/>
      <c r="BBG73" s="120"/>
      <c r="BBH73" s="120"/>
      <c r="BBI73" s="120"/>
      <c r="BBJ73" s="120"/>
      <c r="BBK73" s="120"/>
      <c r="BBL73" s="120"/>
      <c r="BBM73" s="120"/>
      <c r="BBN73" s="120"/>
      <c r="BBO73" s="120"/>
      <c r="BBP73" s="120"/>
      <c r="BBQ73" s="120"/>
      <c r="BBR73" s="120"/>
      <c r="BBS73" s="120"/>
      <c r="BBT73" s="120"/>
      <c r="BBU73" s="120"/>
      <c r="BBV73" s="120"/>
      <c r="BBW73" s="120"/>
      <c r="BBX73" s="120"/>
      <c r="BBY73" s="120"/>
      <c r="BBZ73" s="120"/>
      <c r="BCA73" s="120"/>
      <c r="BCB73" s="120"/>
      <c r="BCC73" s="120"/>
      <c r="BCD73" s="120"/>
      <c r="BCE73" s="120"/>
      <c r="BCF73" s="120"/>
      <c r="BCG73" s="120"/>
      <c r="BCH73" s="120"/>
      <c r="BCI73" s="120"/>
      <c r="BCJ73" s="120"/>
      <c r="BCK73" s="120"/>
      <c r="BCL73" s="120"/>
      <c r="BCM73" s="120"/>
      <c r="BCN73" s="120"/>
      <c r="BCO73" s="120"/>
      <c r="BCP73" s="120"/>
      <c r="BCQ73" s="120"/>
      <c r="BCR73" s="120"/>
      <c r="BCS73" s="120"/>
      <c r="BCT73" s="120"/>
      <c r="BCU73" s="120"/>
      <c r="BCV73" s="120"/>
      <c r="BCW73" s="120"/>
      <c r="BCX73" s="120"/>
      <c r="BCY73" s="120"/>
      <c r="BCZ73" s="120"/>
      <c r="BDA73" s="120"/>
      <c r="BDB73" s="120"/>
      <c r="BDC73" s="120"/>
      <c r="BDD73" s="120"/>
      <c r="BDE73" s="120"/>
      <c r="BDF73" s="120"/>
      <c r="BDG73" s="120"/>
      <c r="BDH73" s="120"/>
      <c r="BDI73" s="120"/>
      <c r="BDJ73" s="120"/>
      <c r="BDK73" s="120"/>
      <c r="BDL73" s="120"/>
      <c r="BDM73" s="120"/>
      <c r="BDN73" s="120"/>
      <c r="BDO73" s="120"/>
      <c r="BDP73" s="120"/>
      <c r="BDQ73" s="120"/>
      <c r="BDR73" s="120"/>
      <c r="BDS73" s="120"/>
      <c r="BDT73" s="120"/>
      <c r="BDU73" s="120"/>
      <c r="BDV73" s="120"/>
      <c r="BDW73" s="120"/>
      <c r="BDX73" s="120"/>
      <c r="BDY73" s="120"/>
      <c r="BDZ73" s="120"/>
      <c r="BEA73" s="120"/>
      <c r="BEB73" s="120"/>
      <c r="BEC73" s="120"/>
      <c r="BED73" s="120"/>
      <c r="BEE73" s="120"/>
      <c r="BEF73" s="120"/>
      <c r="BEG73" s="120"/>
      <c r="BEH73" s="120"/>
      <c r="BEI73" s="120"/>
      <c r="BEJ73" s="120"/>
      <c r="BEK73" s="120"/>
      <c r="BEL73" s="120"/>
      <c r="BEM73" s="120"/>
      <c r="BEN73" s="120"/>
      <c r="BEO73" s="120"/>
      <c r="BEP73" s="120"/>
      <c r="BEQ73" s="120"/>
      <c r="BER73" s="120"/>
      <c r="BES73" s="120"/>
      <c r="BET73" s="120"/>
      <c r="BEU73" s="120"/>
      <c r="BEV73" s="120"/>
      <c r="BEW73" s="120"/>
      <c r="BEX73" s="120"/>
      <c r="BEY73" s="120"/>
      <c r="BEZ73" s="120"/>
      <c r="BFA73" s="120"/>
      <c r="BFB73" s="120"/>
      <c r="BFC73" s="120"/>
      <c r="BFD73" s="120"/>
      <c r="BFE73" s="120"/>
      <c r="BFF73" s="120"/>
      <c r="BFG73" s="120"/>
      <c r="BFH73" s="120"/>
      <c r="BFI73" s="120"/>
      <c r="BFJ73" s="120"/>
      <c r="BFK73" s="120"/>
      <c r="BFL73" s="120"/>
      <c r="BFM73" s="120"/>
      <c r="BFN73" s="120"/>
      <c r="BFO73" s="120"/>
      <c r="BFP73" s="120"/>
      <c r="BFQ73" s="120"/>
      <c r="BFR73" s="120"/>
      <c r="BFS73" s="120"/>
      <c r="BFT73" s="120"/>
      <c r="BFU73" s="120"/>
      <c r="BFV73" s="120"/>
      <c r="BFW73" s="120"/>
      <c r="BFX73" s="120"/>
      <c r="BFY73" s="120"/>
      <c r="BFZ73" s="120"/>
      <c r="BGA73" s="120"/>
      <c r="BGB73" s="120"/>
      <c r="BGC73" s="120"/>
      <c r="BGD73" s="120"/>
      <c r="BGE73" s="120"/>
      <c r="BGF73" s="120"/>
      <c r="BGG73" s="120"/>
      <c r="BGH73" s="120"/>
      <c r="BGI73" s="120"/>
      <c r="BGJ73" s="120"/>
      <c r="BGK73" s="120"/>
      <c r="BGL73" s="120"/>
      <c r="BGM73" s="120"/>
      <c r="BGN73" s="120"/>
      <c r="BGO73" s="120"/>
      <c r="BGP73" s="120"/>
      <c r="BGQ73" s="120"/>
      <c r="BGR73" s="120"/>
      <c r="BGS73" s="120"/>
      <c r="BGT73" s="120"/>
      <c r="BGU73" s="120"/>
      <c r="BGV73" s="120"/>
      <c r="BGW73" s="120"/>
      <c r="BGX73" s="120"/>
      <c r="BGY73" s="120"/>
      <c r="BGZ73" s="120"/>
      <c r="BHA73" s="120"/>
      <c r="BHB73" s="120"/>
      <c r="BHC73" s="120"/>
      <c r="BHD73" s="120"/>
      <c r="BHE73" s="120"/>
      <c r="BHF73" s="120"/>
      <c r="BHG73" s="120"/>
      <c r="BHH73" s="120"/>
      <c r="BHI73" s="120"/>
      <c r="BHJ73" s="120"/>
      <c r="BHK73" s="120"/>
      <c r="BHL73" s="120"/>
      <c r="BHM73" s="120"/>
      <c r="BHN73" s="120"/>
      <c r="BHO73" s="120"/>
      <c r="BHP73" s="120"/>
      <c r="BHQ73" s="120"/>
      <c r="BHR73" s="120"/>
      <c r="BHS73" s="120"/>
      <c r="BHT73" s="120"/>
      <c r="BHU73" s="120"/>
      <c r="BHV73" s="120"/>
      <c r="BHW73" s="120"/>
      <c r="BHX73" s="120"/>
      <c r="BHY73" s="120"/>
      <c r="BHZ73" s="120"/>
      <c r="BIA73" s="120"/>
      <c r="BIB73" s="120"/>
      <c r="BIC73" s="120"/>
      <c r="BID73" s="120"/>
      <c r="BIE73" s="120"/>
      <c r="BIF73" s="120"/>
      <c r="BIG73" s="120"/>
      <c r="BIH73" s="120"/>
      <c r="BII73" s="120"/>
      <c r="BIJ73" s="120"/>
      <c r="BIK73" s="120"/>
      <c r="BIL73" s="120"/>
      <c r="BIM73" s="120"/>
      <c r="BIN73" s="120"/>
      <c r="BIO73" s="120"/>
      <c r="BIP73" s="120"/>
      <c r="BIQ73" s="120"/>
      <c r="BIR73" s="120"/>
      <c r="BIS73" s="120"/>
      <c r="BIT73" s="120"/>
      <c r="BIU73" s="120"/>
      <c r="BIV73" s="120"/>
      <c r="BIW73" s="120"/>
      <c r="BIX73" s="120"/>
      <c r="BIY73" s="120"/>
      <c r="BIZ73" s="120"/>
      <c r="BJA73" s="120"/>
      <c r="BJB73" s="120"/>
      <c r="BJC73" s="120"/>
      <c r="BJD73" s="120"/>
      <c r="BJE73" s="120"/>
      <c r="BJF73" s="120"/>
      <c r="BJG73" s="120"/>
      <c r="BJH73" s="120"/>
      <c r="BJI73" s="120"/>
      <c r="BJJ73" s="120"/>
      <c r="BJK73" s="120"/>
      <c r="BJL73" s="120"/>
      <c r="BJM73" s="120"/>
      <c r="BJN73" s="120"/>
      <c r="BJO73" s="120"/>
      <c r="BJP73" s="120"/>
      <c r="BJQ73" s="120"/>
      <c r="BJR73" s="120"/>
      <c r="BJS73" s="120"/>
      <c r="BJT73" s="120"/>
      <c r="BJU73" s="120"/>
      <c r="BJV73" s="120"/>
      <c r="BJW73" s="120"/>
      <c r="BJX73" s="120"/>
      <c r="BJY73" s="120"/>
      <c r="BJZ73" s="120"/>
      <c r="BKA73" s="120"/>
      <c r="BKB73" s="120"/>
      <c r="BKC73" s="120"/>
      <c r="BKD73" s="120"/>
      <c r="BKE73" s="120"/>
      <c r="BKF73" s="120"/>
      <c r="BKG73" s="120"/>
      <c r="BKH73" s="120"/>
      <c r="BKI73" s="120"/>
      <c r="BKJ73" s="120"/>
      <c r="BKK73" s="120"/>
      <c r="BKL73" s="120"/>
      <c r="BKM73" s="120"/>
      <c r="BKN73" s="120"/>
      <c r="BKO73" s="120"/>
      <c r="BKP73" s="120"/>
      <c r="BKQ73" s="120"/>
      <c r="BKR73" s="120"/>
      <c r="BKS73" s="120"/>
      <c r="BKT73" s="120"/>
      <c r="BKU73" s="120"/>
      <c r="BKV73" s="120"/>
      <c r="BKW73" s="120"/>
      <c r="BKX73" s="120"/>
      <c r="BKY73" s="120"/>
      <c r="BKZ73" s="120"/>
      <c r="BLA73" s="120"/>
      <c r="BLB73" s="120"/>
      <c r="BLC73" s="120"/>
      <c r="BLD73" s="120"/>
      <c r="BLE73" s="120"/>
      <c r="BLF73" s="120"/>
      <c r="BLG73" s="120"/>
      <c r="BLH73" s="120"/>
      <c r="BLI73" s="120"/>
      <c r="BLJ73" s="120"/>
      <c r="BLK73" s="120"/>
      <c r="BLL73" s="120"/>
      <c r="BLM73" s="120"/>
      <c r="BLN73" s="120"/>
      <c r="BLO73" s="120"/>
      <c r="BLP73" s="120"/>
      <c r="BLQ73" s="120"/>
      <c r="BLR73" s="120"/>
      <c r="BLS73" s="120"/>
      <c r="BLT73" s="120"/>
      <c r="BLU73" s="120"/>
      <c r="BLV73" s="120"/>
      <c r="BLW73" s="120"/>
      <c r="BLX73" s="120"/>
      <c r="BLY73" s="120"/>
      <c r="BLZ73" s="120"/>
      <c r="BMA73" s="120"/>
      <c r="BMB73" s="120"/>
      <c r="BMC73" s="120"/>
      <c r="BMD73" s="120"/>
      <c r="BME73" s="120"/>
      <c r="BMF73" s="120"/>
      <c r="BMG73" s="120"/>
      <c r="BMH73" s="120"/>
      <c r="BMI73" s="120"/>
      <c r="BMJ73" s="120"/>
      <c r="BMK73" s="120"/>
      <c r="BML73" s="120"/>
      <c r="BMM73" s="120"/>
      <c r="BMN73" s="120"/>
      <c r="BMO73" s="120"/>
      <c r="BMP73" s="120"/>
      <c r="BMQ73" s="120"/>
      <c r="BMR73" s="120"/>
      <c r="BMS73" s="120"/>
      <c r="BMT73" s="120"/>
      <c r="BMU73" s="120"/>
      <c r="BMV73" s="120"/>
      <c r="BMW73" s="120"/>
      <c r="BMX73" s="120"/>
      <c r="BMY73" s="120"/>
      <c r="BMZ73" s="120"/>
      <c r="BNA73" s="120"/>
      <c r="BNB73" s="120"/>
      <c r="BNC73" s="120"/>
      <c r="BND73" s="120"/>
      <c r="BNE73" s="120"/>
      <c r="BNF73" s="120"/>
      <c r="BNG73" s="120"/>
      <c r="BNH73" s="120"/>
      <c r="BNI73" s="120"/>
      <c r="BNJ73" s="120"/>
      <c r="BNK73" s="120"/>
      <c r="BNL73" s="120"/>
      <c r="BNM73" s="120"/>
      <c r="BNN73" s="120"/>
      <c r="BNO73" s="120"/>
      <c r="BNP73" s="120"/>
      <c r="BNQ73" s="120"/>
      <c r="BNR73" s="120"/>
      <c r="BNS73" s="120"/>
      <c r="BNT73" s="120"/>
      <c r="BNU73" s="120"/>
      <c r="BNV73" s="120"/>
      <c r="BNW73" s="120"/>
      <c r="BNX73" s="120"/>
      <c r="BNY73" s="120"/>
      <c r="BNZ73" s="120"/>
      <c r="BOA73" s="120"/>
      <c r="BOB73" s="120"/>
      <c r="BOC73" s="120"/>
      <c r="BOD73" s="120"/>
      <c r="BOE73" s="120"/>
      <c r="BOF73" s="120"/>
      <c r="BOG73" s="120"/>
      <c r="BOH73" s="120"/>
      <c r="BOI73" s="120"/>
      <c r="BOJ73" s="120"/>
      <c r="BOK73" s="120"/>
      <c r="BOL73" s="120"/>
      <c r="BOM73" s="120"/>
      <c r="BON73" s="120"/>
      <c r="BOO73" s="120"/>
      <c r="BOP73" s="120"/>
      <c r="BOQ73" s="120"/>
      <c r="BOR73" s="120"/>
      <c r="BOS73" s="120"/>
      <c r="BOT73" s="120"/>
      <c r="BOU73" s="120"/>
      <c r="BOV73" s="120"/>
      <c r="BOW73" s="120"/>
      <c r="BOX73" s="120"/>
      <c r="BOY73" s="120"/>
      <c r="BOZ73" s="120"/>
      <c r="BPA73" s="120"/>
      <c r="BPB73" s="120"/>
      <c r="BPC73" s="120"/>
      <c r="BPD73" s="120"/>
      <c r="BPE73" s="120"/>
      <c r="BPF73" s="120"/>
      <c r="BPG73" s="120"/>
      <c r="BPH73" s="120"/>
      <c r="BPI73" s="120"/>
      <c r="BPJ73" s="120"/>
      <c r="BPK73" s="120"/>
      <c r="BPL73" s="120"/>
      <c r="BPM73" s="120"/>
      <c r="BPN73" s="120"/>
      <c r="BPO73" s="120"/>
      <c r="BPP73" s="120"/>
      <c r="BPQ73" s="120"/>
      <c r="BPR73" s="120"/>
      <c r="BPS73" s="120"/>
      <c r="BPT73" s="120"/>
      <c r="BPU73" s="120"/>
      <c r="BPV73" s="120"/>
      <c r="BPW73" s="120"/>
      <c r="BPX73" s="120"/>
      <c r="BPY73" s="120"/>
      <c r="BPZ73" s="120"/>
      <c r="BQA73" s="120"/>
      <c r="BQB73" s="120"/>
      <c r="BQC73" s="120"/>
      <c r="BQD73" s="120"/>
      <c r="BQE73" s="120"/>
      <c r="BQF73" s="120"/>
      <c r="BQG73" s="120"/>
      <c r="BQH73" s="120"/>
      <c r="BQI73" s="120"/>
      <c r="BQJ73" s="120"/>
      <c r="BQK73" s="120"/>
      <c r="BQL73" s="120"/>
      <c r="BQM73" s="120"/>
      <c r="BQN73" s="120"/>
      <c r="BQO73" s="120"/>
      <c r="BQP73" s="120"/>
      <c r="BQQ73" s="120"/>
      <c r="BQR73" s="120"/>
      <c r="BQS73" s="120"/>
      <c r="BQT73" s="120"/>
      <c r="BQU73" s="120"/>
      <c r="BQV73" s="120"/>
      <c r="BQW73" s="120"/>
      <c r="BQX73" s="120"/>
      <c r="BQY73" s="120"/>
      <c r="BQZ73" s="120"/>
      <c r="BRA73" s="120"/>
      <c r="BRB73" s="120"/>
      <c r="BRC73" s="120"/>
      <c r="BRD73" s="120"/>
      <c r="BRE73" s="120"/>
      <c r="BRF73" s="120"/>
      <c r="BRG73" s="120"/>
      <c r="BRH73" s="120"/>
      <c r="BRI73" s="120"/>
      <c r="BRJ73" s="120"/>
      <c r="BRK73" s="120"/>
      <c r="BRL73" s="120"/>
      <c r="BRM73" s="120"/>
      <c r="BRN73" s="120"/>
      <c r="BRO73" s="120"/>
      <c r="BRP73" s="120"/>
      <c r="BRQ73" s="120"/>
      <c r="BRR73" s="120"/>
      <c r="BRS73" s="120"/>
      <c r="BRT73" s="120"/>
      <c r="BRU73" s="120"/>
      <c r="BRV73" s="120"/>
      <c r="BRW73" s="120"/>
      <c r="BRX73" s="120"/>
      <c r="BRY73" s="120"/>
      <c r="BRZ73" s="120"/>
      <c r="BSA73" s="120"/>
      <c r="BSB73" s="120"/>
      <c r="BSC73" s="120"/>
      <c r="BSD73" s="120"/>
      <c r="BSE73" s="120"/>
      <c r="BSF73" s="120"/>
      <c r="BSG73" s="120"/>
      <c r="BSH73" s="120"/>
      <c r="BSI73" s="120"/>
      <c r="BSJ73" s="120"/>
      <c r="BSK73" s="120"/>
      <c r="BSL73" s="120"/>
      <c r="BSM73" s="120"/>
      <c r="BSN73" s="120"/>
      <c r="BSO73" s="120"/>
      <c r="BSP73" s="120"/>
      <c r="BSQ73" s="120"/>
      <c r="BSR73" s="120"/>
      <c r="BSS73" s="120"/>
      <c r="BST73" s="120"/>
      <c r="BSU73" s="120"/>
      <c r="BSV73" s="120"/>
      <c r="BSW73" s="120"/>
      <c r="BSX73" s="120"/>
      <c r="BSY73" s="120"/>
      <c r="BSZ73" s="120"/>
      <c r="BTA73" s="120"/>
      <c r="BTB73" s="120"/>
      <c r="BTC73" s="120"/>
      <c r="BTD73" s="120"/>
      <c r="BTE73" s="120"/>
      <c r="BTF73" s="120"/>
      <c r="BTG73" s="120"/>
      <c r="BTH73" s="120"/>
      <c r="BTI73" s="120"/>
      <c r="BTJ73" s="120"/>
      <c r="BTK73" s="120"/>
      <c r="BTL73" s="120"/>
      <c r="BTM73" s="120"/>
      <c r="BTN73" s="120"/>
      <c r="BTO73" s="120"/>
      <c r="BTP73" s="120"/>
      <c r="BTQ73" s="120"/>
      <c r="BTR73" s="120"/>
      <c r="BTS73" s="120"/>
      <c r="BTT73" s="120"/>
      <c r="BTU73" s="120"/>
      <c r="BTV73" s="120"/>
      <c r="BTW73" s="120"/>
      <c r="BTX73" s="120"/>
      <c r="BTY73" s="120"/>
      <c r="BTZ73" s="120"/>
      <c r="BUA73" s="120"/>
      <c r="BUB73" s="120"/>
      <c r="BUC73" s="120"/>
      <c r="BUD73" s="120"/>
      <c r="BUE73" s="120"/>
      <c r="BUF73" s="120"/>
      <c r="BUG73" s="120"/>
      <c r="BUH73" s="120"/>
      <c r="BUI73" s="120"/>
      <c r="BUJ73" s="120"/>
      <c r="BUK73" s="120"/>
      <c r="BUL73" s="120"/>
      <c r="BUM73" s="120"/>
      <c r="BUN73" s="120"/>
      <c r="BUO73" s="120"/>
      <c r="BUP73" s="120"/>
      <c r="BUQ73" s="120"/>
      <c r="BUR73" s="120"/>
      <c r="BUS73" s="120"/>
      <c r="BUT73" s="120"/>
      <c r="BUU73" s="120"/>
      <c r="BUV73" s="120"/>
      <c r="BUW73" s="120"/>
      <c r="BUX73" s="120"/>
      <c r="BUY73" s="120"/>
      <c r="BUZ73" s="120"/>
      <c r="BVA73" s="120"/>
      <c r="BVB73" s="120"/>
      <c r="BVC73" s="120"/>
      <c r="BVD73" s="120"/>
      <c r="BVE73" s="120"/>
      <c r="BVF73" s="120"/>
      <c r="BVG73" s="120"/>
      <c r="BVH73" s="120"/>
      <c r="BVI73" s="120"/>
      <c r="BVJ73" s="120"/>
      <c r="BVK73" s="120"/>
      <c r="BVL73" s="120"/>
      <c r="BVM73" s="120"/>
      <c r="BVN73" s="120"/>
      <c r="BVO73" s="120"/>
      <c r="BVP73" s="120"/>
      <c r="BVQ73" s="120"/>
      <c r="BVR73" s="120"/>
      <c r="BVS73" s="120"/>
      <c r="BVT73" s="120"/>
      <c r="BVU73" s="120"/>
      <c r="BVV73" s="120"/>
      <c r="BVW73" s="120"/>
      <c r="BVX73" s="120"/>
      <c r="BVY73" s="120"/>
      <c r="BVZ73" s="120"/>
      <c r="BWA73" s="120"/>
      <c r="BWB73" s="120"/>
      <c r="BWC73" s="120"/>
      <c r="BWD73" s="120"/>
      <c r="BWE73" s="120"/>
      <c r="BWF73" s="120"/>
      <c r="BWG73" s="120"/>
      <c r="BWH73" s="120"/>
      <c r="BWI73" s="120"/>
      <c r="BWJ73" s="120"/>
      <c r="BWK73" s="120"/>
      <c r="BWL73" s="120"/>
      <c r="BWM73" s="120"/>
      <c r="BWN73" s="120"/>
      <c r="BWO73" s="120"/>
      <c r="BWP73" s="120"/>
      <c r="BWQ73" s="120"/>
      <c r="BWR73" s="120"/>
      <c r="BWS73" s="120"/>
      <c r="BWT73" s="120"/>
      <c r="BWU73" s="120"/>
      <c r="BWV73" s="120"/>
      <c r="BWW73" s="120"/>
      <c r="BWX73" s="120"/>
      <c r="BWY73" s="120"/>
      <c r="BWZ73" s="120"/>
      <c r="BXA73" s="120"/>
      <c r="BXB73" s="120"/>
      <c r="BXC73" s="120"/>
      <c r="BXD73" s="120"/>
      <c r="BXE73" s="120"/>
      <c r="BXF73" s="120"/>
      <c r="BXG73" s="120"/>
      <c r="BXH73" s="120"/>
      <c r="BXI73" s="120"/>
      <c r="BXJ73" s="120"/>
      <c r="BXK73" s="120"/>
      <c r="BXL73" s="120"/>
      <c r="BXM73" s="120"/>
      <c r="BXN73" s="120"/>
      <c r="BXO73" s="120"/>
      <c r="BXP73" s="120"/>
      <c r="BXQ73" s="120"/>
      <c r="BXR73" s="120"/>
      <c r="BXS73" s="120"/>
      <c r="BXT73" s="120"/>
      <c r="BXU73" s="120"/>
      <c r="BXV73" s="120"/>
      <c r="BXW73" s="120"/>
      <c r="BXX73" s="120"/>
      <c r="BXY73" s="120"/>
      <c r="BXZ73" s="120"/>
      <c r="BYA73" s="120"/>
      <c r="BYB73" s="120"/>
      <c r="BYC73" s="120"/>
      <c r="BYD73" s="120"/>
      <c r="BYE73" s="120"/>
      <c r="BYF73" s="120"/>
      <c r="BYG73" s="120"/>
      <c r="BYH73" s="120"/>
      <c r="BYI73" s="120"/>
      <c r="BYJ73" s="120"/>
      <c r="BYK73" s="120"/>
      <c r="BYL73" s="120"/>
      <c r="BYM73" s="120"/>
      <c r="BYN73" s="120"/>
      <c r="BYO73" s="120"/>
      <c r="BYP73" s="120"/>
      <c r="BYQ73" s="120"/>
      <c r="BYR73" s="120"/>
      <c r="BYS73" s="120"/>
      <c r="BYT73" s="120"/>
      <c r="BYU73" s="120"/>
      <c r="BYV73" s="120"/>
      <c r="BYW73" s="120"/>
      <c r="BYX73" s="120"/>
      <c r="BYY73" s="120"/>
      <c r="BYZ73" s="120"/>
      <c r="BZA73" s="120"/>
      <c r="BZB73" s="120"/>
      <c r="BZC73" s="120"/>
      <c r="BZD73" s="120"/>
      <c r="BZE73" s="120"/>
      <c r="BZF73" s="120"/>
      <c r="BZG73" s="120"/>
      <c r="BZH73" s="120"/>
      <c r="BZI73" s="120"/>
      <c r="BZJ73" s="120"/>
      <c r="BZK73" s="120"/>
      <c r="BZL73" s="120"/>
      <c r="BZM73" s="120"/>
      <c r="BZN73" s="120"/>
      <c r="BZO73" s="120"/>
      <c r="BZP73" s="120"/>
      <c r="BZQ73" s="120"/>
      <c r="BZR73" s="120"/>
      <c r="BZS73" s="120"/>
      <c r="BZT73" s="120"/>
      <c r="BZU73" s="120"/>
      <c r="BZV73" s="120"/>
      <c r="BZW73" s="120"/>
      <c r="BZX73" s="120"/>
      <c r="BZY73" s="120"/>
      <c r="BZZ73" s="120"/>
      <c r="CAA73" s="120"/>
      <c r="CAB73" s="120"/>
      <c r="CAC73" s="120"/>
      <c r="CAD73" s="120"/>
      <c r="CAE73" s="120"/>
      <c r="CAF73" s="120"/>
      <c r="CAG73" s="120"/>
      <c r="CAH73" s="120"/>
      <c r="CAI73" s="120"/>
      <c r="CAJ73" s="120"/>
      <c r="CAK73" s="120"/>
      <c r="CAL73" s="120"/>
      <c r="CAM73" s="120"/>
      <c r="CAN73" s="120"/>
      <c r="CAO73" s="120"/>
      <c r="CAP73" s="120"/>
      <c r="CAQ73" s="120"/>
      <c r="CAR73" s="120"/>
      <c r="CAS73" s="120"/>
      <c r="CAT73" s="120"/>
      <c r="CAU73" s="120"/>
      <c r="CAV73" s="120"/>
      <c r="CAW73" s="120"/>
      <c r="CAX73" s="120"/>
      <c r="CAY73" s="120"/>
      <c r="CAZ73" s="120"/>
      <c r="CBA73" s="120"/>
      <c r="CBB73" s="120"/>
      <c r="CBC73" s="120"/>
      <c r="CBD73" s="120"/>
      <c r="CBE73" s="120"/>
      <c r="CBF73" s="120"/>
      <c r="CBG73" s="120"/>
      <c r="CBH73" s="120"/>
      <c r="CBI73" s="120"/>
      <c r="CBJ73" s="120"/>
      <c r="CBK73" s="120"/>
      <c r="CBL73" s="120"/>
      <c r="CBM73" s="120"/>
      <c r="CBN73" s="120"/>
      <c r="CBO73" s="120"/>
      <c r="CBP73" s="120"/>
      <c r="CBQ73" s="120"/>
      <c r="CBR73" s="120"/>
      <c r="CBS73" s="120"/>
      <c r="CBT73" s="120"/>
      <c r="CBU73" s="120"/>
      <c r="CBV73" s="120"/>
      <c r="CBW73" s="120"/>
      <c r="CBX73" s="120"/>
      <c r="CBY73" s="120"/>
      <c r="CBZ73" s="120"/>
      <c r="CCA73" s="120"/>
      <c r="CCB73" s="120"/>
      <c r="CCC73" s="120"/>
      <c r="CCD73" s="120"/>
      <c r="CCE73" s="120"/>
      <c r="CCF73" s="120"/>
      <c r="CCG73" s="120"/>
      <c r="CCH73" s="120"/>
      <c r="CCI73" s="120"/>
      <c r="CCJ73" s="120"/>
      <c r="CCK73" s="120"/>
      <c r="CCL73" s="120"/>
      <c r="CCM73" s="120"/>
      <c r="CCN73" s="120"/>
      <c r="CCO73" s="120"/>
      <c r="CCP73" s="120"/>
      <c r="CCQ73" s="120"/>
      <c r="CCR73" s="120"/>
      <c r="CCS73" s="120"/>
      <c r="CCT73" s="120"/>
      <c r="CCU73" s="120"/>
      <c r="CCV73" s="120"/>
      <c r="CCW73" s="120"/>
      <c r="CCX73" s="120"/>
      <c r="CCY73" s="120"/>
      <c r="CCZ73" s="120"/>
      <c r="CDA73" s="120"/>
      <c r="CDB73" s="120"/>
      <c r="CDC73" s="120"/>
      <c r="CDD73" s="120"/>
      <c r="CDE73" s="120"/>
      <c r="CDF73" s="120"/>
      <c r="CDG73" s="120"/>
      <c r="CDH73" s="120"/>
      <c r="CDI73" s="120"/>
      <c r="CDJ73" s="120"/>
      <c r="CDK73" s="120"/>
      <c r="CDL73" s="120"/>
      <c r="CDM73" s="120"/>
      <c r="CDN73" s="120"/>
      <c r="CDO73" s="120"/>
      <c r="CDP73" s="120"/>
      <c r="CDQ73" s="120"/>
      <c r="CDR73" s="120"/>
      <c r="CDS73" s="120"/>
      <c r="CDT73" s="120"/>
      <c r="CDU73" s="120"/>
      <c r="CDV73" s="120"/>
      <c r="CDW73" s="120"/>
      <c r="CDX73" s="120"/>
      <c r="CDY73" s="120"/>
      <c r="CDZ73" s="120"/>
      <c r="CEA73" s="120"/>
      <c r="CEB73" s="120"/>
      <c r="CEC73" s="120"/>
      <c r="CED73" s="120"/>
      <c r="CEE73" s="120"/>
      <c r="CEF73" s="120"/>
      <c r="CEG73" s="120"/>
      <c r="CEH73" s="120"/>
      <c r="CEI73" s="120"/>
      <c r="CEJ73" s="120"/>
      <c r="CEK73" s="120"/>
      <c r="CEL73" s="120"/>
      <c r="CEM73" s="120"/>
      <c r="CEN73" s="120"/>
      <c r="CEO73" s="120"/>
      <c r="CEP73" s="120"/>
      <c r="CEQ73" s="120"/>
      <c r="CER73" s="120"/>
      <c r="CES73" s="120"/>
      <c r="CET73" s="120"/>
      <c r="CEU73" s="120"/>
      <c r="CEV73" s="120"/>
      <c r="CEW73" s="120"/>
      <c r="CEX73" s="120"/>
      <c r="CEY73" s="120"/>
      <c r="CEZ73" s="120"/>
      <c r="CFA73" s="120"/>
      <c r="CFB73" s="120"/>
      <c r="CFC73" s="120"/>
      <c r="CFD73" s="120"/>
      <c r="CFE73" s="120"/>
      <c r="CFF73" s="120"/>
      <c r="CFG73" s="120"/>
      <c r="CFH73" s="120"/>
      <c r="CFI73" s="120"/>
      <c r="CFJ73" s="120"/>
      <c r="CFK73" s="120"/>
      <c r="CFL73" s="120"/>
      <c r="CFM73" s="120"/>
      <c r="CFN73" s="120"/>
      <c r="CFO73" s="120"/>
      <c r="CFP73" s="120"/>
      <c r="CFQ73" s="120"/>
      <c r="CFR73" s="120"/>
      <c r="CFS73" s="120"/>
      <c r="CFT73" s="120"/>
      <c r="CFU73" s="120"/>
      <c r="CFV73" s="120"/>
      <c r="CFW73" s="120"/>
      <c r="CFX73" s="120"/>
      <c r="CFY73" s="120"/>
      <c r="CFZ73" s="120"/>
      <c r="CGA73" s="120"/>
      <c r="CGB73" s="120"/>
      <c r="CGC73" s="120"/>
      <c r="CGD73" s="120"/>
      <c r="CGE73" s="120"/>
      <c r="CGF73" s="120"/>
      <c r="CGG73" s="120"/>
      <c r="CGH73" s="120"/>
      <c r="CGI73" s="120"/>
      <c r="CGJ73" s="120"/>
      <c r="CGK73" s="120"/>
      <c r="CGL73" s="120"/>
      <c r="CGM73" s="120"/>
      <c r="CGN73" s="120"/>
      <c r="CGO73" s="120"/>
      <c r="CGP73" s="120"/>
      <c r="CGQ73" s="120"/>
      <c r="CGR73" s="120"/>
      <c r="CGS73" s="120"/>
      <c r="CGT73" s="120"/>
      <c r="CGU73" s="120"/>
      <c r="CGV73" s="120"/>
      <c r="CGW73" s="120"/>
      <c r="CGX73" s="120"/>
      <c r="CGY73" s="120"/>
      <c r="CGZ73" s="120"/>
      <c r="CHA73" s="120"/>
      <c r="CHB73" s="120"/>
      <c r="CHC73" s="120"/>
      <c r="CHD73" s="120"/>
      <c r="CHE73" s="120"/>
      <c r="CHF73" s="120"/>
      <c r="CHG73" s="120"/>
      <c r="CHH73" s="120"/>
      <c r="CHI73" s="120"/>
      <c r="CHJ73" s="120"/>
      <c r="CHK73" s="120"/>
      <c r="CHL73" s="120"/>
      <c r="CHM73" s="120"/>
      <c r="CHN73" s="120"/>
      <c r="CHO73" s="120"/>
      <c r="CHP73" s="120"/>
      <c r="CHQ73" s="120"/>
      <c r="CHR73" s="120"/>
      <c r="CHS73" s="120"/>
      <c r="CHT73" s="120"/>
      <c r="CHU73" s="120"/>
      <c r="CHV73" s="120"/>
      <c r="CHW73" s="120"/>
      <c r="CHX73" s="120"/>
      <c r="CHY73" s="120"/>
      <c r="CHZ73" s="120"/>
      <c r="CIA73" s="120"/>
      <c r="CIB73" s="120"/>
      <c r="CIC73" s="120"/>
      <c r="CID73" s="120"/>
      <c r="CIE73" s="120"/>
      <c r="CIF73" s="120"/>
      <c r="CIG73" s="120"/>
      <c r="CIH73" s="120"/>
      <c r="CII73" s="120"/>
      <c r="CIJ73" s="120"/>
      <c r="CIK73" s="120"/>
      <c r="CIL73" s="120"/>
      <c r="CIM73" s="120"/>
      <c r="CIN73" s="120"/>
      <c r="CIO73" s="120"/>
      <c r="CIP73" s="120"/>
      <c r="CIQ73" s="120"/>
      <c r="CIR73" s="120"/>
      <c r="CIS73" s="120"/>
      <c r="CIT73" s="120"/>
      <c r="CIU73" s="120"/>
      <c r="CIV73" s="120"/>
      <c r="CIW73" s="120"/>
      <c r="CIX73" s="120"/>
      <c r="CIY73" s="120"/>
      <c r="CIZ73" s="120"/>
      <c r="CJA73" s="120"/>
      <c r="CJB73" s="120"/>
      <c r="CJC73" s="120"/>
      <c r="CJD73" s="120"/>
      <c r="CJE73" s="120"/>
      <c r="CJF73" s="120"/>
      <c r="CJG73" s="120"/>
      <c r="CJH73" s="120"/>
      <c r="CJI73" s="120"/>
      <c r="CJJ73" s="120"/>
      <c r="CJK73" s="120"/>
      <c r="CJL73" s="120"/>
      <c r="CJM73" s="120"/>
      <c r="CJN73" s="120"/>
      <c r="CJO73" s="120"/>
      <c r="CJP73" s="120"/>
      <c r="CJQ73" s="120"/>
      <c r="CJR73" s="120"/>
      <c r="CJS73" s="120"/>
      <c r="CJT73" s="120"/>
      <c r="CJU73" s="120"/>
      <c r="CJV73" s="120"/>
      <c r="CJW73" s="120"/>
      <c r="CJX73" s="120"/>
      <c r="CJY73" s="120"/>
      <c r="CJZ73" s="120"/>
      <c r="CKA73" s="120"/>
      <c r="CKB73" s="120"/>
      <c r="CKC73" s="120"/>
      <c r="CKD73" s="120"/>
      <c r="CKE73" s="120"/>
      <c r="CKF73" s="120"/>
      <c r="CKG73" s="120"/>
      <c r="CKH73" s="120"/>
      <c r="CKI73" s="120"/>
      <c r="CKJ73" s="120"/>
      <c r="CKK73" s="120"/>
      <c r="CKL73" s="120"/>
      <c r="CKM73" s="120"/>
      <c r="CKN73" s="120"/>
      <c r="CKO73" s="120"/>
      <c r="CKP73" s="120"/>
      <c r="CKQ73" s="120"/>
      <c r="CKR73" s="120"/>
      <c r="CKS73" s="120"/>
      <c r="CKT73" s="120"/>
      <c r="CKU73" s="120"/>
      <c r="CKV73" s="120"/>
      <c r="CKW73" s="120"/>
      <c r="CKX73" s="120"/>
      <c r="CKY73" s="120"/>
      <c r="CKZ73" s="120"/>
      <c r="CLA73" s="120"/>
      <c r="CLB73" s="120"/>
      <c r="CLC73" s="120"/>
      <c r="CLD73" s="120"/>
      <c r="CLE73" s="120"/>
      <c r="CLF73" s="120"/>
      <c r="CLG73" s="120"/>
      <c r="CLH73" s="120"/>
      <c r="CLI73" s="120"/>
      <c r="CLJ73" s="120"/>
      <c r="CLK73" s="120"/>
      <c r="CLL73" s="120"/>
      <c r="CLM73" s="120"/>
      <c r="CLN73" s="120"/>
      <c r="CLO73" s="120"/>
      <c r="CLP73" s="120"/>
      <c r="CLQ73" s="120"/>
      <c r="CLR73" s="120"/>
      <c r="CLS73" s="120"/>
      <c r="CLT73" s="120"/>
      <c r="CLU73" s="120"/>
      <c r="CLV73" s="120"/>
      <c r="CLW73" s="120"/>
      <c r="CLX73" s="120"/>
      <c r="CLY73" s="120"/>
      <c r="CLZ73" s="120"/>
      <c r="CMA73" s="120"/>
      <c r="CMB73" s="120"/>
      <c r="CMC73" s="120"/>
      <c r="CMD73" s="120"/>
      <c r="CME73" s="120"/>
      <c r="CMF73" s="120"/>
      <c r="CMG73" s="120"/>
      <c r="CMH73" s="120"/>
      <c r="CMI73" s="120"/>
      <c r="CMJ73" s="120"/>
      <c r="CMK73" s="120"/>
      <c r="CML73" s="120"/>
      <c r="CMM73" s="120"/>
      <c r="CMN73" s="120"/>
      <c r="CMO73" s="120"/>
      <c r="CMP73" s="120"/>
      <c r="CMQ73" s="120"/>
      <c r="CMR73" s="120"/>
      <c r="CMS73" s="120"/>
      <c r="CMT73" s="120"/>
      <c r="CMU73" s="120"/>
      <c r="CMV73" s="120"/>
      <c r="CMW73" s="120"/>
      <c r="CMX73" s="120"/>
      <c r="CMY73" s="120"/>
      <c r="CMZ73" s="120"/>
      <c r="CNA73" s="120"/>
      <c r="CNB73" s="120"/>
      <c r="CNC73" s="120"/>
      <c r="CND73" s="120"/>
      <c r="CNE73" s="120"/>
      <c r="CNF73" s="120"/>
      <c r="CNG73" s="120"/>
      <c r="CNH73" s="120"/>
      <c r="CNI73" s="120"/>
      <c r="CNJ73" s="120"/>
      <c r="CNK73" s="120"/>
      <c r="CNL73" s="120"/>
      <c r="CNM73" s="120"/>
      <c r="CNN73" s="120"/>
      <c r="CNO73" s="120"/>
      <c r="CNP73" s="120"/>
      <c r="CNQ73" s="120"/>
      <c r="CNR73" s="120"/>
      <c r="CNS73" s="120"/>
      <c r="CNT73" s="120"/>
      <c r="CNU73" s="120"/>
      <c r="CNV73" s="120"/>
      <c r="CNW73" s="120"/>
      <c r="CNX73" s="120"/>
      <c r="CNY73" s="120"/>
      <c r="CNZ73" s="120"/>
      <c r="COA73" s="120"/>
      <c r="COB73" s="120"/>
      <c r="COC73" s="120"/>
      <c r="COD73" s="120"/>
      <c r="COE73" s="120"/>
      <c r="COF73" s="120"/>
      <c r="COG73" s="120"/>
      <c r="COH73" s="120"/>
      <c r="COI73" s="120"/>
      <c r="COJ73" s="120"/>
      <c r="COK73" s="120"/>
      <c r="COL73" s="120"/>
      <c r="COM73" s="120"/>
      <c r="CON73" s="120"/>
      <c r="COO73" s="120"/>
      <c r="COP73" s="120"/>
      <c r="COQ73" s="120"/>
      <c r="COR73" s="120"/>
      <c r="COS73" s="120"/>
      <c r="COT73" s="120"/>
      <c r="COU73" s="120"/>
      <c r="COV73" s="120"/>
      <c r="COW73" s="120"/>
      <c r="COX73" s="120"/>
      <c r="COY73" s="120"/>
      <c r="COZ73" s="120"/>
      <c r="CPA73" s="120"/>
      <c r="CPB73" s="120"/>
      <c r="CPC73" s="120"/>
      <c r="CPD73" s="120"/>
      <c r="CPE73" s="120"/>
      <c r="CPF73" s="120"/>
      <c r="CPG73" s="120"/>
      <c r="CPH73" s="120"/>
      <c r="CPI73" s="120"/>
      <c r="CPJ73" s="120"/>
      <c r="CPK73" s="120"/>
      <c r="CPL73" s="120"/>
      <c r="CPM73" s="120"/>
      <c r="CPN73" s="120"/>
      <c r="CPO73" s="120"/>
      <c r="CPP73" s="120"/>
      <c r="CPQ73" s="120"/>
      <c r="CPR73" s="120"/>
      <c r="CPS73" s="120"/>
      <c r="CPT73" s="120"/>
      <c r="CPU73" s="120"/>
      <c r="CPV73" s="120"/>
      <c r="CPW73" s="120"/>
      <c r="CPX73" s="120"/>
      <c r="CPY73" s="120"/>
      <c r="CPZ73" s="120"/>
      <c r="CQA73" s="120"/>
      <c r="CQB73" s="120"/>
      <c r="CQC73" s="120"/>
      <c r="CQD73" s="120"/>
      <c r="CQE73" s="120"/>
      <c r="CQF73" s="120"/>
      <c r="CQG73" s="120"/>
      <c r="CQH73" s="120"/>
      <c r="CQI73" s="120"/>
      <c r="CQJ73" s="120"/>
      <c r="CQK73" s="120"/>
      <c r="CQL73" s="120"/>
      <c r="CQM73" s="120"/>
      <c r="CQN73" s="120"/>
      <c r="CQO73" s="120"/>
      <c r="CQP73" s="120"/>
      <c r="CQQ73" s="120"/>
      <c r="CQR73" s="120"/>
      <c r="CQS73" s="120"/>
      <c r="CQT73" s="120"/>
      <c r="CQU73" s="120"/>
      <c r="CQV73" s="120"/>
      <c r="CQW73" s="120"/>
      <c r="CQX73" s="120"/>
      <c r="CQY73" s="120"/>
      <c r="CQZ73" s="120"/>
      <c r="CRA73" s="120"/>
      <c r="CRB73" s="120"/>
      <c r="CRC73" s="120"/>
      <c r="CRD73" s="120"/>
      <c r="CRE73" s="120"/>
      <c r="CRF73" s="120"/>
      <c r="CRG73" s="120"/>
      <c r="CRH73" s="120"/>
      <c r="CRI73" s="120"/>
      <c r="CRJ73" s="120"/>
      <c r="CRK73" s="120"/>
      <c r="CRL73" s="120"/>
      <c r="CRM73" s="120"/>
      <c r="CRN73" s="120"/>
      <c r="CRO73" s="120"/>
      <c r="CRP73" s="120"/>
      <c r="CRQ73" s="120"/>
      <c r="CRR73" s="120"/>
      <c r="CRS73" s="120"/>
      <c r="CRT73" s="120"/>
      <c r="CRU73" s="120"/>
      <c r="CRV73" s="120"/>
      <c r="CRW73" s="120"/>
      <c r="CRX73" s="120"/>
      <c r="CRY73" s="120"/>
      <c r="CRZ73" s="120"/>
      <c r="CSA73" s="120"/>
      <c r="CSB73" s="120"/>
      <c r="CSC73" s="120"/>
      <c r="CSD73" s="120"/>
      <c r="CSE73" s="120"/>
      <c r="CSF73" s="120"/>
      <c r="CSG73" s="120"/>
      <c r="CSH73" s="120"/>
      <c r="CSI73" s="120"/>
      <c r="CSJ73" s="120"/>
      <c r="CSK73" s="120"/>
      <c r="CSL73" s="120"/>
      <c r="CSM73" s="120"/>
      <c r="CSN73" s="120"/>
      <c r="CSO73" s="120"/>
      <c r="CSP73" s="120"/>
      <c r="CSQ73" s="120"/>
      <c r="CSR73" s="120"/>
      <c r="CSS73" s="120"/>
      <c r="CST73" s="120"/>
      <c r="CSU73" s="120"/>
      <c r="CSV73" s="120"/>
      <c r="CSW73" s="120"/>
      <c r="CSX73" s="120"/>
      <c r="CSY73" s="120"/>
      <c r="CSZ73" s="120"/>
      <c r="CTA73" s="120"/>
      <c r="CTB73" s="120"/>
      <c r="CTC73" s="120"/>
      <c r="CTD73" s="120"/>
      <c r="CTE73" s="120"/>
      <c r="CTF73" s="120"/>
      <c r="CTG73" s="120"/>
      <c r="CTH73" s="120"/>
      <c r="CTI73" s="120"/>
      <c r="CTJ73" s="120"/>
      <c r="CTK73" s="120"/>
      <c r="CTL73" s="120"/>
      <c r="CTM73" s="120"/>
      <c r="CTN73" s="120"/>
      <c r="CTO73" s="120"/>
      <c r="CTP73" s="120"/>
      <c r="CTQ73" s="120"/>
      <c r="CTR73" s="120"/>
      <c r="CTS73" s="120"/>
      <c r="CTT73" s="120"/>
      <c r="CTU73" s="120"/>
      <c r="CTV73" s="120"/>
      <c r="CTW73" s="120"/>
      <c r="CTX73" s="120"/>
      <c r="CTY73" s="120"/>
      <c r="CTZ73" s="120"/>
      <c r="CUA73" s="120"/>
      <c r="CUB73" s="120"/>
      <c r="CUC73" s="120"/>
      <c r="CUD73" s="120"/>
      <c r="CUE73" s="120"/>
      <c r="CUF73" s="120"/>
      <c r="CUG73" s="120"/>
      <c r="CUH73" s="120"/>
      <c r="CUI73" s="120"/>
      <c r="CUJ73" s="120"/>
      <c r="CUK73" s="120"/>
      <c r="CUL73" s="120"/>
      <c r="CUM73" s="120"/>
      <c r="CUN73" s="120"/>
      <c r="CUO73" s="120"/>
      <c r="CUP73" s="120"/>
      <c r="CUQ73" s="120"/>
      <c r="CUR73" s="120"/>
      <c r="CUS73" s="120"/>
      <c r="CUT73" s="120"/>
      <c r="CUU73" s="120"/>
      <c r="CUV73" s="120"/>
      <c r="CUW73" s="120"/>
      <c r="CUX73" s="120"/>
      <c r="CUY73" s="120"/>
      <c r="CUZ73" s="120"/>
      <c r="CVA73" s="120"/>
      <c r="CVB73" s="120"/>
      <c r="CVC73" s="120"/>
      <c r="CVD73" s="120"/>
      <c r="CVE73" s="120"/>
      <c r="CVF73" s="120"/>
      <c r="CVG73" s="120"/>
      <c r="CVH73" s="120"/>
      <c r="CVI73" s="120"/>
      <c r="CVJ73" s="120"/>
      <c r="CVK73" s="120"/>
      <c r="CVL73" s="120"/>
      <c r="CVM73" s="120"/>
      <c r="CVN73" s="120"/>
      <c r="CVO73" s="120"/>
      <c r="CVP73" s="120"/>
      <c r="CVQ73" s="120"/>
      <c r="CVR73" s="120"/>
      <c r="CVS73" s="120"/>
      <c r="CVT73" s="120"/>
      <c r="CVU73" s="120"/>
      <c r="CVV73" s="120"/>
      <c r="CVW73" s="120"/>
      <c r="CVX73" s="120"/>
      <c r="CVY73" s="120"/>
      <c r="CVZ73" s="120"/>
      <c r="CWA73" s="120"/>
      <c r="CWB73" s="120"/>
      <c r="CWC73" s="120"/>
      <c r="CWD73" s="120"/>
      <c r="CWE73" s="120"/>
      <c r="CWF73" s="120"/>
      <c r="CWG73" s="120"/>
      <c r="CWH73" s="120"/>
      <c r="CWI73" s="120"/>
      <c r="CWJ73" s="120"/>
      <c r="CWK73" s="120"/>
      <c r="CWL73" s="120"/>
      <c r="CWM73" s="120"/>
      <c r="CWN73" s="120"/>
      <c r="CWO73" s="120"/>
      <c r="CWP73" s="120"/>
      <c r="CWQ73" s="120"/>
      <c r="CWR73" s="120"/>
      <c r="CWS73" s="120"/>
      <c r="CWT73" s="120"/>
      <c r="CWU73" s="120"/>
      <c r="CWV73" s="120"/>
      <c r="CWW73" s="120"/>
      <c r="CWX73" s="120"/>
      <c r="CWY73" s="120"/>
      <c r="CWZ73" s="120"/>
      <c r="CXA73" s="120"/>
      <c r="CXB73" s="120"/>
      <c r="CXC73" s="120"/>
      <c r="CXD73" s="120"/>
      <c r="CXE73" s="120"/>
      <c r="CXF73" s="120"/>
      <c r="CXG73" s="120"/>
      <c r="CXH73" s="120"/>
      <c r="CXI73" s="120"/>
      <c r="CXJ73" s="120"/>
      <c r="CXK73" s="120"/>
      <c r="CXL73" s="120"/>
      <c r="CXM73" s="120"/>
      <c r="CXN73" s="120"/>
      <c r="CXO73" s="120"/>
      <c r="CXP73" s="120"/>
      <c r="CXQ73" s="120"/>
      <c r="CXR73" s="120"/>
      <c r="CXS73" s="120"/>
      <c r="CXT73" s="120"/>
      <c r="CXU73" s="120"/>
      <c r="CXV73" s="120"/>
      <c r="CXW73" s="120"/>
      <c r="CXX73" s="120"/>
      <c r="CXY73" s="120"/>
      <c r="CXZ73" s="120"/>
      <c r="CYA73" s="120"/>
      <c r="CYB73" s="120"/>
      <c r="CYC73" s="120"/>
      <c r="CYD73" s="120"/>
      <c r="CYE73" s="120"/>
      <c r="CYF73" s="120"/>
      <c r="CYG73" s="120"/>
      <c r="CYH73" s="120"/>
      <c r="CYI73" s="120"/>
      <c r="CYJ73" s="120"/>
      <c r="CYK73" s="120"/>
      <c r="CYL73" s="120"/>
      <c r="CYM73" s="120"/>
      <c r="CYN73" s="120"/>
      <c r="CYO73" s="120"/>
      <c r="CYP73" s="120"/>
      <c r="CYQ73" s="120"/>
      <c r="CYR73" s="120"/>
      <c r="CYS73" s="120"/>
      <c r="CYT73" s="120"/>
      <c r="CYU73" s="120"/>
      <c r="CYV73" s="120"/>
      <c r="CYW73" s="120"/>
      <c r="CYX73" s="120"/>
      <c r="CYY73" s="120"/>
      <c r="CYZ73" s="120"/>
      <c r="CZA73" s="120"/>
      <c r="CZB73" s="120"/>
      <c r="CZC73" s="120"/>
      <c r="CZD73" s="120"/>
      <c r="CZE73" s="120"/>
      <c r="CZF73" s="120"/>
      <c r="CZG73" s="120"/>
      <c r="CZH73" s="120"/>
      <c r="CZI73" s="120"/>
      <c r="CZJ73" s="120"/>
      <c r="CZK73" s="120"/>
      <c r="CZL73" s="120"/>
      <c r="CZM73" s="120"/>
      <c r="CZN73" s="120"/>
      <c r="CZO73" s="120"/>
      <c r="CZP73" s="120"/>
      <c r="CZQ73" s="120"/>
      <c r="CZR73" s="120"/>
      <c r="CZS73" s="120"/>
      <c r="CZT73" s="120"/>
      <c r="CZU73" s="120"/>
      <c r="CZV73" s="120"/>
      <c r="CZW73" s="120"/>
      <c r="CZX73" s="120"/>
      <c r="CZY73" s="120"/>
      <c r="CZZ73" s="120"/>
      <c r="DAA73" s="120"/>
      <c r="DAB73" s="120"/>
      <c r="DAC73" s="120"/>
      <c r="DAD73" s="120"/>
      <c r="DAE73" s="120"/>
      <c r="DAF73" s="120"/>
      <c r="DAG73" s="120"/>
      <c r="DAH73" s="120"/>
      <c r="DAI73" s="120"/>
      <c r="DAJ73" s="120"/>
      <c r="DAK73" s="120"/>
      <c r="DAL73" s="120"/>
      <c r="DAM73" s="120"/>
      <c r="DAN73" s="120"/>
      <c r="DAO73" s="120"/>
      <c r="DAP73" s="120"/>
      <c r="DAQ73" s="120"/>
      <c r="DAR73" s="120"/>
      <c r="DAS73" s="120"/>
      <c r="DAT73" s="120"/>
      <c r="DAU73" s="120"/>
      <c r="DAV73" s="120"/>
      <c r="DAW73" s="120"/>
      <c r="DAX73" s="120"/>
      <c r="DAY73" s="120"/>
      <c r="DAZ73" s="120"/>
      <c r="DBA73" s="120"/>
      <c r="DBB73" s="120"/>
      <c r="DBC73" s="120"/>
      <c r="DBD73" s="120"/>
      <c r="DBE73" s="120"/>
      <c r="DBF73" s="120"/>
      <c r="DBG73" s="120"/>
      <c r="DBH73" s="120"/>
      <c r="DBI73" s="120"/>
      <c r="DBJ73" s="120"/>
      <c r="DBK73" s="120"/>
      <c r="DBL73" s="120"/>
      <c r="DBM73" s="120"/>
      <c r="DBN73" s="120"/>
      <c r="DBO73" s="120"/>
      <c r="DBP73" s="120"/>
      <c r="DBQ73" s="120"/>
      <c r="DBR73" s="120"/>
      <c r="DBS73" s="120"/>
      <c r="DBT73" s="120"/>
      <c r="DBU73" s="120"/>
      <c r="DBV73" s="120"/>
      <c r="DBW73" s="120"/>
      <c r="DBX73" s="120"/>
      <c r="DBY73" s="120"/>
      <c r="DBZ73" s="120"/>
      <c r="DCA73" s="120"/>
      <c r="DCB73" s="120"/>
      <c r="DCC73" s="120"/>
      <c r="DCD73" s="120"/>
      <c r="DCE73" s="120"/>
      <c r="DCF73" s="120"/>
      <c r="DCG73" s="120"/>
      <c r="DCH73" s="120"/>
      <c r="DCI73" s="120"/>
      <c r="DCJ73" s="120"/>
      <c r="DCK73" s="120"/>
      <c r="DCL73" s="120"/>
      <c r="DCM73" s="120"/>
      <c r="DCN73" s="120"/>
      <c r="DCO73" s="120"/>
      <c r="DCP73" s="120"/>
      <c r="DCQ73" s="120"/>
      <c r="DCR73" s="120"/>
      <c r="DCS73" s="120"/>
      <c r="DCT73" s="120"/>
      <c r="DCU73" s="120"/>
      <c r="DCV73" s="120"/>
      <c r="DCW73" s="120"/>
      <c r="DCX73" s="120"/>
      <c r="DCY73" s="120"/>
      <c r="DCZ73" s="120"/>
      <c r="DDA73" s="120"/>
      <c r="DDB73" s="120"/>
      <c r="DDC73" s="120"/>
      <c r="DDD73" s="120"/>
      <c r="DDE73" s="120"/>
      <c r="DDF73" s="120"/>
      <c r="DDG73" s="120"/>
      <c r="DDH73" s="120"/>
      <c r="DDI73" s="120"/>
      <c r="DDJ73" s="120"/>
      <c r="DDK73" s="120"/>
      <c r="DDL73" s="120"/>
      <c r="DDM73" s="120"/>
      <c r="DDN73" s="120"/>
      <c r="DDO73" s="120"/>
      <c r="DDP73" s="120"/>
      <c r="DDQ73" s="120"/>
      <c r="DDR73" s="120"/>
      <c r="DDS73" s="120"/>
      <c r="DDT73" s="120"/>
      <c r="DDU73" s="120"/>
      <c r="DDV73" s="120"/>
      <c r="DDW73" s="120"/>
      <c r="DDX73" s="120"/>
      <c r="DDY73" s="120"/>
      <c r="DDZ73" s="120"/>
      <c r="DEA73" s="120"/>
      <c r="DEB73" s="120"/>
      <c r="DEC73" s="120"/>
      <c r="DED73" s="120"/>
      <c r="DEE73" s="120"/>
      <c r="DEF73" s="120"/>
      <c r="DEG73" s="120"/>
      <c r="DEH73" s="120"/>
      <c r="DEI73" s="120"/>
      <c r="DEJ73" s="120"/>
      <c r="DEK73" s="120"/>
      <c r="DEL73" s="120"/>
      <c r="DEM73" s="120"/>
      <c r="DEN73" s="120"/>
      <c r="DEO73" s="120"/>
      <c r="DEP73" s="120"/>
      <c r="DEQ73" s="120"/>
      <c r="DER73" s="120"/>
      <c r="DES73" s="120"/>
      <c r="DET73" s="120"/>
      <c r="DEU73" s="120"/>
      <c r="DEV73" s="120"/>
      <c r="DEW73" s="120"/>
      <c r="DEX73" s="120"/>
      <c r="DEY73" s="120"/>
      <c r="DEZ73" s="120"/>
      <c r="DFA73" s="120"/>
      <c r="DFB73" s="120"/>
      <c r="DFC73" s="120"/>
      <c r="DFD73" s="120"/>
      <c r="DFE73" s="120"/>
      <c r="DFF73" s="120"/>
      <c r="DFG73" s="120"/>
      <c r="DFH73" s="120"/>
      <c r="DFI73" s="120"/>
      <c r="DFJ73" s="120"/>
      <c r="DFK73" s="120"/>
      <c r="DFL73" s="120"/>
      <c r="DFM73" s="120"/>
      <c r="DFN73" s="120"/>
      <c r="DFO73" s="120"/>
      <c r="DFP73" s="120"/>
      <c r="DFQ73" s="120"/>
      <c r="DFR73" s="120"/>
      <c r="DFS73" s="120"/>
      <c r="DFT73" s="120"/>
      <c r="DFU73" s="120"/>
      <c r="DFV73" s="120"/>
      <c r="DFW73" s="120"/>
      <c r="DFX73" s="120"/>
      <c r="DFY73" s="120"/>
      <c r="DFZ73" s="120"/>
      <c r="DGA73" s="120"/>
      <c r="DGB73" s="120"/>
      <c r="DGC73" s="120"/>
      <c r="DGD73" s="120"/>
      <c r="DGE73" s="120"/>
      <c r="DGF73" s="120"/>
      <c r="DGG73" s="120"/>
      <c r="DGH73" s="120"/>
      <c r="DGI73" s="120"/>
      <c r="DGJ73" s="120"/>
      <c r="DGK73" s="120"/>
      <c r="DGL73" s="120"/>
      <c r="DGM73" s="120"/>
      <c r="DGN73" s="120"/>
      <c r="DGO73" s="120"/>
      <c r="DGP73" s="120"/>
      <c r="DGQ73" s="120"/>
      <c r="DGR73" s="120"/>
      <c r="DGS73" s="120"/>
      <c r="DGT73" s="120"/>
      <c r="DGU73" s="120"/>
      <c r="DGV73" s="120"/>
      <c r="DGW73" s="120"/>
      <c r="DGX73" s="120"/>
      <c r="DGY73" s="120"/>
      <c r="DGZ73" s="120"/>
      <c r="DHA73" s="120"/>
      <c r="DHB73" s="120"/>
      <c r="DHC73" s="120"/>
      <c r="DHD73" s="120"/>
      <c r="DHE73" s="120"/>
      <c r="DHF73" s="120"/>
      <c r="DHG73" s="120"/>
      <c r="DHH73" s="120"/>
      <c r="DHI73" s="120"/>
      <c r="DHJ73" s="120"/>
      <c r="DHK73" s="120"/>
      <c r="DHL73" s="120"/>
      <c r="DHM73" s="120"/>
      <c r="DHN73" s="120"/>
      <c r="DHO73" s="120"/>
      <c r="DHP73" s="120"/>
      <c r="DHQ73" s="120"/>
      <c r="DHR73" s="120"/>
      <c r="DHS73" s="120"/>
      <c r="DHT73" s="120"/>
      <c r="DHU73" s="120"/>
      <c r="DHV73" s="120"/>
      <c r="DHW73" s="120"/>
      <c r="DHX73" s="120"/>
      <c r="DHY73" s="120"/>
      <c r="DHZ73" s="120"/>
      <c r="DIA73" s="120"/>
      <c r="DIB73" s="120"/>
      <c r="DIC73" s="120"/>
      <c r="DID73" s="120"/>
      <c r="DIE73" s="120"/>
      <c r="DIF73" s="120"/>
      <c r="DIG73" s="120"/>
      <c r="DIH73" s="120"/>
      <c r="DII73" s="120"/>
      <c r="DIJ73" s="120"/>
      <c r="DIK73" s="120"/>
      <c r="DIL73" s="120"/>
      <c r="DIM73" s="120"/>
      <c r="DIN73" s="120"/>
      <c r="DIO73" s="120"/>
      <c r="DIP73" s="120"/>
      <c r="DIQ73" s="120"/>
      <c r="DIR73" s="120"/>
      <c r="DIS73" s="120"/>
      <c r="DIT73" s="120"/>
      <c r="DIU73" s="120"/>
      <c r="DIV73" s="120"/>
      <c r="DIW73" s="120"/>
      <c r="DIX73" s="120"/>
      <c r="DIY73" s="120"/>
      <c r="DIZ73" s="120"/>
      <c r="DJA73" s="120"/>
      <c r="DJB73" s="120"/>
      <c r="DJC73" s="120"/>
      <c r="DJD73" s="120"/>
      <c r="DJE73" s="120"/>
      <c r="DJF73" s="120"/>
      <c r="DJG73" s="120"/>
      <c r="DJH73" s="120"/>
      <c r="DJI73" s="120"/>
      <c r="DJJ73" s="120"/>
      <c r="DJK73" s="120"/>
      <c r="DJL73" s="120"/>
      <c r="DJM73" s="120"/>
      <c r="DJN73" s="120"/>
      <c r="DJO73" s="120"/>
      <c r="DJP73" s="120"/>
      <c r="DJQ73" s="120"/>
      <c r="DJR73" s="120"/>
      <c r="DJS73" s="120"/>
      <c r="DJT73" s="120"/>
      <c r="DJU73" s="120"/>
      <c r="DJV73" s="120"/>
      <c r="DJW73" s="120"/>
      <c r="DJX73" s="120"/>
      <c r="DJY73" s="120"/>
      <c r="DJZ73" s="120"/>
      <c r="DKA73" s="120"/>
      <c r="DKB73" s="120"/>
      <c r="DKC73" s="120"/>
      <c r="DKD73" s="120"/>
      <c r="DKE73" s="120"/>
      <c r="DKF73" s="120"/>
      <c r="DKG73" s="120"/>
      <c r="DKH73" s="120"/>
      <c r="DKI73" s="120"/>
      <c r="DKJ73" s="120"/>
      <c r="DKK73" s="120"/>
      <c r="DKL73" s="120"/>
      <c r="DKM73" s="120"/>
      <c r="DKN73" s="120"/>
      <c r="DKO73" s="120"/>
      <c r="DKP73" s="120"/>
      <c r="DKQ73" s="120"/>
      <c r="DKR73" s="120"/>
      <c r="DKS73" s="120"/>
      <c r="DKT73" s="120"/>
      <c r="DKU73" s="120"/>
      <c r="DKV73" s="120"/>
      <c r="DKW73" s="120"/>
      <c r="DKX73" s="120"/>
      <c r="DKY73" s="120"/>
      <c r="DKZ73" s="120"/>
      <c r="DLA73" s="120"/>
      <c r="DLB73" s="120"/>
      <c r="DLC73" s="120"/>
      <c r="DLD73" s="120"/>
      <c r="DLE73" s="120"/>
      <c r="DLF73" s="120"/>
      <c r="DLG73" s="120"/>
      <c r="DLH73" s="120"/>
      <c r="DLI73" s="120"/>
      <c r="DLJ73" s="120"/>
      <c r="DLK73" s="120"/>
      <c r="DLL73" s="120"/>
      <c r="DLM73" s="120"/>
      <c r="DLN73" s="120"/>
      <c r="DLO73" s="120"/>
      <c r="DLP73" s="120"/>
      <c r="DLQ73" s="120"/>
      <c r="DLR73" s="120"/>
      <c r="DLS73" s="120"/>
      <c r="DLT73" s="120"/>
      <c r="DLU73" s="120"/>
      <c r="DLV73" s="120"/>
      <c r="DLW73" s="120"/>
      <c r="DLX73" s="120"/>
      <c r="DLY73" s="120"/>
      <c r="DLZ73" s="120"/>
      <c r="DMA73" s="120"/>
      <c r="DMB73" s="120"/>
      <c r="DMC73" s="120"/>
      <c r="DMD73" s="120"/>
      <c r="DME73" s="120"/>
      <c r="DMF73" s="120"/>
      <c r="DMG73" s="120"/>
      <c r="DMH73" s="120"/>
      <c r="DMI73" s="120"/>
      <c r="DMJ73" s="120"/>
      <c r="DMK73" s="120"/>
      <c r="DML73" s="120"/>
      <c r="DMM73" s="120"/>
      <c r="DMN73" s="120"/>
      <c r="DMO73" s="120"/>
      <c r="DMP73" s="120"/>
      <c r="DMQ73" s="120"/>
      <c r="DMR73" s="120"/>
      <c r="DMS73" s="120"/>
      <c r="DMT73" s="120"/>
      <c r="DMU73" s="120"/>
      <c r="DMV73" s="120"/>
      <c r="DMW73" s="120"/>
      <c r="DMX73" s="120"/>
      <c r="DMY73" s="120"/>
      <c r="DMZ73" s="120"/>
      <c r="DNA73" s="120"/>
      <c r="DNB73" s="120"/>
      <c r="DNC73" s="120"/>
      <c r="DND73" s="120"/>
      <c r="DNE73" s="120"/>
      <c r="DNF73" s="120"/>
      <c r="DNG73" s="120"/>
      <c r="DNH73" s="120"/>
      <c r="DNI73" s="120"/>
      <c r="DNJ73" s="120"/>
      <c r="DNK73" s="120"/>
      <c r="DNL73" s="120"/>
      <c r="DNM73" s="120"/>
      <c r="DNN73" s="120"/>
      <c r="DNO73" s="120"/>
      <c r="DNP73" s="120"/>
      <c r="DNQ73" s="120"/>
      <c r="DNR73" s="120"/>
      <c r="DNS73" s="120"/>
      <c r="DNT73" s="120"/>
      <c r="DNU73" s="120"/>
      <c r="DNV73" s="120"/>
      <c r="DNW73" s="120"/>
      <c r="DNX73" s="120"/>
      <c r="DNY73" s="120"/>
      <c r="DNZ73" s="120"/>
      <c r="DOA73" s="120"/>
      <c r="DOB73" s="120"/>
      <c r="DOC73" s="120"/>
      <c r="DOD73" s="120"/>
      <c r="DOE73" s="120"/>
      <c r="DOF73" s="120"/>
      <c r="DOG73" s="120"/>
      <c r="DOH73" s="120"/>
      <c r="DOI73" s="120"/>
      <c r="DOJ73" s="120"/>
      <c r="DOK73" s="120"/>
      <c r="DOL73" s="120"/>
      <c r="DOM73" s="120"/>
      <c r="DON73" s="120"/>
      <c r="DOO73" s="120"/>
      <c r="DOP73" s="120"/>
      <c r="DOQ73" s="120"/>
      <c r="DOR73" s="120"/>
      <c r="DOS73" s="120"/>
      <c r="DOT73" s="120"/>
      <c r="DOU73" s="120"/>
      <c r="DOV73" s="120"/>
      <c r="DOW73" s="120"/>
      <c r="DOX73" s="120"/>
      <c r="DOY73" s="120"/>
      <c r="DOZ73" s="120"/>
      <c r="DPA73" s="120"/>
      <c r="DPB73" s="120"/>
      <c r="DPC73" s="120"/>
      <c r="DPD73" s="120"/>
      <c r="DPE73" s="120"/>
      <c r="DPF73" s="120"/>
      <c r="DPG73" s="120"/>
      <c r="DPH73" s="120"/>
      <c r="DPI73" s="120"/>
      <c r="DPJ73" s="120"/>
      <c r="DPK73" s="120"/>
      <c r="DPL73" s="120"/>
      <c r="DPM73" s="120"/>
      <c r="DPN73" s="120"/>
      <c r="DPO73" s="120"/>
      <c r="DPP73" s="120"/>
      <c r="DPQ73" s="120"/>
      <c r="DPR73" s="120"/>
      <c r="DPS73" s="120"/>
      <c r="DPT73" s="120"/>
      <c r="DPU73" s="120"/>
      <c r="DPV73" s="120"/>
      <c r="DPW73" s="120"/>
      <c r="DPX73" s="120"/>
      <c r="DPY73" s="120"/>
      <c r="DPZ73" s="120"/>
      <c r="DQA73" s="120"/>
      <c r="DQB73" s="120"/>
      <c r="DQC73" s="120"/>
      <c r="DQD73" s="120"/>
      <c r="DQE73" s="120"/>
      <c r="DQF73" s="120"/>
      <c r="DQG73" s="120"/>
      <c r="DQH73" s="120"/>
      <c r="DQI73" s="120"/>
      <c r="DQJ73" s="120"/>
      <c r="DQK73" s="120"/>
      <c r="DQL73" s="120"/>
      <c r="DQM73" s="120"/>
      <c r="DQN73" s="120"/>
      <c r="DQO73" s="120"/>
      <c r="DQP73" s="120"/>
      <c r="DQQ73" s="120"/>
      <c r="DQR73" s="120"/>
      <c r="DQS73" s="120"/>
      <c r="DQT73" s="120"/>
      <c r="DQU73" s="120"/>
      <c r="DQV73" s="120"/>
      <c r="DQW73" s="120"/>
      <c r="DQX73" s="120"/>
      <c r="DQY73" s="120"/>
      <c r="DQZ73" s="120"/>
      <c r="DRA73" s="120"/>
      <c r="DRB73" s="120"/>
      <c r="DRC73" s="120"/>
      <c r="DRD73" s="120"/>
      <c r="DRE73" s="120"/>
      <c r="DRF73" s="120"/>
      <c r="DRG73" s="120"/>
      <c r="DRH73" s="120"/>
      <c r="DRI73" s="120"/>
      <c r="DRJ73" s="120"/>
      <c r="DRK73" s="120"/>
      <c r="DRL73" s="120"/>
      <c r="DRM73" s="120"/>
      <c r="DRN73" s="120"/>
      <c r="DRO73" s="120"/>
      <c r="DRP73" s="120"/>
      <c r="DRQ73" s="120"/>
      <c r="DRR73" s="120"/>
      <c r="DRS73" s="120"/>
      <c r="DRT73" s="120"/>
      <c r="DRU73" s="120"/>
      <c r="DRV73" s="120"/>
      <c r="DRW73" s="120"/>
      <c r="DRX73" s="120"/>
      <c r="DRY73" s="120"/>
      <c r="DRZ73" s="120"/>
      <c r="DSA73" s="120"/>
      <c r="DSB73" s="120"/>
      <c r="DSC73" s="120"/>
      <c r="DSD73" s="120"/>
      <c r="DSE73" s="120"/>
      <c r="DSF73" s="120"/>
      <c r="DSG73" s="120"/>
      <c r="DSH73" s="120"/>
      <c r="DSI73" s="120"/>
      <c r="DSJ73" s="120"/>
      <c r="DSK73" s="120"/>
      <c r="DSL73" s="120"/>
      <c r="DSM73" s="120"/>
      <c r="DSN73" s="120"/>
      <c r="DSO73" s="120"/>
      <c r="DSP73" s="120"/>
      <c r="DSQ73" s="120"/>
      <c r="DSR73" s="120"/>
      <c r="DSS73" s="120"/>
      <c r="DST73" s="120"/>
      <c r="DSU73" s="120"/>
      <c r="DSV73" s="120"/>
      <c r="DSW73" s="120"/>
      <c r="DSX73" s="120"/>
      <c r="DSY73" s="120"/>
      <c r="DSZ73" s="120"/>
      <c r="DTA73" s="120"/>
      <c r="DTB73" s="120"/>
      <c r="DTC73" s="120"/>
      <c r="DTD73" s="120"/>
      <c r="DTE73" s="120"/>
      <c r="DTF73" s="120"/>
      <c r="DTG73" s="120"/>
      <c r="DTH73" s="120"/>
      <c r="DTI73" s="120"/>
      <c r="DTJ73" s="120"/>
      <c r="DTK73" s="120"/>
      <c r="DTL73" s="120"/>
      <c r="DTM73" s="120"/>
      <c r="DTN73" s="120"/>
      <c r="DTO73" s="120"/>
      <c r="DTP73" s="120"/>
      <c r="DTQ73" s="120"/>
      <c r="DTR73" s="120"/>
      <c r="DTS73" s="120"/>
      <c r="DTT73" s="120"/>
      <c r="DTU73" s="120"/>
      <c r="DTV73" s="120"/>
      <c r="DTW73" s="120"/>
      <c r="DTX73" s="120"/>
      <c r="DTY73" s="120"/>
      <c r="DTZ73" s="120"/>
      <c r="DUA73" s="120"/>
      <c r="DUB73" s="120"/>
      <c r="DUC73" s="120"/>
      <c r="DUD73" s="120"/>
      <c r="DUE73" s="120"/>
      <c r="DUF73" s="120"/>
      <c r="DUG73" s="120"/>
      <c r="DUH73" s="120"/>
      <c r="DUI73" s="120"/>
      <c r="DUJ73" s="120"/>
      <c r="DUK73" s="120"/>
      <c r="DUL73" s="120"/>
      <c r="DUM73" s="120"/>
      <c r="DUN73" s="120"/>
      <c r="DUO73" s="120"/>
      <c r="DUP73" s="120"/>
      <c r="DUQ73" s="120"/>
      <c r="DUR73" s="120"/>
      <c r="DUS73" s="120"/>
      <c r="DUT73" s="120"/>
      <c r="DUU73" s="120"/>
      <c r="DUV73" s="120"/>
      <c r="DUW73" s="120"/>
      <c r="DUX73" s="120"/>
      <c r="DUY73" s="120"/>
      <c r="DUZ73" s="120"/>
      <c r="DVA73" s="120"/>
      <c r="DVB73" s="120"/>
      <c r="DVC73" s="120"/>
      <c r="DVD73" s="120"/>
      <c r="DVE73" s="120"/>
      <c r="DVF73" s="120"/>
      <c r="DVG73" s="120"/>
      <c r="DVH73" s="120"/>
      <c r="DVI73" s="120"/>
      <c r="DVJ73" s="120"/>
      <c r="DVK73" s="120"/>
      <c r="DVL73" s="120"/>
      <c r="DVM73" s="120"/>
      <c r="DVN73" s="120"/>
      <c r="DVO73" s="120"/>
      <c r="DVP73" s="120"/>
      <c r="DVQ73" s="120"/>
      <c r="DVR73" s="120"/>
      <c r="DVS73" s="120"/>
      <c r="DVT73" s="120"/>
      <c r="DVU73" s="120"/>
      <c r="DVV73" s="120"/>
      <c r="DVW73" s="120"/>
      <c r="DVX73" s="120"/>
      <c r="DVY73" s="120"/>
      <c r="DVZ73" s="120"/>
      <c r="DWA73" s="120"/>
      <c r="DWB73" s="120"/>
      <c r="DWC73" s="120"/>
      <c r="DWD73" s="120"/>
      <c r="DWE73" s="120"/>
      <c r="DWF73" s="120"/>
      <c r="DWG73" s="120"/>
      <c r="DWH73" s="120"/>
      <c r="DWI73" s="120"/>
      <c r="DWJ73" s="120"/>
      <c r="DWK73" s="120"/>
      <c r="DWL73" s="120"/>
      <c r="DWM73" s="120"/>
      <c r="DWN73" s="120"/>
      <c r="DWO73" s="120"/>
      <c r="DWP73" s="120"/>
      <c r="DWQ73" s="120"/>
      <c r="DWR73" s="120"/>
      <c r="DWS73" s="120"/>
      <c r="DWT73" s="120"/>
      <c r="DWU73" s="120"/>
      <c r="DWV73" s="120"/>
      <c r="DWW73" s="120"/>
      <c r="DWX73" s="120"/>
      <c r="DWY73" s="120"/>
      <c r="DWZ73" s="120"/>
      <c r="DXA73" s="120"/>
      <c r="DXB73" s="120"/>
      <c r="DXC73" s="120"/>
      <c r="DXD73" s="120"/>
      <c r="DXE73" s="120"/>
      <c r="DXF73" s="120"/>
      <c r="DXG73" s="120"/>
      <c r="DXH73" s="120"/>
      <c r="DXI73" s="120"/>
      <c r="DXJ73" s="120"/>
      <c r="DXK73" s="120"/>
      <c r="DXL73" s="120"/>
      <c r="DXM73" s="120"/>
      <c r="DXN73" s="120"/>
      <c r="DXO73" s="120"/>
      <c r="DXP73" s="120"/>
      <c r="DXQ73" s="120"/>
      <c r="DXR73" s="120"/>
      <c r="DXS73" s="120"/>
      <c r="DXT73" s="120"/>
      <c r="DXU73" s="120"/>
      <c r="DXV73" s="120"/>
      <c r="DXW73" s="120"/>
      <c r="DXX73" s="120"/>
      <c r="DXY73" s="120"/>
      <c r="DXZ73" s="120"/>
      <c r="DYA73" s="120"/>
      <c r="DYB73" s="120"/>
      <c r="DYC73" s="120"/>
      <c r="DYD73" s="120"/>
      <c r="DYE73" s="120"/>
      <c r="DYF73" s="120"/>
      <c r="DYG73" s="120"/>
      <c r="DYH73" s="120"/>
      <c r="DYI73" s="120"/>
      <c r="DYJ73" s="120"/>
      <c r="DYK73" s="120"/>
      <c r="DYL73" s="120"/>
      <c r="DYM73" s="120"/>
      <c r="DYN73" s="120"/>
      <c r="DYO73" s="120"/>
      <c r="DYP73" s="120"/>
      <c r="DYQ73" s="120"/>
      <c r="DYR73" s="120"/>
      <c r="DYS73" s="120"/>
      <c r="DYT73" s="120"/>
      <c r="DYU73" s="120"/>
      <c r="DYV73" s="120"/>
      <c r="DYW73" s="120"/>
      <c r="DYX73" s="120"/>
      <c r="DYY73" s="120"/>
      <c r="DYZ73" s="120"/>
      <c r="DZA73" s="120"/>
      <c r="DZB73" s="120"/>
      <c r="DZC73" s="120"/>
      <c r="DZD73" s="120"/>
      <c r="DZE73" s="120"/>
      <c r="DZF73" s="120"/>
      <c r="DZG73" s="120"/>
      <c r="DZH73" s="120"/>
      <c r="DZI73" s="120"/>
      <c r="DZJ73" s="120"/>
      <c r="DZK73" s="120"/>
      <c r="DZL73" s="120"/>
      <c r="DZM73" s="120"/>
      <c r="DZN73" s="120"/>
      <c r="DZO73" s="120"/>
      <c r="DZP73" s="120"/>
      <c r="DZQ73" s="120"/>
      <c r="DZR73" s="120"/>
      <c r="DZS73" s="120"/>
      <c r="DZT73" s="120"/>
      <c r="DZU73" s="120"/>
      <c r="DZV73" s="120"/>
      <c r="DZW73" s="120"/>
      <c r="DZX73" s="120"/>
      <c r="DZY73" s="120"/>
      <c r="DZZ73" s="120"/>
      <c r="EAA73" s="120"/>
      <c r="EAB73" s="120"/>
      <c r="EAC73" s="120"/>
      <c r="EAD73" s="120"/>
      <c r="EAE73" s="120"/>
      <c r="EAF73" s="120"/>
      <c r="EAG73" s="120"/>
      <c r="EAH73" s="120"/>
      <c r="EAI73" s="120"/>
      <c r="EAJ73" s="120"/>
      <c r="EAK73" s="120"/>
      <c r="EAL73" s="120"/>
      <c r="EAM73" s="120"/>
      <c r="EAN73" s="120"/>
      <c r="EAO73" s="120"/>
      <c r="EAP73" s="120"/>
      <c r="EAQ73" s="120"/>
      <c r="EAR73" s="120"/>
      <c r="EAS73" s="120"/>
      <c r="EAT73" s="120"/>
      <c r="EAU73" s="120"/>
      <c r="EAV73" s="120"/>
      <c r="EAW73" s="120"/>
      <c r="EAX73" s="120"/>
      <c r="EAY73" s="120"/>
      <c r="EAZ73" s="120"/>
      <c r="EBA73" s="120"/>
      <c r="EBB73" s="120"/>
      <c r="EBC73" s="120"/>
      <c r="EBD73" s="120"/>
      <c r="EBE73" s="120"/>
      <c r="EBF73" s="120"/>
      <c r="EBG73" s="120"/>
      <c r="EBH73" s="120"/>
      <c r="EBI73" s="120"/>
      <c r="EBJ73" s="120"/>
      <c r="EBK73" s="120"/>
      <c r="EBL73" s="120"/>
      <c r="EBM73" s="120"/>
      <c r="EBN73" s="120"/>
      <c r="EBO73" s="120"/>
      <c r="EBP73" s="120"/>
      <c r="EBQ73" s="120"/>
      <c r="EBR73" s="120"/>
      <c r="EBS73" s="120"/>
      <c r="EBT73" s="120"/>
      <c r="EBU73" s="120"/>
      <c r="EBV73" s="120"/>
      <c r="EBW73" s="120"/>
      <c r="EBX73" s="120"/>
      <c r="EBY73" s="120"/>
      <c r="EBZ73" s="120"/>
      <c r="ECA73" s="120"/>
      <c r="ECB73" s="120"/>
      <c r="ECC73" s="120"/>
      <c r="ECD73" s="120"/>
      <c r="ECE73" s="120"/>
      <c r="ECF73" s="120"/>
      <c r="ECG73" s="120"/>
      <c r="ECH73" s="120"/>
      <c r="ECI73" s="120"/>
      <c r="ECJ73" s="120"/>
      <c r="ECK73" s="120"/>
      <c r="ECL73" s="120"/>
      <c r="ECM73" s="120"/>
      <c r="ECN73" s="120"/>
      <c r="ECO73" s="120"/>
      <c r="ECP73" s="120"/>
      <c r="ECQ73" s="120"/>
      <c r="ECR73" s="120"/>
      <c r="ECS73" s="120"/>
      <c r="ECT73" s="120"/>
      <c r="ECU73" s="120"/>
      <c r="ECV73" s="120"/>
      <c r="ECW73" s="120"/>
      <c r="ECX73" s="120"/>
      <c r="ECY73" s="120"/>
      <c r="ECZ73" s="120"/>
      <c r="EDA73" s="120"/>
      <c r="EDB73" s="120"/>
      <c r="EDC73" s="120"/>
      <c r="EDD73" s="120"/>
      <c r="EDE73" s="120"/>
      <c r="EDF73" s="120"/>
      <c r="EDG73" s="120"/>
      <c r="EDH73" s="120"/>
      <c r="EDI73" s="120"/>
      <c r="EDJ73" s="120"/>
      <c r="EDK73" s="120"/>
      <c r="EDL73" s="120"/>
      <c r="EDM73" s="120"/>
      <c r="EDN73" s="120"/>
      <c r="EDO73" s="120"/>
      <c r="EDP73" s="120"/>
      <c r="EDQ73" s="120"/>
      <c r="EDR73" s="120"/>
      <c r="EDS73" s="120"/>
      <c r="EDT73" s="120"/>
      <c r="EDU73" s="120"/>
      <c r="EDV73" s="120"/>
      <c r="EDW73" s="120"/>
      <c r="EDX73" s="120"/>
      <c r="EDY73" s="120"/>
      <c r="EDZ73" s="120"/>
      <c r="EEA73" s="120"/>
      <c r="EEB73" s="120"/>
      <c r="EEC73" s="120"/>
      <c r="EED73" s="120"/>
      <c r="EEE73" s="120"/>
      <c r="EEF73" s="120"/>
      <c r="EEG73" s="120"/>
      <c r="EEH73" s="120"/>
      <c r="EEI73" s="120"/>
      <c r="EEJ73" s="120"/>
      <c r="EEK73" s="120"/>
      <c r="EEL73" s="120"/>
      <c r="EEM73" s="120"/>
      <c r="EEN73" s="120"/>
      <c r="EEO73" s="120"/>
      <c r="EEP73" s="120"/>
      <c r="EEQ73" s="120"/>
      <c r="EER73" s="120"/>
      <c r="EES73" s="120"/>
      <c r="EET73" s="120"/>
      <c r="EEU73" s="120"/>
      <c r="EEV73" s="120"/>
      <c r="EEW73" s="120"/>
      <c r="EEX73" s="120"/>
      <c r="EEY73" s="120"/>
      <c r="EEZ73" s="120"/>
      <c r="EFA73" s="120"/>
      <c r="EFB73" s="120"/>
      <c r="EFC73" s="120"/>
      <c r="EFD73" s="120"/>
      <c r="EFE73" s="120"/>
      <c r="EFF73" s="120"/>
      <c r="EFG73" s="120"/>
      <c r="EFH73" s="120"/>
      <c r="EFI73" s="120"/>
      <c r="EFJ73" s="120"/>
      <c r="EFK73" s="120"/>
      <c r="EFL73" s="120"/>
      <c r="EFM73" s="120"/>
      <c r="EFN73" s="120"/>
      <c r="EFO73" s="120"/>
      <c r="EFP73" s="120"/>
      <c r="EFQ73" s="120"/>
      <c r="EFR73" s="120"/>
      <c r="EFS73" s="120"/>
      <c r="EFT73" s="120"/>
      <c r="EFU73" s="120"/>
      <c r="EFV73" s="120"/>
      <c r="EFW73" s="120"/>
      <c r="EFX73" s="120"/>
      <c r="EFY73" s="120"/>
      <c r="EFZ73" s="120"/>
      <c r="EGA73" s="120"/>
      <c r="EGB73" s="120"/>
      <c r="EGC73" s="120"/>
      <c r="EGD73" s="120"/>
      <c r="EGE73" s="120"/>
      <c r="EGF73" s="120"/>
      <c r="EGG73" s="120"/>
      <c r="EGH73" s="120"/>
      <c r="EGI73" s="120"/>
      <c r="EGJ73" s="120"/>
      <c r="EGK73" s="120"/>
      <c r="EGL73" s="120"/>
      <c r="EGM73" s="120"/>
      <c r="EGN73" s="120"/>
      <c r="EGO73" s="120"/>
      <c r="EGP73" s="120"/>
      <c r="EGQ73" s="120"/>
      <c r="EGR73" s="120"/>
      <c r="EGS73" s="120"/>
      <c r="EGT73" s="120"/>
      <c r="EGU73" s="120"/>
      <c r="EGV73" s="120"/>
      <c r="EGW73" s="120"/>
      <c r="EGX73" s="120"/>
      <c r="EGY73" s="120"/>
      <c r="EGZ73" s="120"/>
      <c r="EHA73" s="120"/>
      <c r="EHB73" s="120"/>
      <c r="EHC73" s="120"/>
      <c r="EHD73" s="120"/>
      <c r="EHE73" s="120"/>
      <c r="EHF73" s="120"/>
      <c r="EHG73" s="120"/>
      <c r="EHH73" s="120"/>
      <c r="EHI73" s="120"/>
      <c r="EHJ73" s="120"/>
      <c r="EHK73" s="120"/>
      <c r="EHL73" s="120"/>
      <c r="EHM73" s="120"/>
      <c r="EHN73" s="120"/>
      <c r="EHO73" s="120"/>
      <c r="EHP73" s="120"/>
      <c r="EHQ73" s="120"/>
      <c r="EHR73" s="120"/>
      <c r="EHS73" s="120"/>
      <c r="EHT73" s="120"/>
      <c r="EHU73" s="120"/>
      <c r="EHV73" s="120"/>
      <c r="EHW73" s="120"/>
      <c r="EHX73" s="120"/>
      <c r="EHY73" s="120"/>
      <c r="EHZ73" s="120"/>
      <c r="EIA73" s="120"/>
      <c r="EIB73" s="120"/>
      <c r="EIC73" s="120"/>
      <c r="EID73" s="120"/>
      <c r="EIE73" s="120"/>
      <c r="EIF73" s="120"/>
      <c r="EIG73" s="120"/>
      <c r="EIH73" s="120"/>
      <c r="EII73" s="120"/>
      <c r="EIJ73" s="120"/>
      <c r="EIK73" s="120"/>
      <c r="EIL73" s="120"/>
      <c r="EIM73" s="120"/>
      <c r="EIN73" s="120"/>
      <c r="EIO73" s="120"/>
      <c r="EIP73" s="120"/>
      <c r="EIQ73" s="120"/>
      <c r="EIR73" s="120"/>
      <c r="EIS73" s="120"/>
      <c r="EIT73" s="120"/>
      <c r="EIU73" s="120"/>
      <c r="EIV73" s="120"/>
      <c r="EIW73" s="120"/>
      <c r="EIX73" s="120"/>
      <c r="EIY73" s="120"/>
      <c r="EIZ73" s="120"/>
      <c r="EJA73" s="120"/>
      <c r="EJB73" s="120"/>
      <c r="EJC73" s="120"/>
      <c r="EJD73" s="120"/>
      <c r="EJE73" s="120"/>
      <c r="EJF73" s="120"/>
      <c r="EJG73" s="120"/>
      <c r="EJH73" s="120"/>
      <c r="EJI73" s="120"/>
      <c r="EJJ73" s="120"/>
      <c r="EJK73" s="120"/>
      <c r="EJL73" s="120"/>
      <c r="EJM73" s="120"/>
      <c r="EJN73" s="120"/>
      <c r="EJO73" s="120"/>
      <c r="EJP73" s="120"/>
      <c r="EJQ73" s="120"/>
      <c r="EJR73" s="120"/>
      <c r="EJS73" s="120"/>
      <c r="EJT73" s="120"/>
      <c r="EJU73" s="120"/>
      <c r="EJV73" s="120"/>
      <c r="EJW73" s="120"/>
      <c r="EJX73" s="120"/>
      <c r="EJY73" s="120"/>
      <c r="EJZ73" s="120"/>
      <c r="EKA73" s="120"/>
      <c r="EKB73" s="120"/>
      <c r="EKC73" s="120"/>
      <c r="EKD73" s="120"/>
      <c r="EKE73" s="120"/>
      <c r="EKF73" s="120"/>
      <c r="EKG73" s="120"/>
      <c r="EKH73" s="120"/>
      <c r="EKI73" s="120"/>
      <c r="EKJ73" s="120"/>
      <c r="EKK73" s="120"/>
      <c r="EKL73" s="120"/>
      <c r="EKM73" s="120"/>
      <c r="EKN73" s="120"/>
      <c r="EKO73" s="120"/>
      <c r="EKP73" s="120"/>
      <c r="EKQ73" s="120"/>
      <c r="EKR73" s="120"/>
      <c r="EKS73" s="120"/>
      <c r="EKT73" s="120"/>
      <c r="EKU73" s="120"/>
      <c r="EKV73" s="120"/>
      <c r="EKW73" s="120"/>
      <c r="EKX73" s="120"/>
      <c r="EKY73" s="120"/>
      <c r="EKZ73" s="120"/>
      <c r="ELA73" s="120"/>
      <c r="ELB73" s="120"/>
      <c r="ELC73" s="120"/>
      <c r="ELD73" s="120"/>
      <c r="ELE73" s="120"/>
      <c r="ELF73" s="120"/>
      <c r="ELG73" s="120"/>
      <c r="ELH73" s="120"/>
      <c r="ELI73" s="120"/>
      <c r="ELJ73" s="120"/>
      <c r="ELK73" s="120"/>
      <c r="ELL73" s="120"/>
      <c r="ELM73" s="120"/>
      <c r="ELN73" s="120"/>
      <c r="ELO73" s="120"/>
      <c r="ELP73" s="120"/>
      <c r="ELQ73" s="120"/>
      <c r="ELR73" s="120"/>
      <c r="ELS73" s="120"/>
      <c r="ELT73" s="120"/>
      <c r="ELU73" s="120"/>
      <c r="ELV73" s="120"/>
      <c r="ELW73" s="120"/>
      <c r="ELX73" s="120"/>
      <c r="ELY73" s="120"/>
      <c r="ELZ73" s="120"/>
      <c r="EMA73" s="120"/>
      <c r="EMB73" s="120"/>
      <c r="EMC73" s="120"/>
      <c r="EMD73" s="120"/>
      <c r="EME73" s="120"/>
      <c r="EMF73" s="120"/>
      <c r="EMG73" s="120"/>
      <c r="EMH73" s="120"/>
      <c r="EMI73" s="120"/>
      <c r="EMJ73" s="120"/>
      <c r="EMK73" s="120"/>
      <c r="EML73" s="120"/>
      <c r="EMM73" s="120"/>
      <c r="EMN73" s="120"/>
      <c r="EMO73" s="120"/>
      <c r="EMP73" s="120"/>
      <c r="EMQ73" s="120"/>
      <c r="EMR73" s="120"/>
      <c r="EMS73" s="120"/>
      <c r="EMT73" s="120"/>
      <c r="EMU73" s="120"/>
      <c r="EMV73" s="120"/>
      <c r="EMW73" s="120"/>
      <c r="EMX73" s="120"/>
      <c r="EMY73" s="120"/>
      <c r="EMZ73" s="120"/>
      <c r="ENA73" s="120"/>
      <c r="ENB73" s="120"/>
      <c r="ENC73" s="120"/>
      <c r="END73" s="120"/>
      <c r="ENE73" s="120"/>
      <c r="ENF73" s="120"/>
      <c r="ENG73" s="120"/>
      <c r="ENH73" s="120"/>
      <c r="ENI73" s="120"/>
      <c r="ENJ73" s="120"/>
      <c r="ENK73" s="120"/>
      <c r="ENL73" s="120"/>
      <c r="ENM73" s="120"/>
      <c r="ENN73" s="120"/>
      <c r="ENO73" s="120"/>
      <c r="ENP73" s="120"/>
      <c r="ENQ73" s="120"/>
      <c r="ENR73" s="120"/>
      <c r="ENS73" s="120"/>
      <c r="ENT73" s="120"/>
      <c r="ENU73" s="120"/>
      <c r="ENV73" s="120"/>
      <c r="ENW73" s="120"/>
      <c r="ENX73" s="120"/>
      <c r="ENY73" s="120"/>
      <c r="ENZ73" s="120"/>
      <c r="EOA73" s="120"/>
      <c r="EOB73" s="120"/>
      <c r="EOC73" s="120"/>
      <c r="EOD73" s="120"/>
      <c r="EOE73" s="120"/>
      <c r="EOF73" s="120"/>
      <c r="EOG73" s="120"/>
      <c r="EOH73" s="120"/>
      <c r="EOI73" s="120"/>
      <c r="EOJ73" s="120"/>
      <c r="EOK73" s="120"/>
      <c r="EOL73" s="120"/>
      <c r="EOM73" s="120"/>
      <c r="EON73" s="120"/>
      <c r="EOO73" s="120"/>
      <c r="EOP73" s="120"/>
      <c r="EOQ73" s="120"/>
      <c r="EOR73" s="120"/>
      <c r="EOS73" s="120"/>
      <c r="EOT73" s="120"/>
      <c r="EOU73" s="120"/>
      <c r="EOV73" s="120"/>
      <c r="EOW73" s="120"/>
      <c r="EOX73" s="120"/>
      <c r="EOY73" s="120"/>
      <c r="EOZ73" s="120"/>
      <c r="EPA73" s="120"/>
      <c r="EPB73" s="120"/>
      <c r="EPC73" s="120"/>
      <c r="EPD73" s="120"/>
      <c r="EPE73" s="120"/>
      <c r="EPF73" s="120"/>
      <c r="EPG73" s="120"/>
      <c r="EPH73" s="120"/>
      <c r="EPI73" s="120"/>
      <c r="EPJ73" s="120"/>
      <c r="EPK73" s="120"/>
      <c r="EPL73" s="120"/>
      <c r="EPM73" s="120"/>
      <c r="EPN73" s="120"/>
      <c r="EPO73" s="120"/>
      <c r="EPP73" s="120"/>
      <c r="EPQ73" s="120"/>
      <c r="EPR73" s="120"/>
      <c r="EPS73" s="120"/>
      <c r="EPT73" s="120"/>
      <c r="EPU73" s="120"/>
      <c r="EPV73" s="120"/>
      <c r="EPW73" s="120"/>
      <c r="EPX73" s="120"/>
      <c r="EPY73" s="120"/>
      <c r="EPZ73" s="120"/>
      <c r="EQA73" s="120"/>
      <c r="EQB73" s="120"/>
      <c r="EQC73" s="120"/>
      <c r="EQD73" s="120"/>
      <c r="EQE73" s="120"/>
      <c r="EQF73" s="120"/>
      <c r="EQG73" s="120"/>
      <c r="EQH73" s="120"/>
      <c r="EQI73" s="120"/>
      <c r="EQJ73" s="120"/>
      <c r="EQK73" s="120"/>
      <c r="EQL73" s="120"/>
      <c r="EQM73" s="120"/>
      <c r="EQN73" s="120"/>
      <c r="EQO73" s="120"/>
      <c r="EQP73" s="120"/>
      <c r="EQQ73" s="120"/>
      <c r="EQR73" s="120"/>
      <c r="EQS73" s="120"/>
      <c r="EQT73" s="120"/>
      <c r="EQU73" s="120"/>
      <c r="EQV73" s="120"/>
      <c r="EQW73" s="120"/>
      <c r="EQX73" s="120"/>
      <c r="EQY73" s="120"/>
      <c r="EQZ73" s="120"/>
      <c r="ERA73" s="120"/>
      <c r="ERB73" s="120"/>
      <c r="ERC73" s="120"/>
      <c r="ERD73" s="120"/>
      <c r="ERE73" s="120"/>
      <c r="ERF73" s="120"/>
      <c r="ERG73" s="120"/>
      <c r="ERH73" s="120"/>
      <c r="ERI73" s="120"/>
      <c r="ERJ73" s="120"/>
      <c r="ERK73" s="120"/>
      <c r="ERL73" s="120"/>
      <c r="ERM73" s="120"/>
      <c r="ERN73" s="120"/>
      <c r="ERO73" s="120"/>
      <c r="ERP73" s="120"/>
      <c r="ERQ73" s="120"/>
      <c r="ERR73" s="120"/>
      <c r="ERS73" s="120"/>
      <c r="ERT73" s="120"/>
      <c r="ERU73" s="120"/>
      <c r="ERV73" s="120"/>
      <c r="ERW73" s="120"/>
      <c r="ERX73" s="120"/>
      <c r="ERY73" s="120"/>
      <c r="ERZ73" s="120"/>
      <c r="ESA73" s="120"/>
      <c r="ESB73" s="120"/>
      <c r="ESC73" s="120"/>
      <c r="ESD73" s="120"/>
      <c r="ESE73" s="120"/>
      <c r="ESF73" s="120"/>
      <c r="ESG73" s="120"/>
      <c r="ESH73" s="120"/>
      <c r="ESI73" s="120"/>
      <c r="ESJ73" s="120"/>
      <c r="ESK73" s="120"/>
      <c r="ESL73" s="120"/>
      <c r="ESM73" s="120"/>
      <c r="ESN73" s="120"/>
      <c r="ESO73" s="120"/>
      <c r="ESP73" s="120"/>
      <c r="ESQ73" s="120"/>
      <c r="ESR73" s="120"/>
      <c r="ESS73" s="120"/>
      <c r="EST73" s="120"/>
      <c r="ESU73" s="120"/>
      <c r="ESV73" s="120"/>
      <c r="ESW73" s="120"/>
      <c r="ESX73" s="120"/>
      <c r="ESY73" s="120"/>
      <c r="ESZ73" s="120"/>
      <c r="ETA73" s="120"/>
      <c r="ETB73" s="120"/>
      <c r="ETC73" s="120"/>
      <c r="ETD73" s="120"/>
      <c r="ETE73" s="120"/>
      <c r="ETF73" s="120"/>
      <c r="ETG73" s="120"/>
      <c r="ETH73" s="120"/>
      <c r="ETI73" s="120"/>
      <c r="ETJ73" s="120"/>
      <c r="ETK73" s="120"/>
      <c r="ETL73" s="120"/>
      <c r="ETM73" s="120"/>
      <c r="ETN73" s="120"/>
      <c r="ETO73" s="120"/>
      <c r="ETP73" s="120"/>
      <c r="ETQ73" s="120"/>
      <c r="ETR73" s="120"/>
      <c r="ETS73" s="120"/>
      <c r="ETT73" s="120"/>
      <c r="ETU73" s="120"/>
      <c r="ETV73" s="120"/>
      <c r="ETW73" s="120"/>
      <c r="ETX73" s="120"/>
      <c r="ETY73" s="120"/>
      <c r="ETZ73" s="120"/>
      <c r="EUA73" s="120"/>
      <c r="EUB73" s="120"/>
      <c r="EUC73" s="120"/>
      <c r="EUD73" s="120"/>
      <c r="EUE73" s="120"/>
      <c r="EUF73" s="120"/>
      <c r="EUG73" s="120"/>
      <c r="EUH73" s="120"/>
      <c r="EUI73" s="120"/>
      <c r="EUJ73" s="120"/>
      <c r="EUK73" s="120"/>
      <c r="EUL73" s="120"/>
      <c r="EUM73" s="120"/>
      <c r="EUN73" s="120"/>
      <c r="EUO73" s="120"/>
      <c r="EUP73" s="120"/>
      <c r="EUQ73" s="120"/>
      <c r="EUR73" s="120"/>
      <c r="EUS73" s="120"/>
      <c r="EUT73" s="120"/>
      <c r="EUU73" s="120"/>
      <c r="EUV73" s="120"/>
      <c r="EUW73" s="120"/>
      <c r="EUX73" s="120"/>
      <c r="EUY73" s="120"/>
      <c r="EUZ73" s="120"/>
      <c r="EVA73" s="120"/>
      <c r="EVB73" s="120"/>
      <c r="EVC73" s="120"/>
      <c r="EVD73" s="120"/>
      <c r="EVE73" s="120"/>
      <c r="EVF73" s="120"/>
      <c r="EVG73" s="120"/>
      <c r="EVH73" s="120"/>
      <c r="EVI73" s="120"/>
      <c r="EVJ73" s="120"/>
      <c r="EVK73" s="120"/>
      <c r="EVL73" s="120"/>
      <c r="EVM73" s="120"/>
      <c r="EVN73" s="120"/>
      <c r="EVO73" s="120"/>
      <c r="EVP73" s="120"/>
      <c r="EVQ73" s="120"/>
      <c r="EVR73" s="120"/>
      <c r="EVS73" s="120"/>
      <c r="EVT73" s="120"/>
      <c r="EVU73" s="120"/>
      <c r="EVV73" s="120"/>
      <c r="EVW73" s="120"/>
      <c r="EVX73" s="120"/>
      <c r="EVY73" s="120"/>
      <c r="EVZ73" s="120"/>
      <c r="EWA73" s="120"/>
      <c r="EWB73" s="120"/>
      <c r="EWC73" s="120"/>
      <c r="EWD73" s="120"/>
      <c r="EWE73" s="120"/>
      <c r="EWF73" s="120"/>
      <c r="EWG73" s="120"/>
      <c r="EWH73" s="120"/>
      <c r="EWI73" s="120"/>
      <c r="EWJ73" s="120"/>
      <c r="EWK73" s="120"/>
      <c r="EWL73" s="120"/>
      <c r="EWM73" s="120"/>
      <c r="EWN73" s="120"/>
      <c r="EWO73" s="120"/>
      <c r="EWP73" s="120"/>
      <c r="EWQ73" s="120"/>
      <c r="EWR73" s="120"/>
      <c r="EWS73" s="120"/>
      <c r="EWT73" s="120"/>
      <c r="EWU73" s="120"/>
      <c r="EWV73" s="120"/>
      <c r="EWW73" s="120"/>
      <c r="EWX73" s="120"/>
      <c r="EWY73" s="120"/>
      <c r="EWZ73" s="120"/>
      <c r="EXA73" s="120"/>
      <c r="EXB73" s="120"/>
      <c r="EXC73" s="120"/>
      <c r="EXD73" s="120"/>
      <c r="EXE73" s="120"/>
      <c r="EXF73" s="120"/>
      <c r="EXG73" s="120"/>
      <c r="EXH73" s="120"/>
      <c r="EXI73" s="120"/>
      <c r="EXJ73" s="120"/>
      <c r="EXK73" s="120"/>
      <c r="EXL73" s="120"/>
      <c r="EXM73" s="120"/>
      <c r="EXN73" s="120"/>
      <c r="EXO73" s="120"/>
      <c r="EXP73" s="120"/>
      <c r="EXQ73" s="120"/>
      <c r="EXR73" s="120"/>
      <c r="EXS73" s="120"/>
      <c r="EXT73" s="120"/>
      <c r="EXU73" s="120"/>
      <c r="EXV73" s="120"/>
      <c r="EXW73" s="120"/>
      <c r="EXX73" s="120"/>
      <c r="EXY73" s="120"/>
      <c r="EXZ73" s="120"/>
      <c r="EYA73" s="120"/>
      <c r="EYB73" s="120"/>
      <c r="EYC73" s="120"/>
      <c r="EYD73" s="120"/>
      <c r="EYE73" s="120"/>
      <c r="EYF73" s="120"/>
      <c r="EYG73" s="120"/>
      <c r="EYH73" s="120"/>
      <c r="EYI73" s="120"/>
      <c r="EYJ73" s="120"/>
      <c r="EYK73" s="120"/>
      <c r="EYL73" s="120"/>
      <c r="EYM73" s="120"/>
      <c r="EYN73" s="120"/>
      <c r="EYO73" s="120"/>
      <c r="EYP73" s="120"/>
      <c r="EYQ73" s="120"/>
      <c r="EYR73" s="120"/>
      <c r="EYS73" s="120"/>
      <c r="EYT73" s="120"/>
      <c r="EYU73" s="120"/>
      <c r="EYV73" s="120"/>
      <c r="EYW73" s="120"/>
      <c r="EYX73" s="120"/>
      <c r="EYY73" s="120"/>
      <c r="EYZ73" s="120"/>
      <c r="EZA73" s="120"/>
      <c r="EZB73" s="120"/>
      <c r="EZC73" s="120"/>
      <c r="EZD73" s="120"/>
      <c r="EZE73" s="120"/>
      <c r="EZF73" s="120"/>
      <c r="EZG73" s="120"/>
      <c r="EZH73" s="120"/>
      <c r="EZI73" s="120"/>
      <c r="EZJ73" s="120"/>
      <c r="EZK73" s="120"/>
      <c r="EZL73" s="120"/>
      <c r="EZM73" s="120"/>
      <c r="EZN73" s="120"/>
      <c r="EZO73" s="120"/>
      <c r="EZP73" s="120"/>
      <c r="EZQ73" s="120"/>
      <c r="EZR73" s="120"/>
      <c r="EZS73" s="120"/>
      <c r="EZT73" s="120"/>
      <c r="EZU73" s="120"/>
      <c r="EZV73" s="120"/>
      <c r="EZW73" s="120"/>
      <c r="EZX73" s="120"/>
      <c r="EZY73" s="120"/>
      <c r="EZZ73" s="120"/>
      <c r="FAA73" s="120"/>
      <c r="FAB73" s="120"/>
      <c r="FAC73" s="120"/>
      <c r="FAD73" s="120"/>
      <c r="FAE73" s="120"/>
      <c r="FAF73" s="120"/>
      <c r="FAG73" s="120"/>
      <c r="FAH73" s="120"/>
      <c r="FAI73" s="120"/>
      <c r="FAJ73" s="120"/>
      <c r="FAK73" s="120"/>
      <c r="FAL73" s="120"/>
      <c r="FAM73" s="120"/>
      <c r="FAN73" s="120"/>
      <c r="FAO73" s="120"/>
      <c r="FAP73" s="120"/>
      <c r="FAQ73" s="120"/>
      <c r="FAR73" s="120"/>
      <c r="FAS73" s="120"/>
      <c r="FAT73" s="120"/>
      <c r="FAU73" s="120"/>
      <c r="FAV73" s="120"/>
      <c r="FAW73" s="120"/>
      <c r="FAX73" s="120"/>
      <c r="FAY73" s="120"/>
      <c r="FAZ73" s="120"/>
      <c r="FBA73" s="120"/>
      <c r="FBB73" s="120"/>
      <c r="FBC73" s="120"/>
      <c r="FBD73" s="120"/>
      <c r="FBE73" s="120"/>
      <c r="FBF73" s="120"/>
      <c r="FBG73" s="120"/>
      <c r="FBH73" s="120"/>
      <c r="FBI73" s="120"/>
      <c r="FBJ73" s="120"/>
      <c r="FBK73" s="120"/>
      <c r="FBL73" s="120"/>
      <c r="FBM73" s="120"/>
      <c r="FBN73" s="120"/>
      <c r="FBO73" s="120"/>
      <c r="FBP73" s="120"/>
      <c r="FBQ73" s="120"/>
      <c r="FBR73" s="120"/>
      <c r="FBS73" s="120"/>
      <c r="FBT73" s="120"/>
      <c r="FBU73" s="120"/>
      <c r="FBV73" s="120"/>
      <c r="FBW73" s="120"/>
      <c r="FBX73" s="120"/>
      <c r="FBY73" s="120"/>
      <c r="FBZ73" s="120"/>
      <c r="FCA73" s="120"/>
      <c r="FCB73" s="120"/>
      <c r="FCC73" s="120"/>
      <c r="FCD73" s="120"/>
      <c r="FCE73" s="120"/>
      <c r="FCF73" s="120"/>
      <c r="FCG73" s="120"/>
      <c r="FCH73" s="120"/>
      <c r="FCI73" s="120"/>
      <c r="FCJ73" s="120"/>
      <c r="FCK73" s="120"/>
      <c r="FCL73" s="120"/>
      <c r="FCM73" s="120"/>
      <c r="FCN73" s="120"/>
      <c r="FCO73" s="120"/>
      <c r="FCP73" s="120"/>
      <c r="FCQ73" s="120"/>
      <c r="FCR73" s="120"/>
      <c r="FCS73" s="120"/>
      <c r="FCT73" s="120"/>
      <c r="FCU73" s="120"/>
      <c r="FCV73" s="120"/>
      <c r="FCW73" s="120"/>
      <c r="FCX73" s="120"/>
      <c r="FCY73" s="120"/>
      <c r="FCZ73" s="120"/>
      <c r="FDA73" s="120"/>
      <c r="FDB73" s="120"/>
      <c r="FDC73" s="120"/>
      <c r="FDD73" s="120"/>
      <c r="FDE73" s="120"/>
      <c r="FDF73" s="120"/>
      <c r="FDG73" s="120"/>
      <c r="FDH73" s="120"/>
      <c r="FDI73" s="120"/>
      <c r="FDJ73" s="120"/>
      <c r="FDK73" s="120"/>
      <c r="FDL73" s="120"/>
      <c r="FDM73" s="120"/>
      <c r="FDN73" s="120"/>
      <c r="FDO73" s="120"/>
      <c r="FDP73" s="120"/>
      <c r="FDQ73" s="120"/>
      <c r="FDR73" s="120"/>
      <c r="FDS73" s="120"/>
      <c r="FDT73" s="120"/>
      <c r="FDU73" s="120"/>
      <c r="FDV73" s="120"/>
      <c r="FDW73" s="120"/>
      <c r="FDX73" s="120"/>
      <c r="FDY73" s="120"/>
      <c r="FDZ73" s="120"/>
      <c r="FEA73" s="120"/>
      <c r="FEB73" s="120"/>
      <c r="FEC73" s="120"/>
      <c r="FED73" s="120"/>
      <c r="FEE73" s="120"/>
      <c r="FEF73" s="120"/>
      <c r="FEG73" s="120"/>
      <c r="FEH73" s="120"/>
      <c r="FEI73" s="120"/>
      <c r="FEJ73" s="120"/>
      <c r="FEK73" s="120"/>
      <c r="FEL73" s="120"/>
      <c r="FEM73" s="120"/>
      <c r="FEN73" s="120"/>
      <c r="FEO73" s="120"/>
      <c r="FEP73" s="120"/>
      <c r="FEQ73" s="120"/>
      <c r="FER73" s="120"/>
      <c r="FES73" s="120"/>
      <c r="FET73" s="120"/>
      <c r="FEU73" s="120"/>
      <c r="FEV73" s="120"/>
      <c r="FEW73" s="120"/>
      <c r="FEX73" s="120"/>
      <c r="FEY73" s="120"/>
      <c r="FEZ73" s="120"/>
      <c r="FFA73" s="120"/>
      <c r="FFB73" s="120"/>
      <c r="FFC73" s="120"/>
      <c r="FFD73" s="120"/>
      <c r="FFE73" s="120"/>
      <c r="FFF73" s="120"/>
      <c r="FFG73" s="120"/>
      <c r="FFH73" s="120"/>
      <c r="FFI73" s="120"/>
      <c r="FFJ73" s="120"/>
      <c r="FFK73" s="120"/>
      <c r="FFL73" s="120"/>
      <c r="FFM73" s="120"/>
      <c r="FFN73" s="120"/>
      <c r="FFO73" s="120"/>
      <c r="FFP73" s="120"/>
      <c r="FFQ73" s="120"/>
      <c r="FFR73" s="120"/>
      <c r="FFS73" s="120"/>
      <c r="FFT73" s="120"/>
      <c r="FFU73" s="120"/>
      <c r="FFV73" s="120"/>
      <c r="FFW73" s="120"/>
      <c r="FFX73" s="120"/>
      <c r="FFY73" s="120"/>
      <c r="FFZ73" s="120"/>
      <c r="FGA73" s="120"/>
      <c r="FGB73" s="120"/>
      <c r="FGC73" s="120"/>
      <c r="FGD73" s="120"/>
      <c r="FGE73" s="120"/>
      <c r="FGF73" s="120"/>
      <c r="FGG73" s="120"/>
      <c r="FGH73" s="120"/>
      <c r="FGI73" s="120"/>
      <c r="FGJ73" s="120"/>
      <c r="FGK73" s="120"/>
      <c r="FGL73" s="120"/>
      <c r="FGM73" s="120"/>
      <c r="FGN73" s="120"/>
      <c r="FGO73" s="120"/>
      <c r="FGP73" s="120"/>
      <c r="FGQ73" s="120"/>
      <c r="FGR73" s="120"/>
      <c r="FGS73" s="120"/>
      <c r="FGT73" s="120"/>
      <c r="FGU73" s="120"/>
      <c r="FGV73" s="120"/>
      <c r="FGW73" s="120"/>
      <c r="FGX73" s="120"/>
      <c r="FGY73" s="120"/>
      <c r="FGZ73" s="120"/>
      <c r="FHA73" s="120"/>
      <c r="FHB73" s="120"/>
      <c r="FHC73" s="120"/>
      <c r="FHD73" s="120"/>
      <c r="FHE73" s="120"/>
      <c r="FHF73" s="120"/>
      <c r="FHG73" s="120"/>
      <c r="FHH73" s="120"/>
      <c r="FHI73" s="120"/>
      <c r="FHJ73" s="120"/>
      <c r="FHK73" s="120"/>
      <c r="FHL73" s="120"/>
      <c r="FHM73" s="120"/>
      <c r="FHN73" s="120"/>
      <c r="FHO73" s="120"/>
      <c r="FHP73" s="120"/>
      <c r="FHQ73" s="120"/>
      <c r="FHR73" s="120"/>
      <c r="FHS73" s="120"/>
      <c r="FHT73" s="120"/>
      <c r="FHU73" s="120"/>
      <c r="FHV73" s="120"/>
      <c r="FHW73" s="120"/>
      <c r="FHX73" s="120"/>
      <c r="FHY73" s="120"/>
      <c r="FHZ73" s="120"/>
      <c r="FIA73" s="120"/>
      <c r="FIB73" s="120"/>
      <c r="FIC73" s="120"/>
      <c r="FID73" s="120"/>
      <c r="FIE73" s="120"/>
      <c r="FIF73" s="120"/>
      <c r="FIG73" s="120"/>
      <c r="FIH73" s="120"/>
      <c r="FII73" s="120"/>
      <c r="FIJ73" s="120"/>
      <c r="FIK73" s="120"/>
      <c r="FIL73" s="120"/>
      <c r="FIM73" s="120"/>
      <c r="FIN73" s="120"/>
      <c r="FIO73" s="120"/>
      <c r="FIP73" s="120"/>
      <c r="FIQ73" s="120"/>
      <c r="FIR73" s="120"/>
      <c r="FIS73" s="120"/>
      <c r="FIT73" s="120"/>
      <c r="FIU73" s="120"/>
      <c r="FIV73" s="120"/>
      <c r="FIW73" s="120"/>
      <c r="FIX73" s="120"/>
      <c r="FIY73" s="120"/>
      <c r="FIZ73" s="120"/>
      <c r="FJA73" s="120"/>
      <c r="FJB73" s="120"/>
      <c r="FJC73" s="120"/>
      <c r="FJD73" s="120"/>
      <c r="FJE73" s="120"/>
      <c r="FJF73" s="120"/>
      <c r="FJG73" s="120"/>
      <c r="FJH73" s="120"/>
      <c r="FJI73" s="120"/>
      <c r="FJJ73" s="120"/>
      <c r="FJK73" s="120"/>
      <c r="FJL73" s="120"/>
      <c r="FJM73" s="120"/>
      <c r="FJN73" s="120"/>
      <c r="FJO73" s="120"/>
      <c r="FJP73" s="120"/>
      <c r="FJQ73" s="120"/>
      <c r="FJR73" s="120"/>
      <c r="FJS73" s="120"/>
      <c r="FJT73" s="120"/>
      <c r="FJU73" s="120"/>
      <c r="FJV73" s="120"/>
      <c r="FJW73" s="120"/>
      <c r="FJX73" s="120"/>
      <c r="FJY73" s="120"/>
      <c r="FJZ73" s="120"/>
      <c r="FKA73" s="120"/>
      <c r="FKB73" s="120"/>
      <c r="FKC73" s="120"/>
      <c r="FKD73" s="120"/>
      <c r="FKE73" s="120"/>
      <c r="FKF73" s="120"/>
      <c r="FKG73" s="120"/>
      <c r="FKH73" s="120"/>
      <c r="FKI73" s="120"/>
      <c r="FKJ73" s="120"/>
      <c r="FKK73" s="120"/>
      <c r="FKL73" s="120"/>
      <c r="FKM73" s="120"/>
      <c r="FKN73" s="120"/>
      <c r="FKO73" s="120"/>
      <c r="FKP73" s="120"/>
      <c r="FKQ73" s="120"/>
      <c r="FKR73" s="120"/>
      <c r="FKS73" s="120"/>
      <c r="FKT73" s="120"/>
      <c r="FKU73" s="120"/>
      <c r="FKV73" s="120"/>
      <c r="FKW73" s="120"/>
      <c r="FKX73" s="120"/>
      <c r="FKY73" s="120"/>
      <c r="FKZ73" s="120"/>
      <c r="FLA73" s="120"/>
      <c r="FLB73" s="120"/>
      <c r="FLC73" s="120"/>
      <c r="FLD73" s="120"/>
      <c r="FLE73" s="120"/>
      <c r="FLF73" s="120"/>
      <c r="FLG73" s="120"/>
      <c r="FLH73" s="120"/>
      <c r="FLI73" s="120"/>
      <c r="FLJ73" s="120"/>
      <c r="FLK73" s="120"/>
      <c r="FLL73" s="120"/>
      <c r="FLM73" s="120"/>
      <c r="FLN73" s="120"/>
      <c r="FLO73" s="120"/>
      <c r="FLP73" s="120"/>
      <c r="FLQ73" s="120"/>
      <c r="FLR73" s="120"/>
      <c r="FLS73" s="120"/>
      <c r="FLT73" s="120"/>
      <c r="FLU73" s="120"/>
      <c r="FLV73" s="120"/>
      <c r="FLW73" s="120"/>
      <c r="FLX73" s="120"/>
      <c r="FLY73" s="120"/>
      <c r="FLZ73" s="120"/>
      <c r="FMA73" s="120"/>
      <c r="FMB73" s="120"/>
      <c r="FMC73" s="120"/>
      <c r="FMD73" s="120"/>
      <c r="FME73" s="120"/>
      <c r="FMF73" s="120"/>
      <c r="FMG73" s="120"/>
      <c r="FMH73" s="120"/>
      <c r="FMI73" s="120"/>
      <c r="FMJ73" s="120"/>
      <c r="FMK73" s="120"/>
      <c r="FML73" s="120"/>
      <c r="FMM73" s="120"/>
      <c r="FMN73" s="120"/>
      <c r="FMO73" s="120"/>
      <c r="FMP73" s="120"/>
      <c r="FMQ73" s="120"/>
      <c r="FMR73" s="120"/>
      <c r="FMS73" s="120"/>
      <c r="FMT73" s="120"/>
      <c r="FMU73" s="120"/>
      <c r="FMV73" s="120"/>
      <c r="FMW73" s="120"/>
      <c r="FMX73" s="120"/>
      <c r="FMY73" s="120"/>
      <c r="FMZ73" s="120"/>
      <c r="FNA73" s="120"/>
      <c r="FNB73" s="120"/>
      <c r="FNC73" s="120"/>
      <c r="FND73" s="120"/>
      <c r="FNE73" s="120"/>
      <c r="FNF73" s="120"/>
      <c r="FNG73" s="120"/>
      <c r="FNH73" s="120"/>
      <c r="FNI73" s="120"/>
      <c r="FNJ73" s="120"/>
      <c r="FNK73" s="120"/>
      <c r="FNL73" s="120"/>
      <c r="FNM73" s="120"/>
      <c r="FNN73" s="120"/>
      <c r="FNO73" s="120"/>
      <c r="FNP73" s="120"/>
      <c r="FNQ73" s="120"/>
      <c r="FNR73" s="120"/>
      <c r="FNS73" s="120"/>
      <c r="FNT73" s="120"/>
      <c r="FNU73" s="120"/>
      <c r="FNV73" s="120"/>
      <c r="FNW73" s="120"/>
      <c r="FNX73" s="120"/>
      <c r="FNY73" s="120"/>
      <c r="FNZ73" s="120"/>
      <c r="FOA73" s="120"/>
      <c r="FOB73" s="120"/>
      <c r="FOC73" s="120"/>
      <c r="FOD73" s="120"/>
      <c r="FOE73" s="120"/>
      <c r="FOF73" s="120"/>
      <c r="FOG73" s="120"/>
      <c r="FOH73" s="120"/>
      <c r="FOI73" s="120"/>
      <c r="FOJ73" s="120"/>
      <c r="FOK73" s="120"/>
      <c r="FOL73" s="120"/>
      <c r="FOM73" s="120"/>
      <c r="FON73" s="120"/>
      <c r="FOO73" s="120"/>
      <c r="FOP73" s="120"/>
      <c r="FOQ73" s="120"/>
      <c r="FOR73" s="120"/>
      <c r="FOS73" s="120"/>
      <c r="FOT73" s="120"/>
      <c r="FOU73" s="120"/>
      <c r="FOV73" s="120"/>
      <c r="FOW73" s="120"/>
      <c r="FOX73" s="120"/>
      <c r="FOY73" s="120"/>
      <c r="FOZ73" s="120"/>
      <c r="FPA73" s="120"/>
      <c r="FPB73" s="120"/>
      <c r="FPC73" s="120"/>
      <c r="FPD73" s="120"/>
      <c r="FPE73" s="120"/>
      <c r="FPF73" s="120"/>
      <c r="FPG73" s="120"/>
      <c r="FPH73" s="120"/>
      <c r="FPI73" s="120"/>
      <c r="FPJ73" s="120"/>
      <c r="FPK73" s="120"/>
      <c r="FPL73" s="120"/>
      <c r="FPM73" s="120"/>
      <c r="FPN73" s="120"/>
      <c r="FPO73" s="120"/>
      <c r="FPP73" s="120"/>
      <c r="FPQ73" s="120"/>
      <c r="FPR73" s="120"/>
      <c r="FPS73" s="120"/>
      <c r="FPT73" s="120"/>
      <c r="FPU73" s="120"/>
      <c r="FPV73" s="120"/>
      <c r="FPW73" s="120"/>
      <c r="FPX73" s="120"/>
      <c r="FPY73" s="120"/>
      <c r="FPZ73" s="120"/>
      <c r="FQA73" s="120"/>
      <c r="FQB73" s="120"/>
      <c r="FQC73" s="120"/>
      <c r="FQD73" s="120"/>
      <c r="FQE73" s="120"/>
      <c r="FQF73" s="120"/>
      <c r="FQG73" s="120"/>
      <c r="FQH73" s="120"/>
      <c r="FQI73" s="120"/>
      <c r="FQJ73" s="120"/>
      <c r="FQK73" s="120"/>
      <c r="FQL73" s="120"/>
      <c r="FQM73" s="120"/>
      <c r="FQN73" s="120"/>
      <c r="FQO73" s="120"/>
      <c r="FQP73" s="120"/>
      <c r="FQQ73" s="120"/>
      <c r="FQR73" s="120"/>
      <c r="FQS73" s="120"/>
      <c r="FQT73" s="120"/>
      <c r="FQU73" s="120"/>
      <c r="FQV73" s="120"/>
      <c r="FQW73" s="120"/>
      <c r="FQX73" s="120"/>
      <c r="FQY73" s="120"/>
      <c r="FQZ73" s="120"/>
      <c r="FRA73" s="120"/>
      <c r="FRB73" s="120"/>
      <c r="FRC73" s="120"/>
      <c r="FRD73" s="120"/>
      <c r="FRE73" s="120"/>
      <c r="FRF73" s="120"/>
      <c r="FRG73" s="120"/>
      <c r="FRH73" s="120"/>
      <c r="FRI73" s="120"/>
      <c r="FRJ73" s="120"/>
      <c r="FRK73" s="120"/>
      <c r="FRL73" s="120"/>
      <c r="FRM73" s="120"/>
      <c r="FRN73" s="120"/>
      <c r="FRO73" s="120"/>
      <c r="FRP73" s="120"/>
      <c r="FRQ73" s="120"/>
      <c r="FRR73" s="120"/>
      <c r="FRS73" s="120"/>
      <c r="FRT73" s="120"/>
      <c r="FRU73" s="120"/>
      <c r="FRV73" s="120"/>
      <c r="FRW73" s="120"/>
      <c r="FRX73" s="120"/>
      <c r="FRY73" s="120"/>
      <c r="FRZ73" s="120"/>
      <c r="FSA73" s="120"/>
      <c r="FSB73" s="120"/>
      <c r="FSC73" s="120"/>
      <c r="FSD73" s="120"/>
      <c r="FSE73" s="120"/>
      <c r="FSF73" s="120"/>
      <c r="FSG73" s="120"/>
      <c r="FSH73" s="120"/>
      <c r="FSI73" s="120"/>
      <c r="FSJ73" s="120"/>
      <c r="FSK73" s="120"/>
      <c r="FSL73" s="120"/>
      <c r="FSM73" s="120"/>
      <c r="FSN73" s="120"/>
      <c r="FSO73" s="120"/>
      <c r="FSP73" s="120"/>
      <c r="FSQ73" s="120"/>
      <c r="FSR73" s="120"/>
      <c r="FSS73" s="120"/>
      <c r="FST73" s="120"/>
      <c r="FSU73" s="120"/>
      <c r="FSV73" s="120"/>
      <c r="FSW73" s="120"/>
      <c r="FSX73" s="120"/>
      <c r="FSY73" s="120"/>
      <c r="FSZ73" s="120"/>
      <c r="FTA73" s="120"/>
      <c r="FTB73" s="120"/>
      <c r="FTC73" s="120"/>
      <c r="FTD73" s="120"/>
      <c r="FTE73" s="120"/>
      <c r="FTF73" s="120"/>
      <c r="FTG73" s="120"/>
      <c r="FTH73" s="120"/>
      <c r="FTI73" s="120"/>
      <c r="FTJ73" s="120"/>
      <c r="FTK73" s="120"/>
      <c r="FTL73" s="120"/>
      <c r="FTM73" s="120"/>
      <c r="FTN73" s="120"/>
      <c r="FTO73" s="120"/>
      <c r="FTP73" s="120"/>
      <c r="FTQ73" s="120"/>
      <c r="FTR73" s="120"/>
      <c r="FTS73" s="120"/>
      <c r="FTT73" s="120"/>
      <c r="FTU73" s="120"/>
      <c r="FTV73" s="120"/>
      <c r="FTW73" s="120"/>
      <c r="FTX73" s="120"/>
      <c r="FTY73" s="120"/>
      <c r="FTZ73" s="120"/>
      <c r="FUA73" s="120"/>
      <c r="FUB73" s="120"/>
      <c r="FUC73" s="120"/>
      <c r="FUD73" s="120"/>
      <c r="FUE73" s="120"/>
      <c r="FUF73" s="120"/>
      <c r="FUG73" s="120"/>
      <c r="FUH73" s="120"/>
      <c r="FUI73" s="120"/>
      <c r="FUJ73" s="120"/>
      <c r="FUK73" s="120"/>
      <c r="FUL73" s="120"/>
      <c r="FUM73" s="120"/>
      <c r="FUN73" s="120"/>
      <c r="FUO73" s="120"/>
      <c r="FUP73" s="120"/>
      <c r="FUQ73" s="120"/>
      <c r="FUR73" s="120"/>
      <c r="FUS73" s="120"/>
      <c r="FUT73" s="120"/>
      <c r="FUU73" s="120"/>
      <c r="FUV73" s="120"/>
      <c r="FUW73" s="120"/>
      <c r="FUX73" s="120"/>
      <c r="FUY73" s="120"/>
      <c r="FUZ73" s="120"/>
      <c r="FVA73" s="120"/>
      <c r="FVB73" s="120"/>
      <c r="FVC73" s="120"/>
      <c r="FVD73" s="120"/>
      <c r="FVE73" s="120"/>
      <c r="FVF73" s="120"/>
      <c r="FVG73" s="120"/>
      <c r="FVH73" s="120"/>
      <c r="FVI73" s="120"/>
      <c r="FVJ73" s="120"/>
      <c r="FVK73" s="120"/>
      <c r="FVL73" s="120"/>
      <c r="FVM73" s="120"/>
      <c r="FVN73" s="120"/>
      <c r="FVO73" s="120"/>
      <c r="FVP73" s="120"/>
      <c r="FVQ73" s="120"/>
      <c r="FVR73" s="120"/>
      <c r="FVS73" s="120"/>
      <c r="FVT73" s="120"/>
      <c r="FVU73" s="120"/>
      <c r="FVV73" s="120"/>
      <c r="FVW73" s="120"/>
      <c r="FVX73" s="120"/>
      <c r="FVY73" s="120"/>
      <c r="FVZ73" s="120"/>
      <c r="FWA73" s="120"/>
      <c r="FWB73" s="120"/>
      <c r="FWC73" s="120"/>
      <c r="FWD73" s="120"/>
      <c r="FWE73" s="120"/>
      <c r="FWF73" s="120"/>
      <c r="FWG73" s="120"/>
      <c r="FWH73" s="120"/>
      <c r="FWI73" s="120"/>
      <c r="FWJ73" s="120"/>
      <c r="FWK73" s="120"/>
      <c r="FWL73" s="120"/>
      <c r="FWM73" s="120"/>
      <c r="FWN73" s="120"/>
      <c r="FWO73" s="120"/>
      <c r="FWP73" s="120"/>
      <c r="FWQ73" s="120"/>
      <c r="FWR73" s="120"/>
      <c r="FWS73" s="120"/>
      <c r="FWT73" s="120"/>
      <c r="FWU73" s="120"/>
      <c r="FWV73" s="120"/>
      <c r="FWW73" s="120"/>
      <c r="FWX73" s="120"/>
      <c r="FWY73" s="120"/>
      <c r="FWZ73" s="120"/>
      <c r="FXA73" s="120"/>
      <c r="FXB73" s="120"/>
      <c r="FXC73" s="120"/>
      <c r="FXD73" s="120"/>
      <c r="FXE73" s="120"/>
      <c r="FXF73" s="120"/>
      <c r="FXG73" s="120"/>
      <c r="FXH73" s="120"/>
      <c r="FXI73" s="120"/>
      <c r="FXJ73" s="120"/>
      <c r="FXK73" s="120"/>
      <c r="FXL73" s="120"/>
      <c r="FXM73" s="120"/>
      <c r="FXN73" s="120"/>
      <c r="FXO73" s="120"/>
      <c r="FXP73" s="120"/>
      <c r="FXQ73" s="120"/>
      <c r="FXR73" s="120"/>
      <c r="FXS73" s="120"/>
      <c r="FXT73" s="120"/>
      <c r="FXU73" s="120"/>
      <c r="FXV73" s="120"/>
      <c r="FXW73" s="120"/>
      <c r="FXX73" s="120"/>
      <c r="FXY73" s="120"/>
      <c r="FXZ73" s="120"/>
      <c r="FYA73" s="120"/>
      <c r="FYB73" s="120"/>
      <c r="FYC73" s="120"/>
      <c r="FYD73" s="120"/>
      <c r="FYE73" s="120"/>
      <c r="FYF73" s="120"/>
      <c r="FYG73" s="120"/>
      <c r="FYH73" s="120"/>
      <c r="FYI73" s="120"/>
      <c r="FYJ73" s="120"/>
      <c r="FYK73" s="120"/>
      <c r="FYL73" s="120"/>
      <c r="FYM73" s="120"/>
      <c r="FYN73" s="120"/>
      <c r="FYO73" s="120"/>
      <c r="FYP73" s="120"/>
      <c r="FYQ73" s="120"/>
      <c r="FYR73" s="120"/>
      <c r="FYS73" s="120"/>
      <c r="FYT73" s="120"/>
      <c r="FYU73" s="120"/>
      <c r="FYV73" s="120"/>
      <c r="FYW73" s="120"/>
      <c r="FYX73" s="120"/>
      <c r="FYY73" s="120"/>
      <c r="FYZ73" s="120"/>
      <c r="FZA73" s="120"/>
      <c r="FZB73" s="120"/>
      <c r="FZC73" s="120"/>
      <c r="FZD73" s="120"/>
      <c r="FZE73" s="120"/>
      <c r="FZF73" s="120"/>
      <c r="FZG73" s="120"/>
      <c r="FZH73" s="120"/>
      <c r="FZI73" s="120"/>
      <c r="FZJ73" s="120"/>
      <c r="FZK73" s="120"/>
      <c r="FZL73" s="120"/>
      <c r="FZM73" s="120"/>
      <c r="FZN73" s="120"/>
      <c r="FZO73" s="120"/>
      <c r="FZP73" s="120"/>
      <c r="FZQ73" s="120"/>
      <c r="FZR73" s="120"/>
      <c r="FZS73" s="120"/>
      <c r="FZT73" s="120"/>
      <c r="FZU73" s="120"/>
      <c r="FZV73" s="120"/>
      <c r="FZW73" s="120"/>
      <c r="FZX73" s="120"/>
      <c r="FZY73" s="120"/>
      <c r="FZZ73" s="120"/>
      <c r="GAA73" s="120"/>
      <c r="GAB73" s="120"/>
      <c r="GAC73" s="120"/>
      <c r="GAD73" s="120"/>
      <c r="GAE73" s="120"/>
      <c r="GAF73" s="120"/>
      <c r="GAG73" s="120"/>
      <c r="GAH73" s="120"/>
      <c r="GAI73" s="120"/>
      <c r="GAJ73" s="120"/>
      <c r="GAK73" s="120"/>
      <c r="GAL73" s="120"/>
      <c r="GAM73" s="120"/>
      <c r="GAN73" s="120"/>
      <c r="GAO73" s="120"/>
      <c r="GAP73" s="120"/>
      <c r="GAQ73" s="120"/>
      <c r="GAR73" s="120"/>
      <c r="GAS73" s="120"/>
      <c r="GAT73" s="120"/>
      <c r="GAU73" s="120"/>
      <c r="GAV73" s="120"/>
      <c r="GAW73" s="120"/>
      <c r="GAX73" s="120"/>
      <c r="GAY73" s="120"/>
      <c r="GAZ73" s="120"/>
      <c r="GBA73" s="120"/>
      <c r="GBB73" s="120"/>
      <c r="GBC73" s="120"/>
      <c r="GBD73" s="120"/>
      <c r="GBE73" s="120"/>
      <c r="GBF73" s="120"/>
      <c r="GBG73" s="120"/>
      <c r="GBH73" s="120"/>
      <c r="GBI73" s="120"/>
      <c r="GBJ73" s="120"/>
      <c r="GBK73" s="120"/>
      <c r="GBL73" s="120"/>
      <c r="GBM73" s="120"/>
      <c r="GBN73" s="120"/>
      <c r="GBO73" s="120"/>
      <c r="GBP73" s="120"/>
      <c r="GBQ73" s="120"/>
      <c r="GBR73" s="120"/>
      <c r="GBS73" s="120"/>
      <c r="GBT73" s="120"/>
      <c r="GBU73" s="120"/>
      <c r="GBV73" s="120"/>
      <c r="GBW73" s="120"/>
      <c r="GBX73" s="120"/>
      <c r="GBY73" s="120"/>
      <c r="GBZ73" s="120"/>
      <c r="GCA73" s="120"/>
      <c r="GCB73" s="120"/>
      <c r="GCC73" s="120"/>
      <c r="GCD73" s="120"/>
      <c r="GCE73" s="120"/>
      <c r="GCF73" s="120"/>
      <c r="GCG73" s="120"/>
      <c r="GCH73" s="120"/>
      <c r="GCI73" s="120"/>
      <c r="GCJ73" s="120"/>
      <c r="GCK73" s="120"/>
      <c r="GCL73" s="120"/>
      <c r="GCM73" s="120"/>
      <c r="GCN73" s="120"/>
      <c r="GCO73" s="120"/>
      <c r="GCP73" s="120"/>
      <c r="GCQ73" s="120"/>
      <c r="GCR73" s="120"/>
      <c r="GCS73" s="120"/>
      <c r="GCT73" s="120"/>
      <c r="GCU73" s="120"/>
      <c r="GCV73" s="120"/>
      <c r="GCW73" s="120"/>
      <c r="GCX73" s="120"/>
      <c r="GCY73" s="120"/>
      <c r="GCZ73" s="120"/>
      <c r="GDA73" s="120"/>
      <c r="GDB73" s="120"/>
      <c r="GDC73" s="120"/>
      <c r="GDD73" s="120"/>
      <c r="GDE73" s="120"/>
      <c r="GDF73" s="120"/>
      <c r="GDG73" s="120"/>
      <c r="GDH73" s="120"/>
      <c r="GDI73" s="120"/>
      <c r="GDJ73" s="120"/>
      <c r="GDK73" s="120"/>
      <c r="GDL73" s="120"/>
      <c r="GDM73" s="120"/>
      <c r="GDN73" s="120"/>
      <c r="GDO73" s="120"/>
      <c r="GDP73" s="120"/>
      <c r="GDQ73" s="120"/>
      <c r="GDR73" s="120"/>
      <c r="GDS73" s="120"/>
      <c r="GDT73" s="120"/>
      <c r="GDU73" s="120"/>
      <c r="GDV73" s="120"/>
      <c r="GDW73" s="120"/>
      <c r="GDX73" s="120"/>
      <c r="GDY73" s="120"/>
      <c r="GDZ73" s="120"/>
      <c r="GEA73" s="120"/>
      <c r="GEB73" s="120"/>
      <c r="GEC73" s="120"/>
      <c r="GED73" s="120"/>
      <c r="GEE73" s="120"/>
      <c r="GEF73" s="120"/>
      <c r="GEG73" s="120"/>
      <c r="GEH73" s="120"/>
      <c r="GEI73" s="120"/>
      <c r="GEJ73" s="120"/>
      <c r="GEK73" s="120"/>
      <c r="GEL73" s="120"/>
      <c r="GEM73" s="120"/>
      <c r="GEN73" s="120"/>
      <c r="GEO73" s="120"/>
      <c r="GEP73" s="120"/>
      <c r="GEQ73" s="120"/>
      <c r="GER73" s="120"/>
      <c r="GES73" s="120"/>
      <c r="GET73" s="120"/>
      <c r="GEU73" s="120"/>
      <c r="GEV73" s="120"/>
      <c r="GEW73" s="120"/>
      <c r="GEX73" s="120"/>
      <c r="GEY73" s="120"/>
      <c r="GEZ73" s="120"/>
      <c r="GFA73" s="120"/>
      <c r="GFB73" s="120"/>
      <c r="GFC73" s="120"/>
      <c r="GFD73" s="120"/>
      <c r="GFE73" s="120"/>
      <c r="GFF73" s="120"/>
      <c r="GFG73" s="120"/>
      <c r="GFH73" s="120"/>
      <c r="GFI73" s="120"/>
      <c r="GFJ73" s="120"/>
      <c r="GFK73" s="120"/>
      <c r="GFL73" s="120"/>
      <c r="GFM73" s="120"/>
      <c r="GFN73" s="120"/>
      <c r="GFO73" s="120"/>
      <c r="GFP73" s="120"/>
      <c r="GFQ73" s="120"/>
      <c r="GFR73" s="120"/>
      <c r="GFS73" s="120"/>
      <c r="GFT73" s="120"/>
      <c r="GFU73" s="120"/>
      <c r="GFV73" s="120"/>
      <c r="GFW73" s="120"/>
      <c r="GFX73" s="120"/>
      <c r="GFY73" s="120"/>
      <c r="GFZ73" s="120"/>
      <c r="GGA73" s="120"/>
      <c r="GGB73" s="120"/>
      <c r="GGC73" s="120"/>
      <c r="GGD73" s="120"/>
      <c r="GGE73" s="120"/>
      <c r="GGF73" s="120"/>
      <c r="GGG73" s="120"/>
      <c r="GGH73" s="120"/>
      <c r="GGI73" s="120"/>
      <c r="GGJ73" s="120"/>
      <c r="GGK73" s="120"/>
      <c r="GGL73" s="120"/>
      <c r="GGM73" s="120"/>
      <c r="GGN73" s="120"/>
      <c r="GGO73" s="120"/>
      <c r="GGP73" s="120"/>
      <c r="GGQ73" s="120"/>
      <c r="GGR73" s="120"/>
      <c r="GGS73" s="120"/>
      <c r="GGT73" s="120"/>
      <c r="GGU73" s="120"/>
      <c r="GGV73" s="120"/>
      <c r="GGW73" s="120"/>
      <c r="GGX73" s="120"/>
      <c r="GGY73" s="120"/>
      <c r="GGZ73" s="120"/>
      <c r="GHA73" s="120"/>
      <c r="GHB73" s="120"/>
      <c r="GHC73" s="120"/>
      <c r="GHD73" s="120"/>
      <c r="GHE73" s="120"/>
      <c r="GHF73" s="120"/>
      <c r="GHG73" s="120"/>
      <c r="GHH73" s="120"/>
      <c r="GHI73" s="120"/>
      <c r="GHJ73" s="120"/>
      <c r="GHK73" s="120"/>
      <c r="GHL73" s="120"/>
      <c r="GHM73" s="120"/>
      <c r="GHN73" s="120"/>
      <c r="GHO73" s="120"/>
      <c r="GHP73" s="120"/>
      <c r="GHQ73" s="120"/>
      <c r="GHR73" s="120"/>
      <c r="GHS73" s="120"/>
      <c r="GHT73" s="120"/>
      <c r="GHU73" s="120"/>
      <c r="GHV73" s="120"/>
      <c r="GHW73" s="120"/>
      <c r="GHX73" s="120"/>
      <c r="GHY73" s="120"/>
      <c r="GHZ73" s="120"/>
      <c r="GIA73" s="120"/>
      <c r="GIB73" s="120"/>
      <c r="GIC73" s="120"/>
      <c r="GID73" s="120"/>
      <c r="GIE73" s="120"/>
      <c r="GIF73" s="120"/>
      <c r="GIG73" s="120"/>
      <c r="GIH73" s="120"/>
      <c r="GII73" s="120"/>
      <c r="GIJ73" s="120"/>
      <c r="GIK73" s="120"/>
      <c r="GIL73" s="120"/>
      <c r="GIM73" s="120"/>
      <c r="GIN73" s="120"/>
      <c r="GIO73" s="120"/>
      <c r="GIP73" s="120"/>
      <c r="GIQ73" s="120"/>
      <c r="GIR73" s="120"/>
      <c r="GIS73" s="120"/>
      <c r="GIT73" s="120"/>
      <c r="GIU73" s="120"/>
      <c r="GIV73" s="120"/>
      <c r="GIW73" s="120"/>
      <c r="GIX73" s="120"/>
      <c r="GIY73" s="120"/>
      <c r="GIZ73" s="120"/>
      <c r="GJA73" s="120"/>
      <c r="GJB73" s="120"/>
      <c r="GJC73" s="120"/>
      <c r="GJD73" s="120"/>
      <c r="GJE73" s="120"/>
      <c r="GJF73" s="120"/>
      <c r="GJG73" s="120"/>
      <c r="GJH73" s="120"/>
      <c r="GJI73" s="120"/>
      <c r="GJJ73" s="120"/>
      <c r="GJK73" s="120"/>
      <c r="GJL73" s="120"/>
      <c r="GJM73" s="120"/>
      <c r="GJN73" s="120"/>
      <c r="GJO73" s="120"/>
      <c r="GJP73" s="120"/>
      <c r="GJQ73" s="120"/>
      <c r="GJR73" s="120"/>
      <c r="GJS73" s="120"/>
      <c r="GJT73" s="120"/>
      <c r="GJU73" s="120"/>
      <c r="GJV73" s="120"/>
      <c r="GJW73" s="120"/>
      <c r="GJX73" s="120"/>
      <c r="GJY73" s="120"/>
      <c r="GJZ73" s="120"/>
      <c r="GKA73" s="120"/>
      <c r="GKB73" s="120"/>
      <c r="GKC73" s="120"/>
      <c r="GKD73" s="120"/>
      <c r="GKE73" s="120"/>
      <c r="GKF73" s="120"/>
      <c r="GKG73" s="120"/>
      <c r="GKH73" s="120"/>
      <c r="GKI73" s="120"/>
      <c r="GKJ73" s="120"/>
      <c r="GKK73" s="120"/>
      <c r="GKL73" s="120"/>
      <c r="GKM73" s="120"/>
      <c r="GKN73" s="120"/>
      <c r="GKO73" s="120"/>
      <c r="GKP73" s="120"/>
      <c r="GKQ73" s="120"/>
      <c r="GKR73" s="120"/>
      <c r="GKS73" s="120"/>
      <c r="GKT73" s="120"/>
      <c r="GKU73" s="120"/>
      <c r="GKV73" s="120"/>
      <c r="GKW73" s="120"/>
      <c r="GKX73" s="120"/>
      <c r="GKY73" s="120"/>
      <c r="GKZ73" s="120"/>
      <c r="GLA73" s="120"/>
      <c r="GLB73" s="120"/>
      <c r="GLC73" s="120"/>
      <c r="GLD73" s="120"/>
      <c r="GLE73" s="120"/>
      <c r="GLF73" s="120"/>
      <c r="GLG73" s="120"/>
      <c r="GLH73" s="120"/>
      <c r="GLI73" s="120"/>
      <c r="GLJ73" s="120"/>
      <c r="GLK73" s="120"/>
      <c r="GLL73" s="120"/>
      <c r="GLM73" s="120"/>
      <c r="GLN73" s="120"/>
      <c r="GLO73" s="120"/>
      <c r="GLP73" s="120"/>
      <c r="GLQ73" s="120"/>
      <c r="GLR73" s="120"/>
      <c r="GLS73" s="120"/>
      <c r="GLT73" s="120"/>
      <c r="GLU73" s="120"/>
      <c r="GLV73" s="120"/>
      <c r="GLW73" s="120"/>
      <c r="GLX73" s="120"/>
      <c r="GLY73" s="120"/>
      <c r="GLZ73" s="120"/>
      <c r="GMA73" s="120"/>
      <c r="GMB73" s="120"/>
      <c r="GMC73" s="120"/>
      <c r="GMD73" s="120"/>
      <c r="GME73" s="120"/>
      <c r="GMF73" s="120"/>
      <c r="GMG73" s="120"/>
      <c r="GMH73" s="120"/>
      <c r="GMI73" s="120"/>
      <c r="GMJ73" s="120"/>
      <c r="GMK73" s="120"/>
      <c r="GML73" s="120"/>
      <c r="GMM73" s="120"/>
      <c r="GMN73" s="120"/>
      <c r="GMO73" s="120"/>
      <c r="GMP73" s="120"/>
      <c r="GMQ73" s="120"/>
      <c r="GMR73" s="120"/>
      <c r="GMS73" s="120"/>
      <c r="GMT73" s="120"/>
      <c r="GMU73" s="120"/>
      <c r="GMV73" s="120"/>
      <c r="GMW73" s="120"/>
      <c r="GMX73" s="120"/>
      <c r="GMY73" s="120"/>
      <c r="GMZ73" s="120"/>
      <c r="GNA73" s="120"/>
      <c r="GNB73" s="120"/>
      <c r="GNC73" s="120"/>
      <c r="GND73" s="120"/>
      <c r="GNE73" s="120"/>
      <c r="GNF73" s="120"/>
      <c r="GNG73" s="120"/>
      <c r="GNH73" s="120"/>
      <c r="GNI73" s="120"/>
      <c r="GNJ73" s="120"/>
      <c r="GNK73" s="120"/>
      <c r="GNL73" s="120"/>
      <c r="GNM73" s="120"/>
      <c r="GNN73" s="120"/>
      <c r="GNO73" s="120"/>
      <c r="GNP73" s="120"/>
      <c r="GNQ73" s="120"/>
      <c r="GNR73" s="120"/>
      <c r="GNS73" s="120"/>
      <c r="GNT73" s="120"/>
      <c r="GNU73" s="120"/>
      <c r="GNV73" s="120"/>
      <c r="GNW73" s="120"/>
      <c r="GNX73" s="120"/>
      <c r="GNY73" s="120"/>
      <c r="GNZ73" s="120"/>
      <c r="GOA73" s="120"/>
      <c r="GOB73" s="120"/>
      <c r="GOC73" s="120"/>
      <c r="GOD73" s="120"/>
      <c r="GOE73" s="120"/>
      <c r="GOF73" s="120"/>
      <c r="GOG73" s="120"/>
      <c r="GOH73" s="120"/>
      <c r="GOI73" s="120"/>
      <c r="GOJ73" s="120"/>
      <c r="GOK73" s="120"/>
      <c r="GOL73" s="120"/>
      <c r="GOM73" s="120"/>
      <c r="GON73" s="120"/>
      <c r="GOO73" s="120"/>
      <c r="GOP73" s="120"/>
      <c r="GOQ73" s="120"/>
      <c r="GOR73" s="120"/>
      <c r="GOS73" s="120"/>
      <c r="GOT73" s="120"/>
      <c r="GOU73" s="120"/>
      <c r="GOV73" s="120"/>
      <c r="GOW73" s="120"/>
      <c r="GOX73" s="120"/>
      <c r="GOY73" s="120"/>
      <c r="GOZ73" s="120"/>
      <c r="GPA73" s="120"/>
      <c r="GPB73" s="120"/>
      <c r="GPC73" s="120"/>
      <c r="GPD73" s="120"/>
      <c r="GPE73" s="120"/>
      <c r="GPF73" s="120"/>
      <c r="GPG73" s="120"/>
      <c r="GPH73" s="120"/>
      <c r="GPI73" s="120"/>
      <c r="GPJ73" s="120"/>
      <c r="GPK73" s="120"/>
      <c r="GPL73" s="120"/>
      <c r="GPM73" s="120"/>
      <c r="GPN73" s="120"/>
      <c r="GPO73" s="120"/>
      <c r="GPP73" s="120"/>
      <c r="GPQ73" s="120"/>
      <c r="GPR73" s="120"/>
      <c r="GPS73" s="120"/>
      <c r="GPT73" s="120"/>
      <c r="GPU73" s="120"/>
      <c r="GPV73" s="120"/>
      <c r="GPW73" s="120"/>
      <c r="GPX73" s="120"/>
      <c r="GPY73" s="120"/>
      <c r="GPZ73" s="120"/>
      <c r="GQA73" s="120"/>
      <c r="GQB73" s="120"/>
      <c r="GQC73" s="120"/>
      <c r="GQD73" s="120"/>
      <c r="GQE73" s="120"/>
      <c r="GQF73" s="120"/>
      <c r="GQG73" s="120"/>
      <c r="GQH73" s="120"/>
      <c r="GQI73" s="120"/>
      <c r="GQJ73" s="120"/>
      <c r="GQK73" s="120"/>
      <c r="GQL73" s="120"/>
      <c r="GQM73" s="120"/>
      <c r="GQN73" s="120"/>
      <c r="GQO73" s="120"/>
      <c r="GQP73" s="120"/>
      <c r="GQQ73" s="120"/>
      <c r="GQR73" s="120"/>
      <c r="GQS73" s="120"/>
      <c r="GQT73" s="120"/>
      <c r="GQU73" s="120"/>
      <c r="GQV73" s="120"/>
      <c r="GQW73" s="120"/>
      <c r="GQX73" s="120"/>
      <c r="GQY73" s="120"/>
      <c r="GQZ73" s="120"/>
      <c r="GRA73" s="120"/>
      <c r="GRB73" s="120"/>
      <c r="GRC73" s="120"/>
      <c r="GRD73" s="120"/>
      <c r="GRE73" s="120"/>
      <c r="GRF73" s="120"/>
      <c r="GRG73" s="120"/>
      <c r="GRH73" s="120"/>
      <c r="GRI73" s="120"/>
      <c r="GRJ73" s="120"/>
      <c r="GRK73" s="120"/>
      <c r="GRL73" s="120"/>
      <c r="GRM73" s="120"/>
      <c r="GRN73" s="120"/>
      <c r="GRO73" s="120"/>
      <c r="GRP73" s="120"/>
      <c r="GRQ73" s="120"/>
      <c r="GRR73" s="120"/>
      <c r="GRS73" s="120"/>
      <c r="GRT73" s="120"/>
      <c r="GRU73" s="120"/>
      <c r="GRV73" s="120"/>
      <c r="GRW73" s="120"/>
      <c r="GRX73" s="120"/>
      <c r="GRY73" s="120"/>
      <c r="GRZ73" s="120"/>
      <c r="GSA73" s="120"/>
      <c r="GSB73" s="120"/>
      <c r="GSC73" s="120"/>
      <c r="GSD73" s="120"/>
      <c r="GSE73" s="120"/>
      <c r="GSF73" s="120"/>
      <c r="GSG73" s="120"/>
      <c r="GSH73" s="120"/>
      <c r="GSI73" s="120"/>
      <c r="GSJ73" s="120"/>
      <c r="GSK73" s="120"/>
      <c r="GSL73" s="120"/>
      <c r="GSM73" s="120"/>
      <c r="GSN73" s="120"/>
      <c r="GSO73" s="120"/>
      <c r="GSP73" s="120"/>
      <c r="GSQ73" s="120"/>
      <c r="GSR73" s="120"/>
      <c r="GSS73" s="120"/>
      <c r="GST73" s="120"/>
      <c r="GSU73" s="120"/>
      <c r="GSV73" s="120"/>
      <c r="GSW73" s="120"/>
      <c r="GSX73" s="120"/>
      <c r="GSY73" s="120"/>
      <c r="GSZ73" s="120"/>
      <c r="GTA73" s="120"/>
      <c r="GTB73" s="120"/>
      <c r="GTC73" s="120"/>
      <c r="GTD73" s="120"/>
      <c r="GTE73" s="120"/>
      <c r="GTF73" s="120"/>
      <c r="GTG73" s="120"/>
      <c r="GTH73" s="120"/>
      <c r="GTI73" s="120"/>
      <c r="GTJ73" s="120"/>
      <c r="GTK73" s="120"/>
      <c r="GTL73" s="120"/>
      <c r="GTM73" s="120"/>
      <c r="GTN73" s="120"/>
      <c r="GTO73" s="120"/>
      <c r="GTP73" s="120"/>
      <c r="GTQ73" s="120"/>
      <c r="GTR73" s="120"/>
      <c r="GTS73" s="120"/>
      <c r="GTT73" s="120"/>
      <c r="GTU73" s="120"/>
      <c r="GTV73" s="120"/>
      <c r="GTW73" s="120"/>
      <c r="GTX73" s="120"/>
      <c r="GTY73" s="120"/>
      <c r="GTZ73" s="120"/>
      <c r="GUA73" s="120"/>
      <c r="GUB73" s="120"/>
      <c r="GUC73" s="120"/>
      <c r="GUD73" s="120"/>
      <c r="GUE73" s="120"/>
      <c r="GUF73" s="120"/>
      <c r="GUG73" s="120"/>
      <c r="GUH73" s="120"/>
      <c r="GUI73" s="120"/>
      <c r="GUJ73" s="120"/>
      <c r="GUK73" s="120"/>
      <c r="GUL73" s="120"/>
      <c r="GUM73" s="120"/>
      <c r="GUN73" s="120"/>
      <c r="GUO73" s="120"/>
      <c r="GUP73" s="120"/>
      <c r="GUQ73" s="120"/>
      <c r="GUR73" s="120"/>
      <c r="GUS73" s="120"/>
      <c r="GUT73" s="120"/>
      <c r="GUU73" s="120"/>
      <c r="GUV73" s="120"/>
      <c r="GUW73" s="120"/>
      <c r="GUX73" s="120"/>
      <c r="GUY73" s="120"/>
      <c r="GUZ73" s="120"/>
      <c r="GVA73" s="120"/>
      <c r="GVB73" s="120"/>
      <c r="GVC73" s="120"/>
      <c r="GVD73" s="120"/>
      <c r="GVE73" s="120"/>
      <c r="GVF73" s="120"/>
      <c r="GVG73" s="120"/>
      <c r="GVH73" s="120"/>
      <c r="GVI73" s="120"/>
      <c r="GVJ73" s="120"/>
      <c r="GVK73" s="120"/>
      <c r="GVL73" s="120"/>
      <c r="GVM73" s="120"/>
      <c r="GVN73" s="120"/>
      <c r="GVO73" s="120"/>
      <c r="GVP73" s="120"/>
      <c r="GVQ73" s="120"/>
      <c r="GVR73" s="120"/>
      <c r="GVS73" s="120"/>
      <c r="GVT73" s="120"/>
      <c r="GVU73" s="120"/>
      <c r="GVV73" s="120"/>
      <c r="GVW73" s="120"/>
      <c r="GVX73" s="120"/>
      <c r="GVY73" s="120"/>
      <c r="GVZ73" s="120"/>
      <c r="GWA73" s="120"/>
      <c r="GWB73" s="120"/>
      <c r="GWC73" s="120"/>
      <c r="GWD73" s="120"/>
      <c r="GWE73" s="120"/>
      <c r="GWF73" s="120"/>
      <c r="GWG73" s="120"/>
      <c r="GWH73" s="120"/>
      <c r="GWI73" s="120"/>
      <c r="GWJ73" s="120"/>
      <c r="GWK73" s="120"/>
      <c r="GWL73" s="120"/>
      <c r="GWM73" s="120"/>
      <c r="GWN73" s="120"/>
      <c r="GWO73" s="120"/>
      <c r="GWP73" s="120"/>
      <c r="GWQ73" s="120"/>
      <c r="GWR73" s="120"/>
      <c r="GWS73" s="120"/>
      <c r="GWT73" s="120"/>
      <c r="GWU73" s="120"/>
      <c r="GWV73" s="120"/>
      <c r="GWW73" s="120"/>
      <c r="GWX73" s="120"/>
      <c r="GWY73" s="120"/>
      <c r="GWZ73" s="120"/>
      <c r="GXA73" s="120"/>
      <c r="GXB73" s="120"/>
      <c r="GXC73" s="120"/>
      <c r="GXD73" s="120"/>
      <c r="GXE73" s="120"/>
      <c r="GXF73" s="120"/>
      <c r="GXG73" s="120"/>
      <c r="GXH73" s="120"/>
      <c r="GXI73" s="120"/>
      <c r="GXJ73" s="120"/>
      <c r="GXK73" s="120"/>
      <c r="GXL73" s="120"/>
      <c r="GXM73" s="120"/>
      <c r="GXN73" s="120"/>
      <c r="GXO73" s="120"/>
      <c r="GXP73" s="120"/>
      <c r="GXQ73" s="120"/>
      <c r="GXR73" s="120"/>
      <c r="GXS73" s="120"/>
      <c r="GXT73" s="120"/>
      <c r="GXU73" s="120"/>
      <c r="GXV73" s="120"/>
      <c r="GXW73" s="120"/>
      <c r="GXX73" s="120"/>
      <c r="GXY73" s="120"/>
      <c r="GXZ73" s="120"/>
      <c r="GYA73" s="120"/>
      <c r="GYB73" s="120"/>
      <c r="GYC73" s="120"/>
      <c r="GYD73" s="120"/>
      <c r="GYE73" s="120"/>
      <c r="GYF73" s="120"/>
      <c r="GYG73" s="120"/>
      <c r="GYH73" s="120"/>
      <c r="GYI73" s="120"/>
      <c r="GYJ73" s="120"/>
      <c r="GYK73" s="120"/>
      <c r="GYL73" s="120"/>
      <c r="GYM73" s="120"/>
      <c r="GYN73" s="120"/>
      <c r="GYO73" s="120"/>
      <c r="GYP73" s="120"/>
      <c r="GYQ73" s="120"/>
      <c r="GYR73" s="120"/>
      <c r="GYS73" s="120"/>
      <c r="GYT73" s="120"/>
      <c r="GYU73" s="120"/>
      <c r="GYV73" s="120"/>
      <c r="GYW73" s="120"/>
      <c r="GYX73" s="120"/>
      <c r="GYY73" s="120"/>
      <c r="GYZ73" s="120"/>
      <c r="GZA73" s="120"/>
      <c r="GZB73" s="120"/>
      <c r="GZC73" s="120"/>
      <c r="GZD73" s="120"/>
      <c r="GZE73" s="120"/>
      <c r="GZF73" s="120"/>
      <c r="GZG73" s="120"/>
      <c r="GZH73" s="120"/>
      <c r="GZI73" s="120"/>
      <c r="GZJ73" s="120"/>
      <c r="GZK73" s="120"/>
      <c r="GZL73" s="120"/>
      <c r="GZM73" s="120"/>
      <c r="GZN73" s="120"/>
      <c r="GZO73" s="120"/>
      <c r="GZP73" s="120"/>
      <c r="GZQ73" s="120"/>
      <c r="GZR73" s="120"/>
      <c r="GZS73" s="120"/>
      <c r="GZT73" s="120"/>
      <c r="GZU73" s="120"/>
      <c r="GZV73" s="120"/>
      <c r="GZW73" s="120"/>
      <c r="GZX73" s="120"/>
      <c r="GZY73" s="120"/>
      <c r="GZZ73" s="120"/>
      <c r="HAA73" s="120"/>
      <c r="HAB73" s="120"/>
      <c r="HAC73" s="120"/>
      <c r="HAD73" s="120"/>
      <c r="HAE73" s="120"/>
      <c r="HAF73" s="120"/>
      <c r="HAG73" s="120"/>
      <c r="HAH73" s="120"/>
      <c r="HAI73" s="120"/>
      <c r="HAJ73" s="120"/>
      <c r="HAK73" s="120"/>
      <c r="HAL73" s="120"/>
      <c r="HAM73" s="120"/>
      <c r="HAN73" s="120"/>
      <c r="HAO73" s="120"/>
      <c r="HAP73" s="120"/>
      <c r="HAQ73" s="120"/>
      <c r="HAR73" s="120"/>
      <c r="HAS73" s="120"/>
      <c r="HAT73" s="120"/>
      <c r="HAU73" s="120"/>
      <c r="HAV73" s="120"/>
      <c r="HAW73" s="120"/>
      <c r="HAX73" s="120"/>
      <c r="HAY73" s="120"/>
      <c r="HAZ73" s="120"/>
      <c r="HBA73" s="120"/>
      <c r="HBB73" s="120"/>
      <c r="HBC73" s="120"/>
      <c r="HBD73" s="120"/>
      <c r="HBE73" s="120"/>
      <c r="HBF73" s="120"/>
      <c r="HBG73" s="120"/>
      <c r="HBH73" s="120"/>
      <c r="HBI73" s="120"/>
      <c r="HBJ73" s="120"/>
      <c r="HBK73" s="120"/>
      <c r="HBL73" s="120"/>
      <c r="HBM73" s="120"/>
      <c r="HBN73" s="120"/>
      <c r="HBO73" s="120"/>
      <c r="HBP73" s="120"/>
      <c r="HBQ73" s="120"/>
      <c r="HBR73" s="120"/>
      <c r="HBS73" s="120"/>
      <c r="HBT73" s="120"/>
      <c r="HBU73" s="120"/>
      <c r="HBV73" s="120"/>
      <c r="HBW73" s="120"/>
      <c r="HBX73" s="120"/>
      <c r="HBY73" s="120"/>
      <c r="HBZ73" s="120"/>
      <c r="HCA73" s="120"/>
      <c r="HCB73" s="120"/>
      <c r="HCC73" s="120"/>
      <c r="HCD73" s="120"/>
      <c r="HCE73" s="120"/>
      <c r="HCF73" s="120"/>
      <c r="HCG73" s="120"/>
      <c r="HCH73" s="120"/>
      <c r="HCI73" s="120"/>
      <c r="HCJ73" s="120"/>
      <c r="HCK73" s="120"/>
      <c r="HCL73" s="120"/>
      <c r="HCM73" s="120"/>
      <c r="HCN73" s="120"/>
      <c r="HCO73" s="120"/>
      <c r="HCP73" s="120"/>
      <c r="HCQ73" s="120"/>
      <c r="HCR73" s="120"/>
      <c r="HCS73" s="120"/>
      <c r="HCT73" s="120"/>
      <c r="HCU73" s="120"/>
      <c r="HCV73" s="120"/>
      <c r="HCW73" s="120"/>
      <c r="HCX73" s="120"/>
      <c r="HCY73" s="120"/>
      <c r="HCZ73" s="120"/>
      <c r="HDA73" s="120"/>
      <c r="HDB73" s="120"/>
      <c r="HDC73" s="120"/>
      <c r="HDD73" s="120"/>
      <c r="HDE73" s="120"/>
      <c r="HDF73" s="120"/>
      <c r="HDG73" s="120"/>
      <c r="HDH73" s="120"/>
      <c r="HDI73" s="120"/>
      <c r="HDJ73" s="120"/>
      <c r="HDK73" s="120"/>
      <c r="HDL73" s="120"/>
      <c r="HDM73" s="120"/>
      <c r="HDN73" s="120"/>
      <c r="HDO73" s="120"/>
      <c r="HDP73" s="120"/>
      <c r="HDQ73" s="120"/>
      <c r="HDR73" s="120"/>
      <c r="HDS73" s="120"/>
      <c r="HDT73" s="120"/>
      <c r="HDU73" s="120"/>
      <c r="HDV73" s="120"/>
      <c r="HDW73" s="120"/>
      <c r="HDX73" s="120"/>
      <c r="HDY73" s="120"/>
      <c r="HDZ73" s="120"/>
      <c r="HEA73" s="120"/>
      <c r="HEB73" s="120"/>
      <c r="HEC73" s="120"/>
      <c r="HED73" s="120"/>
      <c r="HEE73" s="120"/>
      <c r="HEF73" s="120"/>
      <c r="HEG73" s="120"/>
      <c r="HEH73" s="120"/>
      <c r="HEI73" s="120"/>
      <c r="HEJ73" s="120"/>
      <c r="HEK73" s="120"/>
      <c r="HEL73" s="120"/>
      <c r="HEM73" s="120"/>
      <c r="HEN73" s="120"/>
      <c r="HEO73" s="120"/>
      <c r="HEP73" s="120"/>
      <c r="HEQ73" s="120"/>
      <c r="HER73" s="120"/>
      <c r="HES73" s="120"/>
      <c r="HET73" s="120"/>
      <c r="HEU73" s="120"/>
      <c r="HEV73" s="120"/>
      <c r="HEW73" s="120"/>
      <c r="HEX73" s="120"/>
      <c r="HEY73" s="120"/>
      <c r="HEZ73" s="120"/>
      <c r="HFA73" s="120"/>
      <c r="HFB73" s="120"/>
      <c r="HFC73" s="120"/>
      <c r="HFD73" s="120"/>
      <c r="HFE73" s="120"/>
      <c r="HFF73" s="120"/>
      <c r="HFG73" s="120"/>
      <c r="HFH73" s="120"/>
      <c r="HFI73" s="120"/>
      <c r="HFJ73" s="120"/>
      <c r="HFK73" s="120"/>
      <c r="HFL73" s="120"/>
      <c r="HFM73" s="120"/>
      <c r="HFN73" s="120"/>
      <c r="HFO73" s="120"/>
      <c r="HFP73" s="120"/>
      <c r="HFQ73" s="120"/>
      <c r="HFR73" s="120"/>
      <c r="HFS73" s="120"/>
      <c r="HFT73" s="120"/>
      <c r="HFU73" s="120"/>
      <c r="HFV73" s="120"/>
      <c r="HFW73" s="120"/>
      <c r="HFX73" s="120"/>
      <c r="HFY73" s="120"/>
      <c r="HFZ73" s="120"/>
      <c r="HGA73" s="120"/>
      <c r="HGB73" s="120"/>
      <c r="HGC73" s="120"/>
      <c r="HGD73" s="120"/>
      <c r="HGE73" s="120"/>
      <c r="HGF73" s="120"/>
      <c r="HGG73" s="120"/>
      <c r="HGH73" s="120"/>
      <c r="HGI73" s="120"/>
      <c r="HGJ73" s="120"/>
      <c r="HGK73" s="120"/>
      <c r="HGL73" s="120"/>
      <c r="HGM73" s="120"/>
      <c r="HGN73" s="120"/>
      <c r="HGO73" s="120"/>
      <c r="HGP73" s="120"/>
      <c r="HGQ73" s="120"/>
      <c r="HGR73" s="120"/>
      <c r="HGS73" s="120"/>
      <c r="HGT73" s="120"/>
      <c r="HGU73" s="120"/>
      <c r="HGV73" s="120"/>
      <c r="HGW73" s="120"/>
      <c r="HGX73" s="120"/>
      <c r="HGY73" s="120"/>
      <c r="HGZ73" s="120"/>
      <c r="HHA73" s="120"/>
      <c r="HHB73" s="120"/>
      <c r="HHC73" s="120"/>
      <c r="HHD73" s="120"/>
      <c r="HHE73" s="120"/>
      <c r="HHF73" s="120"/>
      <c r="HHG73" s="120"/>
      <c r="HHH73" s="120"/>
      <c r="HHI73" s="120"/>
      <c r="HHJ73" s="120"/>
      <c r="HHK73" s="120"/>
      <c r="HHL73" s="120"/>
      <c r="HHM73" s="120"/>
      <c r="HHN73" s="120"/>
      <c r="HHO73" s="120"/>
      <c r="HHP73" s="120"/>
      <c r="HHQ73" s="120"/>
      <c r="HHR73" s="120"/>
      <c r="HHS73" s="120"/>
      <c r="HHT73" s="120"/>
      <c r="HHU73" s="120"/>
      <c r="HHV73" s="120"/>
      <c r="HHW73" s="120"/>
      <c r="HHX73" s="120"/>
      <c r="HHY73" s="120"/>
      <c r="HHZ73" s="120"/>
      <c r="HIA73" s="120"/>
      <c r="HIB73" s="120"/>
      <c r="HIC73" s="120"/>
      <c r="HID73" s="120"/>
      <c r="HIE73" s="120"/>
      <c r="HIF73" s="120"/>
      <c r="HIG73" s="120"/>
      <c r="HIH73" s="120"/>
      <c r="HII73" s="120"/>
      <c r="HIJ73" s="120"/>
      <c r="HIK73" s="120"/>
      <c r="HIL73" s="120"/>
      <c r="HIM73" s="120"/>
      <c r="HIN73" s="120"/>
      <c r="HIO73" s="120"/>
      <c r="HIP73" s="120"/>
      <c r="HIQ73" s="120"/>
      <c r="HIR73" s="120"/>
      <c r="HIS73" s="120"/>
      <c r="HIT73" s="120"/>
      <c r="HIU73" s="120"/>
      <c r="HIV73" s="120"/>
      <c r="HIW73" s="120"/>
      <c r="HIX73" s="120"/>
      <c r="HIY73" s="120"/>
      <c r="HIZ73" s="120"/>
      <c r="HJA73" s="120"/>
      <c r="HJB73" s="120"/>
      <c r="HJC73" s="120"/>
      <c r="HJD73" s="120"/>
      <c r="HJE73" s="120"/>
      <c r="HJF73" s="120"/>
      <c r="HJG73" s="120"/>
      <c r="HJH73" s="120"/>
      <c r="HJI73" s="120"/>
      <c r="HJJ73" s="120"/>
      <c r="HJK73" s="120"/>
      <c r="HJL73" s="120"/>
      <c r="HJM73" s="120"/>
      <c r="HJN73" s="120"/>
      <c r="HJO73" s="120"/>
      <c r="HJP73" s="120"/>
      <c r="HJQ73" s="120"/>
      <c r="HJR73" s="120"/>
      <c r="HJS73" s="120"/>
      <c r="HJT73" s="120"/>
      <c r="HJU73" s="120"/>
      <c r="HJV73" s="120"/>
      <c r="HJW73" s="120"/>
      <c r="HJX73" s="120"/>
      <c r="HJY73" s="120"/>
      <c r="HJZ73" s="120"/>
      <c r="HKA73" s="120"/>
      <c r="HKB73" s="120"/>
      <c r="HKC73" s="120"/>
      <c r="HKD73" s="120"/>
      <c r="HKE73" s="120"/>
      <c r="HKF73" s="120"/>
      <c r="HKG73" s="120"/>
      <c r="HKH73" s="120"/>
      <c r="HKI73" s="120"/>
      <c r="HKJ73" s="120"/>
      <c r="HKK73" s="120"/>
      <c r="HKL73" s="120"/>
      <c r="HKM73" s="120"/>
      <c r="HKN73" s="120"/>
      <c r="HKO73" s="120"/>
      <c r="HKP73" s="120"/>
      <c r="HKQ73" s="120"/>
      <c r="HKR73" s="120"/>
      <c r="HKS73" s="120"/>
      <c r="HKT73" s="120"/>
      <c r="HKU73" s="120"/>
      <c r="HKV73" s="120"/>
      <c r="HKW73" s="120"/>
      <c r="HKX73" s="120"/>
      <c r="HKY73" s="120"/>
      <c r="HKZ73" s="120"/>
      <c r="HLA73" s="120"/>
      <c r="HLB73" s="120"/>
      <c r="HLC73" s="120"/>
      <c r="HLD73" s="120"/>
      <c r="HLE73" s="120"/>
      <c r="HLF73" s="120"/>
      <c r="HLG73" s="120"/>
      <c r="HLH73" s="120"/>
      <c r="HLI73" s="120"/>
      <c r="HLJ73" s="120"/>
      <c r="HLK73" s="120"/>
      <c r="HLL73" s="120"/>
      <c r="HLM73" s="120"/>
      <c r="HLN73" s="120"/>
      <c r="HLO73" s="120"/>
      <c r="HLP73" s="120"/>
      <c r="HLQ73" s="120"/>
      <c r="HLR73" s="120"/>
      <c r="HLS73" s="120"/>
      <c r="HLT73" s="120"/>
      <c r="HLU73" s="120"/>
      <c r="HLV73" s="120"/>
      <c r="HLW73" s="120"/>
      <c r="HLX73" s="120"/>
      <c r="HLY73" s="120"/>
      <c r="HLZ73" s="120"/>
      <c r="HMA73" s="120"/>
      <c r="HMB73" s="120"/>
      <c r="HMC73" s="120"/>
      <c r="HMD73" s="120"/>
      <c r="HME73" s="120"/>
      <c r="HMF73" s="120"/>
      <c r="HMG73" s="120"/>
      <c r="HMH73" s="120"/>
      <c r="HMI73" s="120"/>
      <c r="HMJ73" s="120"/>
      <c r="HMK73" s="120"/>
      <c r="HML73" s="120"/>
      <c r="HMM73" s="120"/>
      <c r="HMN73" s="120"/>
      <c r="HMO73" s="120"/>
      <c r="HMP73" s="120"/>
      <c r="HMQ73" s="120"/>
      <c r="HMR73" s="120"/>
      <c r="HMS73" s="120"/>
      <c r="HMT73" s="120"/>
      <c r="HMU73" s="120"/>
      <c r="HMV73" s="120"/>
      <c r="HMW73" s="120"/>
      <c r="HMX73" s="120"/>
      <c r="HMY73" s="120"/>
      <c r="HMZ73" s="120"/>
      <c r="HNA73" s="120"/>
      <c r="HNB73" s="120"/>
      <c r="HNC73" s="120"/>
      <c r="HND73" s="120"/>
      <c r="HNE73" s="120"/>
      <c r="HNF73" s="120"/>
      <c r="HNG73" s="120"/>
      <c r="HNH73" s="120"/>
      <c r="HNI73" s="120"/>
      <c r="HNJ73" s="120"/>
      <c r="HNK73" s="120"/>
      <c r="HNL73" s="120"/>
      <c r="HNM73" s="120"/>
      <c r="HNN73" s="120"/>
      <c r="HNO73" s="120"/>
      <c r="HNP73" s="120"/>
      <c r="HNQ73" s="120"/>
      <c r="HNR73" s="120"/>
      <c r="HNS73" s="120"/>
      <c r="HNT73" s="120"/>
      <c r="HNU73" s="120"/>
      <c r="HNV73" s="120"/>
      <c r="HNW73" s="120"/>
      <c r="HNX73" s="120"/>
      <c r="HNY73" s="120"/>
      <c r="HNZ73" s="120"/>
      <c r="HOA73" s="120"/>
      <c r="HOB73" s="120"/>
      <c r="HOC73" s="120"/>
      <c r="HOD73" s="120"/>
      <c r="HOE73" s="120"/>
      <c r="HOF73" s="120"/>
      <c r="HOG73" s="120"/>
      <c r="HOH73" s="120"/>
      <c r="HOI73" s="120"/>
      <c r="HOJ73" s="120"/>
      <c r="HOK73" s="120"/>
      <c r="HOL73" s="120"/>
      <c r="HOM73" s="120"/>
      <c r="HON73" s="120"/>
      <c r="HOO73" s="120"/>
      <c r="HOP73" s="120"/>
      <c r="HOQ73" s="120"/>
      <c r="HOR73" s="120"/>
      <c r="HOS73" s="120"/>
      <c r="HOT73" s="120"/>
      <c r="HOU73" s="120"/>
      <c r="HOV73" s="120"/>
      <c r="HOW73" s="120"/>
      <c r="HOX73" s="120"/>
      <c r="HOY73" s="120"/>
      <c r="HOZ73" s="120"/>
      <c r="HPA73" s="120"/>
      <c r="HPB73" s="120"/>
      <c r="HPC73" s="120"/>
      <c r="HPD73" s="120"/>
      <c r="HPE73" s="120"/>
      <c r="HPF73" s="120"/>
      <c r="HPG73" s="120"/>
      <c r="HPH73" s="120"/>
      <c r="HPI73" s="120"/>
      <c r="HPJ73" s="120"/>
      <c r="HPK73" s="120"/>
      <c r="HPL73" s="120"/>
      <c r="HPM73" s="120"/>
      <c r="HPN73" s="120"/>
      <c r="HPO73" s="120"/>
      <c r="HPP73" s="120"/>
      <c r="HPQ73" s="120"/>
      <c r="HPR73" s="120"/>
      <c r="HPS73" s="120"/>
      <c r="HPT73" s="120"/>
      <c r="HPU73" s="120"/>
      <c r="HPV73" s="120"/>
      <c r="HPW73" s="120"/>
      <c r="HPX73" s="120"/>
      <c r="HPY73" s="120"/>
      <c r="HPZ73" s="120"/>
      <c r="HQA73" s="120"/>
      <c r="HQB73" s="120"/>
      <c r="HQC73" s="120"/>
      <c r="HQD73" s="120"/>
      <c r="HQE73" s="120"/>
      <c r="HQF73" s="120"/>
      <c r="HQG73" s="120"/>
      <c r="HQH73" s="120"/>
      <c r="HQI73" s="120"/>
      <c r="HQJ73" s="120"/>
      <c r="HQK73" s="120"/>
      <c r="HQL73" s="120"/>
      <c r="HQM73" s="120"/>
      <c r="HQN73" s="120"/>
      <c r="HQO73" s="120"/>
      <c r="HQP73" s="120"/>
      <c r="HQQ73" s="120"/>
      <c r="HQR73" s="120"/>
      <c r="HQS73" s="120"/>
      <c r="HQT73" s="120"/>
      <c r="HQU73" s="120"/>
      <c r="HQV73" s="120"/>
      <c r="HQW73" s="120"/>
      <c r="HQX73" s="120"/>
      <c r="HQY73" s="120"/>
      <c r="HQZ73" s="120"/>
      <c r="HRA73" s="120"/>
      <c r="HRB73" s="120"/>
      <c r="HRC73" s="120"/>
      <c r="HRD73" s="120"/>
      <c r="HRE73" s="120"/>
      <c r="HRF73" s="120"/>
      <c r="HRG73" s="120"/>
      <c r="HRH73" s="120"/>
      <c r="HRI73" s="120"/>
      <c r="HRJ73" s="120"/>
      <c r="HRK73" s="120"/>
      <c r="HRL73" s="120"/>
      <c r="HRM73" s="120"/>
      <c r="HRN73" s="120"/>
      <c r="HRO73" s="120"/>
      <c r="HRP73" s="120"/>
      <c r="HRQ73" s="120"/>
      <c r="HRR73" s="120"/>
      <c r="HRS73" s="120"/>
      <c r="HRT73" s="120"/>
      <c r="HRU73" s="120"/>
      <c r="HRV73" s="120"/>
      <c r="HRW73" s="120"/>
      <c r="HRX73" s="120"/>
      <c r="HRY73" s="120"/>
      <c r="HRZ73" s="120"/>
      <c r="HSA73" s="120"/>
      <c r="HSB73" s="120"/>
      <c r="HSC73" s="120"/>
      <c r="HSD73" s="120"/>
      <c r="HSE73" s="120"/>
      <c r="HSF73" s="120"/>
      <c r="HSG73" s="120"/>
      <c r="HSH73" s="120"/>
      <c r="HSI73" s="120"/>
      <c r="HSJ73" s="120"/>
      <c r="HSK73" s="120"/>
      <c r="HSL73" s="120"/>
      <c r="HSM73" s="120"/>
      <c r="HSN73" s="120"/>
      <c r="HSO73" s="120"/>
      <c r="HSP73" s="120"/>
      <c r="HSQ73" s="120"/>
      <c r="HSR73" s="120"/>
      <c r="HSS73" s="120"/>
      <c r="HST73" s="120"/>
      <c r="HSU73" s="120"/>
      <c r="HSV73" s="120"/>
      <c r="HSW73" s="120"/>
      <c r="HSX73" s="120"/>
      <c r="HSY73" s="120"/>
      <c r="HSZ73" s="120"/>
      <c r="HTA73" s="120"/>
      <c r="HTB73" s="120"/>
      <c r="HTC73" s="120"/>
      <c r="HTD73" s="120"/>
      <c r="HTE73" s="120"/>
      <c r="HTF73" s="120"/>
      <c r="HTG73" s="120"/>
      <c r="HTH73" s="120"/>
      <c r="HTI73" s="120"/>
      <c r="HTJ73" s="120"/>
      <c r="HTK73" s="120"/>
      <c r="HTL73" s="120"/>
      <c r="HTM73" s="120"/>
      <c r="HTN73" s="120"/>
      <c r="HTO73" s="120"/>
      <c r="HTP73" s="120"/>
      <c r="HTQ73" s="120"/>
      <c r="HTR73" s="120"/>
      <c r="HTS73" s="120"/>
      <c r="HTT73" s="120"/>
      <c r="HTU73" s="120"/>
      <c r="HTV73" s="120"/>
      <c r="HTW73" s="120"/>
      <c r="HTX73" s="120"/>
      <c r="HTY73" s="120"/>
      <c r="HTZ73" s="120"/>
      <c r="HUA73" s="120"/>
      <c r="HUB73" s="120"/>
      <c r="HUC73" s="120"/>
      <c r="HUD73" s="120"/>
      <c r="HUE73" s="120"/>
      <c r="HUF73" s="120"/>
      <c r="HUG73" s="120"/>
      <c r="HUH73" s="120"/>
      <c r="HUI73" s="120"/>
      <c r="HUJ73" s="120"/>
      <c r="HUK73" s="120"/>
      <c r="HUL73" s="120"/>
      <c r="HUM73" s="120"/>
      <c r="HUN73" s="120"/>
      <c r="HUO73" s="120"/>
      <c r="HUP73" s="120"/>
      <c r="HUQ73" s="120"/>
      <c r="HUR73" s="120"/>
      <c r="HUS73" s="120"/>
      <c r="HUT73" s="120"/>
      <c r="HUU73" s="120"/>
      <c r="HUV73" s="120"/>
      <c r="HUW73" s="120"/>
      <c r="HUX73" s="120"/>
      <c r="HUY73" s="120"/>
      <c r="HUZ73" s="120"/>
      <c r="HVA73" s="120"/>
      <c r="HVB73" s="120"/>
      <c r="HVC73" s="120"/>
      <c r="HVD73" s="120"/>
      <c r="HVE73" s="120"/>
      <c r="HVF73" s="120"/>
      <c r="HVG73" s="120"/>
      <c r="HVH73" s="120"/>
      <c r="HVI73" s="120"/>
      <c r="HVJ73" s="120"/>
      <c r="HVK73" s="120"/>
      <c r="HVL73" s="120"/>
      <c r="HVM73" s="120"/>
      <c r="HVN73" s="120"/>
      <c r="HVO73" s="120"/>
      <c r="HVP73" s="120"/>
      <c r="HVQ73" s="120"/>
      <c r="HVR73" s="120"/>
      <c r="HVS73" s="120"/>
      <c r="HVT73" s="120"/>
      <c r="HVU73" s="120"/>
      <c r="HVV73" s="120"/>
      <c r="HVW73" s="120"/>
      <c r="HVX73" s="120"/>
      <c r="HVY73" s="120"/>
      <c r="HVZ73" s="120"/>
      <c r="HWA73" s="120"/>
      <c r="HWB73" s="120"/>
      <c r="HWC73" s="120"/>
      <c r="HWD73" s="120"/>
      <c r="HWE73" s="120"/>
      <c r="HWF73" s="120"/>
      <c r="HWG73" s="120"/>
      <c r="HWH73" s="120"/>
      <c r="HWI73" s="120"/>
      <c r="HWJ73" s="120"/>
      <c r="HWK73" s="120"/>
      <c r="HWL73" s="120"/>
      <c r="HWM73" s="120"/>
      <c r="HWN73" s="120"/>
      <c r="HWO73" s="120"/>
      <c r="HWP73" s="120"/>
      <c r="HWQ73" s="120"/>
      <c r="HWR73" s="120"/>
      <c r="HWS73" s="120"/>
      <c r="HWT73" s="120"/>
      <c r="HWU73" s="120"/>
      <c r="HWV73" s="120"/>
      <c r="HWW73" s="120"/>
      <c r="HWX73" s="120"/>
      <c r="HWY73" s="120"/>
      <c r="HWZ73" s="120"/>
      <c r="HXA73" s="120"/>
      <c r="HXB73" s="120"/>
      <c r="HXC73" s="120"/>
      <c r="HXD73" s="120"/>
      <c r="HXE73" s="120"/>
      <c r="HXF73" s="120"/>
      <c r="HXG73" s="120"/>
      <c r="HXH73" s="120"/>
      <c r="HXI73" s="120"/>
      <c r="HXJ73" s="120"/>
      <c r="HXK73" s="120"/>
      <c r="HXL73" s="120"/>
      <c r="HXM73" s="120"/>
      <c r="HXN73" s="120"/>
      <c r="HXO73" s="120"/>
      <c r="HXP73" s="120"/>
      <c r="HXQ73" s="120"/>
      <c r="HXR73" s="120"/>
      <c r="HXS73" s="120"/>
      <c r="HXT73" s="120"/>
      <c r="HXU73" s="120"/>
      <c r="HXV73" s="120"/>
      <c r="HXW73" s="120"/>
      <c r="HXX73" s="120"/>
      <c r="HXY73" s="120"/>
      <c r="HXZ73" s="120"/>
      <c r="HYA73" s="120"/>
      <c r="HYB73" s="120"/>
      <c r="HYC73" s="120"/>
      <c r="HYD73" s="120"/>
      <c r="HYE73" s="120"/>
      <c r="HYF73" s="120"/>
      <c r="HYG73" s="120"/>
      <c r="HYH73" s="120"/>
      <c r="HYI73" s="120"/>
      <c r="HYJ73" s="120"/>
      <c r="HYK73" s="120"/>
      <c r="HYL73" s="120"/>
      <c r="HYM73" s="120"/>
      <c r="HYN73" s="120"/>
      <c r="HYO73" s="120"/>
      <c r="HYP73" s="120"/>
      <c r="HYQ73" s="120"/>
      <c r="HYR73" s="120"/>
      <c r="HYS73" s="120"/>
      <c r="HYT73" s="120"/>
      <c r="HYU73" s="120"/>
      <c r="HYV73" s="120"/>
      <c r="HYW73" s="120"/>
      <c r="HYX73" s="120"/>
      <c r="HYY73" s="120"/>
      <c r="HYZ73" s="120"/>
      <c r="HZA73" s="120"/>
      <c r="HZB73" s="120"/>
      <c r="HZC73" s="120"/>
      <c r="HZD73" s="120"/>
      <c r="HZE73" s="120"/>
      <c r="HZF73" s="120"/>
      <c r="HZG73" s="120"/>
      <c r="HZH73" s="120"/>
      <c r="HZI73" s="120"/>
      <c r="HZJ73" s="120"/>
      <c r="HZK73" s="120"/>
      <c r="HZL73" s="120"/>
      <c r="HZM73" s="120"/>
      <c r="HZN73" s="120"/>
      <c r="HZO73" s="120"/>
      <c r="HZP73" s="120"/>
      <c r="HZQ73" s="120"/>
      <c r="HZR73" s="120"/>
      <c r="HZS73" s="120"/>
      <c r="HZT73" s="120"/>
      <c r="HZU73" s="120"/>
      <c r="HZV73" s="120"/>
      <c r="HZW73" s="120"/>
      <c r="HZX73" s="120"/>
      <c r="HZY73" s="120"/>
      <c r="HZZ73" s="120"/>
      <c r="IAA73" s="120"/>
      <c r="IAB73" s="120"/>
      <c r="IAC73" s="120"/>
      <c r="IAD73" s="120"/>
      <c r="IAE73" s="120"/>
      <c r="IAF73" s="120"/>
      <c r="IAG73" s="120"/>
      <c r="IAH73" s="120"/>
      <c r="IAI73" s="120"/>
      <c r="IAJ73" s="120"/>
      <c r="IAK73" s="120"/>
      <c r="IAL73" s="120"/>
      <c r="IAM73" s="120"/>
      <c r="IAN73" s="120"/>
      <c r="IAO73" s="120"/>
      <c r="IAP73" s="120"/>
      <c r="IAQ73" s="120"/>
      <c r="IAR73" s="120"/>
      <c r="IAS73" s="120"/>
      <c r="IAT73" s="120"/>
      <c r="IAU73" s="120"/>
      <c r="IAV73" s="120"/>
      <c r="IAW73" s="120"/>
      <c r="IAX73" s="120"/>
      <c r="IAY73" s="120"/>
      <c r="IAZ73" s="120"/>
      <c r="IBA73" s="120"/>
      <c r="IBB73" s="120"/>
      <c r="IBC73" s="120"/>
      <c r="IBD73" s="120"/>
      <c r="IBE73" s="120"/>
      <c r="IBF73" s="120"/>
      <c r="IBG73" s="120"/>
      <c r="IBH73" s="120"/>
      <c r="IBI73" s="120"/>
      <c r="IBJ73" s="120"/>
      <c r="IBK73" s="120"/>
      <c r="IBL73" s="120"/>
      <c r="IBM73" s="120"/>
      <c r="IBN73" s="120"/>
      <c r="IBO73" s="120"/>
      <c r="IBP73" s="120"/>
      <c r="IBQ73" s="120"/>
      <c r="IBR73" s="120"/>
      <c r="IBS73" s="120"/>
      <c r="IBT73" s="120"/>
      <c r="IBU73" s="120"/>
      <c r="IBV73" s="120"/>
      <c r="IBW73" s="120"/>
      <c r="IBX73" s="120"/>
      <c r="IBY73" s="120"/>
      <c r="IBZ73" s="120"/>
      <c r="ICA73" s="120"/>
      <c r="ICB73" s="120"/>
      <c r="ICC73" s="120"/>
      <c r="ICD73" s="120"/>
      <c r="ICE73" s="120"/>
      <c r="ICF73" s="120"/>
      <c r="ICG73" s="120"/>
      <c r="ICH73" s="120"/>
      <c r="ICI73" s="120"/>
      <c r="ICJ73" s="120"/>
      <c r="ICK73" s="120"/>
      <c r="ICL73" s="120"/>
      <c r="ICM73" s="120"/>
      <c r="ICN73" s="120"/>
      <c r="ICO73" s="120"/>
      <c r="ICP73" s="120"/>
      <c r="ICQ73" s="120"/>
      <c r="ICR73" s="120"/>
      <c r="ICS73" s="120"/>
      <c r="ICT73" s="120"/>
      <c r="ICU73" s="120"/>
      <c r="ICV73" s="120"/>
      <c r="ICW73" s="120"/>
      <c r="ICX73" s="120"/>
      <c r="ICY73" s="120"/>
      <c r="ICZ73" s="120"/>
      <c r="IDA73" s="120"/>
      <c r="IDB73" s="120"/>
      <c r="IDC73" s="120"/>
      <c r="IDD73" s="120"/>
      <c r="IDE73" s="120"/>
      <c r="IDF73" s="120"/>
      <c r="IDG73" s="120"/>
      <c r="IDH73" s="120"/>
      <c r="IDI73" s="120"/>
      <c r="IDJ73" s="120"/>
      <c r="IDK73" s="120"/>
      <c r="IDL73" s="120"/>
      <c r="IDM73" s="120"/>
      <c r="IDN73" s="120"/>
      <c r="IDO73" s="120"/>
      <c r="IDP73" s="120"/>
      <c r="IDQ73" s="120"/>
      <c r="IDR73" s="120"/>
      <c r="IDS73" s="120"/>
      <c r="IDT73" s="120"/>
      <c r="IDU73" s="120"/>
      <c r="IDV73" s="120"/>
      <c r="IDW73" s="120"/>
      <c r="IDX73" s="120"/>
      <c r="IDY73" s="120"/>
      <c r="IDZ73" s="120"/>
      <c r="IEA73" s="120"/>
      <c r="IEB73" s="120"/>
      <c r="IEC73" s="120"/>
      <c r="IED73" s="120"/>
      <c r="IEE73" s="120"/>
      <c r="IEF73" s="120"/>
      <c r="IEG73" s="120"/>
      <c r="IEH73" s="120"/>
      <c r="IEI73" s="120"/>
      <c r="IEJ73" s="120"/>
      <c r="IEK73" s="120"/>
      <c r="IEL73" s="120"/>
      <c r="IEM73" s="120"/>
      <c r="IEN73" s="120"/>
      <c r="IEO73" s="120"/>
      <c r="IEP73" s="120"/>
      <c r="IEQ73" s="120"/>
      <c r="IER73" s="120"/>
      <c r="IES73" s="120"/>
      <c r="IET73" s="120"/>
      <c r="IEU73" s="120"/>
      <c r="IEV73" s="120"/>
      <c r="IEW73" s="120"/>
      <c r="IEX73" s="120"/>
      <c r="IEY73" s="120"/>
      <c r="IEZ73" s="120"/>
      <c r="IFA73" s="120"/>
      <c r="IFB73" s="120"/>
      <c r="IFC73" s="120"/>
      <c r="IFD73" s="120"/>
      <c r="IFE73" s="120"/>
      <c r="IFF73" s="120"/>
      <c r="IFG73" s="120"/>
      <c r="IFH73" s="120"/>
      <c r="IFI73" s="120"/>
      <c r="IFJ73" s="120"/>
      <c r="IFK73" s="120"/>
      <c r="IFL73" s="120"/>
      <c r="IFM73" s="120"/>
      <c r="IFN73" s="120"/>
      <c r="IFO73" s="120"/>
      <c r="IFP73" s="120"/>
      <c r="IFQ73" s="120"/>
      <c r="IFR73" s="120"/>
      <c r="IFS73" s="120"/>
      <c r="IFT73" s="120"/>
      <c r="IFU73" s="120"/>
      <c r="IFV73" s="120"/>
      <c r="IFW73" s="120"/>
      <c r="IFX73" s="120"/>
      <c r="IFY73" s="120"/>
      <c r="IFZ73" s="120"/>
      <c r="IGA73" s="120"/>
      <c r="IGB73" s="120"/>
      <c r="IGC73" s="120"/>
      <c r="IGD73" s="120"/>
      <c r="IGE73" s="120"/>
      <c r="IGF73" s="120"/>
      <c r="IGG73" s="120"/>
      <c r="IGH73" s="120"/>
      <c r="IGI73" s="120"/>
      <c r="IGJ73" s="120"/>
      <c r="IGK73" s="120"/>
      <c r="IGL73" s="120"/>
      <c r="IGM73" s="120"/>
      <c r="IGN73" s="120"/>
      <c r="IGO73" s="120"/>
      <c r="IGP73" s="120"/>
      <c r="IGQ73" s="120"/>
      <c r="IGR73" s="120"/>
      <c r="IGS73" s="120"/>
      <c r="IGT73" s="120"/>
      <c r="IGU73" s="120"/>
      <c r="IGV73" s="120"/>
      <c r="IGW73" s="120"/>
      <c r="IGX73" s="120"/>
      <c r="IGY73" s="120"/>
      <c r="IGZ73" s="120"/>
      <c r="IHA73" s="120"/>
      <c r="IHB73" s="120"/>
      <c r="IHC73" s="120"/>
      <c r="IHD73" s="120"/>
      <c r="IHE73" s="120"/>
      <c r="IHF73" s="120"/>
      <c r="IHG73" s="120"/>
      <c r="IHH73" s="120"/>
      <c r="IHI73" s="120"/>
      <c r="IHJ73" s="120"/>
      <c r="IHK73" s="120"/>
      <c r="IHL73" s="120"/>
      <c r="IHM73" s="120"/>
      <c r="IHN73" s="120"/>
      <c r="IHO73" s="120"/>
      <c r="IHP73" s="120"/>
      <c r="IHQ73" s="120"/>
      <c r="IHR73" s="120"/>
      <c r="IHS73" s="120"/>
      <c r="IHT73" s="120"/>
      <c r="IHU73" s="120"/>
      <c r="IHV73" s="120"/>
      <c r="IHW73" s="120"/>
      <c r="IHX73" s="120"/>
      <c r="IHY73" s="120"/>
      <c r="IHZ73" s="120"/>
      <c r="IIA73" s="120"/>
      <c r="IIB73" s="120"/>
      <c r="IIC73" s="120"/>
      <c r="IID73" s="120"/>
      <c r="IIE73" s="120"/>
      <c r="IIF73" s="120"/>
      <c r="IIG73" s="120"/>
      <c r="IIH73" s="120"/>
      <c r="III73" s="120"/>
      <c r="IIJ73" s="120"/>
      <c r="IIK73" s="120"/>
      <c r="IIL73" s="120"/>
      <c r="IIM73" s="120"/>
      <c r="IIN73" s="120"/>
      <c r="IIO73" s="120"/>
      <c r="IIP73" s="120"/>
      <c r="IIQ73" s="120"/>
      <c r="IIR73" s="120"/>
      <c r="IIS73" s="120"/>
      <c r="IIT73" s="120"/>
      <c r="IIU73" s="120"/>
      <c r="IIV73" s="120"/>
      <c r="IIW73" s="120"/>
      <c r="IIX73" s="120"/>
      <c r="IIY73" s="120"/>
      <c r="IIZ73" s="120"/>
      <c r="IJA73" s="120"/>
      <c r="IJB73" s="120"/>
      <c r="IJC73" s="120"/>
      <c r="IJD73" s="120"/>
      <c r="IJE73" s="120"/>
      <c r="IJF73" s="120"/>
      <c r="IJG73" s="120"/>
      <c r="IJH73" s="120"/>
      <c r="IJI73" s="120"/>
      <c r="IJJ73" s="120"/>
      <c r="IJK73" s="120"/>
      <c r="IJL73" s="120"/>
      <c r="IJM73" s="120"/>
      <c r="IJN73" s="120"/>
      <c r="IJO73" s="120"/>
      <c r="IJP73" s="120"/>
      <c r="IJQ73" s="120"/>
      <c r="IJR73" s="120"/>
      <c r="IJS73" s="120"/>
      <c r="IJT73" s="120"/>
      <c r="IJU73" s="120"/>
      <c r="IJV73" s="120"/>
      <c r="IJW73" s="120"/>
      <c r="IJX73" s="120"/>
      <c r="IJY73" s="120"/>
      <c r="IJZ73" s="120"/>
      <c r="IKA73" s="120"/>
      <c r="IKB73" s="120"/>
      <c r="IKC73" s="120"/>
      <c r="IKD73" s="120"/>
      <c r="IKE73" s="120"/>
      <c r="IKF73" s="120"/>
      <c r="IKG73" s="120"/>
      <c r="IKH73" s="120"/>
      <c r="IKI73" s="120"/>
      <c r="IKJ73" s="120"/>
      <c r="IKK73" s="120"/>
      <c r="IKL73" s="120"/>
      <c r="IKM73" s="120"/>
      <c r="IKN73" s="120"/>
      <c r="IKO73" s="120"/>
      <c r="IKP73" s="120"/>
      <c r="IKQ73" s="120"/>
      <c r="IKR73" s="120"/>
      <c r="IKS73" s="120"/>
      <c r="IKT73" s="120"/>
      <c r="IKU73" s="120"/>
      <c r="IKV73" s="120"/>
      <c r="IKW73" s="120"/>
      <c r="IKX73" s="120"/>
      <c r="IKY73" s="120"/>
      <c r="IKZ73" s="120"/>
      <c r="ILA73" s="120"/>
      <c r="ILB73" s="120"/>
      <c r="ILC73" s="120"/>
      <c r="ILD73" s="120"/>
      <c r="ILE73" s="120"/>
      <c r="ILF73" s="120"/>
      <c r="ILG73" s="120"/>
      <c r="ILH73" s="120"/>
      <c r="ILI73" s="120"/>
      <c r="ILJ73" s="120"/>
      <c r="ILK73" s="120"/>
      <c r="ILL73" s="120"/>
      <c r="ILM73" s="120"/>
      <c r="ILN73" s="120"/>
      <c r="ILO73" s="120"/>
      <c r="ILP73" s="120"/>
      <c r="ILQ73" s="120"/>
      <c r="ILR73" s="120"/>
      <c r="ILS73" s="120"/>
      <c r="ILT73" s="120"/>
      <c r="ILU73" s="120"/>
      <c r="ILV73" s="120"/>
      <c r="ILW73" s="120"/>
      <c r="ILX73" s="120"/>
      <c r="ILY73" s="120"/>
      <c r="ILZ73" s="120"/>
      <c r="IMA73" s="120"/>
      <c r="IMB73" s="120"/>
      <c r="IMC73" s="120"/>
      <c r="IMD73" s="120"/>
      <c r="IME73" s="120"/>
      <c r="IMF73" s="120"/>
      <c r="IMG73" s="120"/>
      <c r="IMH73" s="120"/>
      <c r="IMI73" s="120"/>
      <c r="IMJ73" s="120"/>
      <c r="IMK73" s="120"/>
      <c r="IML73" s="120"/>
      <c r="IMM73" s="120"/>
      <c r="IMN73" s="120"/>
      <c r="IMO73" s="120"/>
      <c r="IMP73" s="120"/>
      <c r="IMQ73" s="120"/>
      <c r="IMR73" s="120"/>
      <c r="IMS73" s="120"/>
      <c r="IMT73" s="120"/>
      <c r="IMU73" s="120"/>
      <c r="IMV73" s="120"/>
      <c r="IMW73" s="120"/>
      <c r="IMX73" s="120"/>
      <c r="IMY73" s="120"/>
      <c r="IMZ73" s="120"/>
      <c r="INA73" s="120"/>
      <c r="INB73" s="120"/>
      <c r="INC73" s="120"/>
      <c r="IND73" s="120"/>
      <c r="INE73" s="120"/>
      <c r="INF73" s="120"/>
      <c r="ING73" s="120"/>
      <c r="INH73" s="120"/>
      <c r="INI73" s="120"/>
      <c r="INJ73" s="120"/>
      <c r="INK73" s="120"/>
      <c r="INL73" s="120"/>
      <c r="INM73" s="120"/>
      <c r="INN73" s="120"/>
      <c r="INO73" s="120"/>
      <c r="INP73" s="120"/>
      <c r="INQ73" s="120"/>
      <c r="INR73" s="120"/>
      <c r="INS73" s="120"/>
      <c r="INT73" s="120"/>
      <c r="INU73" s="120"/>
      <c r="INV73" s="120"/>
      <c r="INW73" s="120"/>
      <c r="INX73" s="120"/>
      <c r="INY73" s="120"/>
      <c r="INZ73" s="120"/>
      <c r="IOA73" s="120"/>
      <c r="IOB73" s="120"/>
      <c r="IOC73" s="120"/>
      <c r="IOD73" s="120"/>
      <c r="IOE73" s="120"/>
      <c r="IOF73" s="120"/>
      <c r="IOG73" s="120"/>
      <c r="IOH73" s="120"/>
      <c r="IOI73" s="120"/>
      <c r="IOJ73" s="120"/>
      <c r="IOK73" s="120"/>
      <c r="IOL73" s="120"/>
      <c r="IOM73" s="120"/>
      <c r="ION73" s="120"/>
      <c r="IOO73" s="120"/>
      <c r="IOP73" s="120"/>
      <c r="IOQ73" s="120"/>
      <c r="IOR73" s="120"/>
      <c r="IOS73" s="120"/>
      <c r="IOT73" s="120"/>
      <c r="IOU73" s="120"/>
      <c r="IOV73" s="120"/>
      <c r="IOW73" s="120"/>
      <c r="IOX73" s="120"/>
      <c r="IOY73" s="120"/>
      <c r="IOZ73" s="120"/>
      <c r="IPA73" s="120"/>
      <c r="IPB73" s="120"/>
      <c r="IPC73" s="120"/>
      <c r="IPD73" s="120"/>
      <c r="IPE73" s="120"/>
      <c r="IPF73" s="120"/>
      <c r="IPG73" s="120"/>
      <c r="IPH73" s="120"/>
      <c r="IPI73" s="120"/>
      <c r="IPJ73" s="120"/>
      <c r="IPK73" s="120"/>
      <c r="IPL73" s="120"/>
      <c r="IPM73" s="120"/>
      <c r="IPN73" s="120"/>
      <c r="IPO73" s="120"/>
      <c r="IPP73" s="120"/>
      <c r="IPQ73" s="120"/>
      <c r="IPR73" s="120"/>
      <c r="IPS73" s="120"/>
      <c r="IPT73" s="120"/>
      <c r="IPU73" s="120"/>
      <c r="IPV73" s="120"/>
      <c r="IPW73" s="120"/>
      <c r="IPX73" s="120"/>
      <c r="IPY73" s="120"/>
      <c r="IPZ73" s="120"/>
      <c r="IQA73" s="120"/>
      <c r="IQB73" s="120"/>
      <c r="IQC73" s="120"/>
      <c r="IQD73" s="120"/>
      <c r="IQE73" s="120"/>
      <c r="IQF73" s="120"/>
      <c r="IQG73" s="120"/>
      <c r="IQH73" s="120"/>
      <c r="IQI73" s="120"/>
      <c r="IQJ73" s="120"/>
      <c r="IQK73" s="120"/>
      <c r="IQL73" s="120"/>
      <c r="IQM73" s="120"/>
      <c r="IQN73" s="120"/>
      <c r="IQO73" s="120"/>
      <c r="IQP73" s="120"/>
      <c r="IQQ73" s="120"/>
      <c r="IQR73" s="120"/>
      <c r="IQS73" s="120"/>
      <c r="IQT73" s="120"/>
      <c r="IQU73" s="120"/>
      <c r="IQV73" s="120"/>
      <c r="IQW73" s="120"/>
      <c r="IQX73" s="120"/>
      <c r="IQY73" s="120"/>
      <c r="IQZ73" s="120"/>
      <c r="IRA73" s="120"/>
      <c r="IRB73" s="120"/>
      <c r="IRC73" s="120"/>
      <c r="IRD73" s="120"/>
      <c r="IRE73" s="120"/>
      <c r="IRF73" s="120"/>
      <c r="IRG73" s="120"/>
      <c r="IRH73" s="120"/>
      <c r="IRI73" s="120"/>
      <c r="IRJ73" s="120"/>
      <c r="IRK73" s="120"/>
      <c r="IRL73" s="120"/>
      <c r="IRM73" s="120"/>
      <c r="IRN73" s="120"/>
      <c r="IRO73" s="120"/>
      <c r="IRP73" s="120"/>
      <c r="IRQ73" s="120"/>
      <c r="IRR73" s="120"/>
      <c r="IRS73" s="120"/>
      <c r="IRT73" s="120"/>
      <c r="IRU73" s="120"/>
      <c r="IRV73" s="120"/>
      <c r="IRW73" s="120"/>
      <c r="IRX73" s="120"/>
      <c r="IRY73" s="120"/>
      <c r="IRZ73" s="120"/>
      <c r="ISA73" s="120"/>
      <c r="ISB73" s="120"/>
      <c r="ISC73" s="120"/>
      <c r="ISD73" s="120"/>
      <c r="ISE73" s="120"/>
      <c r="ISF73" s="120"/>
      <c r="ISG73" s="120"/>
      <c r="ISH73" s="120"/>
      <c r="ISI73" s="120"/>
      <c r="ISJ73" s="120"/>
      <c r="ISK73" s="120"/>
      <c r="ISL73" s="120"/>
      <c r="ISM73" s="120"/>
      <c r="ISN73" s="120"/>
      <c r="ISO73" s="120"/>
      <c r="ISP73" s="120"/>
      <c r="ISQ73" s="120"/>
      <c r="ISR73" s="120"/>
      <c r="ISS73" s="120"/>
      <c r="IST73" s="120"/>
      <c r="ISU73" s="120"/>
      <c r="ISV73" s="120"/>
      <c r="ISW73" s="120"/>
      <c r="ISX73" s="120"/>
      <c r="ISY73" s="120"/>
      <c r="ISZ73" s="120"/>
      <c r="ITA73" s="120"/>
      <c r="ITB73" s="120"/>
      <c r="ITC73" s="120"/>
      <c r="ITD73" s="120"/>
      <c r="ITE73" s="120"/>
      <c r="ITF73" s="120"/>
      <c r="ITG73" s="120"/>
      <c r="ITH73" s="120"/>
      <c r="ITI73" s="120"/>
      <c r="ITJ73" s="120"/>
      <c r="ITK73" s="120"/>
      <c r="ITL73" s="120"/>
      <c r="ITM73" s="120"/>
      <c r="ITN73" s="120"/>
      <c r="ITO73" s="120"/>
      <c r="ITP73" s="120"/>
      <c r="ITQ73" s="120"/>
      <c r="ITR73" s="120"/>
      <c r="ITS73" s="120"/>
      <c r="ITT73" s="120"/>
      <c r="ITU73" s="120"/>
      <c r="ITV73" s="120"/>
      <c r="ITW73" s="120"/>
      <c r="ITX73" s="120"/>
      <c r="ITY73" s="120"/>
      <c r="ITZ73" s="120"/>
      <c r="IUA73" s="120"/>
      <c r="IUB73" s="120"/>
      <c r="IUC73" s="120"/>
      <c r="IUD73" s="120"/>
      <c r="IUE73" s="120"/>
      <c r="IUF73" s="120"/>
      <c r="IUG73" s="120"/>
      <c r="IUH73" s="120"/>
      <c r="IUI73" s="120"/>
      <c r="IUJ73" s="120"/>
      <c r="IUK73" s="120"/>
      <c r="IUL73" s="120"/>
      <c r="IUM73" s="120"/>
      <c r="IUN73" s="120"/>
      <c r="IUO73" s="120"/>
      <c r="IUP73" s="120"/>
      <c r="IUQ73" s="120"/>
      <c r="IUR73" s="120"/>
      <c r="IUS73" s="120"/>
      <c r="IUT73" s="120"/>
      <c r="IUU73" s="120"/>
      <c r="IUV73" s="120"/>
      <c r="IUW73" s="120"/>
      <c r="IUX73" s="120"/>
      <c r="IUY73" s="120"/>
      <c r="IUZ73" s="120"/>
      <c r="IVA73" s="120"/>
      <c r="IVB73" s="120"/>
      <c r="IVC73" s="120"/>
      <c r="IVD73" s="120"/>
      <c r="IVE73" s="120"/>
      <c r="IVF73" s="120"/>
      <c r="IVG73" s="120"/>
      <c r="IVH73" s="120"/>
      <c r="IVI73" s="120"/>
      <c r="IVJ73" s="120"/>
      <c r="IVK73" s="120"/>
      <c r="IVL73" s="120"/>
      <c r="IVM73" s="120"/>
      <c r="IVN73" s="120"/>
      <c r="IVO73" s="120"/>
      <c r="IVP73" s="120"/>
      <c r="IVQ73" s="120"/>
      <c r="IVR73" s="120"/>
      <c r="IVS73" s="120"/>
      <c r="IVT73" s="120"/>
      <c r="IVU73" s="120"/>
      <c r="IVV73" s="120"/>
      <c r="IVW73" s="120"/>
      <c r="IVX73" s="120"/>
      <c r="IVY73" s="120"/>
      <c r="IVZ73" s="120"/>
      <c r="IWA73" s="120"/>
      <c r="IWB73" s="120"/>
      <c r="IWC73" s="120"/>
      <c r="IWD73" s="120"/>
      <c r="IWE73" s="120"/>
      <c r="IWF73" s="120"/>
      <c r="IWG73" s="120"/>
      <c r="IWH73" s="120"/>
      <c r="IWI73" s="120"/>
      <c r="IWJ73" s="120"/>
      <c r="IWK73" s="120"/>
      <c r="IWL73" s="120"/>
      <c r="IWM73" s="120"/>
      <c r="IWN73" s="120"/>
      <c r="IWO73" s="120"/>
      <c r="IWP73" s="120"/>
      <c r="IWQ73" s="120"/>
      <c r="IWR73" s="120"/>
      <c r="IWS73" s="120"/>
      <c r="IWT73" s="120"/>
      <c r="IWU73" s="120"/>
      <c r="IWV73" s="120"/>
      <c r="IWW73" s="120"/>
      <c r="IWX73" s="120"/>
      <c r="IWY73" s="120"/>
      <c r="IWZ73" s="120"/>
      <c r="IXA73" s="120"/>
      <c r="IXB73" s="120"/>
      <c r="IXC73" s="120"/>
      <c r="IXD73" s="120"/>
      <c r="IXE73" s="120"/>
      <c r="IXF73" s="120"/>
      <c r="IXG73" s="120"/>
      <c r="IXH73" s="120"/>
      <c r="IXI73" s="120"/>
      <c r="IXJ73" s="120"/>
      <c r="IXK73" s="120"/>
      <c r="IXL73" s="120"/>
      <c r="IXM73" s="120"/>
      <c r="IXN73" s="120"/>
      <c r="IXO73" s="120"/>
      <c r="IXP73" s="120"/>
      <c r="IXQ73" s="120"/>
      <c r="IXR73" s="120"/>
      <c r="IXS73" s="120"/>
      <c r="IXT73" s="120"/>
      <c r="IXU73" s="120"/>
      <c r="IXV73" s="120"/>
      <c r="IXW73" s="120"/>
      <c r="IXX73" s="120"/>
      <c r="IXY73" s="120"/>
      <c r="IXZ73" s="120"/>
      <c r="IYA73" s="120"/>
      <c r="IYB73" s="120"/>
      <c r="IYC73" s="120"/>
      <c r="IYD73" s="120"/>
      <c r="IYE73" s="120"/>
      <c r="IYF73" s="120"/>
      <c r="IYG73" s="120"/>
      <c r="IYH73" s="120"/>
      <c r="IYI73" s="120"/>
      <c r="IYJ73" s="120"/>
      <c r="IYK73" s="120"/>
      <c r="IYL73" s="120"/>
      <c r="IYM73" s="120"/>
      <c r="IYN73" s="120"/>
      <c r="IYO73" s="120"/>
      <c r="IYP73" s="120"/>
      <c r="IYQ73" s="120"/>
      <c r="IYR73" s="120"/>
      <c r="IYS73" s="120"/>
      <c r="IYT73" s="120"/>
      <c r="IYU73" s="120"/>
      <c r="IYV73" s="120"/>
      <c r="IYW73" s="120"/>
      <c r="IYX73" s="120"/>
      <c r="IYY73" s="120"/>
      <c r="IYZ73" s="120"/>
      <c r="IZA73" s="120"/>
      <c r="IZB73" s="120"/>
      <c r="IZC73" s="120"/>
      <c r="IZD73" s="120"/>
      <c r="IZE73" s="120"/>
      <c r="IZF73" s="120"/>
      <c r="IZG73" s="120"/>
      <c r="IZH73" s="120"/>
      <c r="IZI73" s="120"/>
      <c r="IZJ73" s="120"/>
      <c r="IZK73" s="120"/>
      <c r="IZL73" s="120"/>
      <c r="IZM73" s="120"/>
      <c r="IZN73" s="120"/>
      <c r="IZO73" s="120"/>
      <c r="IZP73" s="120"/>
      <c r="IZQ73" s="120"/>
      <c r="IZR73" s="120"/>
      <c r="IZS73" s="120"/>
      <c r="IZT73" s="120"/>
      <c r="IZU73" s="120"/>
      <c r="IZV73" s="120"/>
      <c r="IZW73" s="120"/>
      <c r="IZX73" s="120"/>
      <c r="IZY73" s="120"/>
      <c r="IZZ73" s="120"/>
      <c r="JAA73" s="120"/>
      <c r="JAB73" s="120"/>
      <c r="JAC73" s="120"/>
      <c r="JAD73" s="120"/>
      <c r="JAE73" s="120"/>
      <c r="JAF73" s="120"/>
      <c r="JAG73" s="120"/>
      <c r="JAH73" s="120"/>
      <c r="JAI73" s="120"/>
      <c r="JAJ73" s="120"/>
      <c r="JAK73" s="120"/>
      <c r="JAL73" s="120"/>
      <c r="JAM73" s="120"/>
      <c r="JAN73" s="120"/>
      <c r="JAO73" s="120"/>
      <c r="JAP73" s="120"/>
      <c r="JAQ73" s="120"/>
      <c r="JAR73" s="120"/>
      <c r="JAS73" s="120"/>
      <c r="JAT73" s="120"/>
      <c r="JAU73" s="120"/>
      <c r="JAV73" s="120"/>
      <c r="JAW73" s="120"/>
      <c r="JAX73" s="120"/>
      <c r="JAY73" s="120"/>
      <c r="JAZ73" s="120"/>
      <c r="JBA73" s="120"/>
      <c r="JBB73" s="120"/>
      <c r="JBC73" s="120"/>
      <c r="JBD73" s="120"/>
      <c r="JBE73" s="120"/>
      <c r="JBF73" s="120"/>
      <c r="JBG73" s="120"/>
      <c r="JBH73" s="120"/>
      <c r="JBI73" s="120"/>
      <c r="JBJ73" s="120"/>
      <c r="JBK73" s="120"/>
      <c r="JBL73" s="120"/>
      <c r="JBM73" s="120"/>
      <c r="JBN73" s="120"/>
      <c r="JBO73" s="120"/>
      <c r="JBP73" s="120"/>
      <c r="JBQ73" s="120"/>
      <c r="JBR73" s="120"/>
      <c r="JBS73" s="120"/>
      <c r="JBT73" s="120"/>
      <c r="JBU73" s="120"/>
      <c r="JBV73" s="120"/>
      <c r="JBW73" s="120"/>
      <c r="JBX73" s="120"/>
      <c r="JBY73" s="120"/>
      <c r="JBZ73" s="120"/>
      <c r="JCA73" s="120"/>
      <c r="JCB73" s="120"/>
      <c r="JCC73" s="120"/>
      <c r="JCD73" s="120"/>
      <c r="JCE73" s="120"/>
      <c r="JCF73" s="120"/>
      <c r="JCG73" s="120"/>
      <c r="JCH73" s="120"/>
      <c r="JCI73" s="120"/>
      <c r="JCJ73" s="120"/>
      <c r="JCK73" s="120"/>
      <c r="JCL73" s="120"/>
      <c r="JCM73" s="120"/>
      <c r="JCN73" s="120"/>
      <c r="JCO73" s="120"/>
      <c r="JCP73" s="120"/>
      <c r="JCQ73" s="120"/>
      <c r="JCR73" s="120"/>
      <c r="JCS73" s="120"/>
      <c r="JCT73" s="120"/>
      <c r="JCU73" s="120"/>
      <c r="JCV73" s="120"/>
      <c r="JCW73" s="120"/>
      <c r="JCX73" s="120"/>
      <c r="JCY73" s="120"/>
      <c r="JCZ73" s="120"/>
      <c r="JDA73" s="120"/>
      <c r="JDB73" s="120"/>
      <c r="JDC73" s="120"/>
      <c r="JDD73" s="120"/>
      <c r="JDE73" s="120"/>
      <c r="JDF73" s="120"/>
      <c r="JDG73" s="120"/>
      <c r="JDH73" s="120"/>
      <c r="JDI73" s="120"/>
      <c r="JDJ73" s="120"/>
      <c r="JDK73" s="120"/>
      <c r="JDL73" s="120"/>
      <c r="JDM73" s="120"/>
      <c r="JDN73" s="120"/>
      <c r="JDO73" s="120"/>
      <c r="JDP73" s="120"/>
      <c r="JDQ73" s="120"/>
      <c r="JDR73" s="120"/>
      <c r="JDS73" s="120"/>
      <c r="JDT73" s="120"/>
      <c r="JDU73" s="120"/>
      <c r="JDV73" s="120"/>
      <c r="JDW73" s="120"/>
      <c r="JDX73" s="120"/>
      <c r="JDY73" s="120"/>
      <c r="JDZ73" s="120"/>
      <c r="JEA73" s="120"/>
      <c r="JEB73" s="120"/>
      <c r="JEC73" s="120"/>
      <c r="JED73" s="120"/>
      <c r="JEE73" s="120"/>
      <c r="JEF73" s="120"/>
      <c r="JEG73" s="120"/>
      <c r="JEH73" s="120"/>
      <c r="JEI73" s="120"/>
      <c r="JEJ73" s="120"/>
      <c r="JEK73" s="120"/>
      <c r="JEL73" s="120"/>
      <c r="JEM73" s="120"/>
      <c r="JEN73" s="120"/>
      <c r="JEO73" s="120"/>
      <c r="JEP73" s="120"/>
      <c r="JEQ73" s="120"/>
      <c r="JER73" s="120"/>
      <c r="JES73" s="120"/>
      <c r="JET73" s="120"/>
      <c r="JEU73" s="120"/>
      <c r="JEV73" s="120"/>
      <c r="JEW73" s="120"/>
      <c r="JEX73" s="120"/>
      <c r="JEY73" s="120"/>
      <c r="JEZ73" s="120"/>
      <c r="JFA73" s="120"/>
      <c r="JFB73" s="120"/>
      <c r="JFC73" s="120"/>
      <c r="JFD73" s="120"/>
      <c r="JFE73" s="120"/>
      <c r="JFF73" s="120"/>
      <c r="JFG73" s="120"/>
      <c r="JFH73" s="120"/>
      <c r="JFI73" s="120"/>
      <c r="JFJ73" s="120"/>
      <c r="JFK73" s="120"/>
      <c r="JFL73" s="120"/>
      <c r="JFM73" s="120"/>
      <c r="JFN73" s="120"/>
      <c r="JFO73" s="120"/>
      <c r="JFP73" s="120"/>
      <c r="JFQ73" s="120"/>
      <c r="JFR73" s="120"/>
      <c r="JFS73" s="120"/>
      <c r="JFT73" s="120"/>
      <c r="JFU73" s="120"/>
      <c r="JFV73" s="120"/>
      <c r="JFW73" s="120"/>
      <c r="JFX73" s="120"/>
      <c r="JFY73" s="120"/>
      <c r="JFZ73" s="120"/>
      <c r="JGA73" s="120"/>
      <c r="JGB73" s="120"/>
      <c r="JGC73" s="120"/>
      <c r="JGD73" s="120"/>
      <c r="JGE73" s="120"/>
      <c r="JGF73" s="120"/>
      <c r="JGG73" s="120"/>
      <c r="JGH73" s="120"/>
      <c r="JGI73" s="120"/>
      <c r="JGJ73" s="120"/>
      <c r="JGK73" s="120"/>
      <c r="JGL73" s="120"/>
      <c r="JGM73" s="120"/>
      <c r="JGN73" s="120"/>
      <c r="JGO73" s="120"/>
      <c r="JGP73" s="120"/>
      <c r="JGQ73" s="120"/>
      <c r="JGR73" s="120"/>
      <c r="JGS73" s="120"/>
      <c r="JGT73" s="120"/>
      <c r="JGU73" s="120"/>
      <c r="JGV73" s="120"/>
      <c r="JGW73" s="120"/>
      <c r="JGX73" s="120"/>
      <c r="JGY73" s="120"/>
      <c r="JGZ73" s="120"/>
      <c r="JHA73" s="120"/>
      <c r="JHB73" s="120"/>
      <c r="JHC73" s="120"/>
      <c r="JHD73" s="120"/>
      <c r="JHE73" s="120"/>
      <c r="JHF73" s="120"/>
      <c r="JHG73" s="120"/>
      <c r="JHH73" s="120"/>
      <c r="JHI73" s="120"/>
      <c r="JHJ73" s="120"/>
      <c r="JHK73" s="120"/>
      <c r="JHL73" s="120"/>
      <c r="JHM73" s="120"/>
      <c r="JHN73" s="120"/>
      <c r="JHO73" s="120"/>
      <c r="JHP73" s="120"/>
      <c r="JHQ73" s="120"/>
      <c r="JHR73" s="120"/>
      <c r="JHS73" s="120"/>
      <c r="JHT73" s="120"/>
      <c r="JHU73" s="120"/>
      <c r="JHV73" s="120"/>
      <c r="JHW73" s="120"/>
      <c r="JHX73" s="120"/>
      <c r="JHY73" s="120"/>
      <c r="JHZ73" s="120"/>
      <c r="JIA73" s="120"/>
      <c r="JIB73" s="120"/>
      <c r="JIC73" s="120"/>
      <c r="JID73" s="120"/>
      <c r="JIE73" s="120"/>
      <c r="JIF73" s="120"/>
      <c r="JIG73" s="120"/>
      <c r="JIH73" s="120"/>
      <c r="JII73" s="120"/>
      <c r="JIJ73" s="120"/>
      <c r="JIK73" s="120"/>
      <c r="JIL73" s="120"/>
      <c r="JIM73" s="120"/>
      <c r="JIN73" s="120"/>
      <c r="JIO73" s="120"/>
      <c r="JIP73" s="120"/>
      <c r="JIQ73" s="120"/>
      <c r="JIR73" s="120"/>
      <c r="JIS73" s="120"/>
      <c r="JIT73" s="120"/>
      <c r="JIU73" s="120"/>
      <c r="JIV73" s="120"/>
      <c r="JIW73" s="120"/>
      <c r="JIX73" s="120"/>
      <c r="JIY73" s="120"/>
      <c r="JIZ73" s="120"/>
      <c r="JJA73" s="120"/>
      <c r="JJB73" s="120"/>
      <c r="JJC73" s="120"/>
      <c r="JJD73" s="120"/>
      <c r="JJE73" s="120"/>
      <c r="JJF73" s="120"/>
      <c r="JJG73" s="120"/>
      <c r="JJH73" s="120"/>
      <c r="JJI73" s="120"/>
      <c r="JJJ73" s="120"/>
      <c r="JJK73" s="120"/>
      <c r="JJL73" s="120"/>
      <c r="JJM73" s="120"/>
      <c r="JJN73" s="120"/>
      <c r="JJO73" s="120"/>
      <c r="JJP73" s="120"/>
      <c r="JJQ73" s="120"/>
      <c r="JJR73" s="120"/>
      <c r="JJS73" s="120"/>
      <c r="JJT73" s="120"/>
      <c r="JJU73" s="120"/>
      <c r="JJV73" s="120"/>
      <c r="JJW73" s="120"/>
      <c r="JJX73" s="120"/>
      <c r="JJY73" s="120"/>
      <c r="JJZ73" s="120"/>
      <c r="JKA73" s="120"/>
      <c r="JKB73" s="120"/>
      <c r="JKC73" s="120"/>
      <c r="JKD73" s="120"/>
      <c r="JKE73" s="120"/>
      <c r="JKF73" s="120"/>
      <c r="JKG73" s="120"/>
      <c r="JKH73" s="120"/>
      <c r="JKI73" s="120"/>
      <c r="JKJ73" s="120"/>
      <c r="JKK73" s="120"/>
      <c r="JKL73" s="120"/>
      <c r="JKM73" s="120"/>
      <c r="JKN73" s="120"/>
      <c r="JKO73" s="120"/>
      <c r="JKP73" s="120"/>
      <c r="JKQ73" s="120"/>
      <c r="JKR73" s="120"/>
      <c r="JKS73" s="120"/>
      <c r="JKT73" s="120"/>
      <c r="JKU73" s="120"/>
      <c r="JKV73" s="120"/>
      <c r="JKW73" s="120"/>
      <c r="JKX73" s="120"/>
      <c r="JKY73" s="120"/>
      <c r="JKZ73" s="120"/>
      <c r="JLA73" s="120"/>
      <c r="JLB73" s="120"/>
      <c r="JLC73" s="120"/>
      <c r="JLD73" s="120"/>
      <c r="JLE73" s="120"/>
      <c r="JLF73" s="120"/>
      <c r="JLG73" s="120"/>
      <c r="JLH73" s="120"/>
      <c r="JLI73" s="120"/>
      <c r="JLJ73" s="120"/>
      <c r="JLK73" s="120"/>
      <c r="JLL73" s="120"/>
      <c r="JLM73" s="120"/>
      <c r="JLN73" s="120"/>
      <c r="JLO73" s="120"/>
      <c r="JLP73" s="120"/>
      <c r="JLQ73" s="120"/>
      <c r="JLR73" s="120"/>
      <c r="JLS73" s="120"/>
      <c r="JLT73" s="120"/>
      <c r="JLU73" s="120"/>
      <c r="JLV73" s="120"/>
      <c r="JLW73" s="120"/>
      <c r="JLX73" s="120"/>
      <c r="JLY73" s="120"/>
      <c r="JLZ73" s="120"/>
      <c r="JMA73" s="120"/>
      <c r="JMB73" s="120"/>
      <c r="JMC73" s="120"/>
      <c r="JMD73" s="120"/>
      <c r="JME73" s="120"/>
      <c r="JMF73" s="120"/>
      <c r="JMG73" s="120"/>
      <c r="JMH73" s="120"/>
      <c r="JMI73" s="120"/>
      <c r="JMJ73" s="120"/>
      <c r="JMK73" s="120"/>
      <c r="JML73" s="120"/>
      <c r="JMM73" s="120"/>
      <c r="JMN73" s="120"/>
      <c r="JMO73" s="120"/>
      <c r="JMP73" s="120"/>
      <c r="JMQ73" s="120"/>
      <c r="JMR73" s="120"/>
      <c r="JMS73" s="120"/>
      <c r="JMT73" s="120"/>
      <c r="JMU73" s="120"/>
      <c r="JMV73" s="120"/>
      <c r="JMW73" s="120"/>
      <c r="JMX73" s="120"/>
      <c r="JMY73" s="120"/>
      <c r="JMZ73" s="120"/>
      <c r="JNA73" s="120"/>
      <c r="JNB73" s="120"/>
      <c r="JNC73" s="120"/>
      <c r="JND73" s="120"/>
      <c r="JNE73" s="120"/>
      <c r="JNF73" s="120"/>
      <c r="JNG73" s="120"/>
      <c r="JNH73" s="120"/>
      <c r="JNI73" s="120"/>
      <c r="JNJ73" s="120"/>
      <c r="JNK73" s="120"/>
      <c r="JNL73" s="120"/>
      <c r="JNM73" s="120"/>
      <c r="JNN73" s="120"/>
      <c r="JNO73" s="120"/>
      <c r="JNP73" s="120"/>
      <c r="JNQ73" s="120"/>
      <c r="JNR73" s="120"/>
      <c r="JNS73" s="120"/>
      <c r="JNT73" s="120"/>
      <c r="JNU73" s="120"/>
      <c r="JNV73" s="120"/>
      <c r="JNW73" s="120"/>
      <c r="JNX73" s="120"/>
      <c r="JNY73" s="120"/>
      <c r="JNZ73" s="120"/>
      <c r="JOA73" s="120"/>
      <c r="JOB73" s="120"/>
      <c r="JOC73" s="120"/>
      <c r="JOD73" s="120"/>
      <c r="JOE73" s="120"/>
      <c r="JOF73" s="120"/>
      <c r="JOG73" s="120"/>
      <c r="JOH73" s="120"/>
      <c r="JOI73" s="120"/>
      <c r="JOJ73" s="120"/>
      <c r="JOK73" s="120"/>
      <c r="JOL73" s="120"/>
      <c r="JOM73" s="120"/>
      <c r="JON73" s="120"/>
      <c r="JOO73" s="120"/>
      <c r="JOP73" s="120"/>
      <c r="JOQ73" s="120"/>
      <c r="JOR73" s="120"/>
      <c r="JOS73" s="120"/>
      <c r="JOT73" s="120"/>
      <c r="JOU73" s="120"/>
      <c r="JOV73" s="120"/>
      <c r="JOW73" s="120"/>
      <c r="JOX73" s="120"/>
      <c r="JOY73" s="120"/>
      <c r="JOZ73" s="120"/>
      <c r="JPA73" s="120"/>
      <c r="JPB73" s="120"/>
      <c r="JPC73" s="120"/>
      <c r="JPD73" s="120"/>
      <c r="JPE73" s="120"/>
      <c r="JPF73" s="120"/>
      <c r="JPG73" s="120"/>
      <c r="JPH73" s="120"/>
      <c r="JPI73" s="120"/>
      <c r="JPJ73" s="120"/>
      <c r="JPK73" s="120"/>
      <c r="JPL73" s="120"/>
      <c r="JPM73" s="120"/>
      <c r="JPN73" s="120"/>
      <c r="JPO73" s="120"/>
      <c r="JPP73" s="120"/>
      <c r="JPQ73" s="120"/>
      <c r="JPR73" s="120"/>
      <c r="JPS73" s="120"/>
      <c r="JPT73" s="120"/>
      <c r="JPU73" s="120"/>
      <c r="JPV73" s="120"/>
      <c r="JPW73" s="120"/>
      <c r="JPX73" s="120"/>
      <c r="JPY73" s="120"/>
      <c r="JPZ73" s="120"/>
      <c r="JQA73" s="120"/>
      <c r="JQB73" s="120"/>
      <c r="JQC73" s="120"/>
      <c r="JQD73" s="120"/>
      <c r="JQE73" s="120"/>
      <c r="JQF73" s="120"/>
      <c r="JQG73" s="120"/>
      <c r="JQH73" s="120"/>
      <c r="JQI73" s="120"/>
      <c r="JQJ73" s="120"/>
      <c r="JQK73" s="120"/>
      <c r="JQL73" s="120"/>
      <c r="JQM73" s="120"/>
      <c r="JQN73" s="120"/>
      <c r="JQO73" s="120"/>
      <c r="JQP73" s="120"/>
      <c r="JQQ73" s="120"/>
      <c r="JQR73" s="120"/>
      <c r="JQS73" s="120"/>
      <c r="JQT73" s="120"/>
      <c r="JQU73" s="120"/>
      <c r="JQV73" s="120"/>
      <c r="JQW73" s="120"/>
      <c r="JQX73" s="120"/>
      <c r="JQY73" s="120"/>
      <c r="JQZ73" s="120"/>
      <c r="JRA73" s="120"/>
      <c r="JRB73" s="120"/>
      <c r="JRC73" s="120"/>
      <c r="JRD73" s="120"/>
      <c r="JRE73" s="120"/>
      <c r="JRF73" s="120"/>
      <c r="JRG73" s="120"/>
      <c r="JRH73" s="120"/>
      <c r="JRI73" s="120"/>
      <c r="JRJ73" s="120"/>
      <c r="JRK73" s="120"/>
      <c r="JRL73" s="120"/>
      <c r="JRM73" s="120"/>
      <c r="JRN73" s="120"/>
      <c r="JRO73" s="120"/>
      <c r="JRP73" s="120"/>
      <c r="JRQ73" s="120"/>
      <c r="JRR73" s="120"/>
      <c r="JRS73" s="120"/>
      <c r="JRT73" s="120"/>
      <c r="JRU73" s="120"/>
      <c r="JRV73" s="120"/>
      <c r="JRW73" s="120"/>
      <c r="JRX73" s="120"/>
      <c r="JRY73" s="120"/>
      <c r="JRZ73" s="120"/>
      <c r="JSA73" s="120"/>
      <c r="JSB73" s="120"/>
      <c r="JSC73" s="120"/>
      <c r="JSD73" s="120"/>
      <c r="JSE73" s="120"/>
      <c r="JSF73" s="120"/>
      <c r="JSG73" s="120"/>
      <c r="JSH73" s="120"/>
      <c r="JSI73" s="120"/>
      <c r="JSJ73" s="120"/>
      <c r="JSK73" s="120"/>
      <c r="JSL73" s="120"/>
      <c r="JSM73" s="120"/>
      <c r="JSN73" s="120"/>
      <c r="JSO73" s="120"/>
      <c r="JSP73" s="120"/>
      <c r="JSQ73" s="120"/>
      <c r="JSR73" s="120"/>
      <c r="JSS73" s="120"/>
      <c r="JST73" s="120"/>
      <c r="JSU73" s="120"/>
      <c r="JSV73" s="120"/>
      <c r="JSW73" s="120"/>
      <c r="JSX73" s="120"/>
      <c r="JSY73" s="120"/>
      <c r="JSZ73" s="120"/>
      <c r="JTA73" s="120"/>
      <c r="JTB73" s="120"/>
      <c r="JTC73" s="120"/>
      <c r="JTD73" s="120"/>
      <c r="JTE73" s="120"/>
      <c r="JTF73" s="120"/>
      <c r="JTG73" s="120"/>
      <c r="JTH73" s="120"/>
      <c r="JTI73" s="120"/>
      <c r="JTJ73" s="120"/>
      <c r="JTK73" s="120"/>
      <c r="JTL73" s="120"/>
      <c r="JTM73" s="120"/>
      <c r="JTN73" s="120"/>
      <c r="JTO73" s="120"/>
      <c r="JTP73" s="120"/>
      <c r="JTQ73" s="120"/>
      <c r="JTR73" s="120"/>
      <c r="JTS73" s="120"/>
      <c r="JTT73" s="120"/>
      <c r="JTU73" s="120"/>
      <c r="JTV73" s="120"/>
      <c r="JTW73" s="120"/>
      <c r="JTX73" s="120"/>
      <c r="JTY73" s="120"/>
      <c r="JTZ73" s="120"/>
      <c r="JUA73" s="120"/>
      <c r="JUB73" s="120"/>
      <c r="JUC73" s="120"/>
      <c r="JUD73" s="120"/>
      <c r="JUE73" s="120"/>
      <c r="JUF73" s="120"/>
      <c r="JUG73" s="120"/>
      <c r="JUH73" s="120"/>
      <c r="JUI73" s="120"/>
      <c r="JUJ73" s="120"/>
      <c r="JUK73" s="120"/>
      <c r="JUL73" s="120"/>
      <c r="JUM73" s="120"/>
      <c r="JUN73" s="120"/>
      <c r="JUO73" s="120"/>
      <c r="JUP73" s="120"/>
      <c r="JUQ73" s="120"/>
      <c r="JUR73" s="120"/>
      <c r="JUS73" s="120"/>
      <c r="JUT73" s="120"/>
      <c r="JUU73" s="120"/>
      <c r="JUV73" s="120"/>
      <c r="JUW73" s="120"/>
      <c r="JUX73" s="120"/>
      <c r="JUY73" s="120"/>
      <c r="JUZ73" s="120"/>
      <c r="JVA73" s="120"/>
      <c r="JVB73" s="120"/>
      <c r="JVC73" s="120"/>
      <c r="JVD73" s="120"/>
      <c r="JVE73" s="120"/>
      <c r="JVF73" s="120"/>
      <c r="JVG73" s="120"/>
      <c r="JVH73" s="120"/>
      <c r="JVI73" s="120"/>
      <c r="JVJ73" s="120"/>
      <c r="JVK73" s="120"/>
      <c r="JVL73" s="120"/>
      <c r="JVM73" s="120"/>
      <c r="JVN73" s="120"/>
      <c r="JVO73" s="120"/>
      <c r="JVP73" s="120"/>
      <c r="JVQ73" s="120"/>
      <c r="JVR73" s="120"/>
      <c r="JVS73" s="120"/>
      <c r="JVT73" s="120"/>
      <c r="JVU73" s="120"/>
      <c r="JVV73" s="120"/>
      <c r="JVW73" s="120"/>
      <c r="JVX73" s="120"/>
      <c r="JVY73" s="120"/>
      <c r="JVZ73" s="120"/>
      <c r="JWA73" s="120"/>
      <c r="JWB73" s="120"/>
      <c r="JWC73" s="120"/>
      <c r="JWD73" s="120"/>
      <c r="JWE73" s="120"/>
      <c r="JWF73" s="120"/>
      <c r="JWG73" s="120"/>
      <c r="JWH73" s="120"/>
      <c r="JWI73" s="120"/>
      <c r="JWJ73" s="120"/>
      <c r="JWK73" s="120"/>
      <c r="JWL73" s="120"/>
      <c r="JWM73" s="120"/>
      <c r="JWN73" s="120"/>
      <c r="JWO73" s="120"/>
      <c r="JWP73" s="120"/>
      <c r="JWQ73" s="120"/>
      <c r="JWR73" s="120"/>
      <c r="JWS73" s="120"/>
      <c r="JWT73" s="120"/>
      <c r="JWU73" s="120"/>
      <c r="JWV73" s="120"/>
      <c r="JWW73" s="120"/>
      <c r="JWX73" s="120"/>
      <c r="JWY73" s="120"/>
      <c r="JWZ73" s="120"/>
      <c r="JXA73" s="120"/>
      <c r="JXB73" s="120"/>
      <c r="JXC73" s="120"/>
      <c r="JXD73" s="120"/>
      <c r="JXE73" s="120"/>
      <c r="JXF73" s="120"/>
      <c r="JXG73" s="120"/>
      <c r="JXH73" s="120"/>
      <c r="JXI73" s="120"/>
      <c r="JXJ73" s="120"/>
      <c r="JXK73" s="120"/>
      <c r="JXL73" s="120"/>
      <c r="JXM73" s="120"/>
      <c r="JXN73" s="120"/>
      <c r="JXO73" s="120"/>
      <c r="JXP73" s="120"/>
      <c r="JXQ73" s="120"/>
      <c r="JXR73" s="120"/>
      <c r="JXS73" s="120"/>
      <c r="JXT73" s="120"/>
      <c r="JXU73" s="120"/>
      <c r="JXV73" s="120"/>
      <c r="JXW73" s="120"/>
      <c r="JXX73" s="120"/>
      <c r="JXY73" s="120"/>
      <c r="JXZ73" s="120"/>
      <c r="JYA73" s="120"/>
      <c r="JYB73" s="120"/>
      <c r="JYC73" s="120"/>
      <c r="JYD73" s="120"/>
      <c r="JYE73" s="120"/>
      <c r="JYF73" s="120"/>
      <c r="JYG73" s="120"/>
      <c r="JYH73" s="120"/>
      <c r="JYI73" s="120"/>
      <c r="JYJ73" s="120"/>
      <c r="JYK73" s="120"/>
      <c r="JYL73" s="120"/>
      <c r="JYM73" s="120"/>
      <c r="JYN73" s="120"/>
      <c r="JYO73" s="120"/>
      <c r="JYP73" s="120"/>
      <c r="JYQ73" s="120"/>
      <c r="JYR73" s="120"/>
      <c r="JYS73" s="120"/>
      <c r="JYT73" s="120"/>
      <c r="JYU73" s="120"/>
      <c r="JYV73" s="120"/>
      <c r="JYW73" s="120"/>
      <c r="JYX73" s="120"/>
      <c r="JYY73" s="120"/>
      <c r="JYZ73" s="120"/>
      <c r="JZA73" s="120"/>
      <c r="JZB73" s="120"/>
      <c r="JZC73" s="120"/>
      <c r="JZD73" s="120"/>
      <c r="JZE73" s="120"/>
      <c r="JZF73" s="120"/>
      <c r="JZG73" s="120"/>
      <c r="JZH73" s="120"/>
      <c r="JZI73" s="120"/>
      <c r="JZJ73" s="120"/>
      <c r="JZK73" s="120"/>
      <c r="JZL73" s="120"/>
      <c r="JZM73" s="120"/>
      <c r="JZN73" s="120"/>
      <c r="JZO73" s="120"/>
      <c r="JZP73" s="120"/>
      <c r="JZQ73" s="120"/>
      <c r="JZR73" s="120"/>
      <c r="JZS73" s="120"/>
      <c r="JZT73" s="120"/>
      <c r="JZU73" s="120"/>
      <c r="JZV73" s="120"/>
      <c r="JZW73" s="120"/>
      <c r="JZX73" s="120"/>
      <c r="JZY73" s="120"/>
      <c r="JZZ73" s="120"/>
      <c r="KAA73" s="120"/>
      <c r="KAB73" s="120"/>
      <c r="KAC73" s="120"/>
      <c r="KAD73" s="120"/>
      <c r="KAE73" s="120"/>
      <c r="KAF73" s="120"/>
      <c r="KAG73" s="120"/>
      <c r="KAH73" s="120"/>
      <c r="KAI73" s="120"/>
      <c r="KAJ73" s="120"/>
      <c r="KAK73" s="120"/>
      <c r="KAL73" s="120"/>
      <c r="KAM73" s="120"/>
      <c r="KAN73" s="120"/>
      <c r="KAO73" s="120"/>
      <c r="KAP73" s="120"/>
      <c r="KAQ73" s="120"/>
      <c r="KAR73" s="120"/>
      <c r="KAS73" s="120"/>
      <c r="KAT73" s="120"/>
      <c r="KAU73" s="120"/>
      <c r="KAV73" s="120"/>
      <c r="KAW73" s="120"/>
      <c r="KAX73" s="120"/>
      <c r="KAY73" s="120"/>
      <c r="KAZ73" s="120"/>
      <c r="KBA73" s="120"/>
      <c r="KBB73" s="120"/>
      <c r="KBC73" s="120"/>
      <c r="KBD73" s="120"/>
      <c r="KBE73" s="120"/>
      <c r="KBF73" s="120"/>
      <c r="KBG73" s="120"/>
      <c r="KBH73" s="120"/>
      <c r="KBI73" s="120"/>
      <c r="KBJ73" s="120"/>
      <c r="KBK73" s="120"/>
      <c r="KBL73" s="120"/>
      <c r="KBM73" s="120"/>
      <c r="KBN73" s="120"/>
      <c r="KBO73" s="120"/>
      <c r="KBP73" s="120"/>
      <c r="KBQ73" s="120"/>
      <c r="KBR73" s="120"/>
      <c r="KBS73" s="120"/>
      <c r="KBT73" s="120"/>
      <c r="KBU73" s="120"/>
      <c r="KBV73" s="120"/>
      <c r="KBW73" s="120"/>
      <c r="KBX73" s="120"/>
      <c r="KBY73" s="120"/>
      <c r="KBZ73" s="120"/>
      <c r="KCA73" s="120"/>
      <c r="KCB73" s="120"/>
      <c r="KCC73" s="120"/>
      <c r="KCD73" s="120"/>
      <c r="KCE73" s="120"/>
      <c r="KCF73" s="120"/>
      <c r="KCG73" s="120"/>
      <c r="KCH73" s="120"/>
      <c r="KCI73" s="120"/>
      <c r="KCJ73" s="120"/>
      <c r="KCK73" s="120"/>
      <c r="KCL73" s="120"/>
      <c r="KCM73" s="120"/>
      <c r="KCN73" s="120"/>
      <c r="KCO73" s="120"/>
      <c r="KCP73" s="120"/>
      <c r="KCQ73" s="120"/>
      <c r="KCR73" s="120"/>
      <c r="KCS73" s="120"/>
      <c r="KCT73" s="120"/>
      <c r="KCU73" s="120"/>
      <c r="KCV73" s="120"/>
      <c r="KCW73" s="120"/>
      <c r="KCX73" s="120"/>
      <c r="KCY73" s="120"/>
      <c r="KCZ73" s="120"/>
      <c r="KDA73" s="120"/>
      <c r="KDB73" s="120"/>
      <c r="KDC73" s="120"/>
      <c r="KDD73" s="120"/>
      <c r="KDE73" s="120"/>
      <c r="KDF73" s="120"/>
      <c r="KDG73" s="120"/>
      <c r="KDH73" s="120"/>
      <c r="KDI73" s="120"/>
      <c r="KDJ73" s="120"/>
      <c r="KDK73" s="120"/>
      <c r="KDL73" s="120"/>
      <c r="KDM73" s="120"/>
      <c r="KDN73" s="120"/>
      <c r="KDO73" s="120"/>
      <c r="KDP73" s="120"/>
      <c r="KDQ73" s="120"/>
      <c r="KDR73" s="120"/>
      <c r="KDS73" s="120"/>
      <c r="KDT73" s="120"/>
      <c r="KDU73" s="120"/>
      <c r="KDV73" s="120"/>
      <c r="KDW73" s="120"/>
      <c r="KDX73" s="120"/>
      <c r="KDY73" s="120"/>
      <c r="KDZ73" s="120"/>
      <c r="KEA73" s="120"/>
      <c r="KEB73" s="120"/>
      <c r="KEC73" s="120"/>
      <c r="KED73" s="120"/>
      <c r="KEE73" s="120"/>
      <c r="KEF73" s="120"/>
      <c r="KEG73" s="120"/>
      <c r="KEH73" s="120"/>
      <c r="KEI73" s="120"/>
      <c r="KEJ73" s="120"/>
      <c r="KEK73" s="120"/>
      <c r="KEL73" s="120"/>
      <c r="KEM73" s="120"/>
      <c r="KEN73" s="120"/>
      <c r="KEO73" s="120"/>
      <c r="KEP73" s="120"/>
      <c r="KEQ73" s="120"/>
      <c r="KER73" s="120"/>
      <c r="KES73" s="120"/>
      <c r="KET73" s="120"/>
      <c r="KEU73" s="120"/>
      <c r="KEV73" s="120"/>
      <c r="KEW73" s="120"/>
      <c r="KEX73" s="120"/>
      <c r="KEY73" s="120"/>
      <c r="KEZ73" s="120"/>
      <c r="KFA73" s="120"/>
      <c r="KFB73" s="120"/>
      <c r="KFC73" s="120"/>
      <c r="KFD73" s="120"/>
      <c r="KFE73" s="120"/>
      <c r="KFF73" s="120"/>
      <c r="KFG73" s="120"/>
      <c r="KFH73" s="120"/>
      <c r="KFI73" s="120"/>
      <c r="KFJ73" s="120"/>
      <c r="KFK73" s="120"/>
      <c r="KFL73" s="120"/>
      <c r="KFM73" s="120"/>
      <c r="KFN73" s="120"/>
      <c r="KFO73" s="120"/>
      <c r="KFP73" s="120"/>
      <c r="KFQ73" s="120"/>
      <c r="KFR73" s="120"/>
      <c r="KFS73" s="120"/>
      <c r="KFT73" s="120"/>
      <c r="KFU73" s="120"/>
      <c r="KFV73" s="120"/>
      <c r="KFW73" s="120"/>
      <c r="KFX73" s="120"/>
      <c r="KFY73" s="120"/>
      <c r="KFZ73" s="120"/>
      <c r="KGA73" s="120"/>
      <c r="KGB73" s="120"/>
      <c r="KGC73" s="120"/>
      <c r="KGD73" s="120"/>
      <c r="KGE73" s="120"/>
      <c r="KGF73" s="120"/>
      <c r="KGG73" s="120"/>
      <c r="KGH73" s="120"/>
      <c r="KGI73" s="120"/>
      <c r="KGJ73" s="120"/>
      <c r="KGK73" s="120"/>
      <c r="KGL73" s="120"/>
      <c r="KGM73" s="120"/>
      <c r="KGN73" s="120"/>
      <c r="KGO73" s="120"/>
      <c r="KGP73" s="120"/>
      <c r="KGQ73" s="120"/>
      <c r="KGR73" s="120"/>
      <c r="KGS73" s="120"/>
      <c r="KGT73" s="120"/>
      <c r="KGU73" s="120"/>
      <c r="KGV73" s="120"/>
      <c r="KGW73" s="120"/>
      <c r="KGX73" s="120"/>
      <c r="KGY73" s="120"/>
      <c r="KGZ73" s="120"/>
      <c r="KHA73" s="120"/>
      <c r="KHB73" s="120"/>
      <c r="KHC73" s="120"/>
      <c r="KHD73" s="120"/>
      <c r="KHE73" s="120"/>
      <c r="KHF73" s="120"/>
      <c r="KHG73" s="120"/>
      <c r="KHH73" s="120"/>
      <c r="KHI73" s="120"/>
      <c r="KHJ73" s="120"/>
      <c r="KHK73" s="120"/>
      <c r="KHL73" s="120"/>
      <c r="KHM73" s="120"/>
      <c r="KHN73" s="120"/>
      <c r="KHO73" s="120"/>
      <c r="KHP73" s="120"/>
      <c r="KHQ73" s="120"/>
      <c r="KHR73" s="120"/>
      <c r="KHS73" s="120"/>
      <c r="KHT73" s="120"/>
      <c r="KHU73" s="120"/>
      <c r="KHV73" s="120"/>
      <c r="KHW73" s="120"/>
      <c r="KHX73" s="120"/>
      <c r="KHY73" s="120"/>
      <c r="KHZ73" s="120"/>
      <c r="KIA73" s="120"/>
      <c r="KIB73" s="120"/>
      <c r="KIC73" s="120"/>
      <c r="KID73" s="120"/>
      <c r="KIE73" s="120"/>
      <c r="KIF73" s="120"/>
      <c r="KIG73" s="120"/>
      <c r="KIH73" s="120"/>
      <c r="KII73" s="120"/>
      <c r="KIJ73" s="120"/>
      <c r="KIK73" s="120"/>
      <c r="KIL73" s="120"/>
      <c r="KIM73" s="120"/>
      <c r="KIN73" s="120"/>
      <c r="KIO73" s="120"/>
      <c r="KIP73" s="120"/>
      <c r="KIQ73" s="120"/>
      <c r="KIR73" s="120"/>
      <c r="KIS73" s="120"/>
      <c r="KIT73" s="120"/>
      <c r="KIU73" s="120"/>
      <c r="KIV73" s="120"/>
      <c r="KIW73" s="120"/>
      <c r="KIX73" s="120"/>
      <c r="KIY73" s="120"/>
      <c r="KIZ73" s="120"/>
      <c r="KJA73" s="120"/>
      <c r="KJB73" s="120"/>
      <c r="KJC73" s="120"/>
      <c r="KJD73" s="120"/>
      <c r="KJE73" s="120"/>
      <c r="KJF73" s="120"/>
      <c r="KJG73" s="120"/>
      <c r="KJH73" s="120"/>
      <c r="KJI73" s="120"/>
      <c r="KJJ73" s="120"/>
      <c r="KJK73" s="120"/>
      <c r="KJL73" s="120"/>
      <c r="KJM73" s="120"/>
      <c r="KJN73" s="120"/>
      <c r="KJO73" s="120"/>
      <c r="KJP73" s="120"/>
      <c r="KJQ73" s="120"/>
      <c r="KJR73" s="120"/>
      <c r="KJS73" s="120"/>
      <c r="KJT73" s="120"/>
      <c r="KJU73" s="120"/>
      <c r="KJV73" s="120"/>
      <c r="KJW73" s="120"/>
      <c r="KJX73" s="120"/>
      <c r="KJY73" s="120"/>
      <c r="KJZ73" s="120"/>
      <c r="KKA73" s="120"/>
      <c r="KKB73" s="120"/>
      <c r="KKC73" s="120"/>
      <c r="KKD73" s="120"/>
      <c r="KKE73" s="120"/>
      <c r="KKF73" s="120"/>
      <c r="KKG73" s="120"/>
      <c r="KKH73" s="120"/>
      <c r="KKI73" s="120"/>
      <c r="KKJ73" s="120"/>
      <c r="KKK73" s="120"/>
      <c r="KKL73" s="120"/>
      <c r="KKM73" s="120"/>
      <c r="KKN73" s="120"/>
      <c r="KKO73" s="120"/>
      <c r="KKP73" s="120"/>
      <c r="KKQ73" s="120"/>
      <c r="KKR73" s="120"/>
      <c r="KKS73" s="120"/>
      <c r="KKT73" s="120"/>
      <c r="KKU73" s="120"/>
      <c r="KKV73" s="120"/>
      <c r="KKW73" s="120"/>
      <c r="KKX73" s="120"/>
      <c r="KKY73" s="120"/>
      <c r="KKZ73" s="120"/>
      <c r="KLA73" s="120"/>
      <c r="KLB73" s="120"/>
      <c r="KLC73" s="120"/>
      <c r="KLD73" s="120"/>
      <c r="KLE73" s="120"/>
      <c r="KLF73" s="120"/>
      <c r="KLG73" s="120"/>
      <c r="KLH73" s="120"/>
      <c r="KLI73" s="120"/>
      <c r="KLJ73" s="120"/>
      <c r="KLK73" s="120"/>
      <c r="KLL73" s="120"/>
      <c r="KLM73" s="120"/>
      <c r="KLN73" s="120"/>
      <c r="KLO73" s="120"/>
      <c r="KLP73" s="120"/>
      <c r="KLQ73" s="120"/>
      <c r="KLR73" s="120"/>
      <c r="KLS73" s="120"/>
      <c r="KLT73" s="120"/>
      <c r="KLU73" s="120"/>
      <c r="KLV73" s="120"/>
      <c r="KLW73" s="120"/>
      <c r="KLX73" s="120"/>
      <c r="KLY73" s="120"/>
      <c r="KLZ73" s="120"/>
      <c r="KMA73" s="120"/>
      <c r="KMB73" s="120"/>
      <c r="KMC73" s="120"/>
      <c r="KMD73" s="120"/>
      <c r="KME73" s="120"/>
      <c r="KMF73" s="120"/>
      <c r="KMG73" s="120"/>
      <c r="KMH73" s="120"/>
      <c r="KMI73" s="120"/>
      <c r="KMJ73" s="120"/>
      <c r="KMK73" s="120"/>
      <c r="KML73" s="120"/>
      <c r="KMM73" s="120"/>
      <c r="KMN73" s="120"/>
      <c r="KMO73" s="120"/>
      <c r="KMP73" s="120"/>
      <c r="KMQ73" s="120"/>
      <c r="KMR73" s="120"/>
      <c r="KMS73" s="120"/>
      <c r="KMT73" s="120"/>
      <c r="KMU73" s="120"/>
      <c r="KMV73" s="120"/>
      <c r="KMW73" s="120"/>
      <c r="KMX73" s="120"/>
      <c r="KMY73" s="120"/>
      <c r="KMZ73" s="120"/>
      <c r="KNA73" s="120"/>
      <c r="KNB73" s="120"/>
      <c r="KNC73" s="120"/>
      <c r="KND73" s="120"/>
      <c r="KNE73" s="120"/>
      <c r="KNF73" s="120"/>
      <c r="KNG73" s="120"/>
      <c r="KNH73" s="120"/>
      <c r="KNI73" s="120"/>
      <c r="KNJ73" s="120"/>
      <c r="KNK73" s="120"/>
      <c r="KNL73" s="120"/>
      <c r="KNM73" s="120"/>
      <c r="KNN73" s="120"/>
      <c r="KNO73" s="120"/>
      <c r="KNP73" s="120"/>
      <c r="KNQ73" s="120"/>
      <c r="KNR73" s="120"/>
      <c r="KNS73" s="120"/>
      <c r="KNT73" s="120"/>
      <c r="KNU73" s="120"/>
      <c r="KNV73" s="120"/>
      <c r="KNW73" s="120"/>
      <c r="KNX73" s="120"/>
      <c r="KNY73" s="120"/>
      <c r="KNZ73" s="120"/>
      <c r="KOA73" s="120"/>
      <c r="KOB73" s="120"/>
      <c r="KOC73" s="120"/>
      <c r="KOD73" s="120"/>
      <c r="KOE73" s="120"/>
      <c r="KOF73" s="120"/>
      <c r="KOG73" s="120"/>
      <c r="KOH73" s="120"/>
      <c r="KOI73" s="120"/>
      <c r="KOJ73" s="120"/>
      <c r="KOK73" s="120"/>
      <c r="KOL73" s="120"/>
      <c r="KOM73" s="120"/>
      <c r="KON73" s="120"/>
      <c r="KOO73" s="120"/>
      <c r="KOP73" s="120"/>
      <c r="KOQ73" s="120"/>
      <c r="KOR73" s="120"/>
      <c r="KOS73" s="120"/>
      <c r="KOT73" s="120"/>
      <c r="KOU73" s="120"/>
      <c r="KOV73" s="120"/>
      <c r="KOW73" s="120"/>
      <c r="KOX73" s="120"/>
      <c r="KOY73" s="120"/>
      <c r="KOZ73" s="120"/>
      <c r="KPA73" s="120"/>
      <c r="KPB73" s="120"/>
      <c r="KPC73" s="120"/>
      <c r="KPD73" s="120"/>
      <c r="KPE73" s="120"/>
      <c r="KPF73" s="120"/>
      <c r="KPG73" s="120"/>
      <c r="KPH73" s="120"/>
      <c r="KPI73" s="120"/>
      <c r="KPJ73" s="120"/>
      <c r="KPK73" s="120"/>
      <c r="KPL73" s="120"/>
      <c r="KPM73" s="120"/>
      <c r="KPN73" s="120"/>
      <c r="KPO73" s="120"/>
      <c r="KPP73" s="120"/>
      <c r="KPQ73" s="120"/>
      <c r="KPR73" s="120"/>
      <c r="KPS73" s="120"/>
      <c r="KPT73" s="120"/>
      <c r="KPU73" s="120"/>
      <c r="KPV73" s="120"/>
      <c r="KPW73" s="120"/>
      <c r="KPX73" s="120"/>
      <c r="KPY73" s="120"/>
      <c r="KPZ73" s="120"/>
      <c r="KQA73" s="120"/>
      <c r="KQB73" s="120"/>
      <c r="KQC73" s="120"/>
      <c r="KQD73" s="120"/>
      <c r="KQE73" s="120"/>
      <c r="KQF73" s="120"/>
      <c r="KQG73" s="120"/>
      <c r="KQH73" s="120"/>
      <c r="KQI73" s="120"/>
      <c r="KQJ73" s="120"/>
      <c r="KQK73" s="120"/>
      <c r="KQL73" s="120"/>
      <c r="KQM73" s="120"/>
      <c r="KQN73" s="120"/>
      <c r="KQO73" s="120"/>
      <c r="KQP73" s="120"/>
      <c r="KQQ73" s="120"/>
      <c r="KQR73" s="120"/>
      <c r="KQS73" s="120"/>
      <c r="KQT73" s="120"/>
      <c r="KQU73" s="120"/>
      <c r="KQV73" s="120"/>
      <c r="KQW73" s="120"/>
      <c r="KQX73" s="120"/>
      <c r="KQY73" s="120"/>
      <c r="KQZ73" s="120"/>
      <c r="KRA73" s="120"/>
      <c r="KRB73" s="120"/>
      <c r="KRC73" s="120"/>
      <c r="KRD73" s="120"/>
      <c r="KRE73" s="120"/>
      <c r="KRF73" s="120"/>
      <c r="KRG73" s="120"/>
      <c r="KRH73" s="120"/>
      <c r="KRI73" s="120"/>
      <c r="KRJ73" s="120"/>
      <c r="KRK73" s="120"/>
      <c r="KRL73" s="120"/>
      <c r="KRM73" s="120"/>
      <c r="KRN73" s="120"/>
      <c r="KRO73" s="120"/>
      <c r="KRP73" s="120"/>
      <c r="KRQ73" s="120"/>
      <c r="KRR73" s="120"/>
      <c r="KRS73" s="120"/>
      <c r="KRT73" s="120"/>
      <c r="KRU73" s="120"/>
      <c r="KRV73" s="120"/>
      <c r="KRW73" s="120"/>
      <c r="KRX73" s="120"/>
      <c r="KRY73" s="120"/>
      <c r="KRZ73" s="120"/>
      <c r="KSA73" s="120"/>
      <c r="KSB73" s="120"/>
      <c r="KSC73" s="120"/>
      <c r="KSD73" s="120"/>
      <c r="KSE73" s="120"/>
      <c r="KSF73" s="120"/>
      <c r="KSG73" s="120"/>
      <c r="KSH73" s="120"/>
      <c r="KSI73" s="120"/>
      <c r="KSJ73" s="120"/>
      <c r="KSK73" s="120"/>
      <c r="KSL73" s="120"/>
      <c r="KSM73" s="120"/>
      <c r="KSN73" s="120"/>
      <c r="KSO73" s="120"/>
      <c r="KSP73" s="120"/>
      <c r="KSQ73" s="120"/>
      <c r="KSR73" s="120"/>
      <c r="KSS73" s="120"/>
      <c r="KST73" s="120"/>
      <c r="KSU73" s="120"/>
      <c r="KSV73" s="120"/>
      <c r="KSW73" s="120"/>
      <c r="KSX73" s="120"/>
      <c r="KSY73" s="120"/>
      <c r="KSZ73" s="120"/>
      <c r="KTA73" s="120"/>
      <c r="KTB73" s="120"/>
      <c r="KTC73" s="120"/>
      <c r="KTD73" s="120"/>
      <c r="KTE73" s="120"/>
      <c r="KTF73" s="120"/>
      <c r="KTG73" s="120"/>
      <c r="KTH73" s="120"/>
      <c r="KTI73" s="120"/>
      <c r="KTJ73" s="120"/>
      <c r="KTK73" s="120"/>
      <c r="KTL73" s="120"/>
      <c r="KTM73" s="120"/>
      <c r="KTN73" s="120"/>
      <c r="KTO73" s="120"/>
      <c r="KTP73" s="120"/>
      <c r="KTQ73" s="120"/>
      <c r="KTR73" s="120"/>
      <c r="KTS73" s="120"/>
      <c r="KTT73" s="120"/>
      <c r="KTU73" s="120"/>
      <c r="KTV73" s="120"/>
      <c r="KTW73" s="120"/>
      <c r="KTX73" s="120"/>
      <c r="KTY73" s="120"/>
      <c r="KTZ73" s="120"/>
      <c r="KUA73" s="120"/>
      <c r="KUB73" s="120"/>
      <c r="KUC73" s="120"/>
      <c r="KUD73" s="120"/>
      <c r="KUE73" s="120"/>
      <c r="KUF73" s="120"/>
      <c r="KUG73" s="120"/>
      <c r="KUH73" s="120"/>
      <c r="KUI73" s="120"/>
      <c r="KUJ73" s="120"/>
      <c r="KUK73" s="120"/>
      <c r="KUL73" s="120"/>
      <c r="KUM73" s="120"/>
      <c r="KUN73" s="120"/>
      <c r="KUO73" s="120"/>
      <c r="KUP73" s="120"/>
      <c r="KUQ73" s="120"/>
      <c r="KUR73" s="120"/>
      <c r="KUS73" s="120"/>
      <c r="KUT73" s="120"/>
      <c r="KUU73" s="120"/>
      <c r="KUV73" s="120"/>
      <c r="KUW73" s="120"/>
      <c r="KUX73" s="120"/>
      <c r="KUY73" s="120"/>
      <c r="KUZ73" s="120"/>
      <c r="KVA73" s="120"/>
      <c r="KVB73" s="120"/>
      <c r="KVC73" s="120"/>
      <c r="KVD73" s="120"/>
      <c r="KVE73" s="120"/>
      <c r="KVF73" s="120"/>
      <c r="KVG73" s="120"/>
      <c r="KVH73" s="120"/>
      <c r="KVI73" s="120"/>
      <c r="KVJ73" s="120"/>
      <c r="KVK73" s="120"/>
      <c r="KVL73" s="120"/>
      <c r="KVM73" s="120"/>
      <c r="KVN73" s="120"/>
      <c r="KVO73" s="120"/>
      <c r="KVP73" s="120"/>
      <c r="KVQ73" s="120"/>
      <c r="KVR73" s="120"/>
      <c r="KVS73" s="120"/>
      <c r="KVT73" s="120"/>
      <c r="KVU73" s="120"/>
      <c r="KVV73" s="120"/>
      <c r="KVW73" s="120"/>
      <c r="KVX73" s="120"/>
      <c r="KVY73" s="120"/>
      <c r="KVZ73" s="120"/>
      <c r="KWA73" s="120"/>
      <c r="KWB73" s="120"/>
      <c r="KWC73" s="120"/>
      <c r="KWD73" s="120"/>
      <c r="KWE73" s="120"/>
      <c r="KWF73" s="120"/>
      <c r="KWG73" s="120"/>
      <c r="KWH73" s="120"/>
      <c r="KWI73" s="120"/>
      <c r="KWJ73" s="120"/>
      <c r="KWK73" s="120"/>
      <c r="KWL73" s="120"/>
      <c r="KWM73" s="120"/>
      <c r="KWN73" s="120"/>
      <c r="KWO73" s="120"/>
      <c r="KWP73" s="120"/>
      <c r="KWQ73" s="120"/>
      <c r="KWR73" s="120"/>
      <c r="KWS73" s="120"/>
      <c r="KWT73" s="120"/>
      <c r="KWU73" s="120"/>
      <c r="KWV73" s="120"/>
      <c r="KWW73" s="120"/>
      <c r="KWX73" s="120"/>
      <c r="KWY73" s="120"/>
      <c r="KWZ73" s="120"/>
      <c r="KXA73" s="120"/>
      <c r="KXB73" s="120"/>
      <c r="KXC73" s="120"/>
      <c r="KXD73" s="120"/>
      <c r="KXE73" s="120"/>
      <c r="KXF73" s="120"/>
      <c r="KXG73" s="120"/>
      <c r="KXH73" s="120"/>
      <c r="KXI73" s="120"/>
      <c r="KXJ73" s="120"/>
      <c r="KXK73" s="120"/>
      <c r="KXL73" s="120"/>
      <c r="KXM73" s="120"/>
      <c r="KXN73" s="120"/>
      <c r="KXO73" s="120"/>
      <c r="KXP73" s="120"/>
      <c r="KXQ73" s="120"/>
      <c r="KXR73" s="120"/>
      <c r="KXS73" s="120"/>
      <c r="KXT73" s="120"/>
      <c r="KXU73" s="120"/>
      <c r="KXV73" s="120"/>
      <c r="KXW73" s="120"/>
      <c r="KXX73" s="120"/>
      <c r="KXY73" s="120"/>
      <c r="KXZ73" s="120"/>
      <c r="KYA73" s="120"/>
      <c r="KYB73" s="120"/>
      <c r="KYC73" s="120"/>
      <c r="KYD73" s="120"/>
      <c r="KYE73" s="120"/>
      <c r="KYF73" s="120"/>
      <c r="KYG73" s="120"/>
      <c r="KYH73" s="120"/>
      <c r="KYI73" s="120"/>
      <c r="KYJ73" s="120"/>
      <c r="KYK73" s="120"/>
      <c r="KYL73" s="120"/>
      <c r="KYM73" s="120"/>
      <c r="KYN73" s="120"/>
      <c r="KYO73" s="120"/>
      <c r="KYP73" s="120"/>
      <c r="KYQ73" s="120"/>
      <c r="KYR73" s="120"/>
      <c r="KYS73" s="120"/>
      <c r="KYT73" s="120"/>
      <c r="KYU73" s="120"/>
      <c r="KYV73" s="120"/>
      <c r="KYW73" s="120"/>
      <c r="KYX73" s="120"/>
      <c r="KYY73" s="120"/>
      <c r="KYZ73" s="120"/>
      <c r="KZA73" s="120"/>
      <c r="KZB73" s="120"/>
      <c r="KZC73" s="120"/>
      <c r="KZD73" s="120"/>
      <c r="KZE73" s="120"/>
      <c r="KZF73" s="120"/>
      <c r="KZG73" s="120"/>
      <c r="KZH73" s="120"/>
      <c r="KZI73" s="120"/>
      <c r="KZJ73" s="120"/>
      <c r="KZK73" s="120"/>
      <c r="KZL73" s="120"/>
      <c r="KZM73" s="120"/>
      <c r="KZN73" s="120"/>
      <c r="KZO73" s="120"/>
      <c r="KZP73" s="120"/>
      <c r="KZQ73" s="120"/>
      <c r="KZR73" s="120"/>
      <c r="KZS73" s="120"/>
      <c r="KZT73" s="120"/>
      <c r="KZU73" s="120"/>
      <c r="KZV73" s="120"/>
      <c r="KZW73" s="120"/>
      <c r="KZX73" s="120"/>
      <c r="KZY73" s="120"/>
      <c r="KZZ73" s="120"/>
      <c r="LAA73" s="120"/>
      <c r="LAB73" s="120"/>
      <c r="LAC73" s="120"/>
      <c r="LAD73" s="120"/>
      <c r="LAE73" s="120"/>
      <c r="LAF73" s="120"/>
      <c r="LAG73" s="120"/>
      <c r="LAH73" s="120"/>
      <c r="LAI73" s="120"/>
      <c r="LAJ73" s="120"/>
      <c r="LAK73" s="120"/>
      <c r="LAL73" s="120"/>
      <c r="LAM73" s="120"/>
      <c r="LAN73" s="120"/>
      <c r="LAO73" s="120"/>
      <c r="LAP73" s="120"/>
      <c r="LAQ73" s="120"/>
      <c r="LAR73" s="120"/>
      <c r="LAS73" s="120"/>
      <c r="LAT73" s="120"/>
      <c r="LAU73" s="120"/>
      <c r="LAV73" s="120"/>
      <c r="LAW73" s="120"/>
      <c r="LAX73" s="120"/>
      <c r="LAY73" s="120"/>
      <c r="LAZ73" s="120"/>
      <c r="LBA73" s="120"/>
      <c r="LBB73" s="120"/>
      <c r="LBC73" s="120"/>
      <c r="LBD73" s="120"/>
      <c r="LBE73" s="120"/>
      <c r="LBF73" s="120"/>
      <c r="LBG73" s="120"/>
      <c r="LBH73" s="120"/>
      <c r="LBI73" s="120"/>
      <c r="LBJ73" s="120"/>
      <c r="LBK73" s="120"/>
      <c r="LBL73" s="120"/>
      <c r="LBM73" s="120"/>
      <c r="LBN73" s="120"/>
      <c r="LBO73" s="120"/>
      <c r="LBP73" s="120"/>
      <c r="LBQ73" s="120"/>
      <c r="LBR73" s="120"/>
      <c r="LBS73" s="120"/>
      <c r="LBT73" s="120"/>
      <c r="LBU73" s="120"/>
      <c r="LBV73" s="120"/>
      <c r="LBW73" s="120"/>
      <c r="LBX73" s="120"/>
      <c r="LBY73" s="120"/>
      <c r="LBZ73" s="120"/>
      <c r="LCA73" s="120"/>
      <c r="LCB73" s="120"/>
      <c r="LCC73" s="120"/>
      <c r="LCD73" s="120"/>
      <c r="LCE73" s="120"/>
      <c r="LCF73" s="120"/>
      <c r="LCG73" s="120"/>
      <c r="LCH73" s="120"/>
      <c r="LCI73" s="120"/>
      <c r="LCJ73" s="120"/>
      <c r="LCK73" s="120"/>
      <c r="LCL73" s="120"/>
      <c r="LCM73" s="120"/>
      <c r="LCN73" s="120"/>
      <c r="LCO73" s="120"/>
      <c r="LCP73" s="120"/>
      <c r="LCQ73" s="120"/>
      <c r="LCR73" s="120"/>
      <c r="LCS73" s="120"/>
      <c r="LCT73" s="120"/>
      <c r="LCU73" s="120"/>
      <c r="LCV73" s="120"/>
      <c r="LCW73" s="120"/>
      <c r="LCX73" s="120"/>
      <c r="LCY73" s="120"/>
      <c r="LCZ73" s="120"/>
      <c r="LDA73" s="120"/>
      <c r="LDB73" s="120"/>
      <c r="LDC73" s="120"/>
      <c r="LDD73" s="120"/>
      <c r="LDE73" s="120"/>
      <c r="LDF73" s="120"/>
      <c r="LDG73" s="120"/>
      <c r="LDH73" s="120"/>
      <c r="LDI73" s="120"/>
      <c r="LDJ73" s="120"/>
      <c r="LDK73" s="120"/>
      <c r="LDL73" s="120"/>
      <c r="LDM73" s="120"/>
      <c r="LDN73" s="120"/>
      <c r="LDO73" s="120"/>
      <c r="LDP73" s="120"/>
      <c r="LDQ73" s="120"/>
      <c r="LDR73" s="120"/>
      <c r="LDS73" s="120"/>
      <c r="LDT73" s="120"/>
      <c r="LDU73" s="120"/>
      <c r="LDV73" s="120"/>
      <c r="LDW73" s="120"/>
      <c r="LDX73" s="120"/>
      <c r="LDY73" s="120"/>
      <c r="LDZ73" s="120"/>
      <c r="LEA73" s="120"/>
      <c r="LEB73" s="120"/>
      <c r="LEC73" s="120"/>
      <c r="LED73" s="120"/>
      <c r="LEE73" s="120"/>
      <c r="LEF73" s="120"/>
      <c r="LEG73" s="120"/>
      <c r="LEH73" s="120"/>
      <c r="LEI73" s="120"/>
      <c r="LEJ73" s="120"/>
      <c r="LEK73" s="120"/>
      <c r="LEL73" s="120"/>
      <c r="LEM73" s="120"/>
      <c r="LEN73" s="120"/>
      <c r="LEO73" s="120"/>
      <c r="LEP73" s="120"/>
      <c r="LEQ73" s="120"/>
      <c r="LER73" s="120"/>
      <c r="LES73" s="120"/>
      <c r="LET73" s="120"/>
      <c r="LEU73" s="120"/>
      <c r="LEV73" s="120"/>
      <c r="LEW73" s="120"/>
      <c r="LEX73" s="120"/>
      <c r="LEY73" s="120"/>
      <c r="LEZ73" s="120"/>
      <c r="LFA73" s="120"/>
      <c r="LFB73" s="120"/>
      <c r="LFC73" s="120"/>
      <c r="LFD73" s="120"/>
      <c r="LFE73" s="120"/>
      <c r="LFF73" s="120"/>
      <c r="LFG73" s="120"/>
      <c r="LFH73" s="120"/>
      <c r="LFI73" s="120"/>
      <c r="LFJ73" s="120"/>
      <c r="LFK73" s="120"/>
      <c r="LFL73" s="120"/>
      <c r="LFM73" s="120"/>
      <c r="LFN73" s="120"/>
      <c r="LFO73" s="120"/>
      <c r="LFP73" s="120"/>
      <c r="LFQ73" s="120"/>
      <c r="LFR73" s="120"/>
      <c r="LFS73" s="120"/>
      <c r="LFT73" s="120"/>
      <c r="LFU73" s="120"/>
      <c r="LFV73" s="120"/>
      <c r="LFW73" s="120"/>
      <c r="LFX73" s="120"/>
      <c r="LFY73" s="120"/>
      <c r="LFZ73" s="120"/>
      <c r="LGA73" s="120"/>
      <c r="LGB73" s="120"/>
      <c r="LGC73" s="120"/>
      <c r="LGD73" s="120"/>
      <c r="LGE73" s="120"/>
      <c r="LGF73" s="120"/>
      <c r="LGG73" s="120"/>
      <c r="LGH73" s="120"/>
      <c r="LGI73" s="120"/>
      <c r="LGJ73" s="120"/>
      <c r="LGK73" s="120"/>
      <c r="LGL73" s="120"/>
      <c r="LGM73" s="120"/>
      <c r="LGN73" s="120"/>
      <c r="LGO73" s="120"/>
      <c r="LGP73" s="120"/>
      <c r="LGQ73" s="120"/>
      <c r="LGR73" s="120"/>
      <c r="LGS73" s="120"/>
      <c r="LGT73" s="120"/>
      <c r="LGU73" s="120"/>
      <c r="LGV73" s="120"/>
      <c r="LGW73" s="120"/>
      <c r="LGX73" s="120"/>
      <c r="LGY73" s="120"/>
      <c r="LGZ73" s="120"/>
      <c r="LHA73" s="120"/>
      <c r="LHB73" s="120"/>
      <c r="LHC73" s="120"/>
      <c r="LHD73" s="120"/>
      <c r="LHE73" s="120"/>
      <c r="LHF73" s="120"/>
      <c r="LHG73" s="120"/>
      <c r="LHH73" s="120"/>
      <c r="LHI73" s="120"/>
      <c r="LHJ73" s="120"/>
      <c r="LHK73" s="120"/>
      <c r="LHL73" s="120"/>
      <c r="LHM73" s="120"/>
      <c r="LHN73" s="120"/>
      <c r="LHO73" s="120"/>
      <c r="LHP73" s="120"/>
      <c r="LHQ73" s="120"/>
      <c r="LHR73" s="120"/>
      <c r="LHS73" s="120"/>
      <c r="LHT73" s="120"/>
      <c r="LHU73" s="120"/>
      <c r="LHV73" s="120"/>
      <c r="LHW73" s="120"/>
      <c r="LHX73" s="120"/>
      <c r="LHY73" s="120"/>
      <c r="LHZ73" s="120"/>
      <c r="LIA73" s="120"/>
      <c r="LIB73" s="120"/>
      <c r="LIC73" s="120"/>
      <c r="LID73" s="120"/>
      <c r="LIE73" s="120"/>
      <c r="LIF73" s="120"/>
      <c r="LIG73" s="120"/>
      <c r="LIH73" s="120"/>
      <c r="LII73" s="120"/>
      <c r="LIJ73" s="120"/>
      <c r="LIK73" s="120"/>
      <c r="LIL73" s="120"/>
      <c r="LIM73" s="120"/>
      <c r="LIN73" s="120"/>
      <c r="LIO73" s="120"/>
      <c r="LIP73" s="120"/>
      <c r="LIQ73" s="120"/>
      <c r="LIR73" s="120"/>
      <c r="LIS73" s="120"/>
      <c r="LIT73" s="120"/>
      <c r="LIU73" s="120"/>
      <c r="LIV73" s="120"/>
      <c r="LIW73" s="120"/>
      <c r="LIX73" s="120"/>
      <c r="LIY73" s="120"/>
      <c r="LIZ73" s="120"/>
      <c r="LJA73" s="120"/>
      <c r="LJB73" s="120"/>
      <c r="LJC73" s="120"/>
      <c r="LJD73" s="120"/>
      <c r="LJE73" s="120"/>
      <c r="LJF73" s="120"/>
      <c r="LJG73" s="120"/>
      <c r="LJH73" s="120"/>
      <c r="LJI73" s="120"/>
      <c r="LJJ73" s="120"/>
      <c r="LJK73" s="120"/>
      <c r="LJL73" s="120"/>
      <c r="LJM73" s="120"/>
      <c r="LJN73" s="120"/>
      <c r="LJO73" s="120"/>
      <c r="LJP73" s="120"/>
      <c r="LJQ73" s="120"/>
      <c r="LJR73" s="120"/>
      <c r="LJS73" s="120"/>
      <c r="LJT73" s="120"/>
      <c r="LJU73" s="120"/>
      <c r="LJV73" s="120"/>
      <c r="LJW73" s="120"/>
      <c r="LJX73" s="120"/>
      <c r="LJY73" s="120"/>
      <c r="LJZ73" s="120"/>
      <c r="LKA73" s="120"/>
      <c r="LKB73" s="120"/>
      <c r="LKC73" s="120"/>
      <c r="LKD73" s="120"/>
      <c r="LKE73" s="120"/>
      <c r="LKF73" s="120"/>
      <c r="LKG73" s="120"/>
      <c r="LKH73" s="120"/>
      <c r="LKI73" s="120"/>
      <c r="LKJ73" s="120"/>
      <c r="LKK73" s="120"/>
      <c r="LKL73" s="120"/>
      <c r="LKM73" s="120"/>
      <c r="LKN73" s="120"/>
      <c r="LKO73" s="120"/>
      <c r="LKP73" s="120"/>
      <c r="LKQ73" s="120"/>
      <c r="LKR73" s="120"/>
      <c r="LKS73" s="120"/>
      <c r="LKT73" s="120"/>
      <c r="LKU73" s="120"/>
      <c r="LKV73" s="120"/>
      <c r="LKW73" s="120"/>
      <c r="LKX73" s="120"/>
      <c r="LKY73" s="120"/>
      <c r="LKZ73" s="120"/>
      <c r="LLA73" s="120"/>
      <c r="LLB73" s="120"/>
      <c r="LLC73" s="120"/>
      <c r="LLD73" s="120"/>
      <c r="LLE73" s="120"/>
      <c r="LLF73" s="120"/>
      <c r="LLG73" s="120"/>
      <c r="LLH73" s="120"/>
      <c r="LLI73" s="120"/>
      <c r="LLJ73" s="120"/>
      <c r="LLK73" s="120"/>
      <c r="LLL73" s="120"/>
      <c r="LLM73" s="120"/>
      <c r="LLN73" s="120"/>
      <c r="LLO73" s="120"/>
      <c r="LLP73" s="120"/>
      <c r="LLQ73" s="120"/>
      <c r="LLR73" s="120"/>
      <c r="LLS73" s="120"/>
      <c r="LLT73" s="120"/>
      <c r="LLU73" s="120"/>
      <c r="LLV73" s="120"/>
      <c r="LLW73" s="120"/>
      <c r="LLX73" s="120"/>
      <c r="LLY73" s="120"/>
      <c r="LLZ73" s="120"/>
      <c r="LMA73" s="120"/>
      <c r="LMB73" s="120"/>
      <c r="LMC73" s="120"/>
      <c r="LMD73" s="120"/>
      <c r="LME73" s="120"/>
      <c r="LMF73" s="120"/>
      <c r="LMG73" s="120"/>
      <c r="LMH73" s="120"/>
      <c r="LMI73" s="120"/>
      <c r="LMJ73" s="120"/>
      <c r="LMK73" s="120"/>
      <c r="LML73" s="120"/>
      <c r="LMM73" s="120"/>
      <c r="LMN73" s="120"/>
      <c r="LMO73" s="120"/>
      <c r="LMP73" s="120"/>
      <c r="LMQ73" s="120"/>
      <c r="LMR73" s="120"/>
      <c r="LMS73" s="120"/>
      <c r="LMT73" s="120"/>
      <c r="LMU73" s="120"/>
      <c r="LMV73" s="120"/>
      <c r="LMW73" s="120"/>
      <c r="LMX73" s="120"/>
      <c r="LMY73" s="120"/>
      <c r="LMZ73" s="120"/>
      <c r="LNA73" s="120"/>
      <c r="LNB73" s="120"/>
      <c r="LNC73" s="120"/>
      <c r="LND73" s="120"/>
      <c r="LNE73" s="120"/>
      <c r="LNF73" s="120"/>
      <c r="LNG73" s="120"/>
      <c r="LNH73" s="120"/>
      <c r="LNI73" s="120"/>
      <c r="LNJ73" s="120"/>
      <c r="LNK73" s="120"/>
      <c r="LNL73" s="120"/>
      <c r="LNM73" s="120"/>
      <c r="LNN73" s="120"/>
      <c r="LNO73" s="120"/>
      <c r="LNP73" s="120"/>
      <c r="LNQ73" s="120"/>
      <c r="LNR73" s="120"/>
      <c r="LNS73" s="120"/>
      <c r="LNT73" s="120"/>
      <c r="LNU73" s="120"/>
      <c r="LNV73" s="120"/>
      <c r="LNW73" s="120"/>
      <c r="LNX73" s="120"/>
      <c r="LNY73" s="120"/>
      <c r="LNZ73" s="120"/>
      <c r="LOA73" s="120"/>
      <c r="LOB73" s="120"/>
      <c r="LOC73" s="120"/>
      <c r="LOD73" s="120"/>
      <c r="LOE73" s="120"/>
      <c r="LOF73" s="120"/>
      <c r="LOG73" s="120"/>
      <c r="LOH73" s="120"/>
      <c r="LOI73" s="120"/>
      <c r="LOJ73" s="120"/>
      <c r="LOK73" s="120"/>
      <c r="LOL73" s="120"/>
      <c r="LOM73" s="120"/>
      <c r="LON73" s="120"/>
      <c r="LOO73" s="120"/>
      <c r="LOP73" s="120"/>
      <c r="LOQ73" s="120"/>
      <c r="LOR73" s="120"/>
      <c r="LOS73" s="120"/>
      <c r="LOT73" s="120"/>
      <c r="LOU73" s="120"/>
      <c r="LOV73" s="120"/>
      <c r="LOW73" s="120"/>
      <c r="LOX73" s="120"/>
      <c r="LOY73" s="120"/>
      <c r="LOZ73" s="120"/>
      <c r="LPA73" s="120"/>
      <c r="LPB73" s="120"/>
      <c r="LPC73" s="120"/>
      <c r="LPD73" s="120"/>
      <c r="LPE73" s="120"/>
      <c r="LPF73" s="120"/>
      <c r="LPG73" s="120"/>
      <c r="LPH73" s="120"/>
      <c r="LPI73" s="120"/>
      <c r="LPJ73" s="120"/>
      <c r="LPK73" s="120"/>
      <c r="LPL73" s="120"/>
      <c r="LPM73" s="120"/>
      <c r="LPN73" s="120"/>
      <c r="LPO73" s="120"/>
      <c r="LPP73" s="120"/>
      <c r="LPQ73" s="120"/>
      <c r="LPR73" s="120"/>
      <c r="LPS73" s="120"/>
      <c r="LPT73" s="120"/>
      <c r="LPU73" s="120"/>
      <c r="LPV73" s="120"/>
      <c r="LPW73" s="120"/>
      <c r="LPX73" s="120"/>
      <c r="LPY73" s="120"/>
      <c r="LPZ73" s="120"/>
      <c r="LQA73" s="120"/>
      <c r="LQB73" s="120"/>
      <c r="LQC73" s="120"/>
      <c r="LQD73" s="120"/>
      <c r="LQE73" s="120"/>
      <c r="LQF73" s="120"/>
      <c r="LQG73" s="120"/>
      <c r="LQH73" s="120"/>
      <c r="LQI73" s="120"/>
      <c r="LQJ73" s="120"/>
      <c r="LQK73" s="120"/>
      <c r="LQL73" s="120"/>
      <c r="LQM73" s="120"/>
      <c r="LQN73" s="120"/>
      <c r="LQO73" s="120"/>
      <c r="LQP73" s="120"/>
      <c r="LQQ73" s="120"/>
      <c r="LQR73" s="120"/>
      <c r="LQS73" s="120"/>
      <c r="LQT73" s="120"/>
      <c r="LQU73" s="120"/>
      <c r="LQV73" s="120"/>
      <c r="LQW73" s="120"/>
      <c r="LQX73" s="120"/>
      <c r="LQY73" s="120"/>
      <c r="LQZ73" s="120"/>
      <c r="LRA73" s="120"/>
      <c r="LRB73" s="120"/>
      <c r="LRC73" s="120"/>
      <c r="LRD73" s="120"/>
      <c r="LRE73" s="120"/>
      <c r="LRF73" s="120"/>
      <c r="LRG73" s="120"/>
      <c r="LRH73" s="120"/>
      <c r="LRI73" s="120"/>
      <c r="LRJ73" s="120"/>
      <c r="LRK73" s="120"/>
      <c r="LRL73" s="120"/>
      <c r="LRM73" s="120"/>
      <c r="LRN73" s="120"/>
      <c r="LRO73" s="120"/>
      <c r="LRP73" s="120"/>
      <c r="LRQ73" s="120"/>
      <c r="LRR73" s="120"/>
      <c r="LRS73" s="120"/>
      <c r="LRT73" s="120"/>
      <c r="LRU73" s="120"/>
      <c r="LRV73" s="120"/>
      <c r="LRW73" s="120"/>
      <c r="LRX73" s="120"/>
      <c r="LRY73" s="120"/>
      <c r="LRZ73" s="120"/>
      <c r="LSA73" s="120"/>
      <c r="LSB73" s="120"/>
      <c r="LSC73" s="120"/>
      <c r="LSD73" s="120"/>
      <c r="LSE73" s="120"/>
      <c r="LSF73" s="120"/>
      <c r="LSG73" s="120"/>
      <c r="LSH73" s="120"/>
      <c r="LSI73" s="120"/>
      <c r="LSJ73" s="120"/>
      <c r="LSK73" s="120"/>
      <c r="LSL73" s="120"/>
      <c r="LSM73" s="120"/>
      <c r="LSN73" s="120"/>
      <c r="LSO73" s="120"/>
      <c r="LSP73" s="120"/>
      <c r="LSQ73" s="120"/>
      <c r="LSR73" s="120"/>
      <c r="LSS73" s="120"/>
      <c r="LST73" s="120"/>
      <c r="LSU73" s="120"/>
      <c r="LSV73" s="120"/>
      <c r="LSW73" s="120"/>
      <c r="LSX73" s="120"/>
      <c r="LSY73" s="120"/>
      <c r="LSZ73" s="120"/>
      <c r="LTA73" s="120"/>
      <c r="LTB73" s="120"/>
      <c r="LTC73" s="120"/>
      <c r="LTD73" s="120"/>
      <c r="LTE73" s="120"/>
      <c r="LTF73" s="120"/>
      <c r="LTG73" s="120"/>
      <c r="LTH73" s="120"/>
      <c r="LTI73" s="120"/>
      <c r="LTJ73" s="120"/>
      <c r="LTK73" s="120"/>
      <c r="LTL73" s="120"/>
      <c r="LTM73" s="120"/>
      <c r="LTN73" s="120"/>
      <c r="LTO73" s="120"/>
      <c r="LTP73" s="120"/>
      <c r="LTQ73" s="120"/>
      <c r="LTR73" s="120"/>
      <c r="LTS73" s="120"/>
      <c r="LTT73" s="120"/>
      <c r="LTU73" s="120"/>
      <c r="LTV73" s="120"/>
      <c r="LTW73" s="120"/>
      <c r="LTX73" s="120"/>
      <c r="LTY73" s="120"/>
      <c r="LTZ73" s="120"/>
      <c r="LUA73" s="120"/>
      <c r="LUB73" s="120"/>
      <c r="LUC73" s="120"/>
      <c r="LUD73" s="120"/>
      <c r="LUE73" s="120"/>
      <c r="LUF73" s="120"/>
      <c r="LUG73" s="120"/>
      <c r="LUH73" s="120"/>
      <c r="LUI73" s="120"/>
      <c r="LUJ73" s="120"/>
      <c r="LUK73" s="120"/>
      <c r="LUL73" s="120"/>
      <c r="LUM73" s="120"/>
      <c r="LUN73" s="120"/>
      <c r="LUO73" s="120"/>
      <c r="LUP73" s="120"/>
      <c r="LUQ73" s="120"/>
      <c r="LUR73" s="120"/>
      <c r="LUS73" s="120"/>
      <c r="LUT73" s="120"/>
      <c r="LUU73" s="120"/>
      <c r="LUV73" s="120"/>
      <c r="LUW73" s="120"/>
      <c r="LUX73" s="120"/>
      <c r="LUY73" s="120"/>
      <c r="LUZ73" s="120"/>
      <c r="LVA73" s="120"/>
      <c r="LVB73" s="120"/>
      <c r="LVC73" s="120"/>
      <c r="LVD73" s="120"/>
      <c r="LVE73" s="120"/>
      <c r="LVF73" s="120"/>
      <c r="LVG73" s="120"/>
      <c r="LVH73" s="120"/>
      <c r="LVI73" s="120"/>
      <c r="LVJ73" s="120"/>
      <c r="LVK73" s="120"/>
      <c r="LVL73" s="120"/>
      <c r="LVM73" s="120"/>
      <c r="LVN73" s="120"/>
      <c r="LVO73" s="120"/>
      <c r="LVP73" s="120"/>
      <c r="LVQ73" s="120"/>
      <c r="LVR73" s="120"/>
      <c r="LVS73" s="120"/>
      <c r="LVT73" s="120"/>
      <c r="LVU73" s="120"/>
      <c r="LVV73" s="120"/>
      <c r="LVW73" s="120"/>
      <c r="LVX73" s="120"/>
      <c r="LVY73" s="120"/>
      <c r="LVZ73" s="120"/>
      <c r="LWA73" s="120"/>
      <c r="LWB73" s="120"/>
      <c r="LWC73" s="120"/>
      <c r="LWD73" s="120"/>
      <c r="LWE73" s="120"/>
      <c r="LWF73" s="120"/>
      <c r="LWG73" s="120"/>
      <c r="LWH73" s="120"/>
      <c r="LWI73" s="120"/>
      <c r="LWJ73" s="120"/>
      <c r="LWK73" s="120"/>
      <c r="LWL73" s="120"/>
      <c r="LWM73" s="120"/>
      <c r="LWN73" s="120"/>
      <c r="LWO73" s="120"/>
      <c r="LWP73" s="120"/>
      <c r="LWQ73" s="120"/>
      <c r="LWR73" s="120"/>
      <c r="LWS73" s="120"/>
      <c r="LWT73" s="120"/>
      <c r="LWU73" s="120"/>
      <c r="LWV73" s="120"/>
      <c r="LWW73" s="120"/>
      <c r="LWX73" s="120"/>
      <c r="LWY73" s="120"/>
      <c r="LWZ73" s="120"/>
      <c r="LXA73" s="120"/>
      <c r="LXB73" s="120"/>
      <c r="LXC73" s="120"/>
      <c r="LXD73" s="120"/>
      <c r="LXE73" s="120"/>
      <c r="LXF73" s="120"/>
      <c r="LXG73" s="120"/>
      <c r="LXH73" s="120"/>
      <c r="LXI73" s="120"/>
      <c r="LXJ73" s="120"/>
      <c r="LXK73" s="120"/>
      <c r="LXL73" s="120"/>
      <c r="LXM73" s="120"/>
      <c r="LXN73" s="120"/>
      <c r="LXO73" s="120"/>
      <c r="LXP73" s="120"/>
      <c r="LXQ73" s="120"/>
      <c r="LXR73" s="120"/>
      <c r="LXS73" s="120"/>
      <c r="LXT73" s="120"/>
      <c r="LXU73" s="120"/>
      <c r="LXV73" s="120"/>
      <c r="LXW73" s="120"/>
      <c r="LXX73" s="120"/>
      <c r="LXY73" s="120"/>
      <c r="LXZ73" s="120"/>
      <c r="LYA73" s="120"/>
      <c r="LYB73" s="120"/>
      <c r="LYC73" s="120"/>
      <c r="LYD73" s="120"/>
      <c r="LYE73" s="120"/>
      <c r="LYF73" s="120"/>
      <c r="LYG73" s="120"/>
      <c r="LYH73" s="120"/>
      <c r="LYI73" s="120"/>
      <c r="LYJ73" s="120"/>
      <c r="LYK73" s="120"/>
      <c r="LYL73" s="120"/>
      <c r="LYM73" s="120"/>
      <c r="LYN73" s="120"/>
      <c r="LYO73" s="120"/>
      <c r="LYP73" s="120"/>
      <c r="LYQ73" s="120"/>
      <c r="LYR73" s="120"/>
      <c r="LYS73" s="120"/>
      <c r="LYT73" s="120"/>
      <c r="LYU73" s="120"/>
      <c r="LYV73" s="120"/>
      <c r="LYW73" s="120"/>
      <c r="LYX73" s="120"/>
      <c r="LYY73" s="120"/>
      <c r="LYZ73" s="120"/>
      <c r="LZA73" s="120"/>
      <c r="LZB73" s="120"/>
      <c r="LZC73" s="120"/>
      <c r="LZD73" s="120"/>
      <c r="LZE73" s="120"/>
      <c r="LZF73" s="120"/>
      <c r="LZG73" s="120"/>
      <c r="LZH73" s="120"/>
      <c r="LZI73" s="120"/>
      <c r="LZJ73" s="120"/>
      <c r="LZK73" s="120"/>
      <c r="LZL73" s="120"/>
      <c r="LZM73" s="120"/>
      <c r="LZN73" s="120"/>
      <c r="LZO73" s="120"/>
      <c r="LZP73" s="120"/>
      <c r="LZQ73" s="120"/>
      <c r="LZR73" s="120"/>
      <c r="LZS73" s="120"/>
      <c r="LZT73" s="120"/>
      <c r="LZU73" s="120"/>
      <c r="LZV73" s="120"/>
      <c r="LZW73" s="120"/>
      <c r="LZX73" s="120"/>
      <c r="LZY73" s="120"/>
      <c r="LZZ73" s="120"/>
      <c r="MAA73" s="120"/>
      <c r="MAB73" s="120"/>
      <c r="MAC73" s="120"/>
      <c r="MAD73" s="120"/>
      <c r="MAE73" s="120"/>
      <c r="MAF73" s="120"/>
      <c r="MAG73" s="120"/>
      <c r="MAH73" s="120"/>
      <c r="MAI73" s="120"/>
      <c r="MAJ73" s="120"/>
      <c r="MAK73" s="120"/>
      <c r="MAL73" s="120"/>
      <c r="MAM73" s="120"/>
      <c r="MAN73" s="120"/>
      <c r="MAO73" s="120"/>
      <c r="MAP73" s="120"/>
      <c r="MAQ73" s="120"/>
      <c r="MAR73" s="120"/>
      <c r="MAS73" s="120"/>
      <c r="MAT73" s="120"/>
      <c r="MAU73" s="120"/>
      <c r="MAV73" s="120"/>
      <c r="MAW73" s="120"/>
      <c r="MAX73" s="120"/>
      <c r="MAY73" s="120"/>
      <c r="MAZ73" s="120"/>
      <c r="MBA73" s="120"/>
      <c r="MBB73" s="120"/>
      <c r="MBC73" s="120"/>
      <c r="MBD73" s="120"/>
      <c r="MBE73" s="120"/>
      <c r="MBF73" s="120"/>
      <c r="MBG73" s="120"/>
      <c r="MBH73" s="120"/>
      <c r="MBI73" s="120"/>
      <c r="MBJ73" s="120"/>
      <c r="MBK73" s="120"/>
      <c r="MBL73" s="120"/>
      <c r="MBM73" s="120"/>
      <c r="MBN73" s="120"/>
      <c r="MBO73" s="120"/>
      <c r="MBP73" s="120"/>
      <c r="MBQ73" s="120"/>
      <c r="MBR73" s="120"/>
      <c r="MBS73" s="120"/>
      <c r="MBT73" s="120"/>
      <c r="MBU73" s="120"/>
      <c r="MBV73" s="120"/>
      <c r="MBW73" s="120"/>
      <c r="MBX73" s="120"/>
      <c r="MBY73" s="120"/>
      <c r="MBZ73" s="120"/>
      <c r="MCA73" s="120"/>
      <c r="MCB73" s="120"/>
      <c r="MCC73" s="120"/>
      <c r="MCD73" s="120"/>
      <c r="MCE73" s="120"/>
      <c r="MCF73" s="120"/>
      <c r="MCG73" s="120"/>
      <c r="MCH73" s="120"/>
      <c r="MCI73" s="120"/>
      <c r="MCJ73" s="120"/>
      <c r="MCK73" s="120"/>
      <c r="MCL73" s="120"/>
      <c r="MCM73" s="120"/>
      <c r="MCN73" s="120"/>
      <c r="MCO73" s="120"/>
      <c r="MCP73" s="120"/>
      <c r="MCQ73" s="120"/>
      <c r="MCR73" s="120"/>
      <c r="MCS73" s="120"/>
      <c r="MCT73" s="120"/>
      <c r="MCU73" s="120"/>
      <c r="MCV73" s="120"/>
      <c r="MCW73" s="120"/>
      <c r="MCX73" s="120"/>
      <c r="MCY73" s="120"/>
      <c r="MCZ73" s="120"/>
      <c r="MDA73" s="120"/>
      <c r="MDB73" s="120"/>
      <c r="MDC73" s="120"/>
      <c r="MDD73" s="120"/>
      <c r="MDE73" s="120"/>
      <c r="MDF73" s="120"/>
      <c r="MDG73" s="120"/>
      <c r="MDH73" s="120"/>
      <c r="MDI73" s="120"/>
      <c r="MDJ73" s="120"/>
      <c r="MDK73" s="120"/>
      <c r="MDL73" s="120"/>
      <c r="MDM73" s="120"/>
      <c r="MDN73" s="120"/>
      <c r="MDO73" s="120"/>
      <c r="MDP73" s="120"/>
      <c r="MDQ73" s="120"/>
      <c r="MDR73" s="120"/>
      <c r="MDS73" s="120"/>
      <c r="MDT73" s="120"/>
      <c r="MDU73" s="120"/>
      <c r="MDV73" s="120"/>
      <c r="MDW73" s="120"/>
      <c r="MDX73" s="120"/>
      <c r="MDY73" s="120"/>
      <c r="MDZ73" s="120"/>
      <c r="MEA73" s="120"/>
      <c r="MEB73" s="120"/>
      <c r="MEC73" s="120"/>
      <c r="MED73" s="120"/>
      <c r="MEE73" s="120"/>
      <c r="MEF73" s="120"/>
      <c r="MEG73" s="120"/>
      <c r="MEH73" s="120"/>
      <c r="MEI73" s="120"/>
      <c r="MEJ73" s="120"/>
      <c r="MEK73" s="120"/>
      <c r="MEL73" s="120"/>
      <c r="MEM73" s="120"/>
      <c r="MEN73" s="120"/>
      <c r="MEO73" s="120"/>
      <c r="MEP73" s="120"/>
      <c r="MEQ73" s="120"/>
      <c r="MER73" s="120"/>
      <c r="MES73" s="120"/>
      <c r="MET73" s="120"/>
      <c r="MEU73" s="120"/>
      <c r="MEV73" s="120"/>
      <c r="MEW73" s="120"/>
      <c r="MEX73" s="120"/>
      <c r="MEY73" s="120"/>
      <c r="MEZ73" s="120"/>
      <c r="MFA73" s="120"/>
      <c r="MFB73" s="120"/>
      <c r="MFC73" s="120"/>
      <c r="MFD73" s="120"/>
      <c r="MFE73" s="120"/>
      <c r="MFF73" s="120"/>
      <c r="MFG73" s="120"/>
      <c r="MFH73" s="120"/>
      <c r="MFI73" s="120"/>
      <c r="MFJ73" s="120"/>
      <c r="MFK73" s="120"/>
      <c r="MFL73" s="120"/>
      <c r="MFM73" s="120"/>
      <c r="MFN73" s="120"/>
      <c r="MFO73" s="120"/>
      <c r="MFP73" s="120"/>
      <c r="MFQ73" s="120"/>
      <c r="MFR73" s="120"/>
      <c r="MFS73" s="120"/>
      <c r="MFT73" s="120"/>
      <c r="MFU73" s="120"/>
      <c r="MFV73" s="120"/>
      <c r="MFW73" s="120"/>
      <c r="MFX73" s="120"/>
      <c r="MFY73" s="120"/>
      <c r="MFZ73" s="120"/>
      <c r="MGA73" s="120"/>
      <c r="MGB73" s="120"/>
      <c r="MGC73" s="120"/>
      <c r="MGD73" s="120"/>
      <c r="MGE73" s="120"/>
      <c r="MGF73" s="120"/>
      <c r="MGG73" s="120"/>
      <c r="MGH73" s="120"/>
      <c r="MGI73" s="120"/>
      <c r="MGJ73" s="120"/>
      <c r="MGK73" s="120"/>
      <c r="MGL73" s="120"/>
      <c r="MGM73" s="120"/>
      <c r="MGN73" s="120"/>
      <c r="MGO73" s="120"/>
      <c r="MGP73" s="120"/>
      <c r="MGQ73" s="120"/>
      <c r="MGR73" s="120"/>
      <c r="MGS73" s="120"/>
      <c r="MGT73" s="120"/>
      <c r="MGU73" s="120"/>
      <c r="MGV73" s="120"/>
      <c r="MGW73" s="120"/>
      <c r="MGX73" s="120"/>
      <c r="MGY73" s="120"/>
      <c r="MGZ73" s="120"/>
      <c r="MHA73" s="120"/>
      <c r="MHB73" s="120"/>
      <c r="MHC73" s="120"/>
      <c r="MHD73" s="120"/>
      <c r="MHE73" s="120"/>
      <c r="MHF73" s="120"/>
      <c r="MHG73" s="120"/>
      <c r="MHH73" s="120"/>
      <c r="MHI73" s="120"/>
      <c r="MHJ73" s="120"/>
      <c r="MHK73" s="120"/>
      <c r="MHL73" s="120"/>
      <c r="MHM73" s="120"/>
      <c r="MHN73" s="120"/>
      <c r="MHO73" s="120"/>
      <c r="MHP73" s="120"/>
      <c r="MHQ73" s="120"/>
      <c r="MHR73" s="120"/>
      <c r="MHS73" s="120"/>
      <c r="MHT73" s="120"/>
      <c r="MHU73" s="120"/>
      <c r="MHV73" s="120"/>
      <c r="MHW73" s="120"/>
      <c r="MHX73" s="120"/>
      <c r="MHY73" s="120"/>
      <c r="MHZ73" s="120"/>
      <c r="MIA73" s="120"/>
      <c r="MIB73" s="120"/>
      <c r="MIC73" s="120"/>
      <c r="MID73" s="120"/>
      <c r="MIE73" s="120"/>
      <c r="MIF73" s="120"/>
      <c r="MIG73" s="120"/>
      <c r="MIH73" s="120"/>
      <c r="MII73" s="120"/>
      <c r="MIJ73" s="120"/>
      <c r="MIK73" s="120"/>
      <c r="MIL73" s="120"/>
      <c r="MIM73" s="120"/>
      <c r="MIN73" s="120"/>
      <c r="MIO73" s="120"/>
      <c r="MIP73" s="120"/>
      <c r="MIQ73" s="120"/>
      <c r="MIR73" s="120"/>
      <c r="MIS73" s="120"/>
      <c r="MIT73" s="120"/>
      <c r="MIU73" s="120"/>
      <c r="MIV73" s="120"/>
      <c r="MIW73" s="120"/>
      <c r="MIX73" s="120"/>
      <c r="MIY73" s="120"/>
      <c r="MIZ73" s="120"/>
      <c r="MJA73" s="120"/>
      <c r="MJB73" s="120"/>
      <c r="MJC73" s="120"/>
      <c r="MJD73" s="120"/>
      <c r="MJE73" s="120"/>
      <c r="MJF73" s="120"/>
      <c r="MJG73" s="120"/>
      <c r="MJH73" s="120"/>
      <c r="MJI73" s="120"/>
      <c r="MJJ73" s="120"/>
      <c r="MJK73" s="120"/>
      <c r="MJL73" s="120"/>
      <c r="MJM73" s="120"/>
      <c r="MJN73" s="120"/>
      <c r="MJO73" s="120"/>
      <c r="MJP73" s="120"/>
      <c r="MJQ73" s="120"/>
      <c r="MJR73" s="120"/>
      <c r="MJS73" s="120"/>
      <c r="MJT73" s="120"/>
      <c r="MJU73" s="120"/>
      <c r="MJV73" s="120"/>
      <c r="MJW73" s="120"/>
      <c r="MJX73" s="120"/>
      <c r="MJY73" s="120"/>
      <c r="MJZ73" s="120"/>
      <c r="MKA73" s="120"/>
      <c r="MKB73" s="120"/>
      <c r="MKC73" s="120"/>
      <c r="MKD73" s="120"/>
      <c r="MKE73" s="120"/>
      <c r="MKF73" s="120"/>
      <c r="MKG73" s="120"/>
      <c r="MKH73" s="120"/>
      <c r="MKI73" s="120"/>
      <c r="MKJ73" s="120"/>
      <c r="MKK73" s="120"/>
      <c r="MKL73" s="120"/>
      <c r="MKM73" s="120"/>
      <c r="MKN73" s="120"/>
      <c r="MKO73" s="120"/>
      <c r="MKP73" s="120"/>
      <c r="MKQ73" s="120"/>
      <c r="MKR73" s="120"/>
      <c r="MKS73" s="120"/>
      <c r="MKT73" s="120"/>
      <c r="MKU73" s="120"/>
      <c r="MKV73" s="120"/>
      <c r="MKW73" s="120"/>
      <c r="MKX73" s="120"/>
      <c r="MKY73" s="120"/>
      <c r="MKZ73" s="120"/>
      <c r="MLA73" s="120"/>
      <c r="MLB73" s="120"/>
      <c r="MLC73" s="120"/>
      <c r="MLD73" s="120"/>
      <c r="MLE73" s="120"/>
      <c r="MLF73" s="120"/>
      <c r="MLG73" s="120"/>
      <c r="MLH73" s="120"/>
      <c r="MLI73" s="120"/>
      <c r="MLJ73" s="120"/>
      <c r="MLK73" s="120"/>
      <c r="MLL73" s="120"/>
      <c r="MLM73" s="120"/>
      <c r="MLN73" s="120"/>
      <c r="MLO73" s="120"/>
      <c r="MLP73" s="120"/>
      <c r="MLQ73" s="120"/>
      <c r="MLR73" s="120"/>
      <c r="MLS73" s="120"/>
      <c r="MLT73" s="120"/>
      <c r="MLU73" s="120"/>
      <c r="MLV73" s="120"/>
      <c r="MLW73" s="120"/>
      <c r="MLX73" s="120"/>
      <c r="MLY73" s="120"/>
      <c r="MLZ73" s="120"/>
      <c r="MMA73" s="120"/>
      <c r="MMB73" s="120"/>
      <c r="MMC73" s="120"/>
      <c r="MMD73" s="120"/>
      <c r="MME73" s="120"/>
      <c r="MMF73" s="120"/>
      <c r="MMG73" s="120"/>
      <c r="MMH73" s="120"/>
      <c r="MMI73" s="120"/>
      <c r="MMJ73" s="120"/>
      <c r="MMK73" s="120"/>
      <c r="MML73" s="120"/>
      <c r="MMM73" s="120"/>
      <c r="MMN73" s="120"/>
      <c r="MMO73" s="120"/>
      <c r="MMP73" s="120"/>
      <c r="MMQ73" s="120"/>
      <c r="MMR73" s="120"/>
      <c r="MMS73" s="120"/>
      <c r="MMT73" s="120"/>
      <c r="MMU73" s="120"/>
      <c r="MMV73" s="120"/>
      <c r="MMW73" s="120"/>
      <c r="MMX73" s="120"/>
      <c r="MMY73" s="120"/>
      <c r="MMZ73" s="120"/>
      <c r="MNA73" s="120"/>
      <c r="MNB73" s="120"/>
      <c r="MNC73" s="120"/>
      <c r="MND73" s="120"/>
      <c r="MNE73" s="120"/>
      <c r="MNF73" s="120"/>
      <c r="MNG73" s="120"/>
      <c r="MNH73" s="120"/>
      <c r="MNI73" s="120"/>
      <c r="MNJ73" s="120"/>
      <c r="MNK73" s="120"/>
      <c r="MNL73" s="120"/>
      <c r="MNM73" s="120"/>
      <c r="MNN73" s="120"/>
      <c r="MNO73" s="120"/>
      <c r="MNP73" s="120"/>
      <c r="MNQ73" s="120"/>
      <c r="MNR73" s="120"/>
      <c r="MNS73" s="120"/>
      <c r="MNT73" s="120"/>
      <c r="MNU73" s="120"/>
      <c r="MNV73" s="120"/>
      <c r="MNW73" s="120"/>
      <c r="MNX73" s="120"/>
      <c r="MNY73" s="120"/>
      <c r="MNZ73" s="120"/>
      <c r="MOA73" s="120"/>
      <c r="MOB73" s="120"/>
      <c r="MOC73" s="120"/>
      <c r="MOD73" s="120"/>
      <c r="MOE73" s="120"/>
      <c r="MOF73" s="120"/>
      <c r="MOG73" s="120"/>
      <c r="MOH73" s="120"/>
      <c r="MOI73" s="120"/>
      <c r="MOJ73" s="120"/>
      <c r="MOK73" s="120"/>
      <c r="MOL73" s="120"/>
      <c r="MOM73" s="120"/>
      <c r="MON73" s="120"/>
      <c r="MOO73" s="120"/>
      <c r="MOP73" s="120"/>
      <c r="MOQ73" s="120"/>
      <c r="MOR73" s="120"/>
      <c r="MOS73" s="120"/>
      <c r="MOT73" s="120"/>
      <c r="MOU73" s="120"/>
      <c r="MOV73" s="120"/>
      <c r="MOW73" s="120"/>
      <c r="MOX73" s="120"/>
      <c r="MOY73" s="120"/>
      <c r="MOZ73" s="120"/>
      <c r="MPA73" s="120"/>
      <c r="MPB73" s="120"/>
      <c r="MPC73" s="120"/>
      <c r="MPD73" s="120"/>
      <c r="MPE73" s="120"/>
      <c r="MPF73" s="120"/>
      <c r="MPG73" s="120"/>
      <c r="MPH73" s="120"/>
      <c r="MPI73" s="120"/>
      <c r="MPJ73" s="120"/>
      <c r="MPK73" s="120"/>
      <c r="MPL73" s="120"/>
      <c r="MPM73" s="120"/>
      <c r="MPN73" s="120"/>
      <c r="MPO73" s="120"/>
      <c r="MPP73" s="120"/>
      <c r="MPQ73" s="120"/>
      <c r="MPR73" s="120"/>
      <c r="MPS73" s="120"/>
      <c r="MPT73" s="120"/>
      <c r="MPU73" s="120"/>
      <c r="MPV73" s="120"/>
      <c r="MPW73" s="120"/>
      <c r="MPX73" s="120"/>
      <c r="MPY73" s="120"/>
      <c r="MPZ73" s="120"/>
      <c r="MQA73" s="120"/>
      <c r="MQB73" s="120"/>
      <c r="MQC73" s="120"/>
      <c r="MQD73" s="120"/>
      <c r="MQE73" s="120"/>
      <c r="MQF73" s="120"/>
      <c r="MQG73" s="120"/>
      <c r="MQH73" s="120"/>
      <c r="MQI73" s="120"/>
      <c r="MQJ73" s="120"/>
      <c r="MQK73" s="120"/>
      <c r="MQL73" s="120"/>
      <c r="MQM73" s="120"/>
      <c r="MQN73" s="120"/>
      <c r="MQO73" s="120"/>
      <c r="MQP73" s="120"/>
      <c r="MQQ73" s="120"/>
      <c r="MQR73" s="120"/>
      <c r="MQS73" s="120"/>
      <c r="MQT73" s="120"/>
      <c r="MQU73" s="120"/>
      <c r="MQV73" s="120"/>
      <c r="MQW73" s="120"/>
      <c r="MQX73" s="120"/>
      <c r="MQY73" s="120"/>
      <c r="MQZ73" s="120"/>
      <c r="MRA73" s="120"/>
      <c r="MRB73" s="120"/>
      <c r="MRC73" s="120"/>
      <c r="MRD73" s="120"/>
      <c r="MRE73" s="120"/>
      <c r="MRF73" s="120"/>
      <c r="MRG73" s="120"/>
      <c r="MRH73" s="120"/>
      <c r="MRI73" s="120"/>
      <c r="MRJ73" s="120"/>
      <c r="MRK73" s="120"/>
      <c r="MRL73" s="120"/>
      <c r="MRM73" s="120"/>
      <c r="MRN73" s="120"/>
      <c r="MRO73" s="120"/>
      <c r="MRP73" s="120"/>
      <c r="MRQ73" s="120"/>
      <c r="MRR73" s="120"/>
      <c r="MRS73" s="120"/>
      <c r="MRT73" s="120"/>
      <c r="MRU73" s="120"/>
      <c r="MRV73" s="120"/>
      <c r="MRW73" s="120"/>
      <c r="MRX73" s="120"/>
      <c r="MRY73" s="120"/>
      <c r="MRZ73" s="120"/>
      <c r="MSA73" s="120"/>
      <c r="MSB73" s="120"/>
      <c r="MSC73" s="120"/>
      <c r="MSD73" s="120"/>
      <c r="MSE73" s="120"/>
      <c r="MSF73" s="120"/>
      <c r="MSG73" s="120"/>
      <c r="MSH73" s="120"/>
      <c r="MSI73" s="120"/>
      <c r="MSJ73" s="120"/>
      <c r="MSK73" s="120"/>
      <c r="MSL73" s="120"/>
      <c r="MSM73" s="120"/>
      <c r="MSN73" s="120"/>
      <c r="MSO73" s="120"/>
      <c r="MSP73" s="120"/>
      <c r="MSQ73" s="120"/>
      <c r="MSR73" s="120"/>
      <c r="MSS73" s="120"/>
      <c r="MST73" s="120"/>
      <c r="MSU73" s="120"/>
      <c r="MSV73" s="120"/>
      <c r="MSW73" s="120"/>
      <c r="MSX73" s="120"/>
      <c r="MSY73" s="120"/>
      <c r="MSZ73" s="120"/>
      <c r="MTA73" s="120"/>
      <c r="MTB73" s="120"/>
      <c r="MTC73" s="120"/>
      <c r="MTD73" s="120"/>
      <c r="MTE73" s="120"/>
      <c r="MTF73" s="120"/>
      <c r="MTG73" s="120"/>
      <c r="MTH73" s="120"/>
      <c r="MTI73" s="120"/>
      <c r="MTJ73" s="120"/>
      <c r="MTK73" s="120"/>
      <c r="MTL73" s="120"/>
      <c r="MTM73" s="120"/>
      <c r="MTN73" s="120"/>
      <c r="MTO73" s="120"/>
      <c r="MTP73" s="120"/>
      <c r="MTQ73" s="120"/>
      <c r="MTR73" s="120"/>
      <c r="MTS73" s="120"/>
      <c r="MTT73" s="120"/>
      <c r="MTU73" s="120"/>
      <c r="MTV73" s="120"/>
      <c r="MTW73" s="120"/>
      <c r="MTX73" s="120"/>
      <c r="MTY73" s="120"/>
      <c r="MTZ73" s="120"/>
      <c r="MUA73" s="120"/>
      <c r="MUB73" s="120"/>
      <c r="MUC73" s="120"/>
      <c r="MUD73" s="120"/>
      <c r="MUE73" s="120"/>
      <c r="MUF73" s="120"/>
      <c r="MUG73" s="120"/>
      <c r="MUH73" s="120"/>
      <c r="MUI73" s="120"/>
      <c r="MUJ73" s="120"/>
      <c r="MUK73" s="120"/>
      <c r="MUL73" s="120"/>
      <c r="MUM73" s="120"/>
      <c r="MUN73" s="120"/>
      <c r="MUO73" s="120"/>
      <c r="MUP73" s="120"/>
      <c r="MUQ73" s="120"/>
      <c r="MUR73" s="120"/>
      <c r="MUS73" s="120"/>
      <c r="MUT73" s="120"/>
      <c r="MUU73" s="120"/>
      <c r="MUV73" s="120"/>
      <c r="MUW73" s="120"/>
      <c r="MUX73" s="120"/>
      <c r="MUY73" s="120"/>
      <c r="MUZ73" s="120"/>
      <c r="MVA73" s="120"/>
      <c r="MVB73" s="120"/>
      <c r="MVC73" s="120"/>
      <c r="MVD73" s="120"/>
      <c r="MVE73" s="120"/>
      <c r="MVF73" s="120"/>
      <c r="MVG73" s="120"/>
      <c r="MVH73" s="120"/>
      <c r="MVI73" s="120"/>
      <c r="MVJ73" s="120"/>
      <c r="MVK73" s="120"/>
      <c r="MVL73" s="120"/>
      <c r="MVM73" s="120"/>
      <c r="MVN73" s="120"/>
      <c r="MVO73" s="120"/>
      <c r="MVP73" s="120"/>
      <c r="MVQ73" s="120"/>
      <c r="MVR73" s="120"/>
      <c r="MVS73" s="120"/>
      <c r="MVT73" s="120"/>
      <c r="MVU73" s="120"/>
      <c r="MVV73" s="120"/>
      <c r="MVW73" s="120"/>
      <c r="MVX73" s="120"/>
      <c r="MVY73" s="120"/>
      <c r="MVZ73" s="120"/>
      <c r="MWA73" s="120"/>
      <c r="MWB73" s="120"/>
      <c r="MWC73" s="120"/>
      <c r="MWD73" s="120"/>
      <c r="MWE73" s="120"/>
      <c r="MWF73" s="120"/>
      <c r="MWG73" s="120"/>
      <c r="MWH73" s="120"/>
      <c r="MWI73" s="120"/>
      <c r="MWJ73" s="120"/>
      <c r="MWK73" s="120"/>
      <c r="MWL73" s="120"/>
      <c r="MWM73" s="120"/>
      <c r="MWN73" s="120"/>
      <c r="MWO73" s="120"/>
      <c r="MWP73" s="120"/>
      <c r="MWQ73" s="120"/>
      <c r="MWR73" s="120"/>
      <c r="MWS73" s="120"/>
      <c r="MWT73" s="120"/>
      <c r="MWU73" s="120"/>
      <c r="MWV73" s="120"/>
      <c r="MWW73" s="120"/>
      <c r="MWX73" s="120"/>
      <c r="MWY73" s="120"/>
      <c r="MWZ73" s="120"/>
      <c r="MXA73" s="120"/>
      <c r="MXB73" s="120"/>
      <c r="MXC73" s="120"/>
      <c r="MXD73" s="120"/>
      <c r="MXE73" s="120"/>
      <c r="MXF73" s="120"/>
      <c r="MXG73" s="120"/>
      <c r="MXH73" s="120"/>
      <c r="MXI73" s="120"/>
      <c r="MXJ73" s="120"/>
      <c r="MXK73" s="120"/>
      <c r="MXL73" s="120"/>
      <c r="MXM73" s="120"/>
      <c r="MXN73" s="120"/>
      <c r="MXO73" s="120"/>
      <c r="MXP73" s="120"/>
      <c r="MXQ73" s="120"/>
      <c r="MXR73" s="120"/>
      <c r="MXS73" s="120"/>
      <c r="MXT73" s="120"/>
      <c r="MXU73" s="120"/>
      <c r="MXV73" s="120"/>
      <c r="MXW73" s="120"/>
      <c r="MXX73" s="120"/>
      <c r="MXY73" s="120"/>
      <c r="MXZ73" s="120"/>
      <c r="MYA73" s="120"/>
      <c r="MYB73" s="120"/>
      <c r="MYC73" s="120"/>
      <c r="MYD73" s="120"/>
      <c r="MYE73" s="120"/>
      <c r="MYF73" s="120"/>
      <c r="MYG73" s="120"/>
      <c r="MYH73" s="120"/>
      <c r="MYI73" s="120"/>
      <c r="MYJ73" s="120"/>
      <c r="MYK73" s="120"/>
      <c r="MYL73" s="120"/>
      <c r="MYM73" s="120"/>
      <c r="MYN73" s="120"/>
      <c r="MYO73" s="120"/>
      <c r="MYP73" s="120"/>
      <c r="MYQ73" s="120"/>
      <c r="MYR73" s="120"/>
      <c r="MYS73" s="120"/>
      <c r="MYT73" s="120"/>
      <c r="MYU73" s="120"/>
      <c r="MYV73" s="120"/>
      <c r="MYW73" s="120"/>
      <c r="MYX73" s="120"/>
      <c r="MYY73" s="120"/>
      <c r="MYZ73" s="120"/>
      <c r="MZA73" s="120"/>
      <c r="MZB73" s="120"/>
      <c r="MZC73" s="120"/>
      <c r="MZD73" s="120"/>
      <c r="MZE73" s="120"/>
      <c r="MZF73" s="120"/>
      <c r="MZG73" s="120"/>
      <c r="MZH73" s="120"/>
      <c r="MZI73" s="120"/>
      <c r="MZJ73" s="120"/>
      <c r="MZK73" s="120"/>
      <c r="MZL73" s="120"/>
      <c r="MZM73" s="120"/>
      <c r="MZN73" s="120"/>
      <c r="MZO73" s="120"/>
      <c r="MZP73" s="120"/>
      <c r="MZQ73" s="120"/>
      <c r="MZR73" s="120"/>
      <c r="MZS73" s="120"/>
      <c r="MZT73" s="120"/>
      <c r="MZU73" s="120"/>
      <c r="MZV73" s="120"/>
      <c r="MZW73" s="120"/>
      <c r="MZX73" s="120"/>
      <c r="MZY73" s="120"/>
      <c r="MZZ73" s="120"/>
      <c r="NAA73" s="120"/>
      <c r="NAB73" s="120"/>
      <c r="NAC73" s="120"/>
      <c r="NAD73" s="120"/>
      <c r="NAE73" s="120"/>
      <c r="NAF73" s="120"/>
      <c r="NAG73" s="120"/>
      <c r="NAH73" s="120"/>
      <c r="NAI73" s="120"/>
      <c r="NAJ73" s="120"/>
      <c r="NAK73" s="120"/>
      <c r="NAL73" s="120"/>
      <c r="NAM73" s="120"/>
      <c r="NAN73" s="120"/>
      <c r="NAO73" s="120"/>
      <c r="NAP73" s="120"/>
      <c r="NAQ73" s="120"/>
      <c r="NAR73" s="120"/>
      <c r="NAS73" s="120"/>
      <c r="NAT73" s="120"/>
      <c r="NAU73" s="120"/>
      <c r="NAV73" s="120"/>
      <c r="NAW73" s="120"/>
      <c r="NAX73" s="120"/>
      <c r="NAY73" s="120"/>
      <c r="NAZ73" s="120"/>
      <c r="NBA73" s="120"/>
      <c r="NBB73" s="120"/>
      <c r="NBC73" s="120"/>
      <c r="NBD73" s="120"/>
      <c r="NBE73" s="120"/>
      <c r="NBF73" s="120"/>
      <c r="NBG73" s="120"/>
      <c r="NBH73" s="120"/>
      <c r="NBI73" s="120"/>
      <c r="NBJ73" s="120"/>
      <c r="NBK73" s="120"/>
      <c r="NBL73" s="120"/>
      <c r="NBM73" s="120"/>
      <c r="NBN73" s="120"/>
      <c r="NBO73" s="120"/>
      <c r="NBP73" s="120"/>
      <c r="NBQ73" s="120"/>
      <c r="NBR73" s="120"/>
      <c r="NBS73" s="120"/>
      <c r="NBT73" s="120"/>
      <c r="NBU73" s="120"/>
      <c r="NBV73" s="120"/>
      <c r="NBW73" s="120"/>
      <c r="NBX73" s="120"/>
      <c r="NBY73" s="120"/>
      <c r="NBZ73" s="120"/>
      <c r="NCA73" s="120"/>
      <c r="NCB73" s="120"/>
      <c r="NCC73" s="120"/>
      <c r="NCD73" s="120"/>
      <c r="NCE73" s="120"/>
      <c r="NCF73" s="120"/>
      <c r="NCG73" s="120"/>
      <c r="NCH73" s="120"/>
      <c r="NCI73" s="120"/>
      <c r="NCJ73" s="120"/>
      <c r="NCK73" s="120"/>
      <c r="NCL73" s="120"/>
      <c r="NCM73" s="120"/>
      <c r="NCN73" s="120"/>
      <c r="NCO73" s="120"/>
      <c r="NCP73" s="120"/>
      <c r="NCQ73" s="120"/>
      <c r="NCR73" s="120"/>
      <c r="NCS73" s="120"/>
      <c r="NCT73" s="120"/>
      <c r="NCU73" s="120"/>
      <c r="NCV73" s="120"/>
      <c r="NCW73" s="120"/>
      <c r="NCX73" s="120"/>
      <c r="NCY73" s="120"/>
      <c r="NCZ73" s="120"/>
      <c r="NDA73" s="120"/>
      <c r="NDB73" s="120"/>
      <c r="NDC73" s="120"/>
      <c r="NDD73" s="120"/>
      <c r="NDE73" s="120"/>
      <c r="NDF73" s="120"/>
      <c r="NDG73" s="120"/>
      <c r="NDH73" s="120"/>
      <c r="NDI73" s="120"/>
      <c r="NDJ73" s="120"/>
      <c r="NDK73" s="120"/>
      <c r="NDL73" s="120"/>
      <c r="NDM73" s="120"/>
      <c r="NDN73" s="120"/>
      <c r="NDO73" s="120"/>
      <c r="NDP73" s="120"/>
      <c r="NDQ73" s="120"/>
      <c r="NDR73" s="120"/>
      <c r="NDS73" s="120"/>
      <c r="NDT73" s="120"/>
      <c r="NDU73" s="120"/>
      <c r="NDV73" s="120"/>
      <c r="NDW73" s="120"/>
      <c r="NDX73" s="120"/>
      <c r="NDY73" s="120"/>
      <c r="NDZ73" s="120"/>
      <c r="NEA73" s="120"/>
      <c r="NEB73" s="120"/>
      <c r="NEC73" s="120"/>
      <c r="NED73" s="120"/>
      <c r="NEE73" s="120"/>
      <c r="NEF73" s="120"/>
      <c r="NEG73" s="120"/>
      <c r="NEH73" s="120"/>
      <c r="NEI73" s="120"/>
      <c r="NEJ73" s="120"/>
      <c r="NEK73" s="120"/>
      <c r="NEL73" s="120"/>
      <c r="NEM73" s="120"/>
      <c r="NEN73" s="120"/>
      <c r="NEO73" s="120"/>
      <c r="NEP73" s="120"/>
      <c r="NEQ73" s="120"/>
      <c r="NER73" s="120"/>
      <c r="NES73" s="120"/>
      <c r="NET73" s="120"/>
      <c r="NEU73" s="120"/>
      <c r="NEV73" s="120"/>
      <c r="NEW73" s="120"/>
      <c r="NEX73" s="120"/>
      <c r="NEY73" s="120"/>
      <c r="NEZ73" s="120"/>
      <c r="NFA73" s="120"/>
      <c r="NFB73" s="120"/>
      <c r="NFC73" s="120"/>
      <c r="NFD73" s="120"/>
      <c r="NFE73" s="120"/>
      <c r="NFF73" s="120"/>
      <c r="NFG73" s="120"/>
      <c r="NFH73" s="120"/>
      <c r="NFI73" s="120"/>
      <c r="NFJ73" s="120"/>
      <c r="NFK73" s="120"/>
      <c r="NFL73" s="120"/>
      <c r="NFM73" s="120"/>
      <c r="NFN73" s="120"/>
      <c r="NFO73" s="120"/>
      <c r="NFP73" s="120"/>
      <c r="NFQ73" s="120"/>
      <c r="NFR73" s="120"/>
      <c r="NFS73" s="120"/>
      <c r="NFT73" s="120"/>
      <c r="NFU73" s="120"/>
      <c r="NFV73" s="120"/>
      <c r="NFW73" s="120"/>
      <c r="NFX73" s="120"/>
      <c r="NFY73" s="120"/>
      <c r="NFZ73" s="120"/>
      <c r="NGA73" s="120"/>
      <c r="NGB73" s="120"/>
      <c r="NGC73" s="120"/>
      <c r="NGD73" s="120"/>
      <c r="NGE73" s="120"/>
      <c r="NGF73" s="120"/>
      <c r="NGG73" s="120"/>
      <c r="NGH73" s="120"/>
      <c r="NGI73" s="120"/>
      <c r="NGJ73" s="120"/>
      <c r="NGK73" s="120"/>
      <c r="NGL73" s="120"/>
      <c r="NGM73" s="120"/>
      <c r="NGN73" s="120"/>
      <c r="NGO73" s="120"/>
      <c r="NGP73" s="120"/>
      <c r="NGQ73" s="120"/>
      <c r="NGR73" s="120"/>
      <c r="NGS73" s="120"/>
      <c r="NGT73" s="120"/>
      <c r="NGU73" s="120"/>
      <c r="NGV73" s="120"/>
      <c r="NGW73" s="120"/>
      <c r="NGX73" s="120"/>
      <c r="NGY73" s="120"/>
      <c r="NGZ73" s="120"/>
      <c r="NHA73" s="120"/>
      <c r="NHB73" s="120"/>
      <c r="NHC73" s="120"/>
      <c r="NHD73" s="120"/>
      <c r="NHE73" s="120"/>
      <c r="NHF73" s="120"/>
      <c r="NHG73" s="120"/>
      <c r="NHH73" s="120"/>
      <c r="NHI73" s="120"/>
      <c r="NHJ73" s="120"/>
      <c r="NHK73" s="120"/>
      <c r="NHL73" s="120"/>
      <c r="NHM73" s="120"/>
      <c r="NHN73" s="120"/>
      <c r="NHO73" s="120"/>
      <c r="NHP73" s="120"/>
      <c r="NHQ73" s="120"/>
      <c r="NHR73" s="120"/>
      <c r="NHS73" s="120"/>
      <c r="NHT73" s="120"/>
      <c r="NHU73" s="120"/>
      <c r="NHV73" s="120"/>
      <c r="NHW73" s="120"/>
      <c r="NHX73" s="120"/>
      <c r="NHY73" s="120"/>
      <c r="NHZ73" s="120"/>
      <c r="NIA73" s="120"/>
      <c r="NIB73" s="120"/>
      <c r="NIC73" s="120"/>
      <c r="NID73" s="120"/>
      <c r="NIE73" s="120"/>
      <c r="NIF73" s="120"/>
      <c r="NIG73" s="120"/>
      <c r="NIH73" s="120"/>
      <c r="NII73" s="120"/>
      <c r="NIJ73" s="120"/>
      <c r="NIK73" s="120"/>
      <c r="NIL73" s="120"/>
      <c r="NIM73" s="120"/>
      <c r="NIN73" s="120"/>
      <c r="NIO73" s="120"/>
      <c r="NIP73" s="120"/>
      <c r="NIQ73" s="120"/>
      <c r="NIR73" s="120"/>
      <c r="NIS73" s="120"/>
      <c r="NIT73" s="120"/>
      <c r="NIU73" s="120"/>
      <c r="NIV73" s="120"/>
      <c r="NIW73" s="120"/>
      <c r="NIX73" s="120"/>
      <c r="NIY73" s="120"/>
      <c r="NIZ73" s="120"/>
      <c r="NJA73" s="120"/>
      <c r="NJB73" s="120"/>
      <c r="NJC73" s="120"/>
      <c r="NJD73" s="120"/>
      <c r="NJE73" s="120"/>
      <c r="NJF73" s="120"/>
      <c r="NJG73" s="120"/>
      <c r="NJH73" s="120"/>
      <c r="NJI73" s="120"/>
      <c r="NJJ73" s="120"/>
      <c r="NJK73" s="120"/>
      <c r="NJL73" s="120"/>
      <c r="NJM73" s="120"/>
      <c r="NJN73" s="120"/>
      <c r="NJO73" s="120"/>
      <c r="NJP73" s="120"/>
      <c r="NJQ73" s="120"/>
      <c r="NJR73" s="120"/>
      <c r="NJS73" s="120"/>
      <c r="NJT73" s="120"/>
      <c r="NJU73" s="120"/>
      <c r="NJV73" s="120"/>
      <c r="NJW73" s="120"/>
      <c r="NJX73" s="120"/>
      <c r="NJY73" s="120"/>
      <c r="NJZ73" s="120"/>
      <c r="NKA73" s="120"/>
      <c r="NKB73" s="120"/>
      <c r="NKC73" s="120"/>
      <c r="NKD73" s="120"/>
      <c r="NKE73" s="120"/>
      <c r="NKF73" s="120"/>
      <c r="NKG73" s="120"/>
      <c r="NKH73" s="120"/>
      <c r="NKI73" s="120"/>
      <c r="NKJ73" s="120"/>
      <c r="NKK73" s="120"/>
      <c r="NKL73" s="120"/>
      <c r="NKM73" s="120"/>
      <c r="NKN73" s="120"/>
      <c r="NKO73" s="120"/>
      <c r="NKP73" s="120"/>
      <c r="NKQ73" s="120"/>
      <c r="NKR73" s="120"/>
      <c r="NKS73" s="120"/>
      <c r="NKT73" s="120"/>
      <c r="NKU73" s="120"/>
      <c r="NKV73" s="120"/>
      <c r="NKW73" s="120"/>
      <c r="NKX73" s="120"/>
      <c r="NKY73" s="120"/>
      <c r="NKZ73" s="120"/>
      <c r="NLA73" s="120"/>
      <c r="NLB73" s="120"/>
      <c r="NLC73" s="120"/>
      <c r="NLD73" s="120"/>
      <c r="NLE73" s="120"/>
      <c r="NLF73" s="120"/>
      <c r="NLG73" s="120"/>
      <c r="NLH73" s="120"/>
      <c r="NLI73" s="120"/>
      <c r="NLJ73" s="120"/>
      <c r="NLK73" s="120"/>
      <c r="NLL73" s="120"/>
      <c r="NLM73" s="120"/>
      <c r="NLN73" s="120"/>
      <c r="NLO73" s="120"/>
      <c r="NLP73" s="120"/>
      <c r="NLQ73" s="120"/>
      <c r="NLR73" s="120"/>
      <c r="NLS73" s="120"/>
      <c r="NLT73" s="120"/>
      <c r="NLU73" s="120"/>
      <c r="NLV73" s="120"/>
      <c r="NLW73" s="120"/>
      <c r="NLX73" s="120"/>
      <c r="NLY73" s="120"/>
      <c r="NLZ73" s="120"/>
      <c r="NMA73" s="120"/>
      <c r="NMB73" s="120"/>
      <c r="NMC73" s="120"/>
      <c r="NMD73" s="120"/>
      <c r="NME73" s="120"/>
      <c r="NMF73" s="120"/>
      <c r="NMG73" s="120"/>
      <c r="NMH73" s="120"/>
      <c r="NMI73" s="120"/>
      <c r="NMJ73" s="120"/>
      <c r="NMK73" s="120"/>
      <c r="NML73" s="120"/>
      <c r="NMM73" s="120"/>
      <c r="NMN73" s="120"/>
      <c r="NMO73" s="120"/>
      <c r="NMP73" s="120"/>
      <c r="NMQ73" s="120"/>
      <c r="NMR73" s="120"/>
      <c r="NMS73" s="120"/>
      <c r="NMT73" s="120"/>
      <c r="NMU73" s="120"/>
      <c r="NMV73" s="120"/>
      <c r="NMW73" s="120"/>
      <c r="NMX73" s="120"/>
      <c r="NMY73" s="120"/>
      <c r="NMZ73" s="120"/>
      <c r="NNA73" s="120"/>
      <c r="NNB73" s="120"/>
      <c r="NNC73" s="120"/>
      <c r="NND73" s="120"/>
      <c r="NNE73" s="120"/>
      <c r="NNF73" s="120"/>
      <c r="NNG73" s="120"/>
      <c r="NNH73" s="120"/>
      <c r="NNI73" s="120"/>
      <c r="NNJ73" s="120"/>
      <c r="NNK73" s="120"/>
      <c r="NNL73" s="120"/>
      <c r="NNM73" s="120"/>
      <c r="NNN73" s="120"/>
      <c r="NNO73" s="120"/>
      <c r="NNP73" s="120"/>
      <c r="NNQ73" s="120"/>
      <c r="NNR73" s="120"/>
      <c r="NNS73" s="120"/>
      <c r="NNT73" s="120"/>
      <c r="NNU73" s="120"/>
      <c r="NNV73" s="120"/>
      <c r="NNW73" s="120"/>
      <c r="NNX73" s="120"/>
      <c r="NNY73" s="120"/>
      <c r="NNZ73" s="120"/>
      <c r="NOA73" s="120"/>
      <c r="NOB73" s="120"/>
      <c r="NOC73" s="120"/>
      <c r="NOD73" s="120"/>
      <c r="NOE73" s="120"/>
      <c r="NOF73" s="120"/>
      <c r="NOG73" s="120"/>
      <c r="NOH73" s="120"/>
      <c r="NOI73" s="120"/>
      <c r="NOJ73" s="120"/>
      <c r="NOK73" s="120"/>
      <c r="NOL73" s="120"/>
      <c r="NOM73" s="120"/>
      <c r="NON73" s="120"/>
      <c r="NOO73" s="120"/>
      <c r="NOP73" s="120"/>
      <c r="NOQ73" s="120"/>
      <c r="NOR73" s="120"/>
      <c r="NOS73" s="120"/>
      <c r="NOT73" s="120"/>
      <c r="NOU73" s="120"/>
      <c r="NOV73" s="120"/>
      <c r="NOW73" s="120"/>
      <c r="NOX73" s="120"/>
      <c r="NOY73" s="120"/>
      <c r="NOZ73" s="120"/>
      <c r="NPA73" s="120"/>
      <c r="NPB73" s="120"/>
      <c r="NPC73" s="120"/>
      <c r="NPD73" s="120"/>
      <c r="NPE73" s="120"/>
      <c r="NPF73" s="120"/>
      <c r="NPG73" s="120"/>
      <c r="NPH73" s="120"/>
      <c r="NPI73" s="120"/>
      <c r="NPJ73" s="120"/>
      <c r="NPK73" s="120"/>
      <c r="NPL73" s="120"/>
      <c r="NPM73" s="120"/>
      <c r="NPN73" s="120"/>
      <c r="NPO73" s="120"/>
      <c r="NPP73" s="120"/>
      <c r="NPQ73" s="120"/>
      <c r="NPR73" s="120"/>
      <c r="NPS73" s="120"/>
      <c r="NPT73" s="120"/>
      <c r="NPU73" s="120"/>
      <c r="NPV73" s="120"/>
      <c r="NPW73" s="120"/>
      <c r="NPX73" s="120"/>
      <c r="NPY73" s="120"/>
      <c r="NPZ73" s="120"/>
      <c r="NQA73" s="120"/>
      <c r="NQB73" s="120"/>
      <c r="NQC73" s="120"/>
      <c r="NQD73" s="120"/>
      <c r="NQE73" s="120"/>
      <c r="NQF73" s="120"/>
      <c r="NQG73" s="120"/>
      <c r="NQH73" s="120"/>
      <c r="NQI73" s="120"/>
      <c r="NQJ73" s="120"/>
      <c r="NQK73" s="120"/>
      <c r="NQL73" s="120"/>
      <c r="NQM73" s="120"/>
      <c r="NQN73" s="120"/>
      <c r="NQO73" s="120"/>
      <c r="NQP73" s="120"/>
      <c r="NQQ73" s="120"/>
      <c r="NQR73" s="120"/>
      <c r="NQS73" s="120"/>
      <c r="NQT73" s="120"/>
      <c r="NQU73" s="120"/>
      <c r="NQV73" s="120"/>
      <c r="NQW73" s="120"/>
      <c r="NQX73" s="120"/>
      <c r="NQY73" s="120"/>
      <c r="NQZ73" s="120"/>
      <c r="NRA73" s="120"/>
      <c r="NRB73" s="120"/>
      <c r="NRC73" s="120"/>
      <c r="NRD73" s="120"/>
      <c r="NRE73" s="120"/>
      <c r="NRF73" s="120"/>
      <c r="NRG73" s="120"/>
      <c r="NRH73" s="120"/>
      <c r="NRI73" s="120"/>
      <c r="NRJ73" s="120"/>
      <c r="NRK73" s="120"/>
      <c r="NRL73" s="120"/>
      <c r="NRM73" s="120"/>
      <c r="NRN73" s="120"/>
      <c r="NRO73" s="120"/>
      <c r="NRP73" s="120"/>
      <c r="NRQ73" s="120"/>
      <c r="NRR73" s="120"/>
      <c r="NRS73" s="120"/>
      <c r="NRT73" s="120"/>
      <c r="NRU73" s="120"/>
      <c r="NRV73" s="120"/>
      <c r="NRW73" s="120"/>
      <c r="NRX73" s="120"/>
      <c r="NRY73" s="120"/>
      <c r="NRZ73" s="120"/>
      <c r="NSA73" s="120"/>
      <c r="NSB73" s="120"/>
      <c r="NSC73" s="120"/>
      <c r="NSD73" s="120"/>
      <c r="NSE73" s="120"/>
      <c r="NSF73" s="120"/>
      <c r="NSG73" s="120"/>
      <c r="NSH73" s="120"/>
      <c r="NSI73" s="120"/>
      <c r="NSJ73" s="120"/>
      <c r="NSK73" s="120"/>
      <c r="NSL73" s="120"/>
      <c r="NSM73" s="120"/>
      <c r="NSN73" s="120"/>
      <c r="NSO73" s="120"/>
      <c r="NSP73" s="120"/>
      <c r="NSQ73" s="120"/>
      <c r="NSR73" s="120"/>
      <c r="NSS73" s="120"/>
      <c r="NST73" s="120"/>
      <c r="NSU73" s="120"/>
      <c r="NSV73" s="120"/>
      <c r="NSW73" s="120"/>
      <c r="NSX73" s="120"/>
      <c r="NSY73" s="120"/>
      <c r="NSZ73" s="120"/>
      <c r="NTA73" s="120"/>
      <c r="NTB73" s="120"/>
      <c r="NTC73" s="120"/>
      <c r="NTD73" s="120"/>
      <c r="NTE73" s="120"/>
      <c r="NTF73" s="120"/>
      <c r="NTG73" s="120"/>
      <c r="NTH73" s="120"/>
      <c r="NTI73" s="120"/>
      <c r="NTJ73" s="120"/>
      <c r="NTK73" s="120"/>
      <c r="NTL73" s="120"/>
      <c r="NTM73" s="120"/>
      <c r="NTN73" s="120"/>
      <c r="NTO73" s="120"/>
      <c r="NTP73" s="120"/>
      <c r="NTQ73" s="120"/>
      <c r="NTR73" s="120"/>
      <c r="NTS73" s="120"/>
      <c r="NTT73" s="120"/>
      <c r="NTU73" s="120"/>
      <c r="NTV73" s="120"/>
      <c r="NTW73" s="120"/>
      <c r="NTX73" s="120"/>
      <c r="NTY73" s="120"/>
      <c r="NTZ73" s="120"/>
      <c r="NUA73" s="120"/>
      <c r="NUB73" s="120"/>
      <c r="NUC73" s="120"/>
      <c r="NUD73" s="120"/>
      <c r="NUE73" s="120"/>
      <c r="NUF73" s="120"/>
      <c r="NUG73" s="120"/>
      <c r="NUH73" s="120"/>
      <c r="NUI73" s="120"/>
      <c r="NUJ73" s="120"/>
      <c r="NUK73" s="120"/>
      <c r="NUL73" s="120"/>
      <c r="NUM73" s="120"/>
      <c r="NUN73" s="120"/>
      <c r="NUO73" s="120"/>
      <c r="NUP73" s="120"/>
      <c r="NUQ73" s="120"/>
      <c r="NUR73" s="120"/>
      <c r="NUS73" s="120"/>
      <c r="NUT73" s="120"/>
      <c r="NUU73" s="120"/>
      <c r="NUV73" s="120"/>
      <c r="NUW73" s="120"/>
      <c r="NUX73" s="120"/>
      <c r="NUY73" s="120"/>
      <c r="NUZ73" s="120"/>
      <c r="NVA73" s="120"/>
      <c r="NVB73" s="120"/>
      <c r="NVC73" s="120"/>
      <c r="NVD73" s="120"/>
      <c r="NVE73" s="120"/>
      <c r="NVF73" s="120"/>
      <c r="NVG73" s="120"/>
      <c r="NVH73" s="120"/>
      <c r="NVI73" s="120"/>
      <c r="NVJ73" s="120"/>
      <c r="NVK73" s="120"/>
      <c r="NVL73" s="120"/>
      <c r="NVM73" s="120"/>
      <c r="NVN73" s="120"/>
      <c r="NVO73" s="120"/>
      <c r="NVP73" s="120"/>
      <c r="NVQ73" s="120"/>
      <c r="NVR73" s="120"/>
      <c r="NVS73" s="120"/>
      <c r="NVT73" s="120"/>
      <c r="NVU73" s="120"/>
      <c r="NVV73" s="120"/>
      <c r="NVW73" s="120"/>
      <c r="NVX73" s="120"/>
      <c r="NVY73" s="120"/>
      <c r="NVZ73" s="120"/>
      <c r="NWA73" s="120"/>
      <c r="NWB73" s="120"/>
      <c r="NWC73" s="120"/>
      <c r="NWD73" s="120"/>
      <c r="NWE73" s="120"/>
      <c r="NWF73" s="120"/>
      <c r="NWG73" s="120"/>
      <c r="NWH73" s="120"/>
      <c r="NWI73" s="120"/>
      <c r="NWJ73" s="120"/>
      <c r="NWK73" s="120"/>
      <c r="NWL73" s="120"/>
      <c r="NWM73" s="120"/>
      <c r="NWN73" s="120"/>
      <c r="NWO73" s="120"/>
      <c r="NWP73" s="120"/>
      <c r="NWQ73" s="120"/>
      <c r="NWR73" s="120"/>
      <c r="NWS73" s="120"/>
      <c r="NWT73" s="120"/>
      <c r="NWU73" s="120"/>
      <c r="NWV73" s="120"/>
      <c r="NWW73" s="120"/>
      <c r="NWX73" s="120"/>
      <c r="NWY73" s="120"/>
      <c r="NWZ73" s="120"/>
      <c r="NXA73" s="120"/>
      <c r="NXB73" s="120"/>
      <c r="NXC73" s="120"/>
      <c r="NXD73" s="120"/>
      <c r="NXE73" s="120"/>
      <c r="NXF73" s="120"/>
      <c r="NXG73" s="120"/>
      <c r="NXH73" s="120"/>
      <c r="NXI73" s="120"/>
      <c r="NXJ73" s="120"/>
      <c r="NXK73" s="120"/>
      <c r="NXL73" s="120"/>
      <c r="NXM73" s="120"/>
      <c r="NXN73" s="120"/>
      <c r="NXO73" s="120"/>
      <c r="NXP73" s="120"/>
      <c r="NXQ73" s="120"/>
      <c r="NXR73" s="120"/>
      <c r="NXS73" s="120"/>
      <c r="NXT73" s="120"/>
      <c r="NXU73" s="120"/>
      <c r="NXV73" s="120"/>
      <c r="NXW73" s="120"/>
      <c r="NXX73" s="120"/>
      <c r="NXY73" s="120"/>
      <c r="NXZ73" s="120"/>
      <c r="NYA73" s="120"/>
      <c r="NYB73" s="120"/>
      <c r="NYC73" s="120"/>
      <c r="NYD73" s="120"/>
      <c r="NYE73" s="120"/>
      <c r="NYF73" s="120"/>
      <c r="NYG73" s="120"/>
      <c r="NYH73" s="120"/>
      <c r="NYI73" s="120"/>
      <c r="NYJ73" s="120"/>
      <c r="NYK73" s="120"/>
      <c r="NYL73" s="120"/>
      <c r="NYM73" s="120"/>
      <c r="NYN73" s="120"/>
      <c r="NYO73" s="120"/>
      <c r="NYP73" s="120"/>
      <c r="NYQ73" s="120"/>
      <c r="NYR73" s="120"/>
      <c r="NYS73" s="120"/>
      <c r="NYT73" s="120"/>
      <c r="NYU73" s="120"/>
      <c r="NYV73" s="120"/>
      <c r="NYW73" s="120"/>
      <c r="NYX73" s="120"/>
      <c r="NYY73" s="120"/>
      <c r="NYZ73" s="120"/>
      <c r="NZA73" s="120"/>
      <c r="NZB73" s="120"/>
      <c r="NZC73" s="120"/>
      <c r="NZD73" s="120"/>
      <c r="NZE73" s="120"/>
      <c r="NZF73" s="120"/>
      <c r="NZG73" s="120"/>
      <c r="NZH73" s="120"/>
      <c r="NZI73" s="120"/>
      <c r="NZJ73" s="120"/>
      <c r="NZK73" s="120"/>
      <c r="NZL73" s="120"/>
      <c r="NZM73" s="120"/>
      <c r="NZN73" s="120"/>
      <c r="NZO73" s="120"/>
      <c r="NZP73" s="120"/>
      <c r="NZQ73" s="120"/>
      <c r="NZR73" s="120"/>
      <c r="NZS73" s="120"/>
      <c r="NZT73" s="120"/>
      <c r="NZU73" s="120"/>
      <c r="NZV73" s="120"/>
      <c r="NZW73" s="120"/>
      <c r="NZX73" s="120"/>
      <c r="NZY73" s="120"/>
      <c r="NZZ73" s="120"/>
      <c r="OAA73" s="120"/>
      <c r="OAB73" s="120"/>
      <c r="OAC73" s="120"/>
      <c r="OAD73" s="120"/>
      <c r="OAE73" s="120"/>
      <c r="OAF73" s="120"/>
      <c r="OAG73" s="120"/>
      <c r="OAH73" s="120"/>
      <c r="OAI73" s="120"/>
      <c r="OAJ73" s="120"/>
      <c r="OAK73" s="120"/>
      <c r="OAL73" s="120"/>
      <c r="OAM73" s="120"/>
      <c r="OAN73" s="120"/>
      <c r="OAO73" s="120"/>
      <c r="OAP73" s="120"/>
      <c r="OAQ73" s="120"/>
      <c r="OAR73" s="120"/>
      <c r="OAS73" s="120"/>
      <c r="OAT73" s="120"/>
      <c r="OAU73" s="120"/>
      <c r="OAV73" s="120"/>
      <c r="OAW73" s="120"/>
      <c r="OAX73" s="120"/>
      <c r="OAY73" s="120"/>
      <c r="OAZ73" s="120"/>
      <c r="OBA73" s="120"/>
      <c r="OBB73" s="120"/>
      <c r="OBC73" s="120"/>
      <c r="OBD73" s="120"/>
      <c r="OBE73" s="120"/>
      <c r="OBF73" s="120"/>
      <c r="OBG73" s="120"/>
      <c r="OBH73" s="120"/>
      <c r="OBI73" s="120"/>
      <c r="OBJ73" s="120"/>
      <c r="OBK73" s="120"/>
      <c r="OBL73" s="120"/>
      <c r="OBM73" s="120"/>
      <c r="OBN73" s="120"/>
      <c r="OBO73" s="120"/>
      <c r="OBP73" s="120"/>
      <c r="OBQ73" s="120"/>
      <c r="OBR73" s="120"/>
      <c r="OBS73" s="120"/>
      <c r="OBT73" s="120"/>
      <c r="OBU73" s="120"/>
      <c r="OBV73" s="120"/>
      <c r="OBW73" s="120"/>
      <c r="OBX73" s="120"/>
      <c r="OBY73" s="120"/>
      <c r="OBZ73" s="120"/>
      <c r="OCA73" s="120"/>
      <c r="OCB73" s="120"/>
      <c r="OCC73" s="120"/>
      <c r="OCD73" s="120"/>
      <c r="OCE73" s="120"/>
      <c r="OCF73" s="120"/>
      <c r="OCG73" s="120"/>
      <c r="OCH73" s="120"/>
      <c r="OCI73" s="120"/>
      <c r="OCJ73" s="120"/>
      <c r="OCK73" s="120"/>
      <c r="OCL73" s="120"/>
      <c r="OCM73" s="120"/>
      <c r="OCN73" s="120"/>
      <c r="OCO73" s="120"/>
      <c r="OCP73" s="120"/>
      <c r="OCQ73" s="120"/>
      <c r="OCR73" s="120"/>
      <c r="OCS73" s="120"/>
      <c r="OCT73" s="120"/>
      <c r="OCU73" s="120"/>
      <c r="OCV73" s="120"/>
      <c r="OCW73" s="120"/>
      <c r="OCX73" s="120"/>
      <c r="OCY73" s="120"/>
      <c r="OCZ73" s="120"/>
      <c r="ODA73" s="120"/>
      <c r="ODB73" s="120"/>
      <c r="ODC73" s="120"/>
      <c r="ODD73" s="120"/>
      <c r="ODE73" s="120"/>
      <c r="ODF73" s="120"/>
      <c r="ODG73" s="120"/>
      <c r="ODH73" s="120"/>
      <c r="ODI73" s="120"/>
      <c r="ODJ73" s="120"/>
      <c r="ODK73" s="120"/>
      <c r="ODL73" s="120"/>
      <c r="ODM73" s="120"/>
      <c r="ODN73" s="120"/>
      <c r="ODO73" s="120"/>
      <c r="ODP73" s="120"/>
      <c r="ODQ73" s="120"/>
      <c r="ODR73" s="120"/>
      <c r="ODS73" s="120"/>
      <c r="ODT73" s="120"/>
      <c r="ODU73" s="120"/>
      <c r="ODV73" s="120"/>
      <c r="ODW73" s="120"/>
      <c r="ODX73" s="120"/>
      <c r="ODY73" s="120"/>
      <c r="ODZ73" s="120"/>
      <c r="OEA73" s="120"/>
      <c r="OEB73" s="120"/>
      <c r="OEC73" s="120"/>
      <c r="OED73" s="120"/>
      <c r="OEE73" s="120"/>
      <c r="OEF73" s="120"/>
      <c r="OEG73" s="120"/>
      <c r="OEH73" s="120"/>
      <c r="OEI73" s="120"/>
      <c r="OEJ73" s="120"/>
      <c r="OEK73" s="120"/>
      <c r="OEL73" s="120"/>
      <c r="OEM73" s="120"/>
      <c r="OEN73" s="120"/>
      <c r="OEO73" s="120"/>
      <c r="OEP73" s="120"/>
      <c r="OEQ73" s="120"/>
      <c r="OER73" s="120"/>
      <c r="OES73" s="120"/>
      <c r="OET73" s="120"/>
      <c r="OEU73" s="120"/>
      <c r="OEV73" s="120"/>
      <c r="OEW73" s="120"/>
      <c r="OEX73" s="120"/>
      <c r="OEY73" s="120"/>
      <c r="OEZ73" s="120"/>
      <c r="OFA73" s="120"/>
      <c r="OFB73" s="120"/>
      <c r="OFC73" s="120"/>
      <c r="OFD73" s="120"/>
      <c r="OFE73" s="120"/>
      <c r="OFF73" s="120"/>
      <c r="OFG73" s="120"/>
      <c r="OFH73" s="120"/>
      <c r="OFI73" s="120"/>
      <c r="OFJ73" s="120"/>
      <c r="OFK73" s="120"/>
      <c r="OFL73" s="120"/>
      <c r="OFM73" s="120"/>
      <c r="OFN73" s="120"/>
      <c r="OFO73" s="120"/>
      <c r="OFP73" s="120"/>
      <c r="OFQ73" s="120"/>
      <c r="OFR73" s="120"/>
      <c r="OFS73" s="120"/>
      <c r="OFT73" s="120"/>
      <c r="OFU73" s="120"/>
      <c r="OFV73" s="120"/>
      <c r="OFW73" s="120"/>
      <c r="OFX73" s="120"/>
      <c r="OFY73" s="120"/>
      <c r="OFZ73" s="120"/>
      <c r="OGA73" s="120"/>
      <c r="OGB73" s="120"/>
      <c r="OGC73" s="120"/>
      <c r="OGD73" s="120"/>
      <c r="OGE73" s="120"/>
      <c r="OGF73" s="120"/>
      <c r="OGG73" s="120"/>
      <c r="OGH73" s="120"/>
      <c r="OGI73" s="120"/>
      <c r="OGJ73" s="120"/>
      <c r="OGK73" s="120"/>
      <c r="OGL73" s="120"/>
      <c r="OGM73" s="120"/>
      <c r="OGN73" s="120"/>
      <c r="OGO73" s="120"/>
      <c r="OGP73" s="120"/>
      <c r="OGQ73" s="120"/>
      <c r="OGR73" s="120"/>
      <c r="OGS73" s="120"/>
      <c r="OGT73" s="120"/>
      <c r="OGU73" s="120"/>
      <c r="OGV73" s="120"/>
      <c r="OGW73" s="120"/>
      <c r="OGX73" s="120"/>
      <c r="OGY73" s="120"/>
      <c r="OGZ73" s="120"/>
      <c r="OHA73" s="120"/>
      <c r="OHB73" s="120"/>
      <c r="OHC73" s="120"/>
      <c r="OHD73" s="120"/>
      <c r="OHE73" s="120"/>
      <c r="OHF73" s="120"/>
      <c r="OHG73" s="120"/>
      <c r="OHH73" s="120"/>
      <c r="OHI73" s="120"/>
      <c r="OHJ73" s="120"/>
      <c r="OHK73" s="120"/>
      <c r="OHL73" s="120"/>
      <c r="OHM73" s="120"/>
      <c r="OHN73" s="120"/>
      <c r="OHO73" s="120"/>
      <c r="OHP73" s="120"/>
      <c r="OHQ73" s="120"/>
      <c r="OHR73" s="120"/>
      <c r="OHS73" s="120"/>
      <c r="OHT73" s="120"/>
      <c r="OHU73" s="120"/>
      <c r="OHV73" s="120"/>
      <c r="OHW73" s="120"/>
      <c r="OHX73" s="120"/>
      <c r="OHY73" s="120"/>
      <c r="OHZ73" s="120"/>
      <c r="OIA73" s="120"/>
      <c r="OIB73" s="120"/>
      <c r="OIC73" s="120"/>
      <c r="OID73" s="120"/>
      <c r="OIE73" s="120"/>
      <c r="OIF73" s="120"/>
      <c r="OIG73" s="120"/>
      <c r="OIH73" s="120"/>
      <c r="OII73" s="120"/>
      <c r="OIJ73" s="120"/>
      <c r="OIK73" s="120"/>
      <c r="OIL73" s="120"/>
      <c r="OIM73" s="120"/>
      <c r="OIN73" s="120"/>
      <c r="OIO73" s="120"/>
      <c r="OIP73" s="120"/>
      <c r="OIQ73" s="120"/>
      <c r="OIR73" s="120"/>
      <c r="OIS73" s="120"/>
      <c r="OIT73" s="120"/>
      <c r="OIU73" s="120"/>
      <c r="OIV73" s="120"/>
      <c r="OIW73" s="120"/>
      <c r="OIX73" s="120"/>
      <c r="OIY73" s="120"/>
      <c r="OIZ73" s="120"/>
      <c r="OJA73" s="120"/>
      <c r="OJB73" s="120"/>
      <c r="OJC73" s="120"/>
      <c r="OJD73" s="120"/>
      <c r="OJE73" s="120"/>
      <c r="OJF73" s="120"/>
      <c r="OJG73" s="120"/>
      <c r="OJH73" s="120"/>
      <c r="OJI73" s="120"/>
      <c r="OJJ73" s="120"/>
      <c r="OJK73" s="120"/>
      <c r="OJL73" s="120"/>
      <c r="OJM73" s="120"/>
      <c r="OJN73" s="120"/>
      <c r="OJO73" s="120"/>
      <c r="OJP73" s="120"/>
      <c r="OJQ73" s="120"/>
      <c r="OJR73" s="120"/>
      <c r="OJS73" s="120"/>
      <c r="OJT73" s="120"/>
      <c r="OJU73" s="120"/>
      <c r="OJV73" s="120"/>
      <c r="OJW73" s="120"/>
      <c r="OJX73" s="120"/>
      <c r="OJY73" s="120"/>
      <c r="OJZ73" s="120"/>
      <c r="OKA73" s="120"/>
      <c r="OKB73" s="120"/>
      <c r="OKC73" s="120"/>
      <c r="OKD73" s="120"/>
      <c r="OKE73" s="120"/>
      <c r="OKF73" s="120"/>
      <c r="OKG73" s="120"/>
      <c r="OKH73" s="120"/>
      <c r="OKI73" s="120"/>
      <c r="OKJ73" s="120"/>
      <c r="OKK73" s="120"/>
      <c r="OKL73" s="120"/>
      <c r="OKM73" s="120"/>
      <c r="OKN73" s="120"/>
      <c r="OKO73" s="120"/>
      <c r="OKP73" s="120"/>
      <c r="OKQ73" s="120"/>
      <c r="OKR73" s="120"/>
      <c r="OKS73" s="120"/>
      <c r="OKT73" s="120"/>
      <c r="OKU73" s="120"/>
      <c r="OKV73" s="120"/>
      <c r="OKW73" s="120"/>
      <c r="OKX73" s="120"/>
      <c r="OKY73" s="120"/>
      <c r="OKZ73" s="120"/>
      <c r="OLA73" s="120"/>
      <c r="OLB73" s="120"/>
      <c r="OLC73" s="120"/>
      <c r="OLD73" s="120"/>
      <c r="OLE73" s="120"/>
      <c r="OLF73" s="120"/>
      <c r="OLG73" s="120"/>
      <c r="OLH73" s="120"/>
      <c r="OLI73" s="120"/>
      <c r="OLJ73" s="120"/>
      <c r="OLK73" s="120"/>
      <c r="OLL73" s="120"/>
      <c r="OLM73" s="120"/>
      <c r="OLN73" s="120"/>
      <c r="OLO73" s="120"/>
      <c r="OLP73" s="120"/>
      <c r="OLQ73" s="120"/>
      <c r="OLR73" s="120"/>
      <c r="OLS73" s="120"/>
      <c r="OLT73" s="120"/>
      <c r="OLU73" s="120"/>
      <c r="OLV73" s="120"/>
      <c r="OLW73" s="120"/>
      <c r="OLX73" s="120"/>
      <c r="OLY73" s="120"/>
      <c r="OLZ73" s="120"/>
      <c r="OMA73" s="120"/>
      <c r="OMB73" s="120"/>
      <c r="OMC73" s="120"/>
      <c r="OMD73" s="120"/>
      <c r="OME73" s="120"/>
      <c r="OMF73" s="120"/>
      <c r="OMG73" s="120"/>
      <c r="OMH73" s="120"/>
      <c r="OMI73" s="120"/>
      <c r="OMJ73" s="120"/>
      <c r="OMK73" s="120"/>
      <c r="OML73" s="120"/>
      <c r="OMM73" s="120"/>
      <c r="OMN73" s="120"/>
      <c r="OMO73" s="120"/>
      <c r="OMP73" s="120"/>
      <c r="OMQ73" s="120"/>
      <c r="OMR73" s="120"/>
      <c r="OMS73" s="120"/>
      <c r="OMT73" s="120"/>
      <c r="OMU73" s="120"/>
      <c r="OMV73" s="120"/>
      <c r="OMW73" s="120"/>
      <c r="OMX73" s="120"/>
      <c r="OMY73" s="120"/>
      <c r="OMZ73" s="120"/>
      <c r="ONA73" s="120"/>
      <c r="ONB73" s="120"/>
      <c r="ONC73" s="120"/>
      <c r="OND73" s="120"/>
      <c r="ONE73" s="120"/>
      <c r="ONF73" s="120"/>
      <c r="ONG73" s="120"/>
      <c r="ONH73" s="120"/>
      <c r="ONI73" s="120"/>
      <c r="ONJ73" s="120"/>
      <c r="ONK73" s="120"/>
      <c r="ONL73" s="120"/>
      <c r="ONM73" s="120"/>
      <c r="ONN73" s="120"/>
      <c r="ONO73" s="120"/>
      <c r="ONP73" s="120"/>
      <c r="ONQ73" s="120"/>
      <c r="ONR73" s="120"/>
      <c r="ONS73" s="120"/>
      <c r="ONT73" s="120"/>
      <c r="ONU73" s="120"/>
      <c r="ONV73" s="120"/>
      <c r="ONW73" s="120"/>
      <c r="ONX73" s="120"/>
      <c r="ONY73" s="120"/>
      <c r="ONZ73" s="120"/>
      <c r="OOA73" s="120"/>
      <c r="OOB73" s="120"/>
      <c r="OOC73" s="120"/>
      <c r="OOD73" s="120"/>
      <c r="OOE73" s="120"/>
      <c r="OOF73" s="120"/>
      <c r="OOG73" s="120"/>
      <c r="OOH73" s="120"/>
      <c r="OOI73" s="120"/>
      <c r="OOJ73" s="120"/>
      <c r="OOK73" s="120"/>
      <c r="OOL73" s="120"/>
      <c r="OOM73" s="120"/>
      <c r="OON73" s="120"/>
      <c r="OOO73" s="120"/>
      <c r="OOP73" s="120"/>
      <c r="OOQ73" s="120"/>
      <c r="OOR73" s="120"/>
      <c r="OOS73" s="120"/>
      <c r="OOT73" s="120"/>
      <c r="OOU73" s="120"/>
      <c r="OOV73" s="120"/>
      <c r="OOW73" s="120"/>
      <c r="OOX73" s="120"/>
      <c r="OOY73" s="120"/>
      <c r="OOZ73" s="120"/>
      <c r="OPA73" s="120"/>
      <c r="OPB73" s="120"/>
      <c r="OPC73" s="120"/>
      <c r="OPD73" s="120"/>
      <c r="OPE73" s="120"/>
      <c r="OPF73" s="120"/>
      <c r="OPG73" s="120"/>
      <c r="OPH73" s="120"/>
      <c r="OPI73" s="120"/>
      <c r="OPJ73" s="120"/>
      <c r="OPK73" s="120"/>
      <c r="OPL73" s="120"/>
      <c r="OPM73" s="120"/>
      <c r="OPN73" s="120"/>
      <c r="OPO73" s="120"/>
      <c r="OPP73" s="120"/>
      <c r="OPQ73" s="120"/>
      <c r="OPR73" s="120"/>
      <c r="OPS73" s="120"/>
      <c r="OPT73" s="120"/>
      <c r="OPU73" s="120"/>
      <c r="OPV73" s="120"/>
      <c r="OPW73" s="120"/>
      <c r="OPX73" s="120"/>
      <c r="OPY73" s="120"/>
      <c r="OPZ73" s="120"/>
      <c r="OQA73" s="120"/>
      <c r="OQB73" s="120"/>
      <c r="OQC73" s="120"/>
      <c r="OQD73" s="120"/>
      <c r="OQE73" s="120"/>
      <c r="OQF73" s="120"/>
      <c r="OQG73" s="120"/>
      <c r="OQH73" s="120"/>
      <c r="OQI73" s="120"/>
      <c r="OQJ73" s="120"/>
      <c r="OQK73" s="120"/>
      <c r="OQL73" s="120"/>
      <c r="OQM73" s="120"/>
      <c r="OQN73" s="120"/>
      <c r="OQO73" s="120"/>
      <c r="OQP73" s="120"/>
      <c r="OQQ73" s="120"/>
      <c r="OQR73" s="120"/>
      <c r="OQS73" s="120"/>
      <c r="OQT73" s="120"/>
      <c r="OQU73" s="120"/>
      <c r="OQV73" s="120"/>
      <c r="OQW73" s="120"/>
      <c r="OQX73" s="120"/>
      <c r="OQY73" s="120"/>
      <c r="OQZ73" s="120"/>
      <c r="ORA73" s="120"/>
      <c r="ORB73" s="120"/>
      <c r="ORC73" s="120"/>
      <c r="ORD73" s="120"/>
      <c r="ORE73" s="120"/>
      <c r="ORF73" s="120"/>
      <c r="ORG73" s="120"/>
      <c r="ORH73" s="120"/>
      <c r="ORI73" s="120"/>
      <c r="ORJ73" s="120"/>
      <c r="ORK73" s="120"/>
      <c r="ORL73" s="120"/>
      <c r="ORM73" s="120"/>
      <c r="ORN73" s="120"/>
      <c r="ORO73" s="120"/>
      <c r="ORP73" s="120"/>
      <c r="ORQ73" s="120"/>
      <c r="ORR73" s="120"/>
      <c r="ORS73" s="120"/>
      <c r="ORT73" s="120"/>
      <c r="ORU73" s="120"/>
      <c r="ORV73" s="120"/>
      <c r="ORW73" s="120"/>
      <c r="ORX73" s="120"/>
      <c r="ORY73" s="120"/>
      <c r="ORZ73" s="120"/>
      <c r="OSA73" s="120"/>
      <c r="OSB73" s="120"/>
      <c r="OSC73" s="120"/>
      <c r="OSD73" s="120"/>
      <c r="OSE73" s="120"/>
      <c r="OSF73" s="120"/>
      <c r="OSG73" s="120"/>
      <c r="OSH73" s="120"/>
      <c r="OSI73" s="120"/>
      <c r="OSJ73" s="120"/>
      <c r="OSK73" s="120"/>
      <c r="OSL73" s="120"/>
      <c r="OSM73" s="120"/>
      <c r="OSN73" s="120"/>
      <c r="OSO73" s="120"/>
      <c r="OSP73" s="120"/>
      <c r="OSQ73" s="120"/>
      <c r="OSR73" s="120"/>
      <c r="OSS73" s="120"/>
      <c r="OST73" s="120"/>
      <c r="OSU73" s="120"/>
      <c r="OSV73" s="120"/>
      <c r="OSW73" s="120"/>
      <c r="OSX73" s="120"/>
      <c r="OSY73" s="120"/>
      <c r="OSZ73" s="120"/>
      <c r="OTA73" s="120"/>
      <c r="OTB73" s="120"/>
      <c r="OTC73" s="120"/>
      <c r="OTD73" s="120"/>
      <c r="OTE73" s="120"/>
      <c r="OTF73" s="120"/>
      <c r="OTG73" s="120"/>
      <c r="OTH73" s="120"/>
      <c r="OTI73" s="120"/>
      <c r="OTJ73" s="120"/>
      <c r="OTK73" s="120"/>
      <c r="OTL73" s="120"/>
      <c r="OTM73" s="120"/>
      <c r="OTN73" s="120"/>
      <c r="OTO73" s="120"/>
      <c r="OTP73" s="120"/>
      <c r="OTQ73" s="120"/>
      <c r="OTR73" s="120"/>
      <c r="OTS73" s="120"/>
      <c r="OTT73" s="120"/>
      <c r="OTU73" s="120"/>
      <c r="OTV73" s="120"/>
      <c r="OTW73" s="120"/>
      <c r="OTX73" s="120"/>
      <c r="OTY73" s="120"/>
      <c r="OTZ73" s="120"/>
      <c r="OUA73" s="120"/>
      <c r="OUB73" s="120"/>
      <c r="OUC73" s="120"/>
      <c r="OUD73" s="120"/>
      <c r="OUE73" s="120"/>
      <c r="OUF73" s="120"/>
      <c r="OUG73" s="120"/>
      <c r="OUH73" s="120"/>
      <c r="OUI73" s="120"/>
      <c r="OUJ73" s="120"/>
      <c r="OUK73" s="120"/>
      <c r="OUL73" s="120"/>
      <c r="OUM73" s="120"/>
      <c r="OUN73" s="120"/>
      <c r="OUO73" s="120"/>
      <c r="OUP73" s="120"/>
      <c r="OUQ73" s="120"/>
      <c r="OUR73" s="120"/>
      <c r="OUS73" s="120"/>
      <c r="OUT73" s="120"/>
      <c r="OUU73" s="120"/>
      <c r="OUV73" s="120"/>
      <c r="OUW73" s="120"/>
      <c r="OUX73" s="120"/>
      <c r="OUY73" s="120"/>
      <c r="OUZ73" s="120"/>
      <c r="OVA73" s="120"/>
      <c r="OVB73" s="120"/>
      <c r="OVC73" s="120"/>
      <c r="OVD73" s="120"/>
      <c r="OVE73" s="120"/>
      <c r="OVF73" s="120"/>
      <c r="OVG73" s="120"/>
      <c r="OVH73" s="120"/>
      <c r="OVI73" s="120"/>
      <c r="OVJ73" s="120"/>
      <c r="OVK73" s="120"/>
      <c r="OVL73" s="120"/>
      <c r="OVM73" s="120"/>
      <c r="OVN73" s="120"/>
      <c r="OVO73" s="120"/>
      <c r="OVP73" s="120"/>
      <c r="OVQ73" s="120"/>
      <c r="OVR73" s="120"/>
      <c r="OVS73" s="120"/>
      <c r="OVT73" s="120"/>
      <c r="OVU73" s="120"/>
      <c r="OVV73" s="120"/>
      <c r="OVW73" s="120"/>
      <c r="OVX73" s="120"/>
      <c r="OVY73" s="120"/>
      <c r="OVZ73" s="120"/>
      <c r="OWA73" s="120"/>
      <c r="OWB73" s="120"/>
      <c r="OWC73" s="120"/>
      <c r="OWD73" s="120"/>
      <c r="OWE73" s="120"/>
      <c r="OWF73" s="120"/>
      <c r="OWG73" s="120"/>
      <c r="OWH73" s="120"/>
      <c r="OWI73" s="120"/>
      <c r="OWJ73" s="120"/>
      <c r="OWK73" s="120"/>
      <c r="OWL73" s="120"/>
      <c r="OWM73" s="120"/>
      <c r="OWN73" s="120"/>
      <c r="OWO73" s="120"/>
      <c r="OWP73" s="120"/>
      <c r="OWQ73" s="120"/>
      <c r="OWR73" s="120"/>
      <c r="OWS73" s="120"/>
      <c r="OWT73" s="120"/>
      <c r="OWU73" s="120"/>
      <c r="OWV73" s="120"/>
      <c r="OWW73" s="120"/>
      <c r="OWX73" s="120"/>
      <c r="OWY73" s="120"/>
      <c r="OWZ73" s="120"/>
      <c r="OXA73" s="120"/>
      <c r="OXB73" s="120"/>
      <c r="OXC73" s="120"/>
      <c r="OXD73" s="120"/>
      <c r="OXE73" s="120"/>
      <c r="OXF73" s="120"/>
      <c r="OXG73" s="120"/>
      <c r="OXH73" s="120"/>
      <c r="OXI73" s="120"/>
      <c r="OXJ73" s="120"/>
      <c r="OXK73" s="120"/>
      <c r="OXL73" s="120"/>
      <c r="OXM73" s="120"/>
      <c r="OXN73" s="120"/>
      <c r="OXO73" s="120"/>
      <c r="OXP73" s="120"/>
      <c r="OXQ73" s="120"/>
      <c r="OXR73" s="120"/>
      <c r="OXS73" s="120"/>
      <c r="OXT73" s="120"/>
      <c r="OXU73" s="120"/>
      <c r="OXV73" s="120"/>
      <c r="OXW73" s="120"/>
      <c r="OXX73" s="120"/>
      <c r="OXY73" s="120"/>
      <c r="OXZ73" s="120"/>
      <c r="OYA73" s="120"/>
      <c r="OYB73" s="120"/>
      <c r="OYC73" s="120"/>
      <c r="OYD73" s="120"/>
      <c r="OYE73" s="120"/>
      <c r="OYF73" s="120"/>
      <c r="OYG73" s="120"/>
      <c r="OYH73" s="120"/>
      <c r="OYI73" s="120"/>
      <c r="OYJ73" s="120"/>
      <c r="OYK73" s="120"/>
      <c r="OYL73" s="120"/>
      <c r="OYM73" s="120"/>
      <c r="OYN73" s="120"/>
      <c r="OYO73" s="120"/>
      <c r="OYP73" s="120"/>
      <c r="OYQ73" s="120"/>
      <c r="OYR73" s="120"/>
      <c r="OYS73" s="120"/>
      <c r="OYT73" s="120"/>
      <c r="OYU73" s="120"/>
      <c r="OYV73" s="120"/>
      <c r="OYW73" s="120"/>
      <c r="OYX73" s="120"/>
      <c r="OYY73" s="120"/>
      <c r="OYZ73" s="120"/>
      <c r="OZA73" s="120"/>
      <c r="OZB73" s="120"/>
      <c r="OZC73" s="120"/>
      <c r="OZD73" s="120"/>
      <c r="OZE73" s="120"/>
      <c r="OZF73" s="120"/>
      <c r="OZG73" s="120"/>
      <c r="OZH73" s="120"/>
      <c r="OZI73" s="120"/>
      <c r="OZJ73" s="120"/>
      <c r="OZK73" s="120"/>
      <c r="OZL73" s="120"/>
      <c r="OZM73" s="120"/>
      <c r="OZN73" s="120"/>
      <c r="OZO73" s="120"/>
      <c r="OZP73" s="120"/>
      <c r="OZQ73" s="120"/>
      <c r="OZR73" s="120"/>
      <c r="OZS73" s="120"/>
      <c r="OZT73" s="120"/>
      <c r="OZU73" s="120"/>
      <c r="OZV73" s="120"/>
      <c r="OZW73" s="120"/>
      <c r="OZX73" s="120"/>
      <c r="OZY73" s="120"/>
      <c r="OZZ73" s="120"/>
      <c r="PAA73" s="120"/>
      <c r="PAB73" s="120"/>
      <c r="PAC73" s="120"/>
      <c r="PAD73" s="120"/>
      <c r="PAE73" s="120"/>
      <c r="PAF73" s="120"/>
      <c r="PAG73" s="120"/>
      <c r="PAH73" s="120"/>
      <c r="PAI73" s="120"/>
      <c r="PAJ73" s="120"/>
      <c r="PAK73" s="120"/>
      <c r="PAL73" s="120"/>
      <c r="PAM73" s="120"/>
      <c r="PAN73" s="120"/>
      <c r="PAO73" s="120"/>
      <c r="PAP73" s="120"/>
      <c r="PAQ73" s="120"/>
      <c r="PAR73" s="120"/>
      <c r="PAS73" s="120"/>
      <c r="PAT73" s="120"/>
      <c r="PAU73" s="120"/>
      <c r="PAV73" s="120"/>
      <c r="PAW73" s="120"/>
      <c r="PAX73" s="120"/>
      <c r="PAY73" s="120"/>
      <c r="PAZ73" s="120"/>
      <c r="PBA73" s="120"/>
      <c r="PBB73" s="120"/>
      <c r="PBC73" s="120"/>
      <c r="PBD73" s="120"/>
      <c r="PBE73" s="120"/>
      <c r="PBF73" s="120"/>
      <c r="PBG73" s="120"/>
      <c r="PBH73" s="120"/>
      <c r="PBI73" s="120"/>
      <c r="PBJ73" s="120"/>
      <c r="PBK73" s="120"/>
      <c r="PBL73" s="120"/>
      <c r="PBM73" s="120"/>
      <c r="PBN73" s="120"/>
      <c r="PBO73" s="120"/>
      <c r="PBP73" s="120"/>
      <c r="PBQ73" s="120"/>
      <c r="PBR73" s="120"/>
      <c r="PBS73" s="120"/>
      <c r="PBT73" s="120"/>
      <c r="PBU73" s="120"/>
      <c r="PBV73" s="120"/>
      <c r="PBW73" s="120"/>
      <c r="PBX73" s="120"/>
      <c r="PBY73" s="120"/>
      <c r="PBZ73" s="120"/>
      <c r="PCA73" s="120"/>
      <c r="PCB73" s="120"/>
      <c r="PCC73" s="120"/>
      <c r="PCD73" s="120"/>
      <c r="PCE73" s="120"/>
      <c r="PCF73" s="120"/>
      <c r="PCG73" s="120"/>
      <c r="PCH73" s="120"/>
      <c r="PCI73" s="120"/>
      <c r="PCJ73" s="120"/>
      <c r="PCK73" s="120"/>
      <c r="PCL73" s="120"/>
      <c r="PCM73" s="120"/>
      <c r="PCN73" s="120"/>
      <c r="PCO73" s="120"/>
      <c r="PCP73" s="120"/>
      <c r="PCQ73" s="120"/>
      <c r="PCR73" s="120"/>
      <c r="PCS73" s="120"/>
      <c r="PCT73" s="120"/>
      <c r="PCU73" s="120"/>
      <c r="PCV73" s="120"/>
      <c r="PCW73" s="120"/>
      <c r="PCX73" s="120"/>
      <c r="PCY73" s="120"/>
      <c r="PCZ73" s="120"/>
      <c r="PDA73" s="120"/>
      <c r="PDB73" s="120"/>
      <c r="PDC73" s="120"/>
      <c r="PDD73" s="120"/>
      <c r="PDE73" s="120"/>
      <c r="PDF73" s="120"/>
      <c r="PDG73" s="120"/>
      <c r="PDH73" s="120"/>
      <c r="PDI73" s="120"/>
      <c r="PDJ73" s="120"/>
      <c r="PDK73" s="120"/>
      <c r="PDL73" s="120"/>
      <c r="PDM73" s="120"/>
      <c r="PDN73" s="120"/>
      <c r="PDO73" s="120"/>
      <c r="PDP73" s="120"/>
      <c r="PDQ73" s="120"/>
      <c r="PDR73" s="120"/>
      <c r="PDS73" s="120"/>
      <c r="PDT73" s="120"/>
      <c r="PDU73" s="120"/>
      <c r="PDV73" s="120"/>
      <c r="PDW73" s="120"/>
      <c r="PDX73" s="120"/>
      <c r="PDY73" s="120"/>
      <c r="PDZ73" s="120"/>
      <c r="PEA73" s="120"/>
      <c r="PEB73" s="120"/>
      <c r="PEC73" s="120"/>
      <c r="PED73" s="120"/>
      <c r="PEE73" s="120"/>
      <c r="PEF73" s="120"/>
      <c r="PEG73" s="120"/>
      <c r="PEH73" s="120"/>
      <c r="PEI73" s="120"/>
      <c r="PEJ73" s="120"/>
      <c r="PEK73" s="120"/>
      <c r="PEL73" s="120"/>
      <c r="PEM73" s="120"/>
      <c r="PEN73" s="120"/>
      <c r="PEO73" s="120"/>
      <c r="PEP73" s="120"/>
      <c r="PEQ73" s="120"/>
      <c r="PER73" s="120"/>
      <c r="PES73" s="120"/>
      <c r="PET73" s="120"/>
      <c r="PEU73" s="120"/>
      <c r="PEV73" s="120"/>
      <c r="PEW73" s="120"/>
      <c r="PEX73" s="120"/>
      <c r="PEY73" s="120"/>
      <c r="PEZ73" s="120"/>
      <c r="PFA73" s="120"/>
      <c r="PFB73" s="120"/>
      <c r="PFC73" s="120"/>
      <c r="PFD73" s="120"/>
      <c r="PFE73" s="120"/>
      <c r="PFF73" s="120"/>
      <c r="PFG73" s="120"/>
      <c r="PFH73" s="120"/>
      <c r="PFI73" s="120"/>
      <c r="PFJ73" s="120"/>
      <c r="PFK73" s="120"/>
      <c r="PFL73" s="120"/>
      <c r="PFM73" s="120"/>
      <c r="PFN73" s="120"/>
      <c r="PFO73" s="120"/>
      <c r="PFP73" s="120"/>
      <c r="PFQ73" s="120"/>
      <c r="PFR73" s="120"/>
      <c r="PFS73" s="120"/>
      <c r="PFT73" s="120"/>
      <c r="PFU73" s="120"/>
      <c r="PFV73" s="120"/>
      <c r="PFW73" s="120"/>
      <c r="PFX73" s="120"/>
      <c r="PFY73" s="120"/>
      <c r="PFZ73" s="120"/>
      <c r="PGA73" s="120"/>
      <c r="PGB73" s="120"/>
      <c r="PGC73" s="120"/>
      <c r="PGD73" s="120"/>
      <c r="PGE73" s="120"/>
      <c r="PGF73" s="120"/>
      <c r="PGG73" s="120"/>
      <c r="PGH73" s="120"/>
      <c r="PGI73" s="120"/>
      <c r="PGJ73" s="120"/>
      <c r="PGK73" s="120"/>
      <c r="PGL73" s="120"/>
      <c r="PGM73" s="120"/>
      <c r="PGN73" s="120"/>
      <c r="PGO73" s="120"/>
      <c r="PGP73" s="120"/>
      <c r="PGQ73" s="120"/>
      <c r="PGR73" s="120"/>
      <c r="PGS73" s="120"/>
      <c r="PGT73" s="120"/>
      <c r="PGU73" s="120"/>
      <c r="PGV73" s="120"/>
      <c r="PGW73" s="120"/>
      <c r="PGX73" s="120"/>
      <c r="PGY73" s="120"/>
      <c r="PGZ73" s="120"/>
      <c r="PHA73" s="120"/>
      <c r="PHB73" s="120"/>
      <c r="PHC73" s="120"/>
      <c r="PHD73" s="120"/>
      <c r="PHE73" s="120"/>
      <c r="PHF73" s="120"/>
      <c r="PHG73" s="120"/>
      <c r="PHH73" s="120"/>
      <c r="PHI73" s="120"/>
      <c r="PHJ73" s="120"/>
      <c r="PHK73" s="120"/>
      <c r="PHL73" s="120"/>
      <c r="PHM73" s="120"/>
      <c r="PHN73" s="120"/>
      <c r="PHO73" s="120"/>
      <c r="PHP73" s="120"/>
      <c r="PHQ73" s="120"/>
      <c r="PHR73" s="120"/>
      <c r="PHS73" s="120"/>
      <c r="PHT73" s="120"/>
      <c r="PHU73" s="120"/>
      <c r="PHV73" s="120"/>
      <c r="PHW73" s="120"/>
      <c r="PHX73" s="120"/>
      <c r="PHY73" s="120"/>
      <c r="PHZ73" s="120"/>
      <c r="PIA73" s="120"/>
      <c r="PIB73" s="120"/>
      <c r="PIC73" s="120"/>
      <c r="PID73" s="120"/>
      <c r="PIE73" s="120"/>
      <c r="PIF73" s="120"/>
      <c r="PIG73" s="120"/>
      <c r="PIH73" s="120"/>
      <c r="PII73" s="120"/>
      <c r="PIJ73" s="120"/>
      <c r="PIK73" s="120"/>
      <c r="PIL73" s="120"/>
      <c r="PIM73" s="120"/>
      <c r="PIN73" s="120"/>
      <c r="PIO73" s="120"/>
      <c r="PIP73" s="120"/>
      <c r="PIQ73" s="120"/>
      <c r="PIR73" s="120"/>
      <c r="PIS73" s="120"/>
      <c r="PIT73" s="120"/>
      <c r="PIU73" s="120"/>
      <c r="PIV73" s="120"/>
      <c r="PIW73" s="120"/>
      <c r="PIX73" s="120"/>
      <c r="PIY73" s="120"/>
      <c r="PIZ73" s="120"/>
      <c r="PJA73" s="120"/>
      <c r="PJB73" s="120"/>
      <c r="PJC73" s="120"/>
      <c r="PJD73" s="120"/>
      <c r="PJE73" s="120"/>
      <c r="PJF73" s="120"/>
      <c r="PJG73" s="120"/>
      <c r="PJH73" s="120"/>
      <c r="PJI73" s="120"/>
      <c r="PJJ73" s="120"/>
      <c r="PJK73" s="120"/>
      <c r="PJL73" s="120"/>
      <c r="PJM73" s="120"/>
      <c r="PJN73" s="120"/>
      <c r="PJO73" s="120"/>
      <c r="PJP73" s="120"/>
      <c r="PJQ73" s="120"/>
      <c r="PJR73" s="120"/>
      <c r="PJS73" s="120"/>
      <c r="PJT73" s="120"/>
      <c r="PJU73" s="120"/>
      <c r="PJV73" s="120"/>
      <c r="PJW73" s="120"/>
      <c r="PJX73" s="120"/>
      <c r="PJY73" s="120"/>
      <c r="PJZ73" s="120"/>
      <c r="PKA73" s="120"/>
      <c r="PKB73" s="120"/>
      <c r="PKC73" s="120"/>
      <c r="PKD73" s="120"/>
      <c r="PKE73" s="120"/>
      <c r="PKF73" s="120"/>
      <c r="PKG73" s="120"/>
      <c r="PKH73" s="120"/>
      <c r="PKI73" s="120"/>
      <c r="PKJ73" s="120"/>
      <c r="PKK73" s="120"/>
      <c r="PKL73" s="120"/>
      <c r="PKM73" s="120"/>
      <c r="PKN73" s="120"/>
      <c r="PKO73" s="120"/>
      <c r="PKP73" s="120"/>
      <c r="PKQ73" s="120"/>
      <c r="PKR73" s="120"/>
      <c r="PKS73" s="120"/>
      <c r="PKT73" s="120"/>
      <c r="PKU73" s="120"/>
      <c r="PKV73" s="120"/>
      <c r="PKW73" s="120"/>
      <c r="PKX73" s="120"/>
      <c r="PKY73" s="120"/>
      <c r="PKZ73" s="120"/>
      <c r="PLA73" s="120"/>
      <c r="PLB73" s="120"/>
      <c r="PLC73" s="120"/>
      <c r="PLD73" s="120"/>
      <c r="PLE73" s="120"/>
      <c r="PLF73" s="120"/>
      <c r="PLG73" s="120"/>
      <c r="PLH73" s="120"/>
      <c r="PLI73" s="120"/>
      <c r="PLJ73" s="120"/>
      <c r="PLK73" s="120"/>
      <c r="PLL73" s="120"/>
      <c r="PLM73" s="120"/>
      <c r="PLN73" s="120"/>
      <c r="PLO73" s="120"/>
      <c r="PLP73" s="120"/>
      <c r="PLQ73" s="120"/>
      <c r="PLR73" s="120"/>
      <c r="PLS73" s="120"/>
      <c r="PLT73" s="120"/>
      <c r="PLU73" s="120"/>
      <c r="PLV73" s="120"/>
      <c r="PLW73" s="120"/>
      <c r="PLX73" s="120"/>
      <c r="PLY73" s="120"/>
      <c r="PLZ73" s="120"/>
      <c r="PMA73" s="120"/>
      <c r="PMB73" s="120"/>
      <c r="PMC73" s="120"/>
      <c r="PMD73" s="120"/>
      <c r="PME73" s="120"/>
      <c r="PMF73" s="120"/>
      <c r="PMG73" s="120"/>
      <c r="PMH73" s="120"/>
      <c r="PMI73" s="120"/>
      <c r="PMJ73" s="120"/>
      <c r="PMK73" s="120"/>
      <c r="PML73" s="120"/>
      <c r="PMM73" s="120"/>
      <c r="PMN73" s="120"/>
      <c r="PMO73" s="120"/>
      <c r="PMP73" s="120"/>
      <c r="PMQ73" s="120"/>
      <c r="PMR73" s="120"/>
      <c r="PMS73" s="120"/>
      <c r="PMT73" s="120"/>
      <c r="PMU73" s="120"/>
      <c r="PMV73" s="120"/>
      <c r="PMW73" s="120"/>
      <c r="PMX73" s="120"/>
      <c r="PMY73" s="120"/>
      <c r="PMZ73" s="120"/>
      <c r="PNA73" s="120"/>
      <c r="PNB73" s="120"/>
      <c r="PNC73" s="120"/>
      <c r="PND73" s="120"/>
      <c r="PNE73" s="120"/>
      <c r="PNF73" s="120"/>
      <c r="PNG73" s="120"/>
      <c r="PNH73" s="120"/>
      <c r="PNI73" s="120"/>
      <c r="PNJ73" s="120"/>
      <c r="PNK73" s="120"/>
      <c r="PNL73" s="120"/>
      <c r="PNM73" s="120"/>
      <c r="PNN73" s="120"/>
      <c r="PNO73" s="120"/>
      <c r="PNP73" s="120"/>
      <c r="PNQ73" s="120"/>
      <c r="PNR73" s="120"/>
      <c r="PNS73" s="120"/>
      <c r="PNT73" s="120"/>
      <c r="PNU73" s="120"/>
      <c r="PNV73" s="120"/>
      <c r="PNW73" s="120"/>
      <c r="PNX73" s="120"/>
      <c r="PNY73" s="120"/>
      <c r="PNZ73" s="120"/>
      <c r="POA73" s="120"/>
      <c r="POB73" s="120"/>
      <c r="POC73" s="120"/>
      <c r="POD73" s="120"/>
      <c r="POE73" s="120"/>
      <c r="POF73" s="120"/>
      <c r="POG73" s="120"/>
      <c r="POH73" s="120"/>
      <c r="POI73" s="120"/>
      <c r="POJ73" s="120"/>
      <c r="POK73" s="120"/>
      <c r="POL73" s="120"/>
      <c r="POM73" s="120"/>
      <c r="PON73" s="120"/>
      <c r="POO73" s="120"/>
      <c r="POP73" s="120"/>
      <c r="POQ73" s="120"/>
      <c r="POR73" s="120"/>
      <c r="POS73" s="120"/>
      <c r="POT73" s="120"/>
      <c r="POU73" s="120"/>
      <c r="POV73" s="120"/>
      <c r="POW73" s="120"/>
      <c r="POX73" s="120"/>
      <c r="POY73" s="120"/>
      <c r="POZ73" s="120"/>
      <c r="PPA73" s="120"/>
      <c r="PPB73" s="120"/>
      <c r="PPC73" s="120"/>
      <c r="PPD73" s="120"/>
      <c r="PPE73" s="120"/>
      <c r="PPF73" s="120"/>
      <c r="PPG73" s="120"/>
      <c r="PPH73" s="120"/>
      <c r="PPI73" s="120"/>
      <c r="PPJ73" s="120"/>
      <c r="PPK73" s="120"/>
      <c r="PPL73" s="120"/>
      <c r="PPM73" s="120"/>
      <c r="PPN73" s="120"/>
      <c r="PPO73" s="120"/>
      <c r="PPP73" s="120"/>
      <c r="PPQ73" s="120"/>
      <c r="PPR73" s="120"/>
      <c r="PPS73" s="120"/>
      <c r="PPT73" s="120"/>
      <c r="PPU73" s="120"/>
      <c r="PPV73" s="120"/>
      <c r="PPW73" s="120"/>
      <c r="PPX73" s="120"/>
      <c r="PPY73" s="120"/>
      <c r="PPZ73" s="120"/>
      <c r="PQA73" s="120"/>
      <c r="PQB73" s="120"/>
      <c r="PQC73" s="120"/>
      <c r="PQD73" s="120"/>
      <c r="PQE73" s="120"/>
      <c r="PQF73" s="120"/>
      <c r="PQG73" s="120"/>
      <c r="PQH73" s="120"/>
      <c r="PQI73" s="120"/>
      <c r="PQJ73" s="120"/>
      <c r="PQK73" s="120"/>
      <c r="PQL73" s="120"/>
      <c r="PQM73" s="120"/>
      <c r="PQN73" s="120"/>
      <c r="PQO73" s="120"/>
      <c r="PQP73" s="120"/>
      <c r="PQQ73" s="120"/>
      <c r="PQR73" s="120"/>
      <c r="PQS73" s="120"/>
      <c r="PQT73" s="120"/>
      <c r="PQU73" s="120"/>
      <c r="PQV73" s="120"/>
      <c r="PQW73" s="120"/>
      <c r="PQX73" s="120"/>
      <c r="PQY73" s="120"/>
      <c r="PQZ73" s="120"/>
      <c r="PRA73" s="120"/>
      <c r="PRB73" s="120"/>
      <c r="PRC73" s="120"/>
      <c r="PRD73" s="120"/>
      <c r="PRE73" s="120"/>
      <c r="PRF73" s="120"/>
      <c r="PRG73" s="120"/>
      <c r="PRH73" s="120"/>
      <c r="PRI73" s="120"/>
      <c r="PRJ73" s="120"/>
      <c r="PRK73" s="120"/>
      <c r="PRL73" s="120"/>
      <c r="PRM73" s="120"/>
      <c r="PRN73" s="120"/>
      <c r="PRO73" s="120"/>
      <c r="PRP73" s="120"/>
      <c r="PRQ73" s="120"/>
      <c r="PRR73" s="120"/>
      <c r="PRS73" s="120"/>
      <c r="PRT73" s="120"/>
      <c r="PRU73" s="120"/>
      <c r="PRV73" s="120"/>
      <c r="PRW73" s="120"/>
      <c r="PRX73" s="120"/>
      <c r="PRY73" s="120"/>
      <c r="PRZ73" s="120"/>
      <c r="PSA73" s="120"/>
      <c r="PSB73" s="120"/>
      <c r="PSC73" s="120"/>
      <c r="PSD73" s="120"/>
      <c r="PSE73" s="120"/>
      <c r="PSF73" s="120"/>
      <c r="PSG73" s="120"/>
      <c r="PSH73" s="120"/>
      <c r="PSI73" s="120"/>
      <c r="PSJ73" s="120"/>
      <c r="PSK73" s="120"/>
      <c r="PSL73" s="120"/>
      <c r="PSM73" s="120"/>
      <c r="PSN73" s="120"/>
      <c r="PSO73" s="120"/>
      <c r="PSP73" s="120"/>
      <c r="PSQ73" s="120"/>
      <c r="PSR73" s="120"/>
      <c r="PSS73" s="120"/>
      <c r="PST73" s="120"/>
      <c r="PSU73" s="120"/>
      <c r="PSV73" s="120"/>
      <c r="PSW73" s="120"/>
      <c r="PSX73" s="120"/>
      <c r="PSY73" s="120"/>
      <c r="PSZ73" s="120"/>
      <c r="PTA73" s="120"/>
      <c r="PTB73" s="120"/>
      <c r="PTC73" s="120"/>
      <c r="PTD73" s="120"/>
      <c r="PTE73" s="120"/>
      <c r="PTF73" s="120"/>
      <c r="PTG73" s="120"/>
      <c r="PTH73" s="120"/>
      <c r="PTI73" s="120"/>
      <c r="PTJ73" s="120"/>
      <c r="PTK73" s="120"/>
      <c r="PTL73" s="120"/>
      <c r="PTM73" s="120"/>
      <c r="PTN73" s="120"/>
      <c r="PTO73" s="120"/>
      <c r="PTP73" s="120"/>
      <c r="PTQ73" s="120"/>
      <c r="PTR73" s="120"/>
      <c r="PTS73" s="120"/>
      <c r="PTT73" s="120"/>
      <c r="PTU73" s="120"/>
      <c r="PTV73" s="120"/>
      <c r="PTW73" s="120"/>
      <c r="PTX73" s="120"/>
      <c r="PTY73" s="120"/>
      <c r="PTZ73" s="120"/>
      <c r="PUA73" s="120"/>
      <c r="PUB73" s="120"/>
      <c r="PUC73" s="120"/>
      <c r="PUD73" s="120"/>
      <c r="PUE73" s="120"/>
      <c r="PUF73" s="120"/>
      <c r="PUG73" s="120"/>
      <c r="PUH73" s="120"/>
      <c r="PUI73" s="120"/>
      <c r="PUJ73" s="120"/>
      <c r="PUK73" s="120"/>
      <c r="PUL73" s="120"/>
      <c r="PUM73" s="120"/>
      <c r="PUN73" s="120"/>
      <c r="PUO73" s="120"/>
      <c r="PUP73" s="120"/>
      <c r="PUQ73" s="120"/>
      <c r="PUR73" s="120"/>
      <c r="PUS73" s="120"/>
      <c r="PUT73" s="120"/>
      <c r="PUU73" s="120"/>
      <c r="PUV73" s="120"/>
      <c r="PUW73" s="120"/>
      <c r="PUX73" s="120"/>
      <c r="PUY73" s="120"/>
      <c r="PUZ73" s="120"/>
      <c r="PVA73" s="120"/>
      <c r="PVB73" s="120"/>
      <c r="PVC73" s="120"/>
      <c r="PVD73" s="120"/>
      <c r="PVE73" s="120"/>
      <c r="PVF73" s="120"/>
      <c r="PVG73" s="120"/>
      <c r="PVH73" s="120"/>
      <c r="PVI73" s="120"/>
      <c r="PVJ73" s="120"/>
      <c r="PVK73" s="120"/>
      <c r="PVL73" s="120"/>
      <c r="PVM73" s="120"/>
      <c r="PVN73" s="120"/>
      <c r="PVO73" s="120"/>
      <c r="PVP73" s="120"/>
      <c r="PVQ73" s="120"/>
      <c r="PVR73" s="120"/>
      <c r="PVS73" s="120"/>
      <c r="PVT73" s="120"/>
      <c r="PVU73" s="120"/>
      <c r="PVV73" s="120"/>
      <c r="PVW73" s="120"/>
      <c r="PVX73" s="120"/>
      <c r="PVY73" s="120"/>
      <c r="PVZ73" s="120"/>
      <c r="PWA73" s="120"/>
      <c r="PWB73" s="120"/>
      <c r="PWC73" s="120"/>
      <c r="PWD73" s="120"/>
      <c r="PWE73" s="120"/>
      <c r="PWF73" s="120"/>
      <c r="PWG73" s="120"/>
      <c r="PWH73" s="120"/>
      <c r="PWI73" s="120"/>
      <c r="PWJ73" s="120"/>
      <c r="PWK73" s="120"/>
      <c r="PWL73" s="120"/>
      <c r="PWM73" s="120"/>
      <c r="PWN73" s="120"/>
      <c r="PWO73" s="120"/>
      <c r="PWP73" s="120"/>
      <c r="PWQ73" s="120"/>
      <c r="PWR73" s="120"/>
      <c r="PWS73" s="120"/>
      <c r="PWT73" s="120"/>
      <c r="PWU73" s="120"/>
      <c r="PWV73" s="120"/>
      <c r="PWW73" s="120"/>
      <c r="PWX73" s="120"/>
      <c r="PWY73" s="120"/>
      <c r="PWZ73" s="120"/>
      <c r="PXA73" s="120"/>
      <c r="PXB73" s="120"/>
      <c r="PXC73" s="120"/>
      <c r="PXD73" s="120"/>
      <c r="PXE73" s="120"/>
      <c r="PXF73" s="120"/>
      <c r="PXG73" s="120"/>
      <c r="PXH73" s="120"/>
      <c r="PXI73" s="120"/>
      <c r="PXJ73" s="120"/>
      <c r="PXK73" s="120"/>
      <c r="PXL73" s="120"/>
      <c r="PXM73" s="120"/>
      <c r="PXN73" s="120"/>
      <c r="PXO73" s="120"/>
      <c r="PXP73" s="120"/>
      <c r="PXQ73" s="120"/>
      <c r="PXR73" s="120"/>
      <c r="PXS73" s="120"/>
      <c r="PXT73" s="120"/>
      <c r="PXU73" s="120"/>
      <c r="PXV73" s="120"/>
      <c r="PXW73" s="120"/>
      <c r="PXX73" s="120"/>
      <c r="PXY73" s="120"/>
      <c r="PXZ73" s="120"/>
      <c r="PYA73" s="120"/>
      <c r="PYB73" s="120"/>
      <c r="PYC73" s="120"/>
      <c r="PYD73" s="120"/>
      <c r="PYE73" s="120"/>
      <c r="PYF73" s="120"/>
      <c r="PYG73" s="120"/>
      <c r="PYH73" s="120"/>
      <c r="PYI73" s="120"/>
      <c r="PYJ73" s="120"/>
      <c r="PYK73" s="120"/>
      <c r="PYL73" s="120"/>
      <c r="PYM73" s="120"/>
      <c r="PYN73" s="120"/>
      <c r="PYO73" s="120"/>
      <c r="PYP73" s="120"/>
      <c r="PYQ73" s="120"/>
      <c r="PYR73" s="120"/>
      <c r="PYS73" s="120"/>
      <c r="PYT73" s="120"/>
      <c r="PYU73" s="120"/>
      <c r="PYV73" s="120"/>
      <c r="PYW73" s="120"/>
      <c r="PYX73" s="120"/>
      <c r="PYY73" s="120"/>
      <c r="PYZ73" s="120"/>
      <c r="PZA73" s="120"/>
      <c r="PZB73" s="120"/>
      <c r="PZC73" s="120"/>
      <c r="PZD73" s="120"/>
      <c r="PZE73" s="120"/>
      <c r="PZF73" s="120"/>
      <c r="PZG73" s="120"/>
      <c r="PZH73" s="120"/>
      <c r="PZI73" s="120"/>
      <c r="PZJ73" s="120"/>
      <c r="PZK73" s="120"/>
      <c r="PZL73" s="120"/>
      <c r="PZM73" s="120"/>
      <c r="PZN73" s="120"/>
      <c r="PZO73" s="120"/>
      <c r="PZP73" s="120"/>
      <c r="PZQ73" s="120"/>
      <c r="PZR73" s="120"/>
      <c r="PZS73" s="120"/>
      <c r="PZT73" s="120"/>
      <c r="PZU73" s="120"/>
      <c r="PZV73" s="120"/>
      <c r="PZW73" s="120"/>
      <c r="PZX73" s="120"/>
      <c r="PZY73" s="120"/>
      <c r="PZZ73" s="120"/>
      <c r="QAA73" s="120"/>
      <c r="QAB73" s="120"/>
      <c r="QAC73" s="120"/>
      <c r="QAD73" s="120"/>
      <c r="QAE73" s="120"/>
      <c r="QAF73" s="120"/>
      <c r="QAG73" s="120"/>
      <c r="QAH73" s="120"/>
      <c r="QAI73" s="120"/>
      <c r="QAJ73" s="120"/>
      <c r="QAK73" s="120"/>
      <c r="QAL73" s="120"/>
      <c r="QAM73" s="120"/>
      <c r="QAN73" s="120"/>
      <c r="QAO73" s="120"/>
      <c r="QAP73" s="120"/>
      <c r="QAQ73" s="120"/>
      <c r="QAR73" s="120"/>
      <c r="QAS73" s="120"/>
      <c r="QAT73" s="120"/>
      <c r="QAU73" s="120"/>
      <c r="QAV73" s="120"/>
      <c r="QAW73" s="120"/>
      <c r="QAX73" s="120"/>
      <c r="QAY73" s="120"/>
      <c r="QAZ73" s="120"/>
      <c r="QBA73" s="120"/>
      <c r="QBB73" s="120"/>
      <c r="QBC73" s="120"/>
      <c r="QBD73" s="120"/>
      <c r="QBE73" s="120"/>
      <c r="QBF73" s="120"/>
      <c r="QBG73" s="120"/>
      <c r="QBH73" s="120"/>
      <c r="QBI73" s="120"/>
      <c r="QBJ73" s="120"/>
      <c r="QBK73" s="120"/>
      <c r="QBL73" s="120"/>
      <c r="QBM73" s="120"/>
      <c r="QBN73" s="120"/>
      <c r="QBO73" s="120"/>
      <c r="QBP73" s="120"/>
      <c r="QBQ73" s="120"/>
      <c r="QBR73" s="120"/>
      <c r="QBS73" s="120"/>
      <c r="QBT73" s="120"/>
      <c r="QBU73" s="120"/>
      <c r="QBV73" s="120"/>
      <c r="QBW73" s="120"/>
      <c r="QBX73" s="120"/>
      <c r="QBY73" s="120"/>
      <c r="QBZ73" s="120"/>
      <c r="QCA73" s="120"/>
      <c r="QCB73" s="120"/>
      <c r="QCC73" s="120"/>
      <c r="QCD73" s="120"/>
      <c r="QCE73" s="120"/>
      <c r="QCF73" s="120"/>
      <c r="QCG73" s="120"/>
      <c r="QCH73" s="120"/>
      <c r="QCI73" s="120"/>
      <c r="QCJ73" s="120"/>
      <c r="QCK73" s="120"/>
      <c r="QCL73" s="120"/>
      <c r="QCM73" s="120"/>
      <c r="QCN73" s="120"/>
      <c r="QCO73" s="120"/>
      <c r="QCP73" s="120"/>
      <c r="QCQ73" s="120"/>
      <c r="QCR73" s="120"/>
      <c r="QCS73" s="120"/>
      <c r="QCT73" s="120"/>
      <c r="QCU73" s="120"/>
      <c r="QCV73" s="120"/>
      <c r="QCW73" s="120"/>
      <c r="QCX73" s="120"/>
      <c r="QCY73" s="120"/>
      <c r="QCZ73" s="120"/>
      <c r="QDA73" s="120"/>
      <c r="QDB73" s="120"/>
      <c r="QDC73" s="120"/>
      <c r="QDD73" s="120"/>
      <c r="QDE73" s="120"/>
      <c r="QDF73" s="120"/>
      <c r="QDG73" s="120"/>
      <c r="QDH73" s="120"/>
      <c r="QDI73" s="120"/>
      <c r="QDJ73" s="120"/>
      <c r="QDK73" s="120"/>
      <c r="QDL73" s="120"/>
      <c r="QDM73" s="120"/>
      <c r="QDN73" s="120"/>
      <c r="QDO73" s="120"/>
      <c r="QDP73" s="120"/>
      <c r="QDQ73" s="120"/>
      <c r="QDR73" s="120"/>
      <c r="QDS73" s="120"/>
      <c r="QDT73" s="120"/>
      <c r="QDU73" s="120"/>
      <c r="QDV73" s="120"/>
      <c r="QDW73" s="120"/>
      <c r="QDX73" s="120"/>
      <c r="QDY73" s="120"/>
      <c r="QDZ73" s="120"/>
      <c r="QEA73" s="120"/>
      <c r="QEB73" s="120"/>
      <c r="QEC73" s="120"/>
      <c r="QED73" s="120"/>
      <c r="QEE73" s="120"/>
      <c r="QEF73" s="120"/>
      <c r="QEG73" s="120"/>
      <c r="QEH73" s="120"/>
      <c r="QEI73" s="120"/>
      <c r="QEJ73" s="120"/>
      <c r="QEK73" s="120"/>
      <c r="QEL73" s="120"/>
      <c r="QEM73" s="120"/>
      <c r="QEN73" s="120"/>
      <c r="QEO73" s="120"/>
      <c r="QEP73" s="120"/>
      <c r="QEQ73" s="120"/>
      <c r="QER73" s="120"/>
      <c r="QES73" s="120"/>
      <c r="QET73" s="120"/>
      <c r="QEU73" s="120"/>
      <c r="QEV73" s="120"/>
      <c r="QEW73" s="120"/>
      <c r="QEX73" s="120"/>
      <c r="QEY73" s="120"/>
      <c r="QEZ73" s="120"/>
      <c r="QFA73" s="120"/>
      <c r="QFB73" s="120"/>
      <c r="QFC73" s="120"/>
      <c r="QFD73" s="120"/>
      <c r="QFE73" s="120"/>
      <c r="QFF73" s="120"/>
      <c r="QFG73" s="120"/>
      <c r="QFH73" s="120"/>
      <c r="QFI73" s="120"/>
      <c r="QFJ73" s="120"/>
      <c r="QFK73" s="120"/>
      <c r="QFL73" s="120"/>
      <c r="QFM73" s="120"/>
      <c r="QFN73" s="120"/>
      <c r="QFO73" s="120"/>
      <c r="QFP73" s="120"/>
      <c r="QFQ73" s="120"/>
      <c r="QFR73" s="120"/>
      <c r="QFS73" s="120"/>
      <c r="QFT73" s="120"/>
      <c r="QFU73" s="120"/>
      <c r="QFV73" s="120"/>
      <c r="QFW73" s="120"/>
      <c r="QFX73" s="120"/>
      <c r="QFY73" s="120"/>
      <c r="QFZ73" s="120"/>
      <c r="QGA73" s="120"/>
      <c r="QGB73" s="120"/>
      <c r="QGC73" s="120"/>
      <c r="QGD73" s="120"/>
      <c r="QGE73" s="120"/>
      <c r="QGF73" s="120"/>
      <c r="QGG73" s="120"/>
      <c r="QGH73" s="120"/>
      <c r="QGI73" s="120"/>
      <c r="QGJ73" s="120"/>
      <c r="QGK73" s="120"/>
      <c r="QGL73" s="120"/>
      <c r="QGM73" s="120"/>
      <c r="QGN73" s="120"/>
      <c r="QGO73" s="120"/>
      <c r="QGP73" s="120"/>
      <c r="QGQ73" s="120"/>
      <c r="QGR73" s="120"/>
      <c r="QGS73" s="120"/>
      <c r="QGT73" s="120"/>
      <c r="QGU73" s="120"/>
      <c r="QGV73" s="120"/>
      <c r="QGW73" s="120"/>
      <c r="QGX73" s="120"/>
      <c r="QGY73" s="120"/>
      <c r="QGZ73" s="120"/>
      <c r="QHA73" s="120"/>
      <c r="QHB73" s="120"/>
      <c r="QHC73" s="120"/>
      <c r="QHD73" s="120"/>
      <c r="QHE73" s="120"/>
      <c r="QHF73" s="120"/>
      <c r="QHG73" s="120"/>
      <c r="QHH73" s="120"/>
      <c r="QHI73" s="120"/>
      <c r="QHJ73" s="120"/>
      <c r="QHK73" s="120"/>
      <c r="QHL73" s="120"/>
      <c r="QHM73" s="120"/>
      <c r="QHN73" s="120"/>
      <c r="QHO73" s="120"/>
      <c r="QHP73" s="120"/>
      <c r="QHQ73" s="120"/>
      <c r="QHR73" s="120"/>
      <c r="QHS73" s="120"/>
      <c r="QHT73" s="120"/>
      <c r="QHU73" s="120"/>
      <c r="QHV73" s="120"/>
      <c r="QHW73" s="120"/>
      <c r="QHX73" s="120"/>
      <c r="QHY73" s="120"/>
      <c r="QHZ73" s="120"/>
      <c r="QIA73" s="120"/>
      <c r="QIB73" s="120"/>
      <c r="QIC73" s="120"/>
      <c r="QID73" s="120"/>
      <c r="QIE73" s="120"/>
      <c r="QIF73" s="120"/>
      <c r="QIG73" s="120"/>
      <c r="QIH73" s="120"/>
      <c r="QII73" s="120"/>
      <c r="QIJ73" s="120"/>
      <c r="QIK73" s="120"/>
      <c r="QIL73" s="120"/>
      <c r="QIM73" s="120"/>
      <c r="QIN73" s="120"/>
      <c r="QIO73" s="120"/>
      <c r="QIP73" s="120"/>
      <c r="QIQ73" s="120"/>
      <c r="QIR73" s="120"/>
      <c r="QIS73" s="120"/>
      <c r="QIT73" s="120"/>
      <c r="QIU73" s="120"/>
      <c r="QIV73" s="120"/>
      <c r="QIW73" s="120"/>
      <c r="QIX73" s="120"/>
      <c r="QIY73" s="120"/>
      <c r="QIZ73" s="120"/>
      <c r="QJA73" s="120"/>
      <c r="QJB73" s="120"/>
      <c r="QJC73" s="120"/>
      <c r="QJD73" s="120"/>
      <c r="QJE73" s="120"/>
      <c r="QJF73" s="120"/>
      <c r="QJG73" s="120"/>
      <c r="QJH73" s="120"/>
      <c r="QJI73" s="120"/>
      <c r="QJJ73" s="120"/>
      <c r="QJK73" s="120"/>
      <c r="QJL73" s="120"/>
      <c r="QJM73" s="120"/>
      <c r="QJN73" s="120"/>
      <c r="QJO73" s="120"/>
      <c r="QJP73" s="120"/>
      <c r="QJQ73" s="120"/>
      <c r="QJR73" s="120"/>
      <c r="QJS73" s="120"/>
      <c r="QJT73" s="120"/>
      <c r="QJU73" s="120"/>
      <c r="QJV73" s="120"/>
      <c r="QJW73" s="120"/>
      <c r="QJX73" s="120"/>
      <c r="QJY73" s="120"/>
      <c r="QJZ73" s="120"/>
      <c r="QKA73" s="120"/>
      <c r="QKB73" s="120"/>
      <c r="QKC73" s="120"/>
      <c r="QKD73" s="120"/>
      <c r="QKE73" s="120"/>
      <c r="QKF73" s="120"/>
      <c r="QKG73" s="120"/>
      <c r="QKH73" s="120"/>
      <c r="QKI73" s="120"/>
      <c r="QKJ73" s="120"/>
      <c r="QKK73" s="120"/>
      <c r="QKL73" s="120"/>
      <c r="QKM73" s="120"/>
      <c r="QKN73" s="120"/>
      <c r="QKO73" s="120"/>
      <c r="QKP73" s="120"/>
      <c r="QKQ73" s="120"/>
      <c r="QKR73" s="120"/>
      <c r="QKS73" s="120"/>
      <c r="QKT73" s="120"/>
      <c r="QKU73" s="120"/>
      <c r="QKV73" s="120"/>
      <c r="QKW73" s="120"/>
      <c r="QKX73" s="120"/>
      <c r="QKY73" s="120"/>
      <c r="QKZ73" s="120"/>
      <c r="QLA73" s="120"/>
      <c r="QLB73" s="120"/>
      <c r="QLC73" s="120"/>
      <c r="QLD73" s="120"/>
      <c r="QLE73" s="120"/>
      <c r="QLF73" s="120"/>
      <c r="QLG73" s="120"/>
      <c r="QLH73" s="120"/>
      <c r="QLI73" s="120"/>
      <c r="QLJ73" s="120"/>
      <c r="QLK73" s="120"/>
      <c r="QLL73" s="120"/>
      <c r="QLM73" s="120"/>
      <c r="QLN73" s="120"/>
      <c r="QLO73" s="120"/>
      <c r="QLP73" s="120"/>
      <c r="QLQ73" s="120"/>
      <c r="QLR73" s="120"/>
      <c r="QLS73" s="120"/>
      <c r="QLT73" s="120"/>
      <c r="QLU73" s="120"/>
      <c r="QLV73" s="120"/>
      <c r="QLW73" s="120"/>
      <c r="QLX73" s="120"/>
      <c r="QLY73" s="120"/>
      <c r="QLZ73" s="120"/>
      <c r="QMA73" s="120"/>
      <c r="QMB73" s="120"/>
      <c r="QMC73" s="120"/>
      <c r="QMD73" s="120"/>
      <c r="QME73" s="120"/>
      <c r="QMF73" s="120"/>
      <c r="QMG73" s="120"/>
      <c r="QMH73" s="120"/>
      <c r="QMI73" s="120"/>
      <c r="QMJ73" s="120"/>
      <c r="QMK73" s="120"/>
      <c r="QML73" s="120"/>
      <c r="QMM73" s="120"/>
      <c r="QMN73" s="120"/>
      <c r="QMO73" s="120"/>
      <c r="QMP73" s="120"/>
      <c r="QMQ73" s="120"/>
      <c r="QMR73" s="120"/>
      <c r="QMS73" s="120"/>
      <c r="QMT73" s="120"/>
      <c r="QMU73" s="120"/>
      <c r="QMV73" s="120"/>
      <c r="QMW73" s="120"/>
      <c r="QMX73" s="120"/>
      <c r="QMY73" s="120"/>
      <c r="QMZ73" s="120"/>
      <c r="QNA73" s="120"/>
      <c r="QNB73" s="120"/>
      <c r="QNC73" s="120"/>
      <c r="QND73" s="120"/>
      <c r="QNE73" s="120"/>
      <c r="QNF73" s="120"/>
      <c r="QNG73" s="120"/>
      <c r="QNH73" s="120"/>
      <c r="QNI73" s="120"/>
      <c r="QNJ73" s="120"/>
      <c r="QNK73" s="120"/>
      <c r="QNL73" s="120"/>
      <c r="QNM73" s="120"/>
      <c r="QNN73" s="120"/>
      <c r="QNO73" s="120"/>
      <c r="QNP73" s="120"/>
      <c r="QNQ73" s="120"/>
      <c r="QNR73" s="120"/>
      <c r="QNS73" s="120"/>
      <c r="QNT73" s="120"/>
      <c r="QNU73" s="120"/>
      <c r="QNV73" s="120"/>
      <c r="QNW73" s="120"/>
      <c r="QNX73" s="120"/>
      <c r="QNY73" s="120"/>
      <c r="QNZ73" s="120"/>
      <c r="QOA73" s="120"/>
      <c r="QOB73" s="120"/>
      <c r="QOC73" s="120"/>
      <c r="QOD73" s="120"/>
      <c r="QOE73" s="120"/>
      <c r="QOF73" s="120"/>
      <c r="QOG73" s="120"/>
      <c r="QOH73" s="120"/>
      <c r="QOI73" s="120"/>
      <c r="QOJ73" s="120"/>
      <c r="QOK73" s="120"/>
      <c r="QOL73" s="120"/>
      <c r="QOM73" s="120"/>
      <c r="QON73" s="120"/>
      <c r="QOO73" s="120"/>
      <c r="QOP73" s="120"/>
      <c r="QOQ73" s="120"/>
      <c r="QOR73" s="120"/>
      <c r="QOS73" s="120"/>
      <c r="QOT73" s="120"/>
      <c r="QOU73" s="120"/>
      <c r="QOV73" s="120"/>
      <c r="QOW73" s="120"/>
      <c r="QOX73" s="120"/>
      <c r="QOY73" s="120"/>
      <c r="QOZ73" s="120"/>
      <c r="QPA73" s="120"/>
      <c r="QPB73" s="120"/>
      <c r="QPC73" s="120"/>
      <c r="QPD73" s="120"/>
      <c r="QPE73" s="120"/>
      <c r="QPF73" s="120"/>
      <c r="QPG73" s="120"/>
      <c r="QPH73" s="120"/>
      <c r="QPI73" s="120"/>
      <c r="QPJ73" s="120"/>
      <c r="QPK73" s="120"/>
      <c r="QPL73" s="120"/>
      <c r="QPM73" s="120"/>
      <c r="QPN73" s="120"/>
      <c r="QPO73" s="120"/>
      <c r="QPP73" s="120"/>
      <c r="QPQ73" s="120"/>
      <c r="QPR73" s="120"/>
      <c r="QPS73" s="120"/>
      <c r="QPT73" s="120"/>
      <c r="QPU73" s="120"/>
      <c r="QPV73" s="120"/>
      <c r="QPW73" s="120"/>
      <c r="QPX73" s="120"/>
      <c r="QPY73" s="120"/>
      <c r="QPZ73" s="120"/>
      <c r="QQA73" s="120"/>
      <c r="QQB73" s="120"/>
      <c r="QQC73" s="120"/>
      <c r="QQD73" s="120"/>
      <c r="QQE73" s="120"/>
      <c r="QQF73" s="120"/>
      <c r="QQG73" s="120"/>
      <c r="QQH73" s="120"/>
      <c r="QQI73" s="120"/>
      <c r="QQJ73" s="120"/>
      <c r="QQK73" s="120"/>
      <c r="QQL73" s="120"/>
      <c r="QQM73" s="120"/>
      <c r="QQN73" s="120"/>
      <c r="QQO73" s="120"/>
      <c r="QQP73" s="120"/>
      <c r="QQQ73" s="120"/>
      <c r="QQR73" s="120"/>
      <c r="QQS73" s="120"/>
      <c r="QQT73" s="120"/>
      <c r="QQU73" s="120"/>
      <c r="QQV73" s="120"/>
      <c r="QQW73" s="120"/>
      <c r="QQX73" s="120"/>
      <c r="QQY73" s="120"/>
      <c r="QQZ73" s="120"/>
      <c r="QRA73" s="120"/>
      <c r="QRB73" s="120"/>
      <c r="QRC73" s="120"/>
      <c r="QRD73" s="120"/>
      <c r="QRE73" s="120"/>
      <c r="QRF73" s="120"/>
      <c r="QRG73" s="120"/>
      <c r="QRH73" s="120"/>
      <c r="QRI73" s="120"/>
      <c r="QRJ73" s="120"/>
      <c r="QRK73" s="120"/>
      <c r="QRL73" s="120"/>
      <c r="QRM73" s="120"/>
      <c r="QRN73" s="120"/>
      <c r="QRO73" s="120"/>
      <c r="QRP73" s="120"/>
      <c r="QRQ73" s="120"/>
      <c r="QRR73" s="120"/>
      <c r="QRS73" s="120"/>
      <c r="QRT73" s="120"/>
      <c r="QRU73" s="120"/>
      <c r="QRV73" s="120"/>
      <c r="QRW73" s="120"/>
      <c r="QRX73" s="120"/>
      <c r="QRY73" s="120"/>
      <c r="QRZ73" s="120"/>
      <c r="QSA73" s="120"/>
      <c r="QSB73" s="120"/>
      <c r="QSC73" s="120"/>
      <c r="QSD73" s="120"/>
      <c r="QSE73" s="120"/>
      <c r="QSF73" s="120"/>
      <c r="QSG73" s="120"/>
      <c r="QSH73" s="120"/>
      <c r="QSI73" s="120"/>
      <c r="QSJ73" s="120"/>
      <c r="QSK73" s="120"/>
      <c r="QSL73" s="120"/>
      <c r="QSM73" s="120"/>
      <c r="QSN73" s="120"/>
      <c r="QSO73" s="120"/>
      <c r="QSP73" s="120"/>
      <c r="QSQ73" s="120"/>
      <c r="QSR73" s="120"/>
      <c r="QSS73" s="120"/>
      <c r="QST73" s="120"/>
      <c r="QSU73" s="120"/>
      <c r="QSV73" s="120"/>
      <c r="QSW73" s="120"/>
      <c r="QSX73" s="120"/>
      <c r="QSY73" s="120"/>
      <c r="QSZ73" s="120"/>
      <c r="QTA73" s="120"/>
      <c r="QTB73" s="120"/>
      <c r="QTC73" s="120"/>
      <c r="QTD73" s="120"/>
      <c r="QTE73" s="120"/>
      <c r="QTF73" s="120"/>
      <c r="QTG73" s="120"/>
      <c r="QTH73" s="120"/>
      <c r="QTI73" s="120"/>
      <c r="QTJ73" s="120"/>
      <c r="QTK73" s="120"/>
      <c r="QTL73" s="120"/>
      <c r="QTM73" s="120"/>
      <c r="QTN73" s="120"/>
      <c r="QTO73" s="120"/>
      <c r="QTP73" s="120"/>
      <c r="QTQ73" s="120"/>
      <c r="QTR73" s="120"/>
      <c r="QTS73" s="120"/>
      <c r="QTT73" s="120"/>
      <c r="QTU73" s="120"/>
      <c r="QTV73" s="120"/>
      <c r="QTW73" s="120"/>
      <c r="QTX73" s="120"/>
      <c r="QTY73" s="120"/>
      <c r="QTZ73" s="120"/>
      <c r="QUA73" s="120"/>
      <c r="QUB73" s="120"/>
      <c r="QUC73" s="120"/>
      <c r="QUD73" s="120"/>
      <c r="QUE73" s="120"/>
      <c r="QUF73" s="120"/>
      <c r="QUG73" s="120"/>
      <c r="QUH73" s="120"/>
      <c r="QUI73" s="120"/>
      <c r="QUJ73" s="120"/>
      <c r="QUK73" s="120"/>
      <c r="QUL73" s="120"/>
      <c r="QUM73" s="120"/>
      <c r="QUN73" s="120"/>
      <c r="QUO73" s="120"/>
      <c r="QUP73" s="120"/>
      <c r="QUQ73" s="120"/>
      <c r="QUR73" s="120"/>
      <c r="QUS73" s="120"/>
      <c r="QUT73" s="120"/>
      <c r="QUU73" s="120"/>
      <c r="QUV73" s="120"/>
      <c r="QUW73" s="120"/>
      <c r="QUX73" s="120"/>
      <c r="QUY73" s="120"/>
      <c r="QUZ73" s="120"/>
      <c r="QVA73" s="120"/>
      <c r="QVB73" s="120"/>
      <c r="QVC73" s="120"/>
      <c r="QVD73" s="120"/>
      <c r="QVE73" s="120"/>
      <c r="QVF73" s="120"/>
      <c r="QVG73" s="120"/>
      <c r="QVH73" s="120"/>
      <c r="QVI73" s="120"/>
      <c r="QVJ73" s="120"/>
      <c r="QVK73" s="120"/>
      <c r="QVL73" s="120"/>
      <c r="QVM73" s="120"/>
      <c r="QVN73" s="120"/>
      <c r="QVO73" s="120"/>
      <c r="QVP73" s="120"/>
      <c r="QVQ73" s="120"/>
      <c r="QVR73" s="120"/>
      <c r="QVS73" s="120"/>
      <c r="QVT73" s="120"/>
      <c r="QVU73" s="120"/>
      <c r="QVV73" s="120"/>
      <c r="QVW73" s="120"/>
      <c r="QVX73" s="120"/>
      <c r="QVY73" s="120"/>
      <c r="QVZ73" s="120"/>
      <c r="QWA73" s="120"/>
      <c r="QWB73" s="120"/>
      <c r="QWC73" s="120"/>
      <c r="QWD73" s="120"/>
      <c r="QWE73" s="120"/>
      <c r="QWF73" s="120"/>
      <c r="QWG73" s="120"/>
      <c r="QWH73" s="120"/>
      <c r="QWI73" s="120"/>
      <c r="QWJ73" s="120"/>
      <c r="QWK73" s="120"/>
      <c r="QWL73" s="120"/>
      <c r="QWM73" s="120"/>
      <c r="QWN73" s="120"/>
      <c r="QWO73" s="120"/>
      <c r="QWP73" s="120"/>
      <c r="QWQ73" s="120"/>
      <c r="QWR73" s="120"/>
      <c r="QWS73" s="120"/>
      <c r="QWT73" s="120"/>
      <c r="QWU73" s="120"/>
      <c r="QWV73" s="120"/>
      <c r="QWW73" s="120"/>
      <c r="QWX73" s="120"/>
      <c r="QWY73" s="120"/>
      <c r="QWZ73" s="120"/>
      <c r="QXA73" s="120"/>
      <c r="QXB73" s="120"/>
      <c r="QXC73" s="120"/>
      <c r="QXD73" s="120"/>
      <c r="QXE73" s="120"/>
      <c r="QXF73" s="120"/>
      <c r="QXG73" s="120"/>
      <c r="QXH73" s="120"/>
      <c r="QXI73" s="120"/>
      <c r="QXJ73" s="120"/>
      <c r="QXK73" s="120"/>
      <c r="QXL73" s="120"/>
      <c r="QXM73" s="120"/>
      <c r="QXN73" s="120"/>
      <c r="QXO73" s="120"/>
      <c r="QXP73" s="120"/>
      <c r="QXQ73" s="120"/>
      <c r="QXR73" s="120"/>
      <c r="QXS73" s="120"/>
      <c r="QXT73" s="120"/>
      <c r="QXU73" s="120"/>
      <c r="QXV73" s="120"/>
      <c r="QXW73" s="120"/>
      <c r="QXX73" s="120"/>
      <c r="QXY73" s="120"/>
      <c r="QXZ73" s="120"/>
      <c r="QYA73" s="120"/>
      <c r="QYB73" s="120"/>
      <c r="QYC73" s="120"/>
      <c r="QYD73" s="120"/>
      <c r="QYE73" s="120"/>
      <c r="QYF73" s="120"/>
      <c r="QYG73" s="120"/>
      <c r="QYH73" s="120"/>
      <c r="QYI73" s="120"/>
      <c r="QYJ73" s="120"/>
      <c r="QYK73" s="120"/>
      <c r="QYL73" s="120"/>
      <c r="QYM73" s="120"/>
      <c r="QYN73" s="120"/>
      <c r="QYO73" s="120"/>
      <c r="QYP73" s="120"/>
      <c r="QYQ73" s="120"/>
      <c r="QYR73" s="120"/>
      <c r="QYS73" s="120"/>
      <c r="QYT73" s="120"/>
      <c r="QYU73" s="120"/>
      <c r="QYV73" s="120"/>
      <c r="QYW73" s="120"/>
      <c r="QYX73" s="120"/>
      <c r="QYY73" s="120"/>
      <c r="QYZ73" s="120"/>
      <c r="QZA73" s="120"/>
      <c r="QZB73" s="120"/>
      <c r="QZC73" s="120"/>
      <c r="QZD73" s="120"/>
      <c r="QZE73" s="120"/>
      <c r="QZF73" s="120"/>
      <c r="QZG73" s="120"/>
      <c r="QZH73" s="120"/>
      <c r="QZI73" s="120"/>
      <c r="QZJ73" s="120"/>
      <c r="QZK73" s="120"/>
      <c r="QZL73" s="120"/>
      <c r="QZM73" s="120"/>
      <c r="QZN73" s="120"/>
      <c r="QZO73" s="120"/>
      <c r="QZP73" s="120"/>
      <c r="QZQ73" s="120"/>
      <c r="QZR73" s="120"/>
      <c r="QZS73" s="120"/>
      <c r="QZT73" s="120"/>
      <c r="QZU73" s="120"/>
      <c r="QZV73" s="120"/>
      <c r="QZW73" s="120"/>
      <c r="QZX73" s="120"/>
      <c r="QZY73" s="120"/>
      <c r="QZZ73" s="120"/>
      <c r="RAA73" s="120"/>
      <c r="RAB73" s="120"/>
      <c r="RAC73" s="120"/>
      <c r="RAD73" s="120"/>
      <c r="RAE73" s="120"/>
      <c r="RAF73" s="120"/>
      <c r="RAG73" s="120"/>
      <c r="RAH73" s="120"/>
      <c r="RAI73" s="120"/>
      <c r="RAJ73" s="120"/>
      <c r="RAK73" s="120"/>
      <c r="RAL73" s="120"/>
      <c r="RAM73" s="120"/>
      <c r="RAN73" s="120"/>
      <c r="RAO73" s="120"/>
      <c r="RAP73" s="120"/>
      <c r="RAQ73" s="120"/>
      <c r="RAR73" s="120"/>
      <c r="RAS73" s="120"/>
      <c r="RAT73" s="120"/>
      <c r="RAU73" s="120"/>
      <c r="RAV73" s="120"/>
      <c r="RAW73" s="120"/>
      <c r="RAX73" s="120"/>
      <c r="RAY73" s="120"/>
      <c r="RAZ73" s="120"/>
      <c r="RBA73" s="120"/>
      <c r="RBB73" s="120"/>
      <c r="RBC73" s="120"/>
      <c r="RBD73" s="120"/>
      <c r="RBE73" s="120"/>
      <c r="RBF73" s="120"/>
      <c r="RBG73" s="120"/>
      <c r="RBH73" s="120"/>
      <c r="RBI73" s="120"/>
      <c r="RBJ73" s="120"/>
      <c r="RBK73" s="120"/>
      <c r="RBL73" s="120"/>
      <c r="RBM73" s="120"/>
      <c r="RBN73" s="120"/>
      <c r="RBO73" s="120"/>
      <c r="RBP73" s="120"/>
      <c r="RBQ73" s="120"/>
      <c r="RBR73" s="120"/>
      <c r="RBS73" s="120"/>
      <c r="RBT73" s="120"/>
      <c r="RBU73" s="120"/>
      <c r="RBV73" s="120"/>
      <c r="RBW73" s="120"/>
      <c r="RBX73" s="120"/>
      <c r="RBY73" s="120"/>
      <c r="RBZ73" s="120"/>
      <c r="RCA73" s="120"/>
      <c r="RCB73" s="120"/>
      <c r="RCC73" s="120"/>
      <c r="RCD73" s="120"/>
      <c r="RCE73" s="120"/>
      <c r="RCF73" s="120"/>
      <c r="RCG73" s="120"/>
      <c r="RCH73" s="120"/>
      <c r="RCI73" s="120"/>
      <c r="RCJ73" s="120"/>
      <c r="RCK73" s="120"/>
      <c r="RCL73" s="120"/>
      <c r="RCM73" s="120"/>
      <c r="RCN73" s="120"/>
      <c r="RCO73" s="120"/>
      <c r="RCP73" s="120"/>
      <c r="RCQ73" s="120"/>
      <c r="RCR73" s="120"/>
      <c r="RCS73" s="120"/>
      <c r="RCT73" s="120"/>
      <c r="RCU73" s="120"/>
      <c r="RCV73" s="120"/>
      <c r="RCW73" s="120"/>
      <c r="RCX73" s="120"/>
      <c r="RCY73" s="120"/>
      <c r="RCZ73" s="120"/>
      <c r="RDA73" s="120"/>
      <c r="RDB73" s="120"/>
      <c r="RDC73" s="120"/>
      <c r="RDD73" s="120"/>
      <c r="RDE73" s="120"/>
      <c r="RDF73" s="120"/>
      <c r="RDG73" s="120"/>
      <c r="RDH73" s="120"/>
      <c r="RDI73" s="120"/>
      <c r="RDJ73" s="120"/>
      <c r="RDK73" s="120"/>
      <c r="RDL73" s="120"/>
      <c r="RDM73" s="120"/>
      <c r="RDN73" s="120"/>
      <c r="RDO73" s="120"/>
      <c r="RDP73" s="120"/>
      <c r="RDQ73" s="120"/>
      <c r="RDR73" s="120"/>
      <c r="RDS73" s="120"/>
      <c r="RDT73" s="120"/>
      <c r="RDU73" s="120"/>
      <c r="RDV73" s="120"/>
      <c r="RDW73" s="120"/>
      <c r="RDX73" s="120"/>
      <c r="RDY73" s="120"/>
      <c r="RDZ73" s="120"/>
      <c r="REA73" s="120"/>
      <c r="REB73" s="120"/>
      <c r="REC73" s="120"/>
      <c r="RED73" s="120"/>
      <c r="REE73" s="120"/>
      <c r="REF73" s="120"/>
      <c r="REG73" s="120"/>
      <c r="REH73" s="120"/>
      <c r="REI73" s="120"/>
      <c r="REJ73" s="120"/>
      <c r="REK73" s="120"/>
      <c r="REL73" s="120"/>
      <c r="REM73" s="120"/>
      <c r="REN73" s="120"/>
      <c r="REO73" s="120"/>
      <c r="REP73" s="120"/>
      <c r="REQ73" s="120"/>
      <c r="RER73" s="120"/>
      <c r="RES73" s="120"/>
      <c r="RET73" s="120"/>
      <c r="REU73" s="120"/>
      <c r="REV73" s="120"/>
      <c r="REW73" s="120"/>
      <c r="REX73" s="120"/>
      <c r="REY73" s="120"/>
      <c r="REZ73" s="120"/>
      <c r="RFA73" s="120"/>
      <c r="RFB73" s="120"/>
      <c r="RFC73" s="120"/>
      <c r="RFD73" s="120"/>
      <c r="RFE73" s="120"/>
      <c r="RFF73" s="120"/>
      <c r="RFG73" s="120"/>
      <c r="RFH73" s="120"/>
      <c r="RFI73" s="120"/>
      <c r="RFJ73" s="120"/>
      <c r="RFK73" s="120"/>
      <c r="RFL73" s="120"/>
      <c r="RFM73" s="120"/>
      <c r="RFN73" s="120"/>
      <c r="RFO73" s="120"/>
      <c r="RFP73" s="120"/>
      <c r="RFQ73" s="120"/>
      <c r="RFR73" s="120"/>
      <c r="RFS73" s="120"/>
      <c r="RFT73" s="120"/>
      <c r="RFU73" s="120"/>
      <c r="RFV73" s="120"/>
      <c r="RFW73" s="120"/>
      <c r="RFX73" s="120"/>
      <c r="RFY73" s="120"/>
      <c r="RFZ73" s="120"/>
      <c r="RGA73" s="120"/>
      <c r="RGB73" s="120"/>
      <c r="RGC73" s="120"/>
      <c r="RGD73" s="120"/>
      <c r="RGE73" s="120"/>
      <c r="RGF73" s="120"/>
      <c r="RGG73" s="120"/>
      <c r="RGH73" s="120"/>
      <c r="RGI73" s="120"/>
      <c r="RGJ73" s="120"/>
      <c r="RGK73" s="120"/>
      <c r="RGL73" s="120"/>
      <c r="RGM73" s="120"/>
      <c r="RGN73" s="120"/>
      <c r="RGO73" s="120"/>
      <c r="RGP73" s="120"/>
      <c r="RGQ73" s="120"/>
      <c r="RGR73" s="120"/>
      <c r="RGS73" s="120"/>
      <c r="RGT73" s="120"/>
      <c r="RGU73" s="120"/>
      <c r="RGV73" s="120"/>
      <c r="RGW73" s="120"/>
      <c r="RGX73" s="120"/>
      <c r="RGY73" s="120"/>
      <c r="RGZ73" s="120"/>
      <c r="RHA73" s="120"/>
      <c r="RHB73" s="120"/>
      <c r="RHC73" s="120"/>
      <c r="RHD73" s="120"/>
      <c r="RHE73" s="120"/>
      <c r="RHF73" s="120"/>
      <c r="RHG73" s="120"/>
      <c r="RHH73" s="120"/>
      <c r="RHI73" s="120"/>
      <c r="RHJ73" s="120"/>
      <c r="RHK73" s="120"/>
      <c r="RHL73" s="120"/>
      <c r="RHM73" s="120"/>
      <c r="RHN73" s="120"/>
      <c r="RHO73" s="120"/>
      <c r="RHP73" s="120"/>
      <c r="RHQ73" s="120"/>
      <c r="RHR73" s="120"/>
      <c r="RHS73" s="120"/>
      <c r="RHT73" s="120"/>
      <c r="RHU73" s="120"/>
      <c r="RHV73" s="120"/>
      <c r="RHW73" s="120"/>
      <c r="RHX73" s="120"/>
      <c r="RHY73" s="120"/>
      <c r="RHZ73" s="120"/>
      <c r="RIA73" s="120"/>
      <c r="RIB73" s="120"/>
      <c r="RIC73" s="120"/>
      <c r="RID73" s="120"/>
      <c r="RIE73" s="120"/>
      <c r="RIF73" s="120"/>
      <c r="RIG73" s="120"/>
      <c r="RIH73" s="120"/>
      <c r="RII73" s="120"/>
      <c r="RIJ73" s="120"/>
      <c r="RIK73" s="120"/>
      <c r="RIL73" s="120"/>
      <c r="RIM73" s="120"/>
      <c r="RIN73" s="120"/>
      <c r="RIO73" s="120"/>
      <c r="RIP73" s="120"/>
      <c r="RIQ73" s="120"/>
      <c r="RIR73" s="120"/>
      <c r="RIS73" s="120"/>
      <c r="RIT73" s="120"/>
      <c r="RIU73" s="120"/>
      <c r="RIV73" s="120"/>
      <c r="RIW73" s="120"/>
      <c r="RIX73" s="120"/>
      <c r="RIY73" s="120"/>
      <c r="RIZ73" s="120"/>
      <c r="RJA73" s="120"/>
      <c r="RJB73" s="120"/>
      <c r="RJC73" s="120"/>
      <c r="RJD73" s="120"/>
      <c r="RJE73" s="120"/>
      <c r="RJF73" s="120"/>
      <c r="RJG73" s="120"/>
      <c r="RJH73" s="120"/>
      <c r="RJI73" s="120"/>
      <c r="RJJ73" s="120"/>
      <c r="RJK73" s="120"/>
      <c r="RJL73" s="120"/>
      <c r="RJM73" s="120"/>
      <c r="RJN73" s="120"/>
      <c r="RJO73" s="120"/>
      <c r="RJP73" s="120"/>
      <c r="RJQ73" s="120"/>
      <c r="RJR73" s="120"/>
      <c r="RJS73" s="120"/>
      <c r="RJT73" s="120"/>
      <c r="RJU73" s="120"/>
      <c r="RJV73" s="120"/>
      <c r="RJW73" s="120"/>
      <c r="RJX73" s="120"/>
      <c r="RJY73" s="120"/>
      <c r="RJZ73" s="120"/>
      <c r="RKA73" s="120"/>
      <c r="RKB73" s="120"/>
      <c r="RKC73" s="120"/>
      <c r="RKD73" s="120"/>
      <c r="RKE73" s="120"/>
      <c r="RKF73" s="120"/>
      <c r="RKG73" s="120"/>
      <c r="RKH73" s="120"/>
      <c r="RKI73" s="120"/>
      <c r="RKJ73" s="120"/>
      <c r="RKK73" s="120"/>
      <c r="RKL73" s="120"/>
      <c r="RKM73" s="120"/>
      <c r="RKN73" s="120"/>
      <c r="RKO73" s="120"/>
      <c r="RKP73" s="120"/>
      <c r="RKQ73" s="120"/>
      <c r="RKR73" s="120"/>
      <c r="RKS73" s="120"/>
      <c r="RKT73" s="120"/>
      <c r="RKU73" s="120"/>
      <c r="RKV73" s="120"/>
      <c r="RKW73" s="120"/>
      <c r="RKX73" s="120"/>
      <c r="RKY73" s="120"/>
      <c r="RKZ73" s="120"/>
      <c r="RLA73" s="120"/>
      <c r="RLB73" s="120"/>
      <c r="RLC73" s="120"/>
      <c r="RLD73" s="120"/>
      <c r="RLE73" s="120"/>
      <c r="RLF73" s="120"/>
      <c r="RLG73" s="120"/>
      <c r="RLH73" s="120"/>
      <c r="RLI73" s="120"/>
      <c r="RLJ73" s="120"/>
      <c r="RLK73" s="120"/>
      <c r="RLL73" s="120"/>
      <c r="RLM73" s="120"/>
      <c r="RLN73" s="120"/>
      <c r="RLO73" s="120"/>
      <c r="RLP73" s="120"/>
      <c r="RLQ73" s="120"/>
      <c r="RLR73" s="120"/>
      <c r="RLS73" s="120"/>
      <c r="RLT73" s="120"/>
      <c r="RLU73" s="120"/>
      <c r="RLV73" s="120"/>
      <c r="RLW73" s="120"/>
      <c r="RLX73" s="120"/>
      <c r="RLY73" s="120"/>
      <c r="RLZ73" s="120"/>
      <c r="RMA73" s="120"/>
      <c r="RMB73" s="120"/>
      <c r="RMC73" s="120"/>
      <c r="RMD73" s="120"/>
      <c r="RME73" s="120"/>
      <c r="RMF73" s="120"/>
      <c r="RMG73" s="120"/>
      <c r="RMH73" s="120"/>
      <c r="RMI73" s="120"/>
      <c r="RMJ73" s="120"/>
      <c r="RMK73" s="120"/>
      <c r="RML73" s="120"/>
      <c r="RMM73" s="120"/>
      <c r="RMN73" s="120"/>
      <c r="RMO73" s="120"/>
      <c r="RMP73" s="120"/>
      <c r="RMQ73" s="120"/>
      <c r="RMR73" s="120"/>
      <c r="RMS73" s="120"/>
      <c r="RMT73" s="120"/>
      <c r="RMU73" s="120"/>
      <c r="RMV73" s="120"/>
      <c r="RMW73" s="120"/>
      <c r="RMX73" s="120"/>
      <c r="RMY73" s="120"/>
      <c r="RMZ73" s="120"/>
      <c r="RNA73" s="120"/>
      <c r="RNB73" s="120"/>
      <c r="RNC73" s="120"/>
      <c r="RND73" s="120"/>
      <c r="RNE73" s="120"/>
      <c r="RNF73" s="120"/>
      <c r="RNG73" s="120"/>
      <c r="RNH73" s="120"/>
      <c r="RNI73" s="120"/>
      <c r="RNJ73" s="120"/>
      <c r="RNK73" s="120"/>
      <c r="RNL73" s="120"/>
      <c r="RNM73" s="120"/>
      <c r="RNN73" s="120"/>
      <c r="RNO73" s="120"/>
      <c r="RNP73" s="120"/>
      <c r="RNQ73" s="120"/>
      <c r="RNR73" s="120"/>
      <c r="RNS73" s="120"/>
      <c r="RNT73" s="120"/>
      <c r="RNU73" s="120"/>
      <c r="RNV73" s="120"/>
      <c r="RNW73" s="120"/>
      <c r="RNX73" s="120"/>
      <c r="RNY73" s="120"/>
      <c r="RNZ73" s="120"/>
      <c r="ROA73" s="120"/>
      <c r="ROB73" s="120"/>
      <c r="ROC73" s="120"/>
      <c r="ROD73" s="120"/>
      <c r="ROE73" s="120"/>
      <c r="ROF73" s="120"/>
      <c r="ROG73" s="120"/>
      <c r="ROH73" s="120"/>
      <c r="ROI73" s="120"/>
      <c r="ROJ73" s="120"/>
      <c r="ROK73" s="120"/>
      <c r="ROL73" s="120"/>
      <c r="ROM73" s="120"/>
      <c r="RON73" s="120"/>
      <c r="ROO73" s="120"/>
      <c r="ROP73" s="120"/>
      <c r="ROQ73" s="120"/>
      <c r="ROR73" s="120"/>
      <c r="ROS73" s="120"/>
      <c r="ROT73" s="120"/>
      <c r="ROU73" s="120"/>
      <c r="ROV73" s="120"/>
      <c r="ROW73" s="120"/>
      <c r="ROX73" s="120"/>
      <c r="ROY73" s="120"/>
      <c r="ROZ73" s="120"/>
      <c r="RPA73" s="120"/>
      <c r="RPB73" s="120"/>
      <c r="RPC73" s="120"/>
      <c r="RPD73" s="120"/>
      <c r="RPE73" s="120"/>
      <c r="RPF73" s="120"/>
      <c r="RPG73" s="120"/>
      <c r="RPH73" s="120"/>
      <c r="RPI73" s="120"/>
      <c r="RPJ73" s="120"/>
      <c r="RPK73" s="120"/>
      <c r="RPL73" s="120"/>
      <c r="RPM73" s="120"/>
      <c r="RPN73" s="120"/>
      <c r="RPO73" s="120"/>
      <c r="RPP73" s="120"/>
      <c r="RPQ73" s="120"/>
      <c r="RPR73" s="120"/>
      <c r="RPS73" s="120"/>
      <c r="RPT73" s="120"/>
      <c r="RPU73" s="120"/>
      <c r="RPV73" s="120"/>
      <c r="RPW73" s="120"/>
      <c r="RPX73" s="120"/>
      <c r="RPY73" s="120"/>
      <c r="RPZ73" s="120"/>
      <c r="RQA73" s="120"/>
      <c r="RQB73" s="120"/>
      <c r="RQC73" s="120"/>
      <c r="RQD73" s="120"/>
      <c r="RQE73" s="120"/>
      <c r="RQF73" s="120"/>
      <c r="RQG73" s="120"/>
      <c r="RQH73" s="120"/>
      <c r="RQI73" s="120"/>
      <c r="RQJ73" s="120"/>
      <c r="RQK73" s="120"/>
      <c r="RQL73" s="120"/>
      <c r="RQM73" s="120"/>
      <c r="RQN73" s="120"/>
      <c r="RQO73" s="120"/>
      <c r="RQP73" s="120"/>
      <c r="RQQ73" s="120"/>
      <c r="RQR73" s="120"/>
      <c r="RQS73" s="120"/>
      <c r="RQT73" s="120"/>
      <c r="RQU73" s="120"/>
      <c r="RQV73" s="120"/>
      <c r="RQW73" s="120"/>
      <c r="RQX73" s="120"/>
      <c r="RQY73" s="120"/>
      <c r="RQZ73" s="120"/>
      <c r="RRA73" s="120"/>
      <c r="RRB73" s="120"/>
      <c r="RRC73" s="120"/>
      <c r="RRD73" s="120"/>
      <c r="RRE73" s="120"/>
      <c r="RRF73" s="120"/>
      <c r="RRG73" s="120"/>
      <c r="RRH73" s="120"/>
      <c r="RRI73" s="120"/>
      <c r="RRJ73" s="120"/>
      <c r="RRK73" s="120"/>
      <c r="RRL73" s="120"/>
      <c r="RRM73" s="120"/>
      <c r="RRN73" s="120"/>
      <c r="RRO73" s="120"/>
      <c r="RRP73" s="120"/>
      <c r="RRQ73" s="120"/>
      <c r="RRR73" s="120"/>
      <c r="RRS73" s="120"/>
      <c r="RRT73" s="120"/>
      <c r="RRU73" s="120"/>
      <c r="RRV73" s="120"/>
      <c r="RRW73" s="120"/>
      <c r="RRX73" s="120"/>
      <c r="RRY73" s="120"/>
      <c r="RRZ73" s="120"/>
      <c r="RSA73" s="120"/>
      <c r="RSB73" s="120"/>
      <c r="RSC73" s="120"/>
      <c r="RSD73" s="120"/>
      <c r="RSE73" s="120"/>
      <c r="RSF73" s="120"/>
      <c r="RSG73" s="120"/>
      <c r="RSH73" s="120"/>
      <c r="RSI73" s="120"/>
      <c r="RSJ73" s="120"/>
      <c r="RSK73" s="120"/>
      <c r="RSL73" s="120"/>
      <c r="RSM73" s="120"/>
      <c r="RSN73" s="120"/>
      <c r="RSO73" s="120"/>
      <c r="RSP73" s="120"/>
      <c r="RSQ73" s="120"/>
      <c r="RSR73" s="120"/>
      <c r="RSS73" s="120"/>
      <c r="RST73" s="120"/>
      <c r="RSU73" s="120"/>
      <c r="RSV73" s="120"/>
      <c r="RSW73" s="120"/>
      <c r="RSX73" s="120"/>
      <c r="RSY73" s="120"/>
      <c r="RSZ73" s="120"/>
      <c r="RTA73" s="120"/>
      <c r="RTB73" s="120"/>
      <c r="RTC73" s="120"/>
      <c r="RTD73" s="120"/>
      <c r="RTE73" s="120"/>
      <c r="RTF73" s="120"/>
      <c r="RTG73" s="120"/>
      <c r="RTH73" s="120"/>
      <c r="RTI73" s="120"/>
      <c r="RTJ73" s="120"/>
      <c r="RTK73" s="120"/>
      <c r="RTL73" s="120"/>
      <c r="RTM73" s="120"/>
      <c r="RTN73" s="120"/>
      <c r="RTO73" s="120"/>
      <c r="RTP73" s="120"/>
      <c r="RTQ73" s="120"/>
      <c r="RTR73" s="120"/>
      <c r="RTS73" s="120"/>
      <c r="RTT73" s="120"/>
      <c r="RTU73" s="120"/>
      <c r="RTV73" s="120"/>
      <c r="RTW73" s="120"/>
      <c r="RTX73" s="120"/>
      <c r="RTY73" s="120"/>
      <c r="RTZ73" s="120"/>
      <c r="RUA73" s="120"/>
      <c r="RUB73" s="120"/>
      <c r="RUC73" s="120"/>
      <c r="RUD73" s="120"/>
      <c r="RUE73" s="120"/>
      <c r="RUF73" s="120"/>
      <c r="RUG73" s="120"/>
      <c r="RUH73" s="120"/>
      <c r="RUI73" s="120"/>
      <c r="RUJ73" s="120"/>
      <c r="RUK73" s="120"/>
      <c r="RUL73" s="120"/>
      <c r="RUM73" s="120"/>
      <c r="RUN73" s="120"/>
      <c r="RUO73" s="120"/>
      <c r="RUP73" s="120"/>
      <c r="RUQ73" s="120"/>
      <c r="RUR73" s="120"/>
      <c r="RUS73" s="120"/>
      <c r="RUT73" s="120"/>
      <c r="RUU73" s="120"/>
      <c r="RUV73" s="120"/>
      <c r="RUW73" s="120"/>
      <c r="RUX73" s="120"/>
      <c r="RUY73" s="120"/>
      <c r="RUZ73" s="120"/>
      <c r="RVA73" s="120"/>
      <c r="RVB73" s="120"/>
      <c r="RVC73" s="120"/>
      <c r="RVD73" s="120"/>
      <c r="RVE73" s="120"/>
      <c r="RVF73" s="120"/>
      <c r="RVG73" s="120"/>
      <c r="RVH73" s="120"/>
      <c r="RVI73" s="120"/>
      <c r="RVJ73" s="120"/>
      <c r="RVK73" s="120"/>
      <c r="RVL73" s="120"/>
      <c r="RVM73" s="120"/>
      <c r="RVN73" s="120"/>
      <c r="RVO73" s="120"/>
      <c r="RVP73" s="120"/>
      <c r="RVQ73" s="120"/>
      <c r="RVR73" s="120"/>
      <c r="RVS73" s="120"/>
      <c r="RVT73" s="120"/>
      <c r="RVU73" s="120"/>
      <c r="RVV73" s="120"/>
      <c r="RVW73" s="120"/>
      <c r="RVX73" s="120"/>
      <c r="RVY73" s="120"/>
      <c r="RVZ73" s="120"/>
      <c r="RWA73" s="120"/>
      <c r="RWB73" s="120"/>
      <c r="RWC73" s="120"/>
      <c r="RWD73" s="120"/>
      <c r="RWE73" s="120"/>
      <c r="RWF73" s="120"/>
      <c r="RWG73" s="120"/>
      <c r="RWH73" s="120"/>
      <c r="RWI73" s="120"/>
      <c r="RWJ73" s="120"/>
      <c r="RWK73" s="120"/>
      <c r="RWL73" s="120"/>
      <c r="RWM73" s="120"/>
      <c r="RWN73" s="120"/>
      <c r="RWO73" s="120"/>
      <c r="RWP73" s="120"/>
      <c r="RWQ73" s="120"/>
      <c r="RWR73" s="120"/>
      <c r="RWS73" s="120"/>
      <c r="RWT73" s="120"/>
      <c r="RWU73" s="120"/>
      <c r="RWV73" s="120"/>
      <c r="RWW73" s="120"/>
      <c r="RWX73" s="120"/>
      <c r="RWY73" s="120"/>
      <c r="RWZ73" s="120"/>
      <c r="RXA73" s="120"/>
      <c r="RXB73" s="120"/>
      <c r="RXC73" s="120"/>
      <c r="RXD73" s="120"/>
      <c r="RXE73" s="120"/>
      <c r="RXF73" s="120"/>
      <c r="RXG73" s="120"/>
      <c r="RXH73" s="120"/>
      <c r="RXI73" s="120"/>
      <c r="RXJ73" s="120"/>
      <c r="RXK73" s="120"/>
      <c r="RXL73" s="120"/>
      <c r="RXM73" s="120"/>
      <c r="RXN73" s="120"/>
      <c r="RXO73" s="120"/>
      <c r="RXP73" s="120"/>
      <c r="RXQ73" s="120"/>
      <c r="RXR73" s="120"/>
      <c r="RXS73" s="120"/>
      <c r="RXT73" s="120"/>
      <c r="RXU73" s="120"/>
      <c r="RXV73" s="120"/>
      <c r="RXW73" s="120"/>
      <c r="RXX73" s="120"/>
      <c r="RXY73" s="120"/>
      <c r="RXZ73" s="120"/>
      <c r="RYA73" s="120"/>
      <c r="RYB73" s="120"/>
      <c r="RYC73" s="120"/>
      <c r="RYD73" s="120"/>
      <c r="RYE73" s="120"/>
      <c r="RYF73" s="120"/>
      <c r="RYG73" s="120"/>
      <c r="RYH73" s="120"/>
      <c r="RYI73" s="120"/>
      <c r="RYJ73" s="120"/>
      <c r="RYK73" s="120"/>
      <c r="RYL73" s="120"/>
      <c r="RYM73" s="120"/>
      <c r="RYN73" s="120"/>
      <c r="RYO73" s="120"/>
      <c r="RYP73" s="120"/>
      <c r="RYQ73" s="120"/>
      <c r="RYR73" s="120"/>
      <c r="RYS73" s="120"/>
      <c r="RYT73" s="120"/>
      <c r="RYU73" s="120"/>
      <c r="RYV73" s="120"/>
      <c r="RYW73" s="120"/>
      <c r="RYX73" s="120"/>
      <c r="RYY73" s="120"/>
      <c r="RYZ73" s="120"/>
      <c r="RZA73" s="120"/>
      <c r="RZB73" s="120"/>
      <c r="RZC73" s="120"/>
      <c r="RZD73" s="120"/>
      <c r="RZE73" s="120"/>
      <c r="RZF73" s="120"/>
      <c r="RZG73" s="120"/>
      <c r="RZH73" s="120"/>
      <c r="RZI73" s="120"/>
      <c r="RZJ73" s="120"/>
      <c r="RZK73" s="120"/>
      <c r="RZL73" s="120"/>
      <c r="RZM73" s="120"/>
      <c r="RZN73" s="120"/>
      <c r="RZO73" s="120"/>
      <c r="RZP73" s="120"/>
      <c r="RZQ73" s="120"/>
      <c r="RZR73" s="120"/>
      <c r="RZS73" s="120"/>
      <c r="RZT73" s="120"/>
      <c r="RZU73" s="120"/>
      <c r="RZV73" s="120"/>
      <c r="RZW73" s="120"/>
      <c r="RZX73" s="120"/>
      <c r="RZY73" s="120"/>
      <c r="RZZ73" s="120"/>
      <c r="SAA73" s="120"/>
      <c r="SAB73" s="120"/>
      <c r="SAC73" s="120"/>
      <c r="SAD73" s="120"/>
      <c r="SAE73" s="120"/>
      <c r="SAF73" s="120"/>
      <c r="SAG73" s="120"/>
      <c r="SAH73" s="120"/>
      <c r="SAI73" s="120"/>
      <c r="SAJ73" s="120"/>
      <c r="SAK73" s="120"/>
      <c r="SAL73" s="120"/>
      <c r="SAM73" s="120"/>
      <c r="SAN73" s="120"/>
      <c r="SAO73" s="120"/>
      <c r="SAP73" s="120"/>
      <c r="SAQ73" s="120"/>
      <c r="SAR73" s="120"/>
      <c r="SAS73" s="120"/>
      <c r="SAT73" s="120"/>
      <c r="SAU73" s="120"/>
      <c r="SAV73" s="120"/>
      <c r="SAW73" s="120"/>
      <c r="SAX73" s="120"/>
      <c r="SAY73" s="120"/>
      <c r="SAZ73" s="120"/>
      <c r="SBA73" s="120"/>
      <c r="SBB73" s="120"/>
      <c r="SBC73" s="120"/>
      <c r="SBD73" s="120"/>
      <c r="SBE73" s="120"/>
      <c r="SBF73" s="120"/>
      <c r="SBG73" s="120"/>
      <c r="SBH73" s="120"/>
      <c r="SBI73" s="120"/>
      <c r="SBJ73" s="120"/>
      <c r="SBK73" s="120"/>
      <c r="SBL73" s="120"/>
      <c r="SBM73" s="120"/>
      <c r="SBN73" s="120"/>
      <c r="SBO73" s="120"/>
      <c r="SBP73" s="120"/>
      <c r="SBQ73" s="120"/>
      <c r="SBR73" s="120"/>
      <c r="SBS73" s="120"/>
      <c r="SBT73" s="120"/>
      <c r="SBU73" s="120"/>
      <c r="SBV73" s="120"/>
      <c r="SBW73" s="120"/>
      <c r="SBX73" s="120"/>
      <c r="SBY73" s="120"/>
      <c r="SBZ73" s="120"/>
      <c r="SCA73" s="120"/>
      <c r="SCB73" s="120"/>
      <c r="SCC73" s="120"/>
      <c r="SCD73" s="120"/>
      <c r="SCE73" s="120"/>
      <c r="SCF73" s="120"/>
      <c r="SCG73" s="120"/>
      <c r="SCH73" s="120"/>
      <c r="SCI73" s="120"/>
      <c r="SCJ73" s="120"/>
      <c r="SCK73" s="120"/>
      <c r="SCL73" s="120"/>
      <c r="SCM73" s="120"/>
      <c r="SCN73" s="120"/>
      <c r="SCO73" s="120"/>
      <c r="SCP73" s="120"/>
      <c r="SCQ73" s="120"/>
      <c r="SCR73" s="120"/>
      <c r="SCS73" s="120"/>
      <c r="SCT73" s="120"/>
      <c r="SCU73" s="120"/>
      <c r="SCV73" s="120"/>
      <c r="SCW73" s="120"/>
      <c r="SCX73" s="120"/>
      <c r="SCY73" s="120"/>
      <c r="SCZ73" s="120"/>
      <c r="SDA73" s="120"/>
      <c r="SDB73" s="120"/>
      <c r="SDC73" s="120"/>
      <c r="SDD73" s="120"/>
      <c r="SDE73" s="120"/>
      <c r="SDF73" s="120"/>
      <c r="SDG73" s="120"/>
      <c r="SDH73" s="120"/>
      <c r="SDI73" s="120"/>
      <c r="SDJ73" s="120"/>
      <c r="SDK73" s="120"/>
      <c r="SDL73" s="120"/>
      <c r="SDM73" s="120"/>
      <c r="SDN73" s="120"/>
      <c r="SDO73" s="120"/>
      <c r="SDP73" s="120"/>
      <c r="SDQ73" s="120"/>
      <c r="SDR73" s="120"/>
      <c r="SDS73" s="120"/>
      <c r="SDT73" s="120"/>
      <c r="SDU73" s="120"/>
      <c r="SDV73" s="120"/>
      <c r="SDW73" s="120"/>
      <c r="SDX73" s="120"/>
      <c r="SDY73" s="120"/>
      <c r="SDZ73" s="120"/>
      <c r="SEA73" s="120"/>
      <c r="SEB73" s="120"/>
      <c r="SEC73" s="120"/>
      <c r="SED73" s="120"/>
      <c r="SEE73" s="120"/>
      <c r="SEF73" s="120"/>
      <c r="SEG73" s="120"/>
      <c r="SEH73" s="120"/>
      <c r="SEI73" s="120"/>
      <c r="SEJ73" s="120"/>
      <c r="SEK73" s="120"/>
      <c r="SEL73" s="120"/>
      <c r="SEM73" s="120"/>
      <c r="SEN73" s="120"/>
      <c r="SEO73" s="120"/>
      <c r="SEP73" s="120"/>
      <c r="SEQ73" s="120"/>
      <c r="SER73" s="120"/>
      <c r="SES73" s="120"/>
      <c r="SET73" s="120"/>
      <c r="SEU73" s="120"/>
      <c r="SEV73" s="120"/>
      <c r="SEW73" s="120"/>
      <c r="SEX73" s="120"/>
      <c r="SEY73" s="120"/>
      <c r="SEZ73" s="120"/>
      <c r="SFA73" s="120"/>
      <c r="SFB73" s="120"/>
      <c r="SFC73" s="120"/>
      <c r="SFD73" s="120"/>
      <c r="SFE73" s="120"/>
      <c r="SFF73" s="120"/>
      <c r="SFG73" s="120"/>
      <c r="SFH73" s="120"/>
      <c r="SFI73" s="120"/>
      <c r="SFJ73" s="120"/>
      <c r="SFK73" s="120"/>
      <c r="SFL73" s="120"/>
      <c r="SFM73" s="120"/>
      <c r="SFN73" s="120"/>
      <c r="SFO73" s="120"/>
      <c r="SFP73" s="120"/>
      <c r="SFQ73" s="120"/>
      <c r="SFR73" s="120"/>
      <c r="SFS73" s="120"/>
      <c r="SFT73" s="120"/>
      <c r="SFU73" s="120"/>
      <c r="SFV73" s="120"/>
      <c r="SFW73" s="120"/>
      <c r="SFX73" s="120"/>
      <c r="SFY73" s="120"/>
      <c r="SFZ73" s="120"/>
      <c r="SGA73" s="120"/>
      <c r="SGB73" s="120"/>
      <c r="SGC73" s="120"/>
      <c r="SGD73" s="120"/>
      <c r="SGE73" s="120"/>
      <c r="SGF73" s="120"/>
      <c r="SGG73" s="120"/>
      <c r="SGH73" s="120"/>
      <c r="SGI73" s="120"/>
      <c r="SGJ73" s="120"/>
      <c r="SGK73" s="120"/>
      <c r="SGL73" s="120"/>
      <c r="SGM73" s="120"/>
      <c r="SGN73" s="120"/>
      <c r="SGO73" s="120"/>
      <c r="SGP73" s="120"/>
      <c r="SGQ73" s="120"/>
      <c r="SGR73" s="120"/>
      <c r="SGS73" s="120"/>
      <c r="SGT73" s="120"/>
      <c r="SGU73" s="120"/>
      <c r="SGV73" s="120"/>
      <c r="SGW73" s="120"/>
      <c r="SGX73" s="120"/>
      <c r="SGY73" s="120"/>
      <c r="SGZ73" s="120"/>
      <c r="SHA73" s="120"/>
      <c r="SHB73" s="120"/>
      <c r="SHC73" s="120"/>
      <c r="SHD73" s="120"/>
      <c r="SHE73" s="120"/>
      <c r="SHF73" s="120"/>
      <c r="SHG73" s="120"/>
      <c r="SHH73" s="120"/>
      <c r="SHI73" s="120"/>
      <c r="SHJ73" s="120"/>
      <c r="SHK73" s="120"/>
      <c r="SHL73" s="120"/>
      <c r="SHM73" s="120"/>
      <c r="SHN73" s="120"/>
      <c r="SHO73" s="120"/>
      <c r="SHP73" s="120"/>
      <c r="SHQ73" s="120"/>
      <c r="SHR73" s="120"/>
      <c r="SHS73" s="120"/>
      <c r="SHT73" s="120"/>
      <c r="SHU73" s="120"/>
      <c r="SHV73" s="120"/>
      <c r="SHW73" s="120"/>
      <c r="SHX73" s="120"/>
      <c r="SHY73" s="120"/>
      <c r="SHZ73" s="120"/>
      <c r="SIA73" s="120"/>
      <c r="SIB73" s="120"/>
      <c r="SIC73" s="120"/>
      <c r="SID73" s="120"/>
      <c r="SIE73" s="120"/>
      <c r="SIF73" s="120"/>
      <c r="SIG73" s="120"/>
      <c r="SIH73" s="120"/>
      <c r="SII73" s="120"/>
      <c r="SIJ73" s="120"/>
      <c r="SIK73" s="120"/>
      <c r="SIL73" s="120"/>
      <c r="SIM73" s="120"/>
      <c r="SIN73" s="120"/>
      <c r="SIO73" s="120"/>
      <c r="SIP73" s="120"/>
      <c r="SIQ73" s="120"/>
      <c r="SIR73" s="120"/>
      <c r="SIS73" s="120"/>
      <c r="SIT73" s="120"/>
      <c r="SIU73" s="120"/>
      <c r="SIV73" s="120"/>
      <c r="SIW73" s="120"/>
      <c r="SIX73" s="120"/>
      <c r="SIY73" s="120"/>
      <c r="SIZ73" s="120"/>
      <c r="SJA73" s="120"/>
      <c r="SJB73" s="120"/>
      <c r="SJC73" s="120"/>
      <c r="SJD73" s="120"/>
      <c r="SJE73" s="120"/>
      <c r="SJF73" s="120"/>
      <c r="SJG73" s="120"/>
      <c r="SJH73" s="120"/>
      <c r="SJI73" s="120"/>
      <c r="SJJ73" s="120"/>
      <c r="SJK73" s="120"/>
      <c r="SJL73" s="120"/>
      <c r="SJM73" s="120"/>
      <c r="SJN73" s="120"/>
      <c r="SJO73" s="120"/>
      <c r="SJP73" s="120"/>
      <c r="SJQ73" s="120"/>
      <c r="SJR73" s="120"/>
      <c r="SJS73" s="120"/>
      <c r="SJT73" s="120"/>
      <c r="SJU73" s="120"/>
      <c r="SJV73" s="120"/>
      <c r="SJW73" s="120"/>
      <c r="SJX73" s="120"/>
      <c r="SJY73" s="120"/>
      <c r="SJZ73" s="120"/>
      <c r="SKA73" s="120"/>
      <c r="SKB73" s="120"/>
      <c r="SKC73" s="120"/>
      <c r="SKD73" s="120"/>
      <c r="SKE73" s="120"/>
      <c r="SKF73" s="120"/>
      <c r="SKG73" s="120"/>
      <c r="SKH73" s="120"/>
      <c r="SKI73" s="120"/>
      <c r="SKJ73" s="120"/>
      <c r="SKK73" s="120"/>
      <c r="SKL73" s="120"/>
      <c r="SKM73" s="120"/>
      <c r="SKN73" s="120"/>
      <c r="SKO73" s="120"/>
      <c r="SKP73" s="120"/>
      <c r="SKQ73" s="120"/>
      <c r="SKR73" s="120"/>
      <c r="SKS73" s="120"/>
      <c r="SKT73" s="120"/>
      <c r="SKU73" s="120"/>
      <c r="SKV73" s="120"/>
      <c r="SKW73" s="120"/>
      <c r="SKX73" s="120"/>
      <c r="SKY73" s="120"/>
      <c r="SKZ73" s="120"/>
      <c r="SLA73" s="120"/>
      <c r="SLB73" s="120"/>
      <c r="SLC73" s="120"/>
      <c r="SLD73" s="120"/>
      <c r="SLE73" s="120"/>
      <c r="SLF73" s="120"/>
      <c r="SLG73" s="120"/>
      <c r="SLH73" s="120"/>
      <c r="SLI73" s="120"/>
      <c r="SLJ73" s="120"/>
      <c r="SLK73" s="120"/>
      <c r="SLL73" s="120"/>
      <c r="SLM73" s="120"/>
      <c r="SLN73" s="120"/>
      <c r="SLO73" s="120"/>
      <c r="SLP73" s="120"/>
      <c r="SLQ73" s="120"/>
      <c r="SLR73" s="120"/>
      <c r="SLS73" s="120"/>
      <c r="SLT73" s="120"/>
      <c r="SLU73" s="120"/>
      <c r="SLV73" s="120"/>
      <c r="SLW73" s="120"/>
      <c r="SLX73" s="120"/>
      <c r="SLY73" s="120"/>
      <c r="SLZ73" s="120"/>
      <c r="SMA73" s="120"/>
      <c r="SMB73" s="120"/>
      <c r="SMC73" s="120"/>
      <c r="SMD73" s="120"/>
      <c r="SME73" s="120"/>
      <c r="SMF73" s="120"/>
      <c r="SMG73" s="120"/>
      <c r="SMH73" s="120"/>
      <c r="SMI73" s="120"/>
      <c r="SMJ73" s="120"/>
      <c r="SMK73" s="120"/>
      <c r="SML73" s="120"/>
      <c r="SMM73" s="120"/>
      <c r="SMN73" s="120"/>
      <c r="SMO73" s="120"/>
      <c r="SMP73" s="120"/>
      <c r="SMQ73" s="120"/>
      <c r="SMR73" s="120"/>
      <c r="SMS73" s="120"/>
      <c r="SMT73" s="120"/>
      <c r="SMU73" s="120"/>
      <c r="SMV73" s="120"/>
      <c r="SMW73" s="120"/>
      <c r="SMX73" s="120"/>
      <c r="SMY73" s="120"/>
      <c r="SMZ73" s="120"/>
      <c r="SNA73" s="120"/>
      <c r="SNB73" s="120"/>
      <c r="SNC73" s="120"/>
      <c r="SND73" s="120"/>
      <c r="SNE73" s="120"/>
      <c r="SNF73" s="120"/>
      <c r="SNG73" s="120"/>
      <c r="SNH73" s="120"/>
      <c r="SNI73" s="120"/>
      <c r="SNJ73" s="120"/>
      <c r="SNK73" s="120"/>
      <c r="SNL73" s="120"/>
      <c r="SNM73" s="120"/>
      <c r="SNN73" s="120"/>
      <c r="SNO73" s="120"/>
      <c r="SNP73" s="120"/>
      <c r="SNQ73" s="120"/>
      <c r="SNR73" s="120"/>
      <c r="SNS73" s="120"/>
      <c r="SNT73" s="120"/>
      <c r="SNU73" s="120"/>
      <c r="SNV73" s="120"/>
      <c r="SNW73" s="120"/>
      <c r="SNX73" s="120"/>
      <c r="SNY73" s="120"/>
      <c r="SNZ73" s="120"/>
      <c r="SOA73" s="120"/>
      <c r="SOB73" s="120"/>
      <c r="SOC73" s="120"/>
      <c r="SOD73" s="120"/>
      <c r="SOE73" s="120"/>
      <c r="SOF73" s="120"/>
      <c r="SOG73" s="120"/>
      <c r="SOH73" s="120"/>
      <c r="SOI73" s="120"/>
      <c r="SOJ73" s="120"/>
      <c r="SOK73" s="120"/>
      <c r="SOL73" s="120"/>
      <c r="SOM73" s="120"/>
      <c r="SON73" s="120"/>
      <c r="SOO73" s="120"/>
      <c r="SOP73" s="120"/>
      <c r="SOQ73" s="120"/>
      <c r="SOR73" s="120"/>
      <c r="SOS73" s="120"/>
      <c r="SOT73" s="120"/>
      <c r="SOU73" s="120"/>
      <c r="SOV73" s="120"/>
      <c r="SOW73" s="120"/>
      <c r="SOX73" s="120"/>
      <c r="SOY73" s="120"/>
      <c r="SOZ73" s="120"/>
      <c r="SPA73" s="120"/>
      <c r="SPB73" s="120"/>
      <c r="SPC73" s="120"/>
      <c r="SPD73" s="120"/>
      <c r="SPE73" s="120"/>
      <c r="SPF73" s="120"/>
      <c r="SPG73" s="120"/>
      <c r="SPH73" s="120"/>
      <c r="SPI73" s="120"/>
      <c r="SPJ73" s="120"/>
      <c r="SPK73" s="120"/>
      <c r="SPL73" s="120"/>
      <c r="SPM73" s="120"/>
      <c r="SPN73" s="120"/>
      <c r="SPO73" s="120"/>
      <c r="SPP73" s="120"/>
      <c r="SPQ73" s="120"/>
      <c r="SPR73" s="120"/>
      <c r="SPS73" s="120"/>
      <c r="SPT73" s="120"/>
      <c r="SPU73" s="120"/>
      <c r="SPV73" s="120"/>
      <c r="SPW73" s="120"/>
      <c r="SPX73" s="120"/>
      <c r="SPY73" s="120"/>
      <c r="SPZ73" s="120"/>
      <c r="SQA73" s="120"/>
      <c r="SQB73" s="120"/>
      <c r="SQC73" s="120"/>
      <c r="SQD73" s="120"/>
      <c r="SQE73" s="120"/>
      <c r="SQF73" s="120"/>
      <c r="SQG73" s="120"/>
      <c r="SQH73" s="120"/>
      <c r="SQI73" s="120"/>
      <c r="SQJ73" s="120"/>
      <c r="SQK73" s="120"/>
      <c r="SQL73" s="120"/>
      <c r="SQM73" s="120"/>
      <c r="SQN73" s="120"/>
      <c r="SQO73" s="120"/>
      <c r="SQP73" s="120"/>
      <c r="SQQ73" s="120"/>
      <c r="SQR73" s="120"/>
      <c r="SQS73" s="120"/>
      <c r="SQT73" s="120"/>
      <c r="SQU73" s="120"/>
      <c r="SQV73" s="120"/>
      <c r="SQW73" s="120"/>
      <c r="SQX73" s="120"/>
      <c r="SQY73" s="120"/>
      <c r="SQZ73" s="120"/>
      <c r="SRA73" s="120"/>
      <c r="SRB73" s="120"/>
      <c r="SRC73" s="120"/>
      <c r="SRD73" s="120"/>
      <c r="SRE73" s="120"/>
      <c r="SRF73" s="120"/>
      <c r="SRG73" s="120"/>
      <c r="SRH73" s="120"/>
      <c r="SRI73" s="120"/>
      <c r="SRJ73" s="120"/>
      <c r="SRK73" s="120"/>
      <c r="SRL73" s="120"/>
      <c r="SRM73" s="120"/>
      <c r="SRN73" s="120"/>
      <c r="SRO73" s="120"/>
      <c r="SRP73" s="120"/>
      <c r="SRQ73" s="120"/>
      <c r="SRR73" s="120"/>
      <c r="SRS73" s="120"/>
      <c r="SRT73" s="120"/>
      <c r="SRU73" s="120"/>
      <c r="SRV73" s="120"/>
      <c r="SRW73" s="120"/>
      <c r="SRX73" s="120"/>
      <c r="SRY73" s="120"/>
      <c r="SRZ73" s="120"/>
      <c r="SSA73" s="120"/>
      <c r="SSB73" s="120"/>
      <c r="SSC73" s="120"/>
      <c r="SSD73" s="120"/>
      <c r="SSE73" s="120"/>
      <c r="SSF73" s="120"/>
      <c r="SSG73" s="120"/>
      <c r="SSH73" s="120"/>
      <c r="SSI73" s="120"/>
      <c r="SSJ73" s="120"/>
      <c r="SSK73" s="120"/>
      <c r="SSL73" s="120"/>
      <c r="SSM73" s="120"/>
      <c r="SSN73" s="120"/>
      <c r="SSO73" s="120"/>
      <c r="SSP73" s="120"/>
      <c r="SSQ73" s="120"/>
      <c r="SSR73" s="120"/>
      <c r="SSS73" s="120"/>
      <c r="SST73" s="120"/>
      <c r="SSU73" s="120"/>
      <c r="SSV73" s="120"/>
      <c r="SSW73" s="120"/>
      <c r="SSX73" s="120"/>
      <c r="SSY73" s="120"/>
      <c r="SSZ73" s="120"/>
      <c r="STA73" s="120"/>
      <c r="STB73" s="120"/>
      <c r="STC73" s="120"/>
      <c r="STD73" s="120"/>
      <c r="STE73" s="120"/>
      <c r="STF73" s="120"/>
      <c r="STG73" s="120"/>
      <c r="STH73" s="120"/>
      <c r="STI73" s="120"/>
      <c r="STJ73" s="120"/>
      <c r="STK73" s="120"/>
      <c r="STL73" s="120"/>
      <c r="STM73" s="120"/>
      <c r="STN73" s="120"/>
      <c r="STO73" s="120"/>
      <c r="STP73" s="120"/>
      <c r="STQ73" s="120"/>
      <c r="STR73" s="120"/>
      <c r="STS73" s="120"/>
      <c r="STT73" s="120"/>
      <c r="STU73" s="120"/>
      <c r="STV73" s="120"/>
      <c r="STW73" s="120"/>
      <c r="STX73" s="120"/>
      <c r="STY73" s="120"/>
      <c r="STZ73" s="120"/>
      <c r="SUA73" s="120"/>
      <c r="SUB73" s="120"/>
      <c r="SUC73" s="120"/>
      <c r="SUD73" s="120"/>
      <c r="SUE73" s="120"/>
      <c r="SUF73" s="120"/>
      <c r="SUG73" s="120"/>
      <c r="SUH73" s="120"/>
      <c r="SUI73" s="120"/>
      <c r="SUJ73" s="120"/>
      <c r="SUK73" s="120"/>
      <c r="SUL73" s="120"/>
      <c r="SUM73" s="120"/>
      <c r="SUN73" s="120"/>
      <c r="SUO73" s="120"/>
      <c r="SUP73" s="120"/>
      <c r="SUQ73" s="120"/>
      <c r="SUR73" s="120"/>
      <c r="SUS73" s="120"/>
      <c r="SUT73" s="120"/>
      <c r="SUU73" s="120"/>
      <c r="SUV73" s="120"/>
      <c r="SUW73" s="120"/>
      <c r="SUX73" s="120"/>
      <c r="SUY73" s="120"/>
      <c r="SUZ73" s="120"/>
      <c r="SVA73" s="120"/>
      <c r="SVB73" s="120"/>
      <c r="SVC73" s="120"/>
      <c r="SVD73" s="120"/>
      <c r="SVE73" s="120"/>
      <c r="SVF73" s="120"/>
      <c r="SVG73" s="120"/>
      <c r="SVH73" s="120"/>
      <c r="SVI73" s="120"/>
      <c r="SVJ73" s="120"/>
      <c r="SVK73" s="120"/>
      <c r="SVL73" s="120"/>
      <c r="SVM73" s="120"/>
      <c r="SVN73" s="120"/>
      <c r="SVO73" s="120"/>
      <c r="SVP73" s="120"/>
      <c r="SVQ73" s="120"/>
      <c r="SVR73" s="120"/>
      <c r="SVS73" s="120"/>
      <c r="SVT73" s="120"/>
      <c r="SVU73" s="120"/>
      <c r="SVV73" s="120"/>
      <c r="SVW73" s="120"/>
      <c r="SVX73" s="120"/>
      <c r="SVY73" s="120"/>
      <c r="SVZ73" s="120"/>
      <c r="SWA73" s="120"/>
      <c r="SWB73" s="120"/>
      <c r="SWC73" s="120"/>
      <c r="SWD73" s="120"/>
      <c r="SWE73" s="120"/>
      <c r="SWF73" s="120"/>
      <c r="SWG73" s="120"/>
      <c r="SWH73" s="120"/>
      <c r="SWI73" s="120"/>
      <c r="SWJ73" s="120"/>
      <c r="SWK73" s="120"/>
      <c r="SWL73" s="120"/>
      <c r="SWM73" s="120"/>
      <c r="SWN73" s="120"/>
      <c r="SWO73" s="120"/>
      <c r="SWP73" s="120"/>
      <c r="SWQ73" s="120"/>
      <c r="SWR73" s="120"/>
      <c r="SWS73" s="120"/>
      <c r="SWT73" s="120"/>
      <c r="SWU73" s="120"/>
      <c r="SWV73" s="120"/>
      <c r="SWW73" s="120"/>
      <c r="SWX73" s="120"/>
      <c r="SWY73" s="120"/>
      <c r="SWZ73" s="120"/>
      <c r="SXA73" s="120"/>
      <c r="SXB73" s="120"/>
      <c r="SXC73" s="120"/>
      <c r="SXD73" s="120"/>
      <c r="SXE73" s="120"/>
      <c r="SXF73" s="120"/>
      <c r="SXG73" s="120"/>
      <c r="SXH73" s="120"/>
      <c r="SXI73" s="120"/>
      <c r="SXJ73" s="120"/>
      <c r="SXK73" s="120"/>
      <c r="SXL73" s="120"/>
      <c r="SXM73" s="120"/>
      <c r="SXN73" s="120"/>
      <c r="SXO73" s="120"/>
      <c r="SXP73" s="120"/>
      <c r="SXQ73" s="120"/>
      <c r="SXR73" s="120"/>
      <c r="SXS73" s="120"/>
      <c r="SXT73" s="120"/>
      <c r="SXU73" s="120"/>
      <c r="SXV73" s="120"/>
      <c r="SXW73" s="120"/>
      <c r="SXX73" s="120"/>
      <c r="SXY73" s="120"/>
      <c r="SXZ73" s="120"/>
      <c r="SYA73" s="120"/>
      <c r="SYB73" s="120"/>
      <c r="SYC73" s="120"/>
      <c r="SYD73" s="120"/>
      <c r="SYE73" s="120"/>
      <c r="SYF73" s="120"/>
      <c r="SYG73" s="120"/>
      <c r="SYH73" s="120"/>
      <c r="SYI73" s="120"/>
      <c r="SYJ73" s="120"/>
      <c r="SYK73" s="120"/>
      <c r="SYL73" s="120"/>
      <c r="SYM73" s="120"/>
      <c r="SYN73" s="120"/>
      <c r="SYO73" s="120"/>
      <c r="SYP73" s="120"/>
      <c r="SYQ73" s="120"/>
      <c r="SYR73" s="120"/>
      <c r="SYS73" s="120"/>
      <c r="SYT73" s="120"/>
      <c r="SYU73" s="120"/>
      <c r="SYV73" s="120"/>
      <c r="SYW73" s="120"/>
      <c r="SYX73" s="120"/>
      <c r="SYY73" s="120"/>
      <c r="SYZ73" s="120"/>
      <c r="SZA73" s="120"/>
      <c r="SZB73" s="120"/>
      <c r="SZC73" s="120"/>
      <c r="SZD73" s="120"/>
      <c r="SZE73" s="120"/>
      <c r="SZF73" s="120"/>
      <c r="SZG73" s="120"/>
      <c r="SZH73" s="120"/>
      <c r="SZI73" s="120"/>
      <c r="SZJ73" s="120"/>
      <c r="SZK73" s="120"/>
      <c r="SZL73" s="120"/>
      <c r="SZM73" s="120"/>
      <c r="SZN73" s="120"/>
      <c r="SZO73" s="120"/>
      <c r="SZP73" s="120"/>
      <c r="SZQ73" s="120"/>
      <c r="SZR73" s="120"/>
      <c r="SZS73" s="120"/>
      <c r="SZT73" s="120"/>
      <c r="SZU73" s="120"/>
      <c r="SZV73" s="120"/>
      <c r="SZW73" s="120"/>
      <c r="SZX73" s="120"/>
      <c r="SZY73" s="120"/>
      <c r="SZZ73" s="120"/>
      <c r="TAA73" s="120"/>
      <c r="TAB73" s="120"/>
      <c r="TAC73" s="120"/>
      <c r="TAD73" s="120"/>
      <c r="TAE73" s="120"/>
      <c r="TAF73" s="120"/>
      <c r="TAG73" s="120"/>
      <c r="TAH73" s="120"/>
      <c r="TAI73" s="120"/>
      <c r="TAJ73" s="120"/>
      <c r="TAK73" s="120"/>
      <c r="TAL73" s="120"/>
      <c r="TAM73" s="120"/>
      <c r="TAN73" s="120"/>
      <c r="TAO73" s="120"/>
      <c r="TAP73" s="120"/>
      <c r="TAQ73" s="120"/>
      <c r="TAR73" s="120"/>
      <c r="TAS73" s="120"/>
      <c r="TAT73" s="120"/>
      <c r="TAU73" s="120"/>
      <c r="TAV73" s="120"/>
      <c r="TAW73" s="120"/>
      <c r="TAX73" s="120"/>
      <c r="TAY73" s="120"/>
      <c r="TAZ73" s="120"/>
      <c r="TBA73" s="120"/>
      <c r="TBB73" s="120"/>
      <c r="TBC73" s="120"/>
      <c r="TBD73" s="120"/>
      <c r="TBE73" s="120"/>
      <c r="TBF73" s="120"/>
      <c r="TBG73" s="120"/>
      <c r="TBH73" s="120"/>
      <c r="TBI73" s="120"/>
      <c r="TBJ73" s="120"/>
      <c r="TBK73" s="120"/>
      <c r="TBL73" s="120"/>
      <c r="TBM73" s="120"/>
      <c r="TBN73" s="120"/>
      <c r="TBO73" s="120"/>
      <c r="TBP73" s="120"/>
      <c r="TBQ73" s="120"/>
      <c r="TBR73" s="120"/>
      <c r="TBS73" s="120"/>
      <c r="TBT73" s="120"/>
      <c r="TBU73" s="120"/>
      <c r="TBV73" s="120"/>
      <c r="TBW73" s="120"/>
      <c r="TBX73" s="120"/>
      <c r="TBY73" s="120"/>
      <c r="TBZ73" s="120"/>
      <c r="TCA73" s="120"/>
      <c r="TCB73" s="120"/>
      <c r="TCC73" s="120"/>
      <c r="TCD73" s="120"/>
      <c r="TCE73" s="120"/>
      <c r="TCF73" s="120"/>
      <c r="TCG73" s="120"/>
      <c r="TCH73" s="120"/>
      <c r="TCI73" s="120"/>
      <c r="TCJ73" s="120"/>
      <c r="TCK73" s="120"/>
      <c r="TCL73" s="120"/>
      <c r="TCM73" s="120"/>
      <c r="TCN73" s="120"/>
      <c r="TCO73" s="120"/>
      <c r="TCP73" s="120"/>
      <c r="TCQ73" s="120"/>
      <c r="TCR73" s="120"/>
      <c r="TCS73" s="120"/>
      <c r="TCT73" s="120"/>
      <c r="TCU73" s="120"/>
      <c r="TCV73" s="120"/>
      <c r="TCW73" s="120"/>
      <c r="TCX73" s="120"/>
      <c r="TCY73" s="120"/>
      <c r="TCZ73" s="120"/>
      <c r="TDA73" s="120"/>
      <c r="TDB73" s="120"/>
      <c r="TDC73" s="120"/>
      <c r="TDD73" s="120"/>
      <c r="TDE73" s="120"/>
      <c r="TDF73" s="120"/>
      <c r="TDG73" s="120"/>
      <c r="TDH73" s="120"/>
      <c r="TDI73" s="120"/>
      <c r="TDJ73" s="120"/>
      <c r="TDK73" s="120"/>
      <c r="TDL73" s="120"/>
      <c r="TDM73" s="120"/>
      <c r="TDN73" s="120"/>
      <c r="TDO73" s="120"/>
      <c r="TDP73" s="120"/>
      <c r="TDQ73" s="120"/>
      <c r="TDR73" s="120"/>
      <c r="TDS73" s="120"/>
      <c r="TDT73" s="120"/>
      <c r="TDU73" s="120"/>
      <c r="TDV73" s="120"/>
      <c r="TDW73" s="120"/>
      <c r="TDX73" s="120"/>
      <c r="TDY73" s="120"/>
      <c r="TDZ73" s="120"/>
      <c r="TEA73" s="120"/>
      <c r="TEB73" s="120"/>
      <c r="TEC73" s="120"/>
      <c r="TED73" s="120"/>
      <c r="TEE73" s="120"/>
      <c r="TEF73" s="120"/>
      <c r="TEG73" s="120"/>
      <c r="TEH73" s="120"/>
      <c r="TEI73" s="120"/>
      <c r="TEJ73" s="120"/>
      <c r="TEK73" s="120"/>
      <c r="TEL73" s="120"/>
      <c r="TEM73" s="120"/>
      <c r="TEN73" s="120"/>
      <c r="TEO73" s="120"/>
      <c r="TEP73" s="120"/>
      <c r="TEQ73" s="120"/>
      <c r="TER73" s="120"/>
      <c r="TES73" s="120"/>
      <c r="TET73" s="120"/>
      <c r="TEU73" s="120"/>
      <c r="TEV73" s="120"/>
      <c r="TEW73" s="120"/>
      <c r="TEX73" s="120"/>
      <c r="TEY73" s="120"/>
      <c r="TEZ73" s="120"/>
      <c r="TFA73" s="120"/>
      <c r="TFB73" s="120"/>
      <c r="TFC73" s="120"/>
      <c r="TFD73" s="120"/>
      <c r="TFE73" s="120"/>
      <c r="TFF73" s="120"/>
      <c r="TFG73" s="120"/>
      <c r="TFH73" s="120"/>
      <c r="TFI73" s="120"/>
      <c r="TFJ73" s="120"/>
      <c r="TFK73" s="120"/>
      <c r="TFL73" s="120"/>
      <c r="TFM73" s="120"/>
      <c r="TFN73" s="120"/>
      <c r="TFO73" s="120"/>
      <c r="TFP73" s="120"/>
      <c r="TFQ73" s="120"/>
      <c r="TFR73" s="120"/>
      <c r="TFS73" s="120"/>
      <c r="TFT73" s="120"/>
      <c r="TFU73" s="120"/>
      <c r="TFV73" s="120"/>
      <c r="TFW73" s="120"/>
      <c r="TFX73" s="120"/>
      <c r="TFY73" s="120"/>
      <c r="TFZ73" s="120"/>
      <c r="TGA73" s="120"/>
      <c r="TGB73" s="120"/>
      <c r="TGC73" s="120"/>
      <c r="TGD73" s="120"/>
      <c r="TGE73" s="120"/>
      <c r="TGF73" s="120"/>
      <c r="TGG73" s="120"/>
      <c r="TGH73" s="120"/>
      <c r="TGI73" s="120"/>
      <c r="TGJ73" s="120"/>
      <c r="TGK73" s="120"/>
      <c r="TGL73" s="120"/>
      <c r="TGM73" s="120"/>
      <c r="TGN73" s="120"/>
      <c r="TGO73" s="120"/>
      <c r="TGP73" s="120"/>
      <c r="TGQ73" s="120"/>
      <c r="TGR73" s="120"/>
      <c r="TGS73" s="120"/>
      <c r="TGT73" s="120"/>
      <c r="TGU73" s="120"/>
      <c r="TGV73" s="120"/>
      <c r="TGW73" s="120"/>
      <c r="TGX73" s="120"/>
      <c r="TGY73" s="120"/>
      <c r="TGZ73" s="120"/>
      <c r="THA73" s="120"/>
      <c r="THB73" s="120"/>
      <c r="THC73" s="120"/>
      <c r="THD73" s="120"/>
      <c r="THE73" s="120"/>
      <c r="THF73" s="120"/>
      <c r="THG73" s="120"/>
      <c r="THH73" s="120"/>
      <c r="THI73" s="120"/>
      <c r="THJ73" s="120"/>
      <c r="THK73" s="120"/>
      <c r="THL73" s="120"/>
      <c r="THM73" s="120"/>
      <c r="THN73" s="120"/>
      <c r="THO73" s="120"/>
      <c r="THP73" s="120"/>
      <c r="THQ73" s="120"/>
      <c r="THR73" s="120"/>
      <c r="THS73" s="120"/>
      <c r="THT73" s="120"/>
      <c r="THU73" s="120"/>
      <c r="THV73" s="120"/>
      <c r="THW73" s="120"/>
      <c r="THX73" s="120"/>
      <c r="THY73" s="120"/>
      <c r="THZ73" s="120"/>
      <c r="TIA73" s="120"/>
      <c r="TIB73" s="120"/>
      <c r="TIC73" s="120"/>
      <c r="TID73" s="120"/>
      <c r="TIE73" s="120"/>
      <c r="TIF73" s="120"/>
      <c r="TIG73" s="120"/>
      <c r="TIH73" s="120"/>
      <c r="TII73" s="120"/>
      <c r="TIJ73" s="120"/>
      <c r="TIK73" s="120"/>
      <c r="TIL73" s="120"/>
      <c r="TIM73" s="120"/>
      <c r="TIN73" s="120"/>
      <c r="TIO73" s="120"/>
      <c r="TIP73" s="120"/>
      <c r="TIQ73" s="120"/>
      <c r="TIR73" s="120"/>
      <c r="TIS73" s="120"/>
      <c r="TIT73" s="120"/>
      <c r="TIU73" s="120"/>
      <c r="TIV73" s="120"/>
      <c r="TIW73" s="120"/>
      <c r="TIX73" s="120"/>
      <c r="TIY73" s="120"/>
      <c r="TIZ73" s="120"/>
      <c r="TJA73" s="120"/>
      <c r="TJB73" s="120"/>
      <c r="TJC73" s="120"/>
      <c r="TJD73" s="120"/>
      <c r="TJE73" s="120"/>
      <c r="TJF73" s="120"/>
      <c r="TJG73" s="120"/>
      <c r="TJH73" s="120"/>
      <c r="TJI73" s="120"/>
      <c r="TJJ73" s="120"/>
      <c r="TJK73" s="120"/>
      <c r="TJL73" s="120"/>
      <c r="TJM73" s="120"/>
      <c r="TJN73" s="120"/>
      <c r="TJO73" s="120"/>
      <c r="TJP73" s="120"/>
      <c r="TJQ73" s="120"/>
      <c r="TJR73" s="120"/>
      <c r="TJS73" s="120"/>
      <c r="TJT73" s="120"/>
      <c r="TJU73" s="120"/>
      <c r="TJV73" s="120"/>
      <c r="TJW73" s="120"/>
      <c r="TJX73" s="120"/>
      <c r="TJY73" s="120"/>
      <c r="TJZ73" s="120"/>
      <c r="TKA73" s="120"/>
      <c r="TKB73" s="120"/>
      <c r="TKC73" s="120"/>
      <c r="TKD73" s="120"/>
      <c r="TKE73" s="120"/>
      <c r="TKF73" s="120"/>
      <c r="TKG73" s="120"/>
      <c r="TKH73" s="120"/>
      <c r="TKI73" s="120"/>
      <c r="TKJ73" s="120"/>
      <c r="TKK73" s="120"/>
      <c r="TKL73" s="120"/>
      <c r="TKM73" s="120"/>
      <c r="TKN73" s="120"/>
      <c r="TKO73" s="120"/>
      <c r="TKP73" s="120"/>
      <c r="TKQ73" s="120"/>
      <c r="TKR73" s="120"/>
      <c r="TKS73" s="120"/>
      <c r="TKT73" s="120"/>
      <c r="TKU73" s="120"/>
      <c r="TKV73" s="120"/>
      <c r="TKW73" s="120"/>
      <c r="TKX73" s="120"/>
      <c r="TKY73" s="120"/>
      <c r="TKZ73" s="120"/>
      <c r="TLA73" s="120"/>
      <c r="TLB73" s="120"/>
      <c r="TLC73" s="120"/>
      <c r="TLD73" s="120"/>
      <c r="TLE73" s="120"/>
      <c r="TLF73" s="120"/>
      <c r="TLG73" s="120"/>
      <c r="TLH73" s="120"/>
      <c r="TLI73" s="120"/>
      <c r="TLJ73" s="120"/>
      <c r="TLK73" s="120"/>
      <c r="TLL73" s="120"/>
      <c r="TLM73" s="120"/>
      <c r="TLN73" s="120"/>
      <c r="TLO73" s="120"/>
      <c r="TLP73" s="120"/>
      <c r="TLQ73" s="120"/>
      <c r="TLR73" s="120"/>
      <c r="TLS73" s="120"/>
      <c r="TLT73" s="120"/>
      <c r="TLU73" s="120"/>
      <c r="TLV73" s="120"/>
      <c r="TLW73" s="120"/>
      <c r="TLX73" s="120"/>
      <c r="TLY73" s="120"/>
      <c r="TLZ73" s="120"/>
      <c r="TMA73" s="120"/>
      <c r="TMB73" s="120"/>
      <c r="TMC73" s="120"/>
      <c r="TMD73" s="120"/>
      <c r="TME73" s="120"/>
      <c r="TMF73" s="120"/>
      <c r="TMG73" s="120"/>
      <c r="TMH73" s="120"/>
      <c r="TMI73" s="120"/>
      <c r="TMJ73" s="120"/>
      <c r="TMK73" s="120"/>
      <c r="TML73" s="120"/>
      <c r="TMM73" s="120"/>
      <c r="TMN73" s="120"/>
      <c r="TMO73" s="120"/>
      <c r="TMP73" s="120"/>
      <c r="TMQ73" s="120"/>
      <c r="TMR73" s="120"/>
      <c r="TMS73" s="120"/>
      <c r="TMT73" s="120"/>
      <c r="TMU73" s="120"/>
      <c r="TMV73" s="120"/>
      <c r="TMW73" s="120"/>
      <c r="TMX73" s="120"/>
      <c r="TMY73" s="120"/>
      <c r="TMZ73" s="120"/>
      <c r="TNA73" s="120"/>
      <c r="TNB73" s="120"/>
      <c r="TNC73" s="120"/>
      <c r="TND73" s="120"/>
      <c r="TNE73" s="120"/>
      <c r="TNF73" s="120"/>
      <c r="TNG73" s="120"/>
      <c r="TNH73" s="120"/>
      <c r="TNI73" s="120"/>
      <c r="TNJ73" s="120"/>
      <c r="TNK73" s="120"/>
      <c r="TNL73" s="120"/>
      <c r="TNM73" s="120"/>
      <c r="TNN73" s="120"/>
      <c r="TNO73" s="120"/>
      <c r="TNP73" s="120"/>
      <c r="TNQ73" s="120"/>
      <c r="TNR73" s="120"/>
      <c r="TNS73" s="120"/>
      <c r="TNT73" s="120"/>
      <c r="TNU73" s="120"/>
      <c r="TNV73" s="120"/>
      <c r="TNW73" s="120"/>
      <c r="TNX73" s="120"/>
      <c r="TNY73" s="120"/>
      <c r="TNZ73" s="120"/>
      <c r="TOA73" s="120"/>
      <c r="TOB73" s="120"/>
      <c r="TOC73" s="120"/>
      <c r="TOD73" s="120"/>
      <c r="TOE73" s="120"/>
      <c r="TOF73" s="120"/>
      <c r="TOG73" s="120"/>
      <c r="TOH73" s="120"/>
      <c r="TOI73" s="120"/>
      <c r="TOJ73" s="120"/>
      <c r="TOK73" s="120"/>
      <c r="TOL73" s="120"/>
      <c r="TOM73" s="120"/>
      <c r="TON73" s="120"/>
      <c r="TOO73" s="120"/>
      <c r="TOP73" s="120"/>
      <c r="TOQ73" s="120"/>
      <c r="TOR73" s="120"/>
      <c r="TOS73" s="120"/>
      <c r="TOT73" s="120"/>
      <c r="TOU73" s="120"/>
      <c r="TOV73" s="120"/>
      <c r="TOW73" s="120"/>
      <c r="TOX73" s="120"/>
      <c r="TOY73" s="120"/>
      <c r="TOZ73" s="120"/>
      <c r="TPA73" s="120"/>
      <c r="TPB73" s="120"/>
      <c r="TPC73" s="120"/>
      <c r="TPD73" s="120"/>
      <c r="TPE73" s="120"/>
      <c r="TPF73" s="120"/>
      <c r="TPG73" s="120"/>
      <c r="TPH73" s="120"/>
      <c r="TPI73" s="120"/>
      <c r="TPJ73" s="120"/>
      <c r="TPK73" s="120"/>
      <c r="TPL73" s="120"/>
      <c r="TPM73" s="120"/>
      <c r="TPN73" s="120"/>
      <c r="TPO73" s="120"/>
      <c r="TPP73" s="120"/>
      <c r="TPQ73" s="120"/>
      <c r="TPR73" s="120"/>
      <c r="TPS73" s="120"/>
      <c r="TPT73" s="120"/>
      <c r="TPU73" s="120"/>
      <c r="TPV73" s="120"/>
      <c r="TPW73" s="120"/>
      <c r="TPX73" s="120"/>
      <c r="TPY73" s="120"/>
      <c r="TPZ73" s="120"/>
      <c r="TQA73" s="120"/>
      <c r="TQB73" s="120"/>
      <c r="TQC73" s="120"/>
      <c r="TQD73" s="120"/>
      <c r="TQE73" s="120"/>
      <c r="TQF73" s="120"/>
      <c r="TQG73" s="120"/>
      <c r="TQH73" s="120"/>
      <c r="TQI73" s="120"/>
      <c r="TQJ73" s="120"/>
      <c r="TQK73" s="120"/>
      <c r="TQL73" s="120"/>
      <c r="TQM73" s="120"/>
      <c r="TQN73" s="120"/>
      <c r="TQO73" s="120"/>
      <c r="TQP73" s="120"/>
      <c r="TQQ73" s="120"/>
      <c r="TQR73" s="120"/>
      <c r="TQS73" s="120"/>
      <c r="TQT73" s="120"/>
      <c r="TQU73" s="120"/>
      <c r="TQV73" s="120"/>
      <c r="TQW73" s="120"/>
      <c r="TQX73" s="120"/>
      <c r="TQY73" s="120"/>
      <c r="TQZ73" s="120"/>
      <c r="TRA73" s="120"/>
      <c r="TRB73" s="120"/>
      <c r="TRC73" s="120"/>
      <c r="TRD73" s="120"/>
      <c r="TRE73" s="120"/>
      <c r="TRF73" s="120"/>
      <c r="TRG73" s="120"/>
      <c r="TRH73" s="120"/>
      <c r="TRI73" s="120"/>
      <c r="TRJ73" s="120"/>
      <c r="TRK73" s="120"/>
      <c r="TRL73" s="120"/>
      <c r="TRM73" s="120"/>
      <c r="TRN73" s="120"/>
      <c r="TRO73" s="120"/>
      <c r="TRP73" s="120"/>
      <c r="TRQ73" s="120"/>
      <c r="TRR73" s="120"/>
      <c r="TRS73" s="120"/>
      <c r="TRT73" s="120"/>
      <c r="TRU73" s="120"/>
      <c r="TRV73" s="120"/>
      <c r="TRW73" s="120"/>
      <c r="TRX73" s="120"/>
      <c r="TRY73" s="120"/>
      <c r="TRZ73" s="120"/>
      <c r="TSA73" s="120"/>
      <c r="TSB73" s="120"/>
      <c r="TSC73" s="120"/>
      <c r="TSD73" s="120"/>
      <c r="TSE73" s="120"/>
      <c r="TSF73" s="120"/>
      <c r="TSG73" s="120"/>
      <c r="TSH73" s="120"/>
      <c r="TSI73" s="120"/>
      <c r="TSJ73" s="120"/>
      <c r="TSK73" s="120"/>
      <c r="TSL73" s="120"/>
      <c r="TSM73" s="120"/>
      <c r="TSN73" s="120"/>
      <c r="TSO73" s="120"/>
      <c r="TSP73" s="120"/>
      <c r="TSQ73" s="120"/>
      <c r="TSR73" s="120"/>
      <c r="TSS73" s="120"/>
      <c r="TST73" s="120"/>
      <c r="TSU73" s="120"/>
      <c r="TSV73" s="120"/>
      <c r="TSW73" s="120"/>
      <c r="TSX73" s="120"/>
      <c r="TSY73" s="120"/>
      <c r="TSZ73" s="120"/>
      <c r="TTA73" s="120"/>
      <c r="TTB73" s="120"/>
      <c r="TTC73" s="120"/>
      <c r="TTD73" s="120"/>
      <c r="TTE73" s="120"/>
      <c r="TTF73" s="120"/>
      <c r="TTG73" s="120"/>
      <c r="TTH73" s="120"/>
      <c r="TTI73" s="120"/>
      <c r="TTJ73" s="120"/>
      <c r="TTK73" s="120"/>
      <c r="TTL73" s="120"/>
      <c r="TTM73" s="120"/>
      <c r="TTN73" s="120"/>
      <c r="TTO73" s="120"/>
      <c r="TTP73" s="120"/>
      <c r="TTQ73" s="120"/>
      <c r="TTR73" s="120"/>
      <c r="TTS73" s="120"/>
      <c r="TTT73" s="120"/>
      <c r="TTU73" s="120"/>
      <c r="TTV73" s="120"/>
      <c r="TTW73" s="120"/>
      <c r="TTX73" s="120"/>
      <c r="TTY73" s="120"/>
      <c r="TTZ73" s="120"/>
      <c r="TUA73" s="120"/>
      <c r="TUB73" s="120"/>
      <c r="TUC73" s="120"/>
      <c r="TUD73" s="120"/>
      <c r="TUE73" s="120"/>
      <c r="TUF73" s="120"/>
      <c r="TUG73" s="120"/>
      <c r="TUH73" s="120"/>
      <c r="TUI73" s="120"/>
      <c r="TUJ73" s="120"/>
      <c r="TUK73" s="120"/>
      <c r="TUL73" s="120"/>
      <c r="TUM73" s="120"/>
      <c r="TUN73" s="120"/>
      <c r="TUO73" s="120"/>
      <c r="TUP73" s="120"/>
      <c r="TUQ73" s="120"/>
      <c r="TUR73" s="120"/>
      <c r="TUS73" s="120"/>
      <c r="TUT73" s="120"/>
      <c r="TUU73" s="120"/>
      <c r="TUV73" s="120"/>
      <c r="TUW73" s="120"/>
      <c r="TUX73" s="120"/>
      <c r="TUY73" s="120"/>
      <c r="TUZ73" s="120"/>
      <c r="TVA73" s="120"/>
      <c r="TVB73" s="120"/>
      <c r="TVC73" s="120"/>
      <c r="TVD73" s="120"/>
      <c r="TVE73" s="120"/>
      <c r="TVF73" s="120"/>
      <c r="TVG73" s="120"/>
      <c r="TVH73" s="120"/>
      <c r="TVI73" s="120"/>
      <c r="TVJ73" s="120"/>
      <c r="TVK73" s="120"/>
      <c r="TVL73" s="120"/>
      <c r="TVM73" s="120"/>
      <c r="TVN73" s="120"/>
      <c r="TVO73" s="120"/>
      <c r="TVP73" s="120"/>
      <c r="TVQ73" s="120"/>
      <c r="TVR73" s="120"/>
      <c r="TVS73" s="120"/>
      <c r="TVT73" s="120"/>
      <c r="TVU73" s="120"/>
      <c r="TVV73" s="120"/>
      <c r="TVW73" s="120"/>
      <c r="TVX73" s="120"/>
      <c r="TVY73" s="120"/>
      <c r="TVZ73" s="120"/>
      <c r="TWA73" s="120"/>
      <c r="TWB73" s="120"/>
      <c r="TWC73" s="120"/>
      <c r="TWD73" s="120"/>
      <c r="TWE73" s="120"/>
      <c r="TWF73" s="120"/>
      <c r="TWG73" s="120"/>
      <c r="TWH73" s="120"/>
      <c r="TWI73" s="120"/>
      <c r="TWJ73" s="120"/>
      <c r="TWK73" s="120"/>
      <c r="TWL73" s="120"/>
      <c r="TWM73" s="120"/>
      <c r="TWN73" s="120"/>
      <c r="TWO73" s="120"/>
      <c r="TWP73" s="120"/>
      <c r="TWQ73" s="120"/>
      <c r="TWR73" s="120"/>
      <c r="TWS73" s="120"/>
      <c r="TWT73" s="120"/>
      <c r="TWU73" s="120"/>
      <c r="TWV73" s="120"/>
      <c r="TWW73" s="120"/>
      <c r="TWX73" s="120"/>
      <c r="TWY73" s="120"/>
      <c r="TWZ73" s="120"/>
      <c r="TXA73" s="120"/>
      <c r="TXB73" s="120"/>
      <c r="TXC73" s="120"/>
      <c r="TXD73" s="120"/>
      <c r="TXE73" s="120"/>
      <c r="TXF73" s="120"/>
      <c r="TXG73" s="120"/>
      <c r="TXH73" s="120"/>
      <c r="TXI73" s="120"/>
      <c r="TXJ73" s="120"/>
      <c r="TXK73" s="120"/>
      <c r="TXL73" s="120"/>
      <c r="TXM73" s="120"/>
      <c r="TXN73" s="120"/>
      <c r="TXO73" s="120"/>
      <c r="TXP73" s="120"/>
      <c r="TXQ73" s="120"/>
      <c r="TXR73" s="120"/>
      <c r="TXS73" s="120"/>
      <c r="TXT73" s="120"/>
      <c r="TXU73" s="120"/>
      <c r="TXV73" s="120"/>
      <c r="TXW73" s="120"/>
      <c r="TXX73" s="120"/>
      <c r="TXY73" s="120"/>
      <c r="TXZ73" s="120"/>
      <c r="TYA73" s="120"/>
      <c r="TYB73" s="120"/>
      <c r="TYC73" s="120"/>
      <c r="TYD73" s="120"/>
      <c r="TYE73" s="120"/>
      <c r="TYF73" s="120"/>
      <c r="TYG73" s="120"/>
      <c r="TYH73" s="120"/>
      <c r="TYI73" s="120"/>
      <c r="TYJ73" s="120"/>
      <c r="TYK73" s="120"/>
      <c r="TYL73" s="120"/>
      <c r="TYM73" s="120"/>
      <c r="TYN73" s="120"/>
      <c r="TYO73" s="120"/>
      <c r="TYP73" s="120"/>
      <c r="TYQ73" s="120"/>
      <c r="TYR73" s="120"/>
      <c r="TYS73" s="120"/>
      <c r="TYT73" s="120"/>
      <c r="TYU73" s="120"/>
      <c r="TYV73" s="120"/>
      <c r="TYW73" s="120"/>
      <c r="TYX73" s="120"/>
      <c r="TYY73" s="120"/>
      <c r="TYZ73" s="120"/>
      <c r="TZA73" s="120"/>
      <c r="TZB73" s="120"/>
      <c r="TZC73" s="120"/>
      <c r="TZD73" s="120"/>
      <c r="TZE73" s="120"/>
      <c r="TZF73" s="120"/>
      <c r="TZG73" s="120"/>
      <c r="TZH73" s="120"/>
      <c r="TZI73" s="120"/>
      <c r="TZJ73" s="120"/>
      <c r="TZK73" s="120"/>
      <c r="TZL73" s="120"/>
      <c r="TZM73" s="120"/>
      <c r="TZN73" s="120"/>
      <c r="TZO73" s="120"/>
      <c r="TZP73" s="120"/>
      <c r="TZQ73" s="120"/>
      <c r="TZR73" s="120"/>
      <c r="TZS73" s="120"/>
      <c r="TZT73" s="120"/>
      <c r="TZU73" s="120"/>
      <c r="TZV73" s="120"/>
      <c r="TZW73" s="120"/>
      <c r="TZX73" s="120"/>
      <c r="TZY73" s="120"/>
      <c r="TZZ73" s="120"/>
      <c r="UAA73" s="120"/>
      <c r="UAB73" s="120"/>
      <c r="UAC73" s="120"/>
      <c r="UAD73" s="120"/>
      <c r="UAE73" s="120"/>
      <c r="UAF73" s="120"/>
      <c r="UAG73" s="120"/>
      <c r="UAH73" s="120"/>
      <c r="UAI73" s="120"/>
      <c r="UAJ73" s="120"/>
      <c r="UAK73" s="120"/>
      <c r="UAL73" s="120"/>
      <c r="UAM73" s="120"/>
      <c r="UAN73" s="120"/>
      <c r="UAO73" s="120"/>
      <c r="UAP73" s="120"/>
      <c r="UAQ73" s="120"/>
      <c r="UAR73" s="120"/>
      <c r="UAS73" s="120"/>
      <c r="UAT73" s="120"/>
      <c r="UAU73" s="120"/>
      <c r="UAV73" s="120"/>
      <c r="UAW73" s="120"/>
      <c r="UAX73" s="120"/>
      <c r="UAY73" s="120"/>
      <c r="UAZ73" s="120"/>
      <c r="UBA73" s="120"/>
      <c r="UBB73" s="120"/>
      <c r="UBC73" s="120"/>
      <c r="UBD73" s="120"/>
      <c r="UBE73" s="120"/>
      <c r="UBF73" s="120"/>
      <c r="UBG73" s="120"/>
      <c r="UBH73" s="120"/>
      <c r="UBI73" s="120"/>
      <c r="UBJ73" s="120"/>
      <c r="UBK73" s="120"/>
      <c r="UBL73" s="120"/>
      <c r="UBM73" s="120"/>
      <c r="UBN73" s="120"/>
      <c r="UBO73" s="120"/>
      <c r="UBP73" s="120"/>
      <c r="UBQ73" s="120"/>
      <c r="UBR73" s="120"/>
      <c r="UBS73" s="120"/>
      <c r="UBT73" s="120"/>
      <c r="UBU73" s="120"/>
      <c r="UBV73" s="120"/>
      <c r="UBW73" s="120"/>
      <c r="UBX73" s="120"/>
      <c r="UBY73" s="120"/>
      <c r="UBZ73" s="120"/>
      <c r="UCA73" s="120"/>
      <c r="UCB73" s="120"/>
      <c r="UCC73" s="120"/>
      <c r="UCD73" s="120"/>
      <c r="UCE73" s="120"/>
      <c r="UCF73" s="120"/>
      <c r="UCG73" s="120"/>
      <c r="UCH73" s="120"/>
      <c r="UCI73" s="120"/>
      <c r="UCJ73" s="120"/>
      <c r="UCK73" s="120"/>
      <c r="UCL73" s="120"/>
      <c r="UCM73" s="120"/>
      <c r="UCN73" s="120"/>
      <c r="UCO73" s="120"/>
      <c r="UCP73" s="120"/>
      <c r="UCQ73" s="120"/>
      <c r="UCR73" s="120"/>
      <c r="UCS73" s="120"/>
      <c r="UCT73" s="120"/>
      <c r="UCU73" s="120"/>
      <c r="UCV73" s="120"/>
      <c r="UCW73" s="120"/>
      <c r="UCX73" s="120"/>
      <c r="UCY73" s="120"/>
      <c r="UCZ73" s="120"/>
      <c r="UDA73" s="120"/>
      <c r="UDB73" s="120"/>
      <c r="UDC73" s="120"/>
      <c r="UDD73" s="120"/>
      <c r="UDE73" s="120"/>
      <c r="UDF73" s="120"/>
      <c r="UDG73" s="120"/>
      <c r="UDH73" s="120"/>
      <c r="UDI73" s="120"/>
      <c r="UDJ73" s="120"/>
      <c r="UDK73" s="120"/>
      <c r="UDL73" s="120"/>
      <c r="UDM73" s="120"/>
      <c r="UDN73" s="120"/>
      <c r="UDO73" s="120"/>
      <c r="UDP73" s="120"/>
      <c r="UDQ73" s="120"/>
      <c r="UDR73" s="120"/>
      <c r="UDS73" s="120"/>
      <c r="UDT73" s="120"/>
      <c r="UDU73" s="120"/>
      <c r="UDV73" s="120"/>
      <c r="UDW73" s="120"/>
      <c r="UDX73" s="120"/>
      <c r="UDY73" s="120"/>
      <c r="UDZ73" s="120"/>
      <c r="UEA73" s="120"/>
      <c r="UEB73" s="120"/>
      <c r="UEC73" s="120"/>
      <c r="UED73" s="120"/>
      <c r="UEE73" s="120"/>
      <c r="UEF73" s="120"/>
      <c r="UEG73" s="120"/>
      <c r="UEH73" s="120"/>
      <c r="UEI73" s="120"/>
      <c r="UEJ73" s="120"/>
      <c r="UEK73" s="120"/>
      <c r="UEL73" s="120"/>
      <c r="UEM73" s="120"/>
      <c r="UEN73" s="120"/>
      <c r="UEO73" s="120"/>
      <c r="UEP73" s="120"/>
      <c r="UEQ73" s="120"/>
      <c r="UER73" s="120"/>
      <c r="UES73" s="120"/>
      <c r="UET73" s="120"/>
      <c r="UEU73" s="120"/>
      <c r="UEV73" s="120"/>
      <c r="UEW73" s="120"/>
      <c r="UEX73" s="120"/>
      <c r="UEY73" s="120"/>
      <c r="UEZ73" s="120"/>
      <c r="UFA73" s="120"/>
      <c r="UFB73" s="120"/>
      <c r="UFC73" s="120"/>
      <c r="UFD73" s="120"/>
      <c r="UFE73" s="120"/>
      <c r="UFF73" s="120"/>
      <c r="UFG73" s="120"/>
      <c r="UFH73" s="120"/>
      <c r="UFI73" s="120"/>
      <c r="UFJ73" s="120"/>
      <c r="UFK73" s="120"/>
      <c r="UFL73" s="120"/>
      <c r="UFM73" s="120"/>
      <c r="UFN73" s="120"/>
      <c r="UFO73" s="120"/>
      <c r="UFP73" s="120"/>
      <c r="UFQ73" s="120"/>
      <c r="UFR73" s="120"/>
      <c r="UFS73" s="120"/>
      <c r="UFT73" s="120"/>
      <c r="UFU73" s="120"/>
      <c r="UFV73" s="120"/>
      <c r="UFW73" s="120"/>
      <c r="UFX73" s="120"/>
      <c r="UFY73" s="120"/>
      <c r="UFZ73" s="120"/>
      <c r="UGA73" s="120"/>
      <c r="UGB73" s="120"/>
      <c r="UGC73" s="120"/>
      <c r="UGD73" s="120"/>
      <c r="UGE73" s="120"/>
      <c r="UGF73" s="120"/>
      <c r="UGG73" s="120"/>
      <c r="UGH73" s="120"/>
      <c r="UGI73" s="120"/>
      <c r="UGJ73" s="120"/>
      <c r="UGK73" s="120"/>
      <c r="UGL73" s="120"/>
      <c r="UGM73" s="120"/>
      <c r="UGN73" s="120"/>
      <c r="UGO73" s="120"/>
      <c r="UGP73" s="120"/>
      <c r="UGQ73" s="120"/>
      <c r="UGR73" s="120"/>
      <c r="UGS73" s="120"/>
      <c r="UGT73" s="120"/>
      <c r="UGU73" s="120"/>
      <c r="UGV73" s="120"/>
      <c r="UGW73" s="120"/>
      <c r="UGX73" s="120"/>
      <c r="UGY73" s="120"/>
      <c r="UGZ73" s="120"/>
      <c r="UHA73" s="120"/>
      <c r="UHB73" s="120"/>
      <c r="UHC73" s="120"/>
      <c r="UHD73" s="120"/>
      <c r="UHE73" s="120"/>
      <c r="UHF73" s="120"/>
      <c r="UHG73" s="120"/>
      <c r="UHH73" s="120"/>
      <c r="UHI73" s="120"/>
      <c r="UHJ73" s="120"/>
      <c r="UHK73" s="120"/>
      <c r="UHL73" s="120"/>
      <c r="UHM73" s="120"/>
      <c r="UHN73" s="120"/>
      <c r="UHO73" s="120"/>
      <c r="UHP73" s="120"/>
      <c r="UHQ73" s="120"/>
      <c r="UHR73" s="120"/>
      <c r="UHS73" s="120"/>
      <c r="UHT73" s="120"/>
      <c r="UHU73" s="120"/>
      <c r="UHV73" s="120"/>
      <c r="UHW73" s="120"/>
      <c r="UHX73" s="120"/>
      <c r="UHY73" s="120"/>
      <c r="UHZ73" s="120"/>
      <c r="UIA73" s="120"/>
      <c r="UIB73" s="120"/>
      <c r="UIC73" s="120"/>
      <c r="UID73" s="120"/>
      <c r="UIE73" s="120"/>
      <c r="UIF73" s="120"/>
      <c r="UIG73" s="120"/>
      <c r="UIH73" s="120"/>
      <c r="UII73" s="120"/>
      <c r="UIJ73" s="120"/>
      <c r="UIK73" s="120"/>
      <c r="UIL73" s="120"/>
      <c r="UIM73" s="120"/>
      <c r="UIN73" s="120"/>
      <c r="UIO73" s="120"/>
      <c r="UIP73" s="120"/>
      <c r="UIQ73" s="120"/>
      <c r="UIR73" s="120"/>
      <c r="UIS73" s="120"/>
      <c r="UIT73" s="120"/>
      <c r="UIU73" s="120"/>
      <c r="UIV73" s="120"/>
      <c r="UIW73" s="120"/>
      <c r="UIX73" s="120"/>
      <c r="UIY73" s="120"/>
      <c r="UIZ73" s="120"/>
      <c r="UJA73" s="120"/>
      <c r="UJB73" s="120"/>
      <c r="UJC73" s="120"/>
      <c r="UJD73" s="120"/>
      <c r="UJE73" s="120"/>
      <c r="UJF73" s="120"/>
      <c r="UJG73" s="120"/>
      <c r="UJH73" s="120"/>
      <c r="UJI73" s="120"/>
      <c r="UJJ73" s="120"/>
      <c r="UJK73" s="120"/>
      <c r="UJL73" s="120"/>
      <c r="UJM73" s="120"/>
      <c r="UJN73" s="120"/>
      <c r="UJO73" s="120"/>
      <c r="UJP73" s="120"/>
      <c r="UJQ73" s="120"/>
      <c r="UJR73" s="120"/>
      <c r="UJS73" s="120"/>
      <c r="UJT73" s="120"/>
      <c r="UJU73" s="120"/>
      <c r="UJV73" s="120"/>
      <c r="UJW73" s="120"/>
      <c r="UJX73" s="120"/>
      <c r="UJY73" s="120"/>
      <c r="UJZ73" s="120"/>
      <c r="UKA73" s="120"/>
      <c r="UKB73" s="120"/>
      <c r="UKC73" s="120"/>
      <c r="UKD73" s="120"/>
      <c r="UKE73" s="120"/>
      <c r="UKF73" s="120"/>
      <c r="UKG73" s="120"/>
      <c r="UKH73" s="120"/>
      <c r="UKI73" s="120"/>
      <c r="UKJ73" s="120"/>
      <c r="UKK73" s="120"/>
      <c r="UKL73" s="120"/>
      <c r="UKM73" s="120"/>
      <c r="UKN73" s="120"/>
      <c r="UKO73" s="120"/>
      <c r="UKP73" s="120"/>
      <c r="UKQ73" s="120"/>
      <c r="UKR73" s="120"/>
      <c r="UKS73" s="120"/>
      <c r="UKT73" s="120"/>
      <c r="UKU73" s="120"/>
      <c r="UKV73" s="120"/>
      <c r="UKW73" s="120"/>
      <c r="UKX73" s="120"/>
      <c r="UKY73" s="120"/>
      <c r="UKZ73" s="120"/>
      <c r="ULA73" s="120"/>
      <c r="ULB73" s="120"/>
      <c r="ULC73" s="120"/>
      <c r="ULD73" s="120"/>
      <c r="ULE73" s="120"/>
      <c r="ULF73" s="120"/>
      <c r="ULG73" s="120"/>
      <c r="ULH73" s="120"/>
      <c r="ULI73" s="120"/>
      <c r="ULJ73" s="120"/>
      <c r="ULK73" s="120"/>
      <c r="ULL73" s="120"/>
      <c r="ULM73" s="120"/>
      <c r="ULN73" s="120"/>
      <c r="ULO73" s="120"/>
      <c r="ULP73" s="120"/>
      <c r="ULQ73" s="120"/>
      <c r="ULR73" s="120"/>
      <c r="ULS73" s="120"/>
      <c r="ULT73" s="120"/>
      <c r="ULU73" s="120"/>
      <c r="ULV73" s="120"/>
      <c r="ULW73" s="120"/>
      <c r="ULX73" s="120"/>
      <c r="ULY73" s="120"/>
      <c r="ULZ73" s="120"/>
      <c r="UMA73" s="120"/>
      <c r="UMB73" s="120"/>
      <c r="UMC73" s="120"/>
      <c r="UMD73" s="120"/>
      <c r="UME73" s="120"/>
      <c r="UMF73" s="120"/>
      <c r="UMG73" s="120"/>
      <c r="UMH73" s="120"/>
      <c r="UMI73" s="120"/>
      <c r="UMJ73" s="120"/>
      <c r="UMK73" s="120"/>
      <c r="UML73" s="120"/>
      <c r="UMM73" s="120"/>
      <c r="UMN73" s="120"/>
      <c r="UMO73" s="120"/>
      <c r="UMP73" s="120"/>
      <c r="UMQ73" s="120"/>
      <c r="UMR73" s="120"/>
      <c r="UMS73" s="120"/>
      <c r="UMT73" s="120"/>
      <c r="UMU73" s="120"/>
      <c r="UMV73" s="120"/>
      <c r="UMW73" s="120"/>
      <c r="UMX73" s="120"/>
      <c r="UMY73" s="120"/>
      <c r="UMZ73" s="120"/>
      <c r="UNA73" s="120"/>
      <c r="UNB73" s="120"/>
      <c r="UNC73" s="120"/>
      <c r="UND73" s="120"/>
      <c r="UNE73" s="120"/>
      <c r="UNF73" s="120"/>
      <c r="UNG73" s="120"/>
      <c r="UNH73" s="120"/>
      <c r="UNI73" s="120"/>
      <c r="UNJ73" s="120"/>
      <c r="UNK73" s="120"/>
      <c r="UNL73" s="120"/>
      <c r="UNM73" s="120"/>
      <c r="UNN73" s="120"/>
      <c r="UNO73" s="120"/>
      <c r="UNP73" s="120"/>
      <c r="UNQ73" s="120"/>
      <c r="UNR73" s="120"/>
      <c r="UNS73" s="120"/>
      <c r="UNT73" s="120"/>
      <c r="UNU73" s="120"/>
      <c r="UNV73" s="120"/>
      <c r="UNW73" s="120"/>
      <c r="UNX73" s="120"/>
      <c r="UNY73" s="120"/>
      <c r="UNZ73" s="120"/>
      <c r="UOA73" s="120"/>
      <c r="UOB73" s="120"/>
      <c r="UOC73" s="120"/>
      <c r="UOD73" s="120"/>
      <c r="UOE73" s="120"/>
      <c r="UOF73" s="120"/>
      <c r="UOG73" s="120"/>
      <c r="UOH73" s="120"/>
      <c r="UOI73" s="120"/>
      <c r="UOJ73" s="120"/>
      <c r="UOK73" s="120"/>
      <c r="UOL73" s="120"/>
      <c r="UOM73" s="120"/>
      <c r="UON73" s="120"/>
      <c r="UOO73" s="120"/>
      <c r="UOP73" s="120"/>
      <c r="UOQ73" s="120"/>
      <c r="UOR73" s="120"/>
      <c r="UOS73" s="120"/>
      <c r="UOT73" s="120"/>
      <c r="UOU73" s="120"/>
      <c r="UOV73" s="120"/>
      <c r="UOW73" s="120"/>
      <c r="UOX73" s="120"/>
      <c r="UOY73" s="120"/>
      <c r="UOZ73" s="120"/>
      <c r="UPA73" s="120"/>
      <c r="UPB73" s="120"/>
      <c r="UPC73" s="120"/>
      <c r="UPD73" s="120"/>
      <c r="UPE73" s="120"/>
      <c r="UPF73" s="120"/>
      <c r="UPG73" s="120"/>
      <c r="UPH73" s="120"/>
      <c r="UPI73" s="120"/>
      <c r="UPJ73" s="120"/>
      <c r="UPK73" s="120"/>
      <c r="UPL73" s="120"/>
      <c r="UPM73" s="120"/>
      <c r="UPN73" s="120"/>
      <c r="UPO73" s="120"/>
      <c r="UPP73" s="120"/>
      <c r="UPQ73" s="120"/>
      <c r="UPR73" s="120"/>
      <c r="UPS73" s="120"/>
      <c r="UPT73" s="120"/>
      <c r="UPU73" s="120"/>
      <c r="UPV73" s="120"/>
      <c r="UPW73" s="120"/>
      <c r="UPX73" s="120"/>
      <c r="UPY73" s="120"/>
      <c r="UPZ73" s="120"/>
      <c r="UQA73" s="120"/>
      <c r="UQB73" s="120"/>
      <c r="UQC73" s="120"/>
      <c r="UQD73" s="120"/>
      <c r="UQE73" s="120"/>
      <c r="UQF73" s="120"/>
      <c r="UQG73" s="120"/>
      <c r="UQH73" s="120"/>
      <c r="UQI73" s="120"/>
      <c r="UQJ73" s="120"/>
      <c r="UQK73" s="120"/>
      <c r="UQL73" s="120"/>
      <c r="UQM73" s="120"/>
      <c r="UQN73" s="120"/>
      <c r="UQO73" s="120"/>
      <c r="UQP73" s="120"/>
      <c r="UQQ73" s="120"/>
      <c r="UQR73" s="120"/>
      <c r="UQS73" s="120"/>
      <c r="UQT73" s="120"/>
      <c r="UQU73" s="120"/>
      <c r="UQV73" s="120"/>
      <c r="UQW73" s="120"/>
      <c r="UQX73" s="120"/>
      <c r="UQY73" s="120"/>
      <c r="UQZ73" s="120"/>
      <c r="URA73" s="120"/>
      <c r="URB73" s="120"/>
      <c r="URC73" s="120"/>
      <c r="URD73" s="120"/>
      <c r="URE73" s="120"/>
      <c r="URF73" s="120"/>
      <c r="URG73" s="120"/>
      <c r="URH73" s="120"/>
      <c r="URI73" s="120"/>
      <c r="URJ73" s="120"/>
      <c r="URK73" s="120"/>
      <c r="URL73" s="120"/>
      <c r="URM73" s="120"/>
      <c r="URN73" s="120"/>
      <c r="URO73" s="120"/>
      <c r="URP73" s="120"/>
      <c r="URQ73" s="120"/>
      <c r="URR73" s="120"/>
      <c r="URS73" s="120"/>
      <c r="URT73" s="120"/>
      <c r="URU73" s="120"/>
      <c r="URV73" s="120"/>
      <c r="URW73" s="120"/>
      <c r="URX73" s="120"/>
      <c r="URY73" s="120"/>
      <c r="URZ73" s="120"/>
      <c r="USA73" s="120"/>
      <c r="USB73" s="120"/>
      <c r="USC73" s="120"/>
      <c r="USD73" s="120"/>
      <c r="USE73" s="120"/>
      <c r="USF73" s="120"/>
      <c r="USG73" s="120"/>
      <c r="USH73" s="120"/>
      <c r="USI73" s="120"/>
      <c r="USJ73" s="120"/>
      <c r="USK73" s="120"/>
      <c r="USL73" s="120"/>
      <c r="USM73" s="120"/>
      <c r="USN73" s="120"/>
      <c r="USO73" s="120"/>
      <c r="USP73" s="120"/>
      <c r="USQ73" s="120"/>
      <c r="USR73" s="120"/>
      <c r="USS73" s="120"/>
      <c r="UST73" s="120"/>
      <c r="USU73" s="120"/>
      <c r="USV73" s="120"/>
      <c r="USW73" s="120"/>
      <c r="USX73" s="120"/>
      <c r="USY73" s="120"/>
      <c r="USZ73" s="120"/>
      <c r="UTA73" s="120"/>
      <c r="UTB73" s="120"/>
      <c r="UTC73" s="120"/>
      <c r="UTD73" s="120"/>
      <c r="UTE73" s="120"/>
      <c r="UTF73" s="120"/>
      <c r="UTG73" s="120"/>
      <c r="UTH73" s="120"/>
      <c r="UTI73" s="120"/>
      <c r="UTJ73" s="120"/>
      <c r="UTK73" s="120"/>
      <c r="UTL73" s="120"/>
      <c r="UTM73" s="120"/>
      <c r="UTN73" s="120"/>
      <c r="UTO73" s="120"/>
      <c r="UTP73" s="120"/>
      <c r="UTQ73" s="120"/>
      <c r="UTR73" s="120"/>
      <c r="UTS73" s="120"/>
      <c r="UTT73" s="120"/>
      <c r="UTU73" s="120"/>
      <c r="UTV73" s="120"/>
      <c r="UTW73" s="120"/>
      <c r="UTX73" s="120"/>
      <c r="UTY73" s="120"/>
      <c r="UTZ73" s="120"/>
      <c r="UUA73" s="120"/>
      <c r="UUB73" s="120"/>
      <c r="UUC73" s="120"/>
      <c r="UUD73" s="120"/>
      <c r="UUE73" s="120"/>
      <c r="UUF73" s="120"/>
      <c r="UUG73" s="120"/>
      <c r="UUH73" s="120"/>
      <c r="UUI73" s="120"/>
      <c r="UUJ73" s="120"/>
      <c r="UUK73" s="120"/>
      <c r="UUL73" s="120"/>
      <c r="UUM73" s="120"/>
      <c r="UUN73" s="120"/>
      <c r="UUO73" s="120"/>
      <c r="UUP73" s="120"/>
      <c r="UUQ73" s="120"/>
      <c r="UUR73" s="120"/>
      <c r="UUS73" s="120"/>
      <c r="UUT73" s="120"/>
      <c r="UUU73" s="120"/>
      <c r="UUV73" s="120"/>
      <c r="UUW73" s="120"/>
      <c r="UUX73" s="120"/>
      <c r="UUY73" s="120"/>
      <c r="UUZ73" s="120"/>
      <c r="UVA73" s="120"/>
      <c r="UVB73" s="120"/>
      <c r="UVC73" s="120"/>
      <c r="UVD73" s="120"/>
      <c r="UVE73" s="120"/>
      <c r="UVF73" s="120"/>
      <c r="UVG73" s="120"/>
      <c r="UVH73" s="120"/>
      <c r="UVI73" s="120"/>
      <c r="UVJ73" s="120"/>
      <c r="UVK73" s="120"/>
      <c r="UVL73" s="120"/>
      <c r="UVM73" s="120"/>
      <c r="UVN73" s="120"/>
      <c r="UVO73" s="120"/>
      <c r="UVP73" s="120"/>
      <c r="UVQ73" s="120"/>
      <c r="UVR73" s="120"/>
      <c r="UVS73" s="120"/>
      <c r="UVT73" s="120"/>
      <c r="UVU73" s="120"/>
      <c r="UVV73" s="120"/>
      <c r="UVW73" s="120"/>
      <c r="UVX73" s="120"/>
      <c r="UVY73" s="120"/>
      <c r="UVZ73" s="120"/>
      <c r="UWA73" s="120"/>
      <c r="UWB73" s="120"/>
      <c r="UWC73" s="120"/>
      <c r="UWD73" s="120"/>
      <c r="UWE73" s="120"/>
      <c r="UWF73" s="120"/>
      <c r="UWG73" s="120"/>
      <c r="UWH73" s="120"/>
      <c r="UWI73" s="120"/>
      <c r="UWJ73" s="120"/>
      <c r="UWK73" s="120"/>
      <c r="UWL73" s="120"/>
      <c r="UWM73" s="120"/>
      <c r="UWN73" s="120"/>
      <c r="UWO73" s="120"/>
      <c r="UWP73" s="120"/>
      <c r="UWQ73" s="120"/>
      <c r="UWR73" s="120"/>
      <c r="UWS73" s="120"/>
      <c r="UWT73" s="120"/>
      <c r="UWU73" s="120"/>
      <c r="UWV73" s="120"/>
      <c r="UWW73" s="120"/>
      <c r="UWX73" s="120"/>
      <c r="UWY73" s="120"/>
      <c r="UWZ73" s="120"/>
      <c r="UXA73" s="120"/>
      <c r="UXB73" s="120"/>
      <c r="UXC73" s="120"/>
      <c r="UXD73" s="120"/>
      <c r="UXE73" s="120"/>
      <c r="UXF73" s="120"/>
      <c r="UXG73" s="120"/>
      <c r="UXH73" s="120"/>
      <c r="UXI73" s="120"/>
      <c r="UXJ73" s="120"/>
      <c r="UXK73" s="120"/>
      <c r="UXL73" s="120"/>
      <c r="UXM73" s="120"/>
      <c r="UXN73" s="120"/>
      <c r="UXO73" s="120"/>
      <c r="UXP73" s="120"/>
      <c r="UXQ73" s="120"/>
      <c r="UXR73" s="120"/>
      <c r="UXS73" s="120"/>
      <c r="UXT73" s="120"/>
      <c r="UXU73" s="120"/>
      <c r="UXV73" s="120"/>
      <c r="UXW73" s="120"/>
      <c r="UXX73" s="120"/>
      <c r="UXY73" s="120"/>
      <c r="UXZ73" s="120"/>
      <c r="UYA73" s="120"/>
      <c r="UYB73" s="120"/>
      <c r="UYC73" s="120"/>
      <c r="UYD73" s="120"/>
      <c r="UYE73" s="120"/>
      <c r="UYF73" s="120"/>
      <c r="UYG73" s="120"/>
      <c r="UYH73" s="120"/>
      <c r="UYI73" s="120"/>
      <c r="UYJ73" s="120"/>
      <c r="UYK73" s="120"/>
      <c r="UYL73" s="120"/>
      <c r="UYM73" s="120"/>
      <c r="UYN73" s="120"/>
      <c r="UYO73" s="120"/>
      <c r="UYP73" s="120"/>
      <c r="UYQ73" s="120"/>
      <c r="UYR73" s="120"/>
      <c r="UYS73" s="120"/>
      <c r="UYT73" s="120"/>
      <c r="UYU73" s="120"/>
      <c r="UYV73" s="120"/>
      <c r="UYW73" s="120"/>
      <c r="UYX73" s="120"/>
      <c r="UYY73" s="120"/>
      <c r="UYZ73" s="120"/>
      <c r="UZA73" s="120"/>
      <c r="UZB73" s="120"/>
      <c r="UZC73" s="120"/>
      <c r="UZD73" s="120"/>
      <c r="UZE73" s="120"/>
      <c r="UZF73" s="120"/>
      <c r="UZG73" s="120"/>
      <c r="UZH73" s="120"/>
      <c r="UZI73" s="120"/>
      <c r="UZJ73" s="120"/>
      <c r="UZK73" s="120"/>
      <c r="UZL73" s="120"/>
      <c r="UZM73" s="120"/>
      <c r="UZN73" s="120"/>
      <c r="UZO73" s="120"/>
      <c r="UZP73" s="120"/>
      <c r="UZQ73" s="120"/>
      <c r="UZR73" s="120"/>
      <c r="UZS73" s="120"/>
      <c r="UZT73" s="120"/>
      <c r="UZU73" s="120"/>
      <c r="UZV73" s="120"/>
      <c r="UZW73" s="120"/>
      <c r="UZX73" s="120"/>
      <c r="UZY73" s="120"/>
      <c r="UZZ73" s="120"/>
      <c r="VAA73" s="120"/>
      <c r="VAB73" s="120"/>
      <c r="VAC73" s="120"/>
      <c r="VAD73" s="120"/>
      <c r="VAE73" s="120"/>
      <c r="VAF73" s="120"/>
      <c r="VAG73" s="120"/>
      <c r="VAH73" s="120"/>
      <c r="VAI73" s="120"/>
      <c r="VAJ73" s="120"/>
      <c r="VAK73" s="120"/>
      <c r="VAL73" s="120"/>
      <c r="VAM73" s="120"/>
      <c r="VAN73" s="120"/>
      <c r="VAO73" s="120"/>
      <c r="VAP73" s="120"/>
      <c r="VAQ73" s="120"/>
      <c r="VAR73" s="120"/>
      <c r="VAS73" s="120"/>
      <c r="VAT73" s="120"/>
      <c r="VAU73" s="120"/>
      <c r="VAV73" s="120"/>
      <c r="VAW73" s="120"/>
      <c r="VAX73" s="120"/>
      <c r="VAY73" s="120"/>
      <c r="VAZ73" s="120"/>
      <c r="VBA73" s="120"/>
      <c r="VBB73" s="120"/>
      <c r="VBC73" s="120"/>
      <c r="VBD73" s="120"/>
      <c r="VBE73" s="120"/>
      <c r="VBF73" s="120"/>
      <c r="VBG73" s="120"/>
      <c r="VBH73" s="120"/>
      <c r="VBI73" s="120"/>
      <c r="VBJ73" s="120"/>
      <c r="VBK73" s="120"/>
      <c r="VBL73" s="120"/>
      <c r="VBM73" s="120"/>
      <c r="VBN73" s="120"/>
      <c r="VBO73" s="120"/>
      <c r="VBP73" s="120"/>
      <c r="VBQ73" s="120"/>
      <c r="VBR73" s="120"/>
      <c r="VBS73" s="120"/>
      <c r="VBT73" s="120"/>
      <c r="VBU73" s="120"/>
      <c r="VBV73" s="120"/>
      <c r="VBW73" s="120"/>
      <c r="VBX73" s="120"/>
      <c r="VBY73" s="120"/>
      <c r="VBZ73" s="120"/>
      <c r="VCA73" s="120"/>
      <c r="VCB73" s="120"/>
      <c r="VCC73" s="120"/>
      <c r="VCD73" s="120"/>
      <c r="VCE73" s="120"/>
      <c r="VCF73" s="120"/>
      <c r="VCG73" s="120"/>
      <c r="VCH73" s="120"/>
      <c r="VCI73" s="120"/>
      <c r="VCJ73" s="120"/>
      <c r="VCK73" s="120"/>
      <c r="VCL73" s="120"/>
      <c r="VCM73" s="120"/>
      <c r="VCN73" s="120"/>
      <c r="VCO73" s="120"/>
      <c r="VCP73" s="120"/>
      <c r="VCQ73" s="120"/>
      <c r="VCR73" s="120"/>
      <c r="VCS73" s="120"/>
      <c r="VCT73" s="120"/>
      <c r="VCU73" s="120"/>
      <c r="VCV73" s="120"/>
      <c r="VCW73" s="120"/>
      <c r="VCX73" s="120"/>
      <c r="VCY73" s="120"/>
      <c r="VCZ73" s="120"/>
      <c r="VDA73" s="120"/>
      <c r="VDB73" s="120"/>
      <c r="VDC73" s="120"/>
      <c r="VDD73" s="120"/>
      <c r="VDE73" s="120"/>
      <c r="VDF73" s="120"/>
      <c r="VDG73" s="120"/>
      <c r="VDH73" s="120"/>
      <c r="VDI73" s="120"/>
      <c r="VDJ73" s="120"/>
      <c r="VDK73" s="120"/>
      <c r="VDL73" s="120"/>
      <c r="VDM73" s="120"/>
      <c r="VDN73" s="120"/>
      <c r="VDO73" s="120"/>
      <c r="VDP73" s="120"/>
      <c r="VDQ73" s="120"/>
      <c r="VDR73" s="120"/>
      <c r="VDS73" s="120"/>
      <c r="VDT73" s="120"/>
      <c r="VDU73" s="120"/>
      <c r="VDV73" s="120"/>
      <c r="VDW73" s="120"/>
      <c r="VDX73" s="120"/>
      <c r="VDY73" s="120"/>
      <c r="VDZ73" s="120"/>
      <c r="VEA73" s="120"/>
      <c r="VEB73" s="120"/>
      <c r="VEC73" s="120"/>
      <c r="VED73" s="120"/>
      <c r="VEE73" s="120"/>
      <c r="VEF73" s="120"/>
      <c r="VEG73" s="120"/>
      <c r="VEH73" s="120"/>
      <c r="VEI73" s="120"/>
      <c r="VEJ73" s="120"/>
      <c r="VEK73" s="120"/>
      <c r="VEL73" s="120"/>
      <c r="VEM73" s="120"/>
      <c r="VEN73" s="120"/>
      <c r="VEO73" s="120"/>
      <c r="VEP73" s="120"/>
      <c r="VEQ73" s="120"/>
      <c r="VER73" s="120"/>
      <c r="VES73" s="120"/>
      <c r="VET73" s="120"/>
      <c r="VEU73" s="120"/>
      <c r="VEV73" s="120"/>
      <c r="VEW73" s="120"/>
      <c r="VEX73" s="120"/>
      <c r="VEY73" s="120"/>
      <c r="VEZ73" s="120"/>
      <c r="VFA73" s="120"/>
      <c r="VFB73" s="120"/>
      <c r="VFC73" s="120"/>
      <c r="VFD73" s="120"/>
      <c r="VFE73" s="120"/>
      <c r="VFF73" s="120"/>
      <c r="VFG73" s="120"/>
      <c r="VFH73" s="120"/>
      <c r="VFI73" s="120"/>
      <c r="VFJ73" s="120"/>
      <c r="VFK73" s="120"/>
      <c r="VFL73" s="120"/>
      <c r="VFM73" s="120"/>
      <c r="VFN73" s="120"/>
      <c r="VFO73" s="120"/>
      <c r="VFP73" s="120"/>
      <c r="VFQ73" s="120"/>
      <c r="VFR73" s="120"/>
      <c r="VFS73" s="120"/>
      <c r="VFT73" s="120"/>
      <c r="VFU73" s="120"/>
      <c r="VFV73" s="120"/>
      <c r="VFW73" s="120"/>
      <c r="VFX73" s="120"/>
      <c r="VFY73" s="120"/>
      <c r="VFZ73" s="120"/>
      <c r="VGA73" s="120"/>
      <c r="VGB73" s="120"/>
      <c r="VGC73" s="120"/>
      <c r="VGD73" s="120"/>
      <c r="VGE73" s="120"/>
      <c r="VGF73" s="120"/>
      <c r="VGG73" s="120"/>
      <c r="VGH73" s="120"/>
      <c r="VGI73" s="120"/>
      <c r="VGJ73" s="120"/>
      <c r="VGK73" s="120"/>
      <c r="VGL73" s="120"/>
      <c r="VGM73" s="120"/>
      <c r="VGN73" s="120"/>
      <c r="VGO73" s="120"/>
      <c r="VGP73" s="120"/>
      <c r="VGQ73" s="120"/>
      <c r="VGR73" s="120"/>
      <c r="VGS73" s="120"/>
      <c r="VGT73" s="120"/>
      <c r="VGU73" s="120"/>
      <c r="VGV73" s="120"/>
      <c r="VGW73" s="120"/>
      <c r="VGX73" s="120"/>
      <c r="VGY73" s="120"/>
      <c r="VGZ73" s="120"/>
      <c r="VHA73" s="120"/>
      <c r="VHB73" s="120"/>
      <c r="VHC73" s="120"/>
      <c r="VHD73" s="120"/>
      <c r="VHE73" s="120"/>
      <c r="VHF73" s="120"/>
      <c r="VHG73" s="120"/>
      <c r="VHH73" s="120"/>
      <c r="VHI73" s="120"/>
      <c r="VHJ73" s="120"/>
      <c r="VHK73" s="120"/>
      <c r="VHL73" s="120"/>
      <c r="VHM73" s="120"/>
      <c r="VHN73" s="120"/>
      <c r="VHO73" s="120"/>
      <c r="VHP73" s="120"/>
      <c r="VHQ73" s="120"/>
      <c r="VHR73" s="120"/>
      <c r="VHS73" s="120"/>
      <c r="VHT73" s="120"/>
      <c r="VHU73" s="120"/>
      <c r="VHV73" s="120"/>
      <c r="VHW73" s="120"/>
      <c r="VHX73" s="120"/>
      <c r="VHY73" s="120"/>
      <c r="VHZ73" s="120"/>
      <c r="VIA73" s="120"/>
      <c r="VIB73" s="120"/>
      <c r="VIC73" s="120"/>
      <c r="VID73" s="120"/>
      <c r="VIE73" s="120"/>
      <c r="VIF73" s="120"/>
      <c r="VIG73" s="120"/>
      <c r="VIH73" s="120"/>
      <c r="VII73" s="120"/>
      <c r="VIJ73" s="120"/>
      <c r="VIK73" s="120"/>
      <c r="VIL73" s="120"/>
      <c r="VIM73" s="120"/>
      <c r="VIN73" s="120"/>
      <c r="VIO73" s="120"/>
      <c r="VIP73" s="120"/>
      <c r="VIQ73" s="120"/>
      <c r="VIR73" s="120"/>
      <c r="VIS73" s="120"/>
      <c r="VIT73" s="120"/>
      <c r="VIU73" s="120"/>
      <c r="VIV73" s="120"/>
      <c r="VIW73" s="120"/>
      <c r="VIX73" s="120"/>
      <c r="VIY73" s="120"/>
      <c r="VIZ73" s="120"/>
      <c r="VJA73" s="120"/>
      <c r="VJB73" s="120"/>
      <c r="VJC73" s="120"/>
      <c r="VJD73" s="120"/>
      <c r="VJE73" s="120"/>
      <c r="VJF73" s="120"/>
      <c r="VJG73" s="120"/>
      <c r="VJH73" s="120"/>
      <c r="VJI73" s="120"/>
      <c r="VJJ73" s="120"/>
      <c r="VJK73" s="120"/>
      <c r="VJL73" s="120"/>
      <c r="VJM73" s="120"/>
      <c r="VJN73" s="120"/>
      <c r="VJO73" s="120"/>
      <c r="VJP73" s="120"/>
      <c r="VJQ73" s="120"/>
      <c r="VJR73" s="120"/>
      <c r="VJS73" s="120"/>
      <c r="VJT73" s="120"/>
      <c r="VJU73" s="120"/>
      <c r="VJV73" s="120"/>
      <c r="VJW73" s="120"/>
      <c r="VJX73" s="120"/>
      <c r="VJY73" s="120"/>
      <c r="VJZ73" s="120"/>
      <c r="VKA73" s="120"/>
      <c r="VKB73" s="120"/>
      <c r="VKC73" s="120"/>
      <c r="VKD73" s="120"/>
      <c r="VKE73" s="120"/>
      <c r="VKF73" s="120"/>
      <c r="VKG73" s="120"/>
      <c r="VKH73" s="120"/>
      <c r="VKI73" s="120"/>
      <c r="VKJ73" s="120"/>
      <c r="VKK73" s="120"/>
      <c r="VKL73" s="120"/>
      <c r="VKM73" s="120"/>
      <c r="VKN73" s="120"/>
      <c r="VKO73" s="120"/>
      <c r="VKP73" s="120"/>
      <c r="VKQ73" s="120"/>
      <c r="VKR73" s="120"/>
      <c r="VKS73" s="120"/>
      <c r="VKT73" s="120"/>
      <c r="VKU73" s="120"/>
      <c r="VKV73" s="120"/>
      <c r="VKW73" s="120"/>
      <c r="VKX73" s="120"/>
      <c r="VKY73" s="120"/>
      <c r="VKZ73" s="120"/>
      <c r="VLA73" s="120"/>
      <c r="VLB73" s="120"/>
      <c r="VLC73" s="120"/>
      <c r="VLD73" s="120"/>
      <c r="VLE73" s="120"/>
      <c r="VLF73" s="120"/>
      <c r="VLG73" s="120"/>
      <c r="VLH73" s="120"/>
      <c r="VLI73" s="120"/>
      <c r="VLJ73" s="120"/>
      <c r="VLK73" s="120"/>
      <c r="VLL73" s="120"/>
      <c r="VLM73" s="120"/>
      <c r="VLN73" s="120"/>
      <c r="VLO73" s="120"/>
      <c r="VLP73" s="120"/>
      <c r="VLQ73" s="120"/>
      <c r="VLR73" s="120"/>
      <c r="VLS73" s="120"/>
      <c r="VLT73" s="120"/>
      <c r="VLU73" s="120"/>
      <c r="VLV73" s="120"/>
      <c r="VLW73" s="120"/>
      <c r="VLX73" s="120"/>
      <c r="VLY73" s="120"/>
      <c r="VLZ73" s="120"/>
      <c r="VMA73" s="120"/>
      <c r="VMB73" s="120"/>
      <c r="VMC73" s="120"/>
      <c r="VMD73" s="120"/>
      <c r="VME73" s="120"/>
      <c r="VMF73" s="120"/>
      <c r="VMG73" s="120"/>
      <c r="VMH73" s="120"/>
      <c r="VMI73" s="120"/>
      <c r="VMJ73" s="120"/>
      <c r="VMK73" s="120"/>
      <c r="VML73" s="120"/>
      <c r="VMM73" s="120"/>
      <c r="VMN73" s="120"/>
      <c r="VMO73" s="120"/>
      <c r="VMP73" s="120"/>
      <c r="VMQ73" s="120"/>
      <c r="VMR73" s="120"/>
      <c r="VMS73" s="120"/>
      <c r="VMT73" s="120"/>
      <c r="VMU73" s="120"/>
      <c r="VMV73" s="120"/>
      <c r="VMW73" s="120"/>
      <c r="VMX73" s="120"/>
      <c r="VMY73" s="120"/>
      <c r="VMZ73" s="120"/>
      <c r="VNA73" s="120"/>
      <c r="VNB73" s="120"/>
      <c r="VNC73" s="120"/>
      <c r="VND73" s="120"/>
      <c r="VNE73" s="120"/>
      <c r="VNF73" s="120"/>
      <c r="VNG73" s="120"/>
      <c r="VNH73" s="120"/>
      <c r="VNI73" s="120"/>
      <c r="VNJ73" s="120"/>
      <c r="VNK73" s="120"/>
      <c r="VNL73" s="120"/>
      <c r="VNM73" s="120"/>
      <c r="VNN73" s="120"/>
      <c r="VNO73" s="120"/>
      <c r="VNP73" s="120"/>
      <c r="VNQ73" s="120"/>
      <c r="VNR73" s="120"/>
      <c r="VNS73" s="120"/>
      <c r="VNT73" s="120"/>
      <c r="VNU73" s="120"/>
      <c r="VNV73" s="120"/>
      <c r="VNW73" s="120"/>
      <c r="VNX73" s="120"/>
      <c r="VNY73" s="120"/>
      <c r="VNZ73" s="120"/>
      <c r="VOA73" s="120"/>
      <c r="VOB73" s="120"/>
      <c r="VOC73" s="120"/>
      <c r="VOD73" s="120"/>
      <c r="VOE73" s="120"/>
      <c r="VOF73" s="120"/>
      <c r="VOG73" s="120"/>
      <c r="VOH73" s="120"/>
      <c r="VOI73" s="120"/>
      <c r="VOJ73" s="120"/>
      <c r="VOK73" s="120"/>
      <c r="VOL73" s="120"/>
      <c r="VOM73" s="120"/>
      <c r="VON73" s="120"/>
      <c r="VOO73" s="120"/>
      <c r="VOP73" s="120"/>
      <c r="VOQ73" s="120"/>
      <c r="VOR73" s="120"/>
      <c r="VOS73" s="120"/>
      <c r="VOT73" s="120"/>
      <c r="VOU73" s="120"/>
      <c r="VOV73" s="120"/>
      <c r="VOW73" s="120"/>
      <c r="VOX73" s="120"/>
      <c r="VOY73" s="120"/>
      <c r="VOZ73" s="120"/>
      <c r="VPA73" s="120"/>
      <c r="VPB73" s="120"/>
      <c r="VPC73" s="120"/>
      <c r="VPD73" s="120"/>
      <c r="VPE73" s="120"/>
      <c r="VPF73" s="120"/>
      <c r="VPG73" s="120"/>
      <c r="VPH73" s="120"/>
      <c r="VPI73" s="120"/>
      <c r="VPJ73" s="120"/>
      <c r="VPK73" s="120"/>
      <c r="VPL73" s="120"/>
      <c r="VPM73" s="120"/>
      <c r="VPN73" s="120"/>
      <c r="VPO73" s="120"/>
      <c r="VPP73" s="120"/>
      <c r="VPQ73" s="120"/>
      <c r="VPR73" s="120"/>
      <c r="VPS73" s="120"/>
      <c r="VPT73" s="120"/>
      <c r="VPU73" s="120"/>
      <c r="VPV73" s="120"/>
      <c r="VPW73" s="120"/>
      <c r="VPX73" s="120"/>
      <c r="VPY73" s="120"/>
      <c r="VPZ73" s="120"/>
      <c r="VQA73" s="120"/>
      <c r="VQB73" s="120"/>
      <c r="VQC73" s="120"/>
      <c r="VQD73" s="120"/>
      <c r="VQE73" s="120"/>
      <c r="VQF73" s="120"/>
      <c r="VQG73" s="120"/>
      <c r="VQH73" s="120"/>
      <c r="VQI73" s="120"/>
      <c r="VQJ73" s="120"/>
      <c r="VQK73" s="120"/>
      <c r="VQL73" s="120"/>
      <c r="VQM73" s="120"/>
      <c r="VQN73" s="120"/>
      <c r="VQO73" s="120"/>
      <c r="VQP73" s="120"/>
      <c r="VQQ73" s="120"/>
      <c r="VQR73" s="120"/>
      <c r="VQS73" s="120"/>
      <c r="VQT73" s="120"/>
      <c r="VQU73" s="120"/>
      <c r="VQV73" s="120"/>
      <c r="VQW73" s="120"/>
      <c r="VQX73" s="120"/>
      <c r="VQY73" s="120"/>
      <c r="VQZ73" s="120"/>
      <c r="VRA73" s="120"/>
      <c r="VRB73" s="120"/>
      <c r="VRC73" s="120"/>
      <c r="VRD73" s="120"/>
      <c r="VRE73" s="120"/>
      <c r="VRF73" s="120"/>
      <c r="VRG73" s="120"/>
      <c r="VRH73" s="120"/>
      <c r="VRI73" s="120"/>
      <c r="VRJ73" s="120"/>
      <c r="VRK73" s="120"/>
      <c r="VRL73" s="120"/>
      <c r="VRM73" s="120"/>
      <c r="VRN73" s="120"/>
      <c r="VRO73" s="120"/>
      <c r="VRP73" s="120"/>
      <c r="VRQ73" s="120"/>
      <c r="VRR73" s="120"/>
      <c r="VRS73" s="120"/>
      <c r="VRT73" s="120"/>
      <c r="VRU73" s="120"/>
      <c r="VRV73" s="120"/>
      <c r="VRW73" s="120"/>
      <c r="VRX73" s="120"/>
      <c r="VRY73" s="120"/>
      <c r="VRZ73" s="120"/>
      <c r="VSA73" s="120"/>
      <c r="VSB73" s="120"/>
      <c r="VSC73" s="120"/>
      <c r="VSD73" s="120"/>
      <c r="VSE73" s="120"/>
      <c r="VSF73" s="120"/>
      <c r="VSG73" s="120"/>
      <c r="VSH73" s="120"/>
      <c r="VSI73" s="120"/>
      <c r="VSJ73" s="120"/>
      <c r="VSK73" s="120"/>
      <c r="VSL73" s="120"/>
      <c r="VSM73" s="120"/>
      <c r="VSN73" s="120"/>
      <c r="VSO73" s="120"/>
      <c r="VSP73" s="120"/>
      <c r="VSQ73" s="120"/>
      <c r="VSR73" s="120"/>
      <c r="VSS73" s="120"/>
      <c r="VST73" s="120"/>
      <c r="VSU73" s="120"/>
      <c r="VSV73" s="120"/>
      <c r="VSW73" s="120"/>
      <c r="VSX73" s="120"/>
      <c r="VSY73" s="120"/>
      <c r="VSZ73" s="120"/>
      <c r="VTA73" s="120"/>
      <c r="VTB73" s="120"/>
      <c r="VTC73" s="120"/>
      <c r="VTD73" s="120"/>
      <c r="VTE73" s="120"/>
      <c r="VTF73" s="120"/>
      <c r="VTG73" s="120"/>
      <c r="VTH73" s="120"/>
      <c r="VTI73" s="120"/>
      <c r="VTJ73" s="120"/>
      <c r="VTK73" s="120"/>
      <c r="VTL73" s="120"/>
      <c r="VTM73" s="120"/>
      <c r="VTN73" s="120"/>
      <c r="VTO73" s="120"/>
      <c r="VTP73" s="120"/>
      <c r="VTQ73" s="120"/>
      <c r="VTR73" s="120"/>
      <c r="VTS73" s="120"/>
      <c r="VTT73" s="120"/>
      <c r="VTU73" s="120"/>
      <c r="VTV73" s="120"/>
      <c r="VTW73" s="120"/>
      <c r="VTX73" s="120"/>
      <c r="VTY73" s="120"/>
      <c r="VTZ73" s="120"/>
      <c r="VUA73" s="120"/>
      <c r="VUB73" s="120"/>
      <c r="VUC73" s="120"/>
      <c r="VUD73" s="120"/>
      <c r="VUE73" s="120"/>
      <c r="VUF73" s="120"/>
      <c r="VUG73" s="120"/>
      <c r="VUH73" s="120"/>
      <c r="VUI73" s="120"/>
      <c r="VUJ73" s="120"/>
      <c r="VUK73" s="120"/>
      <c r="VUL73" s="120"/>
      <c r="VUM73" s="120"/>
      <c r="VUN73" s="120"/>
      <c r="VUO73" s="120"/>
      <c r="VUP73" s="120"/>
      <c r="VUQ73" s="120"/>
      <c r="VUR73" s="120"/>
      <c r="VUS73" s="120"/>
      <c r="VUT73" s="120"/>
      <c r="VUU73" s="120"/>
      <c r="VUV73" s="120"/>
      <c r="VUW73" s="120"/>
      <c r="VUX73" s="120"/>
      <c r="VUY73" s="120"/>
      <c r="VUZ73" s="120"/>
      <c r="VVA73" s="120"/>
      <c r="VVB73" s="120"/>
      <c r="VVC73" s="120"/>
      <c r="VVD73" s="120"/>
      <c r="VVE73" s="120"/>
      <c r="VVF73" s="120"/>
      <c r="VVG73" s="120"/>
      <c r="VVH73" s="120"/>
      <c r="VVI73" s="120"/>
      <c r="VVJ73" s="120"/>
      <c r="VVK73" s="120"/>
      <c r="VVL73" s="120"/>
      <c r="VVM73" s="120"/>
      <c r="VVN73" s="120"/>
      <c r="VVO73" s="120"/>
      <c r="VVP73" s="120"/>
      <c r="VVQ73" s="120"/>
      <c r="VVR73" s="120"/>
      <c r="VVS73" s="120"/>
      <c r="VVT73" s="120"/>
      <c r="VVU73" s="120"/>
      <c r="VVV73" s="120"/>
      <c r="VVW73" s="120"/>
      <c r="VVX73" s="120"/>
      <c r="VVY73" s="120"/>
      <c r="VVZ73" s="120"/>
      <c r="VWA73" s="120"/>
      <c r="VWB73" s="120"/>
      <c r="VWC73" s="120"/>
      <c r="VWD73" s="120"/>
      <c r="VWE73" s="120"/>
      <c r="VWF73" s="120"/>
      <c r="VWG73" s="120"/>
      <c r="VWH73" s="120"/>
      <c r="VWI73" s="120"/>
      <c r="VWJ73" s="120"/>
      <c r="VWK73" s="120"/>
      <c r="VWL73" s="120"/>
      <c r="VWM73" s="120"/>
      <c r="VWN73" s="120"/>
      <c r="VWO73" s="120"/>
      <c r="VWP73" s="120"/>
      <c r="VWQ73" s="120"/>
      <c r="VWR73" s="120"/>
      <c r="VWS73" s="120"/>
      <c r="VWT73" s="120"/>
      <c r="VWU73" s="120"/>
      <c r="VWV73" s="120"/>
      <c r="VWW73" s="120"/>
      <c r="VWX73" s="120"/>
      <c r="VWY73" s="120"/>
      <c r="VWZ73" s="120"/>
      <c r="VXA73" s="120"/>
      <c r="VXB73" s="120"/>
      <c r="VXC73" s="120"/>
      <c r="VXD73" s="120"/>
      <c r="VXE73" s="120"/>
      <c r="VXF73" s="120"/>
      <c r="VXG73" s="120"/>
      <c r="VXH73" s="120"/>
      <c r="VXI73" s="120"/>
      <c r="VXJ73" s="120"/>
      <c r="VXK73" s="120"/>
      <c r="VXL73" s="120"/>
      <c r="VXM73" s="120"/>
      <c r="VXN73" s="120"/>
      <c r="VXO73" s="120"/>
      <c r="VXP73" s="120"/>
      <c r="VXQ73" s="120"/>
      <c r="VXR73" s="120"/>
      <c r="VXS73" s="120"/>
      <c r="VXT73" s="120"/>
      <c r="VXU73" s="120"/>
      <c r="VXV73" s="120"/>
      <c r="VXW73" s="120"/>
      <c r="VXX73" s="120"/>
      <c r="VXY73" s="120"/>
      <c r="VXZ73" s="120"/>
      <c r="VYA73" s="120"/>
      <c r="VYB73" s="120"/>
      <c r="VYC73" s="120"/>
      <c r="VYD73" s="120"/>
      <c r="VYE73" s="120"/>
      <c r="VYF73" s="120"/>
      <c r="VYG73" s="120"/>
      <c r="VYH73" s="120"/>
      <c r="VYI73" s="120"/>
      <c r="VYJ73" s="120"/>
      <c r="VYK73" s="120"/>
      <c r="VYL73" s="120"/>
      <c r="VYM73" s="120"/>
      <c r="VYN73" s="120"/>
      <c r="VYO73" s="120"/>
      <c r="VYP73" s="120"/>
      <c r="VYQ73" s="120"/>
      <c r="VYR73" s="120"/>
      <c r="VYS73" s="120"/>
      <c r="VYT73" s="120"/>
      <c r="VYU73" s="120"/>
      <c r="VYV73" s="120"/>
      <c r="VYW73" s="120"/>
      <c r="VYX73" s="120"/>
      <c r="VYY73" s="120"/>
      <c r="VYZ73" s="120"/>
      <c r="VZA73" s="120"/>
      <c r="VZB73" s="120"/>
      <c r="VZC73" s="120"/>
      <c r="VZD73" s="120"/>
      <c r="VZE73" s="120"/>
      <c r="VZF73" s="120"/>
      <c r="VZG73" s="120"/>
      <c r="VZH73" s="120"/>
      <c r="VZI73" s="120"/>
      <c r="VZJ73" s="120"/>
      <c r="VZK73" s="120"/>
      <c r="VZL73" s="120"/>
      <c r="VZM73" s="120"/>
      <c r="VZN73" s="120"/>
      <c r="VZO73" s="120"/>
      <c r="VZP73" s="120"/>
      <c r="VZQ73" s="120"/>
      <c r="VZR73" s="120"/>
      <c r="VZS73" s="120"/>
      <c r="VZT73" s="120"/>
      <c r="VZU73" s="120"/>
      <c r="VZV73" s="120"/>
      <c r="VZW73" s="120"/>
      <c r="VZX73" s="120"/>
      <c r="VZY73" s="120"/>
      <c r="VZZ73" s="120"/>
      <c r="WAA73" s="120"/>
      <c r="WAB73" s="120"/>
      <c r="WAC73" s="120"/>
      <c r="WAD73" s="120"/>
      <c r="WAE73" s="120"/>
      <c r="WAF73" s="120"/>
      <c r="WAG73" s="120"/>
      <c r="WAH73" s="120"/>
      <c r="WAI73" s="120"/>
      <c r="WAJ73" s="120"/>
      <c r="WAK73" s="120"/>
      <c r="WAL73" s="120"/>
      <c r="WAM73" s="120"/>
      <c r="WAN73" s="120"/>
      <c r="WAO73" s="120"/>
      <c r="WAP73" s="120"/>
      <c r="WAQ73" s="120"/>
      <c r="WAR73" s="120"/>
      <c r="WAS73" s="120"/>
      <c r="WAT73" s="120"/>
      <c r="WAU73" s="120"/>
      <c r="WAV73" s="120"/>
      <c r="WAW73" s="120"/>
      <c r="WAX73" s="120"/>
      <c r="WAY73" s="120"/>
      <c r="WAZ73" s="120"/>
      <c r="WBA73" s="120"/>
      <c r="WBB73" s="120"/>
      <c r="WBC73" s="120"/>
      <c r="WBD73" s="120"/>
      <c r="WBE73" s="120"/>
      <c r="WBF73" s="120"/>
      <c r="WBG73" s="120"/>
      <c r="WBH73" s="120"/>
      <c r="WBI73" s="120"/>
      <c r="WBJ73" s="120"/>
      <c r="WBK73" s="120"/>
      <c r="WBL73" s="120"/>
      <c r="WBM73" s="120"/>
      <c r="WBN73" s="120"/>
      <c r="WBO73" s="120"/>
      <c r="WBP73" s="120"/>
      <c r="WBQ73" s="120"/>
      <c r="WBR73" s="120"/>
      <c r="WBS73" s="120"/>
      <c r="WBT73" s="120"/>
      <c r="WBU73" s="120"/>
      <c r="WBV73" s="120"/>
      <c r="WBW73" s="120"/>
      <c r="WBX73" s="120"/>
      <c r="WBY73" s="120"/>
      <c r="WBZ73" s="120"/>
      <c r="WCA73" s="120"/>
      <c r="WCB73" s="120"/>
      <c r="WCC73" s="120"/>
      <c r="WCD73" s="120"/>
      <c r="WCE73" s="120"/>
      <c r="WCF73" s="120"/>
      <c r="WCG73" s="120"/>
      <c r="WCH73" s="120"/>
      <c r="WCI73" s="120"/>
      <c r="WCJ73" s="120"/>
      <c r="WCK73" s="120"/>
      <c r="WCL73" s="120"/>
      <c r="WCM73" s="120"/>
      <c r="WCN73" s="120"/>
      <c r="WCO73" s="120"/>
      <c r="WCP73" s="120"/>
      <c r="WCQ73" s="120"/>
      <c r="WCR73" s="120"/>
      <c r="WCS73" s="120"/>
      <c r="WCT73" s="120"/>
      <c r="WCU73" s="120"/>
      <c r="WCV73" s="120"/>
      <c r="WCW73" s="120"/>
      <c r="WCX73" s="120"/>
      <c r="WCY73" s="120"/>
      <c r="WCZ73" s="120"/>
      <c r="WDA73" s="120"/>
      <c r="WDB73" s="120"/>
      <c r="WDC73" s="120"/>
      <c r="WDD73" s="120"/>
      <c r="WDE73" s="120"/>
      <c r="WDF73" s="120"/>
      <c r="WDG73" s="120"/>
      <c r="WDH73" s="120"/>
      <c r="WDI73" s="120"/>
      <c r="WDJ73" s="120"/>
      <c r="WDK73" s="120"/>
      <c r="WDL73" s="120"/>
      <c r="WDM73" s="120"/>
      <c r="WDN73" s="120"/>
      <c r="WDO73" s="120"/>
      <c r="WDP73" s="120"/>
      <c r="WDQ73" s="120"/>
      <c r="WDR73" s="120"/>
      <c r="WDS73" s="120"/>
      <c r="WDT73" s="120"/>
      <c r="WDU73" s="120"/>
      <c r="WDV73" s="120"/>
      <c r="WDW73" s="120"/>
      <c r="WDX73" s="120"/>
      <c r="WDY73" s="120"/>
      <c r="WDZ73" s="120"/>
      <c r="WEA73" s="120"/>
      <c r="WEB73" s="120"/>
      <c r="WEC73" s="120"/>
      <c r="WED73" s="120"/>
      <c r="WEE73" s="120"/>
      <c r="WEF73" s="120"/>
      <c r="WEG73" s="120"/>
      <c r="WEH73" s="120"/>
      <c r="WEI73" s="120"/>
      <c r="WEJ73" s="120"/>
      <c r="WEK73" s="120"/>
      <c r="WEL73" s="120"/>
      <c r="WEM73" s="120"/>
      <c r="WEN73" s="120"/>
      <c r="WEO73" s="120"/>
      <c r="WEP73" s="120"/>
      <c r="WEQ73" s="120"/>
      <c r="WER73" s="120"/>
      <c r="WES73" s="120"/>
      <c r="WET73" s="120"/>
      <c r="WEU73" s="120"/>
      <c r="WEV73" s="120"/>
      <c r="WEW73" s="120"/>
      <c r="WEX73" s="120"/>
      <c r="WEY73" s="120"/>
      <c r="WEZ73" s="120"/>
      <c r="WFA73" s="120"/>
      <c r="WFB73" s="120"/>
      <c r="WFC73" s="120"/>
      <c r="WFD73" s="120"/>
      <c r="WFE73" s="120"/>
      <c r="WFF73" s="120"/>
      <c r="WFG73" s="120"/>
      <c r="WFH73" s="120"/>
      <c r="WFI73" s="120"/>
      <c r="WFJ73" s="120"/>
      <c r="WFK73" s="120"/>
      <c r="WFL73" s="120"/>
      <c r="WFM73" s="120"/>
      <c r="WFN73" s="120"/>
      <c r="WFO73" s="120"/>
      <c r="WFP73" s="120"/>
      <c r="WFQ73" s="120"/>
      <c r="WFR73" s="120"/>
      <c r="WFS73" s="120"/>
      <c r="WFT73" s="120"/>
      <c r="WFU73" s="120"/>
      <c r="WFV73" s="120"/>
      <c r="WFW73" s="120"/>
      <c r="WFX73" s="120"/>
      <c r="WFY73" s="120"/>
      <c r="WFZ73" s="120"/>
      <c r="WGA73" s="120"/>
      <c r="WGB73" s="120"/>
      <c r="WGC73" s="120"/>
      <c r="WGD73" s="120"/>
      <c r="WGE73" s="120"/>
      <c r="WGF73" s="120"/>
      <c r="WGG73" s="120"/>
      <c r="WGH73" s="120"/>
      <c r="WGI73" s="120"/>
      <c r="WGJ73" s="120"/>
      <c r="WGK73" s="120"/>
      <c r="WGL73" s="120"/>
      <c r="WGM73" s="120"/>
      <c r="WGN73" s="120"/>
      <c r="WGO73" s="120"/>
      <c r="WGP73" s="120"/>
      <c r="WGQ73" s="120"/>
      <c r="WGR73" s="120"/>
      <c r="WGS73" s="120"/>
      <c r="WGT73" s="120"/>
      <c r="WGU73" s="120"/>
      <c r="WGV73" s="120"/>
      <c r="WGW73" s="120"/>
      <c r="WGX73" s="120"/>
      <c r="WGY73" s="120"/>
      <c r="WGZ73" s="120"/>
      <c r="WHA73" s="120"/>
      <c r="WHB73" s="120"/>
      <c r="WHC73" s="120"/>
      <c r="WHD73" s="120"/>
      <c r="WHE73" s="120"/>
      <c r="WHF73" s="120"/>
      <c r="WHG73" s="120"/>
      <c r="WHH73" s="120"/>
      <c r="WHI73" s="120"/>
      <c r="WHJ73" s="120"/>
      <c r="WHK73" s="120"/>
      <c r="WHL73" s="120"/>
      <c r="WHM73" s="120"/>
      <c r="WHN73" s="120"/>
      <c r="WHO73" s="120"/>
      <c r="WHP73" s="120"/>
      <c r="WHQ73" s="120"/>
      <c r="WHR73" s="120"/>
      <c r="WHS73" s="120"/>
      <c r="WHT73" s="120"/>
      <c r="WHU73" s="120"/>
      <c r="WHV73" s="120"/>
      <c r="WHW73" s="120"/>
      <c r="WHX73" s="120"/>
      <c r="WHY73" s="120"/>
      <c r="WHZ73" s="120"/>
      <c r="WIA73" s="120"/>
      <c r="WIB73" s="120"/>
      <c r="WIC73" s="120"/>
      <c r="WID73" s="120"/>
      <c r="WIE73" s="120"/>
      <c r="WIF73" s="120"/>
      <c r="WIG73" s="120"/>
      <c r="WIH73" s="120"/>
      <c r="WII73" s="120"/>
      <c r="WIJ73" s="120"/>
      <c r="WIK73" s="120"/>
      <c r="WIL73" s="120"/>
      <c r="WIM73" s="120"/>
      <c r="WIN73" s="120"/>
      <c r="WIO73" s="120"/>
      <c r="WIP73" s="120"/>
      <c r="WIQ73" s="120"/>
      <c r="WIR73" s="120"/>
      <c r="WIS73" s="120"/>
      <c r="WIT73" s="120"/>
      <c r="WIU73" s="120"/>
      <c r="WIV73" s="120"/>
      <c r="WIW73" s="120"/>
      <c r="WIX73" s="120"/>
      <c r="WIY73" s="120"/>
      <c r="WIZ73" s="120"/>
      <c r="WJA73" s="120"/>
      <c r="WJB73" s="120"/>
      <c r="WJC73" s="120"/>
      <c r="WJD73" s="120"/>
      <c r="WJE73" s="120"/>
      <c r="WJF73" s="120"/>
      <c r="WJG73" s="120"/>
      <c r="WJH73" s="120"/>
      <c r="WJI73" s="120"/>
      <c r="WJJ73" s="120"/>
      <c r="WJK73" s="120"/>
      <c r="WJL73" s="120"/>
      <c r="WJM73" s="120"/>
      <c r="WJN73" s="120"/>
      <c r="WJO73" s="120"/>
      <c r="WJP73" s="120"/>
      <c r="WJQ73" s="120"/>
      <c r="WJR73" s="120"/>
      <c r="WJS73" s="120"/>
      <c r="WJT73" s="120"/>
      <c r="WJU73" s="120"/>
      <c r="WJV73" s="120"/>
      <c r="WJW73" s="120"/>
      <c r="WJX73" s="120"/>
      <c r="WJY73" s="120"/>
      <c r="WJZ73" s="120"/>
      <c r="WKA73" s="120"/>
      <c r="WKB73" s="120"/>
      <c r="WKC73" s="120"/>
      <c r="WKD73" s="120"/>
      <c r="WKE73" s="120"/>
      <c r="WKF73" s="120"/>
      <c r="WKG73" s="120"/>
      <c r="WKH73" s="120"/>
      <c r="WKI73" s="120"/>
      <c r="WKJ73" s="120"/>
      <c r="WKK73" s="120"/>
      <c r="WKL73" s="120"/>
      <c r="WKM73" s="120"/>
      <c r="WKN73" s="120"/>
      <c r="WKO73" s="120"/>
      <c r="WKP73" s="120"/>
      <c r="WKQ73" s="120"/>
      <c r="WKR73" s="120"/>
      <c r="WKS73" s="120"/>
      <c r="WKT73" s="120"/>
      <c r="WKU73" s="120"/>
      <c r="WKV73" s="120"/>
      <c r="WKW73" s="120"/>
      <c r="WKX73" s="120"/>
      <c r="WKY73" s="120"/>
      <c r="WKZ73" s="120"/>
      <c r="WLA73" s="120"/>
      <c r="WLB73" s="120"/>
      <c r="WLC73" s="120"/>
      <c r="WLD73" s="120"/>
      <c r="WLE73" s="120"/>
      <c r="WLF73" s="120"/>
      <c r="WLG73" s="120"/>
      <c r="WLH73" s="120"/>
      <c r="WLI73" s="120"/>
      <c r="WLJ73" s="120"/>
      <c r="WLK73" s="120"/>
      <c r="WLL73" s="120"/>
      <c r="WLM73" s="120"/>
      <c r="WLN73" s="120"/>
      <c r="WLO73" s="120"/>
      <c r="WLP73" s="120"/>
      <c r="WLQ73" s="120"/>
      <c r="WLR73" s="120"/>
      <c r="WLS73" s="120"/>
      <c r="WLT73" s="120"/>
      <c r="WLU73" s="120"/>
      <c r="WLV73" s="120"/>
      <c r="WLW73" s="120"/>
      <c r="WLX73" s="120"/>
      <c r="WLY73" s="120"/>
      <c r="WLZ73" s="120"/>
      <c r="WMA73" s="120"/>
      <c r="WMB73" s="120"/>
      <c r="WMC73" s="120"/>
      <c r="WMD73" s="120"/>
      <c r="WME73" s="120"/>
      <c r="WMF73" s="120"/>
      <c r="WMG73" s="120"/>
      <c r="WMH73" s="120"/>
      <c r="WMI73" s="120"/>
      <c r="WMJ73" s="120"/>
      <c r="WMK73" s="120"/>
      <c r="WML73" s="120"/>
      <c r="WMM73" s="120"/>
      <c r="WMN73" s="120"/>
      <c r="WMO73" s="120"/>
      <c r="WMP73" s="120"/>
      <c r="WMQ73" s="120"/>
      <c r="WMR73" s="120"/>
      <c r="WMS73" s="120"/>
      <c r="WMT73" s="120"/>
      <c r="WMU73" s="120"/>
      <c r="WMV73" s="120"/>
      <c r="WMW73" s="120"/>
      <c r="WMX73" s="120"/>
      <c r="WMY73" s="120"/>
      <c r="WMZ73" s="120"/>
      <c r="WNA73" s="120"/>
      <c r="WNB73" s="120"/>
      <c r="WNC73" s="120"/>
      <c r="WND73" s="120"/>
      <c r="WNE73" s="120"/>
      <c r="WNF73" s="120"/>
      <c r="WNG73" s="120"/>
      <c r="WNH73" s="120"/>
      <c r="WNI73" s="120"/>
      <c r="WNJ73" s="120"/>
      <c r="WNK73" s="120"/>
      <c r="WNL73" s="120"/>
      <c r="WNM73" s="120"/>
      <c r="WNN73" s="120"/>
      <c r="WNO73" s="120"/>
      <c r="WNP73" s="120"/>
      <c r="WNQ73" s="120"/>
      <c r="WNR73" s="120"/>
      <c r="WNS73" s="120"/>
      <c r="WNT73" s="120"/>
      <c r="WNU73" s="120"/>
      <c r="WNV73" s="120"/>
      <c r="WNW73" s="120"/>
      <c r="WNX73" s="120"/>
      <c r="WNY73" s="120"/>
      <c r="WNZ73" s="120"/>
      <c r="WOA73" s="120"/>
      <c r="WOB73" s="120"/>
      <c r="WOC73" s="120"/>
      <c r="WOD73" s="120"/>
      <c r="WOE73" s="120"/>
      <c r="WOF73" s="120"/>
      <c r="WOG73" s="120"/>
      <c r="WOH73" s="120"/>
      <c r="WOI73" s="120"/>
      <c r="WOJ73" s="120"/>
      <c r="WOK73" s="120"/>
      <c r="WOL73" s="120"/>
      <c r="WOM73" s="120"/>
      <c r="WON73" s="120"/>
      <c r="WOO73" s="120"/>
      <c r="WOP73" s="120"/>
      <c r="WOQ73" s="120"/>
      <c r="WOR73" s="120"/>
      <c r="WOS73" s="120"/>
      <c r="WOT73" s="120"/>
      <c r="WOU73" s="120"/>
      <c r="WOV73" s="120"/>
      <c r="WOW73" s="120"/>
      <c r="WOX73" s="120"/>
      <c r="WOY73" s="120"/>
      <c r="WOZ73" s="120"/>
      <c r="WPA73" s="120"/>
      <c r="WPB73" s="120"/>
      <c r="WPC73" s="120"/>
      <c r="WPD73" s="120"/>
      <c r="WPE73" s="120"/>
      <c r="WPF73" s="120"/>
      <c r="WPG73" s="120"/>
      <c r="WPH73" s="120"/>
      <c r="WPI73" s="120"/>
      <c r="WPJ73" s="120"/>
      <c r="WPK73" s="120"/>
      <c r="WPL73" s="120"/>
      <c r="WPM73" s="120"/>
      <c r="WPN73" s="120"/>
      <c r="WPO73" s="120"/>
      <c r="WPP73" s="120"/>
      <c r="WPQ73" s="120"/>
      <c r="WPR73" s="120"/>
      <c r="WPS73" s="120"/>
      <c r="WPT73" s="120"/>
      <c r="WPU73" s="120"/>
      <c r="WPV73" s="120"/>
      <c r="WPW73" s="120"/>
      <c r="WPX73" s="120"/>
      <c r="WPY73" s="120"/>
      <c r="WPZ73" s="120"/>
      <c r="WQA73" s="120"/>
      <c r="WQB73" s="120"/>
      <c r="WQC73" s="120"/>
      <c r="WQD73" s="120"/>
      <c r="WQE73" s="120"/>
      <c r="WQF73" s="120"/>
      <c r="WQG73" s="120"/>
      <c r="WQH73" s="120"/>
      <c r="WQI73" s="120"/>
      <c r="WQJ73" s="120"/>
      <c r="WQK73" s="120"/>
      <c r="WQL73" s="120"/>
      <c r="WQM73" s="120"/>
      <c r="WQN73" s="120"/>
      <c r="WQO73" s="120"/>
      <c r="WQP73" s="120"/>
      <c r="WQQ73" s="120"/>
      <c r="WQR73" s="120"/>
      <c r="WQS73" s="120"/>
      <c r="WQT73" s="120"/>
      <c r="WQU73" s="120"/>
      <c r="WQV73" s="120"/>
      <c r="WQW73" s="120"/>
      <c r="WQX73" s="120"/>
      <c r="WQY73" s="120"/>
      <c r="WQZ73" s="120"/>
      <c r="WRA73" s="120"/>
      <c r="WRB73" s="120"/>
      <c r="WRC73" s="120"/>
      <c r="WRD73" s="120"/>
      <c r="WRE73" s="120"/>
      <c r="WRF73" s="120"/>
      <c r="WRG73" s="120"/>
      <c r="WRH73" s="120"/>
      <c r="WRI73" s="120"/>
      <c r="WRJ73" s="120"/>
      <c r="WRK73" s="120"/>
      <c r="WRL73" s="120"/>
      <c r="WRM73" s="120"/>
      <c r="WRN73" s="120"/>
      <c r="WRO73" s="120"/>
      <c r="WRP73" s="120"/>
      <c r="WRQ73" s="120"/>
      <c r="WRR73" s="120"/>
      <c r="WRS73" s="120"/>
      <c r="WRT73" s="120"/>
      <c r="WRU73" s="120"/>
      <c r="WRV73" s="120"/>
      <c r="WRW73" s="120"/>
      <c r="WRX73" s="120"/>
      <c r="WRY73" s="120"/>
      <c r="WRZ73" s="120"/>
      <c r="WSA73" s="120"/>
      <c r="WSB73" s="120"/>
      <c r="WSC73" s="120"/>
      <c r="WSD73" s="120"/>
      <c r="WSE73" s="120"/>
      <c r="WSF73" s="120"/>
      <c r="WSG73" s="120"/>
      <c r="WSH73" s="120"/>
      <c r="WSI73" s="120"/>
      <c r="WSJ73" s="120"/>
      <c r="WSK73" s="120"/>
      <c r="WSL73" s="120"/>
      <c r="WSM73" s="120"/>
      <c r="WSN73" s="120"/>
      <c r="WSO73" s="120"/>
      <c r="WSP73" s="120"/>
      <c r="WSQ73" s="120"/>
      <c r="WSR73" s="120"/>
      <c r="WSS73" s="120"/>
      <c r="WST73" s="120"/>
      <c r="WSU73" s="120"/>
      <c r="WSV73" s="120"/>
      <c r="WSW73" s="120"/>
      <c r="WSX73" s="120"/>
      <c r="WSY73" s="120"/>
      <c r="WSZ73" s="120"/>
      <c r="WTA73" s="120"/>
      <c r="WTB73" s="120"/>
      <c r="WTC73" s="120"/>
      <c r="WTD73" s="120"/>
      <c r="WTE73" s="120"/>
      <c r="WTF73" s="120"/>
      <c r="WTG73" s="120"/>
      <c r="WTH73" s="120"/>
      <c r="WTI73" s="120"/>
      <c r="WTJ73" s="120"/>
      <c r="WTK73" s="120"/>
      <c r="WTL73" s="120"/>
      <c r="WTM73" s="120"/>
      <c r="WTN73" s="120"/>
      <c r="WTO73" s="120"/>
      <c r="WTP73" s="120"/>
      <c r="WTQ73" s="120"/>
      <c r="WTR73" s="120"/>
      <c r="WTS73" s="120"/>
      <c r="WTT73" s="120"/>
      <c r="WTU73" s="120"/>
      <c r="WTV73" s="120"/>
      <c r="WTW73" s="120"/>
      <c r="WTX73" s="120"/>
      <c r="WTY73" s="120"/>
      <c r="WTZ73" s="120"/>
      <c r="WUA73" s="120"/>
      <c r="WUB73" s="120"/>
      <c r="WUC73" s="120"/>
      <c r="WUD73" s="120"/>
      <c r="WUE73" s="120"/>
      <c r="WUF73" s="120"/>
      <c r="WUG73" s="120"/>
      <c r="WUH73" s="120"/>
      <c r="WUI73" s="120"/>
      <c r="WUJ73" s="120"/>
      <c r="WUK73" s="120"/>
      <c r="WUL73" s="120"/>
      <c r="WUM73" s="120"/>
      <c r="WUN73" s="120"/>
      <c r="WUO73" s="120"/>
      <c r="WUP73" s="120"/>
      <c r="WUQ73" s="120"/>
      <c r="WUR73" s="120"/>
      <c r="WUS73" s="120"/>
      <c r="WUT73" s="120"/>
      <c r="WUU73" s="120"/>
      <c r="WUV73" s="120"/>
      <c r="WUW73" s="120"/>
      <c r="WUX73" s="120"/>
      <c r="WUY73" s="120"/>
      <c r="WUZ73" s="120"/>
      <c r="WVA73" s="120"/>
      <c r="WVB73" s="120"/>
      <c r="WVC73" s="120"/>
      <c r="WVD73" s="120"/>
      <c r="WVE73" s="120"/>
      <c r="WVF73" s="120"/>
      <c r="WVG73" s="120"/>
      <c r="WVH73" s="120"/>
      <c r="WVI73" s="120"/>
      <c r="WVJ73" s="120"/>
      <c r="WVK73" s="120"/>
      <c r="WVL73" s="120"/>
      <c r="WVM73" s="120"/>
      <c r="WVN73" s="120"/>
      <c r="WVO73" s="120"/>
      <c r="WVP73" s="120"/>
      <c r="WVQ73" s="120"/>
      <c r="WVR73" s="120"/>
      <c r="WVS73" s="120"/>
      <c r="WVT73" s="120"/>
      <c r="WVU73" s="120"/>
      <c r="WVV73" s="120"/>
      <c r="WVW73" s="120"/>
      <c r="WVX73" s="120"/>
      <c r="WVY73" s="120"/>
      <c r="WVZ73" s="120"/>
      <c r="WWA73" s="120"/>
      <c r="WWB73" s="120"/>
      <c r="WWC73" s="120"/>
      <c r="WWD73" s="120"/>
      <c r="WWE73" s="120"/>
      <c r="WWF73" s="120"/>
      <c r="WWG73" s="120"/>
      <c r="WWH73" s="120"/>
      <c r="WWI73" s="120"/>
      <c r="WWJ73" s="120"/>
      <c r="WWK73" s="120"/>
      <c r="WWL73" s="120"/>
      <c r="WWM73" s="120"/>
      <c r="WWN73" s="120"/>
      <c r="WWO73" s="120"/>
      <c r="WWP73" s="120"/>
      <c r="WWQ73" s="120"/>
      <c r="WWR73" s="120"/>
      <c r="WWS73" s="120"/>
      <c r="WWT73" s="120"/>
      <c r="WWU73" s="120"/>
      <c r="WWV73" s="120"/>
      <c r="WWW73" s="120"/>
      <c r="WWX73" s="120"/>
      <c r="WWY73" s="120"/>
      <c r="WWZ73" s="120"/>
      <c r="WXA73" s="120"/>
      <c r="WXB73" s="120"/>
      <c r="WXC73" s="120"/>
      <c r="WXD73" s="120"/>
      <c r="WXE73" s="120"/>
      <c r="WXF73" s="120"/>
      <c r="WXG73" s="120"/>
      <c r="WXH73" s="120"/>
      <c r="WXI73" s="120"/>
      <c r="WXJ73" s="120"/>
      <c r="WXK73" s="120"/>
      <c r="WXL73" s="120"/>
      <c r="WXM73" s="120"/>
      <c r="WXN73" s="120"/>
      <c r="WXO73" s="120"/>
      <c r="WXP73" s="120"/>
      <c r="WXQ73" s="120"/>
      <c r="WXR73" s="120"/>
      <c r="WXS73" s="120"/>
      <c r="WXT73" s="120"/>
      <c r="WXU73" s="120"/>
      <c r="WXV73" s="120"/>
      <c r="WXW73" s="120"/>
      <c r="WXX73" s="120"/>
      <c r="WXY73" s="120"/>
      <c r="WXZ73" s="120"/>
      <c r="WYA73" s="120"/>
      <c r="WYB73" s="120"/>
      <c r="WYC73" s="120"/>
      <c r="WYD73" s="120"/>
      <c r="WYE73" s="120"/>
      <c r="WYF73" s="120"/>
      <c r="WYG73" s="120"/>
      <c r="WYH73" s="120"/>
      <c r="WYI73" s="120"/>
      <c r="WYJ73" s="120"/>
      <c r="WYK73" s="120"/>
      <c r="WYL73" s="120"/>
      <c r="WYM73" s="120"/>
      <c r="WYN73" s="120"/>
      <c r="WYO73" s="120"/>
      <c r="WYP73" s="120"/>
      <c r="WYQ73" s="120"/>
      <c r="WYR73" s="120"/>
      <c r="WYS73" s="120"/>
      <c r="WYT73" s="120"/>
      <c r="WYU73" s="120"/>
      <c r="WYV73" s="120"/>
      <c r="WYW73" s="120"/>
      <c r="WYX73" s="120"/>
      <c r="WYY73" s="120"/>
      <c r="WYZ73" s="120"/>
      <c r="WZA73" s="120"/>
      <c r="WZB73" s="120"/>
      <c r="WZC73" s="120"/>
      <c r="WZD73" s="120"/>
      <c r="WZE73" s="120"/>
      <c r="WZF73" s="120"/>
      <c r="WZG73" s="120"/>
      <c r="WZH73" s="120"/>
      <c r="WZI73" s="120"/>
      <c r="WZJ73" s="120"/>
      <c r="WZK73" s="120"/>
      <c r="WZL73" s="120"/>
      <c r="WZM73" s="120"/>
      <c r="WZN73" s="120"/>
      <c r="WZO73" s="120"/>
      <c r="WZP73" s="120"/>
      <c r="WZQ73" s="120"/>
      <c r="WZR73" s="120"/>
      <c r="WZS73" s="120"/>
      <c r="WZT73" s="120"/>
      <c r="WZU73" s="120"/>
      <c r="WZV73" s="120"/>
      <c r="WZW73" s="120"/>
      <c r="WZX73" s="120"/>
      <c r="WZY73" s="120"/>
      <c r="WZZ73" s="120"/>
      <c r="XAA73" s="120"/>
      <c r="XAB73" s="120"/>
      <c r="XAC73" s="120"/>
      <c r="XAD73" s="120"/>
      <c r="XAE73" s="120"/>
      <c r="XAF73" s="120"/>
      <c r="XAG73" s="120"/>
      <c r="XAH73" s="120"/>
      <c r="XAI73" s="120"/>
      <c r="XAJ73" s="120"/>
      <c r="XAK73" s="120"/>
      <c r="XAL73" s="120"/>
    </row>
    <row r="74" spans="1:16262" s="4" customFormat="1" x14ac:dyDescent="0.25">
      <c r="A74" s="141"/>
      <c r="B74" s="5"/>
      <c r="C74" s="5"/>
      <c r="E74" s="5"/>
      <c r="F74" s="5"/>
      <c r="G74" s="5"/>
      <c r="H74" s="5"/>
      <c r="I74" s="5"/>
      <c r="J74" s="5"/>
      <c r="K74" s="5"/>
      <c r="L74" s="5"/>
      <c r="M74" s="5"/>
      <c r="N74" s="5"/>
      <c r="O74" s="6"/>
      <c r="P74" s="6"/>
      <c r="Q74" s="6"/>
      <c r="R74" s="6"/>
      <c r="S74" s="6"/>
      <c r="T74" s="5"/>
    </row>
    <row r="75" spans="1:16262" s="4" customFormat="1" ht="15.75" x14ac:dyDescent="0.25">
      <c r="A75" s="152" t="s">
        <v>270</v>
      </c>
      <c r="B75" s="27"/>
      <c r="C75" s="27"/>
      <c r="E75" s="27"/>
      <c r="F75" s="27"/>
      <c r="G75" s="27"/>
      <c r="H75" s="21"/>
      <c r="I75" s="21"/>
      <c r="J75" s="21"/>
      <c r="K75" s="21"/>
      <c r="L75" s="21"/>
      <c r="M75" s="21"/>
      <c r="N75" s="21"/>
      <c r="O75" s="32"/>
      <c r="P75" s="32"/>
      <c r="Q75" s="32"/>
      <c r="R75" s="32"/>
      <c r="S75" s="32"/>
      <c r="T75" s="5"/>
    </row>
    <row r="76" spans="1:16262" s="4" customFormat="1" ht="25.5" x14ac:dyDescent="0.25">
      <c r="A76" s="136" t="s">
        <v>273</v>
      </c>
      <c r="B76" s="130">
        <v>2007</v>
      </c>
      <c r="C76" s="130">
        <v>2008</v>
      </c>
      <c r="D76" s="130">
        <v>2009</v>
      </c>
      <c r="E76" s="130">
        <v>2010</v>
      </c>
      <c r="F76" s="130">
        <v>2011</v>
      </c>
      <c r="G76" s="130">
        <v>2012</v>
      </c>
      <c r="H76" s="130">
        <v>2013</v>
      </c>
      <c r="I76" s="130">
        <v>2014</v>
      </c>
      <c r="J76" s="130">
        <v>2015</v>
      </c>
      <c r="K76" s="130">
        <v>2016</v>
      </c>
      <c r="L76" s="130">
        <v>2017</v>
      </c>
      <c r="M76" s="130">
        <v>2018</v>
      </c>
      <c r="N76" s="130">
        <v>2019</v>
      </c>
      <c r="O76" s="130">
        <v>2020</v>
      </c>
      <c r="P76" s="130">
        <v>2021</v>
      </c>
      <c r="Q76" s="131" t="s">
        <v>424</v>
      </c>
      <c r="R76" s="131" t="s">
        <v>425</v>
      </c>
      <c r="S76" s="131" t="s">
        <v>426</v>
      </c>
      <c r="T76" s="131" t="s">
        <v>427</v>
      </c>
    </row>
    <row r="77" spans="1:16262" s="4" customFormat="1" x14ac:dyDescent="0.25">
      <c r="A77" s="80" t="s">
        <v>168</v>
      </c>
      <c r="B77" s="25">
        <v>385462</v>
      </c>
      <c r="C77" s="25">
        <v>409957</v>
      </c>
      <c r="D77" s="25">
        <v>452854</v>
      </c>
      <c r="E77" s="25">
        <v>503230</v>
      </c>
      <c r="F77" s="25">
        <v>552034</v>
      </c>
      <c r="G77" s="25">
        <v>586814</v>
      </c>
      <c r="H77" s="25">
        <v>615021</v>
      </c>
      <c r="I77" s="25">
        <v>631870</v>
      </c>
      <c r="J77" s="25">
        <v>640345</v>
      </c>
      <c r="K77" s="25">
        <v>651591</v>
      </c>
      <c r="L77" s="25">
        <v>657111</v>
      </c>
      <c r="M77" s="25">
        <v>669094</v>
      </c>
      <c r="N77" s="25">
        <v>672855</v>
      </c>
      <c r="O77" s="25">
        <v>652033</v>
      </c>
      <c r="P77" s="25">
        <v>701190</v>
      </c>
      <c r="Q77" s="187">
        <f>(P77-G77)/G77</f>
        <v>0.19491014188482211</v>
      </c>
      <c r="R77" s="187">
        <f>(P77-L77)/L77</f>
        <v>6.7079991051740118E-2</v>
      </c>
      <c r="S77" s="187">
        <f>(P77-O77)/O77</f>
        <v>7.5390356009588474E-2</v>
      </c>
      <c r="T77" s="187">
        <f>P77/P$9</f>
        <v>0.54156860958077269</v>
      </c>
    </row>
    <row r="78" spans="1:16262" s="4" customFormat="1" x14ac:dyDescent="0.25">
      <c r="A78" s="80" t="s">
        <v>169</v>
      </c>
      <c r="B78" s="25">
        <v>391376</v>
      </c>
      <c r="C78" s="25">
        <v>409840</v>
      </c>
      <c r="D78" s="25">
        <v>438865</v>
      </c>
      <c r="E78" s="25">
        <v>482388</v>
      </c>
      <c r="F78" s="25">
        <v>517065</v>
      </c>
      <c r="G78" s="25">
        <v>540106</v>
      </c>
      <c r="H78" s="25">
        <v>569350</v>
      </c>
      <c r="I78" s="25">
        <v>583260</v>
      </c>
      <c r="J78" s="25">
        <v>592698</v>
      </c>
      <c r="K78" s="25">
        <v>595587</v>
      </c>
      <c r="L78" s="25">
        <v>591182</v>
      </c>
      <c r="M78" s="25">
        <v>593242</v>
      </c>
      <c r="N78" s="25">
        <v>595649</v>
      </c>
      <c r="O78" s="25">
        <v>568953</v>
      </c>
      <c r="P78" s="25">
        <v>593549</v>
      </c>
      <c r="Q78" s="187">
        <f t="shared" ref="Q78:Q79" si="20">(P78-G78)/G78</f>
        <v>9.8949095177613286E-2</v>
      </c>
      <c r="R78" s="187">
        <f t="shared" ref="R78:R79" si="21">(P78-L78)/L78</f>
        <v>4.0038431481337388E-3</v>
      </c>
      <c r="S78" s="187">
        <f t="shared" ref="S78:S79" si="22">(P78-O78)/O78</f>
        <v>4.3230284399590126E-2</v>
      </c>
      <c r="T78" s="187">
        <f t="shared" ref="T78:T79" si="23">P78/P$9</f>
        <v>0.45843139041922737</v>
      </c>
    </row>
    <row r="79" spans="1:16262" s="4" customFormat="1" x14ac:dyDescent="0.25">
      <c r="A79" s="86" t="s">
        <v>0</v>
      </c>
      <c r="B79" s="26">
        <v>776838</v>
      </c>
      <c r="C79" s="26">
        <v>819797</v>
      </c>
      <c r="D79" s="26">
        <v>891719</v>
      </c>
      <c r="E79" s="26">
        <v>985618</v>
      </c>
      <c r="F79" s="26">
        <v>1069099</v>
      </c>
      <c r="G79" s="26">
        <v>1126920</v>
      </c>
      <c r="H79" s="26">
        <v>1184371</v>
      </c>
      <c r="I79" s="26">
        <v>1215130</v>
      </c>
      <c r="J79" s="26">
        <v>1233043</v>
      </c>
      <c r="K79" s="26">
        <v>1247178</v>
      </c>
      <c r="L79" s="26">
        <v>1248293</v>
      </c>
      <c r="M79" s="26">
        <v>1262336</v>
      </c>
      <c r="N79" s="26">
        <v>1268504</v>
      </c>
      <c r="O79" s="26">
        <v>1220986</v>
      </c>
      <c r="P79" s="26">
        <v>1294739</v>
      </c>
      <c r="Q79" s="188">
        <f t="shared" si="20"/>
        <v>0.14891829056188549</v>
      </c>
      <c r="R79" s="188">
        <f t="shared" si="21"/>
        <v>3.7207610713189933E-2</v>
      </c>
      <c r="S79" s="188">
        <f t="shared" si="22"/>
        <v>6.0404460001998388E-2</v>
      </c>
      <c r="T79" s="188">
        <f t="shared" si="23"/>
        <v>1</v>
      </c>
    </row>
    <row r="80" spans="1:16262" s="4" customFormat="1" x14ac:dyDescent="0.25">
      <c r="A80" s="134"/>
      <c r="B80" s="21"/>
      <c r="C80" s="21"/>
      <c r="D80" s="21"/>
      <c r="E80" s="21"/>
      <c r="F80" s="21"/>
      <c r="G80" s="21"/>
      <c r="H80" s="21"/>
      <c r="I80" s="21"/>
      <c r="J80" s="21"/>
      <c r="K80" s="21"/>
      <c r="L80" s="21"/>
      <c r="M80" s="21"/>
      <c r="N80" s="21"/>
      <c r="O80" s="32"/>
      <c r="P80" s="32"/>
      <c r="Q80" s="32"/>
      <c r="R80" s="32"/>
      <c r="S80" s="32"/>
      <c r="T80" s="5"/>
    </row>
    <row r="81" spans="1:20" s="4" customFormat="1" ht="15.75" x14ac:dyDescent="0.25">
      <c r="A81" s="152" t="s">
        <v>130</v>
      </c>
      <c r="B81" s="27"/>
      <c r="C81" s="27"/>
      <c r="D81" s="27"/>
      <c r="E81" s="27"/>
      <c r="F81" s="27"/>
      <c r="G81" s="27"/>
      <c r="H81" s="21"/>
      <c r="I81" s="21"/>
      <c r="J81" s="21"/>
      <c r="K81" s="21"/>
      <c r="L81" s="21"/>
      <c r="M81" s="21"/>
      <c r="N81" s="21"/>
      <c r="O81" s="32"/>
      <c r="P81" s="32"/>
      <c r="Q81" s="32"/>
      <c r="R81" s="32"/>
      <c r="S81" s="32"/>
      <c r="T81" s="5"/>
    </row>
    <row r="82" spans="1:20" s="4" customFormat="1" ht="25.5" x14ac:dyDescent="0.25">
      <c r="A82" s="136" t="s">
        <v>105</v>
      </c>
      <c r="B82" s="130">
        <v>2007</v>
      </c>
      <c r="C82" s="130">
        <v>2008</v>
      </c>
      <c r="D82" s="130">
        <v>2009</v>
      </c>
      <c r="E82" s="130">
        <v>2010</v>
      </c>
      <c r="F82" s="130">
        <v>2011</v>
      </c>
      <c r="G82" s="130">
        <v>2012</v>
      </c>
      <c r="H82" s="130">
        <v>2013</v>
      </c>
      <c r="I82" s="130">
        <v>2014</v>
      </c>
      <c r="J82" s="130">
        <v>2015</v>
      </c>
      <c r="K82" s="130">
        <v>2016</v>
      </c>
      <c r="L82" s="130">
        <v>2017</v>
      </c>
      <c r="M82" s="130">
        <v>2018</v>
      </c>
      <c r="N82" s="130">
        <v>2019</v>
      </c>
      <c r="O82" s="130">
        <v>2020</v>
      </c>
      <c r="P82" s="130">
        <v>2021</v>
      </c>
      <c r="Q82" s="131" t="s">
        <v>424</v>
      </c>
      <c r="R82" s="131" t="s">
        <v>425</v>
      </c>
      <c r="S82" s="131" t="s">
        <v>426</v>
      </c>
      <c r="T82" s="131" t="s">
        <v>427</v>
      </c>
    </row>
    <row r="83" spans="1:20" s="4" customFormat="1" x14ac:dyDescent="0.25">
      <c r="A83" s="142" t="s">
        <v>39</v>
      </c>
      <c r="B83" s="126">
        <v>166324</v>
      </c>
      <c r="C83" s="126">
        <v>172701</v>
      </c>
      <c r="D83" s="25">
        <v>186104</v>
      </c>
      <c r="E83" s="25">
        <v>195416</v>
      </c>
      <c r="F83" s="25">
        <v>201129</v>
      </c>
      <c r="G83" s="25">
        <v>202644</v>
      </c>
      <c r="H83" s="25">
        <v>209205</v>
      </c>
      <c r="I83" s="25">
        <v>209456</v>
      </c>
      <c r="J83" s="25">
        <v>208774</v>
      </c>
      <c r="K83" s="25">
        <v>210768</v>
      </c>
      <c r="L83" s="25">
        <v>209521</v>
      </c>
      <c r="M83" s="25">
        <v>213403</v>
      </c>
      <c r="N83" s="25">
        <v>215263</v>
      </c>
      <c r="O83" s="25">
        <v>215847</v>
      </c>
      <c r="P83" s="25">
        <v>207250</v>
      </c>
      <c r="Q83" s="187">
        <f t="shared" ref="Q83:Q90" si="24">(P83-G83)/G83</f>
        <v>2.2729515801109334E-2</v>
      </c>
      <c r="R83" s="187">
        <f t="shared" ref="R83:R90" si="25">(P83-L83)/L83</f>
        <v>-1.0839008977620381E-2</v>
      </c>
      <c r="S83" s="187">
        <f t="shared" ref="S83:S90" si="26">(P83-O83)/O83</f>
        <v>-3.9829138232173718E-2</v>
      </c>
      <c r="T83" s="187">
        <f t="shared" ref="T83:T90" si="27">P83/P$9</f>
        <v>0.1600708714265964</v>
      </c>
    </row>
    <row r="84" spans="1:20" s="4" customFormat="1" x14ac:dyDescent="0.25">
      <c r="A84" s="142" t="s">
        <v>40</v>
      </c>
      <c r="B84" s="126">
        <v>392501</v>
      </c>
      <c r="C84" s="126">
        <v>413600</v>
      </c>
      <c r="D84" s="25">
        <v>452192</v>
      </c>
      <c r="E84" s="25">
        <v>504223</v>
      </c>
      <c r="F84" s="25">
        <v>549178</v>
      </c>
      <c r="G84" s="25">
        <v>571167</v>
      </c>
      <c r="H84" s="25">
        <v>586035</v>
      </c>
      <c r="I84" s="25">
        <v>589506</v>
      </c>
      <c r="J84" s="25">
        <v>590733</v>
      </c>
      <c r="K84" s="25">
        <v>590298</v>
      </c>
      <c r="L84" s="25">
        <v>591040</v>
      </c>
      <c r="M84" s="25">
        <v>595595</v>
      </c>
      <c r="N84" s="25">
        <v>598695</v>
      </c>
      <c r="O84" s="25">
        <v>578132</v>
      </c>
      <c r="P84" s="25">
        <v>590661</v>
      </c>
      <c r="Q84" s="187">
        <f t="shared" si="24"/>
        <v>3.4130123063832472E-2</v>
      </c>
      <c r="R84" s="187">
        <f t="shared" si="25"/>
        <v>-6.4124255549539793E-4</v>
      </c>
      <c r="S84" s="187">
        <f t="shared" si="26"/>
        <v>2.1671521382660014E-2</v>
      </c>
      <c r="T84" s="187">
        <f t="shared" si="27"/>
        <v>0.45620082503114529</v>
      </c>
    </row>
    <row r="85" spans="1:20" s="4" customFormat="1" x14ac:dyDescent="0.25">
      <c r="A85" s="142" t="s">
        <v>41</v>
      </c>
      <c r="B85" s="126">
        <v>127643</v>
      </c>
      <c r="C85" s="126">
        <v>134002</v>
      </c>
      <c r="D85" s="25">
        <v>143327</v>
      </c>
      <c r="E85" s="25">
        <v>160201</v>
      </c>
      <c r="F85" s="25">
        <v>177926</v>
      </c>
      <c r="G85" s="25">
        <v>191492</v>
      </c>
      <c r="H85" s="25">
        <v>209368</v>
      </c>
      <c r="I85" s="25">
        <v>221756</v>
      </c>
      <c r="J85" s="25">
        <v>230856</v>
      </c>
      <c r="K85" s="25">
        <v>234858</v>
      </c>
      <c r="L85" s="25">
        <v>233504</v>
      </c>
      <c r="M85" s="25">
        <v>230836</v>
      </c>
      <c r="N85" s="25">
        <v>224208</v>
      </c>
      <c r="O85" s="25">
        <v>204558</v>
      </c>
      <c r="P85" s="25">
        <v>222469</v>
      </c>
      <c r="Q85" s="187">
        <f t="shared" si="24"/>
        <v>0.16176654899421386</v>
      </c>
      <c r="R85" s="187">
        <f t="shared" si="25"/>
        <v>-4.7258291078525423E-2</v>
      </c>
      <c r="S85" s="187">
        <f t="shared" si="26"/>
        <v>8.7559518571749817E-2</v>
      </c>
      <c r="T85" s="187">
        <f t="shared" si="27"/>
        <v>0.17182536403089735</v>
      </c>
    </row>
    <row r="86" spans="1:20" s="4" customFormat="1" x14ac:dyDescent="0.25">
      <c r="A86" s="142" t="s">
        <v>42</v>
      </c>
      <c r="B86" s="126">
        <v>43668</v>
      </c>
      <c r="C86" s="126">
        <v>46680</v>
      </c>
      <c r="D86" s="25">
        <v>51218</v>
      </c>
      <c r="E86" s="25">
        <v>59188</v>
      </c>
      <c r="F86" s="25">
        <v>67383</v>
      </c>
      <c r="G86" s="25">
        <v>78086</v>
      </c>
      <c r="H86" s="25">
        <v>88076</v>
      </c>
      <c r="I86" s="25">
        <v>94216</v>
      </c>
      <c r="J86" s="25">
        <v>98083</v>
      </c>
      <c r="K86" s="25">
        <v>99903</v>
      </c>
      <c r="L86" s="25">
        <v>99279</v>
      </c>
      <c r="M86" s="25">
        <v>101719</v>
      </c>
      <c r="N86" s="25">
        <v>103624</v>
      </c>
      <c r="O86" s="25">
        <v>99311</v>
      </c>
      <c r="P86" s="25">
        <v>119299</v>
      </c>
      <c r="Q86" s="187">
        <f t="shared" si="24"/>
        <v>0.5277898727044541</v>
      </c>
      <c r="R86" s="187">
        <f t="shared" si="25"/>
        <v>0.20165392479779209</v>
      </c>
      <c r="S86" s="187">
        <f t="shared" si="26"/>
        <v>0.20126672775422663</v>
      </c>
      <c r="T86" s="187">
        <f t="shared" si="27"/>
        <v>9.2141350496123153E-2</v>
      </c>
    </row>
    <row r="87" spans="1:20" s="4" customFormat="1" x14ac:dyDescent="0.25">
      <c r="A87" s="142" t="s">
        <v>43</v>
      </c>
      <c r="B87" s="126">
        <v>20951</v>
      </c>
      <c r="C87" s="126">
        <v>24040</v>
      </c>
      <c r="D87" s="25">
        <v>27661</v>
      </c>
      <c r="E87" s="25">
        <v>32178</v>
      </c>
      <c r="F87" s="25">
        <v>35690</v>
      </c>
      <c r="G87" s="25">
        <v>39667</v>
      </c>
      <c r="H87" s="25">
        <v>43905</v>
      </c>
      <c r="I87" s="25">
        <v>47175</v>
      </c>
      <c r="J87" s="25">
        <v>49408</v>
      </c>
      <c r="K87" s="25">
        <v>52425</v>
      </c>
      <c r="L87" s="25">
        <v>54552</v>
      </c>
      <c r="M87" s="25">
        <v>56866</v>
      </c>
      <c r="N87" s="25">
        <v>59407</v>
      </c>
      <c r="O87" s="25">
        <v>57295</v>
      </c>
      <c r="P87" s="25">
        <v>71692</v>
      </c>
      <c r="Q87" s="187">
        <f t="shared" si="24"/>
        <v>0.80734615675498522</v>
      </c>
      <c r="R87" s="187">
        <f t="shared" si="25"/>
        <v>0.3141956298577504</v>
      </c>
      <c r="S87" s="187">
        <f t="shared" si="26"/>
        <v>0.25127847107077406</v>
      </c>
      <c r="T87" s="187">
        <f t="shared" si="27"/>
        <v>5.5371777632403134E-2</v>
      </c>
    </row>
    <row r="88" spans="1:20" s="4" customFormat="1" x14ac:dyDescent="0.25">
      <c r="A88" s="142" t="s">
        <v>1</v>
      </c>
      <c r="B88" s="126">
        <v>23511</v>
      </c>
      <c r="C88" s="126">
        <v>27491</v>
      </c>
      <c r="D88" s="25">
        <v>30563</v>
      </c>
      <c r="E88" s="25">
        <v>33843</v>
      </c>
      <c r="F88" s="25">
        <v>37218</v>
      </c>
      <c r="G88" s="25">
        <v>43334</v>
      </c>
      <c r="H88" s="25">
        <v>47368</v>
      </c>
      <c r="I88" s="25">
        <v>51917</v>
      </c>
      <c r="J88" s="25">
        <v>55060</v>
      </c>
      <c r="K88" s="25">
        <v>58861</v>
      </c>
      <c r="L88" s="25">
        <v>60358</v>
      </c>
      <c r="M88" s="25">
        <v>63085</v>
      </c>
      <c r="N88" s="25">
        <v>66936</v>
      </c>
      <c r="O88" s="25">
        <v>65673</v>
      </c>
      <c r="P88" s="25">
        <v>83058</v>
      </c>
      <c r="Q88" s="187">
        <f t="shared" si="24"/>
        <v>0.91669358932939493</v>
      </c>
      <c r="R88" s="187">
        <f t="shared" si="25"/>
        <v>0.37608933364259917</v>
      </c>
      <c r="S88" s="187">
        <f t="shared" si="26"/>
        <v>0.2647206614590471</v>
      </c>
      <c r="T88" s="187">
        <f t="shared" si="27"/>
        <v>6.4150380887576575E-2</v>
      </c>
    </row>
    <row r="89" spans="1:20" s="4" customFormat="1" x14ac:dyDescent="0.25">
      <c r="A89" s="142" t="s">
        <v>77</v>
      </c>
      <c r="B89" s="126">
        <v>2240</v>
      </c>
      <c r="C89" s="126">
        <v>1283</v>
      </c>
      <c r="D89" s="25">
        <v>654</v>
      </c>
      <c r="E89" s="25">
        <v>569</v>
      </c>
      <c r="F89" s="25">
        <v>575</v>
      </c>
      <c r="G89" s="25">
        <v>530</v>
      </c>
      <c r="H89" s="25">
        <v>414</v>
      </c>
      <c r="I89" s="25">
        <v>1104</v>
      </c>
      <c r="J89" s="25">
        <v>129</v>
      </c>
      <c r="K89" s="25">
        <v>65</v>
      </c>
      <c r="L89" s="25">
        <v>39</v>
      </c>
      <c r="M89" s="25">
        <v>832</v>
      </c>
      <c r="N89" s="25">
        <v>371</v>
      </c>
      <c r="O89" s="25">
        <v>170</v>
      </c>
      <c r="P89" s="25">
        <v>310</v>
      </c>
      <c r="Q89" s="187">
        <f t="shared" si="24"/>
        <v>-0.41509433962264153</v>
      </c>
      <c r="R89" s="187">
        <f t="shared" si="25"/>
        <v>6.9487179487179489</v>
      </c>
      <c r="S89" s="187">
        <f t="shared" si="26"/>
        <v>0.82352941176470584</v>
      </c>
      <c r="T89" s="187">
        <f t="shared" si="27"/>
        <v>2.3943049525811767E-4</v>
      </c>
    </row>
    <row r="90" spans="1:20" s="4" customFormat="1" x14ac:dyDescent="0.25">
      <c r="A90" s="95" t="s">
        <v>0</v>
      </c>
      <c r="B90" s="109">
        <f>SUM(B83:B89)</f>
        <v>776838</v>
      </c>
      <c r="C90" s="109">
        <f t="shared" ref="C90:P90" si="28">SUM(C83:C89)</f>
        <v>819797</v>
      </c>
      <c r="D90" s="109">
        <f t="shared" si="28"/>
        <v>891719</v>
      </c>
      <c r="E90" s="109">
        <f t="shared" si="28"/>
        <v>985618</v>
      </c>
      <c r="F90" s="109">
        <f t="shared" si="28"/>
        <v>1069099</v>
      </c>
      <c r="G90" s="109">
        <f t="shared" si="28"/>
        <v>1126920</v>
      </c>
      <c r="H90" s="109">
        <f t="shared" si="28"/>
        <v>1184371</v>
      </c>
      <c r="I90" s="109">
        <f t="shared" si="28"/>
        <v>1215130</v>
      </c>
      <c r="J90" s="109">
        <f t="shared" si="28"/>
        <v>1233043</v>
      </c>
      <c r="K90" s="109">
        <f t="shared" si="28"/>
        <v>1247178</v>
      </c>
      <c r="L90" s="109">
        <f t="shared" si="28"/>
        <v>1248293</v>
      </c>
      <c r="M90" s="109">
        <f t="shared" si="28"/>
        <v>1262336</v>
      </c>
      <c r="N90" s="109">
        <f t="shared" si="28"/>
        <v>1268504</v>
      </c>
      <c r="O90" s="109">
        <f t="shared" si="28"/>
        <v>1220986</v>
      </c>
      <c r="P90" s="109">
        <f t="shared" si="28"/>
        <v>1294739</v>
      </c>
      <c r="Q90" s="188">
        <f t="shared" si="24"/>
        <v>0.14891829056188549</v>
      </c>
      <c r="R90" s="188">
        <f t="shared" si="25"/>
        <v>3.7207610713189933E-2</v>
      </c>
      <c r="S90" s="188">
        <f t="shared" si="26"/>
        <v>6.0404460001998388E-2</v>
      </c>
      <c r="T90" s="188">
        <f t="shared" si="27"/>
        <v>1</v>
      </c>
    </row>
    <row r="91" spans="1:20" s="4" customFormat="1" x14ac:dyDescent="0.25">
      <c r="A91" s="212" t="s">
        <v>124</v>
      </c>
      <c r="B91" s="210">
        <v>23.533754282866699</v>
      </c>
      <c r="C91" s="210">
        <v>23.659464590709501</v>
      </c>
      <c r="D91" s="210">
        <v>23.697453047757499</v>
      </c>
      <c r="E91" s="210">
        <v>23.795164077048099</v>
      </c>
      <c r="F91" s="210">
        <v>23.909495028343802</v>
      </c>
      <c r="G91" s="210">
        <v>24.1508209909558</v>
      </c>
      <c r="H91" s="210">
        <v>24.3273995592745</v>
      </c>
      <c r="I91" s="210">
        <v>24.4946187313945</v>
      </c>
      <c r="J91" s="210">
        <v>24.602286939721701</v>
      </c>
      <c r="K91" s="210">
        <v>24.712108686221701</v>
      </c>
      <c r="L91" s="210">
        <v>24.756169818001801</v>
      </c>
      <c r="M91" s="210">
        <v>24.805885672974501</v>
      </c>
      <c r="N91" s="210">
        <v>24.8754058131127</v>
      </c>
      <c r="O91" s="197">
        <v>24.820987765560101</v>
      </c>
      <c r="P91" s="197">
        <v>25.396022493315598</v>
      </c>
      <c r="Q91" s="202"/>
      <c r="R91" s="202"/>
      <c r="S91" s="202"/>
      <c r="T91" s="202"/>
    </row>
    <row r="92" spans="1:20" s="4" customFormat="1" x14ac:dyDescent="0.25">
      <c r="A92" s="137"/>
      <c r="B92" s="22"/>
      <c r="C92" s="22"/>
      <c r="D92" s="22"/>
      <c r="E92" s="22"/>
      <c r="F92" s="22"/>
      <c r="G92" s="22"/>
      <c r="H92" s="22"/>
      <c r="I92" s="22"/>
      <c r="J92" s="22"/>
      <c r="K92" s="22"/>
      <c r="L92" s="22"/>
      <c r="M92" s="22"/>
      <c r="N92" s="22"/>
      <c r="O92" s="22"/>
      <c r="P92" s="22"/>
      <c r="Q92" s="17"/>
      <c r="R92" s="17"/>
      <c r="S92" s="17"/>
      <c r="T92" s="5"/>
    </row>
    <row r="93" spans="1:20" s="4" customFormat="1" ht="15.75" x14ac:dyDescent="0.25">
      <c r="A93" s="44" t="s">
        <v>78</v>
      </c>
      <c r="B93" s="27"/>
      <c r="C93" s="27"/>
      <c r="D93" s="27"/>
      <c r="E93" s="27"/>
      <c r="F93" s="27"/>
      <c r="G93" s="27"/>
      <c r="H93" s="22"/>
      <c r="I93" s="22"/>
      <c r="J93" s="22"/>
      <c r="K93" s="22"/>
      <c r="L93" s="22"/>
      <c r="M93" s="22"/>
      <c r="N93" s="22"/>
      <c r="O93" s="17"/>
      <c r="P93" s="17"/>
      <c r="Q93" s="17"/>
      <c r="R93" s="17"/>
      <c r="S93" s="17"/>
      <c r="T93" s="5"/>
    </row>
    <row r="94" spans="1:20" s="4" customFormat="1" ht="25.5" x14ac:dyDescent="0.25">
      <c r="A94" s="136" t="s">
        <v>48</v>
      </c>
      <c r="B94" s="130">
        <v>2007</v>
      </c>
      <c r="C94" s="130">
        <v>2008</v>
      </c>
      <c r="D94" s="130">
        <v>2009</v>
      </c>
      <c r="E94" s="130">
        <v>2010</v>
      </c>
      <c r="F94" s="130">
        <v>2011</v>
      </c>
      <c r="G94" s="130">
        <v>2012</v>
      </c>
      <c r="H94" s="130">
        <v>2013</v>
      </c>
      <c r="I94" s="130">
        <v>2014</v>
      </c>
      <c r="J94" s="130">
        <v>2015</v>
      </c>
      <c r="K94" s="130">
        <v>2016</v>
      </c>
      <c r="L94" s="130">
        <v>2017</v>
      </c>
      <c r="M94" s="130">
        <v>2018</v>
      </c>
      <c r="N94" s="130">
        <v>2019</v>
      </c>
      <c r="O94" s="130">
        <v>2020</v>
      </c>
      <c r="P94" s="130">
        <v>2021</v>
      </c>
      <c r="Q94" s="131" t="s">
        <v>424</v>
      </c>
      <c r="R94" s="131" t="s">
        <v>425</v>
      </c>
      <c r="S94" s="131" t="s">
        <v>426</v>
      </c>
      <c r="T94" s="131" t="s">
        <v>427</v>
      </c>
    </row>
    <row r="95" spans="1:20" s="4" customFormat="1" x14ac:dyDescent="0.25">
      <c r="A95" s="80" t="s">
        <v>280</v>
      </c>
      <c r="B95" s="25">
        <v>12507</v>
      </c>
      <c r="C95" s="25">
        <v>13429</v>
      </c>
      <c r="D95" s="25">
        <v>13354</v>
      </c>
      <c r="E95" s="25">
        <v>14662</v>
      </c>
      <c r="F95" s="25">
        <v>14833</v>
      </c>
      <c r="G95" s="25">
        <v>15473</v>
      </c>
      <c r="H95" s="25">
        <v>16712</v>
      </c>
      <c r="I95" s="25">
        <v>17001</v>
      </c>
      <c r="J95" s="25">
        <v>16012</v>
      </c>
      <c r="K95" s="25">
        <v>16216</v>
      </c>
      <c r="L95" s="25">
        <v>16450</v>
      </c>
      <c r="M95" s="25">
        <v>17269</v>
      </c>
      <c r="N95" s="25">
        <v>17376</v>
      </c>
      <c r="O95" s="25">
        <v>16788</v>
      </c>
      <c r="P95" s="25">
        <v>17558</v>
      </c>
      <c r="Q95" s="187">
        <f t="shared" ref="Q95:Q111" si="29">(P95-G95)/G95</f>
        <v>0.13475085633038195</v>
      </c>
      <c r="R95" s="187">
        <f t="shared" ref="R95:R111" si="30">(P95-L95)/L95</f>
        <v>6.7355623100303949E-2</v>
      </c>
      <c r="S95" s="187">
        <f t="shared" ref="S95:S111" si="31">(P95-O95)/O95</f>
        <v>4.5866094829640221E-2</v>
      </c>
      <c r="T95" s="187">
        <f t="shared" ref="T95:T111" si="32">P95/P$9</f>
        <v>1.3561034308845258E-2</v>
      </c>
    </row>
    <row r="96" spans="1:20" s="4" customFormat="1" x14ac:dyDescent="0.25">
      <c r="A96" s="80" t="s">
        <v>281</v>
      </c>
      <c r="B96" s="25">
        <v>12076</v>
      </c>
      <c r="C96" s="25">
        <v>13287</v>
      </c>
      <c r="D96" s="25">
        <v>14305</v>
      </c>
      <c r="E96" s="25">
        <v>15542</v>
      </c>
      <c r="F96" s="25">
        <v>15716</v>
      </c>
      <c r="G96" s="25">
        <v>15696</v>
      </c>
      <c r="H96" s="25">
        <v>16787</v>
      </c>
      <c r="I96" s="25">
        <v>17519</v>
      </c>
      <c r="J96" s="25">
        <v>18120</v>
      </c>
      <c r="K96" s="25">
        <v>17806</v>
      </c>
      <c r="L96" s="25">
        <v>17623</v>
      </c>
      <c r="M96" s="25">
        <v>19069</v>
      </c>
      <c r="N96" s="25">
        <v>19734</v>
      </c>
      <c r="O96" s="25">
        <v>18726</v>
      </c>
      <c r="P96" s="25">
        <v>19274</v>
      </c>
      <c r="Q96" s="187">
        <f t="shared" si="29"/>
        <v>0.22795616717635067</v>
      </c>
      <c r="R96" s="187">
        <f t="shared" si="30"/>
        <v>9.3684389717982181E-2</v>
      </c>
      <c r="S96" s="187">
        <f t="shared" si="31"/>
        <v>2.9264124746341984E-2</v>
      </c>
      <c r="T96" s="187">
        <f t="shared" si="32"/>
        <v>1.4886397953564386E-2</v>
      </c>
    </row>
    <row r="97" spans="1:20" s="4" customFormat="1" x14ac:dyDescent="0.25">
      <c r="A97" s="80" t="s">
        <v>282</v>
      </c>
      <c r="B97" s="25">
        <v>28714</v>
      </c>
      <c r="C97" s="25">
        <v>30408</v>
      </c>
      <c r="D97" s="25">
        <v>33426</v>
      </c>
      <c r="E97" s="25">
        <v>36254</v>
      </c>
      <c r="F97" s="25">
        <v>37552</v>
      </c>
      <c r="G97" s="25">
        <v>38426</v>
      </c>
      <c r="H97" s="25">
        <v>40705</v>
      </c>
      <c r="I97" s="25">
        <v>41752</v>
      </c>
      <c r="J97" s="25">
        <v>42313</v>
      </c>
      <c r="K97" s="25">
        <v>40548</v>
      </c>
      <c r="L97" s="25">
        <v>40792</v>
      </c>
      <c r="M97" s="25">
        <v>41214</v>
      </c>
      <c r="N97" s="25">
        <v>41038</v>
      </c>
      <c r="O97" s="25">
        <v>39047</v>
      </c>
      <c r="P97" s="25">
        <v>39637</v>
      </c>
      <c r="Q97" s="187">
        <f t="shared" si="29"/>
        <v>3.1515119970853066E-2</v>
      </c>
      <c r="R97" s="187">
        <f t="shared" si="30"/>
        <v>-2.831437536771916E-2</v>
      </c>
      <c r="S97" s="187">
        <f t="shared" si="31"/>
        <v>1.5109995646272441E-2</v>
      </c>
      <c r="T97" s="187">
        <f t="shared" si="32"/>
        <v>3.0613892066277449E-2</v>
      </c>
    </row>
    <row r="98" spans="1:20" s="4" customFormat="1" x14ac:dyDescent="0.25">
      <c r="A98" s="80" t="s">
        <v>283</v>
      </c>
      <c r="B98" s="25">
        <v>6828</v>
      </c>
      <c r="C98" s="25">
        <v>7797</v>
      </c>
      <c r="D98" s="25">
        <v>8205</v>
      </c>
      <c r="E98" s="25">
        <v>9108</v>
      </c>
      <c r="F98" s="25">
        <v>10282</v>
      </c>
      <c r="G98" s="25">
        <v>10724</v>
      </c>
      <c r="H98" s="25">
        <v>11079</v>
      </c>
      <c r="I98" s="25">
        <v>12009</v>
      </c>
      <c r="J98" s="25">
        <v>10521</v>
      </c>
      <c r="K98" s="25">
        <v>12128</v>
      </c>
      <c r="L98" s="25">
        <v>12554</v>
      </c>
      <c r="M98" s="25">
        <v>12745</v>
      </c>
      <c r="N98" s="25">
        <v>13084</v>
      </c>
      <c r="O98" s="25">
        <v>12089</v>
      </c>
      <c r="P98" s="25">
        <v>13278</v>
      </c>
      <c r="Q98" s="187">
        <f t="shared" si="29"/>
        <v>0.2381574039537486</v>
      </c>
      <c r="R98" s="187">
        <f t="shared" si="30"/>
        <v>5.7670861876692688E-2</v>
      </c>
      <c r="S98" s="187">
        <f t="shared" si="31"/>
        <v>9.8353875423939113E-2</v>
      </c>
      <c r="T98" s="187">
        <f t="shared" si="32"/>
        <v>1.02553487614106E-2</v>
      </c>
    </row>
    <row r="99" spans="1:20" s="4" customFormat="1" x14ac:dyDescent="0.25">
      <c r="A99" s="80" t="s">
        <v>284</v>
      </c>
      <c r="B99" s="25">
        <v>26259</v>
      </c>
      <c r="C99" s="25">
        <v>29175</v>
      </c>
      <c r="D99" s="25">
        <v>32315</v>
      </c>
      <c r="E99" s="25">
        <v>35849</v>
      </c>
      <c r="F99" s="25">
        <v>38145</v>
      </c>
      <c r="G99" s="25">
        <v>40414</v>
      </c>
      <c r="H99" s="25">
        <v>41822</v>
      </c>
      <c r="I99" s="25">
        <v>42277</v>
      </c>
      <c r="J99" s="25">
        <v>42727</v>
      </c>
      <c r="K99" s="25">
        <v>43601</v>
      </c>
      <c r="L99" s="25">
        <v>43899</v>
      </c>
      <c r="M99" s="25">
        <v>44821</v>
      </c>
      <c r="N99" s="25">
        <v>45051</v>
      </c>
      <c r="O99" s="25">
        <v>42658</v>
      </c>
      <c r="P99" s="25">
        <v>45565</v>
      </c>
      <c r="Q99" s="187">
        <f t="shared" si="29"/>
        <v>0.12745583213737813</v>
      </c>
      <c r="R99" s="187">
        <f t="shared" si="30"/>
        <v>3.7950750586573725E-2</v>
      </c>
      <c r="S99" s="187">
        <f t="shared" si="31"/>
        <v>6.8146654789254066E-2</v>
      </c>
      <c r="T99" s="187">
        <f t="shared" si="32"/>
        <v>3.5192421020761713E-2</v>
      </c>
    </row>
    <row r="100" spans="1:20" s="4" customFormat="1" x14ac:dyDescent="0.25">
      <c r="A100" s="80" t="s">
        <v>285</v>
      </c>
      <c r="B100" s="25">
        <v>94265</v>
      </c>
      <c r="C100" s="25">
        <v>100977</v>
      </c>
      <c r="D100" s="25">
        <v>107378</v>
      </c>
      <c r="E100" s="25">
        <v>116170</v>
      </c>
      <c r="F100" s="25">
        <v>123107</v>
      </c>
      <c r="G100" s="25">
        <v>125397</v>
      </c>
      <c r="H100" s="25">
        <v>132435</v>
      </c>
      <c r="I100" s="25">
        <v>134303</v>
      </c>
      <c r="J100" s="25">
        <v>136046</v>
      </c>
      <c r="K100" s="25">
        <v>136793</v>
      </c>
      <c r="L100" s="25">
        <v>135137</v>
      </c>
      <c r="M100" s="25">
        <v>135286</v>
      </c>
      <c r="N100" s="25">
        <v>134749</v>
      </c>
      <c r="O100" s="25">
        <v>130117</v>
      </c>
      <c r="P100" s="25">
        <v>133976</v>
      </c>
      <c r="Q100" s="187">
        <f t="shared" si="29"/>
        <v>6.8414714865586895E-2</v>
      </c>
      <c r="R100" s="187">
        <f t="shared" si="30"/>
        <v>-8.5912814403161231E-3</v>
      </c>
      <c r="S100" s="187">
        <f t="shared" si="31"/>
        <v>2.9657923253687067E-2</v>
      </c>
      <c r="T100" s="187">
        <f t="shared" si="32"/>
        <v>0.10347722591194056</v>
      </c>
    </row>
    <row r="101" spans="1:20" s="4" customFormat="1" x14ac:dyDescent="0.25">
      <c r="A101" s="80" t="s">
        <v>286</v>
      </c>
      <c r="B101" s="25">
        <v>381708</v>
      </c>
      <c r="C101" s="25">
        <v>392715</v>
      </c>
      <c r="D101" s="25">
        <v>422535</v>
      </c>
      <c r="E101" s="25">
        <v>470229</v>
      </c>
      <c r="F101" s="25">
        <v>506869</v>
      </c>
      <c r="G101" s="25">
        <v>535531</v>
      </c>
      <c r="H101" s="25">
        <v>559124</v>
      </c>
      <c r="I101" s="25">
        <v>582281</v>
      </c>
      <c r="J101" s="25">
        <v>590537</v>
      </c>
      <c r="K101" s="25">
        <v>598045</v>
      </c>
      <c r="L101" s="25">
        <v>598212</v>
      </c>
      <c r="M101" s="25">
        <v>607102</v>
      </c>
      <c r="N101" s="25">
        <v>613381</v>
      </c>
      <c r="O101" s="25">
        <v>587979</v>
      </c>
      <c r="P101" s="25">
        <v>643485</v>
      </c>
      <c r="Q101" s="187">
        <f t="shared" si="29"/>
        <v>0.20158310163183832</v>
      </c>
      <c r="R101" s="187">
        <f t="shared" si="30"/>
        <v>7.5680527973360612E-2</v>
      </c>
      <c r="S101" s="187">
        <f t="shared" si="31"/>
        <v>9.4401330659768468E-2</v>
      </c>
      <c r="T101" s="187">
        <f t="shared" si="32"/>
        <v>0.49699978142312851</v>
      </c>
    </row>
    <row r="102" spans="1:20" s="4" customFormat="1" x14ac:dyDescent="0.25">
      <c r="A102" s="111" t="s">
        <v>404</v>
      </c>
      <c r="B102" s="75">
        <v>11318</v>
      </c>
      <c r="C102" s="75">
        <v>11827</v>
      </c>
      <c r="D102" s="25">
        <v>15757</v>
      </c>
      <c r="E102" s="25">
        <v>18830</v>
      </c>
      <c r="F102" s="25">
        <v>21632</v>
      </c>
      <c r="G102" s="25">
        <v>25134</v>
      </c>
      <c r="H102" s="25">
        <v>26371</v>
      </c>
      <c r="I102" s="25">
        <v>28465</v>
      </c>
      <c r="J102" s="25">
        <v>28893</v>
      </c>
      <c r="K102" s="25">
        <v>28829</v>
      </c>
      <c r="L102" s="25">
        <v>28957</v>
      </c>
      <c r="M102" s="25">
        <v>28827</v>
      </c>
      <c r="N102" s="25">
        <v>28444</v>
      </c>
      <c r="O102" s="25">
        <v>27268</v>
      </c>
      <c r="P102" s="25">
        <v>27088</v>
      </c>
      <c r="Q102" s="187">
        <f t="shared" si="29"/>
        <v>7.7743295933794865E-2</v>
      </c>
      <c r="R102" s="187">
        <f t="shared" si="30"/>
        <v>-6.4543979003349794E-2</v>
      </c>
      <c r="S102" s="187">
        <f t="shared" si="31"/>
        <v>-6.6011441983277099E-3</v>
      </c>
      <c r="T102" s="187">
        <f t="shared" si="32"/>
        <v>2.0921591146941584E-2</v>
      </c>
    </row>
    <row r="103" spans="1:20" s="4" customFormat="1" x14ac:dyDescent="0.25">
      <c r="A103" s="80" t="s">
        <v>287</v>
      </c>
      <c r="B103" s="25">
        <v>29034</v>
      </c>
      <c r="C103" s="25">
        <v>34241</v>
      </c>
      <c r="D103" s="25">
        <v>38782</v>
      </c>
      <c r="E103" s="25">
        <v>43720</v>
      </c>
      <c r="F103" s="25">
        <v>54398</v>
      </c>
      <c r="G103" s="25">
        <v>58780</v>
      </c>
      <c r="H103" s="25">
        <v>61057</v>
      </c>
      <c r="I103" s="25">
        <v>51770</v>
      </c>
      <c r="J103" s="25">
        <v>52978</v>
      </c>
      <c r="K103" s="25">
        <v>55349</v>
      </c>
      <c r="L103" s="25">
        <v>55627</v>
      </c>
      <c r="M103" s="25">
        <v>57257</v>
      </c>
      <c r="N103" s="25">
        <v>58716</v>
      </c>
      <c r="O103" s="25">
        <v>58223</v>
      </c>
      <c r="P103" s="25">
        <v>59609</v>
      </c>
      <c r="Q103" s="187">
        <f t="shared" si="29"/>
        <v>1.4103436543041852E-2</v>
      </c>
      <c r="R103" s="187">
        <f t="shared" si="30"/>
        <v>7.158394304923868E-2</v>
      </c>
      <c r="S103" s="187">
        <f t="shared" si="31"/>
        <v>2.3805025505384471E-2</v>
      </c>
      <c r="T103" s="187">
        <f t="shared" si="32"/>
        <v>4.6039394812390763E-2</v>
      </c>
    </row>
    <row r="104" spans="1:20" s="4" customFormat="1" x14ac:dyDescent="0.25">
      <c r="A104" s="80" t="s">
        <v>363</v>
      </c>
      <c r="B104" s="25">
        <v>14589</v>
      </c>
      <c r="C104" s="25">
        <v>14579</v>
      </c>
      <c r="D104" s="25">
        <v>16856</v>
      </c>
      <c r="E104" s="25">
        <v>19341</v>
      </c>
      <c r="F104" s="25">
        <v>21032</v>
      </c>
      <c r="G104" s="25">
        <v>22750</v>
      </c>
      <c r="H104" s="25">
        <v>23631</v>
      </c>
      <c r="I104" s="25">
        <v>24617</v>
      </c>
      <c r="J104" s="25">
        <v>25154</v>
      </c>
      <c r="K104" s="25">
        <v>24997</v>
      </c>
      <c r="L104" s="25">
        <v>24887</v>
      </c>
      <c r="M104" s="25">
        <v>24530</v>
      </c>
      <c r="N104" s="25">
        <v>23733</v>
      </c>
      <c r="O104" s="25">
        <v>22907</v>
      </c>
      <c r="P104" s="25">
        <v>22993</v>
      </c>
      <c r="Q104" s="187">
        <f t="shared" si="29"/>
        <v>1.0681318681318681E-2</v>
      </c>
      <c r="R104" s="187">
        <f t="shared" si="30"/>
        <v>-7.6103990034958005E-2</v>
      </c>
      <c r="S104" s="187">
        <f t="shared" si="31"/>
        <v>3.754310909329026E-3</v>
      </c>
      <c r="T104" s="187">
        <f t="shared" si="32"/>
        <v>1.7758791540225482E-2</v>
      </c>
    </row>
    <row r="105" spans="1:20" s="4" customFormat="1" x14ac:dyDescent="0.25">
      <c r="A105" s="80" t="s">
        <v>293</v>
      </c>
      <c r="B105" s="25">
        <v>81988</v>
      </c>
      <c r="C105" s="25">
        <v>90756</v>
      </c>
      <c r="D105" s="25">
        <v>98528</v>
      </c>
      <c r="E105" s="25">
        <v>107115</v>
      </c>
      <c r="F105" s="25">
        <v>117533</v>
      </c>
      <c r="G105" s="25">
        <v>124331</v>
      </c>
      <c r="H105" s="25">
        <v>131784</v>
      </c>
      <c r="I105" s="25">
        <v>134728</v>
      </c>
      <c r="J105" s="25">
        <v>137240</v>
      </c>
      <c r="K105" s="25">
        <v>135760</v>
      </c>
      <c r="L105" s="25">
        <v>134774</v>
      </c>
      <c r="M105" s="25">
        <v>132690</v>
      </c>
      <c r="N105" s="25">
        <v>131574</v>
      </c>
      <c r="O105" s="25">
        <v>127743</v>
      </c>
      <c r="P105" s="25">
        <v>130787</v>
      </c>
      <c r="Q105" s="187">
        <f t="shared" si="29"/>
        <v>5.1925907456708303E-2</v>
      </c>
      <c r="R105" s="187">
        <f t="shared" si="30"/>
        <v>-2.9582857227655187E-2</v>
      </c>
      <c r="S105" s="187">
        <f t="shared" si="31"/>
        <v>2.382909435350665E-2</v>
      </c>
      <c r="T105" s="187">
        <f t="shared" si="32"/>
        <v>0.10101418123652721</v>
      </c>
    </row>
    <row r="106" spans="1:20" s="4" customFormat="1" x14ac:dyDescent="0.25">
      <c r="A106" s="80" t="s">
        <v>296</v>
      </c>
      <c r="B106" s="25">
        <v>33876</v>
      </c>
      <c r="C106" s="25">
        <v>34453</v>
      </c>
      <c r="D106" s="25">
        <v>38248</v>
      </c>
      <c r="E106" s="25">
        <v>42358</v>
      </c>
      <c r="F106" s="25">
        <v>46636</v>
      </c>
      <c r="G106" s="25">
        <v>50381</v>
      </c>
      <c r="H106" s="25">
        <v>53793</v>
      </c>
      <c r="I106" s="25">
        <v>56535</v>
      </c>
      <c r="J106" s="25">
        <v>57775</v>
      </c>
      <c r="K106" s="25">
        <v>60320</v>
      </c>
      <c r="L106" s="25">
        <v>61262</v>
      </c>
      <c r="M106" s="25">
        <v>60915</v>
      </c>
      <c r="N106" s="25">
        <v>60745</v>
      </c>
      <c r="O106" s="25">
        <v>58684</v>
      </c>
      <c r="P106" s="25">
        <v>61761</v>
      </c>
      <c r="Q106" s="187">
        <f t="shared" si="29"/>
        <v>0.22587880351719894</v>
      </c>
      <c r="R106" s="187">
        <f t="shared" si="30"/>
        <v>8.1453429532173296E-3</v>
      </c>
      <c r="S106" s="187">
        <f t="shared" si="31"/>
        <v>5.2433371958285055E-2</v>
      </c>
      <c r="T106" s="187">
        <f t="shared" si="32"/>
        <v>4.7701505863343888E-2</v>
      </c>
    </row>
    <row r="107" spans="1:20" s="4" customFormat="1" x14ac:dyDescent="0.25">
      <c r="A107" s="80" t="s">
        <v>289</v>
      </c>
      <c r="B107" s="25">
        <v>14555</v>
      </c>
      <c r="C107" s="25">
        <v>14882</v>
      </c>
      <c r="D107" s="25">
        <v>16894</v>
      </c>
      <c r="E107" s="25">
        <v>17705</v>
      </c>
      <c r="F107" s="25">
        <v>19006</v>
      </c>
      <c r="G107" s="25">
        <v>20396</v>
      </c>
      <c r="H107" s="25">
        <v>21885</v>
      </c>
      <c r="I107" s="25">
        <v>22415</v>
      </c>
      <c r="J107" s="25">
        <v>22620</v>
      </c>
      <c r="K107" s="25">
        <v>23379</v>
      </c>
      <c r="L107" s="25">
        <v>24341</v>
      </c>
      <c r="M107" s="25">
        <v>26097</v>
      </c>
      <c r="N107" s="25">
        <v>26718</v>
      </c>
      <c r="O107" s="25">
        <v>26711</v>
      </c>
      <c r="P107" s="25">
        <v>27571</v>
      </c>
      <c r="Q107" s="187">
        <f t="shared" si="29"/>
        <v>0.35178466365954109</v>
      </c>
      <c r="R107" s="187">
        <f t="shared" si="30"/>
        <v>0.13269791709461404</v>
      </c>
      <c r="S107" s="187">
        <f t="shared" si="31"/>
        <v>3.2196473363033953E-2</v>
      </c>
      <c r="T107" s="187">
        <f t="shared" si="32"/>
        <v>2.1294639305682459E-2</v>
      </c>
    </row>
    <row r="108" spans="1:20" s="4" customFormat="1" x14ac:dyDescent="0.25">
      <c r="A108" s="80" t="s">
        <v>290</v>
      </c>
      <c r="B108" s="25">
        <v>20658</v>
      </c>
      <c r="C108" s="25">
        <v>23517</v>
      </c>
      <c r="D108" s="25">
        <v>26701</v>
      </c>
      <c r="E108" s="25">
        <v>29562</v>
      </c>
      <c r="F108" s="25">
        <v>33109</v>
      </c>
      <c r="G108" s="25">
        <v>34618</v>
      </c>
      <c r="H108" s="25">
        <v>38038</v>
      </c>
      <c r="I108" s="25">
        <v>39883</v>
      </c>
      <c r="J108" s="25">
        <v>41982</v>
      </c>
      <c r="K108" s="25">
        <v>42889</v>
      </c>
      <c r="L108" s="25">
        <v>43156</v>
      </c>
      <c r="M108" s="25">
        <v>43752</v>
      </c>
      <c r="N108" s="25">
        <v>43520</v>
      </c>
      <c r="O108" s="25">
        <v>42124</v>
      </c>
      <c r="P108" s="25">
        <v>42101</v>
      </c>
      <c r="Q108" s="187">
        <f t="shared" si="29"/>
        <v>0.21615922352533365</v>
      </c>
      <c r="R108" s="187">
        <f t="shared" si="30"/>
        <v>-2.4446195198813605E-2</v>
      </c>
      <c r="S108" s="187">
        <f t="shared" si="31"/>
        <v>-5.4600702687304149E-4</v>
      </c>
      <c r="T108" s="187">
        <f t="shared" si="32"/>
        <v>3.251697832536133E-2</v>
      </c>
    </row>
    <row r="109" spans="1:20" s="4" customFormat="1" x14ac:dyDescent="0.25">
      <c r="A109" s="80" t="s">
        <v>291</v>
      </c>
      <c r="B109" s="25">
        <v>867</v>
      </c>
      <c r="C109" s="25">
        <v>964</v>
      </c>
      <c r="D109" s="25">
        <v>1353</v>
      </c>
      <c r="E109" s="25">
        <v>1521</v>
      </c>
      <c r="F109" s="25">
        <v>1671</v>
      </c>
      <c r="G109" s="25">
        <v>1606</v>
      </c>
      <c r="H109" s="25">
        <v>1723</v>
      </c>
      <c r="I109" s="25">
        <v>1987</v>
      </c>
      <c r="J109" s="25">
        <v>2215</v>
      </c>
      <c r="K109" s="25">
        <v>2471</v>
      </c>
      <c r="L109" s="25">
        <v>2620</v>
      </c>
      <c r="M109" s="25">
        <v>2762</v>
      </c>
      <c r="N109" s="25">
        <v>2852</v>
      </c>
      <c r="O109" s="25">
        <v>2888</v>
      </c>
      <c r="P109" s="25">
        <v>2870</v>
      </c>
      <c r="Q109" s="187">
        <f t="shared" si="29"/>
        <v>0.78704856787048572</v>
      </c>
      <c r="R109" s="187">
        <f t="shared" si="30"/>
        <v>9.5419847328244281E-2</v>
      </c>
      <c r="S109" s="187">
        <f t="shared" si="31"/>
        <v>-6.2326869806094186E-3</v>
      </c>
      <c r="T109" s="187">
        <f t="shared" si="32"/>
        <v>2.2166629722283797E-3</v>
      </c>
    </row>
    <row r="110" spans="1:20" s="4" customFormat="1" x14ac:dyDescent="0.25">
      <c r="A110" s="80" t="s">
        <v>292</v>
      </c>
      <c r="B110" s="25">
        <v>7596</v>
      </c>
      <c r="C110" s="25">
        <v>6790</v>
      </c>
      <c r="D110" s="25">
        <v>7082</v>
      </c>
      <c r="E110" s="25">
        <v>7652</v>
      </c>
      <c r="F110" s="25">
        <v>7578</v>
      </c>
      <c r="G110" s="25">
        <v>7263</v>
      </c>
      <c r="H110" s="25">
        <v>7425</v>
      </c>
      <c r="I110" s="25">
        <v>7588</v>
      </c>
      <c r="J110" s="25">
        <v>7910</v>
      </c>
      <c r="K110" s="25">
        <v>8047</v>
      </c>
      <c r="L110" s="25">
        <v>8002</v>
      </c>
      <c r="M110" s="25">
        <v>8000</v>
      </c>
      <c r="N110" s="25">
        <v>7789</v>
      </c>
      <c r="O110" s="25">
        <v>7034</v>
      </c>
      <c r="P110" s="25">
        <v>7186</v>
      </c>
      <c r="Q110" s="187">
        <f t="shared" si="29"/>
        <v>-1.0601679746661159E-2</v>
      </c>
      <c r="R110" s="187">
        <f t="shared" si="30"/>
        <v>-0.10197450637340665</v>
      </c>
      <c r="S110" s="187">
        <f t="shared" si="31"/>
        <v>2.1609326130224624E-2</v>
      </c>
      <c r="T110" s="187">
        <f t="shared" si="32"/>
        <v>5.5501533513704305E-3</v>
      </c>
    </row>
    <row r="111" spans="1:20" s="4" customFormat="1" x14ac:dyDescent="0.25">
      <c r="A111" s="86" t="s">
        <v>0</v>
      </c>
      <c r="B111" s="26">
        <v>776838</v>
      </c>
      <c r="C111" s="26">
        <v>819797</v>
      </c>
      <c r="D111" s="26">
        <v>891719</v>
      </c>
      <c r="E111" s="26">
        <v>985618</v>
      </c>
      <c r="F111" s="26">
        <v>1069099</v>
      </c>
      <c r="G111" s="26">
        <v>1126920</v>
      </c>
      <c r="H111" s="26">
        <v>1184371</v>
      </c>
      <c r="I111" s="26">
        <v>1215130</v>
      </c>
      <c r="J111" s="26">
        <v>1233043</v>
      </c>
      <c r="K111" s="26">
        <v>1247178</v>
      </c>
      <c r="L111" s="26">
        <v>1248293</v>
      </c>
      <c r="M111" s="26">
        <v>1262336</v>
      </c>
      <c r="N111" s="26">
        <v>1268504</v>
      </c>
      <c r="O111" s="26">
        <v>1220986</v>
      </c>
      <c r="P111" s="26">
        <v>1294739</v>
      </c>
      <c r="Q111" s="188">
        <f t="shared" si="29"/>
        <v>0.14891829056188549</v>
      </c>
      <c r="R111" s="188">
        <f t="shared" si="30"/>
        <v>3.7207610713189933E-2</v>
      </c>
      <c r="S111" s="188">
        <f t="shared" si="31"/>
        <v>6.0404460001998388E-2</v>
      </c>
      <c r="T111" s="188">
        <f t="shared" si="32"/>
        <v>1</v>
      </c>
    </row>
    <row r="112" spans="1:20" s="4" customFormat="1" x14ac:dyDescent="0.25">
      <c r="A112" s="134"/>
      <c r="B112" s="21"/>
      <c r="C112" s="21"/>
      <c r="D112" s="21"/>
      <c r="E112" s="21"/>
      <c r="F112" s="21"/>
      <c r="G112" s="21"/>
      <c r="H112" s="21"/>
      <c r="I112" s="21"/>
      <c r="J112" s="21"/>
      <c r="K112" s="21"/>
      <c r="L112" s="21"/>
      <c r="M112" s="21"/>
      <c r="N112" s="21"/>
      <c r="O112" s="21"/>
      <c r="P112" s="21"/>
      <c r="Q112" s="21"/>
      <c r="R112" s="21"/>
      <c r="S112" s="21"/>
      <c r="T112" s="5"/>
    </row>
    <row r="113" spans="1:20" x14ac:dyDescent="0.25">
      <c r="A113" s="143" t="s">
        <v>307</v>
      </c>
      <c r="B113" s="99"/>
      <c r="C113" s="99"/>
      <c r="D113" s="22"/>
      <c r="E113" s="22"/>
      <c r="F113" s="22"/>
      <c r="G113" s="22"/>
      <c r="H113" s="22"/>
      <c r="I113" s="22"/>
      <c r="J113" s="22"/>
      <c r="K113" s="22"/>
      <c r="L113" s="22"/>
      <c r="M113" s="22"/>
      <c r="N113" s="22"/>
      <c r="O113" s="22"/>
      <c r="P113" s="22"/>
      <c r="Q113" s="22"/>
      <c r="R113" s="22"/>
      <c r="S113" s="22"/>
      <c r="T113" s="5"/>
    </row>
    <row r="114" spans="1:20" x14ac:dyDescent="0.25">
      <c r="A114" s="144" t="s">
        <v>294</v>
      </c>
      <c r="B114" s="28"/>
      <c r="C114" s="28"/>
      <c r="D114" s="28"/>
      <c r="E114" s="28"/>
      <c r="F114" s="28"/>
      <c r="G114" s="28"/>
      <c r="H114" s="22"/>
      <c r="I114" s="22"/>
      <c r="J114" s="22"/>
      <c r="K114" s="22"/>
      <c r="L114" s="22"/>
      <c r="M114" s="22"/>
      <c r="N114" s="22"/>
      <c r="O114" s="17"/>
      <c r="P114" s="17"/>
      <c r="Q114" s="17"/>
      <c r="R114" s="17"/>
      <c r="S114" s="17"/>
      <c r="T114" s="5"/>
    </row>
    <row r="115" spans="1:20" x14ac:dyDescent="0.25">
      <c r="A115" s="141"/>
      <c r="B115" s="5"/>
      <c r="C115" s="5"/>
      <c r="D115" s="5"/>
      <c r="E115" s="5"/>
      <c r="F115" s="5"/>
      <c r="G115" s="5"/>
      <c r="H115" s="5"/>
      <c r="I115" s="5"/>
      <c r="J115" s="5"/>
      <c r="K115" s="5"/>
      <c r="L115" s="5"/>
      <c r="M115" s="5"/>
      <c r="N115" s="5"/>
      <c r="O115" s="6"/>
      <c r="P115" s="6"/>
      <c r="Q115" s="6"/>
      <c r="R115" s="6"/>
      <c r="S115" s="6"/>
      <c r="T115" s="5"/>
    </row>
    <row r="116" spans="1:20" x14ac:dyDescent="0.25">
      <c r="A116" s="141"/>
      <c r="B116" s="5"/>
      <c r="C116" s="5"/>
      <c r="D116" s="5"/>
      <c r="E116" s="5"/>
      <c r="F116" s="5"/>
      <c r="G116" s="5"/>
      <c r="H116" s="5"/>
      <c r="I116" s="5"/>
      <c r="J116" s="5"/>
      <c r="K116" s="5"/>
      <c r="L116" s="5"/>
      <c r="M116" s="5"/>
      <c r="N116" s="5"/>
      <c r="O116" s="32"/>
      <c r="P116" s="32"/>
      <c r="Q116" s="32"/>
      <c r="R116" s="32"/>
      <c r="S116" s="32"/>
      <c r="T116" s="5"/>
    </row>
    <row r="117" spans="1:20" x14ac:dyDescent="0.25">
      <c r="A117" s="141"/>
      <c r="B117" s="5"/>
      <c r="C117" s="5"/>
      <c r="D117" s="5"/>
      <c r="E117" s="5"/>
      <c r="F117" s="5"/>
      <c r="G117" s="5"/>
      <c r="H117" s="5"/>
      <c r="I117" s="5"/>
      <c r="J117" s="5"/>
      <c r="K117" s="5"/>
      <c r="L117" s="5"/>
      <c r="M117" s="5"/>
      <c r="N117" s="5"/>
      <c r="O117" s="32"/>
      <c r="P117" s="32"/>
      <c r="Q117" s="32"/>
      <c r="R117" s="32"/>
      <c r="S117" s="32"/>
      <c r="T117" s="5"/>
    </row>
    <row r="118" spans="1:20" x14ac:dyDescent="0.25">
      <c r="A118" s="141"/>
      <c r="B118" s="5"/>
      <c r="C118" s="5"/>
      <c r="D118" s="5"/>
      <c r="E118" s="5"/>
      <c r="F118" s="5"/>
      <c r="G118" s="5"/>
      <c r="H118" s="5"/>
      <c r="I118" s="5"/>
      <c r="J118" s="5"/>
      <c r="K118" s="5"/>
      <c r="L118" s="5"/>
      <c r="M118" s="5"/>
      <c r="N118" s="5"/>
      <c r="O118" s="17"/>
      <c r="P118" s="17"/>
      <c r="Q118" s="17"/>
      <c r="R118" s="17"/>
      <c r="S118" s="17"/>
      <c r="T118" s="5"/>
    </row>
    <row r="119" spans="1:20" x14ac:dyDescent="0.25">
      <c r="A119" s="141"/>
      <c r="B119" s="5"/>
      <c r="C119" s="5"/>
      <c r="D119" s="5"/>
      <c r="E119" s="5"/>
      <c r="F119" s="5"/>
      <c r="G119" s="5"/>
      <c r="H119" s="5"/>
      <c r="I119" s="5"/>
      <c r="J119" s="5"/>
      <c r="K119" s="5"/>
      <c r="L119" s="5"/>
      <c r="M119" s="5"/>
      <c r="N119" s="5"/>
      <c r="O119" s="17"/>
      <c r="P119" s="17"/>
      <c r="Q119" s="17"/>
      <c r="R119" s="17"/>
      <c r="S119" s="17"/>
      <c r="T119" s="5"/>
    </row>
    <row r="120" spans="1:20" x14ac:dyDescent="0.25">
      <c r="A120" s="141"/>
      <c r="B120" s="5"/>
      <c r="C120" s="5"/>
      <c r="D120" s="5"/>
      <c r="E120" s="5"/>
      <c r="F120" s="5"/>
      <c r="G120" s="5"/>
      <c r="H120" s="5"/>
      <c r="I120" s="5"/>
      <c r="J120" s="5"/>
      <c r="K120" s="5"/>
      <c r="L120" s="5"/>
      <c r="M120" s="5"/>
      <c r="N120" s="5"/>
      <c r="O120" s="6"/>
      <c r="P120" s="6"/>
      <c r="Q120" s="6"/>
      <c r="R120" s="6"/>
      <c r="S120" s="6"/>
      <c r="T120" s="5"/>
    </row>
    <row r="121" spans="1:20" x14ac:dyDescent="0.25">
      <c r="A121" s="141"/>
      <c r="B121" s="5"/>
      <c r="C121" s="5"/>
      <c r="D121" s="5"/>
      <c r="E121" s="5"/>
      <c r="F121" s="5"/>
      <c r="G121" s="5"/>
      <c r="H121" s="5"/>
      <c r="I121" s="5"/>
      <c r="J121" s="5"/>
      <c r="K121" s="5"/>
      <c r="L121" s="5"/>
      <c r="M121" s="5"/>
      <c r="N121" s="5"/>
      <c r="O121" s="32"/>
      <c r="P121" s="32"/>
      <c r="Q121" s="32"/>
      <c r="R121" s="32"/>
      <c r="S121" s="32"/>
      <c r="T121" s="5"/>
    </row>
    <row r="122" spans="1:20" x14ac:dyDescent="0.25">
      <c r="A122" s="141"/>
      <c r="B122" s="5"/>
      <c r="C122" s="5"/>
      <c r="D122" s="5"/>
      <c r="E122" s="5"/>
      <c r="F122" s="5"/>
      <c r="G122" s="5"/>
      <c r="H122" s="5"/>
      <c r="I122" s="5"/>
      <c r="J122" s="5"/>
      <c r="K122" s="5"/>
      <c r="L122" s="5"/>
      <c r="M122" s="5"/>
      <c r="N122" s="5"/>
      <c r="O122" s="32"/>
      <c r="P122" s="32"/>
      <c r="Q122" s="32"/>
      <c r="R122" s="32"/>
      <c r="S122" s="32"/>
      <c r="T122" s="5"/>
    </row>
    <row r="123" spans="1:20" x14ac:dyDescent="0.25">
      <c r="A123" s="141"/>
      <c r="B123" s="5"/>
      <c r="C123" s="5"/>
      <c r="D123" s="5"/>
      <c r="E123" s="5"/>
      <c r="F123" s="5"/>
      <c r="G123" s="5"/>
      <c r="H123" s="5"/>
      <c r="I123" s="5"/>
      <c r="J123" s="5"/>
      <c r="K123" s="5"/>
      <c r="L123" s="5"/>
      <c r="M123" s="5"/>
      <c r="N123" s="5"/>
      <c r="O123" s="17"/>
      <c r="P123" s="17"/>
      <c r="Q123" s="17"/>
      <c r="R123" s="17"/>
      <c r="S123" s="17"/>
      <c r="T123" s="5"/>
    </row>
    <row r="124" spans="1:20" x14ac:dyDescent="0.25">
      <c r="A124" s="141"/>
      <c r="B124" s="5"/>
      <c r="C124" s="5"/>
      <c r="D124" s="5"/>
      <c r="E124" s="5"/>
      <c r="F124" s="5"/>
      <c r="G124" s="5"/>
      <c r="H124" s="5"/>
      <c r="I124" s="5"/>
      <c r="J124" s="5"/>
      <c r="K124" s="5"/>
      <c r="L124" s="5"/>
      <c r="M124" s="5"/>
      <c r="N124" s="5"/>
      <c r="O124" s="17"/>
      <c r="P124" s="17"/>
      <c r="Q124" s="17"/>
      <c r="R124" s="17"/>
      <c r="S124" s="17"/>
      <c r="T124" s="5"/>
    </row>
    <row r="125" spans="1:20" x14ac:dyDescent="0.25">
      <c r="A125" s="141"/>
      <c r="B125" s="5"/>
      <c r="C125" s="5"/>
      <c r="D125" s="5"/>
      <c r="E125" s="5"/>
      <c r="F125" s="5"/>
      <c r="G125" s="5"/>
      <c r="H125" s="5"/>
      <c r="I125" s="5"/>
      <c r="J125" s="5"/>
      <c r="K125" s="5"/>
      <c r="L125" s="5"/>
      <c r="M125" s="5"/>
      <c r="N125" s="5"/>
      <c r="O125" s="6"/>
      <c r="P125" s="6"/>
      <c r="Q125" s="6"/>
      <c r="R125" s="6"/>
      <c r="S125" s="6"/>
      <c r="T125" s="5"/>
    </row>
    <row r="126" spans="1:20" x14ac:dyDescent="0.25">
      <c r="A126" s="141"/>
      <c r="B126" s="5"/>
      <c r="C126" s="5"/>
      <c r="D126" s="5"/>
      <c r="E126" s="5"/>
      <c r="F126" s="5"/>
      <c r="G126" s="5"/>
      <c r="H126" s="5"/>
      <c r="I126" s="5"/>
      <c r="J126" s="5"/>
      <c r="K126" s="5"/>
      <c r="L126" s="5"/>
      <c r="M126" s="5"/>
      <c r="N126" s="5"/>
      <c r="O126" s="32"/>
      <c r="P126" s="32"/>
      <c r="Q126" s="32"/>
      <c r="R126" s="32"/>
      <c r="S126" s="32"/>
      <c r="T126" s="5"/>
    </row>
    <row r="127" spans="1:20" x14ac:dyDescent="0.25">
      <c r="A127" s="141"/>
      <c r="B127" s="5"/>
      <c r="C127" s="5"/>
      <c r="D127" s="5"/>
      <c r="E127" s="5"/>
      <c r="F127" s="5"/>
      <c r="G127" s="5"/>
      <c r="H127" s="5"/>
      <c r="I127" s="5"/>
      <c r="J127" s="5"/>
      <c r="K127" s="5"/>
      <c r="L127" s="5"/>
      <c r="M127" s="5"/>
      <c r="N127" s="5"/>
      <c r="O127" s="32"/>
      <c r="P127" s="32"/>
      <c r="Q127" s="32"/>
      <c r="R127" s="32"/>
      <c r="S127" s="32"/>
      <c r="T127" s="5"/>
    </row>
    <row r="128" spans="1:20" x14ac:dyDescent="0.25">
      <c r="A128" s="141"/>
      <c r="B128" s="5"/>
      <c r="C128" s="5"/>
      <c r="D128" s="5"/>
      <c r="E128" s="5"/>
      <c r="F128" s="5"/>
      <c r="G128" s="5"/>
      <c r="H128" s="5"/>
      <c r="I128" s="5"/>
      <c r="J128" s="5"/>
      <c r="K128" s="5"/>
      <c r="L128" s="5"/>
      <c r="M128" s="5"/>
      <c r="N128" s="5"/>
      <c r="O128" s="17"/>
      <c r="P128" s="17"/>
      <c r="Q128" s="17"/>
      <c r="R128" s="17"/>
      <c r="S128" s="17"/>
      <c r="T128" s="5"/>
    </row>
    <row r="129" spans="1:20" x14ac:dyDescent="0.25">
      <c r="A129" s="141"/>
      <c r="B129" s="5"/>
      <c r="C129" s="5"/>
      <c r="D129" s="5"/>
      <c r="E129" s="5"/>
      <c r="F129" s="5"/>
      <c r="G129" s="5"/>
      <c r="H129" s="5"/>
      <c r="I129" s="5"/>
      <c r="J129" s="5"/>
      <c r="K129" s="5"/>
      <c r="L129" s="5"/>
      <c r="M129" s="5"/>
      <c r="N129" s="5"/>
      <c r="O129" s="17"/>
      <c r="P129" s="17"/>
      <c r="Q129" s="17"/>
      <c r="R129" s="17"/>
      <c r="S129" s="17"/>
      <c r="T129" s="5"/>
    </row>
    <row r="130" spans="1:20" x14ac:dyDescent="0.25">
      <c r="A130" s="141"/>
      <c r="B130" s="5"/>
      <c r="C130" s="5"/>
      <c r="D130" s="5"/>
      <c r="E130" s="5"/>
      <c r="F130" s="5"/>
      <c r="G130" s="5"/>
      <c r="H130" s="5"/>
      <c r="I130" s="5"/>
      <c r="J130" s="5"/>
      <c r="K130" s="5"/>
      <c r="L130" s="5"/>
      <c r="M130" s="5"/>
      <c r="N130" s="5"/>
      <c r="O130" s="6"/>
      <c r="P130" s="6"/>
      <c r="Q130" s="6"/>
      <c r="R130" s="6"/>
      <c r="S130" s="6"/>
      <c r="T130" s="5"/>
    </row>
    <row r="131" spans="1:20" x14ac:dyDescent="0.25">
      <c r="A131" s="141"/>
      <c r="B131" s="5"/>
      <c r="C131" s="5"/>
      <c r="D131" s="5"/>
      <c r="E131" s="5"/>
      <c r="F131" s="5"/>
      <c r="G131" s="5"/>
      <c r="H131" s="5"/>
      <c r="I131" s="5"/>
      <c r="J131" s="5"/>
      <c r="K131" s="5"/>
      <c r="L131" s="5"/>
      <c r="M131" s="5"/>
      <c r="N131" s="5"/>
      <c r="O131" s="32"/>
      <c r="P131" s="32"/>
      <c r="Q131" s="32"/>
      <c r="R131" s="32"/>
      <c r="S131" s="32"/>
      <c r="T131" s="5"/>
    </row>
    <row r="132" spans="1:20" x14ac:dyDescent="0.25">
      <c r="A132" s="141"/>
      <c r="B132" s="5"/>
      <c r="C132" s="5"/>
      <c r="D132" s="5"/>
      <c r="E132" s="5"/>
      <c r="F132" s="5"/>
      <c r="G132" s="5"/>
      <c r="H132" s="5"/>
      <c r="I132" s="5"/>
      <c r="J132" s="5"/>
      <c r="K132" s="5"/>
      <c r="L132" s="5"/>
      <c r="M132" s="5"/>
      <c r="N132" s="5"/>
      <c r="O132" s="32"/>
      <c r="P132" s="32"/>
      <c r="Q132" s="32"/>
      <c r="R132" s="32"/>
      <c r="S132" s="32"/>
      <c r="T132" s="5"/>
    </row>
    <row r="133" spans="1:20" x14ac:dyDescent="0.25">
      <c r="A133" s="141"/>
      <c r="B133" s="5"/>
      <c r="C133" s="5"/>
      <c r="D133" s="5"/>
      <c r="E133" s="5"/>
      <c r="F133" s="5"/>
      <c r="G133" s="5"/>
      <c r="H133" s="5"/>
      <c r="I133" s="5"/>
      <c r="J133" s="5"/>
      <c r="K133" s="5"/>
      <c r="L133" s="5"/>
      <c r="M133" s="5"/>
      <c r="N133" s="5"/>
      <c r="O133" s="17"/>
      <c r="P133" s="17"/>
      <c r="Q133" s="17"/>
      <c r="R133" s="17"/>
      <c r="S133" s="17"/>
      <c r="T133" s="5"/>
    </row>
    <row r="134" spans="1:20" x14ac:dyDescent="0.25">
      <c r="A134" s="137"/>
      <c r="B134" s="22"/>
      <c r="C134" s="22"/>
      <c r="D134" s="22"/>
      <c r="E134" s="22"/>
      <c r="F134" s="22"/>
      <c r="G134" s="22"/>
      <c r="H134" s="22"/>
      <c r="I134" s="22"/>
      <c r="J134" s="22"/>
      <c r="K134" s="22"/>
      <c r="L134" s="22"/>
      <c r="M134" s="22"/>
      <c r="N134" s="22"/>
      <c r="O134" s="17"/>
      <c r="P134" s="17"/>
      <c r="Q134" s="17"/>
      <c r="R134" s="17"/>
      <c r="S134" s="17"/>
      <c r="T134" s="5"/>
    </row>
    <row r="135" spans="1:20" x14ac:dyDescent="0.25">
      <c r="A135" s="141"/>
      <c r="B135" s="5"/>
      <c r="C135" s="5"/>
      <c r="D135" s="5"/>
      <c r="E135" s="5"/>
      <c r="F135" s="5"/>
      <c r="G135" s="5"/>
      <c r="H135" s="5"/>
      <c r="I135" s="5"/>
      <c r="J135" s="5"/>
      <c r="K135" s="5"/>
      <c r="L135" s="5"/>
      <c r="M135" s="5"/>
      <c r="N135" s="5"/>
      <c r="O135" s="6"/>
      <c r="P135" s="6"/>
      <c r="Q135" s="6"/>
      <c r="R135" s="6"/>
      <c r="S135" s="6"/>
      <c r="T135" s="5"/>
    </row>
    <row r="136" spans="1:20" x14ac:dyDescent="0.25">
      <c r="A136" s="134"/>
      <c r="B136" s="21"/>
      <c r="C136" s="21"/>
      <c r="D136" s="21"/>
      <c r="E136" s="21"/>
      <c r="F136" s="21"/>
      <c r="G136" s="21"/>
      <c r="H136" s="21"/>
      <c r="I136" s="21"/>
      <c r="J136" s="21"/>
      <c r="K136" s="21"/>
      <c r="L136" s="21"/>
      <c r="M136" s="21"/>
      <c r="N136" s="21"/>
      <c r="O136" s="32"/>
      <c r="P136" s="32"/>
      <c r="Q136" s="32"/>
      <c r="R136" s="32"/>
      <c r="S136" s="32"/>
      <c r="T136" s="5"/>
    </row>
    <row r="137" spans="1:20" x14ac:dyDescent="0.25">
      <c r="A137" s="134"/>
      <c r="B137" s="21"/>
      <c r="C137" s="21"/>
      <c r="D137" s="21"/>
      <c r="E137" s="21"/>
      <c r="F137" s="21"/>
      <c r="G137" s="21"/>
      <c r="H137" s="21"/>
      <c r="I137" s="21"/>
      <c r="J137" s="21"/>
      <c r="K137" s="21"/>
      <c r="L137" s="21"/>
      <c r="M137" s="21"/>
      <c r="N137" s="21"/>
      <c r="O137" s="32"/>
      <c r="P137" s="32"/>
      <c r="Q137" s="32"/>
      <c r="R137" s="32"/>
      <c r="S137" s="32"/>
      <c r="T137" s="5"/>
    </row>
    <row r="138" spans="1:20" x14ac:dyDescent="0.25">
      <c r="A138" s="137"/>
      <c r="B138" s="22"/>
      <c r="C138" s="22"/>
      <c r="D138" s="22"/>
      <c r="E138" s="22"/>
      <c r="F138" s="22"/>
      <c r="G138" s="22"/>
      <c r="H138" s="22"/>
      <c r="I138" s="22"/>
      <c r="J138" s="22"/>
      <c r="K138" s="22"/>
      <c r="L138" s="22"/>
      <c r="M138" s="22"/>
      <c r="N138" s="22"/>
      <c r="O138" s="17"/>
      <c r="P138" s="17"/>
      <c r="Q138" s="17"/>
      <c r="R138" s="17"/>
      <c r="S138" s="17"/>
      <c r="T138" s="5"/>
    </row>
    <row r="139" spans="1:20" x14ac:dyDescent="0.25">
      <c r="A139" s="137"/>
      <c r="B139" s="22"/>
      <c r="C139" s="22"/>
      <c r="D139" s="22"/>
      <c r="E139" s="22"/>
      <c r="F139" s="22"/>
      <c r="G139" s="22"/>
      <c r="H139" s="22"/>
      <c r="I139" s="22"/>
      <c r="J139" s="22"/>
      <c r="K139" s="22"/>
      <c r="L139" s="22"/>
      <c r="M139" s="22"/>
      <c r="N139" s="22"/>
      <c r="O139" s="17"/>
      <c r="P139" s="17"/>
      <c r="Q139" s="17"/>
      <c r="R139" s="17"/>
      <c r="S139" s="17"/>
      <c r="T139" s="5"/>
    </row>
    <row r="140" spans="1:20" x14ac:dyDescent="0.25">
      <c r="A140" s="141"/>
      <c r="B140" s="5"/>
      <c r="C140" s="5"/>
      <c r="D140" s="5"/>
      <c r="E140" s="5"/>
      <c r="F140" s="5"/>
      <c r="G140" s="5"/>
      <c r="H140" s="5"/>
      <c r="I140" s="5"/>
      <c r="J140" s="5"/>
      <c r="K140" s="5"/>
      <c r="L140" s="5"/>
      <c r="M140" s="5"/>
      <c r="N140" s="5"/>
      <c r="O140" s="6"/>
      <c r="P140" s="6"/>
      <c r="Q140" s="6"/>
      <c r="R140" s="6"/>
      <c r="S140" s="6"/>
      <c r="T140" s="5"/>
    </row>
    <row r="141" spans="1:20" x14ac:dyDescent="0.25">
      <c r="A141" s="134"/>
      <c r="B141" s="21"/>
      <c r="C141" s="21"/>
      <c r="D141" s="21"/>
      <c r="E141" s="21"/>
      <c r="F141" s="21"/>
      <c r="G141" s="21"/>
      <c r="H141" s="21"/>
      <c r="I141" s="21"/>
      <c r="J141" s="21"/>
      <c r="K141" s="21"/>
      <c r="L141" s="21"/>
      <c r="M141" s="21"/>
      <c r="N141" s="21"/>
      <c r="O141" s="32"/>
      <c r="P141" s="32"/>
      <c r="Q141" s="32"/>
      <c r="R141" s="32"/>
      <c r="S141" s="32"/>
      <c r="T141" s="5"/>
    </row>
    <row r="142" spans="1:20" x14ac:dyDescent="0.25">
      <c r="A142" s="134"/>
      <c r="B142" s="21"/>
      <c r="C142" s="21"/>
      <c r="D142" s="21"/>
      <c r="E142" s="21"/>
      <c r="F142" s="21"/>
      <c r="G142" s="21"/>
      <c r="H142" s="21"/>
      <c r="I142" s="21"/>
      <c r="J142" s="21"/>
      <c r="K142" s="21"/>
      <c r="L142" s="21"/>
      <c r="M142" s="21"/>
      <c r="N142" s="21"/>
      <c r="O142" s="32"/>
      <c r="P142" s="32"/>
      <c r="Q142" s="32"/>
      <c r="R142" s="32"/>
      <c r="S142" s="32"/>
      <c r="T142" s="5"/>
    </row>
    <row r="143" spans="1:20" x14ac:dyDescent="0.25">
      <c r="A143" s="137"/>
      <c r="B143" s="22"/>
      <c r="C143" s="22"/>
      <c r="D143" s="22"/>
      <c r="E143" s="22"/>
      <c r="F143" s="22"/>
      <c r="G143" s="22"/>
      <c r="H143" s="22"/>
      <c r="I143" s="22"/>
      <c r="J143" s="22"/>
      <c r="K143" s="22"/>
      <c r="L143" s="22"/>
      <c r="M143" s="22"/>
      <c r="N143" s="22"/>
      <c r="O143" s="17"/>
      <c r="P143" s="17"/>
      <c r="Q143" s="17"/>
      <c r="R143" s="17"/>
      <c r="S143" s="17"/>
      <c r="T143" s="5"/>
    </row>
    <row r="144" spans="1:20" x14ac:dyDescent="0.25">
      <c r="A144" s="137"/>
      <c r="B144" s="22"/>
      <c r="C144" s="22"/>
      <c r="D144" s="22"/>
      <c r="E144" s="22"/>
      <c r="F144" s="22"/>
      <c r="G144" s="22"/>
      <c r="H144" s="22"/>
      <c r="I144" s="22"/>
      <c r="J144" s="22"/>
      <c r="K144" s="22"/>
      <c r="L144" s="22"/>
      <c r="M144" s="22"/>
      <c r="N144" s="22"/>
      <c r="O144" s="17"/>
      <c r="P144" s="17"/>
      <c r="Q144" s="17"/>
      <c r="R144" s="17"/>
      <c r="S144" s="17"/>
      <c r="T144" s="5"/>
    </row>
    <row r="145" spans="1:20" x14ac:dyDescent="0.25">
      <c r="A145" s="141"/>
      <c r="B145" s="5"/>
      <c r="C145" s="5"/>
      <c r="D145" s="5"/>
      <c r="E145" s="5"/>
      <c r="F145" s="5"/>
      <c r="G145" s="5"/>
      <c r="H145" s="5"/>
      <c r="I145" s="5"/>
      <c r="J145" s="5"/>
      <c r="K145" s="5"/>
      <c r="L145" s="5"/>
      <c r="M145" s="5"/>
      <c r="N145" s="5"/>
      <c r="O145" s="6"/>
      <c r="P145" s="6"/>
      <c r="Q145" s="6"/>
      <c r="R145" s="6"/>
      <c r="S145" s="6"/>
      <c r="T145" s="5"/>
    </row>
    <row r="146" spans="1:20" x14ac:dyDescent="0.25">
      <c r="A146" s="134"/>
      <c r="B146" s="21"/>
      <c r="C146" s="21"/>
      <c r="D146" s="21"/>
      <c r="E146" s="21"/>
      <c r="F146" s="21"/>
      <c r="G146" s="21"/>
      <c r="H146" s="21"/>
      <c r="I146" s="21"/>
      <c r="J146" s="21"/>
      <c r="K146" s="21"/>
      <c r="L146" s="21"/>
      <c r="M146" s="21"/>
      <c r="N146" s="21"/>
      <c r="O146" s="32"/>
      <c r="P146" s="32"/>
      <c r="Q146" s="32"/>
      <c r="R146" s="32"/>
      <c r="S146" s="32"/>
      <c r="T146" s="5"/>
    </row>
    <row r="147" spans="1:20" x14ac:dyDescent="0.25">
      <c r="A147" s="134"/>
      <c r="B147" s="21"/>
      <c r="C147" s="21"/>
      <c r="D147" s="21"/>
      <c r="E147" s="21"/>
      <c r="F147" s="21"/>
      <c r="G147" s="21"/>
      <c r="H147" s="21"/>
      <c r="I147" s="21"/>
      <c r="J147" s="21"/>
      <c r="K147" s="21"/>
      <c r="L147" s="21"/>
      <c r="M147" s="21"/>
      <c r="N147" s="21"/>
      <c r="O147" s="32"/>
      <c r="P147" s="32"/>
      <c r="Q147" s="32"/>
      <c r="R147" s="32"/>
      <c r="S147" s="32"/>
      <c r="T147" s="5"/>
    </row>
    <row r="148" spans="1:20" x14ac:dyDescent="0.25">
      <c r="A148" s="137"/>
      <c r="B148" s="22"/>
      <c r="C148" s="22"/>
      <c r="D148" s="22"/>
      <c r="E148" s="22"/>
      <c r="F148" s="22"/>
      <c r="G148" s="22"/>
      <c r="H148" s="22"/>
      <c r="I148" s="22"/>
      <c r="J148" s="22"/>
      <c r="K148" s="22"/>
      <c r="L148" s="22"/>
      <c r="M148" s="22"/>
      <c r="N148" s="22"/>
      <c r="O148" s="17"/>
      <c r="P148" s="17"/>
      <c r="Q148" s="17"/>
      <c r="R148" s="17"/>
      <c r="S148" s="17"/>
      <c r="T148" s="5"/>
    </row>
    <row r="149" spans="1:20" x14ac:dyDescent="0.25">
      <c r="A149" s="137"/>
      <c r="B149" s="22"/>
      <c r="C149" s="22"/>
      <c r="D149" s="22"/>
      <c r="E149" s="22"/>
      <c r="F149" s="22"/>
      <c r="G149" s="22"/>
      <c r="H149" s="22"/>
      <c r="I149" s="22"/>
      <c r="J149" s="22"/>
      <c r="K149" s="22"/>
      <c r="L149" s="22"/>
      <c r="M149" s="22"/>
      <c r="N149" s="22"/>
      <c r="O149" s="17"/>
      <c r="P149" s="17"/>
      <c r="Q149" s="17"/>
      <c r="R149" s="17"/>
      <c r="S149" s="17"/>
      <c r="T149" s="5"/>
    </row>
    <row r="150" spans="1:20" x14ac:dyDescent="0.25">
      <c r="A150" s="141"/>
      <c r="B150" s="5"/>
      <c r="C150" s="5"/>
      <c r="D150" s="5"/>
      <c r="E150" s="5"/>
      <c r="F150" s="5"/>
      <c r="G150" s="5"/>
      <c r="H150" s="5"/>
      <c r="I150" s="5"/>
      <c r="J150" s="5"/>
      <c r="K150" s="5"/>
      <c r="L150" s="5"/>
      <c r="M150" s="5"/>
      <c r="N150" s="5"/>
      <c r="O150" s="6"/>
      <c r="P150" s="6"/>
      <c r="Q150" s="6"/>
      <c r="R150" s="6"/>
      <c r="S150" s="6"/>
      <c r="T150" s="5"/>
    </row>
    <row r="151" spans="1:20" x14ac:dyDescent="0.25">
      <c r="A151" s="134"/>
      <c r="B151" s="21"/>
      <c r="C151" s="21"/>
      <c r="D151" s="21"/>
      <c r="E151" s="21"/>
      <c r="F151" s="21"/>
      <c r="G151" s="21"/>
      <c r="H151" s="21"/>
      <c r="I151" s="21"/>
      <c r="J151" s="21"/>
      <c r="K151" s="21"/>
      <c r="L151" s="21"/>
      <c r="M151" s="21"/>
      <c r="N151" s="21"/>
      <c r="O151" s="32"/>
      <c r="P151" s="32"/>
      <c r="Q151" s="32"/>
      <c r="R151" s="32"/>
      <c r="S151" s="32"/>
      <c r="T151" s="5"/>
    </row>
    <row r="152" spans="1:20" x14ac:dyDescent="0.25">
      <c r="A152" s="134"/>
      <c r="B152" s="21"/>
      <c r="C152" s="21"/>
      <c r="D152" s="21"/>
      <c r="E152" s="21"/>
      <c r="F152" s="21"/>
      <c r="G152" s="21"/>
      <c r="H152" s="21"/>
      <c r="I152" s="21"/>
      <c r="J152" s="21"/>
      <c r="K152" s="21"/>
      <c r="L152" s="21"/>
      <c r="M152" s="21"/>
      <c r="N152" s="21"/>
      <c r="O152" s="32"/>
      <c r="P152" s="32"/>
      <c r="Q152" s="32"/>
      <c r="R152" s="32"/>
      <c r="S152" s="32"/>
      <c r="T152" s="5"/>
    </row>
    <row r="153" spans="1:20" x14ac:dyDescent="0.25">
      <c r="A153" s="137"/>
      <c r="B153" s="22"/>
      <c r="C153" s="22"/>
      <c r="D153" s="22"/>
      <c r="E153" s="22"/>
      <c r="F153" s="22"/>
      <c r="G153" s="22"/>
      <c r="H153" s="22"/>
      <c r="I153" s="22"/>
      <c r="J153" s="22"/>
      <c r="K153" s="22"/>
      <c r="L153" s="22"/>
      <c r="M153" s="22"/>
      <c r="N153" s="22"/>
      <c r="O153" s="17"/>
      <c r="P153" s="17"/>
      <c r="Q153" s="17"/>
      <c r="R153" s="17"/>
      <c r="S153" s="17"/>
      <c r="T153" s="5"/>
    </row>
    <row r="154" spans="1:20" x14ac:dyDescent="0.25">
      <c r="A154" s="137"/>
      <c r="B154" s="22"/>
      <c r="C154" s="22"/>
      <c r="D154" s="22"/>
      <c r="E154" s="22"/>
      <c r="F154" s="22"/>
      <c r="G154" s="22"/>
      <c r="H154" s="22"/>
      <c r="I154" s="22"/>
      <c r="J154" s="22"/>
      <c r="K154" s="22"/>
      <c r="L154" s="22"/>
      <c r="M154" s="22"/>
      <c r="N154" s="22"/>
      <c r="O154" s="17"/>
      <c r="P154" s="17"/>
      <c r="Q154" s="17"/>
      <c r="R154" s="17"/>
      <c r="S154" s="17"/>
      <c r="T154" s="5"/>
    </row>
    <row r="155" spans="1:20" x14ac:dyDescent="0.25">
      <c r="A155" s="141"/>
      <c r="B155" s="5"/>
      <c r="C155" s="5"/>
      <c r="D155" s="5"/>
      <c r="E155" s="5"/>
      <c r="F155" s="5"/>
      <c r="G155" s="5"/>
      <c r="H155" s="5"/>
      <c r="I155" s="5"/>
      <c r="J155" s="5"/>
      <c r="K155" s="5"/>
      <c r="L155" s="5"/>
      <c r="M155" s="5"/>
      <c r="N155" s="5"/>
      <c r="O155" s="6"/>
      <c r="P155" s="6"/>
      <c r="Q155" s="6"/>
      <c r="R155" s="6"/>
      <c r="S155" s="6"/>
      <c r="T155" s="5"/>
    </row>
    <row r="156" spans="1:20" x14ac:dyDescent="0.25">
      <c r="A156" s="134"/>
      <c r="B156" s="21"/>
      <c r="C156" s="21"/>
      <c r="D156" s="21"/>
      <c r="E156" s="21"/>
      <c r="F156" s="21"/>
      <c r="G156" s="21"/>
      <c r="H156" s="21"/>
      <c r="I156" s="21"/>
      <c r="J156" s="21"/>
      <c r="K156" s="21"/>
      <c r="L156" s="21"/>
      <c r="M156" s="21"/>
      <c r="N156" s="21"/>
      <c r="O156" s="32"/>
      <c r="P156" s="32"/>
      <c r="Q156" s="32"/>
      <c r="R156" s="32"/>
      <c r="S156" s="32"/>
      <c r="T156" s="5"/>
    </row>
    <row r="157" spans="1:20" x14ac:dyDescent="0.25">
      <c r="A157" s="134"/>
      <c r="B157" s="21"/>
      <c r="C157" s="21"/>
      <c r="D157" s="21"/>
      <c r="E157" s="21"/>
      <c r="F157" s="21"/>
      <c r="G157" s="21"/>
      <c r="H157" s="21"/>
      <c r="I157" s="21"/>
      <c r="J157" s="21"/>
      <c r="K157" s="21"/>
      <c r="L157" s="21"/>
      <c r="M157" s="21"/>
      <c r="N157" s="21"/>
      <c r="O157" s="32"/>
      <c r="P157" s="32"/>
      <c r="Q157" s="32"/>
      <c r="R157" s="32"/>
      <c r="S157" s="32"/>
      <c r="T157" s="5"/>
    </row>
    <row r="158" spans="1:20" x14ac:dyDescent="0.25">
      <c r="A158" s="137"/>
      <c r="B158" s="22"/>
      <c r="C158" s="22"/>
      <c r="D158" s="22"/>
      <c r="E158" s="22"/>
      <c r="F158" s="22"/>
      <c r="G158" s="22"/>
      <c r="H158" s="22"/>
      <c r="I158" s="22"/>
      <c r="J158" s="22"/>
      <c r="K158" s="22"/>
      <c r="L158" s="22"/>
      <c r="M158" s="22"/>
      <c r="N158" s="22"/>
      <c r="O158" s="17"/>
      <c r="P158" s="17"/>
      <c r="Q158" s="17"/>
      <c r="R158" s="17"/>
      <c r="S158" s="17"/>
      <c r="T158" s="5"/>
    </row>
    <row r="159" spans="1:20" x14ac:dyDescent="0.25">
      <c r="A159" s="137"/>
      <c r="B159" s="22"/>
      <c r="C159" s="22"/>
      <c r="D159" s="22"/>
      <c r="E159" s="22"/>
      <c r="F159" s="22"/>
      <c r="G159" s="22"/>
      <c r="H159" s="22"/>
      <c r="I159" s="22"/>
      <c r="J159" s="22"/>
      <c r="K159" s="22"/>
      <c r="L159" s="22"/>
      <c r="M159" s="22"/>
      <c r="N159" s="22"/>
      <c r="O159" s="17"/>
      <c r="P159" s="17"/>
      <c r="Q159" s="17"/>
      <c r="R159" s="17"/>
      <c r="S159" s="17"/>
      <c r="T159" s="5"/>
    </row>
    <row r="160" spans="1:20" x14ac:dyDescent="0.25">
      <c r="A160" s="141"/>
      <c r="B160" s="5"/>
      <c r="C160" s="5"/>
      <c r="D160" s="5"/>
      <c r="E160" s="5"/>
      <c r="F160" s="5"/>
      <c r="G160" s="5"/>
      <c r="H160" s="5"/>
      <c r="I160" s="5"/>
      <c r="J160" s="5"/>
      <c r="K160" s="5"/>
      <c r="L160" s="5"/>
      <c r="M160" s="5"/>
      <c r="N160" s="5"/>
      <c r="O160" s="6"/>
      <c r="P160" s="6"/>
      <c r="Q160" s="6"/>
      <c r="R160" s="6"/>
      <c r="S160" s="6"/>
      <c r="T160" s="5"/>
    </row>
    <row r="161" spans="1:20" x14ac:dyDescent="0.25">
      <c r="A161" s="134"/>
      <c r="B161" s="21"/>
      <c r="C161" s="21"/>
      <c r="D161" s="21"/>
      <c r="E161" s="21"/>
      <c r="F161" s="21"/>
      <c r="G161" s="21"/>
      <c r="H161" s="21"/>
      <c r="I161" s="21"/>
      <c r="J161" s="21"/>
      <c r="K161" s="21"/>
      <c r="L161" s="21"/>
      <c r="M161" s="21"/>
      <c r="N161" s="21"/>
      <c r="O161" s="32"/>
      <c r="P161" s="32"/>
      <c r="Q161" s="32"/>
      <c r="R161" s="32"/>
      <c r="S161" s="32"/>
      <c r="T161" s="5"/>
    </row>
    <row r="162" spans="1:20" x14ac:dyDescent="0.25">
      <c r="A162" s="134"/>
      <c r="B162" s="21"/>
      <c r="C162" s="21"/>
      <c r="D162" s="21"/>
      <c r="E162" s="21"/>
      <c r="F162" s="21"/>
      <c r="G162" s="21"/>
      <c r="H162" s="21"/>
      <c r="I162" s="21"/>
      <c r="J162" s="21"/>
      <c r="K162" s="21"/>
      <c r="L162" s="21"/>
      <c r="M162" s="21"/>
      <c r="N162" s="21"/>
      <c r="O162" s="32"/>
      <c r="P162" s="32"/>
      <c r="Q162" s="32"/>
      <c r="R162" s="32"/>
      <c r="S162" s="32"/>
      <c r="T162" s="5"/>
    </row>
    <row r="163" spans="1:20" x14ac:dyDescent="0.25">
      <c r="A163" s="137"/>
      <c r="B163" s="22"/>
      <c r="C163" s="22"/>
      <c r="D163" s="22"/>
      <c r="E163" s="22"/>
      <c r="F163" s="22"/>
      <c r="G163" s="22"/>
      <c r="H163" s="22"/>
      <c r="I163" s="22"/>
      <c r="J163" s="22"/>
      <c r="K163" s="22"/>
      <c r="L163" s="22"/>
      <c r="M163" s="22"/>
      <c r="N163" s="22"/>
      <c r="O163" s="17"/>
      <c r="P163" s="17"/>
      <c r="Q163" s="17"/>
      <c r="R163" s="17"/>
      <c r="S163" s="17"/>
      <c r="T163" s="5"/>
    </row>
    <row r="164" spans="1:20" x14ac:dyDescent="0.25">
      <c r="A164" s="137"/>
      <c r="B164" s="22"/>
      <c r="C164" s="22"/>
      <c r="D164" s="22"/>
      <c r="E164" s="22"/>
      <c r="F164" s="22"/>
      <c r="G164" s="22"/>
      <c r="H164" s="22"/>
      <c r="I164" s="22"/>
      <c r="J164" s="22"/>
      <c r="K164" s="22"/>
      <c r="L164" s="22"/>
      <c r="M164" s="22"/>
      <c r="N164" s="22"/>
      <c r="O164" s="17"/>
      <c r="P164" s="17"/>
      <c r="Q164" s="17"/>
      <c r="R164" s="17"/>
      <c r="S164" s="17"/>
      <c r="T164" s="5"/>
    </row>
    <row r="165" spans="1:20" x14ac:dyDescent="0.25">
      <c r="A165" s="141"/>
      <c r="B165" s="5"/>
      <c r="C165" s="5"/>
      <c r="D165" s="5"/>
      <c r="E165" s="5"/>
      <c r="F165" s="5"/>
      <c r="G165" s="5"/>
      <c r="H165" s="5"/>
      <c r="I165" s="5"/>
      <c r="J165" s="5"/>
      <c r="K165" s="5"/>
      <c r="L165" s="5"/>
      <c r="M165" s="5"/>
      <c r="N165" s="5"/>
      <c r="O165" s="6"/>
      <c r="P165" s="6"/>
      <c r="Q165" s="6"/>
      <c r="R165" s="6"/>
      <c r="S165" s="6"/>
      <c r="T165" s="5"/>
    </row>
    <row r="166" spans="1:20" x14ac:dyDescent="0.25">
      <c r="A166" s="134"/>
      <c r="B166" s="21"/>
      <c r="C166" s="21"/>
      <c r="D166" s="21"/>
      <c r="E166" s="21"/>
      <c r="F166" s="21"/>
      <c r="G166" s="21"/>
      <c r="H166" s="21"/>
      <c r="I166" s="21"/>
      <c r="J166" s="21"/>
      <c r="K166" s="21"/>
      <c r="L166" s="21"/>
      <c r="M166" s="21"/>
      <c r="N166" s="21"/>
      <c r="O166" s="32"/>
      <c r="P166" s="32"/>
      <c r="Q166" s="32"/>
      <c r="R166" s="32"/>
      <c r="S166" s="32"/>
      <c r="T166" s="5"/>
    </row>
    <row r="167" spans="1:20" x14ac:dyDescent="0.25">
      <c r="A167" s="134"/>
      <c r="B167" s="21"/>
      <c r="C167" s="21"/>
      <c r="D167" s="21"/>
      <c r="E167" s="21"/>
      <c r="F167" s="21"/>
      <c r="G167" s="21"/>
      <c r="H167" s="21"/>
      <c r="I167" s="21"/>
      <c r="J167" s="21"/>
      <c r="K167" s="21"/>
      <c r="L167" s="21"/>
      <c r="M167" s="21"/>
      <c r="N167" s="21"/>
      <c r="O167" s="32"/>
      <c r="P167" s="32"/>
      <c r="Q167" s="32"/>
      <c r="R167" s="32"/>
      <c r="S167" s="32"/>
      <c r="T167" s="5"/>
    </row>
    <row r="168" spans="1:20" x14ac:dyDescent="0.25">
      <c r="A168" s="137"/>
      <c r="B168" s="22"/>
      <c r="C168" s="22"/>
      <c r="D168" s="22"/>
      <c r="E168" s="22"/>
      <c r="F168" s="22"/>
      <c r="G168" s="22"/>
      <c r="H168" s="22"/>
      <c r="I168" s="22"/>
      <c r="J168" s="22"/>
      <c r="K168" s="22"/>
      <c r="L168" s="22"/>
      <c r="M168" s="22"/>
      <c r="N168" s="22"/>
      <c r="O168" s="17"/>
      <c r="P168" s="17"/>
      <c r="Q168" s="17"/>
      <c r="R168" s="17"/>
      <c r="S168" s="17"/>
      <c r="T168" s="5"/>
    </row>
    <row r="169" spans="1:20" x14ac:dyDescent="0.25">
      <c r="A169" s="137"/>
      <c r="B169" s="22"/>
      <c r="C169" s="22"/>
      <c r="D169" s="22"/>
      <c r="E169" s="22"/>
      <c r="F169" s="22"/>
      <c r="G169" s="22"/>
      <c r="H169" s="22"/>
      <c r="I169" s="22"/>
      <c r="J169" s="22"/>
      <c r="K169" s="22"/>
      <c r="L169" s="22"/>
      <c r="M169" s="22"/>
      <c r="N169" s="22"/>
      <c r="O169" s="17"/>
      <c r="P169" s="17"/>
      <c r="Q169" s="17"/>
      <c r="R169" s="17"/>
      <c r="S169" s="17"/>
      <c r="T169" s="5"/>
    </row>
    <row r="170" spans="1:20" x14ac:dyDescent="0.25">
      <c r="A170" s="141"/>
      <c r="B170" s="5"/>
      <c r="C170" s="5"/>
      <c r="D170" s="5"/>
      <c r="E170" s="5"/>
      <c r="F170" s="5"/>
      <c r="G170" s="5"/>
      <c r="H170" s="5"/>
      <c r="I170" s="5"/>
      <c r="J170" s="5"/>
      <c r="K170" s="5"/>
      <c r="L170" s="5"/>
      <c r="M170" s="5"/>
      <c r="N170" s="5"/>
      <c r="O170" s="6"/>
      <c r="P170" s="6"/>
      <c r="Q170" s="6"/>
      <c r="R170" s="6"/>
      <c r="S170" s="6"/>
      <c r="T170" s="5"/>
    </row>
    <row r="171" spans="1:20" x14ac:dyDescent="0.25">
      <c r="A171" s="134"/>
      <c r="B171" s="21"/>
      <c r="C171" s="21"/>
      <c r="D171" s="21"/>
      <c r="E171" s="21"/>
      <c r="F171" s="21"/>
      <c r="G171" s="21"/>
      <c r="H171" s="21"/>
      <c r="I171" s="21"/>
      <c r="J171" s="21"/>
      <c r="K171" s="21"/>
      <c r="L171" s="21"/>
      <c r="M171" s="21"/>
      <c r="N171" s="21"/>
      <c r="O171" s="32"/>
      <c r="P171" s="32"/>
      <c r="Q171" s="32"/>
      <c r="R171" s="32"/>
      <c r="S171" s="32"/>
      <c r="T171" s="5"/>
    </row>
    <row r="172" spans="1:20" x14ac:dyDescent="0.25">
      <c r="A172" s="134"/>
      <c r="B172" s="21"/>
      <c r="C172" s="21"/>
      <c r="D172" s="21"/>
      <c r="E172" s="21"/>
      <c r="F172" s="21"/>
      <c r="G172" s="21"/>
      <c r="H172" s="21"/>
      <c r="I172" s="21"/>
      <c r="J172" s="21"/>
      <c r="K172" s="21"/>
      <c r="L172" s="21"/>
      <c r="M172" s="21"/>
      <c r="N172" s="21"/>
      <c r="O172" s="32"/>
      <c r="P172" s="32"/>
      <c r="Q172" s="32"/>
      <c r="R172" s="32"/>
      <c r="S172" s="32"/>
      <c r="T172" s="5"/>
    </row>
    <row r="173" spans="1:20" x14ac:dyDescent="0.25">
      <c r="A173" s="137"/>
      <c r="B173" s="22"/>
      <c r="C173" s="22"/>
      <c r="D173" s="22"/>
      <c r="E173" s="22"/>
      <c r="F173" s="22"/>
      <c r="G173" s="22"/>
      <c r="H173" s="22"/>
      <c r="I173" s="22"/>
      <c r="J173" s="22"/>
      <c r="K173" s="22"/>
      <c r="L173" s="22"/>
      <c r="M173" s="22"/>
      <c r="N173" s="22"/>
      <c r="O173" s="17"/>
      <c r="P173" s="17"/>
      <c r="Q173" s="17"/>
      <c r="R173" s="17"/>
      <c r="S173" s="17"/>
      <c r="T173" s="5"/>
    </row>
    <row r="174" spans="1:20" x14ac:dyDescent="0.25">
      <c r="A174" s="137"/>
      <c r="B174" s="22"/>
      <c r="C174" s="22"/>
      <c r="D174" s="22"/>
      <c r="E174" s="22"/>
      <c r="F174" s="22"/>
      <c r="G174" s="22"/>
      <c r="H174" s="22"/>
      <c r="I174" s="22"/>
      <c r="J174" s="22"/>
      <c r="K174" s="22"/>
      <c r="L174" s="22"/>
      <c r="M174" s="22"/>
      <c r="N174" s="22"/>
      <c r="O174" s="17"/>
      <c r="P174" s="17"/>
      <c r="Q174" s="17"/>
      <c r="R174" s="17"/>
      <c r="S174" s="17"/>
      <c r="T174" s="5"/>
    </row>
    <row r="175" spans="1:20" x14ac:dyDescent="0.25">
      <c r="A175" s="141"/>
      <c r="B175" s="5"/>
      <c r="C175" s="5"/>
      <c r="D175" s="5"/>
      <c r="E175" s="5"/>
      <c r="F175" s="5"/>
      <c r="G175" s="5"/>
      <c r="H175" s="5"/>
      <c r="I175" s="5"/>
      <c r="J175" s="5"/>
      <c r="K175" s="5"/>
      <c r="L175" s="5"/>
      <c r="M175" s="5"/>
      <c r="N175" s="5"/>
      <c r="O175" s="6"/>
      <c r="P175" s="6"/>
      <c r="Q175" s="6"/>
      <c r="R175" s="6"/>
      <c r="S175" s="6"/>
      <c r="T175" s="5"/>
    </row>
    <row r="176" spans="1:20" x14ac:dyDescent="0.25">
      <c r="A176" s="134"/>
      <c r="B176" s="21"/>
      <c r="C176" s="21"/>
      <c r="D176" s="21"/>
      <c r="E176" s="21"/>
      <c r="F176" s="21"/>
      <c r="G176" s="21"/>
      <c r="H176" s="21"/>
      <c r="I176" s="21"/>
      <c r="J176" s="21"/>
      <c r="K176" s="21"/>
      <c r="L176" s="21"/>
      <c r="M176" s="21"/>
      <c r="N176" s="21"/>
      <c r="O176" s="32"/>
      <c r="P176" s="32"/>
      <c r="Q176" s="32"/>
      <c r="R176" s="32"/>
      <c r="S176" s="32"/>
      <c r="T176" s="5"/>
    </row>
    <row r="177" spans="1:20" x14ac:dyDescent="0.25">
      <c r="A177" s="134"/>
      <c r="B177" s="21"/>
      <c r="C177" s="21"/>
      <c r="D177" s="21"/>
      <c r="E177" s="21"/>
      <c r="F177" s="21"/>
      <c r="G177" s="21"/>
      <c r="H177" s="21"/>
      <c r="I177" s="21"/>
      <c r="J177" s="21"/>
      <c r="K177" s="21"/>
      <c r="L177" s="21"/>
      <c r="M177" s="21"/>
      <c r="N177" s="21"/>
      <c r="O177" s="32"/>
      <c r="P177" s="32"/>
      <c r="Q177" s="32"/>
      <c r="R177" s="32"/>
      <c r="S177" s="32"/>
      <c r="T177" s="5"/>
    </row>
    <row r="178" spans="1:20" x14ac:dyDescent="0.25">
      <c r="A178" s="137"/>
      <c r="B178" s="22"/>
      <c r="C178" s="22"/>
      <c r="D178" s="22"/>
      <c r="E178" s="22"/>
      <c r="F178" s="22"/>
      <c r="G178" s="22"/>
      <c r="H178" s="22"/>
      <c r="I178" s="22"/>
      <c r="J178" s="22"/>
      <c r="K178" s="22"/>
      <c r="L178" s="22"/>
      <c r="M178" s="22"/>
      <c r="N178" s="22"/>
      <c r="O178" s="17"/>
      <c r="P178" s="17"/>
      <c r="Q178" s="17"/>
      <c r="R178" s="17"/>
      <c r="S178" s="17"/>
      <c r="T178" s="5"/>
    </row>
    <row r="179" spans="1:20" x14ac:dyDescent="0.25">
      <c r="A179" s="137"/>
      <c r="B179" s="22"/>
      <c r="C179" s="22"/>
      <c r="D179" s="22"/>
      <c r="E179" s="22"/>
      <c r="F179" s="22"/>
      <c r="G179" s="22"/>
      <c r="H179" s="22"/>
      <c r="I179" s="22"/>
      <c r="J179" s="22"/>
      <c r="K179" s="22"/>
      <c r="L179" s="22"/>
      <c r="M179" s="22"/>
      <c r="N179" s="22"/>
      <c r="O179" s="17"/>
      <c r="P179" s="17"/>
      <c r="Q179" s="17"/>
      <c r="R179" s="17"/>
      <c r="S179" s="17"/>
      <c r="T179" s="5"/>
    </row>
    <row r="180" spans="1:20" x14ac:dyDescent="0.25">
      <c r="A180" s="141"/>
      <c r="B180" s="5"/>
      <c r="C180" s="5"/>
      <c r="D180" s="5"/>
      <c r="E180" s="5"/>
      <c r="F180" s="5"/>
      <c r="G180" s="5"/>
      <c r="H180" s="5"/>
      <c r="I180" s="5"/>
      <c r="J180" s="5"/>
      <c r="K180" s="5"/>
      <c r="L180" s="5"/>
      <c r="M180" s="5"/>
      <c r="N180" s="5"/>
      <c r="O180" s="6"/>
      <c r="P180" s="6"/>
      <c r="Q180" s="6"/>
      <c r="R180" s="6"/>
      <c r="S180" s="6"/>
      <c r="T180" s="5"/>
    </row>
    <row r="181" spans="1:20" x14ac:dyDescent="0.25">
      <c r="A181" s="134"/>
      <c r="B181" s="21"/>
      <c r="C181" s="21"/>
      <c r="D181" s="21"/>
      <c r="E181" s="21"/>
      <c r="F181" s="21"/>
      <c r="G181" s="21"/>
      <c r="H181" s="21"/>
      <c r="I181" s="21"/>
      <c r="J181" s="21"/>
      <c r="K181" s="21"/>
      <c r="L181" s="21"/>
      <c r="M181" s="21"/>
      <c r="N181" s="21"/>
      <c r="O181" s="32"/>
      <c r="P181" s="32"/>
      <c r="Q181" s="32"/>
      <c r="R181" s="32"/>
      <c r="S181" s="32"/>
      <c r="T181" s="5"/>
    </row>
    <row r="182" spans="1:20" x14ac:dyDescent="0.25">
      <c r="A182" s="134"/>
      <c r="B182" s="21"/>
      <c r="C182" s="21"/>
      <c r="D182" s="21"/>
      <c r="E182" s="21"/>
      <c r="F182" s="21"/>
      <c r="G182" s="21"/>
      <c r="H182" s="21"/>
      <c r="I182" s="21"/>
      <c r="J182" s="21"/>
      <c r="K182" s="21"/>
      <c r="L182" s="21"/>
      <c r="M182" s="21"/>
      <c r="N182" s="21"/>
      <c r="O182" s="32"/>
      <c r="P182" s="32"/>
      <c r="Q182" s="32"/>
      <c r="R182" s="32"/>
      <c r="S182" s="32"/>
      <c r="T182" s="5"/>
    </row>
    <row r="183" spans="1:20" x14ac:dyDescent="0.25">
      <c r="A183" s="137"/>
      <c r="B183" s="22"/>
      <c r="C183" s="22"/>
      <c r="D183" s="22"/>
      <c r="E183" s="22"/>
      <c r="F183" s="22"/>
      <c r="G183" s="22"/>
      <c r="H183" s="22"/>
      <c r="I183" s="22"/>
      <c r="J183" s="22"/>
      <c r="K183" s="22"/>
      <c r="L183" s="22"/>
      <c r="M183" s="22"/>
      <c r="N183" s="22"/>
      <c r="O183" s="17"/>
      <c r="P183" s="17"/>
      <c r="Q183" s="17"/>
      <c r="R183" s="17"/>
      <c r="S183" s="17"/>
      <c r="T183" s="5"/>
    </row>
    <row r="184" spans="1:20" x14ac:dyDescent="0.25">
      <c r="A184" s="137"/>
      <c r="B184" s="22"/>
      <c r="C184" s="22"/>
      <c r="D184" s="22"/>
      <c r="E184" s="22"/>
      <c r="F184" s="22"/>
      <c r="G184" s="22"/>
      <c r="H184" s="22"/>
      <c r="I184" s="22"/>
      <c r="J184" s="22"/>
      <c r="K184" s="22"/>
      <c r="L184" s="22"/>
      <c r="M184" s="22"/>
      <c r="N184" s="22"/>
      <c r="O184" s="17"/>
      <c r="P184" s="17"/>
      <c r="Q184" s="17"/>
      <c r="R184" s="17"/>
      <c r="S184" s="17"/>
      <c r="T184" s="5"/>
    </row>
    <row r="185" spans="1:20" x14ac:dyDescent="0.25">
      <c r="A185" s="141"/>
      <c r="B185" s="5"/>
      <c r="C185" s="5"/>
      <c r="D185" s="5"/>
      <c r="E185" s="5"/>
      <c r="F185" s="5"/>
      <c r="G185" s="5"/>
      <c r="H185" s="5"/>
      <c r="I185" s="5"/>
      <c r="J185" s="5"/>
      <c r="K185" s="5"/>
      <c r="L185" s="5"/>
      <c r="M185" s="5"/>
      <c r="N185" s="5"/>
      <c r="O185" s="6"/>
      <c r="P185" s="6"/>
      <c r="Q185" s="6"/>
      <c r="R185" s="6"/>
      <c r="S185" s="6"/>
      <c r="T185" s="5"/>
    </row>
    <row r="186" spans="1:20" x14ac:dyDescent="0.25">
      <c r="A186" s="134"/>
      <c r="B186" s="21"/>
      <c r="C186" s="21"/>
      <c r="D186" s="21"/>
      <c r="E186" s="21"/>
      <c r="F186" s="21"/>
      <c r="G186" s="21"/>
      <c r="H186" s="21"/>
      <c r="I186" s="21"/>
      <c r="J186" s="21"/>
      <c r="K186" s="21"/>
      <c r="L186" s="21"/>
      <c r="M186" s="21"/>
      <c r="N186" s="21"/>
      <c r="O186" s="32"/>
      <c r="P186" s="32"/>
      <c r="Q186" s="32"/>
      <c r="R186" s="32"/>
      <c r="S186" s="32"/>
      <c r="T186" s="5"/>
    </row>
    <row r="187" spans="1:20" x14ac:dyDescent="0.25">
      <c r="A187" s="134"/>
      <c r="B187" s="21"/>
      <c r="C187" s="21"/>
      <c r="D187" s="21"/>
      <c r="E187" s="21"/>
      <c r="F187" s="21"/>
      <c r="G187" s="21"/>
      <c r="H187" s="21"/>
      <c r="I187" s="21"/>
      <c r="J187" s="21"/>
      <c r="K187" s="21"/>
      <c r="L187" s="21"/>
      <c r="M187" s="21"/>
      <c r="N187" s="21"/>
      <c r="O187" s="32"/>
      <c r="P187" s="32"/>
      <c r="Q187" s="32"/>
      <c r="R187" s="32"/>
      <c r="S187" s="32"/>
      <c r="T187" s="5"/>
    </row>
    <row r="188" spans="1:20" x14ac:dyDescent="0.25">
      <c r="A188" s="137"/>
      <c r="B188" s="22"/>
      <c r="C188" s="22"/>
      <c r="D188" s="22"/>
      <c r="E188" s="22"/>
      <c r="F188" s="22"/>
      <c r="G188" s="22"/>
      <c r="H188" s="22"/>
      <c r="I188" s="22"/>
      <c r="J188" s="22"/>
      <c r="K188" s="22"/>
      <c r="L188" s="22"/>
      <c r="M188" s="22"/>
      <c r="N188" s="22"/>
      <c r="O188" s="17"/>
      <c r="P188" s="17"/>
      <c r="Q188" s="17"/>
      <c r="R188" s="17"/>
      <c r="S188" s="17"/>
      <c r="T188" s="5"/>
    </row>
    <row r="189" spans="1:20" x14ac:dyDescent="0.25">
      <c r="A189" s="137"/>
      <c r="B189" s="22"/>
      <c r="C189" s="22"/>
      <c r="D189" s="22"/>
      <c r="E189" s="22"/>
      <c r="F189" s="22"/>
      <c r="G189" s="22"/>
      <c r="H189" s="22"/>
      <c r="I189" s="22"/>
      <c r="J189" s="22"/>
      <c r="K189" s="22"/>
      <c r="L189" s="22"/>
      <c r="M189" s="22"/>
      <c r="N189" s="22"/>
      <c r="O189" s="17"/>
      <c r="P189" s="17"/>
      <c r="Q189" s="17"/>
      <c r="R189" s="17"/>
      <c r="S189" s="17"/>
      <c r="T189" s="5"/>
    </row>
    <row r="190" spans="1:20" x14ac:dyDescent="0.25">
      <c r="A190" s="141"/>
      <c r="B190" s="5"/>
      <c r="C190" s="5"/>
      <c r="D190" s="5"/>
      <c r="E190" s="5"/>
      <c r="F190" s="5"/>
      <c r="G190" s="5"/>
      <c r="H190" s="5"/>
      <c r="I190" s="5"/>
      <c r="J190" s="5"/>
      <c r="K190" s="5"/>
      <c r="L190" s="5"/>
      <c r="M190" s="5"/>
      <c r="N190" s="5"/>
      <c r="O190" s="6"/>
      <c r="P190" s="6"/>
      <c r="Q190" s="6"/>
      <c r="R190" s="6"/>
      <c r="S190" s="6"/>
      <c r="T190" s="5"/>
    </row>
    <row r="191" spans="1:20" x14ac:dyDescent="0.25">
      <c r="A191" s="134"/>
      <c r="B191" s="21"/>
      <c r="C191" s="21"/>
      <c r="D191" s="21"/>
      <c r="E191" s="21"/>
      <c r="F191" s="21"/>
      <c r="G191" s="21"/>
      <c r="H191" s="21"/>
      <c r="I191" s="21"/>
      <c r="J191" s="21"/>
      <c r="K191" s="21"/>
      <c r="L191" s="21"/>
      <c r="M191" s="21"/>
      <c r="N191" s="21"/>
      <c r="O191" s="32"/>
      <c r="P191" s="32"/>
      <c r="Q191" s="32"/>
      <c r="R191" s="32"/>
      <c r="S191" s="32"/>
      <c r="T191" s="5"/>
    </row>
    <row r="192" spans="1:20" x14ac:dyDescent="0.25">
      <c r="A192" s="134"/>
      <c r="B192" s="21"/>
      <c r="C192" s="21"/>
      <c r="D192" s="21"/>
      <c r="E192" s="21"/>
      <c r="F192" s="21"/>
      <c r="G192" s="21"/>
      <c r="H192" s="21"/>
      <c r="I192" s="21"/>
      <c r="J192" s="21"/>
      <c r="K192" s="21"/>
      <c r="L192" s="21"/>
      <c r="M192" s="21"/>
      <c r="N192" s="21"/>
      <c r="O192" s="32"/>
      <c r="P192" s="32"/>
      <c r="Q192" s="32"/>
      <c r="R192" s="32"/>
      <c r="S192" s="32"/>
      <c r="T192" s="5"/>
    </row>
    <row r="193" spans="1:20" x14ac:dyDescent="0.25">
      <c r="A193" s="137"/>
      <c r="B193" s="22"/>
      <c r="C193" s="22"/>
      <c r="D193" s="22"/>
      <c r="E193" s="22"/>
      <c r="F193" s="22"/>
      <c r="G193" s="22"/>
      <c r="H193" s="22"/>
      <c r="I193" s="22"/>
      <c r="J193" s="22"/>
      <c r="K193" s="22"/>
      <c r="L193" s="22"/>
      <c r="M193" s="22"/>
      <c r="N193" s="22"/>
      <c r="O193" s="17"/>
      <c r="P193" s="17"/>
      <c r="Q193" s="17"/>
      <c r="R193" s="17"/>
      <c r="S193" s="17"/>
      <c r="T193" s="5"/>
    </row>
    <row r="194" spans="1:20" x14ac:dyDescent="0.25">
      <c r="A194" s="137"/>
      <c r="B194" s="22"/>
      <c r="C194" s="22"/>
      <c r="D194" s="22"/>
      <c r="E194" s="22"/>
      <c r="F194" s="22"/>
      <c r="G194" s="22"/>
      <c r="H194" s="22"/>
      <c r="I194" s="22"/>
      <c r="J194" s="22"/>
      <c r="K194" s="22"/>
      <c r="L194" s="22"/>
      <c r="M194" s="22"/>
      <c r="N194" s="22"/>
      <c r="O194" s="17"/>
      <c r="P194" s="17"/>
      <c r="Q194" s="17"/>
      <c r="R194" s="17"/>
      <c r="S194" s="17"/>
      <c r="T194" s="5"/>
    </row>
    <row r="195" spans="1:20" x14ac:dyDescent="0.25">
      <c r="A195" s="141"/>
      <c r="B195" s="5"/>
      <c r="C195" s="5"/>
      <c r="D195" s="5"/>
      <c r="E195" s="5"/>
      <c r="F195" s="5"/>
      <c r="G195" s="5"/>
      <c r="H195" s="5"/>
      <c r="I195" s="5"/>
      <c r="J195" s="5"/>
      <c r="K195" s="5"/>
      <c r="L195" s="5"/>
      <c r="M195" s="5"/>
      <c r="N195" s="5"/>
      <c r="O195" s="6"/>
      <c r="P195" s="6"/>
      <c r="Q195" s="6"/>
      <c r="R195" s="6"/>
      <c r="S195" s="6"/>
      <c r="T195" s="5"/>
    </row>
    <row r="196" spans="1:20" x14ac:dyDescent="0.25">
      <c r="A196" s="134"/>
      <c r="B196" s="21"/>
      <c r="C196" s="21"/>
      <c r="D196" s="21"/>
      <c r="E196" s="21"/>
      <c r="F196" s="21"/>
      <c r="G196" s="21"/>
      <c r="H196" s="21"/>
      <c r="I196" s="21"/>
      <c r="J196" s="21"/>
      <c r="K196" s="21"/>
      <c r="L196" s="21"/>
      <c r="M196" s="21"/>
      <c r="N196" s="21"/>
      <c r="O196" s="32"/>
      <c r="P196" s="32"/>
      <c r="Q196" s="32"/>
      <c r="R196" s="32"/>
      <c r="S196" s="32"/>
      <c r="T196" s="5"/>
    </row>
    <row r="197" spans="1:20" x14ac:dyDescent="0.25">
      <c r="A197" s="134"/>
      <c r="B197" s="21"/>
      <c r="C197" s="21"/>
      <c r="D197" s="21"/>
      <c r="E197" s="21"/>
      <c r="F197" s="21"/>
      <c r="G197" s="21"/>
      <c r="H197" s="21"/>
      <c r="I197" s="21"/>
      <c r="J197" s="21"/>
      <c r="K197" s="21"/>
      <c r="L197" s="21"/>
      <c r="M197" s="21"/>
      <c r="N197" s="21"/>
      <c r="O197" s="32"/>
      <c r="P197" s="32"/>
      <c r="Q197" s="32"/>
      <c r="R197" s="32"/>
      <c r="S197" s="32"/>
      <c r="T197" s="5"/>
    </row>
    <row r="198" spans="1:20" x14ac:dyDescent="0.25">
      <c r="A198" s="137"/>
      <c r="B198" s="22"/>
      <c r="C198" s="22"/>
      <c r="D198" s="22"/>
      <c r="E198" s="22"/>
      <c r="F198" s="22"/>
      <c r="G198" s="22"/>
      <c r="H198" s="22"/>
      <c r="I198" s="22"/>
      <c r="J198" s="22"/>
      <c r="K198" s="22"/>
      <c r="L198" s="22"/>
      <c r="M198" s="22"/>
      <c r="N198" s="22"/>
      <c r="O198" s="17"/>
      <c r="P198" s="17"/>
      <c r="Q198" s="17"/>
      <c r="R198" s="17"/>
      <c r="S198" s="17"/>
      <c r="T198" s="5"/>
    </row>
    <row r="199" spans="1:20" x14ac:dyDescent="0.25">
      <c r="A199" s="137"/>
      <c r="B199" s="22"/>
      <c r="C199" s="22"/>
      <c r="D199" s="22"/>
      <c r="E199" s="22"/>
      <c r="F199" s="22"/>
      <c r="G199" s="22"/>
      <c r="H199" s="22"/>
      <c r="I199" s="22"/>
      <c r="J199" s="22"/>
      <c r="K199" s="22"/>
      <c r="L199" s="22"/>
      <c r="M199" s="22"/>
      <c r="N199" s="22"/>
      <c r="O199" s="17"/>
      <c r="P199" s="17"/>
      <c r="Q199" s="17"/>
      <c r="R199" s="17"/>
      <c r="S199" s="17"/>
      <c r="T199" s="5"/>
    </row>
    <row r="200" spans="1:20" x14ac:dyDescent="0.25">
      <c r="A200" s="141"/>
      <c r="B200" s="5"/>
      <c r="C200" s="5"/>
      <c r="D200" s="5"/>
      <c r="E200" s="5"/>
      <c r="F200" s="5"/>
      <c r="G200" s="5"/>
      <c r="H200" s="5"/>
      <c r="I200" s="5"/>
      <c r="J200" s="5"/>
      <c r="K200" s="5"/>
      <c r="L200" s="5"/>
      <c r="M200" s="5"/>
      <c r="N200" s="5"/>
      <c r="O200" s="6"/>
      <c r="P200" s="6"/>
      <c r="Q200" s="6"/>
      <c r="R200" s="6"/>
      <c r="S200" s="6"/>
      <c r="T200" s="5"/>
    </row>
    <row r="201" spans="1:20" x14ac:dyDescent="0.25">
      <c r="A201" s="134"/>
      <c r="B201" s="21"/>
      <c r="C201" s="21"/>
      <c r="D201" s="21"/>
      <c r="E201" s="21"/>
      <c r="F201" s="21"/>
      <c r="G201" s="21"/>
      <c r="H201" s="21"/>
      <c r="I201" s="21"/>
      <c r="J201" s="21"/>
      <c r="K201" s="21"/>
      <c r="L201" s="21"/>
      <c r="M201" s="21"/>
      <c r="N201" s="21"/>
      <c r="O201" s="32"/>
      <c r="P201" s="32"/>
      <c r="Q201" s="32"/>
      <c r="R201" s="32"/>
      <c r="S201" s="32"/>
      <c r="T201" s="5"/>
    </row>
    <row r="202" spans="1:20" x14ac:dyDescent="0.25">
      <c r="A202" s="134"/>
      <c r="B202" s="21"/>
      <c r="C202" s="21"/>
      <c r="D202" s="21"/>
      <c r="E202" s="21"/>
      <c r="F202" s="21"/>
      <c r="G202" s="21"/>
      <c r="H202" s="21"/>
      <c r="I202" s="21"/>
      <c r="J202" s="21"/>
      <c r="K202" s="21"/>
      <c r="L202" s="21"/>
      <c r="M202" s="21"/>
      <c r="N202" s="21"/>
      <c r="O202" s="32"/>
      <c r="P202" s="32"/>
      <c r="Q202" s="32"/>
      <c r="R202" s="32"/>
      <c r="S202" s="32"/>
      <c r="T202" s="5"/>
    </row>
    <row r="203" spans="1:20" x14ac:dyDescent="0.25">
      <c r="A203" s="137"/>
      <c r="B203" s="22"/>
      <c r="C203" s="22"/>
      <c r="D203" s="22"/>
      <c r="E203" s="22"/>
      <c r="F203" s="22"/>
      <c r="G203" s="22"/>
      <c r="H203" s="22"/>
      <c r="I203" s="22"/>
      <c r="J203" s="22"/>
      <c r="K203" s="22"/>
      <c r="L203" s="22"/>
      <c r="M203" s="22"/>
      <c r="N203" s="22"/>
      <c r="O203" s="17"/>
      <c r="P203" s="17"/>
      <c r="Q203" s="17"/>
      <c r="R203" s="17"/>
      <c r="S203" s="17"/>
      <c r="T203" s="5"/>
    </row>
    <row r="204" spans="1:20" x14ac:dyDescent="0.25">
      <c r="A204" s="137"/>
      <c r="B204" s="22"/>
      <c r="C204" s="22"/>
      <c r="D204" s="22"/>
      <c r="E204" s="22"/>
      <c r="F204" s="22"/>
      <c r="G204" s="22"/>
      <c r="H204" s="22"/>
      <c r="I204" s="22"/>
      <c r="J204" s="22"/>
      <c r="K204" s="22"/>
      <c r="L204" s="22"/>
      <c r="M204" s="22"/>
      <c r="N204" s="22"/>
      <c r="O204" s="17"/>
      <c r="P204" s="17"/>
      <c r="Q204" s="17"/>
      <c r="R204" s="17"/>
      <c r="S204" s="17"/>
      <c r="T204" s="5"/>
    </row>
    <row r="205" spans="1:20" x14ac:dyDescent="0.25">
      <c r="A205" s="141"/>
      <c r="B205" s="5"/>
      <c r="C205" s="5"/>
      <c r="D205" s="5"/>
      <c r="E205" s="5"/>
      <c r="F205" s="5"/>
      <c r="G205" s="5"/>
      <c r="H205" s="5"/>
      <c r="I205" s="5"/>
      <c r="J205" s="5"/>
      <c r="K205" s="5"/>
      <c r="L205" s="5"/>
      <c r="M205" s="5"/>
      <c r="N205" s="5"/>
      <c r="O205" s="6"/>
      <c r="P205" s="6"/>
      <c r="Q205" s="6"/>
      <c r="R205" s="6"/>
      <c r="S205" s="6"/>
      <c r="T205" s="5"/>
    </row>
    <row r="206" spans="1:20" x14ac:dyDescent="0.25">
      <c r="A206" s="134"/>
      <c r="B206" s="21"/>
      <c r="C206" s="21"/>
      <c r="D206" s="21"/>
      <c r="E206" s="21"/>
      <c r="F206" s="21"/>
      <c r="G206" s="21"/>
      <c r="H206" s="21"/>
      <c r="I206" s="21"/>
      <c r="J206" s="21"/>
      <c r="K206" s="21"/>
      <c r="L206" s="21"/>
      <c r="M206" s="21"/>
      <c r="N206" s="21"/>
      <c r="O206" s="32"/>
      <c r="P206" s="32"/>
      <c r="Q206" s="32"/>
      <c r="R206" s="32"/>
      <c r="S206" s="32"/>
      <c r="T206" s="5"/>
    </row>
    <row r="207" spans="1:20" x14ac:dyDescent="0.25">
      <c r="A207" s="134"/>
      <c r="B207" s="21"/>
      <c r="C207" s="21"/>
      <c r="D207" s="21"/>
      <c r="E207" s="21"/>
      <c r="F207" s="21"/>
      <c r="G207" s="21"/>
      <c r="H207" s="21"/>
      <c r="I207" s="21"/>
      <c r="J207" s="21"/>
      <c r="K207" s="21"/>
      <c r="L207" s="21"/>
      <c r="M207" s="21"/>
      <c r="N207" s="21"/>
      <c r="O207" s="32"/>
      <c r="P207" s="32"/>
      <c r="Q207" s="32"/>
      <c r="R207" s="32"/>
      <c r="S207" s="32"/>
      <c r="T207" s="5"/>
    </row>
    <row r="208" spans="1:20" x14ac:dyDescent="0.25">
      <c r="A208" s="137"/>
      <c r="B208" s="22"/>
      <c r="C208" s="22"/>
      <c r="D208" s="22"/>
      <c r="E208" s="22"/>
      <c r="F208" s="22"/>
      <c r="G208" s="22"/>
      <c r="H208" s="22"/>
      <c r="I208" s="22"/>
      <c r="J208" s="22"/>
      <c r="K208" s="22"/>
      <c r="L208" s="22"/>
      <c r="M208" s="22"/>
      <c r="N208" s="22"/>
      <c r="O208" s="17"/>
      <c r="P208" s="17"/>
      <c r="Q208" s="17"/>
      <c r="R208" s="17"/>
      <c r="S208" s="17"/>
      <c r="T208" s="5"/>
    </row>
    <row r="209" spans="1:20" x14ac:dyDescent="0.25">
      <c r="A209" s="137"/>
      <c r="B209" s="22"/>
      <c r="C209" s="22"/>
      <c r="D209" s="22"/>
      <c r="E209" s="22"/>
      <c r="F209" s="22"/>
      <c r="G209" s="22"/>
      <c r="H209" s="22"/>
      <c r="I209" s="22"/>
      <c r="J209" s="22"/>
      <c r="K209" s="22"/>
      <c r="L209" s="22"/>
      <c r="M209" s="22"/>
      <c r="N209" s="22"/>
      <c r="O209" s="17"/>
      <c r="P209" s="17"/>
      <c r="Q209" s="17"/>
      <c r="R209" s="17"/>
      <c r="S209" s="17"/>
      <c r="T209" s="5"/>
    </row>
    <row r="210" spans="1:20" x14ac:dyDescent="0.25">
      <c r="A210" s="141"/>
      <c r="B210" s="5"/>
      <c r="C210" s="5"/>
      <c r="D210" s="5"/>
      <c r="E210" s="5"/>
      <c r="F210" s="5"/>
      <c r="G210" s="5"/>
      <c r="H210" s="5"/>
      <c r="I210" s="5"/>
      <c r="J210" s="5"/>
      <c r="K210" s="5"/>
      <c r="L210" s="5"/>
      <c r="M210" s="5"/>
      <c r="N210" s="5"/>
      <c r="O210" s="6"/>
      <c r="P210" s="6"/>
      <c r="Q210" s="6"/>
      <c r="R210" s="6"/>
      <c r="S210" s="6"/>
      <c r="T210" s="5"/>
    </row>
    <row r="211" spans="1:20" x14ac:dyDescent="0.25">
      <c r="A211" s="134"/>
      <c r="B211" s="21"/>
      <c r="C211" s="21"/>
      <c r="D211" s="21"/>
      <c r="E211" s="21"/>
      <c r="F211" s="21"/>
      <c r="G211" s="21"/>
      <c r="H211" s="21"/>
      <c r="I211" s="21"/>
      <c r="J211" s="21"/>
      <c r="K211" s="21"/>
      <c r="L211" s="21"/>
      <c r="M211" s="21"/>
      <c r="N211" s="21"/>
      <c r="O211" s="32"/>
      <c r="P211" s="32"/>
      <c r="Q211" s="32"/>
      <c r="R211" s="32"/>
      <c r="S211" s="32"/>
      <c r="T211" s="5"/>
    </row>
    <row r="212" spans="1:20" x14ac:dyDescent="0.25">
      <c r="A212" s="134"/>
      <c r="B212" s="21"/>
      <c r="C212" s="21"/>
      <c r="D212" s="21"/>
      <c r="E212" s="21"/>
      <c r="F212" s="21"/>
      <c r="G212" s="21"/>
      <c r="H212" s="21"/>
      <c r="I212" s="21"/>
      <c r="J212" s="21"/>
      <c r="K212" s="21"/>
      <c r="L212" s="21"/>
      <c r="M212" s="21"/>
      <c r="N212" s="21"/>
      <c r="O212" s="32"/>
      <c r="P212" s="32"/>
      <c r="Q212" s="32"/>
      <c r="R212" s="32"/>
      <c r="S212" s="32"/>
      <c r="T212" s="5"/>
    </row>
    <row r="213" spans="1:20" x14ac:dyDescent="0.25">
      <c r="A213" s="137"/>
      <c r="B213" s="22"/>
      <c r="C213" s="22"/>
      <c r="D213" s="22"/>
      <c r="E213" s="22"/>
      <c r="F213" s="22"/>
      <c r="G213" s="22"/>
      <c r="H213" s="22"/>
      <c r="I213" s="22"/>
      <c r="J213" s="22"/>
      <c r="K213" s="22"/>
      <c r="L213" s="22"/>
      <c r="M213" s="22"/>
      <c r="N213" s="22"/>
      <c r="O213" s="17"/>
      <c r="P213" s="17"/>
      <c r="Q213" s="17"/>
      <c r="R213" s="17"/>
      <c r="S213" s="17"/>
      <c r="T213" s="5"/>
    </row>
    <row r="214" spans="1:20" x14ac:dyDescent="0.25">
      <c r="A214" s="137"/>
      <c r="B214" s="22"/>
      <c r="C214" s="22"/>
      <c r="D214" s="22"/>
      <c r="E214" s="22"/>
      <c r="F214" s="22"/>
      <c r="G214" s="22"/>
      <c r="H214" s="22"/>
      <c r="I214" s="22"/>
      <c r="J214" s="22"/>
      <c r="K214" s="22"/>
      <c r="L214" s="22"/>
      <c r="M214" s="22"/>
      <c r="N214" s="22"/>
      <c r="O214" s="17"/>
      <c r="P214" s="17"/>
      <c r="Q214" s="17"/>
      <c r="R214" s="17"/>
      <c r="S214" s="17"/>
      <c r="T214" s="5"/>
    </row>
    <row r="215" spans="1:20" x14ac:dyDescent="0.25">
      <c r="A215" s="141"/>
      <c r="B215" s="5"/>
      <c r="C215" s="5"/>
      <c r="D215" s="5"/>
      <c r="E215" s="5"/>
      <c r="F215" s="5"/>
      <c r="G215" s="5"/>
      <c r="H215" s="5"/>
      <c r="I215" s="5"/>
      <c r="J215" s="5"/>
      <c r="K215" s="5"/>
      <c r="L215" s="5"/>
      <c r="M215" s="5"/>
      <c r="N215" s="5"/>
      <c r="O215" s="6"/>
      <c r="P215" s="6"/>
      <c r="Q215" s="6"/>
      <c r="R215" s="6"/>
      <c r="S215" s="6"/>
      <c r="T215" s="5"/>
    </row>
    <row r="216" spans="1:20" x14ac:dyDescent="0.25">
      <c r="A216" s="134"/>
      <c r="B216" s="21"/>
      <c r="C216" s="21"/>
      <c r="D216" s="21"/>
      <c r="E216" s="21"/>
      <c r="F216" s="21"/>
      <c r="G216" s="21"/>
      <c r="H216" s="21"/>
      <c r="I216" s="21"/>
      <c r="J216" s="21"/>
      <c r="K216" s="21"/>
      <c r="L216" s="21"/>
      <c r="M216" s="21"/>
      <c r="N216" s="21"/>
      <c r="O216" s="32"/>
      <c r="P216" s="32"/>
      <c r="Q216" s="32"/>
      <c r="R216" s="32"/>
      <c r="S216" s="32"/>
      <c r="T216" s="5"/>
    </row>
    <row r="217" spans="1:20" x14ac:dyDescent="0.25">
      <c r="A217" s="134"/>
      <c r="B217" s="21"/>
      <c r="C217" s="21"/>
      <c r="D217" s="21"/>
      <c r="E217" s="21"/>
      <c r="F217" s="21"/>
      <c r="G217" s="21"/>
      <c r="H217" s="21"/>
      <c r="I217" s="21"/>
      <c r="J217" s="21"/>
      <c r="K217" s="21"/>
      <c r="L217" s="21"/>
      <c r="M217" s="21"/>
      <c r="N217" s="21"/>
      <c r="O217" s="32"/>
      <c r="P217" s="32"/>
      <c r="Q217" s="32"/>
      <c r="R217" s="32"/>
      <c r="S217" s="32"/>
      <c r="T217" s="5"/>
    </row>
    <row r="218" spans="1:20" x14ac:dyDescent="0.25">
      <c r="A218" s="137"/>
      <c r="B218" s="22"/>
      <c r="C218" s="22"/>
      <c r="D218" s="22"/>
      <c r="E218" s="22"/>
      <c r="F218" s="22"/>
      <c r="G218" s="22"/>
      <c r="H218" s="22"/>
      <c r="I218" s="22"/>
      <c r="J218" s="22"/>
      <c r="K218" s="22"/>
      <c r="L218" s="22"/>
      <c r="M218" s="22"/>
      <c r="N218" s="22"/>
      <c r="O218" s="17"/>
      <c r="P218" s="17"/>
      <c r="Q218" s="17"/>
      <c r="R218" s="17"/>
      <c r="S218" s="17"/>
      <c r="T218" s="5"/>
    </row>
    <row r="219" spans="1:20" x14ac:dyDescent="0.25">
      <c r="A219" s="137"/>
      <c r="B219" s="22"/>
      <c r="C219" s="22"/>
      <c r="D219" s="22"/>
      <c r="E219" s="22"/>
      <c r="F219" s="22"/>
      <c r="G219" s="22"/>
      <c r="H219" s="22"/>
      <c r="I219" s="22"/>
      <c r="J219" s="22"/>
      <c r="K219" s="22"/>
      <c r="L219" s="22"/>
      <c r="M219" s="22"/>
      <c r="N219" s="22"/>
      <c r="O219" s="17"/>
      <c r="P219" s="17"/>
      <c r="Q219" s="17"/>
      <c r="R219" s="17"/>
      <c r="S219" s="17"/>
      <c r="T219" s="5"/>
    </row>
    <row r="220" spans="1:20" x14ac:dyDescent="0.25">
      <c r="A220" s="141"/>
      <c r="B220" s="5"/>
      <c r="C220" s="5"/>
      <c r="D220" s="5"/>
      <c r="E220" s="5"/>
      <c r="F220" s="5"/>
      <c r="G220" s="5"/>
      <c r="H220" s="5"/>
      <c r="I220" s="5"/>
      <c r="J220" s="5"/>
      <c r="K220" s="5"/>
      <c r="L220" s="5"/>
      <c r="M220" s="5"/>
      <c r="N220" s="5"/>
      <c r="O220" s="6"/>
      <c r="P220" s="6"/>
      <c r="Q220" s="6"/>
      <c r="R220" s="6"/>
      <c r="S220" s="6"/>
      <c r="T220" s="5"/>
    </row>
    <row r="221" spans="1:20" x14ac:dyDescent="0.25">
      <c r="A221" s="134"/>
      <c r="B221" s="21"/>
      <c r="C221" s="21"/>
      <c r="D221" s="21"/>
      <c r="E221" s="21"/>
      <c r="F221" s="21"/>
      <c r="G221" s="21"/>
      <c r="H221" s="21"/>
      <c r="I221" s="21"/>
      <c r="J221" s="21"/>
      <c r="K221" s="21"/>
      <c r="L221" s="21"/>
      <c r="M221" s="21"/>
      <c r="N221" s="21"/>
      <c r="O221" s="32"/>
      <c r="P221" s="32"/>
      <c r="Q221" s="32"/>
      <c r="R221" s="32"/>
      <c r="S221" s="32"/>
      <c r="T221" s="5"/>
    </row>
    <row r="222" spans="1:20" x14ac:dyDescent="0.25">
      <c r="A222" s="134"/>
      <c r="B222" s="21"/>
      <c r="C222" s="21"/>
      <c r="D222" s="21"/>
      <c r="E222" s="21"/>
      <c r="F222" s="21"/>
      <c r="G222" s="21"/>
      <c r="H222" s="21"/>
      <c r="I222" s="21"/>
      <c r="J222" s="21"/>
      <c r="K222" s="21"/>
      <c r="L222" s="21"/>
      <c r="M222" s="21"/>
      <c r="N222" s="21"/>
      <c r="O222" s="32"/>
      <c r="P222" s="32"/>
      <c r="Q222" s="32"/>
      <c r="R222" s="32"/>
      <c r="S222" s="32"/>
      <c r="T222" s="5"/>
    </row>
    <row r="223" spans="1:20" x14ac:dyDescent="0.25">
      <c r="A223" s="137"/>
      <c r="B223" s="22"/>
      <c r="C223" s="22"/>
      <c r="D223" s="22"/>
      <c r="E223" s="22"/>
      <c r="F223" s="22"/>
      <c r="G223" s="22"/>
      <c r="H223" s="22"/>
      <c r="I223" s="22"/>
      <c r="J223" s="22"/>
      <c r="K223" s="22"/>
      <c r="L223" s="22"/>
      <c r="M223" s="22"/>
      <c r="N223" s="22"/>
      <c r="O223" s="17"/>
      <c r="P223" s="17"/>
      <c r="Q223" s="17"/>
      <c r="R223" s="17"/>
      <c r="S223" s="17"/>
      <c r="T223" s="5"/>
    </row>
    <row r="224" spans="1:20" x14ac:dyDescent="0.25">
      <c r="A224" s="137"/>
      <c r="B224" s="22"/>
      <c r="C224" s="22"/>
      <c r="D224" s="22"/>
      <c r="E224" s="22"/>
      <c r="F224" s="22"/>
      <c r="G224" s="22"/>
      <c r="H224" s="22"/>
      <c r="I224" s="22"/>
      <c r="J224" s="22"/>
      <c r="K224" s="22"/>
      <c r="L224" s="22"/>
      <c r="M224" s="22"/>
      <c r="N224" s="22"/>
      <c r="O224" s="17"/>
      <c r="P224" s="17"/>
      <c r="Q224" s="17"/>
      <c r="R224" s="17"/>
      <c r="S224" s="17"/>
      <c r="T224" s="5"/>
    </row>
    <row r="225" spans="1:20" x14ac:dyDescent="0.25">
      <c r="A225" s="141"/>
      <c r="B225" s="5"/>
      <c r="C225" s="5"/>
      <c r="D225" s="5"/>
      <c r="E225" s="5"/>
      <c r="F225" s="5"/>
      <c r="G225" s="5"/>
      <c r="H225" s="5"/>
      <c r="I225" s="5"/>
      <c r="J225" s="5"/>
      <c r="K225" s="5"/>
      <c r="L225" s="5"/>
      <c r="M225" s="5"/>
      <c r="N225" s="5"/>
      <c r="O225" s="6"/>
      <c r="P225" s="6"/>
      <c r="Q225" s="6"/>
      <c r="R225" s="6"/>
      <c r="S225" s="6"/>
      <c r="T225" s="5"/>
    </row>
    <row r="226" spans="1:20" x14ac:dyDescent="0.25">
      <c r="A226" s="134"/>
      <c r="B226" s="21"/>
      <c r="C226" s="21"/>
      <c r="D226" s="21"/>
      <c r="E226" s="21"/>
      <c r="F226" s="21"/>
      <c r="G226" s="21"/>
      <c r="H226" s="21"/>
      <c r="I226" s="21"/>
      <c r="J226" s="21"/>
      <c r="K226" s="21"/>
      <c r="L226" s="21"/>
      <c r="M226" s="21"/>
      <c r="N226" s="21"/>
      <c r="O226" s="32"/>
      <c r="P226" s="32"/>
      <c r="Q226" s="32"/>
      <c r="R226" s="32"/>
      <c r="S226" s="32"/>
      <c r="T226" s="5"/>
    </row>
    <row r="227" spans="1:20" x14ac:dyDescent="0.25">
      <c r="A227" s="134"/>
      <c r="B227" s="21"/>
      <c r="C227" s="21"/>
      <c r="D227" s="21"/>
      <c r="E227" s="21"/>
      <c r="F227" s="21"/>
      <c r="G227" s="21"/>
      <c r="H227" s="21"/>
      <c r="I227" s="21"/>
      <c r="J227" s="21"/>
      <c r="K227" s="21"/>
      <c r="L227" s="21"/>
      <c r="M227" s="21"/>
      <c r="N227" s="21"/>
      <c r="O227" s="32"/>
      <c r="P227" s="32"/>
      <c r="Q227" s="32"/>
      <c r="R227" s="32"/>
      <c r="S227" s="32"/>
      <c r="T227" s="5"/>
    </row>
    <row r="228" spans="1:20" x14ac:dyDescent="0.25">
      <c r="A228" s="137"/>
      <c r="B228" s="22"/>
      <c r="C228" s="22"/>
      <c r="D228" s="22"/>
      <c r="E228" s="22"/>
      <c r="F228" s="22"/>
      <c r="G228" s="22"/>
      <c r="H228" s="22"/>
      <c r="I228" s="22"/>
      <c r="J228" s="22"/>
      <c r="K228" s="22"/>
      <c r="L228" s="22"/>
      <c r="M228" s="22"/>
      <c r="N228" s="22"/>
      <c r="O228" s="17"/>
      <c r="P228" s="17"/>
      <c r="Q228" s="17"/>
      <c r="R228" s="17"/>
      <c r="S228" s="17"/>
      <c r="T228" s="5"/>
    </row>
    <row r="229" spans="1:20" x14ac:dyDescent="0.25">
      <c r="A229" s="137"/>
      <c r="B229" s="22"/>
      <c r="C229" s="22"/>
      <c r="D229" s="22"/>
      <c r="E229" s="22"/>
      <c r="F229" s="22"/>
      <c r="G229" s="22"/>
      <c r="H229" s="22"/>
      <c r="I229" s="22"/>
      <c r="J229" s="22"/>
      <c r="K229" s="22"/>
      <c r="L229" s="22"/>
      <c r="M229" s="22"/>
      <c r="N229" s="22"/>
      <c r="O229" s="17"/>
      <c r="P229" s="17"/>
      <c r="Q229" s="17"/>
      <c r="R229" s="17"/>
      <c r="S229" s="17"/>
      <c r="T229" s="5"/>
    </row>
    <row r="230" spans="1:20" x14ac:dyDescent="0.25">
      <c r="A230" s="141"/>
      <c r="B230" s="5"/>
      <c r="C230" s="5"/>
      <c r="D230" s="5"/>
      <c r="E230" s="5"/>
      <c r="F230" s="5"/>
      <c r="G230" s="5"/>
      <c r="H230" s="5"/>
      <c r="I230" s="5"/>
      <c r="J230" s="5"/>
      <c r="K230" s="5"/>
      <c r="L230" s="5"/>
      <c r="M230" s="5"/>
      <c r="N230" s="5"/>
      <c r="O230" s="6"/>
      <c r="P230" s="6"/>
      <c r="Q230" s="6"/>
      <c r="R230" s="6"/>
      <c r="S230" s="6"/>
      <c r="T230" s="5"/>
    </row>
    <row r="231" spans="1:20" x14ac:dyDescent="0.25">
      <c r="A231" s="134"/>
      <c r="B231" s="21"/>
      <c r="C231" s="21"/>
      <c r="D231" s="21"/>
      <c r="E231" s="21"/>
      <c r="F231" s="21"/>
      <c r="G231" s="21"/>
      <c r="H231" s="21"/>
      <c r="I231" s="21"/>
      <c r="J231" s="21"/>
      <c r="K231" s="21"/>
      <c r="L231" s="21"/>
      <c r="M231" s="21"/>
      <c r="N231" s="21"/>
      <c r="O231" s="32"/>
      <c r="P231" s="32"/>
      <c r="Q231" s="32"/>
      <c r="R231" s="32"/>
      <c r="S231" s="32"/>
      <c r="T231" s="5"/>
    </row>
    <row r="232" spans="1:20" x14ac:dyDescent="0.25">
      <c r="A232" s="134"/>
      <c r="B232" s="21"/>
      <c r="C232" s="21"/>
      <c r="D232" s="21"/>
      <c r="E232" s="21"/>
      <c r="F232" s="21"/>
      <c r="G232" s="21"/>
      <c r="H232" s="21"/>
      <c r="I232" s="21"/>
      <c r="J232" s="21"/>
      <c r="K232" s="21"/>
      <c r="L232" s="21"/>
      <c r="M232" s="21"/>
      <c r="N232" s="21"/>
      <c r="O232" s="32"/>
      <c r="P232" s="32"/>
      <c r="Q232" s="32"/>
      <c r="R232" s="32"/>
      <c r="S232" s="32"/>
      <c r="T232" s="5"/>
    </row>
    <row r="233" spans="1:20" x14ac:dyDescent="0.25">
      <c r="A233" s="137"/>
      <c r="B233" s="22"/>
      <c r="C233" s="22"/>
      <c r="D233" s="22"/>
      <c r="E233" s="22"/>
      <c r="F233" s="22"/>
      <c r="G233" s="22"/>
      <c r="H233" s="22"/>
      <c r="I233" s="22"/>
      <c r="J233" s="22"/>
      <c r="K233" s="22"/>
      <c r="L233" s="22"/>
      <c r="M233" s="22"/>
      <c r="N233" s="22"/>
      <c r="O233" s="17"/>
      <c r="P233" s="17"/>
      <c r="Q233" s="17"/>
      <c r="R233" s="17"/>
      <c r="S233" s="17"/>
      <c r="T233" s="5"/>
    </row>
    <row r="234" spans="1:20" x14ac:dyDescent="0.25">
      <c r="A234" s="137"/>
      <c r="B234" s="22"/>
      <c r="C234" s="22"/>
      <c r="D234" s="22"/>
      <c r="E234" s="22"/>
      <c r="F234" s="22"/>
      <c r="G234" s="22"/>
      <c r="H234" s="22"/>
      <c r="I234" s="22"/>
      <c r="J234" s="22"/>
      <c r="K234" s="22"/>
      <c r="L234" s="22"/>
      <c r="M234" s="22"/>
      <c r="N234" s="22"/>
      <c r="O234" s="17"/>
      <c r="P234" s="17"/>
      <c r="Q234" s="17"/>
      <c r="R234" s="17"/>
      <c r="S234" s="17"/>
      <c r="T234" s="5"/>
    </row>
    <row r="235" spans="1:20" x14ac:dyDescent="0.25">
      <c r="A235" s="141"/>
      <c r="B235" s="5"/>
      <c r="C235" s="5"/>
      <c r="D235" s="5"/>
      <c r="E235" s="5"/>
      <c r="F235" s="5"/>
      <c r="G235" s="5"/>
      <c r="H235" s="5"/>
      <c r="I235" s="5"/>
      <c r="J235" s="5"/>
      <c r="K235" s="5"/>
      <c r="L235" s="5"/>
      <c r="M235" s="5"/>
      <c r="N235" s="5"/>
      <c r="O235" s="6"/>
      <c r="P235" s="6"/>
      <c r="Q235" s="6"/>
      <c r="R235" s="6"/>
      <c r="S235" s="6"/>
      <c r="T235" s="5"/>
    </row>
    <row r="236" spans="1:20" x14ac:dyDescent="0.25">
      <c r="A236" s="134"/>
      <c r="B236" s="21"/>
      <c r="C236" s="21"/>
      <c r="D236" s="21"/>
      <c r="E236" s="21"/>
      <c r="F236" s="21"/>
      <c r="G236" s="21"/>
      <c r="H236" s="21"/>
      <c r="I236" s="21"/>
      <c r="J236" s="21"/>
      <c r="K236" s="21"/>
      <c r="L236" s="21"/>
      <c r="M236" s="21"/>
      <c r="N236" s="21"/>
      <c r="O236" s="32"/>
      <c r="P236" s="32"/>
      <c r="Q236" s="32"/>
      <c r="R236" s="32"/>
      <c r="S236" s="32"/>
      <c r="T236" s="5"/>
    </row>
    <row r="237" spans="1:20" x14ac:dyDescent="0.25">
      <c r="A237" s="134"/>
      <c r="B237" s="21"/>
      <c r="C237" s="21"/>
      <c r="D237" s="21"/>
      <c r="E237" s="21"/>
      <c r="F237" s="21"/>
      <c r="G237" s="21"/>
      <c r="H237" s="21"/>
      <c r="I237" s="21"/>
      <c r="J237" s="21"/>
      <c r="K237" s="21"/>
      <c r="L237" s="21"/>
      <c r="M237" s="21"/>
      <c r="N237" s="21"/>
      <c r="O237" s="32"/>
      <c r="P237" s="32"/>
      <c r="Q237" s="32"/>
      <c r="R237" s="32"/>
      <c r="S237" s="32"/>
      <c r="T237" s="5"/>
    </row>
    <row r="238" spans="1:20" x14ac:dyDescent="0.25">
      <c r="A238" s="137"/>
      <c r="B238" s="22"/>
      <c r="C238" s="22"/>
      <c r="D238" s="22"/>
      <c r="E238" s="22"/>
      <c r="F238" s="22"/>
      <c r="G238" s="22"/>
      <c r="H238" s="22"/>
      <c r="I238" s="22"/>
      <c r="J238" s="22"/>
      <c r="K238" s="22"/>
      <c r="L238" s="22"/>
      <c r="M238" s="22"/>
      <c r="N238" s="22"/>
      <c r="O238" s="17"/>
      <c r="P238" s="17"/>
      <c r="Q238" s="17"/>
      <c r="R238" s="17"/>
      <c r="S238" s="17"/>
      <c r="T238" s="5"/>
    </row>
    <row r="239" spans="1:20" x14ac:dyDescent="0.25">
      <c r="A239" s="137"/>
      <c r="B239" s="22"/>
      <c r="C239" s="22"/>
      <c r="D239" s="22"/>
      <c r="E239" s="22"/>
      <c r="F239" s="22"/>
      <c r="G239" s="22"/>
      <c r="H239" s="22"/>
      <c r="I239" s="22"/>
      <c r="J239" s="22"/>
      <c r="K239" s="22"/>
      <c r="L239" s="22"/>
      <c r="M239" s="22"/>
      <c r="N239" s="22"/>
      <c r="O239" s="17"/>
      <c r="P239" s="17"/>
      <c r="Q239" s="17"/>
      <c r="R239" s="17"/>
      <c r="S239" s="17"/>
      <c r="T239" s="5"/>
    </row>
    <row r="240" spans="1:20" x14ac:dyDescent="0.25">
      <c r="A240" s="141"/>
      <c r="B240" s="5"/>
      <c r="C240" s="5"/>
      <c r="D240" s="5"/>
      <c r="E240" s="5"/>
      <c r="F240" s="5"/>
      <c r="G240" s="5"/>
      <c r="H240" s="5"/>
      <c r="I240" s="5"/>
      <c r="J240" s="5"/>
      <c r="K240" s="5"/>
      <c r="L240" s="5"/>
      <c r="M240" s="5"/>
      <c r="N240" s="5"/>
      <c r="O240" s="6"/>
      <c r="P240" s="6"/>
      <c r="Q240" s="6"/>
      <c r="R240" s="6"/>
      <c r="S240" s="6"/>
      <c r="T240" s="5"/>
    </row>
    <row r="241" spans="1:20" x14ac:dyDescent="0.25">
      <c r="A241" s="134"/>
      <c r="B241" s="21"/>
      <c r="C241" s="21"/>
      <c r="D241" s="21"/>
      <c r="E241" s="21"/>
      <c r="F241" s="21"/>
      <c r="G241" s="21"/>
      <c r="H241" s="21"/>
      <c r="I241" s="21"/>
      <c r="J241" s="21"/>
      <c r="K241" s="21"/>
      <c r="L241" s="21"/>
      <c r="M241" s="21"/>
      <c r="N241" s="21"/>
      <c r="O241" s="32"/>
      <c r="P241" s="32"/>
      <c r="Q241" s="32"/>
      <c r="R241" s="32"/>
      <c r="S241" s="32"/>
      <c r="T241" s="5"/>
    </row>
    <row r="242" spans="1:20" x14ac:dyDescent="0.25">
      <c r="A242" s="134"/>
      <c r="B242" s="21"/>
      <c r="C242" s="21"/>
      <c r="D242" s="21"/>
      <c r="E242" s="21"/>
      <c r="F242" s="21"/>
      <c r="G242" s="21"/>
      <c r="H242" s="21"/>
      <c r="I242" s="21"/>
      <c r="J242" s="21"/>
      <c r="K242" s="21"/>
      <c r="L242" s="21"/>
      <c r="M242" s="21"/>
      <c r="N242" s="21"/>
      <c r="O242" s="32"/>
      <c r="P242" s="32"/>
      <c r="Q242" s="32"/>
      <c r="R242" s="32"/>
      <c r="S242" s="32"/>
      <c r="T242" s="5"/>
    </row>
    <row r="243" spans="1:20" x14ac:dyDescent="0.25">
      <c r="A243" s="137"/>
      <c r="B243" s="22"/>
      <c r="C243" s="22"/>
      <c r="D243" s="22"/>
      <c r="E243" s="22"/>
      <c r="F243" s="22"/>
      <c r="G243" s="22"/>
      <c r="H243" s="22"/>
      <c r="I243" s="22"/>
      <c r="J243" s="22"/>
      <c r="K243" s="22"/>
      <c r="L243" s="22"/>
      <c r="M243" s="22"/>
      <c r="N243" s="22"/>
      <c r="O243" s="17"/>
      <c r="P243" s="17"/>
      <c r="Q243" s="17"/>
      <c r="R243" s="17"/>
      <c r="S243" s="17"/>
      <c r="T243" s="5"/>
    </row>
    <row r="244" spans="1:20" x14ac:dyDescent="0.25">
      <c r="A244" s="137"/>
      <c r="B244" s="22"/>
      <c r="C244" s="22"/>
      <c r="D244" s="22"/>
      <c r="E244" s="22"/>
      <c r="F244" s="22"/>
      <c r="G244" s="22"/>
      <c r="H244" s="22"/>
      <c r="I244" s="22"/>
      <c r="J244" s="22"/>
      <c r="K244" s="22"/>
      <c r="L244" s="22"/>
      <c r="M244" s="22"/>
      <c r="N244" s="22"/>
      <c r="O244" s="17"/>
      <c r="P244" s="17"/>
      <c r="Q244" s="17"/>
      <c r="R244" s="17"/>
      <c r="S244" s="17"/>
      <c r="T244" s="5"/>
    </row>
    <row r="245" spans="1:20" x14ac:dyDescent="0.25">
      <c r="A245" s="141"/>
      <c r="B245" s="5"/>
      <c r="C245" s="5"/>
      <c r="D245" s="5"/>
      <c r="E245" s="5"/>
      <c r="F245" s="5"/>
      <c r="G245" s="5"/>
      <c r="H245" s="5"/>
      <c r="I245" s="5"/>
      <c r="J245" s="5"/>
      <c r="K245" s="5"/>
      <c r="L245" s="5"/>
      <c r="M245" s="5"/>
      <c r="N245" s="5"/>
      <c r="O245" s="6"/>
      <c r="P245" s="6"/>
      <c r="Q245" s="6"/>
      <c r="R245" s="6"/>
      <c r="S245" s="6"/>
      <c r="T245" s="5"/>
    </row>
    <row r="246" spans="1:20" x14ac:dyDescent="0.25">
      <c r="A246" s="134"/>
      <c r="B246" s="21"/>
      <c r="C246" s="21"/>
      <c r="D246" s="21"/>
      <c r="E246" s="21"/>
      <c r="F246" s="21"/>
      <c r="G246" s="21"/>
      <c r="H246" s="21"/>
      <c r="I246" s="21"/>
      <c r="J246" s="21"/>
      <c r="K246" s="21"/>
      <c r="L246" s="21"/>
      <c r="M246" s="21"/>
      <c r="N246" s="21"/>
      <c r="O246" s="32"/>
      <c r="P246" s="32"/>
      <c r="Q246" s="32"/>
      <c r="R246" s="32"/>
      <c r="S246" s="32"/>
      <c r="T246" s="5"/>
    </row>
    <row r="247" spans="1:20" x14ac:dyDescent="0.25">
      <c r="A247" s="134"/>
      <c r="B247" s="21"/>
      <c r="C247" s="21"/>
      <c r="D247" s="21"/>
      <c r="E247" s="21"/>
      <c r="F247" s="21"/>
      <c r="G247" s="21"/>
      <c r="H247" s="21"/>
      <c r="I247" s="21"/>
      <c r="J247" s="21"/>
      <c r="K247" s="21"/>
      <c r="L247" s="21"/>
      <c r="M247" s="21"/>
      <c r="N247" s="21"/>
      <c r="O247" s="32"/>
      <c r="P247" s="32"/>
      <c r="Q247" s="32"/>
      <c r="R247" s="32"/>
      <c r="S247" s="32"/>
      <c r="T247" s="5"/>
    </row>
    <row r="248" spans="1:20" x14ac:dyDescent="0.25">
      <c r="A248" s="137"/>
      <c r="B248" s="22"/>
      <c r="C248" s="22"/>
      <c r="D248" s="22"/>
      <c r="E248" s="22"/>
      <c r="F248" s="22"/>
      <c r="G248" s="22"/>
      <c r="H248" s="22"/>
      <c r="I248" s="22"/>
      <c r="J248" s="22"/>
      <c r="K248" s="22"/>
      <c r="L248" s="22"/>
      <c r="M248" s="22"/>
      <c r="N248" s="22"/>
      <c r="O248" s="17"/>
      <c r="P248" s="17"/>
      <c r="Q248" s="17"/>
      <c r="R248" s="17"/>
      <c r="S248" s="17"/>
      <c r="T248" s="5"/>
    </row>
    <row r="249" spans="1:20" x14ac:dyDescent="0.25">
      <c r="A249" s="137"/>
      <c r="B249" s="22"/>
      <c r="C249" s="22"/>
      <c r="D249" s="22"/>
      <c r="E249" s="22"/>
      <c r="F249" s="22"/>
      <c r="G249" s="22"/>
      <c r="H249" s="22"/>
      <c r="I249" s="22"/>
      <c r="J249" s="22"/>
      <c r="K249" s="22"/>
      <c r="L249" s="22"/>
      <c r="M249" s="22"/>
      <c r="N249" s="22"/>
      <c r="O249" s="17"/>
      <c r="P249" s="17"/>
      <c r="Q249" s="17"/>
      <c r="R249" s="17"/>
      <c r="S249" s="17"/>
      <c r="T249" s="5"/>
    </row>
    <row r="250" spans="1:20" x14ac:dyDescent="0.25">
      <c r="A250" s="141"/>
      <c r="B250" s="5"/>
      <c r="C250" s="5"/>
      <c r="D250" s="5"/>
      <c r="E250" s="5"/>
      <c r="F250" s="5"/>
      <c r="G250" s="5"/>
      <c r="H250" s="5"/>
      <c r="I250" s="5"/>
      <c r="J250" s="5"/>
      <c r="K250" s="5"/>
      <c r="L250" s="5"/>
      <c r="M250" s="5"/>
      <c r="N250" s="5"/>
      <c r="O250" s="6"/>
      <c r="P250" s="6"/>
      <c r="Q250" s="6"/>
      <c r="R250" s="6"/>
      <c r="S250" s="6"/>
      <c r="T250" s="5"/>
    </row>
    <row r="251" spans="1:20" x14ac:dyDescent="0.25">
      <c r="A251" s="134"/>
      <c r="B251" s="21"/>
      <c r="C251" s="21"/>
      <c r="D251" s="21"/>
      <c r="E251" s="21"/>
      <c r="F251" s="21"/>
      <c r="G251" s="21"/>
      <c r="H251" s="21"/>
      <c r="I251" s="21"/>
      <c r="J251" s="21"/>
      <c r="K251" s="21"/>
      <c r="L251" s="21"/>
      <c r="M251" s="21"/>
      <c r="N251" s="21"/>
      <c r="O251" s="32"/>
      <c r="P251" s="32"/>
      <c r="Q251" s="32"/>
      <c r="R251" s="32"/>
      <c r="S251" s="32"/>
      <c r="T251" s="5"/>
    </row>
    <row r="252" spans="1:20" x14ac:dyDescent="0.25">
      <c r="A252" s="134"/>
      <c r="B252" s="21"/>
      <c r="C252" s="21"/>
      <c r="D252" s="21"/>
      <c r="E252" s="21"/>
      <c r="F252" s="21"/>
      <c r="G252" s="21"/>
      <c r="H252" s="21"/>
      <c r="I252" s="21"/>
      <c r="J252" s="21"/>
      <c r="K252" s="21"/>
      <c r="L252" s="21"/>
      <c r="M252" s="21"/>
      <c r="N252" s="21"/>
      <c r="O252" s="32"/>
      <c r="P252" s="32"/>
      <c r="Q252" s="32"/>
      <c r="R252" s="32"/>
      <c r="S252" s="32"/>
      <c r="T252" s="5"/>
    </row>
    <row r="253" spans="1:20" x14ac:dyDescent="0.25">
      <c r="A253" s="137"/>
      <c r="B253" s="22"/>
      <c r="C253" s="22"/>
      <c r="D253" s="22"/>
      <c r="E253" s="22"/>
      <c r="F253" s="22"/>
      <c r="G253" s="22"/>
      <c r="H253" s="22"/>
      <c r="I253" s="22"/>
      <c r="J253" s="22"/>
      <c r="K253" s="22"/>
      <c r="L253" s="22"/>
      <c r="M253" s="22"/>
      <c r="N253" s="22"/>
      <c r="O253" s="17"/>
      <c r="P253" s="17"/>
      <c r="Q253" s="17"/>
      <c r="R253" s="17"/>
      <c r="S253" s="17"/>
      <c r="T253" s="5"/>
    </row>
    <row r="254" spans="1:20" x14ac:dyDescent="0.25">
      <c r="A254" s="137"/>
      <c r="B254" s="22"/>
      <c r="C254" s="22"/>
      <c r="D254" s="22"/>
      <c r="E254" s="22"/>
      <c r="F254" s="22"/>
      <c r="G254" s="22"/>
      <c r="H254" s="22"/>
      <c r="I254" s="22"/>
      <c r="J254" s="22"/>
      <c r="K254" s="22"/>
      <c r="L254" s="22"/>
      <c r="M254" s="22"/>
      <c r="N254" s="22"/>
      <c r="O254" s="17"/>
      <c r="P254" s="17"/>
      <c r="Q254" s="17"/>
      <c r="R254" s="17"/>
      <c r="S254" s="17"/>
      <c r="T254" s="5"/>
    </row>
    <row r="255" spans="1:20" x14ac:dyDescent="0.25">
      <c r="A255" s="145"/>
      <c r="B255" s="4"/>
      <c r="C255" s="4"/>
      <c r="D255" s="4"/>
      <c r="E255" s="4"/>
      <c r="F255" s="4"/>
      <c r="G255" s="4"/>
      <c r="H255" s="4"/>
      <c r="I255" s="4"/>
      <c r="J255" s="4"/>
      <c r="K255" s="4"/>
      <c r="L255" s="4"/>
      <c r="M255" s="4"/>
      <c r="N255" s="4"/>
      <c r="O255" s="34"/>
      <c r="P255" s="34"/>
      <c r="Q255" s="34"/>
      <c r="R255" s="34"/>
      <c r="S255" s="34"/>
    </row>
    <row r="256" spans="1:20" x14ac:dyDescent="0.25">
      <c r="A256" s="146"/>
      <c r="B256" s="20"/>
      <c r="C256" s="20"/>
      <c r="D256" s="20"/>
      <c r="E256" s="20"/>
      <c r="F256" s="20"/>
      <c r="G256" s="20"/>
      <c r="H256" s="20"/>
      <c r="I256" s="20"/>
      <c r="J256" s="20"/>
      <c r="K256" s="20"/>
      <c r="L256" s="20"/>
      <c r="M256" s="20"/>
      <c r="N256" s="20"/>
      <c r="O256" s="35"/>
      <c r="P256" s="35"/>
      <c r="Q256" s="35"/>
      <c r="R256" s="35"/>
      <c r="S256" s="35"/>
    </row>
    <row r="257" spans="1:19" x14ac:dyDescent="0.25">
      <c r="A257" s="146"/>
      <c r="B257" s="20"/>
      <c r="C257" s="20"/>
      <c r="D257" s="20"/>
      <c r="E257" s="20"/>
      <c r="F257" s="20"/>
      <c r="G257" s="20"/>
      <c r="H257" s="20"/>
      <c r="I257" s="20"/>
      <c r="J257" s="20"/>
      <c r="K257" s="20"/>
      <c r="L257" s="20"/>
      <c r="M257" s="20"/>
      <c r="N257" s="20"/>
      <c r="O257" s="35"/>
      <c r="P257" s="35"/>
      <c r="Q257" s="35"/>
      <c r="R257" s="35"/>
      <c r="S257" s="35"/>
    </row>
    <row r="258" spans="1:19" x14ac:dyDescent="0.25">
      <c r="A258" s="53"/>
      <c r="B258" s="15"/>
      <c r="C258" s="15"/>
      <c r="D258" s="15"/>
      <c r="E258" s="15"/>
      <c r="F258" s="15"/>
      <c r="G258" s="15"/>
      <c r="H258" s="15"/>
      <c r="I258" s="15"/>
      <c r="J258" s="15"/>
      <c r="K258" s="15"/>
      <c r="L258" s="15"/>
      <c r="M258" s="15"/>
      <c r="N258" s="15"/>
      <c r="O258" s="36"/>
      <c r="P258" s="36"/>
      <c r="Q258" s="36"/>
      <c r="R258" s="36"/>
      <c r="S258" s="36"/>
    </row>
    <row r="259" spans="1:19" x14ac:dyDescent="0.25">
      <c r="A259" s="53"/>
      <c r="B259" s="15"/>
      <c r="C259" s="15"/>
      <c r="D259" s="15"/>
      <c r="E259" s="15"/>
      <c r="F259" s="15"/>
      <c r="G259" s="15"/>
      <c r="H259" s="15"/>
      <c r="I259" s="15"/>
      <c r="J259" s="15"/>
      <c r="K259" s="15"/>
      <c r="L259" s="15"/>
      <c r="M259" s="15"/>
      <c r="N259" s="15"/>
      <c r="O259" s="36"/>
      <c r="P259" s="36"/>
      <c r="Q259" s="36"/>
      <c r="R259" s="36"/>
      <c r="S259" s="36"/>
    </row>
    <row r="260" spans="1:19" x14ac:dyDescent="0.25">
      <c r="A260" s="145"/>
      <c r="B260" s="4"/>
      <c r="C260" s="4"/>
      <c r="D260" s="4"/>
      <c r="E260" s="4"/>
      <c r="F260" s="4"/>
      <c r="G260" s="4"/>
      <c r="H260" s="4"/>
      <c r="I260" s="4"/>
      <c r="J260" s="4"/>
      <c r="K260" s="4"/>
      <c r="L260" s="4"/>
      <c r="M260" s="4"/>
      <c r="N260" s="4"/>
      <c r="O260" s="34"/>
      <c r="P260" s="34"/>
      <c r="Q260" s="34"/>
      <c r="R260" s="34"/>
      <c r="S260" s="34"/>
    </row>
    <row r="261" spans="1:19" x14ac:dyDescent="0.25">
      <c r="A261" s="146"/>
      <c r="B261" s="20"/>
      <c r="C261" s="20"/>
      <c r="D261" s="20"/>
      <c r="E261" s="20"/>
      <c r="F261" s="20"/>
      <c r="G261" s="20"/>
      <c r="H261" s="20"/>
      <c r="I261" s="20"/>
      <c r="J261" s="20"/>
      <c r="K261" s="20"/>
      <c r="L261" s="20"/>
      <c r="M261" s="20"/>
      <c r="N261" s="20"/>
      <c r="O261" s="35"/>
      <c r="P261" s="35"/>
      <c r="Q261" s="35"/>
      <c r="R261" s="35"/>
      <c r="S261" s="35"/>
    </row>
    <row r="262" spans="1:19" x14ac:dyDescent="0.25">
      <c r="A262" s="146"/>
      <c r="B262" s="20"/>
      <c r="C262" s="20"/>
      <c r="D262" s="20"/>
      <c r="E262" s="20"/>
      <c r="F262" s="20"/>
      <c r="G262" s="20"/>
      <c r="H262" s="20"/>
      <c r="I262" s="20"/>
      <c r="J262" s="20"/>
      <c r="K262" s="20"/>
      <c r="L262" s="20"/>
      <c r="M262" s="20"/>
      <c r="N262" s="20"/>
      <c r="O262" s="35"/>
      <c r="P262" s="35"/>
      <c r="Q262" s="35"/>
      <c r="R262" s="35"/>
      <c r="S262" s="35"/>
    </row>
    <row r="263" spans="1:19" x14ac:dyDescent="0.25">
      <c r="A263" s="53"/>
      <c r="B263" s="15"/>
      <c r="C263" s="15"/>
      <c r="D263" s="15"/>
      <c r="E263" s="15"/>
      <c r="F263" s="15"/>
      <c r="G263" s="15"/>
      <c r="H263" s="15"/>
      <c r="I263" s="15"/>
      <c r="J263" s="15"/>
      <c r="K263" s="15"/>
      <c r="L263" s="15"/>
      <c r="M263" s="15"/>
      <c r="N263" s="15"/>
      <c r="O263" s="36"/>
      <c r="P263" s="36"/>
      <c r="Q263" s="36"/>
      <c r="R263" s="36"/>
      <c r="S263" s="36"/>
    </row>
    <row r="264" spans="1:19" x14ac:dyDescent="0.25">
      <c r="A264" s="53"/>
      <c r="B264" s="15"/>
      <c r="C264" s="15"/>
      <c r="D264" s="15"/>
      <c r="E264" s="15"/>
      <c r="F264" s="15"/>
      <c r="G264" s="15"/>
      <c r="H264" s="15"/>
      <c r="I264" s="15"/>
      <c r="J264" s="15"/>
      <c r="K264" s="15"/>
      <c r="L264" s="15"/>
      <c r="M264" s="15"/>
      <c r="N264" s="15"/>
      <c r="O264" s="36"/>
      <c r="P264" s="36"/>
      <c r="Q264" s="36"/>
      <c r="R264" s="36"/>
      <c r="S264" s="36"/>
    </row>
    <row r="265" spans="1:19" x14ac:dyDescent="0.25">
      <c r="A265" s="145"/>
      <c r="B265" s="4"/>
      <c r="C265" s="4"/>
      <c r="D265" s="4"/>
      <c r="E265" s="4"/>
      <c r="F265" s="4"/>
      <c r="G265" s="4"/>
      <c r="H265" s="4"/>
      <c r="I265" s="4"/>
      <c r="J265" s="4"/>
      <c r="K265" s="4"/>
      <c r="L265" s="4"/>
      <c r="M265" s="4"/>
      <c r="N265" s="4"/>
      <c r="O265" s="34"/>
      <c r="P265" s="34"/>
      <c r="Q265" s="34"/>
      <c r="R265" s="34"/>
      <c r="S265" s="34"/>
    </row>
    <row r="266" spans="1:19" x14ac:dyDescent="0.25">
      <c r="A266" s="146"/>
      <c r="B266" s="20"/>
      <c r="C266" s="20"/>
      <c r="D266" s="20"/>
      <c r="E266" s="20"/>
      <c r="F266" s="20"/>
      <c r="G266" s="20"/>
      <c r="H266" s="20"/>
      <c r="I266" s="20"/>
      <c r="J266" s="20"/>
      <c r="K266" s="20"/>
      <c r="L266" s="20"/>
      <c r="M266" s="20"/>
      <c r="N266" s="20"/>
      <c r="O266" s="35"/>
      <c r="P266" s="35"/>
      <c r="Q266" s="35"/>
      <c r="R266" s="35"/>
      <c r="S266" s="35"/>
    </row>
    <row r="267" spans="1:19" x14ac:dyDescent="0.25">
      <c r="A267" s="146"/>
      <c r="B267" s="20"/>
      <c r="C267" s="20"/>
      <c r="D267" s="20"/>
      <c r="E267" s="20"/>
      <c r="F267" s="20"/>
      <c r="G267" s="20"/>
      <c r="H267" s="20"/>
      <c r="I267" s="20"/>
      <c r="J267" s="20"/>
      <c r="K267" s="20"/>
      <c r="L267" s="20"/>
      <c r="M267" s="20"/>
      <c r="N267" s="20"/>
      <c r="O267" s="35"/>
      <c r="P267" s="35"/>
      <c r="Q267" s="35"/>
      <c r="R267" s="35"/>
      <c r="S267" s="35"/>
    </row>
    <row r="268" spans="1:19" x14ac:dyDescent="0.25">
      <c r="A268" s="53"/>
      <c r="B268" s="15"/>
      <c r="C268" s="15"/>
      <c r="D268" s="15"/>
      <c r="E268" s="15"/>
      <c r="F268" s="15"/>
      <c r="G268" s="15"/>
      <c r="H268" s="15"/>
      <c r="I268" s="15"/>
      <c r="J268" s="15"/>
      <c r="K268" s="15"/>
      <c r="L268" s="15"/>
      <c r="M268" s="15"/>
      <c r="N268" s="15"/>
      <c r="O268" s="36"/>
      <c r="P268" s="36"/>
      <c r="Q268" s="36"/>
      <c r="R268" s="36"/>
      <c r="S268" s="36"/>
    </row>
    <row r="269" spans="1:19" x14ac:dyDescent="0.25">
      <c r="A269" s="53"/>
      <c r="B269" s="15"/>
      <c r="C269" s="15"/>
      <c r="D269" s="15"/>
      <c r="E269" s="15"/>
      <c r="F269" s="15"/>
      <c r="G269" s="15"/>
      <c r="H269" s="15"/>
      <c r="I269" s="15"/>
      <c r="J269" s="15"/>
      <c r="K269" s="15"/>
      <c r="L269" s="15"/>
      <c r="M269" s="15"/>
      <c r="N269" s="15"/>
      <c r="O269" s="36"/>
      <c r="P269" s="36"/>
      <c r="Q269" s="36"/>
      <c r="R269" s="36"/>
      <c r="S269" s="36"/>
    </row>
    <row r="270" spans="1:19" x14ac:dyDescent="0.25">
      <c r="A270" s="145"/>
      <c r="B270" s="4"/>
      <c r="C270" s="4"/>
      <c r="D270" s="4"/>
      <c r="E270" s="4"/>
      <c r="F270" s="4"/>
      <c r="G270" s="4"/>
      <c r="H270" s="4"/>
      <c r="I270" s="4"/>
      <c r="J270" s="4"/>
      <c r="K270" s="4"/>
      <c r="L270" s="4"/>
      <c r="M270" s="4"/>
      <c r="N270" s="4"/>
      <c r="O270" s="34"/>
      <c r="P270" s="34"/>
      <c r="Q270" s="34"/>
      <c r="R270" s="34"/>
      <c r="S270" s="34"/>
    </row>
    <row r="271" spans="1:19" x14ac:dyDescent="0.25">
      <c r="A271" s="146"/>
      <c r="B271" s="20"/>
      <c r="C271" s="20"/>
      <c r="D271" s="20"/>
      <c r="E271" s="20"/>
      <c r="F271" s="20"/>
      <c r="G271" s="20"/>
      <c r="H271" s="20"/>
      <c r="I271" s="20"/>
      <c r="J271" s="20"/>
      <c r="K271" s="20"/>
      <c r="L271" s="20"/>
      <c r="M271" s="20"/>
      <c r="N271" s="20"/>
      <c r="O271" s="35"/>
      <c r="P271" s="35"/>
      <c r="Q271" s="35"/>
      <c r="R271" s="35"/>
      <c r="S271" s="35"/>
    </row>
    <row r="272" spans="1:19" x14ac:dyDescent="0.25">
      <c r="A272" s="146"/>
      <c r="B272" s="20"/>
      <c r="C272" s="20"/>
      <c r="D272" s="20"/>
      <c r="E272" s="20"/>
      <c r="F272" s="20"/>
      <c r="G272" s="20"/>
      <c r="H272" s="20"/>
      <c r="I272" s="20"/>
      <c r="J272" s="20"/>
      <c r="K272" s="20"/>
      <c r="L272" s="20"/>
      <c r="M272" s="20"/>
      <c r="N272" s="20"/>
      <c r="O272" s="35"/>
      <c r="P272" s="35"/>
      <c r="Q272" s="35"/>
      <c r="R272" s="35"/>
      <c r="S272" s="35"/>
    </row>
    <row r="273" spans="1:19" x14ac:dyDescent="0.25">
      <c r="A273" s="53"/>
      <c r="B273" s="15"/>
      <c r="C273" s="15"/>
      <c r="D273" s="15"/>
      <c r="E273" s="15"/>
      <c r="F273" s="15"/>
      <c r="G273" s="15"/>
      <c r="H273" s="15"/>
      <c r="I273" s="15"/>
      <c r="J273" s="15"/>
      <c r="K273" s="15"/>
      <c r="L273" s="15"/>
      <c r="M273" s="15"/>
      <c r="N273" s="15"/>
      <c r="O273" s="36"/>
      <c r="P273" s="36"/>
      <c r="Q273" s="36"/>
      <c r="R273" s="36"/>
      <c r="S273" s="36"/>
    </row>
    <row r="274" spans="1:19" x14ac:dyDescent="0.25">
      <c r="A274" s="53"/>
      <c r="B274" s="15"/>
      <c r="C274" s="15"/>
      <c r="D274" s="15"/>
      <c r="E274" s="15"/>
      <c r="F274" s="15"/>
      <c r="G274" s="15"/>
      <c r="H274" s="15"/>
      <c r="I274" s="15"/>
      <c r="J274" s="15"/>
      <c r="K274" s="15"/>
      <c r="L274" s="15"/>
      <c r="M274" s="15"/>
      <c r="N274" s="15"/>
      <c r="O274" s="36"/>
      <c r="P274" s="36"/>
      <c r="Q274" s="36"/>
      <c r="R274" s="36"/>
      <c r="S274" s="36"/>
    </row>
    <row r="275" spans="1:19" x14ac:dyDescent="0.25">
      <c r="A275" s="145"/>
      <c r="B275" s="4"/>
      <c r="C275" s="4"/>
      <c r="D275" s="4"/>
      <c r="E275" s="4"/>
      <c r="F275" s="4"/>
      <c r="G275" s="4"/>
      <c r="H275" s="4"/>
      <c r="I275" s="4"/>
      <c r="J275" s="4"/>
      <c r="K275" s="4"/>
      <c r="L275" s="4"/>
      <c r="M275" s="4"/>
      <c r="N275" s="4"/>
      <c r="O275" s="34"/>
      <c r="P275" s="34"/>
      <c r="Q275" s="34"/>
      <c r="R275" s="34"/>
      <c r="S275" s="34"/>
    </row>
    <row r="276" spans="1:19" x14ac:dyDescent="0.25">
      <c r="A276" s="146"/>
      <c r="B276" s="20"/>
      <c r="C276" s="20"/>
      <c r="D276" s="20"/>
      <c r="E276" s="20"/>
      <c r="F276" s="20"/>
      <c r="G276" s="20"/>
      <c r="H276" s="20"/>
      <c r="I276" s="20"/>
      <c r="J276" s="20"/>
      <c r="K276" s="20"/>
      <c r="L276" s="20"/>
      <c r="M276" s="20"/>
      <c r="N276" s="20"/>
      <c r="O276" s="35"/>
      <c r="P276" s="35"/>
      <c r="Q276" s="35"/>
      <c r="R276" s="35"/>
      <c r="S276" s="35"/>
    </row>
    <row r="277" spans="1:19" x14ac:dyDescent="0.25">
      <c r="A277" s="146"/>
      <c r="B277" s="20"/>
      <c r="C277" s="20"/>
      <c r="D277" s="20"/>
      <c r="E277" s="20"/>
      <c r="F277" s="20"/>
      <c r="G277" s="20"/>
      <c r="H277" s="20"/>
      <c r="I277" s="20"/>
      <c r="J277" s="20"/>
      <c r="K277" s="20"/>
      <c r="L277" s="20"/>
      <c r="M277" s="20"/>
      <c r="N277" s="20"/>
      <c r="O277" s="35"/>
      <c r="P277" s="35"/>
      <c r="Q277" s="35"/>
      <c r="R277" s="35"/>
      <c r="S277" s="35"/>
    </row>
    <row r="278" spans="1:19" x14ac:dyDescent="0.25">
      <c r="A278" s="53"/>
      <c r="B278" s="15"/>
      <c r="C278" s="15"/>
      <c r="D278" s="15"/>
      <c r="E278" s="15"/>
      <c r="F278" s="15"/>
      <c r="G278" s="15"/>
      <c r="H278" s="15"/>
      <c r="I278" s="15"/>
      <c r="J278" s="15"/>
      <c r="K278" s="15"/>
      <c r="L278" s="15"/>
      <c r="M278" s="15"/>
      <c r="N278" s="15"/>
      <c r="O278" s="36"/>
      <c r="P278" s="36"/>
      <c r="Q278" s="36"/>
      <c r="R278" s="36"/>
      <c r="S278" s="36"/>
    </row>
    <row r="279" spans="1:19" x14ac:dyDescent="0.25">
      <c r="A279" s="53"/>
      <c r="B279" s="15"/>
      <c r="C279" s="15"/>
      <c r="D279" s="15"/>
      <c r="E279" s="15"/>
      <c r="F279" s="15"/>
      <c r="G279" s="15"/>
      <c r="H279" s="15"/>
      <c r="I279" s="15"/>
      <c r="J279" s="15"/>
      <c r="K279" s="15"/>
      <c r="L279" s="15"/>
      <c r="M279" s="15"/>
      <c r="N279" s="15"/>
      <c r="O279" s="36"/>
      <c r="P279" s="36"/>
      <c r="Q279" s="36"/>
      <c r="R279" s="36"/>
      <c r="S279" s="36"/>
    </row>
    <row r="280" spans="1:19" x14ac:dyDescent="0.25">
      <c r="A280" s="145"/>
      <c r="B280" s="4"/>
      <c r="C280" s="4"/>
      <c r="D280" s="4"/>
      <c r="E280" s="4"/>
      <c r="F280" s="4"/>
      <c r="G280" s="4"/>
      <c r="H280" s="4"/>
      <c r="I280" s="4"/>
      <c r="J280" s="4"/>
      <c r="K280" s="4"/>
      <c r="L280" s="4"/>
      <c r="M280" s="4"/>
      <c r="N280" s="4"/>
      <c r="O280" s="34"/>
      <c r="P280" s="34"/>
      <c r="Q280" s="34"/>
      <c r="R280" s="34"/>
      <c r="S280" s="34"/>
    </row>
    <row r="281" spans="1:19" x14ac:dyDescent="0.25">
      <c r="A281" s="146"/>
      <c r="B281" s="20"/>
      <c r="C281" s="20"/>
      <c r="D281" s="20"/>
      <c r="E281" s="20"/>
      <c r="F281" s="20"/>
      <c r="G281" s="20"/>
      <c r="H281" s="20"/>
      <c r="I281" s="20"/>
      <c r="J281" s="20"/>
      <c r="K281" s="20"/>
      <c r="L281" s="20"/>
      <c r="M281" s="20"/>
      <c r="N281" s="20"/>
      <c r="O281" s="35"/>
      <c r="P281" s="35"/>
      <c r="Q281" s="35"/>
      <c r="R281" s="35"/>
      <c r="S281" s="35"/>
    </row>
    <row r="282" spans="1:19" x14ac:dyDescent="0.25">
      <c r="A282" s="146"/>
      <c r="B282" s="20"/>
      <c r="C282" s="20"/>
      <c r="D282" s="20"/>
      <c r="E282" s="20"/>
      <c r="F282" s="20"/>
      <c r="G282" s="20"/>
      <c r="H282" s="20"/>
      <c r="I282" s="20"/>
      <c r="J282" s="20"/>
      <c r="K282" s="20"/>
      <c r="L282" s="20"/>
      <c r="M282" s="20"/>
      <c r="N282" s="20"/>
      <c r="O282" s="35"/>
      <c r="P282" s="35"/>
      <c r="Q282" s="35"/>
      <c r="R282" s="35"/>
      <c r="S282" s="35"/>
    </row>
    <row r="283" spans="1:19" x14ac:dyDescent="0.25">
      <c r="A283" s="53"/>
      <c r="B283" s="15"/>
      <c r="C283" s="15"/>
      <c r="D283" s="15"/>
      <c r="E283" s="15"/>
      <c r="F283" s="15"/>
      <c r="G283" s="15"/>
      <c r="H283" s="15"/>
      <c r="I283" s="15"/>
      <c r="J283" s="15"/>
      <c r="K283" s="15"/>
      <c r="L283" s="15"/>
      <c r="M283" s="15"/>
      <c r="N283" s="15"/>
      <c r="O283" s="36"/>
      <c r="P283" s="36"/>
      <c r="Q283" s="36"/>
      <c r="R283" s="36"/>
      <c r="S283" s="36"/>
    </row>
    <row r="284" spans="1:19" x14ac:dyDescent="0.25">
      <c r="A284" s="53"/>
      <c r="B284" s="15"/>
      <c r="C284" s="15"/>
      <c r="D284" s="15"/>
      <c r="E284" s="15"/>
      <c r="F284" s="15"/>
      <c r="G284" s="15"/>
      <c r="H284" s="15"/>
      <c r="I284" s="15"/>
      <c r="J284" s="15"/>
      <c r="K284" s="15"/>
      <c r="L284" s="15"/>
      <c r="M284" s="15"/>
      <c r="N284" s="15"/>
      <c r="O284" s="36"/>
      <c r="P284" s="36"/>
      <c r="Q284" s="36"/>
      <c r="R284" s="36"/>
      <c r="S284" s="36"/>
    </row>
    <row r="285" spans="1:19" x14ac:dyDescent="0.25">
      <c r="A285" s="145"/>
      <c r="B285" s="4"/>
      <c r="C285" s="4"/>
      <c r="D285" s="4"/>
      <c r="E285" s="4"/>
      <c r="F285" s="4"/>
      <c r="G285" s="4"/>
      <c r="H285" s="4"/>
      <c r="I285" s="4"/>
      <c r="J285" s="4"/>
      <c r="K285" s="4"/>
      <c r="L285" s="4"/>
      <c r="M285" s="4"/>
      <c r="N285" s="4"/>
      <c r="O285" s="34"/>
      <c r="P285" s="34"/>
      <c r="Q285" s="34"/>
      <c r="R285" s="34"/>
      <c r="S285" s="34"/>
    </row>
    <row r="286" spans="1:19" x14ac:dyDescent="0.25">
      <c r="A286" s="146"/>
      <c r="B286" s="20"/>
      <c r="C286" s="20"/>
      <c r="D286" s="20"/>
      <c r="E286" s="20"/>
      <c r="F286" s="20"/>
      <c r="G286" s="20"/>
      <c r="H286" s="20"/>
      <c r="I286" s="20"/>
      <c r="J286" s="20"/>
      <c r="K286" s="20"/>
      <c r="L286" s="20"/>
      <c r="M286" s="20"/>
      <c r="N286" s="20"/>
      <c r="O286" s="35"/>
      <c r="P286" s="35"/>
      <c r="Q286" s="35"/>
      <c r="R286" s="35"/>
      <c r="S286" s="35"/>
    </row>
    <row r="287" spans="1:19" x14ac:dyDescent="0.25">
      <c r="A287" s="146"/>
      <c r="B287" s="20"/>
      <c r="C287" s="20"/>
      <c r="D287" s="20"/>
      <c r="E287" s="20"/>
      <c r="F287" s="20"/>
      <c r="G287" s="20"/>
      <c r="H287" s="20"/>
      <c r="I287" s="20"/>
      <c r="J287" s="20"/>
      <c r="K287" s="20"/>
      <c r="L287" s="20"/>
      <c r="M287" s="20"/>
      <c r="N287" s="20"/>
      <c r="O287" s="35"/>
      <c r="P287" s="35"/>
      <c r="Q287" s="35"/>
      <c r="R287" s="35"/>
      <c r="S287" s="35"/>
    </row>
    <row r="288" spans="1:19" x14ac:dyDescent="0.25">
      <c r="A288" s="53"/>
      <c r="B288" s="15"/>
      <c r="C288" s="15"/>
      <c r="D288" s="15"/>
      <c r="E288" s="15"/>
      <c r="F288" s="15"/>
      <c r="G288" s="15"/>
      <c r="H288" s="15"/>
      <c r="I288" s="15"/>
      <c r="J288" s="15"/>
      <c r="K288" s="15"/>
      <c r="L288" s="15"/>
      <c r="M288" s="15"/>
      <c r="N288" s="15"/>
      <c r="O288" s="36"/>
      <c r="P288" s="36"/>
      <c r="Q288" s="36"/>
      <c r="R288" s="36"/>
      <c r="S288" s="36"/>
    </row>
    <row r="289" spans="1:19" x14ac:dyDescent="0.25">
      <c r="A289" s="53"/>
      <c r="B289" s="15"/>
      <c r="C289" s="15"/>
      <c r="D289" s="15"/>
      <c r="E289" s="15"/>
      <c r="F289" s="15"/>
      <c r="G289" s="15"/>
      <c r="H289" s="15"/>
      <c r="I289" s="15"/>
      <c r="J289" s="15"/>
      <c r="K289" s="15"/>
      <c r="L289" s="15"/>
      <c r="M289" s="15"/>
      <c r="N289" s="15"/>
      <c r="O289" s="36"/>
      <c r="P289" s="36"/>
      <c r="Q289" s="36"/>
      <c r="R289" s="36"/>
      <c r="S289" s="36"/>
    </row>
    <row r="290" spans="1:19" x14ac:dyDescent="0.25">
      <c r="A290" s="145"/>
      <c r="B290" s="4"/>
      <c r="C290" s="4"/>
      <c r="D290" s="4"/>
      <c r="E290" s="4"/>
      <c r="F290" s="4"/>
      <c r="G290" s="4"/>
      <c r="H290" s="4"/>
      <c r="I290" s="4"/>
      <c r="J290" s="4"/>
      <c r="K290" s="4"/>
      <c r="L290" s="4"/>
      <c r="M290" s="4"/>
      <c r="N290" s="4"/>
      <c r="O290" s="34"/>
      <c r="P290" s="34"/>
      <c r="Q290" s="34"/>
      <c r="R290" s="34"/>
      <c r="S290" s="34"/>
    </row>
    <row r="291" spans="1:19" x14ac:dyDescent="0.25">
      <c r="A291" s="146"/>
      <c r="B291" s="20"/>
      <c r="C291" s="20"/>
      <c r="D291" s="20"/>
      <c r="E291" s="20"/>
      <c r="F291" s="20"/>
      <c r="G291" s="20"/>
      <c r="H291" s="20"/>
      <c r="I291" s="20"/>
      <c r="J291" s="20"/>
      <c r="K291" s="20"/>
      <c r="L291" s="20"/>
      <c r="M291" s="20"/>
      <c r="N291" s="20"/>
      <c r="O291" s="35"/>
      <c r="P291" s="35"/>
      <c r="Q291" s="35"/>
      <c r="R291" s="35"/>
      <c r="S291" s="35"/>
    </row>
    <row r="292" spans="1:19" x14ac:dyDescent="0.25">
      <c r="A292" s="146"/>
      <c r="B292" s="20"/>
      <c r="C292" s="20"/>
      <c r="D292" s="20"/>
      <c r="E292" s="20"/>
      <c r="F292" s="20"/>
      <c r="G292" s="20"/>
      <c r="H292" s="20"/>
      <c r="I292" s="20"/>
      <c r="J292" s="20"/>
      <c r="K292" s="20"/>
      <c r="L292" s="20"/>
      <c r="M292" s="20"/>
      <c r="N292" s="20"/>
      <c r="O292" s="35"/>
      <c r="P292" s="35"/>
      <c r="Q292" s="35"/>
      <c r="R292" s="35"/>
      <c r="S292" s="35"/>
    </row>
    <row r="293" spans="1:19" x14ac:dyDescent="0.25">
      <c r="A293" s="53"/>
      <c r="B293" s="15"/>
      <c r="C293" s="15"/>
      <c r="D293" s="15"/>
      <c r="E293" s="15"/>
      <c r="F293" s="15"/>
      <c r="G293" s="15"/>
      <c r="H293" s="15"/>
      <c r="I293" s="15"/>
      <c r="J293" s="15"/>
      <c r="K293" s="15"/>
      <c r="L293" s="15"/>
      <c r="M293" s="15"/>
      <c r="N293" s="15"/>
      <c r="O293" s="36"/>
      <c r="P293" s="36"/>
      <c r="Q293" s="36"/>
      <c r="R293" s="36"/>
      <c r="S293" s="36"/>
    </row>
    <row r="294" spans="1:19" x14ac:dyDescent="0.25">
      <c r="A294" s="53"/>
      <c r="B294" s="15"/>
      <c r="C294" s="15"/>
      <c r="D294" s="15"/>
      <c r="E294" s="15"/>
      <c r="F294" s="15"/>
      <c r="G294" s="15"/>
      <c r="H294" s="15"/>
      <c r="I294" s="15"/>
      <c r="J294" s="15"/>
      <c r="K294" s="15"/>
      <c r="L294" s="15"/>
      <c r="M294" s="15"/>
      <c r="N294" s="15"/>
      <c r="O294" s="36"/>
      <c r="P294" s="36"/>
      <c r="Q294" s="36"/>
      <c r="R294" s="36"/>
      <c r="S294" s="36"/>
    </row>
    <row r="295" spans="1:19" x14ac:dyDescent="0.25">
      <c r="A295" s="145"/>
      <c r="B295" s="4"/>
      <c r="C295" s="4"/>
      <c r="D295" s="4"/>
      <c r="E295" s="4"/>
      <c r="F295" s="4"/>
      <c r="G295" s="4"/>
      <c r="H295" s="4"/>
      <c r="I295" s="4"/>
      <c r="J295" s="4"/>
      <c r="K295" s="4"/>
      <c r="L295" s="4"/>
      <c r="M295" s="4"/>
      <c r="N295" s="4"/>
      <c r="O295" s="34"/>
      <c r="P295" s="34"/>
      <c r="Q295" s="34"/>
      <c r="R295" s="34"/>
      <c r="S295" s="34"/>
    </row>
    <row r="296" spans="1:19" x14ac:dyDescent="0.25">
      <c r="A296" s="146"/>
      <c r="B296" s="20"/>
      <c r="C296" s="20"/>
      <c r="D296" s="20"/>
      <c r="E296" s="20"/>
      <c r="F296" s="20"/>
      <c r="G296" s="20"/>
      <c r="H296" s="20"/>
      <c r="I296" s="20"/>
      <c r="J296" s="20"/>
      <c r="K296" s="20"/>
      <c r="L296" s="20"/>
      <c r="M296" s="20"/>
      <c r="N296" s="20"/>
      <c r="O296" s="35"/>
      <c r="P296" s="35"/>
      <c r="Q296" s="35"/>
      <c r="R296" s="35"/>
      <c r="S296" s="35"/>
    </row>
    <row r="297" spans="1:19" x14ac:dyDescent="0.25">
      <c r="A297" s="146"/>
      <c r="B297" s="20"/>
      <c r="C297" s="20"/>
      <c r="D297" s="20"/>
      <c r="E297" s="20"/>
      <c r="F297" s="20"/>
      <c r="G297" s="20"/>
      <c r="H297" s="20"/>
      <c r="I297" s="20"/>
      <c r="J297" s="20"/>
      <c r="K297" s="20"/>
      <c r="L297" s="20"/>
      <c r="M297" s="20"/>
      <c r="N297" s="20"/>
      <c r="O297" s="35"/>
      <c r="P297" s="35"/>
      <c r="Q297" s="35"/>
      <c r="R297" s="35"/>
      <c r="S297" s="35"/>
    </row>
    <row r="298" spans="1:19" x14ac:dyDescent="0.25">
      <c r="A298" s="53"/>
      <c r="B298" s="15"/>
      <c r="C298" s="15"/>
      <c r="D298" s="15"/>
      <c r="E298" s="15"/>
      <c r="F298" s="15"/>
      <c r="G298" s="15"/>
      <c r="H298" s="15"/>
      <c r="I298" s="15"/>
      <c r="J298" s="15"/>
      <c r="K298" s="15"/>
      <c r="L298" s="15"/>
      <c r="M298" s="15"/>
      <c r="N298" s="15"/>
      <c r="O298" s="36"/>
      <c r="P298" s="36"/>
      <c r="Q298" s="36"/>
      <c r="R298" s="36"/>
      <c r="S298" s="36"/>
    </row>
    <row r="299" spans="1:19" x14ac:dyDescent="0.25">
      <c r="A299" s="53"/>
      <c r="B299" s="15"/>
      <c r="C299" s="15"/>
      <c r="D299" s="15"/>
      <c r="E299" s="15"/>
      <c r="F299" s="15"/>
      <c r="G299" s="15"/>
      <c r="H299" s="15"/>
      <c r="I299" s="15"/>
      <c r="J299" s="15"/>
      <c r="K299" s="15"/>
      <c r="L299" s="15"/>
      <c r="M299" s="15"/>
      <c r="N299" s="15"/>
      <c r="O299" s="36"/>
      <c r="P299" s="36"/>
      <c r="Q299" s="36"/>
      <c r="R299" s="36"/>
      <c r="S299" s="36"/>
    </row>
    <row r="300" spans="1:19" x14ac:dyDescent="0.25">
      <c r="A300" s="145"/>
      <c r="B300" s="4"/>
      <c r="C300" s="4"/>
      <c r="D300" s="4"/>
      <c r="E300" s="4"/>
      <c r="F300" s="4"/>
      <c r="G300" s="4"/>
      <c r="H300" s="4"/>
      <c r="I300" s="4"/>
      <c r="J300" s="4"/>
      <c r="K300" s="4"/>
      <c r="L300" s="4"/>
      <c r="M300" s="4"/>
      <c r="N300" s="4"/>
      <c r="O300" s="34"/>
      <c r="P300" s="34"/>
      <c r="Q300" s="34"/>
      <c r="R300" s="34"/>
      <c r="S300" s="34"/>
    </row>
    <row r="301" spans="1:19" x14ac:dyDescent="0.25">
      <c r="A301" s="146"/>
      <c r="B301" s="20"/>
      <c r="C301" s="20"/>
      <c r="D301" s="20"/>
      <c r="E301" s="20"/>
      <c r="F301" s="20"/>
      <c r="G301" s="20"/>
      <c r="H301" s="20"/>
      <c r="I301" s="20"/>
      <c r="J301" s="20"/>
      <c r="K301" s="20"/>
      <c r="L301" s="20"/>
      <c r="M301" s="20"/>
      <c r="N301" s="20"/>
      <c r="O301" s="35"/>
      <c r="P301" s="35"/>
      <c r="Q301" s="35"/>
      <c r="R301" s="35"/>
      <c r="S301" s="35"/>
    </row>
    <row r="302" spans="1:19" x14ac:dyDescent="0.25">
      <c r="A302" s="146"/>
      <c r="B302" s="20"/>
      <c r="C302" s="20"/>
      <c r="D302" s="20"/>
      <c r="E302" s="20"/>
      <c r="F302" s="20"/>
      <c r="G302" s="20"/>
      <c r="H302" s="20"/>
      <c r="I302" s="20"/>
      <c r="J302" s="20"/>
      <c r="K302" s="20"/>
      <c r="L302" s="20"/>
      <c r="M302" s="20"/>
      <c r="N302" s="20"/>
      <c r="O302" s="35"/>
      <c r="P302" s="35"/>
      <c r="Q302" s="35"/>
      <c r="R302" s="35"/>
      <c r="S302" s="35"/>
    </row>
    <row r="303" spans="1:19" x14ac:dyDescent="0.25">
      <c r="A303" s="53"/>
      <c r="B303" s="15"/>
      <c r="C303" s="15"/>
      <c r="D303" s="15"/>
      <c r="E303" s="15"/>
      <c r="F303" s="15"/>
      <c r="G303" s="15"/>
      <c r="H303" s="15"/>
      <c r="I303" s="15"/>
      <c r="J303" s="15"/>
      <c r="K303" s="15"/>
      <c r="L303" s="15"/>
      <c r="M303" s="15"/>
      <c r="N303" s="15"/>
      <c r="O303" s="36"/>
      <c r="P303" s="36"/>
      <c r="Q303" s="36"/>
      <c r="R303" s="36"/>
      <c r="S303" s="36"/>
    </row>
    <row r="304" spans="1:19" x14ac:dyDescent="0.25">
      <c r="A304" s="53"/>
      <c r="B304" s="15"/>
      <c r="C304" s="15"/>
      <c r="D304" s="15"/>
      <c r="E304" s="15"/>
      <c r="F304" s="15"/>
      <c r="G304" s="15"/>
      <c r="H304" s="15"/>
      <c r="I304" s="15"/>
      <c r="J304" s="15"/>
      <c r="K304" s="15"/>
      <c r="L304" s="15"/>
      <c r="M304" s="15"/>
      <c r="N304" s="15"/>
      <c r="O304" s="36"/>
      <c r="P304" s="36"/>
      <c r="Q304" s="36"/>
      <c r="R304" s="36"/>
      <c r="S304" s="36"/>
    </row>
    <row r="305" spans="1:19" x14ac:dyDescent="0.25">
      <c r="A305" s="145"/>
      <c r="B305" s="4"/>
      <c r="C305" s="4"/>
      <c r="D305" s="4"/>
      <c r="E305" s="4"/>
      <c r="F305" s="4"/>
      <c r="G305" s="4"/>
      <c r="H305" s="4"/>
      <c r="I305" s="4"/>
      <c r="J305" s="4"/>
      <c r="K305" s="4"/>
      <c r="L305" s="4"/>
      <c r="M305" s="4"/>
      <c r="N305" s="4"/>
      <c r="O305" s="34"/>
      <c r="P305" s="34"/>
      <c r="Q305" s="34"/>
      <c r="R305" s="34"/>
      <c r="S305" s="34"/>
    </row>
    <row r="306" spans="1:19" x14ac:dyDescent="0.25">
      <c r="A306" s="146"/>
      <c r="B306" s="20"/>
      <c r="C306" s="20"/>
      <c r="D306" s="20"/>
      <c r="E306" s="20"/>
      <c r="F306" s="20"/>
      <c r="G306" s="20"/>
      <c r="H306" s="20"/>
      <c r="I306" s="20"/>
      <c r="J306" s="20"/>
      <c r="K306" s="20"/>
      <c r="L306" s="20"/>
      <c r="M306" s="20"/>
      <c r="N306" s="20"/>
      <c r="O306" s="35"/>
      <c r="P306" s="35"/>
      <c r="Q306" s="35"/>
      <c r="R306" s="35"/>
      <c r="S306" s="35"/>
    </row>
    <row r="307" spans="1:19" x14ac:dyDescent="0.25">
      <c r="A307" s="146"/>
      <c r="B307" s="20"/>
      <c r="C307" s="20"/>
      <c r="D307" s="20"/>
      <c r="E307" s="20"/>
      <c r="F307" s="20"/>
      <c r="G307" s="20"/>
      <c r="H307" s="20"/>
      <c r="I307" s="20"/>
      <c r="J307" s="20"/>
      <c r="K307" s="20"/>
      <c r="L307" s="20"/>
      <c r="M307" s="20"/>
      <c r="N307" s="20"/>
      <c r="O307" s="35"/>
      <c r="P307" s="35"/>
      <c r="Q307" s="35"/>
      <c r="R307" s="35"/>
      <c r="S307" s="35"/>
    </row>
    <row r="308" spans="1:19" x14ac:dyDescent="0.25">
      <c r="A308" s="53"/>
      <c r="B308" s="15"/>
      <c r="C308" s="15"/>
      <c r="D308" s="15"/>
      <c r="E308" s="15"/>
      <c r="F308" s="15"/>
      <c r="G308" s="15"/>
      <c r="H308" s="15"/>
      <c r="I308" s="15"/>
      <c r="J308" s="15"/>
      <c r="K308" s="15"/>
      <c r="L308" s="15"/>
      <c r="M308" s="15"/>
      <c r="N308" s="15"/>
      <c r="O308" s="36"/>
      <c r="P308" s="36"/>
      <c r="Q308" s="36"/>
      <c r="R308" s="36"/>
      <c r="S308" s="36"/>
    </row>
    <row r="309" spans="1:19" x14ac:dyDescent="0.25">
      <c r="A309" s="53"/>
      <c r="B309" s="15"/>
      <c r="C309" s="15"/>
      <c r="D309" s="15"/>
      <c r="E309" s="15"/>
      <c r="F309" s="15"/>
      <c r="G309" s="15"/>
      <c r="H309" s="15"/>
      <c r="I309" s="15"/>
      <c r="J309" s="15"/>
      <c r="K309" s="15"/>
      <c r="L309" s="15"/>
      <c r="M309" s="15"/>
      <c r="N309" s="15"/>
      <c r="O309" s="36"/>
      <c r="P309" s="36"/>
      <c r="Q309" s="36"/>
      <c r="R309" s="36"/>
      <c r="S309" s="36"/>
    </row>
    <row r="310" spans="1:19" x14ac:dyDescent="0.25">
      <c r="A310" s="145"/>
      <c r="B310" s="4"/>
      <c r="C310" s="4"/>
      <c r="D310" s="4"/>
      <c r="E310" s="4"/>
      <c r="F310" s="4"/>
      <c r="G310" s="4"/>
      <c r="H310" s="4"/>
      <c r="I310" s="4"/>
      <c r="J310" s="4"/>
      <c r="K310" s="4"/>
      <c r="L310" s="4"/>
      <c r="M310" s="4"/>
      <c r="N310" s="4"/>
      <c r="O310" s="34"/>
      <c r="P310" s="34"/>
      <c r="Q310" s="34"/>
      <c r="R310" s="34"/>
      <c r="S310" s="34"/>
    </row>
    <row r="311" spans="1:19" x14ac:dyDescent="0.25">
      <c r="A311" s="146"/>
      <c r="B311" s="20"/>
      <c r="C311" s="20"/>
      <c r="D311" s="20"/>
      <c r="E311" s="20"/>
      <c r="F311" s="20"/>
      <c r="G311" s="20"/>
      <c r="H311" s="20"/>
      <c r="I311" s="20"/>
      <c r="J311" s="20"/>
      <c r="K311" s="20"/>
      <c r="L311" s="20"/>
      <c r="M311" s="20"/>
      <c r="N311" s="20"/>
      <c r="O311" s="35"/>
      <c r="P311" s="35"/>
      <c r="Q311" s="35"/>
      <c r="R311" s="35"/>
      <c r="S311" s="35"/>
    </row>
    <row r="312" spans="1:19" x14ac:dyDescent="0.25">
      <c r="A312" s="146"/>
      <c r="B312" s="20"/>
      <c r="C312" s="20"/>
      <c r="D312" s="20"/>
      <c r="E312" s="20"/>
      <c r="F312" s="20"/>
      <c r="G312" s="20"/>
      <c r="H312" s="20"/>
      <c r="I312" s="20"/>
      <c r="J312" s="20"/>
      <c r="K312" s="20"/>
      <c r="L312" s="20"/>
      <c r="M312" s="20"/>
      <c r="N312" s="20"/>
      <c r="O312" s="35"/>
      <c r="P312" s="35"/>
      <c r="Q312" s="35"/>
      <c r="R312" s="35"/>
      <c r="S312" s="35"/>
    </row>
    <row r="313" spans="1:19" x14ac:dyDescent="0.25">
      <c r="A313" s="53"/>
      <c r="B313" s="15"/>
      <c r="C313" s="15"/>
      <c r="D313" s="15"/>
      <c r="E313" s="15"/>
      <c r="F313" s="15"/>
      <c r="G313" s="15"/>
      <c r="H313" s="15"/>
      <c r="I313" s="15"/>
      <c r="J313" s="15"/>
      <c r="K313" s="15"/>
      <c r="L313" s="15"/>
      <c r="M313" s="15"/>
      <c r="N313" s="15"/>
      <c r="O313" s="36"/>
      <c r="P313" s="36"/>
      <c r="Q313" s="36"/>
      <c r="R313" s="36"/>
      <c r="S313" s="36"/>
    </row>
    <row r="314" spans="1:19" x14ac:dyDescent="0.25">
      <c r="A314" s="53"/>
      <c r="B314" s="15"/>
      <c r="C314" s="15"/>
      <c r="D314" s="15"/>
      <c r="E314" s="15"/>
      <c r="F314" s="15"/>
      <c r="G314" s="15"/>
      <c r="H314" s="15"/>
      <c r="I314" s="15"/>
      <c r="J314" s="15"/>
      <c r="K314" s="15"/>
      <c r="L314" s="15"/>
      <c r="M314" s="15"/>
      <c r="N314" s="15"/>
      <c r="O314" s="36"/>
      <c r="P314" s="36"/>
      <c r="Q314" s="36"/>
      <c r="R314" s="36"/>
      <c r="S314" s="36"/>
    </row>
    <row r="315" spans="1:19" x14ac:dyDescent="0.25">
      <c r="A315" s="145"/>
      <c r="B315" s="4"/>
      <c r="C315" s="4"/>
      <c r="D315" s="4"/>
      <c r="E315" s="4"/>
      <c r="F315" s="4"/>
      <c r="G315" s="4"/>
      <c r="H315" s="4"/>
      <c r="I315" s="4"/>
      <c r="J315" s="4"/>
      <c r="K315" s="4"/>
      <c r="L315" s="4"/>
      <c r="M315" s="4"/>
      <c r="N315" s="4"/>
      <c r="O315" s="34"/>
      <c r="P315" s="34"/>
      <c r="Q315" s="34"/>
      <c r="R315" s="34"/>
      <c r="S315" s="34"/>
    </row>
    <row r="316" spans="1:19" x14ac:dyDescent="0.25">
      <c r="A316" s="146"/>
      <c r="B316" s="20"/>
      <c r="C316" s="20"/>
      <c r="D316" s="20"/>
      <c r="E316" s="20"/>
      <c r="F316" s="20"/>
      <c r="G316" s="20"/>
      <c r="H316" s="20"/>
      <c r="I316" s="20"/>
      <c r="J316" s="20"/>
      <c r="K316" s="20"/>
      <c r="L316" s="20"/>
      <c r="M316" s="20"/>
      <c r="N316" s="20"/>
      <c r="O316" s="35"/>
      <c r="P316" s="35"/>
      <c r="Q316" s="35"/>
      <c r="R316" s="35"/>
      <c r="S316" s="35"/>
    </row>
    <row r="317" spans="1:19" x14ac:dyDescent="0.25">
      <c r="A317" s="146"/>
      <c r="B317" s="20"/>
      <c r="C317" s="20"/>
      <c r="D317" s="20"/>
      <c r="E317" s="20"/>
      <c r="F317" s="20"/>
      <c r="G317" s="20"/>
      <c r="H317" s="20"/>
      <c r="I317" s="20"/>
      <c r="J317" s="20"/>
      <c r="K317" s="20"/>
      <c r="L317" s="20"/>
      <c r="M317" s="20"/>
      <c r="N317" s="20"/>
      <c r="O317" s="35"/>
      <c r="P317" s="35"/>
      <c r="Q317" s="35"/>
      <c r="R317" s="35"/>
      <c r="S317" s="35"/>
    </row>
    <row r="318" spans="1:19" x14ac:dyDescent="0.25">
      <c r="A318" s="53"/>
      <c r="B318" s="15"/>
      <c r="C318" s="15"/>
      <c r="D318" s="15"/>
      <c r="E318" s="15"/>
      <c r="F318" s="15"/>
      <c r="G318" s="15"/>
      <c r="H318" s="15"/>
      <c r="I318" s="15"/>
      <c r="J318" s="15"/>
      <c r="K318" s="15"/>
      <c r="L318" s="15"/>
      <c r="M318" s="15"/>
      <c r="N318" s="15"/>
      <c r="O318" s="36"/>
      <c r="P318" s="36"/>
      <c r="Q318" s="36"/>
      <c r="R318" s="36"/>
      <c r="S318" s="36"/>
    </row>
    <row r="319" spans="1:19" x14ac:dyDescent="0.25">
      <c r="A319" s="53"/>
      <c r="B319" s="15"/>
      <c r="C319" s="15"/>
      <c r="D319" s="15"/>
      <c r="E319" s="15"/>
      <c r="F319" s="15"/>
      <c r="G319" s="15"/>
      <c r="H319" s="15"/>
      <c r="I319" s="15"/>
      <c r="J319" s="15"/>
      <c r="K319" s="15"/>
      <c r="L319" s="15"/>
      <c r="M319" s="15"/>
      <c r="N319" s="15"/>
      <c r="O319" s="36"/>
      <c r="P319" s="36"/>
      <c r="Q319" s="36"/>
      <c r="R319" s="36"/>
      <c r="S319" s="36"/>
    </row>
    <row r="320" spans="1:19" x14ac:dyDescent="0.25">
      <c r="A320" s="145"/>
      <c r="B320" s="4"/>
      <c r="C320" s="4"/>
      <c r="D320" s="4"/>
      <c r="E320" s="4"/>
      <c r="F320" s="4"/>
      <c r="G320" s="4"/>
      <c r="H320" s="4"/>
      <c r="I320" s="4"/>
      <c r="J320" s="4"/>
      <c r="K320" s="4"/>
      <c r="L320" s="4"/>
      <c r="M320" s="4"/>
      <c r="N320" s="4"/>
      <c r="O320" s="34"/>
      <c r="P320" s="34"/>
      <c r="Q320" s="34"/>
      <c r="R320" s="34"/>
      <c r="S320" s="34"/>
    </row>
    <row r="321" spans="1:19" x14ac:dyDescent="0.25">
      <c r="A321" s="146"/>
      <c r="B321" s="20"/>
      <c r="C321" s="20"/>
      <c r="D321" s="20"/>
      <c r="E321" s="20"/>
      <c r="F321" s="20"/>
      <c r="G321" s="20"/>
      <c r="H321" s="20"/>
      <c r="I321" s="20"/>
      <c r="J321" s="20"/>
      <c r="K321" s="20"/>
      <c r="L321" s="20"/>
      <c r="M321" s="20"/>
      <c r="N321" s="20"/>
      <c r="O321" s="35"/>
      <c r="P321" s="35"/>
      <c r="Q321" s="35"/>
      <c r="R321" s="35"/>
      <c r="S321" s="35"/>
    </row>
    <row r="322" spans="1:19" x14ac:dyDescent="0.25">
      <c r="A322" s="146"/>
      <c r="B322" s="20"/>
      <c r="C322" s="20"/>
      <c r="D322" s="20"/>
      <c r="E322" s="20"/>
      <c r="F322" s="20"/>
      <c r="G322" s="20"/>
      <c r="H322" s="20"/>
      <c r="I322" s="20"/>
      <c r="J322" s="20"/>
      <c r="K322" s="20"/>
      <c r="L322" s="20"/>
      <c r="M322" s="20"/>
      <c r="N322" s="20"/>
      <c r="O322" s="35"/>
      <c r="P322" s="35"/>
      <c r="Q322" s="35"/>
      <c r="R322" s="35"/>
      <c r="S322" s="35"/>
    </row>
    <row r="323" spans="1:19" x14ac:dyDescent="0.25">
      <c r="A323" s="53"/>
      <c r="B323" s="15"/>
      <c r="C323" s="15"/>
      <c r="D323" s="15"/>
      <c r="E323" s="15"/>
      <c r="F323" s="15"/>
      <c r="G323" s="15"/>
      <c r="H323" s="15"/>
      <c r="I323" s="15"/>
      <c r="J323" s="15"/>
      <c r="K323" s="15"/>
      <c r="L323" s="15"/>
      <c r="M323" s="15"/>
      <c r="N323" s="15"/>
      <c r="O323" s="36"/>
      <c r="P323" s="36"/>
      <c r="Q323" s="36"/>
      <c r="R323" s="36"/>
      <c r="S323" s="36"/>
    </row>
    <row r="324" spans="1:19" x14ac:dyDescent="0.25">
      <c r="A324" s="53"/>
      <c r="B324" s="15"/>
      <c r="C324" s="15"/>
      <c r="D324" s="15"/>
      <c r="E324" s="15"/>
      <c r="F324" s="15"/>
      <c r="G324" s="15"/>
      <c r="H324" s="15"/>
      <c r="I324" s="15"/>
      <c r="J324" s="15"/>
      <c r="K324" s="15"/>
      <c r="L324" s="15"/>
      <c r="M324" s="15"/>
      <c r="N324" s="15"/>
      <c r="O324" s="36"/>
      <c r="P324" s="36"/>
      <c r="Q324" s="36"/>
      <c r="R324" s="36"/>
      <c r="S324" s="36"/>
    </row>
    <row r="325" spans="1:19" x14ac:dyDescent="0.25">
      <c r="A325" s="145"/>
      <c r="B325" s="4"/>
      <c r="C325" s="4"/>
      <c r="D325" s="4"/>
      <c r="E325" s="4"/>
      <c r="F325" s="4"/>
      <c r="G325" s="4"/>
      <c r="H325" s="4"/>
      <c r="I325" s="4"/>
      <c r="J325" s="4"/>
      <c r="K325" s="4"/>
      <c r="L325" s="4"/>
      <c r="M325" s="4"/>
      <c r="N325" s="4"/>
      <c r="O325" s="34"/>
      <c r="P325" s="34"/>
      <c r="Q325" s="34"/>
      <c r="R325" s="34"/>
      <c r="S325" s="34"/>
    </row>
    <row r="326" spans="1:19" x14ac:dyDescent="0.25">
      <c r="A326" s="146"/>
      <c r="B326" s="20"/>
      <c r="C326" s="20"/>
      <c r="D326" s="20"/>
      <c r="E326" s="20"/>
      <c r="F326" s="20"/>
      <c r="G326" s="20"/>
      <c r="H326" s="20"/>
      <c r="I326" s="20"/>
      <c r="J326" s="20"/>
      <c r="K326" s="20"/>
      <c r="L326" s="20"/>
      <c r="M326" s="20"/>
      <c r="N326" s="20"/>
      <c r="O326" s="35"/>
      <c r="P326" s="35"/>
      <c r="Q326" s="35"/>
      <c r="R326" s="35"/>
      <c r="S326" s="35"/>
    </row>
    <row r="327" spans="1:19" x14ac:dyDescent="0.25">
      <c r="A327" s="146"/>
      <c r="B327" s="20"/>
      <c r="C327" s="20"/>
      <c r="D327" s="20"/>
      <c r="E327" s="20"/>
      <c r="F327" s="20"/>
      <c r="G327" s="20"/>
      <c r="H327" s="20"/>
      <c r="I327" s="20"/>
      <c r="J327" s="20"/>
      <c r="K327" s="20"/>
      <c r="L327" s="20"/>
      <c r="M327" s="20"/>
      <c r="N327" s="20"/>
      <c r="O327" s="35"/>
      <c r="P327" s="35"/>
      <c r="Q327" s="35"/>
      <c r="R327" s="35"/>
      <c r="S327" s="35"/>
    </row>
    <row r="328" spans="1:19" x14ac:dyDescent="0.25">
      <c r="A328" s="53"/>
      <c r="B328" s="15"/>
      <c r="C328" s="15"/>
      <c r="D328" s="15"/>
      <c r="E328" s="15"/>
      <c r="F328" s="15"/>
      <c r="G328" s="15"/>
      <c r="H328" s="15"/>
      <c r="I328" s="15"/>
      <c r="J328" s="15"/>
      <c r="K328" s="15"/>
      <c r="L328" s="15"/>
      <c r="M328" s="15"/>
      <c r="N328" s="15"/>
      <c r="O328" s="36"/>
      <c r="P328" s="36"/>
      <c r="Q328" s="36"/>
      <c r="R328" s="36"/>
      <c r="S328" s="36"/>
    </row>
    <row r="329" spans="1:19" x14ac:dyDescent="0.25">
      <c r="A329" s="53"/>
      <c r="B329" s="15"/>
      <c r="C329" s="15"/>
      <c r="D329" s="15"/>
      <c r="E329" s="15"/>
      <c r="F329" s="15"/>
      <c r="G329" s="15"/>
      <c r="H329" s="15"/>
      <c r="I329" s="15"/>
      <c r="J329" s="15"/>
      <c r="K329" s="15"/>
      <c r="L329" s="15"/>
      <c r="M329" s="15"/>
      <c r="N329" s="15"/>
      <c r="O329" s="36"/>
      <c r="P329" s="36"/>
      <c r="Q329" s="36"/>
      <c r="R329" s="36"/>
      <c r="S329" s="36"/>
    </row>
    <row r="330" spans="1:19" x14ac:dyDescent="0.25">
      <c r="A330" s="145"/>
      <c r="B330" s="4"/>
      <c r="C330" s="4"/>
      <c r="D330" s="4"/>
      <c r="E330" s="4"/>
      <c r="F330" s="4"/>
      <c r="G330" s="4"/>
      <c r="H330" s="4"/>
      <c r="I330" s="4"/>
      <c r="J330" s="4"/>
      <c r="K330" s="4"/>
      <c r="L330" s="4"/>
      <c r="M330" s="4"/>
      <c r="N330" s="4"/>
      <c r="O330" s="34"/>
      <c r="P330" s="34"/>
      <c r="Q330" s="34"/>
      <c r="R330" s="34"/>
      <c r="S330" s="34"/>
    </row>
    <row r="331" spans="1:19" x14ac:dyDescent="0.25">
      <c r="A331" s="146"/>
      <c r="B331" s="20"/>
      <c r="C331" s="20"/>
      <c r="D331" s="20"/>
      <c r="E331" s="20"/>
      <c r="F331" s="20"/>
      <c r="G331" s="20"/>
      <c r="H331" s="20"/>
      <c r="I331" s="20"/>
      <c r="J331" s="20"/>
      <c r="K331" s="20"/>
      <c r="L331" s="20"/>
      <c r="M331" s="20"/>
      <c r="N331" s="20"/>
      <c r="O331" s="35"/>
      <c r="P331" s="35"/>
      <c r="Q331" s="35"/>
      <c r="R331" s="35"/>
      <c r="S331" s="35"/>
    </row>
    <row r="332" spans="1:19" x14ac:dyDescent="0.25">
      <c r="A332" s="146"/>
      <c r="B332" s="20"/>
      <c r="C332" s="20"/>
      <c r="D332" s="20"/>
      <c r="E332" s="20"/>
      <c r="F332" s="20"/>
      <c r="G332" s="20"/>
      <c r="H332" s="20"/>
      <c r="I332" s="20"/>
      <c r="J332" s="20"/>
      <c r="K332" s="20"/>
      <c r="L332" s="20"/>
      <c r="M332" s="20"/>
      <c r="N332" s="20"/>
      <c r="O332" s="35"/>
      <c r="P332" s="35"/>
      <c r="Q332" s="35"/>
      <c r="R332" s="35"/>
      <c r="S332" s="35"/>
    </row>
    <row r="333" spans="1:19" x14ac:dyDescent="0.25">
      <c r="A333" s="53"/>
      <c r="B333" s="15"/>
      <c r="C333" s="15"/>
      <c r="D333" s="15"/>
      <c r="E333" s="15"/>
      <c r="F333" s="15"/>
      <c r="G333" s="15"/>
      <c r="H333" s="15"/>
      <c r="I333" s="15"/>
      <c r="J333" s="15"/>
      <c r="K333" s="15"/>
      <c r="L333" s="15"/>
      <c r="M333" s="15"/>
      <c r="N333" s="15"/>
      <c r="O333" s="36"/>
      <c r="P333" s="36"/>
      <c r="Q333" s="36"/>
      <c r="R333" s="36"/>
      <c r="S333" s="36"/>
    </row>
    <row r="334" spans="1:19" x14ac:dyDescent="0.25">
      <c r="A334" s="53"/>
      <c r="B334" s="15"/>
      <c r="C334" s="15"/>
      <c r="D334" s="15"/>
      <c r="E334" s="15"/>
      <c r="F334" s="15"/>
      <c r="G334" s="15"/>
      <c r="H334" s="15"/>
      <c r="I334" s="15"/>
      <c r="J334" s="15"/>
      <c r="K334" s="15"/>
      <c r="L334" s="15"/>
      <c r="M334" s="15"/>
      <c r="N334" s="15"/>
      <c r="O334" s="36"/>
      <c r="P334" s="36"/>
      <c r="Q334" s="36"/>
      <c r="R334" s="36"/>
      <c r="S334" s="36"/>
    </row>
    <row r="335" spans="1:19" x14ac:dyDescent="0.25">
      <c r="A335" s="145"/>
      <c r="B335" s="4"/>
      <c r="C335" s="4"/>
      <c r="D335" s="4"/>
      <c r="E335" s="4"/>
      <c r="F335" s="4"/>
      <c r="G335" s="4"/>
      <c r="H335" s="4"/>
      <c r="I335" s="4"/>
      <c r="J335" s="4"/>
      <c r="K335" s="4"/>
      <c r="L335" s="4"/>
      <c r="M335" s="4"/>
      <c r="N335" s="4"/>
      <c r="O335" s="34"/>
      <c r="P335" s="34"/>
      <c r="Q335" s="34"/>
      <c r="R335" s="34"/>
      <c r="S335" s="34"/>
    </row>
    <row r="336" spans="1:19" x14ac:dyDescent="0.25">
      <c r="A336" s="146"/>
      <c r="B336" s="20"/>
      <c r="C336" s="20"/>
      <c r="D336" s="20"/>
      <c r="E336" s="20"/>
      <c r="F336" s="20"/>
      <c r="G336" s="20"/>
      <c r="H336" s="20"/>
      <c r="I336" s="20"/>
      <c r="J336" s="20"/>
      <c r="K336" s="20"/>
      <c r="L336" s="20"/>
      <c r="M336" s="20"/>
      <c r="N336" s="20"/>
      <c r="O336" s="35"/>
      <c r="P336" s="35"/>
      <c r="Q336" s="35"/>
      <c r="R336" s="35"/>
      <c r="S336" s="35"/>
    </row>
    <row r="337" spans="1:19" x14ac:dyDescent="0.25">
      <c r="A337" s="146"/>
      <c r="B337" s="20"/>
      <c r="C337" s="20"/>
      <c r="D337" s="20"/>
      <c r="E337" s="20"/>
      <c r="F337" s="20"/>
      <c r="G337" s="20"/>
      <c r="H337" s="20"/>
      <c r="I337" s="20"/>
      <c r="J337" s="20"/>
      <c r="K337" s="20"/>
      <c r="L337" s="20"/>
      <c r="M337" s="20"/>
      <c r="N337" s="20"/>
      <c r="O337" s="35"/>
      <c r="P337" s="35"/>
      <c r="Q337" s="35"/>
      <c r="R337" s="35"/>
      <c r="S337" s="35"/>
    </row>
    <row r="338" spans="1:19" x14ac:dyDescent="0.25">
      <c r="A338" s="53"/>
      <c r="B338" s="15"/>
      <c r="C338" s="15"/>
      <c r="D338" s="15"/>
      <c r="E338" s="15"/>
      <c r="F338" s="15"/>
      <c r="G338" s="15"/>
      <c r="H338" s="15"/>
      <c r="I338" s="15"/>
      <c r="J338" s="15"/>
      <c r="K338" s="15"/>
      <c r="L338" s="15"/>
      <c r="M338" s="15"/>
      <c r="N338" s="15"/>
      <c r="O338" s="36"/>
      <c r="P338" s="36"/>
      <c r="Q338" s="36"/>
      <c r="R338" s="36"/>
      <c r="S338" s="36"/>
    </row>
    <row r="339" spans="1:19" x14ac:dyDescent="0.25">
      <c r="A339" s="53"/>
      <c r="B339" s="15"/>
      <c r="C339" s="15"/>
      <c r="D339" s="15"/>
      <c r="E339" s="15"/>
      <c r="F339" s="15"/>
      <c r="G339" s="15"/>
      <c r="H339" s="15"/>
      <c r="I339" s="15"/>
      <c r="J339" s="15"/>
      <c r="K339" s="15"/>
      <c r="L339" s="15"/>
      <c r="M339" s="15"/>
      <c r="N339" s="15"/>
      <c r="O339" s="36"/>
      <c r="P339" s="36"/>
      <c r="Q339" s="36"/>
      <c r="R339" s="36"/>
      <c r="S339" s="36"/>
    </row>
    <row r="340" spans="1:19" x14ac:dyDescent="0.25">
      <c r="A340" s="145"/>
      <c r="B340" s="4"/>
      <c r="C340" s="4"/>
      <c r="D340" s="4"/>
      <c r="E340" s="4"/>
      <c r="F340" s="4"/>
      <c r="G340" s="4"/>
      <c r="H340" s="4"/>
      <c r="I340" s="4"/>
      <c r="J340" s="4"/>
      <c r="K340" s="4"/>
      <c r="L340" s="4"/>
      <c r="M340" s="4"/>
      <c r="N340" s="4"/>
      <c r="O340" s="34"/>
      <c r="P340" s="34"/>
      <c r="Q340" s="34"/>
      <c r="R340" s="34"/>
      <c r="S340" s="34"/>
    </row>
    <row r="341" spans="1:19" x14ac:dyDescent="0.25">
      <c r="A341" s="146"/>
      <c r="B341" s="20"/>
      <c r="C341" s="20"/>
      <c r="D341" s="20"/>
      <c r="E341" s="20"/>
      <c r="F341" s="20"/>
      <c r="G341" s="20"/>
      <c r="H341" s="20"/>
      <c r="I341" s="20"/>
      <c r="J341" s="20"/>
      <c r="K341" s="20"/>
      <c r="L341" s="20"/>
      <c r="M341" s="20"/>
      <c r="N341" s="20"/>
      <c r="O341" s="35"/>
      <c r="P341" s="35"/>
      <c r="Q341" s="35"/>
      <c r="R341" s="35"/>
      <c r="S341" s="35"/>
    </row>
    <row r="342" spans="1:19" x14ac:dyDescent="0.25">
      <c r="A342" s="146"/>
      <c r="B342" s="20"/>
      <c r="C342" s="20"/>
      <c r="D342" s="20"/>
      <c r="E342" s="20"/>
      <c r="F342" s="20"/>
      <c r="G342" s="20"/>
      <c r="H342" s="20"/>
      <c r="I342" s="20"/>
      <c r="J342" s="20"/>
      <c r="K342" s="20"/>
      <c r="L342" s="20"/>
      <c r="M342" s="20"/>
      <c r="N342" s="20"/>
      <c r="O342" s="35"/>
      <c r="P342" s="35"/>
      <c r="Q342" s="35"/>
      <c r="R342" s="35"/>
      <c r="S342" s="35"/>
    </row>
    <row r="343" spans="1:19" x14ac:dyDescent="0.25">
      <c r="A343" s="53"/>
      <c r="B343" s="15"/>
      <c r="C343" s="15"/>
      <c r="D343" s="15"/>
      <c r="E343" s="15"/>
      <c r="F343" s="15"/>
      <c r="G343" s="15"/>
      <c r="H343" s="15"/>
      <c r="I343" s="15"/>
      <c r="J343" s="15"/>
      <c r="K343" s="15"/>
      <c r="L343" s="15"/>
      <c r="M343" s="15"/>
      <c r="N343" s="15"/>
      <c r="O343" s="36"/>
      <c r="P343" s="36"/>
      <c r="Q343" s="36"/>
      <c r="R343" s="36"/>
      <c r="S343" s="36"/>
    </row>
    <row r="344" spans="1:19" x14ac:dyDescent="0.25">
      <c r="A344" s="53"/>
      <c r="B344" s="15"/>
      <c r="C344" s="15"/>
      <c r="D344" s="15"/>
      <c r="E344" s="15"/>
      <c r="F344" s="15"/>
      <c r="G344" s="15"/>
      <c r="H344" s="15"/>
      <c r="I344" s="15"/>
      <c r="J344" s="15"/>
      <c r="K344" s="15"/>
      <c r="L344" s="15"/>
      <c r="M344" s="15"/>
      <c r="N344" s="15"/>
      <c r="O344" s="36"/>
      <c r="P344" s="36"/>
      <c r="Q344" s="36"/>
      <c r="R344" s="36"/>
      <c r="S344" s="36"/>
    </row>
    <row r="345" spans="1:19" x14ac:dyDescent="0.25">
      <c r="A345" s="145"/>
      <c r="B345" s="4"/>
      <c r="C345" s="4"/>
      <c r="D345" s="4"/>
      <c r="E345" s="4"/>
      <c r="F345" s="4"/>
      <c r="G345" s="4"/>
      <c r="H345" s="4"/>
      <c r="I345" s="4"/>
      <c r="J345" s="4"/>
      <c r="K345" s="4"/>
      <c r="L345" s="4"/>
      <c r="M345" s="4"/>
      <c r="N345" s="4"/>
      <c r="O345" s="34"/>
      <c r="P345" s="34"/>
      <c r="Q345" s="34"/>
      <c r="R345" s="34"/>
      <c r="S345" s="34"/>
    </row>
    <row r="346" spans="1:19" x14ac:dyDescent="0.25">
      <c r="A346" s="146"/>
      <c r="B346" s="20"/>
      <c r="C346" s="20"/>
      <c r="D346" s="20"/>
      <c r="E346" s="20"/>
      <c r="F346" s="20"/>
      <c r="G346" s="20"/>
      <c r="H346" s="20"/>
      <c r="I346" s="20"/>
      <c r="J346" s="20"/>
      <c r="K346" s="20"/>
      <c r="L346" s="20"/>
      <c r="M346" s="20"/>
      <c r="N346" s="20"/>
      <c r="O346" s="35"/>
      <c r="P346" s="35"/>
      <c r="Q346" s="35"/>
      <c r="R346" s="35"/>
      <c r="S346" s="35"/>
    </row>
    <row r="347" spans="1:19" x14ac:dyDescent="0.25">
      <c r="A347" s="146"/>
      <c r="B347" s="20"/>
      <c r="C347" s="20"/>
      <c r="D347" s="20"/>
      <c r="E347" s="20"/>
      <c r="F347" s="20"/>
      <c r="G347" s="20"/>
      <c r="H347" s="20"/>
      <c r="I347" s="20"/>
      <c r="J347" s="20"/>
      <c r="K347" s="20"/>
      <c r="L347" s="20"/>
      <c r="M347" s="20"/>
      <c r="N347" s="20"/>
      <c r="O347" s="35"/>
      <c r="P347" s="35"/>
      <c r="Q347" s="35"/>
      <c r="R347" s="35"/>
      <c r="S347" s="35"/>
    </row>
    <row r="348" spans="1:19" x14ac:dyDescent="0.25">
      <c r="A348" s="53"/>
      <c r="B348" s="15"/>
      <c r="C348" s="15"/>
      <c r="D348" s="15"/>
      <c r="E348" s="15"/>
      <c r="F348" s="15"/>
      <c r="G348" s="15"/>
      <c r="H348" s="15"/>
      <c r="I348" s="15"/>
      <c r="J348" s="15"/>
      <c r="K348" s="15"/>
      <c r="L348" s="15"/>
      <c r="M348" s="15"/>
      <c r="N348" s="15"/>
      <c r="O348" s="36"/>
      <c r="P348" s="36"/>
      <c r="Q348" s="36"/>
      <c r="R348" s="36"/>
      <c r="S348" s="36"/>
    </row>
    <row r="349" spans="1:19" x14ac:dyDescent="0.25">
      <c r="A349" s="53"/>
      <c r="B349" s="15"/>
      <c r="C349" s="15"/>
      <c r="D349" s="15"/>
      <c r="E349" s="15"/>
      <c r="F349" s="15"/>
      <c r="G349" s="15"/>
      <c r="H349" s="15"/>
      <c r="I349" s="15"/>
      <c r="J349" s="15"/>
      <c r="K349" s="15"/>
      <c r="L349" s="15"/>
      <c r="M349" s="15"/>
      <c r="N349" s="15"/>
      <c r="O349" s="36"/>
      <c r="P349" s="36"/>
      <c r="Q349" s="36"/>
      <c r="R349" s="36"/>
      <c r="S349" s="36"/>
    </row>
    <row r="350" spans="1:19" x14ac:dyDescent="0.25">
      <c r="A350" s="145"/>
      <c r="B350" s="4"/>
      <c r="C350" s="4"/>
      <c r="D350" s="4"/>
      <c r="E350" s="4"/>
      <c r="F350" s="4"/>
      <c r="G350" s="4"/>
      <c r="H350" s="4"/>
      <c r="I350" s="4"/>
      <c r="J350" s="4"/>
      <c r="K350" s="4"/>
      <c r="L350" s="4"/>
      <c r="M350" s="4"/>
      <c r="N350" s="4"/>
      <c r="O350" s="34"/>
      <c r="P350" s="34"/>
      <c r="Q350" s="34"/>
      <c r="R350" s="34"/>
      <c r="S350" s="34"/>
    </row>
    <row r="351" spans="1:19" x14ac:dyDescent="0.25">
      <c r="A351" s="146"/>
      <c r="B351" s="20"/>
      <c r="C351" s="20"/>
      <c r="D351" s="20"/>
      <c r="E351" s="20"/>
      <c r="F351" s="20"/>
      <c r="G351" s="20"/>
      <c r="H351" s="20"/>
      <c r="I351" s="20"/>
      <c r="J351" s="20"/>
      <c r="K351" s="20"/>
      <c r="L351" s="20"/>
      <c r="M351" s="20"/>
      <c r="N351" s="20"/>
      <c r="O351" s="35"/>
      <c r="P351" s="35"/>
      <c r="Q351" s="35"/>
      <c r="R351" s="35"/>
      <c r="S351" s="35"/>
    </row>
    <row r="352" spans="1:19" x14ac:dyDescent="0.25">
      <c r="A352" s="146"/>
      <c r="B352" s="20"/>
      <c r="C352" s="20"/>
      <c r="D352" s="20"/>
      <c r="E352" s="20"/>
      <c r="F352" s="20"/>
      <c r="G352" s="20"/>
      <c r="H352" s="20"/>
      <c r="I352" s="20"/>
      <c r="J352" s="20"/>
      <c r="K352" s="20"/>
      <c r="L352" s="20"/>
      <c r="M352" s="20"/>
      <c r="N352" s="20"/>
      <c r="O352" s="35"/>
      <c r="P352" s="35"/>
      <c r="Q352" s="35"/>
      <c r="R352" s="35"/>
      <c r="S352" s="35"/>
    </row>
    <row r="353" spans="1:19" x14ac:dyDescent="0.25">
      <c r="A353" s="53"/>
      <c r="B353" s="15"/>
      <c r="C353" s="15"/>
      <c r="D353" s="15"/>
      <c r="E353" s="15"/>
      <c r="F353" s="15"/>
      <c r="G353" s="15"/>
      <c r="H353" s="15"/>
      <c r="I353" s="15"/>
      <c r="J353" s="15"/>
      <c r="K353" s="15"/>
      <c r="L353" s="15"/>
      <c r="M353" s="15"/>
      <c r="N353" s="15"/>
      <c r="O353" s="36"/>
      <c r="P353" s="36"/>
      <c r="Q353" s="36"/>
      <c r="R353" s="36"/>
      <c r="S353" s="36"/>
    </row>
    <row r="354" spans="1:19" x14ac:dyDescent="0.25">
      <c r="A354" s="53"/>
      <c r="B354" s="15"/>
      <c r="C354" s="15"/>
      <c r="D354" s="15"/>
      <c r="E354" s="15"/>
      <c r="F354" s="15"/>
      <c r="G354" s="15"/>
      <c r="H354" s="15"/>
      <c r="I354" s="15"/>
      <c r="J354" s="15"/>
      <c r="K354" s="15"/>
      <c r="L354" s="15"/>
      <c r="M354" s="15"/>
      <c r="N354" s="15"/>
      <c r="O354" s="36"/>
      <c r="P354" s="36"/>
      <c r="Q354" s="36"/>
      <c r="R354" s="36"/>
      <c r="S354" s="36"/>
    </row>
    <row r="355" spans="1:19" x14ac:dyDescent="0.25">
      <c r="A355" s="145"/>
      <c r="B355" s="4"/>
      <c r="C355" s="4"/>
      <c r="D355" s="4"/>
      <c r="E355" s="4"/>
      <c r="F355" s="4"/>
      <c r="G355" s="4"/>
      <c r="H355" s="4"/>
      <c r="I355" s="4"/>
      <c r="J355" s="4"/>
      <c r="K355" s="4"/>
      <c r="L355" s="4"/>
      <c r="M355" s="4"/>
      <c r="N355" s="4"/>
      <c r="O355" s="34"/>
      <c r="P355" s="34"/>
      <c r="Q355" s="34"/>
      <c r="R355" s="34"/>
      <c r="S355" s="34"/>
    </row>
    <row r="356" spans="1:19" x14ac:dyDescent="0.25">
      <c r="A356" s="146"/>
      <c r="B356" s="20"/>
      <c r="C356" s="20"/>
      <c r="D356" s="20"/>
      <c r="E356" s="20"/>
      <c r="F356" s="20"/>
      <c r="G356" s="20"/>
      <c r="H356" s="20"/>
      <c r="I356" s="20"/>
      <c r="J356" s="20"/>
      <c r="K356" s="20"/>
      <c r="L356" s="20"/>
      <c r="M356" s="20"/>
      <c r="N356" s="20"/>
      <c r="O356" s="35"/>
      <c r="P356" s="35"/>
      <c r="Q356" s="35"/>
      <c r="R356" s="35"/>
      <c r="S356" s="35"/>
    </row>
  </sheetData>
  <hyperlinks>
    <hyperlink ref="A114" location="Índice!C1" display="Volver al ïndice" xr:uid="{00000000-0004-0000-0200-000000000000}"/>
  </hyperlinks>
  <pageMargins left="0.7" right="0.7" top="0.75" bottom="0.75" header="0.3" footer="0.3"/>
  <pageSetup orientation="portrait" r:id="rId1"/>
  <drawing r:id="rId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4CAD9-7D96-4891-8E69-830B334E7F43}">
  <sheetPr>
    <tabColor rgb="FF92D050"/>
  </sheetPr>
  <dimension ref="A1:J345"/>
  <sheetViews>
    <sheetView showGridLines="0" workbookViewId="0">
      <pane ySplit="2" topLeftCell="A3" activePane="bottomLeft" state="frozen"/>
      <selection pane="bottomLeft" activeCell="B155" sqref="A155:B155"/>
    </sheetView>
  </sheetViews>
  <sheetFormatPr baseColWidth="10" defaultColWidth="14" defaultRowHeight="12.75" x14ac:dyDescent="0.25"/>
  <cols>
    <col min="1" max="1" width="33.28515625" style="185" customWidth="1"/>
    <col min="2" max="2" width="15.140625" style="186" bestFit="1" customWidth="1"/>
    <col min="3" max="5" width="14" style="186"/>
    <col min="6" max="6" width="14" style="185"/>
    <col min="7" max="16384" width="14" style="184"/>
  </cols>
  <sheetData>
    <row r="1" spans="1:6" ht="21" x14ac:dyDescent="0.25">
      <c r="A1" s="77" t="s">
        <v>411</v>
      </c>
      <c r="B1" s="183"/>
      <c r="C1" s="183"/>
      <c r="D1" s="183"/>
      <c r="E1" s="183"/>
      <c r="F1" s="184"/>
    </row>
    <row r="2" spans="1:6" ht="33.75" customHeight="1" x14ac:dyDescent="0.25">
      <c r="A2" s="184"/>
      <c r="B2" s="183"/>
      <c r="C2" s="183"/>
      <c r="D2" s="183"/>
      <c r="E2" s="183"/>
      <c r="F2" s="184"/>
    </row>
    <row r="3" spans="1:6" ht="15" customHeight="1" x14ac:dyDescent="0.25">
      <c r="A3" s="184"/>
      <c r="B3" s="183"/>
      <c r="C3" s="183"/>
      <c r="D3" s="183"/>
      <c r="E3" s="183"/>
      <c r="F3" s="184"/>
    </row>
    <row r="4" spans="1:6" ht="15.75" x14ac:dyDescent="0.25">
      <c r="A4" s="27" t="s">
        <v>412</v>
      </c>
      <c r="B4" s="183"/>
      <c r="C4" s="183"/>
      <c r="D4" s="183"/>
      <c r="E4" s="183"/>
      <c r="F4" s="184"/>
    </row>
    <row r="5" spans="1:6" ht="27" customHeight="1" x14ac:dyDescent="0.25">
      <c r="A5" s="157" t="s">
        <v>273</v>
      </c>
      <c r="B5" s="158" t="s">
        <v>2</v>
      </c>
      <c r="C5" s="158" t="s">
        <v>3</v>
      </c>
      <c r="D5" s="158" t="s">
        <v>4</v>
      </c>
      <c r="E5" s="158" t="s">
        <v>59</v>
      </c>
      <c r="F5" s="184"/>
    </row>
    <row r="6" spans="1:6" ht="15" customHeight="1" x14ac:dyDescent="0.25">
      <c r="A6" s="102" t="s">
        <v>313</v>
      </c>
      <c r="B6" s="123">
        <v>77789</v>
      </c>
      <c r="C6" s="123">
        <v>192599</v>
      </c>
      <c r="D6" s="123">
        <v>380843</v>
      </c>
      <c r="E6" s="123">
        <v>651231</v>
      </c>
      <c r="F6" s="184"/>
    </row>
    <row r="7" spans="1:6" ht="15" customHeight="1" x14ac:dyDescent="0.25">
      <c r="A7" s="102" t="s">
        <v>314</v>
      </c>
      <c r="B7" s="123">
        <v>56707</v>
      </c>
      <c r="C7" s="123">
        <v>185939</v>
      </c>
      <c r="D7" s="123">
        <v>310537</v>
      </c>
      <c r="E7" s="123">
        <v>553183</v>
      </c>
      <c r="F7" s="184"/>
    </row>
    <row r="8" spans="1:6" ht="15" customHeight="1" x14ac:dyDescent="0.25">
      <c r="A8" s="79" t="s">
        <v>308</v>
      </c>
      <c r="B8" s="9">
        <v>134496</v>
      </c>
      <c r="C8" s="9">
        <v>378538</v>
      </c>
      <c r="D8" s="9">
        <v>691380</v>
      </c>
      <c r="E8" s="9">
        <v>1204414</v>
      </c>
      <c r="F8" s="184"/>
    </row>
    <row r="9" spans="1:6" ht="15" customHeight="1" x14ac:dyDescent="0.25">
      <c r="A9" s="184"/>
      <c r="B9" s="183"/>
      <c r="C9" s="183"/>
      <c r="D9" s="183"/>
      <c r="E9" s="183"/>
      <c r="F9" s="184"/>
    </row>
    <row r="10" spans="1:6" ht="15" customHeight="1" x14ac:dyDescent="0.25">
      <c r="A10" s="27" t="s">
        <v>413</v>
      </c>
      <c r="B10" s="183"/>
      <c r="C10" s="183"/>
      <c r="D10" s="183"/>
      <c r="E10" s="183"/>
      <c r="F10" s="184"/>
    </row>
    <row r="11" spans="1:6" ht="27.75" x14ac:dyDescent="0.25">
      <c r="A11" s="157" t="s">
        <v>273</v>
      </c>
      <c r="B11" s="158" t="s">
        <v>2</v>
      </c>
      <c r="C11" s="158" t="s">
        <v>3</v>
      </c>
      <c r="D11" s="159" t="s">
        <v>4</v>
      </c>
      <c r="E11" s="161" t="s">
        <v>315</v>
      </c>
      <c r="F11" s="184"/>
    </row>
    <row r="12" spans="1:6" ht="15" customHeight="1" x14ac:dyDescent="0.25">
      <c r="A12" s="102" t="s">
        <v>405</v>
      </c>
      <c r="B12" s="115">
        <v>32941</v>
      </c>
      <c r="C12" s="115">
        <v>61505</v>
      </c>
      <c r="D12" s="115">
        <v>74978</v>
      </c>
      <c r="E12" s="115">
        <v>169424</v>
      </c>
      <c r="F12" s="184"/>
    </row>
    <row r="13" spans="1:6" ht="15" customHeight="1" x14ac:dyDescent="0.25">
      <c r="A13" s="102" t="s">
        <v>353</v>
      </c>
      <c r="B13" s="115">
        <v>25373</v>
      </c>
      <c r="C13" s="115">
        <v>59501</v>
      </c>
      <c r="D13" s="115">
        <v>60241</v>
      </c>
      <c r="E13" s="115">
        <v>145115</v>
      </c>
      <c r="F13" s="184"/>
    </row>
    <row r="14" spans="1:6" ht="15" customHeight="1" x14ac:dyDescent="0.25">
      <c r="A14" s="79" t="s">
        <v>131</v>
      </c>
      <c r="B14" s="26">
        <v>58314</v>
      </c>
      <c r="C14" s="26">
        <v>121006</v>
      </c>
      <c r="D14" s="26">
        <v>135219</v>
      </c>
      <c r="E14" s="26">
        <v>314539</v>
      </c>
      <c r="F14" s="184"/>
    </row>
    <row r="15" spans="1:6" ht="15" customHeight="1" x14ac:dyDescent="0.25">
      <c r="A15" s="184"/>
      <c r="B15" s="183"/>
      <c r="C15" s="183"/>
      <c r="D15" s="183"/>
      <c r="E15" s="183"/>
      <c r="F15" s="184"/>
    </row>
    <row r="16" spans="1:6" ht="15" customHeight="1" x14ac:dyDescent="0.25">
      <c r="A16" s="27" t="s">
        <v>414</v>
      </c>
      <c r="B16" s="183"/>
      <c r="C16" s="183"/>
      <c r="D16" s="183"/>
      <c r="E16" s="183"/>
      <c r="F16" s="184"/>
    </row>
    <row r="17" spans="1:6" ht="25.5" x14ac:dyDescent="0.25">
      <c r="A17" s="157" t="s">
        <v>105</v>
      </c>
      <c r="B17" s="158" t="s">
        <v>2</v>
      </c>
      <c r="C17" s="158" t="s">
        <v>3</v>
      </c>
      <c r="D17" s="159" t="s">
        <v>4</v>
      </c>
      <c r="E17" s="158" t="s">
        <v>59</v>
      </c>
      <c r="F17" s="184"/>
    </row>
    <row r="18" spans="1:6" ht="15" customHeight="1" x14ac:dyDescent="0.25">
      <c r="A18" s="102" t="s">
        <v>39</v>
      </c>
      <c r="B18" s="115">
        <v>23794</v>
      </c>
      <c r="C18" s="115">
        <v>47974</v>
      </c>
      <c r="D18" s="115">
        <v>135456</v>
      </c>
      <c r="E18" s="115">
        <v>207224</v>
      </c>
      <c r="F18" s="183"/>
    </row>
    <row r="19" spans="1:6" ht="15" customHeight="1" x14ac:dyDescent="0.25">
      <c r="A19" s="102" t="s">
        <v>40</v>
      </c>
      <c r="B19" s="115">
        <v>56904</v>
      </c>
      <c r="C19" s="115">
        <v>149209</v>
      </c>
      <c r="D19" s="115">
        <v>380749</v>
      </c>
      <c r="E19" s="115">
        <v>586862</v>
      </c>
      <c r="F19" s="183"/>
    </row>
    <row r="20" spans="1:6" ht="15" customHeight="1" x14ac:dyDescent="0.25">
      <c r="A20" s="102" t="s">
        <v>41</v>
      </c>
      <c r="B20" s="115">
        <v>22387</v>
      </c>
      <c r="C20" s="115">
        <v>70312</v>
      </c>
      <c r="D20" s="115">
        <v>107460</v>
      </c>
      <c r="E20" s="115">
        <v>200159</v>
      </c>
      <c r="F20" s="183"/>
    </row>
    <row r="21" spans="1:6" ht="15" customHeight="1" x14ac:dyDescent="0.25">
      <c r="A21" s="102" t="s">
        <v>42</v>
      </c>
      <c r="B21" s="115">
        <v>13326</v>
      </c>
      <c r="C21" s="115">
        <v>47133</v>
      </c>
      <c r="D21" s="115">
        <v>33024</v>
      </c>
      <c r="E21" s="115">
        <v>93483</v>
      </c>
      <c r="F21" s="183"/>
    </row>
    <row r="22" spans="1:6" ht="15" customHeight="1" x14ac:dyDescent="0.25">
      <c r="A22" s="102" t="s">
        <v>43</v>
      </c>
      <c r="B22" s="115">
        <v>8032</v>
      </c>
      <c r="C22" s="115">
        <v>30053</v>
      </c>
      <c r="D22" s="115">
        <v>16662</v>
      </c>
      <c r="E22" s="115">
        <v>54747</v>
      </c>
      <c r="F22" s="183"/>
    </row>
    <row r="23" spans="1:6" ht="15" customHeight="1" x14ac:dyDescent="0.25">
      <c r="A23" s="102" t="s">
        <v>1</v>
      </c>
      <c r="B23" s="115">
        <v>10053</v>
      </c>
      <c r="C23" s="115">
        <v>33857</v>
      </c>
      <c r="D23" s="115">
        <v>18018</v>
      </c>
      <c r="E23" s="115">
        <v>61928</v>
      </c>
      <c r="F23" s="183"/>
    </row>
    <row r="24" spans="1:6" ht="15" customHeight="1" x14ac:dyDescent="0.25">
      <c r="A24" s="102" t="s">
        <v>77</v>
      </c>
      <c r="B24" s="115"/>
      <c r="C24" s="115"/>
      <c r="D24" s="115">
        <v>11</v>
      </c>
      <c r="E24" s="115">
        <v>11</v>
      </c>
      <c r="F24" s="183"/>
    </row>
    <row r="25" spans="1:6" ht="15" customHeight="1" x14ac:dyDescent="0.25">
      <c r="A25" s="79" t="s">
        <v>0</v>
      </c>
      <c r="B25" s="26">
        <f>SUM(B18:B24)</f>
        <v>134496</v>
      </c>
      <c r="C25" s="26">
        <f t="shared" ref="C25:E25" si="0">SUM(C18:C24)</f>
        <v>378538</v>
      </c>
      <c r="D25" s="26">
        <f t="shared" si="0"/>
        <v>691380</v>
      </c>
      <c r="E25" s="26">
        <f t="shared" si="0"/>
        <v>1204414</v>
      </c>
      <c r="F25" s="183"/>
    </row>
    <row r="26" spans="1:6" ht="15" customHeight="1" x14ac:dyDescent="0.25">
      <c r="A26" s="157" t="s">
        <v>124</v>
      </c>
      <c r="B26" s="160">
        <v>25.649640137996698</v>
      </c>
      <c r="C26" s="160">
        <v>26.849116865413801</v>
      </c>
      <c r="D26" s="160">
        <v>23.329213488021601</v>
      </c>
      <c r="E26" s="160">
        <v>24.694624639759301</v>
      </c>
      <c r="F26" s="184"/>
    </row>
    <row r="27" spans="1:6" ht="15" customHeight="1" x14ac:dyDescent="0.25">
      <c r="A27" s="184"/>
      <c r="B27" s="184"/>
      <c r="C27" s="184"/>
      <c r="D27" s="184"/>
      <c r="E27" s="184"/>
      <c r="F27" s="184"/>
    </row>
    <row r="28" spans="1:6" ht="15" customHeight="1" x14ac:dyDescent="0.25">
      <c r="A28" s="27" t="s">
        <v>415</v>
      </c>
      <c r="B28" s="183"/>
      <c r="C28" s="183"/>
      <c r="D28" s="183"/>
      <c r="E28" s="183"/>
      <c r="F28" s="184"/>
    </row>
    <row r="29" spans="1:6" ht="25.5" x14ac:dyDescent="0.25">
      <c r="A29" s="157" t="s">
        <v>97</v>
      </c>
      <c r="B29" s="158" t="s">
        <v>2</v>
      </c>
      <c r="C29" s="158" t="s">
        <v>3</v>
      </c>
      <c r="D29" s="159" t="s">
        <v>4</v>
      </c>
      <c r="E29" s="158" t="s">
        <v>59</v>
      </c>
      <c r="F29" s="184"/>
    </row>
    <row r="30" spans="1:6" ht="15" customHeight="1" x14ac:dyDescent="0.25">
      <c r="A30" s="102" t="s">
        <v>93</v>
      </c>
      <c r="B30" s="115">
        <v>134496</v>
      </c>
      <c r="C30" s="115">
        <v>160236</v>
      </c>
      <c r="D30" s="115">
        <v>22987</v>
      </c>
      <c r="E30" s="115">
        <v>317719</v>
      </c>
      <c r="F30" s="184"/>
    </row>
    <row r="31" spans="1:6" ht="15" customHeight="1" x14ac:dyDescent="0.25">
      <c r="A31" s="102" t="s">
        <v>96</v>
      </c>
      <c r="B31" s="115"/>
      <c r="C31" s="115">
        <v>218302</v>
      </c>
      <c r="D31" s="115">
        <v>18638</v>
      </c>
      <c r="E31" s="115">
        <v>236940</v>
      </c>
      <c r="F31" s="184"/>
    </row>
    <row r="32" spans="1:6" ht="15" customHeight="1" x14ac:dyDescent="0.25">
      <c r="A32" s="102" t="s">
        <v>354</v>
      </c>
      <c r="B32" s="115"/>
      <c r="C32" s="115"/>
      <c r="D32" s="115">
        <v>14441</v>
      </c>
      <c r="E32" s="115">
        <v>14441</v>
      </c>
      <c r="F32" s="184"/>
    </row>
    <row r="33" spans="1:6" ht="15" customHeight="1" x14ac:dyDescent="0.25">
      <c r="A33" s="102" t="s">
        <v>94</v>
      </c>
      <c r="B33" s="115"/>
      <c r="C33" s="115"/>
      <c r="D33" s="115">
        <v>12290</v>
      </c>
      <c r="E33" s="115">
        <v>12290</v>
      </c>
      <c r="F33" s="184"/>
    </row>
    <row r="34" spans="1:6" ht="15" customHeight="1" x14ac:dyDescent="0.25">
      <c r="A34" s="102" t="s">
        <v>95</v>
      </c>
      <c r="B34" s="115"/>
      <c r="C34" s="115"/>
      <c r="D34" s="115">
        <v>623024</v>
      </c>
      <c r="E34" s="115">
        <v>623024</v>
      </c>
      <c r="F34" s="184"/>
    </row>
    <row r="35" spans="1:6" ht="15" customHeight="1" x14ac:dyDescent="0.25">
      <c r="A35" s="79" t="s">
        <v>0</v>
      </c>
      <c r="B35" s="26">
        <v>134496</v>
      </c>
      <c r="C35" s="26">
        <v>378538</v>
      </c>
      <c r="D35" s="26">
        <v>691380</v>
      </c>
      <c r="E35" s="26">
        <v>1204414</v>
      </c>
      <c r="F35" s="184"/>
    </row>
    <row r="36" spans="1:6" ht="15" customHeight="1" x14ac:dyDescent="0.25">
      <c r="A36" s="184"/>
      <c r="B36" s="183"/>
      <c r="C36" s="183"/>
      <c r="D36" s="183"/>
      <c r="E36" s="183"/>
      <c r="F36" s="184"/>
    </row>
    <row r="37" spans="1:6" ht="15" customHeight="1" x14ac:dyDescent="0.25">
      <c r="A37" s="27" t="s">
        <v>416</v>
      </c>
      <c r="B37" s="183"/>
      <c r="C37" s="183"/>
      <c r="D37" s="183"/>
      <c r="E37" s="183"/>
      <c r="F37" s="184"/>
    </row>
    <row r="38" spans="1:6" ht="30" customHeight="1" x14ac:dyDescent="0.25">
      <c r="A38" s="157" t="s">
        <v>58</v>
      </c>
      <c r="B38" s="158" t="s">
        <v>2</v>
      </c>
      <c r="C38" s="158" t="s">
        <v>3</v>
      </c>
      <c r="D38" s="159" t="s">
        <v>4</v>
      </c>
      <c r="E38" s="158" t="s">
        <v>59</v>
      </c>
      <c r="F38" s="184"/>
    </row>
    <row r="39" spans="1:6" ht="15" customHeight="1" x14ac:dyDescent="0.25">
      <c r="A39" s="102" t="s">
        <v>49</v>
      </c>
      <c r="B39" s="149">
        <v>32793</v>
      </c>
      <c r="C39" s="149">
        <v>108824</v>
      </c>
      <c r="D39" s="149">
        <v>85763</v>
      </c>
      <c r="E39" s="149">
        <f>SUM(B39:D39)</f>
        <v>227380</v>
      </c>
      <c r="F39" s="184"/>
    </row>
    <row r="40" spans="1:6" ht="15" customHeight="1" x14ac:dyDescent="0.25">
      <c r="A40" s="102" t="s">
        <v>50</v>
      </c>
      <c r="B40" s="149">
        <v>5975</v>
      </c>
      <c r="C40" s="149">
        <v>6004</v>
      </c>
      <c r="D40" s="149">
        <v>23738</v>
      </c>
      <c r="E40" s="149">
        <f>SUM(B40:D40)</f>
        <v>35717</v>
      </c>
      <c r="F40" s="184"/>
    </row>
    <row r="41" spans="1:6" ht="15" customHeight="1" x14ac:dyDescent="0.25">
      <c r="A41" s="102" t="s">
        <v>51</v>
      </c>
      <c r="B41" s="149">
        <v>2347</v>
      </c>
      <c r="C41" s="149">
        <v>26494</v>
      </c>
      <c r="D41" s="149">
        <f>32368-235</f>
        <v>32133</v>
      </c>
      <c r="E41" s="149">
        <f>SUM(B41:D41)</f>
        <v>60974</v>
      </c>
      <c r="F41" s="184"/>
    </row>
    <row r="42" spans="1:6" ht="15" customHeight="1" x14ac:dyDescent="0.25">
      <c r="A42" s="102" t="s">
        <v>52</v>
      </c>
      <c r="B42" s="149">
        <v>568</v>
      </c>
      <c r="C42" s="149">
        <v>288</v>
      </c>
      <c r="D42" s="149">
        <v>18317</v>
      </c>
      <c r="E42" s="149">
        <f t="shared" ref="E42:E49" si="1">SUM(B42:D42)</f>
        <v>19173</v>
      </c>
      <c r="F42" s="184"/>
    </row>
    <row r="43" spans="1:6" ht="15" customHeight="1" x14ac:dyDescent="0.25">
      <c r="A43" s="102" t="s">
        <v>53</v>
      </c>
      <c r="B43" s="149">
        <v>7108</v>
      </c>
      <c r="C43" s="149">
        <v>36253</v>
      </c>
      <c r="D43" s="149">
        <f>87184+235</f>
        <v>87419</v>
      </c>
      <c r="E43" s="149">
        <f t="shared" si="1"/>
        <v>130780</v>
      </c>
      <c r="F43" s="184"/>
    </row>
    <row r="44" spans="1:6" ht="15" customHeight="1" x14ac:dyDescent="0.25">
      <c r="A44" s="102" t="s">
        <v>7</v>
      </c>
      <c r="B44" s="149">
        <v>1123</v>
      </c>
      <c r="C44" s="149">
        <v>2498</v>
      </c>
      <c r="D44" s="149">
        <v>45927</v>
      </c>
      <c r="E44" s="149">
        <f t="shared" si="1"/>
        <v>49548</v>
      </c>
      <c r="F44" s="184"/>
    </row>
    <row r="45" spans="1:6" ht="15" customHeight="1" x14ac:dyDescent="0.25">
      <c r="A45" s="102" t="s">
        <v>54</v>
      </c>
      <c r="B45" s="149">
        <v>21411</v>
      </c>
      <c r="C45" s="149">
        <v>31816</v>
      </c>
      <c r="D45" s="149">
        <v>69632</v>
      </c>
      <c r="E45" s="149">
        <f t="shared" si="1"/>
        <v>122859</v>
      </c>
      <c r="F45" s="184"/>
    </row>
    <row r="46" spans="1:6" ht="15" customHeight="1" x14ac:dyDescent="0.25">
      <c r="A46" s="102" t="s">
        <v>55</v>
      </c>
      <c r="B46" s="149">
        <v>167</v>
      </c>
      <c r="C46" s="149">
        <v>1142</v>
      </c>
      <c r="D46" s="149">
        <v>7169</v>
      </c>
      <c r="E46" s="149">
        <f t="shared" si="1"/>
        <v>8478</v>
      </c>
      <c r="F46" s="184"/>
    </row>
    <row r="47" spans="1:6" ht="15" customHeight="1" x14ac:dyDescent="0.25">
      <c r="A47" s="102" t="s">
        <v>56</v>
      </c>
      <c r="B47" s="149">
        <v>28849</v>
      </c>
      <c r="C47" s="149">
        <v>39594</v>
      </c>
      <c r="D47" s="149">
        <v>170892</v>
      </c>
      <c r="E47" s="149">
        <f t="shared" si="1"/>
        <v>239335</v>
      </c>
      <c r="F47" s="184"/>
    </row>
    <row r="48" spans="1:6" ht="15" customHeight="1" x14ac:dyDescent="0.25">
      <c r="A48" s="102" t="s">
        <v>57</v>
      </c>
      <c r="B48" s="149">
        <v>34155</v>
      </c>
      <c r="C48" s="149">
        <v>125625</v>
      </c>
      <c r="D48" s="149">
        <v>150390</v>
      </c>
      <c r="E48" s="149">
        <f t="shared" si="1"/>
        <v>310170</v>
      </c>
      <c r="F48" s="184"/>
    </row>
    <row r="49" spans="1:10" ht="15" customHeight="1" x14ac:dyDescent="0.25">
      <c r="A49" s="79" t="s">
        <v>0</v>
      </c>
      <c r="B49" s="109">
        <v>134496</v>
      </c>
      <c r="C49" s="109">
        <v>378538</v>
      </c>
      <c r="D49" s="109">
        <f>SUM(D39:D48)</f>
        <v>691380</v>
      </c>
      <c r="E49" s="109">
        <f t="shared" si="1"/>
        <v>1204414</v>
      </c>
      <c r="F49" s="184"/>
    </row>
    <row r="50" spans="1:10" ht="15" customHeight="1" x14ac:dyDescent="0.25">
      <c r="F50" s="184"/>
      <c r="J50" s="186"/>
    </row>
    <row r="51" spans="1:10" ht="15" customHeight="1" x14ac:dyDescent="0.25">
      <c r="A51" s="27" t="s">
        <v>417</v>
      </c>
      <c r="B51" s="183"/>
      <c r="C51" s="183"/>
      <c r="D51" s="183"/>
      <c r="E51" s="183"/>
      <c r="F51" s="184"/>
      <c r="J51" s="183"/>
    </row>
    <row r="52" spans="1:10" ht="30" customHeight="1" x14ac:dyDescent="0.25">
      <c r="A52" s="157" t="s">
        <v>58</v>
      </c>
      <c r="B52" s="158" t="s">
        <v>160</v>
      </c>
      <c r="C52" s="158" t="s">
        <v>161</v>
      </c>
      <c r="D52" s="158" t="s">
        <v>59</v>
      </c>
      <c r="F52" s="184"/>
      <c r="J52" s="186"/>
    </row>
    <row r="53" spans="1:10" ht="15" customHeight="1" x14ac:dyDescent="0.25">
      <c r="A53" s="102" t="s">
        <v>49</v>
      </c>
      <c r="B53" s="149">
        <v>126015</v>
      </c>
      <c r="C53" s="149">
        <v>101365</v>
      </c>
      <c r="D53" s="149">
        <v>227380</v>
      </c>
      <c r="E53" s="183"/>
      <c r="F53" s="184"/>
      <c r="J53" s="183"/>
    </row>
    <row r="54" spans="1:10" ht="15" customHeight="1" x14ac:dyDescent="0.25">
      <c r="A54" s="102" t="s">
        <v>50</v>
      </c>
      <c r="B54" s="149">
        <v>20647</v>
      </c>
      <c r="C54" s="149">
        <v>15070</v>
      </c>
      <c r="D54" s="149">
        <v>35717</v>
      </c>
      <c r="F54" s="184"/>
      <c r="J54" s="186"/>
    </row>
    <row r="55" spans="1:10" ht="15" customHeight="1" x14ac:dyDescent="0.25">
      <c r="A55" s="102" t="s">
        <v>51</v>
      </c>
      <c r="B55" s="149">
        <v>36369</v>
      </c>
      <c r="C55" s="149">
        <v>24605</v>
      </c>
      <c r="D55" s="149">
        <v>60974</v>
      </c>
      <c r="E55" s="183"/>
      <c r="F55" s="184"/>
      <c r="J55" s="183"/>
    </row>
    <row r="56" spans="1:10" ht="15" customHeight="1" x14ac:dyDescent="0.25">
      <c r="A56" s="102" t="s">
        <v>52</v>
      </c>
      <c r="B56" s="149">
        <v>9093</v>
      </c>
      <c r="C56" s="149">
        <v>10080</v>
      </c>
      <c r="D56" s="149">
        <v>19173</v>
      </c>
      <c r="F56" s="184"/>
      <c r="J56" s="186"/>
    </row>
    <row r="57" spans="1:10" ht="15" customHeight="1" x14ac:dyDescent="0.25">
      <c r="A57" s="102" t="s">
        <v>53</v>
      </c>
      <c r="B57" s="149">
        <v>90940</v>
      </c>
      <c r="C57" s="149">
        <v>39840</v>
      </c>
      <c r="D57" s="149">
        <v>130780</v>
      </c>
      <c r="E57" s="183"/>
      <c r="F57" s="184"/>
      <c r="J57" s="183"/>
    </row>
    <row r="58" spans="1:10" ht="15" customHeight="1" x14ac:dyDescent="0.25">
      <c r="A58" s="102" t="s">
        <v>7</v>
      </c>
      <c r="B58" s="149">
        <v>28028</v>
      </c>
      <c r="C58" s="149">
        <v>21520</v>
      </c>
      <c r="D58" s="149">
        <v>49548</v>
      </c>
      <c r="F58" s="184"/>
      <c r="J58" s="186"/>
    </row>
    <row r="59" spans="1:10" ht="15" customHeight="1" x14ac:dyDescent="0.25">
      <c r="A59" s="102" t="s">
        <v>54</v>
      </c>
      <c r="B59" s="149">
        <v>93041</v>
      </c>
      <c r="C59" s="149">
        <v>29818</v>
      </c>
      <c r="D59" s="149">
        <v>122859</v>
      </c>
      <c r="E59" s="183"/>
      <c r="F59" s="184"/>
      <c r="J59" s="183"/>
    </row>
    <row r="60" spans="1:10" ht="15" customHeight="1" x14ac:dyDescent="0.25">
      <c r="A60" s="102" t="s">
        <v>55</v>
      </c>
      <c r="B60" s="149">
        <v>5267</v>
      </c>
      <c r="C60" s="149">
        <v>3211</v>
      </c>
      <c r="D60" s="149">
        <v>8478</v>
      </c>
      <c r="F60" s="184"/>
      <c r="J60" s="186"/>
    </row>
    <row r="61" spans="1:10" ht="15" customHeight="1" x14ac:dyDescent="0.25">
      <c r="A61" s="102" t="s">
        <v>56</v>
      </c>
      <c r="B61" s="149">
        <v>181596</v>
      </c>
      <c r="C61" s="149">
        <v>57739</v>
      </c>
      <c r="D61" s="149">
        <v>239335</v>
      </c>
      <c r="E61" s="183"/>
      <c r="F61" s="184"/>
      <c r="J61" s="183"/>
    </row>
    <row r="62" spans="1:10" ht="15" customHeight="1" x14ac:dyDescent="0.25">
      <c r="A62" s="102" t="s">
        <v>57</v>
      </c>
      <c r="B62" s="149">
        <v>60235</v>
      </c>
      <c r="C62" s="149">
        <v>249935</v>
      </c>
      <c r="D62" s="149">
        <v>310170</v>
      </c>
      <c r="F62" s="184"/>
      <c r="J62" s="186"/>
    </row>
    <row r="63" spans="1:10" ht="15" customHeight="1" x14ac:dyDescent="0.25">
      <c r="A63" s="79" t="s">
        <v>0</v>
      </c>
      <c r="B63" s="109">
        <v>651231</v>
      </c>
      <c r="C63" s="109">
        <v>553183</v>
      </c>
      <c r="D63" s="109">
        <v>1204414</v>
      </c>
      <c r="E63" s="183"/>
      <c r="F63" s="184"/>
      <c r="J63" s="183"/>
    </row>
    <row r="64" spans="1:10" s="104" customFormat="1" ht="15" customHeight="1" x14ac:dyDescent="0.25">
      <c r="E64" s="63"/>
    </row>
    <row r="65" spans="1:6" ht="15" customHeight="1" x14ac:dyDescent="0.25">
      <c r="A65" s="27" t="s">
        <v>418</v>
      </c>
      <c r="B65" s="183"/>
      <c r="C65" s="183"/>
      <c r="D65" s="183"/>
      <c r="E65" s="183"/>
      <c r="F65" s="184"/>
    </row>
    <row r="66" spans="1:6" ht="25.5" x14ac:dyDescent="0.25">
      <c r="A66" s="157" t="s">
        <v>60</v>
      </c>
      <c r="B66" s="158" t="s">
        <v>2</v>
      </c>
      <c r="C66" s="158" t="s">
        <v>3</v>
      </c>
      <c r="D66" s="158" t="s">
        <v>4</v>
      </c>
      <c r="E66" s="158" t="s">
        <v>59</v>
      </c>
      <c r="F66" s="184"/>
    </row>
    <row r="67" spans="1:6" ht="15" customHeight="1" x14ac:dyDescent="0.25">
      <c r="A67" s="102" t="s">
        <v>99</v>
      </c>
      <c r="B67" s="115">
        <v>82935</v>
      </c>
      <c r="C67" s="115">
        <v>181596</v>
      </c>
      <c r="D67" s="115">
        <v>605996</v>
      </c>
      <c r="E67" s="115">
        <v>870527</v>
      </c>
      <c r="F67" s="184"/>
    </row>
    <row r="68" spans="1:6" ht="15" customHeight="1" x14ac:dyDescent="0.25">
      <c r="A68" s="102" t="s">
        <v>100</v>
      </c>
      <c r="B68" s="115">
        <v>46040</v>
      </c>
      <c r="C68" s="115">
        <v>128614</v>
      </c>
      <c r="D68" s="115">
        <v>65481</v>
      </c>
      <c r="E68" s="115">
        <v>240135</v>
      </c>
      <c r="F68" s="184"/>
    </row>
    <row r="69" spans="1:6" ht="15" customHeight="1" x14ac:dyDescent="0.25">
      <c r="A69" s="102" t="s">
        <v>101</v>
      </c>
      <c r="B69" s="115">
        <v>473</v>
      </c>
      <c r="C69" s="115">
        <v>4080</v>
      </c>
      <c r="D69" s="115">
        <v>2659</v>
      </c>
      <c r="E69" s="115">
        <v>7212</v>
      </c>
      <c r="F69" s="184"/>
    </row>
    <row r="70" spans="1:6" ht="15" customHeight="1" x14ac:dyDescent="0.25">
      <c r="A70" s="102" t="s">
        <v>102</v>
      </c>
      <c r="B70" s="115">
        <v>5048</v>
      </c>
      <c r="C70" s="115">
        <v>63983</v>
      </c>
      <c r="D70" s="115">
        <v>10338</v>
      </c>
      <c r="E70" s="115">
        <v>79369</v>
      </c>
      <c r="F70" s="184"/>
    </row>
    <row r="71" spans="1:6" ht="15" customHeight="1" x14ac:dyDescent="0.25">
      <c r="A71" s="102" t="s">
        <v>103</v>
      </c>
      <c r="B71" s="115"/>
      <c r="C71" s="115">
        <v>265</v>
      </c>
      <c r="D71" s="115">
        <v>6906</v>
      </c>
      <c r="E71" s="115">
        <v>7171</v>
      </c>
      <c r="F71" s="184"/>
    </row>
    <row r="72" spans="1:6" ht="15" customHeight="1" x14ac:dyDescent="0.25">
      <c r="A72" s="79" t="s">
        <v>0</v>
      </c>
      <c r="B72" s="26">
        <v>134496</v>
      </c>
      <c r="C72" s="26">
        <v>378538</v>
      </c>
      <c r="D72" s="26">
        <v>691380</v>
      </c>
      <c r="E72" s="26">
        <v>1204414</v>
      </c>
      <c r="F72" s="184"/>
    </row>
    <row r="73" spans="1:6" ht="15" customHeight="1" x14ac:dyDescent="0.25">
      <c r="A73" s="184"/>
      <c r="B73" s="183"/>
      <c r="C73" s="183"/>
      <c r="D73" s="183"/>
      <c r="E73" s="183"/>
      <c r="F73" s="184"/>
    </row>
    <row r="74" spans="1:6" ht="15" customHeight="1" x14ac:dyDescent="0.25">
      <c r="A74" s="27" t="s">
        <v>419</v>
      </c>
      <c r="B74" s="183"/>
      <c r="C74" s="183"/>
      <c r="D74" s="183"/>
      <c r="E74" s="183"/>
      <c r="F74" s="184"/>
    </row>
    <row r="75" spans="1:6" ht="25.5" x14ac:dyDescent="0.25">
      <c r="A75" s="157" t="s">
        <v>48</v>
      </c>
      <c r="B75" s="158" t="s">
        <v>2</v>
      </c>
      <c r="C75" s="158" t="s">
        <v>3</v>
      </c>
      <c r="D75" s="158" t="s">
        <v>4</v>
      </c>
      <c r="E75" s="158" t="s">
        <v>59</v>
      </c>
      <c r="F75" s="184"/>
    </row>
    <row r="76" spans="1:6" ht="15" customHeight="1" x14ac:dyDescent="0.25">
      <c r="A76" s="102" t="s">
        <v>280</v>
      </c>
      <c r="B76" s="115">
        <v>4506</v>
      </c>
      <c r="C76" s="115">
        <v>1747</v>
      </c>
      <c r="D76" s="115">
        <v>11125</v>
      </c>
      <c r="E76" s="115">
        <v>17378</v>
      </c>
      <c r="F76" s="184"/>
    </row>
    <row r="77" spans="1:6" ht="15" customHeight="1" x14ac:dyDescent="0.25">
      <c r="A77" s="102" t="s">
        <v>281</v>
      </c>
      <c r="B77" s="115">
        <v>3927</v>
      </c>
      <c r="C77" s="115">
        <v>3871</v>
      </c>
      <c r="D77" s="115">
        <v>11170</v>
      </c>
      <c r="E77" s="115">
        <v>18968</v>
      </c>
      <c r="F77" s="184"/>
    </row>
    <row r="78" spans="1:6" ht="15" customHeight="1" x14ac:dyDescent="0.25">
      <c r="A78" s="102" t="s">
        <v>282</v>
      </c>
      <c r="B78" s="115">
        <v>5299</v>
      </c>
      <c r="C78" s="115">
        <v>12831</v>
      </c>
      <c r="D78" s="115">
        <v>20822</v>
      </c>
      <c r="E78" s="115">
        <v>38952</v>
      </c>
      <c r="F78" s="184"/>
    </row>
    <row r="79" spans="1:6" ht="15" customHeight="1" x14ac:dyDescent="0.25">
      <c r="A79" s="102" t="s">
        <v>283</v>
      </c>
      <c r="B79" s="115">
        <v>2177</v>
      </c>
      <c r="C79" s="115">
        <v>2767</v>
      </c>
      <c r="D79" s="115">
        <v>8240</v>
      </c>
      <c r="E79" s="115">
        <v>13184</v>
      </c>
      <c r="F79" s="184"/>
    </row>
    <row r="80" spans="1:6" ht="15" customHeight="1" x14ac:dyDescent="0.25">
      <c r="A80" s="102" t="s">
        <v>284</v>
      </c>
      <c r="B80" s="115">
        <v>10331</v>
      </c>
      <c r="C80" s="115">
        <v>12424</v>
      </c>
      <c r="D80" s="115">
        <v>22112</v>
      </c>
      <c r="E80" s="115">
        <v>44867</v>
      </c>
      <c r="F80" s="184"/>
    </row>
    <row r="81" spans="1:6" ht="15" customHeight="1" x14ac:dyDescent="0.25">
      <c r="A81" s="102" t="s">
        <v>285</v>
      </c>
      <c r="B81" s="115">
        <v>13155</v>
      </c>
      <c r="C81" s="115">
        <v>34450</v>
      </c>
      <c r="D81" s="115">
        <v>81060</v>
      </c>
      <c r="E81" s="115">
        <v>128665</v>
      </c>
      <c r="F81" s="184"/>
    </row>
    <row r="82" spans="1:6" ht="15" customHeight="1" x14ac:dyDescent="0.25">
      <c r="A82" s="102" t="s">
        <v>286</v>
      </c>
      <c r="B82" s="115">
        <v>39794</v>
      </c>
      <c r="C82" s="115">
        <v>214877</v>
      </c>
      <c r="D82" s="115">
        <v>320892</v>
      </c>
      <c r="E82" s="115">
        <v>575563</v>
      </c>
      <c r="F82" s="184"/>
    </row>
    <row r="83" spans="1:6" ht="15" customHeight="1" x14ac:dyDescent="0.25">
      <c r="A83" s="102" t="s">
        <v>404</v>
      </c>
      <c r="B83" s="115">
        <v>4644</v>
      </c>
      <c r="C83" s="115">
        <v>15659</v>
      </c>
      <c r="D83" s="115">
        <v>6784</v>
      </c>
      <c r="E83" s="115">
        <v>27087</v>
      </c>
      <c r="F83" s="184"/>
    </row>
    <row r="84" spans="1:6" ht="15" customHeight="1" x14ac:dyDescent="0.25">
      <c r="A84" s="102" t="s">
        <v>287</v>
      </c>
      <c r="B84" s="115">
        <v>14794</v>
      </c>
      <c r="C84" s="115">
        <v>10825</v>
      </c>
      <c r="D84" s="115">
        <v>32320</v>
      </c>
      <c r="E84" s="115">
        <v>57939</v>
      </c>
      <c r="F84" s="184"/>
    </row>
    <row r="85" spans="1:6" ht="15" customHeight="1" x14ac:dyDescent="0.25">
      <c r="A85" s="102" t="s">
        <v>363</v>
      </c>
      <c r="B85" s="115">
        <v>3762</v>
      </c>
      <c r="C85" s="115">
        <v>5660</v>
      </c>
      <c r="D85" s="115">
        <v>13221</v>
      </c>
      <c r="E85" s="115">
        <v>22643</v>
      </c>
      <c r="F85" s="184"/>
    </row>
    <row r="86" spans="1:6" ht="15" customHeight="1" x14ac:dyDescent="0.25">
      <c r="A86" s="102" t="s">
        <v>293</v>
      </c>
      <c r="B86" s="115">
        <v>11599</v>
      </c>
      <c r="C86" s="115">
        <v>32804</v>
      </c>
      <c r="D86" s="115">
        <v>79391</v>
      </c>
      <c r="E86" s="115">
        <v>123794</v>
      </c>
      <c r="F86" s="184"/>
    </row>
    <row r="87" spans="1:6" ht="15" customHeight="1" x14ac:dyDescent="0.25">
      <c r="A87" s="102" t="s">
        <v>288</v>
      </c>
      <c r="B87" s="115">
        <v>7587</v>
      </c>
      <c r="C87" s="115">
        <v>12079</v>
      </c>
      <c r="D87" s="115">
        <v>38417</v>
      </c>
      <c r="E87" s="115">
        <v>58083</v>
      </c>
      <c r="F87" s="184"/>
    </row>
    <row r="88" spans="1:6" ht="15" customHeight="1" x14ac:dyDescent="0.25">
      <c r="A88" s="102" t="s">
        <v>289</v>
      </c>
      <c r="B88" s="115">
        <v>3805</v>
      </c>
      <c r="C88" s="115">
        <v>4252</v>
      </c>
      <c r="D88" s="115">
        <v>18278</v>
      </c>
      <c r="E88" s="115">
        <v>26335</v>
      </c>
      <c r="F88" s="184"/>
    </row>
    <row r="89" spans="1:6" ht="15" customHeight="1" x14ac:dyDescent="0.25">
      <c r="A89" s="102" t="s">
        <v>290</v>
      </c>
      <c r="B89" s="115">
        <v>6119</v>
      </c>
      <c r="C89" s="115">
        <v>12757</v>
      </c>
      <c r="D89" s="115">
        <v>22119</v>
      </c>
      <c r="E89" s="115">
        <v>40995</v>
      </c>
      <c r="F89" s="184"/>
    </row>
    <row r="90" spans="1:6" ht="15" customHeight="1" x14ac:dyDescent="0.25">
      <c r="A90" s="102" t="s">
        <v>291</v>
      </c>
      <c r="B90" s="115">
        <v>1148</v>
      </c>
      <c r="C90" s="115">
        <v>451</v>
      </c>
      <c r="D90" s="115">
        <v>1271</v>
      </c>
      <c r="E90" s="115">
        <v>2870</v>
      </c>
      <c r="F90" s="184"/>
    </row>
    <row r="91" spans="1:6" ht="15" customHeight="1" x14ac:dyDescent="0.25">
      <c r="A91" s="102" t="s">
        <v>292</v>
      </c>
      <c r="B91" s="115">
        <v>1849</v>
      </c>
      <c r="C91" s="115">
        <v>1084</v>
      </c>
      <c r="D91" s="115">
        <v>4158</v>
      </c>
      <c r="E91" s="115">
        <v>7091</v>
      </c>
      <c r="F91" s="184"/>
    </row>
    <row r="92" spans="1:6" ht="15" customHeight="1" x14ac:dyDescent="0.25">
      <c r="A92" s="79" t="s">
        <v>0</v>
      </c>
      <c r="B92" s="26">
        <v>134496</v>
      </c>
      <c r="C92" s="26">
        <v>378538</v>
      </c>
      <c r="D92" s="26">
        <v>691380</v>
      </c>
      <c r="E92" s="26">
        <v>1204414</v>
      </c>
      <c r="F92" s="184"/>
    </row>
    <row r="93" spans="1:6" ht="15" customHeight="1" x14ac:dyDescent="0.25">
      <c r="A93" s="184"/>
      <c r="B93" s="183"/>
      <c r="C93" s="183"/>
      <c r="D93" s="183"/>
      <c r="E93" s="183"/>
      <c r="F93" s="184"/>
    </row>
    <row r="94" spans="1:6" ht="15" customHeight="1" x14ac:dyDescent="0.25">
      <c r="A94" s="27" t="s">
        <v>420</v>
      </c>
      <c r="B94" s="183"/>
      <c r="C94" s="183"/>
      <c r="D94" s="183"/>
      <c r="E94" s="183"/>
      <c r="F94" s="184"/>
    </row>
    <row r="95" spans="1:6" ht="30" customHeight="1" x14ac:dyDescent="0.25">
      <c r="A95" s="157" t="s">
        <v>48</v>
      </c>
      <c r="B95" s="158" t="s">
        <v>2</v>
      </c>
      <c r="C95" s="158" t="s">
        <v>3</v>
      </c>
      <c r="D95" s="158" t="s">
        <v>4</v>
      </c>
      <c r="E95" s="161" t="s">
        <v>315</v>
      </c>
      <c r="F95" s="184"/>
    </row>
    <row r="96" spans="1:6" ht="15" customHeight="1" x14ac:dyDescent="0.25">
      <c r="A96" s="102" t="s">
        <v>280</v>
      </c>
      <c r="B96" s="115">
        <v>1695</v>
      </c>
      <c r="C96" s="115">
        <v>482</v>
      </c>
      <c r="D96" s="115">
        <v>2014</v>
      </c>
      <c r="E96" s="115">
        <v>4191</v>
      </c>
      <c r="F96" s="184"/>
    </row>
    <row r="97" spans="1:6" ht="15" customHeight="1" x14ac:dyDescent="0.25">
      <c r="A97" s="102" t="s">
        <v>281</v>
      </c>
      <c r="B97" s="115">
        <v>1884</v>
      </c>
      <c r="C97" s="115">
        <v>1146</v>
      </c>
      <c r="D97" s="115">
        <v>2012</v>
      </c>
      <c r="E97" s="115">
        <v>5042</v>
      </c>
      <c r="F97" s="184"/>
    </row>
    <row r="98" spans="1:6" ht="15" customHeight="1" x14ac:dyDescent="0.25">
      <c r="A98" s="102" t="s">
        <v>282</v>
      </c>
      <c r="B98" s="115">
        <v>2379</v>
      </c>
      <c r="C98" s="115">
        <v>4007</v>
      </c>
      <c r="D98" s="115">
        <v>3825</v>
      </c>
      <c r="E98" s="115">
        <v>10211</v>
      </c>
      <c r="F98" s="184"/>
    </row>
    <row r="99" spans="1:6" ht="15" customHeight="1" x14ac:dyDescent="0.25">
      <c r="A99" s="102" t="s">
        <v>283</v>
      </c>
      <c r="B99" s="115">
        <v>956</v>
      </c>
      <c r="C99" s="115">
        <v>1008</v>
      </c>
      <c r="D99" s="115">
        <v>1771</v>
      </c>
      <c r="E99" s="115">
        <v>3735</v>
      </c>
      <c r="F99" s="184"/>
    </row>
    <row r="100" spans="1:6" ht="15" customHeight="1" x14ac:dyDescent="0.25">
      <c r="A100" s="102" t="s">
        <v>284</v>
      </c>
      <c r="B100" s="115">
        <v>4428</v>
      </c>
      <c r="C100" s="115">
        <v>3698</v>
      </c>
      <c r="D100" s="115">
        <v>4516</v>
      </c>
      <c r="E100" s="115">
        <v>12642</v>
      </c>
      <c r="F100" s="184"/>
    </row>
    <row r="101" spans="1:6" ht="15" customHeight="1" x14ac:dyDescent="0.25">
      <c r="A101" s="102" t="s">
        <v>285</v>
      </c>
      <c r="B101" s="115">
        <v>5598</v>
      </c>
      <c r="C101" s="115">
        <v>10025</v>
      </c>
      <c r="D101" s="115">
        <v>15461</v>
      </c>
      <c r="E101" s="115">
        <v>31084</v>
      </c>
      <c r="F101" s="184"/>
    </row>
    <row r="102" spans="1:6" ht="15" customHeight="1" x14ac:dyDescent="0.25">
      <c r="A102" s="102" t="s">
        <v>286</v>
      </c>
      <c r="B102" s="115">
        <v>17230</v>
      </c>
      <c r="C102" s="115">
        <v>72082</v>
      </c>
      <c r="D102" s="115">
        <v>63310</v>
      </c>
      <c r="E102" s="115">
        <v>152622</v>
      </c>
      <c r="F102" s="184"/>
    </row>
    <row r="103" spans="1:6" ht="15" customHeight="1" x14ac:dyDescent="0.25">
      <c r="A103" s="102" t="s">
        <v>404</v>
      </c>
      <c r="B103" s="115">
        <v>2154</v>
      </c>
      <c r="C103" s="115">
        <v>4549</v>
      </c>
      <c r="D103" s="115">
        <v>1508</v>
      </c>
      <c r="E103" s="115">
        <v>8211</v>
      </c>
      <c r="F103" s="184"/>
    </row>
    <row r="104" spans="1:6" ht="15" customHeight="1" x14ac:dyDescent="0.25">
      <c r="A104" s="102" t="s">
        <v>287</v>
      </c>
      <c r="B104" s="115">
        <v>6338</v>
      </c>
      <c r="C104" s="115">
        <v>2973</v>
      </c>
      <c r="D104" s="115">
        <v>6089</v>
      </c>
      <c r="E104" s="115">
        <v>15400</v>
      </c>
      <c r="F104" s="184"/>
    </row>
    <row r="105" spans="1:6" ht="15" customHeight="1" x14ac:dyDescent="0.25">
      <c r="A105" s="102" t="s">
        <v>363</v>
      </c>
      <c r="B105" s="115">
        <v>1641</v>
      </c>
      <c r="C105" s="115">
        <v>1706</v>
      </c>
      <c r="D105" s="115">
        <v>2862</v>
      </c>
      <c r="E105" s="115">
        <v>6209</v>
      </c>
      <c r="F105" s="184"/>
    </row>
    <row r="106" spans="1:6" ht="15" customHeight="1" x14ac:dyDescent="0.25">
      <c r="A106" s="102" t="s">
        <v>293</v>
      </c>
      <c r="B106" s="115">
        <v>5185</v>
      </c>
      <c r="C106" s="115">
        <v>10514</v>
      </c>
      <c r="D106" s="115">
        <v>15427</v>
      </c>
      <c r="E106" s="115">
        <v>31126</v>
      </c>
      <c r="F106" s="184"/>
    </row>
    <row r="107" spans="1:6" ht="15" customHeight="1" x14ac:dyDescent="0.25">
      <c r="A107" s="102" t="s">
        <v>288</v>
      </c>
      <c r="B107" s="115">
        <v>3240</v>
      </c>
      <c r="C107" s="115">
        <v>3405</v>
      </c>
      <c r="D107" s="115">
        <v>7284</v>
      </c>
      <c r="E107" s="115">
        <v>13929</v>
      </c>
      <c r="F107" s="184"/>
    </row>
    <row r="108" spans="1:6" ht="15" customHeight="1" x14ac:dyDescent="0.25">
      <c r="A108" s="102" t="s">
        <v>289</v>
      </c>
      <c r="B108" s="115">
        <v>1651</v>
      </c>
      <c r="C108" s="115">
        <v>1163</v>
      </c>
      <c r="D108" s="115">
        <v>3475</v>
      </c>
      <c r="E108" s="115">
        <v>6289</v>
      </c>
      <c r="F108" s="184"/>
    </row>
    <row r="109" spans="1:6" ht="15" customHeight="1" x14ac:dyDescent="0.25">
      <c r="A109" s="102" t="s">
        <v>290</v>
      </c>
      <c r="B109" s="115">
        <v>2594</v>
      </c>
      <c r="C109" s="115">
        <v>3931</v>
      </c>
      <c r="D109" s="115">
        <v>4224</v>
      </c>
      <c r="E109" s="115">
        <v>10749</v>
      </c>
      <c r="F109" s="184"/>
    </row>
    <row r="110" spans="1:6" ht="15" customHeight="1" x14ac:dyDescent="0.25">
      <c r="A110" s="102" t="s">
        <v>291</v>
      </c>
      <c r="B110" s="115">
        <v>494</v>
      </c>
      <c r="C110" s="115">
        <v>54</v>
      </c>
      <c r="D110" s="115">
        <v>409</v>
      </c>
      <c r="E110" s="115">
        <v>957</v>
      </c>
      <c r="F110" s="184"/>
    </row>
    <row r="111" spans="1:6" ht="15" customHeight="1" x14ac:dyDescent="0.25">
      <c r="A111" s="102" t="s">
        <v>292</v>
      </c>
      <c r="B111" s="115">
        <v>847</v>
      </c>
      <c r="C111" s="115">
        <v>263</v>
      </c>
      <c r="D111" s="115">
        <v>1032</v>
      </c>
      <c r="E111" s="115">
        <v>2142</v>
      </c>
      <c r="F111" s="184"/>
    </row>
    <row r="112" spans="1:6" ht="15" customHeight="1" x14ac:dyDescent="0.25">
      <c r="A112" s="79" t="s">
        <v>0</v>
      </c>
      <c r="B112" s="26">
        <v>58314</v>
      </c>
      <c r="C112" s="26">
        <v>121006</v>
      </c>
      <c r="D112" s="26">
        <v>135219</v>
      </c>
      <c r="E112" s="26">
        <v>314539</v>
      </c>
      <c r="F112" s="184"/>
    </row>
    <row r="113" spans="1:6" ht="15" customHeight="1" x14ac:dyDescent="0.25">
      <c r="A113" s="184"/>
      <c r="B113" s="183"/>
      <c r="C113" s="183"/>
      <c r="D113" s="183"/>
      <c r="E113" s="183"/>
      <c r="F113" s="184"/>
    </row>
    <row r="114" spans="1:6" ht="15" customHeight="1" x14ac:dyDescent="0.25">
      <c r="A114" s="27" t="s">
        <v>421</v>
      </c>
      <c r="B114" s="183"/>
      <c r="C114" s="183"/>
      <c r="D114" s="183"/>
      <c r="E114" s="183"/>
      <c r="F114" s="184"/>
    </row>
    <row r="115" spans="1:6" ht="30" customHeight="1" x14ac:dyDescent="0.25">
      <c r="A115" s="157" t="s">
        <v>48</v>
      </c>
      <c r="B115" s="158" t="s">
        <v>160</v>
      </c>
      <c r="C115" s="158" t="s">
        <v>161</v>
      </c>
      <c r="D115" s="158" t="s">
        <v>59</v>
      </c>
      <c r="E115" s="183"/>
      <c r="F115" s="184"/>
    </row>
    <row r="116" spans="1:6" ht="15" customHeight="1" x14ac:dyDescent="0.25">
      <c r="A116" s="102" t="s">
        <v>280</v>
      </c>
      <c r="B116" s="115">
        <v>9824</v>
      </c>
      <c r="C116" s="115">
        <v>7554</v>
      </c>
      <c r="D116" s="115">
        <v>17378</v>
      </c>
      <c r="E116" s="183"/>
      <c r="F116" s="184"/>
    </row>
    <row r="117" spans="1:6" ht="15" customHeight="1" x14ac:dyDescent="0.25">
      <c r="A117" s="102" t="s">
        <v>281</v>
      </c>
      <c r="B117" s="115">
        <v>10725</v>
      </c>
      <c r="C117" s="115">
        <v>8243</v>
      </c>
      <c r="D117" s="115">
        <v>18968</v>
      </c>
      <c r="E117" s="183"/>
      <c r="F117" s="184"/>
    </row>
    <row r="118" spans="1:6" ht="15" customHeight="1" x14ac:dyDescent="0.25">
      <c r="A118" s="102" t="s">
        <v>282</v>
      </c>
      <c r="B118" s="115">
        <v>19988</v>
      </c>
      <c r="C118" s="115">
        <v>18964</v>
      </c>
      <c r="D118" s="115">
        <v>38952</v>
      </c>
      <c r="E118" s="183"/>
      <c r="F118" s="184"/>
    </row>
    <row r="119" spans="1:6" ht="15" customHeight="1" x14ac:dyDescent="0.25">
      <c r="A119" s="102" t="s">
        <v>283</v>
      </c>
      <c r="B119" s="115">
        <v>7076</v>
      </c>
      <c r="C119" s="115">
        <v>6108</v>
      </c>
      <c r="D119" s="115">
        <v>13184</v>
      </c>
      <c r="E119" s="183"/>
      <c r="F119" s="184"/>
    </row>
    <row r="120" spans="1:6" ht="15" customHeight="1" x14ac:dyDescent="0.25">
      <c r="A120" s="102" t="s">
        <v>284</v>
      </c>
      <c r="B120" s="115">
        <v>24814</v>
      </c>
      <c r="C120" s="115">
        <v>20053</v>
      </c>
      <c r="D120" s="115">
        <v>44867</v>
      </c>
      <c r="E120" s="183"/>
      <c r="F120" s="184"/>
    </row>
    <row r="121" spans="1:6" ht="15" customHeight="1" x14ac:dyDescent="0.25">
      <c r="A121" s="102" t="s">
        <v>285</v>
      </c>
      <c r="B121" s="115">
        <v>68846</v>
      </c>
      <c r="C121" s="115">
        <v>59819</v>
      </c>
      <c r="D121" s="115">
        <v>128665</v>
      </c>
      <c r="E121" s="183"/>
      <c r="F121" s="184"/>
    </row>
    <row r="122" spans="1:6" ht="15" customHeight="1" x14ac:dyDescent="0.25">
      <c r="A122" s="102" t="s">
        <v>286</v>
      </c>
      <c r="B122" s="115">
        <v>303272</v>
      </c>
      <c r="C122" s="115">
        <v>272291</v>
      </c>
      <c r="D122" s="115">
        <v>575563</v>
      </c>
      <c r="E122" s="183"/>
      <c r="F122" s="184"/>
    </row>
    <row r="123" spans="1:6" ht="15" customHeight="1" x14ac:dyDescent="0.25">
      <c r="A123" s="102" t="s">
        <v>404</v>
      </c>
      <c r="B123" s="115">
        <v>15014</v>
      </c>
      <c r="C123" s="115">
        <v>12073</v>
      </c>
      <c r="D123" s="115">
        <v>27087</v>
      </c>
      <c r="E123" s="183"/>
      <c r="F123" s="184"/>
    </row>
    <row r="124" spans="1:6" ht="15" customHeight="1" x14ac:dyDescent="0.25">
      <c r="A124" s="102" t="s">
        <v>287</v>
      </c>
      <c r="B124" s="115">
        <v>33567</v>
      </c>
      <c r="C124" s="115">
        <v>24372</v>
      </c>
      <c r="D124" s="115">
        <v>57939</v>
      </c>
      <c r="E124" s="183"/>
      <c r="F124" s="184"/>
    </row>
    <row r="125" spans="1:6" ht="15" customHeight="1" x14ac:dyDescent="0.25">
      <c r="A125" s="102" t="s">
        <v>363</v>
      </c>
      <c r="B125" s="115">
        <v>12933</v>
      </c>
      <c r="C125" s="115">
        <v>9710</v>
      </c>
      <c r="D125" s="115">
        <v>22643</v>
      </c>
      <c r="E125" s="183"/>
      <c r="F125" s="184"/>
    </row>
    <row r="126" spans="1:6" ht="15" customHeight="1" x14ac:dyDescent="0.25">
      <c r="A126" s="102" t="s">
        <v>293</v>
      </c>
      <c r="B126" s="115">
        <v>67014</v>
      </c>
      <c r="C126" s="115">
        <v>56780</v>
      </c>
      <c r="D126" s="115">
        <v>123794</v>
      </c>
      <c r="E126" s="183"/>
      <c r="F126" s="184"/>
    </row>
    <row r="127" spans="1:6" ht="15" customHeight="1" x14ac:dyDescent="0.25">
      <c r="A127" s="102" t="s">
        <v>288</v>
      </c>
      <c r="B127" s="115">
        <v>33403</v>
      </c>
      <c r="C127" s="115">
        <v>24680</v>
      </c>
      <c r="D127" s="115">
        <v>58083</v>
      </c>
      <c r="E127" s="183"/>
      <c r="F127" s="184"/>
    </row>
    <row r="128" spans="1:6" ht="15" customHeight="1" x14ac:dyDescent="0.25">
      <c r="A128" s="102" t="s">
        <v>289</v>
      </c>
      <c r="B128" s="115">
        <v>14594</v>
      </c>
      <c r="C128" s="115">
        <v>11741</v>
      </c>
      <c r="D128" s="115">
        <v>26335</v>
      </c>
      <c r="E128" s="183"/>
      <c r="F128" s="184"/>
    </row>
    <row r="129" spans="1:6" ht="15" customHeight="1" x14ac:dyDescent="0.25">
      <c r="A129" s="102" t="s">
        <v>290</v>
      </c>
      <c r="B129" s="115">
        <v>24321</v>
      </c>
      <c r="C129" s="115">
        <v>16674</v>
      </c>
      <c r="D129" s="115">
        <v>40995</v>
      </c>
      <c r="E129" s="183"/>
      <c r="F129" s="184"/>
    </row>
    <row r="130" spans="1:6" ht="15" customHeight="1" x14ac:dyDescent="0.25">
      <c r="A130" s="102" t="s">
        <v>291</v>
      </c>
      <c r="B130" s="115">
        <v>1831</v>
      </c>
      <c r="C130" s="115">
        <v>1039</v>
      </c>
      <c r="D130" s="115">
        <v>2870</v>
      </c>
      <c r="E130" s="183"/>
      <c r="F130" s="184"/>
    </row>
    <row r="131" spans="1:6" ht="15" customHeight="1" x14ac:dyDescent="0.25">
      <c r="A131" s="102" t="s">
        <v>292</v>
      </c>
      <c r="B131" s="115">
        <v>4009</v>
      </c>
      <c r="C131" s="115">
        <v>3082</v>
      </c>
      <c r="D131" s="115">
        <v>7091</v>
      </c>
      <c r="E131" s="183"/>
      <c r="F131" s="184"/>
    </row>
    <row r="132" spans="1:6" s="104" customFormat="1" ht="15" customHeight="1" x14ac:dyDescent="0.25">
      <c r="A132" s="79" t="s">
        <v>0</v>
      </c>
      <c r="B132" s="26">
        <v>651231</v>
      </c>
      <c r="C132" s="26">
        <v>553183</v>
      </c>
      <c r="D132" s="26">
        <v>1204414</v>
      </c>
      <c r="E132" s="63"/>
      <c r="F132" s="184"/>
    </row>
    <row r="133" spans="1:6" ht="15" customHeight="1" x14ac:dyDescent="0.25">
      <c r="A133" s="184"/>
      <c r="B133" s="183"/>
      <c r="C133" s="183"/>
      <c r="D133" s="183"/>
      <c r="E133" s="183"/>
      <c r="F133" s="184"/>
    </row>
    <row r="134" spans="1:6" ht="15" customHeight="1" x14ac:dyDescent="0.25">
      <c r="A134" s="27" t="s">
        <v>422</v>
      </c>
      <c r="B134" s="183"/>
      <c r="C134" s="183"/>
      <c r="D134" s="183"/>
      <c r="E134" s="183"/>
      <c r="F134" s="184"/>
    </row>
    <row r="135" spans="1:6" ht="30" customHeight="1" x14ac:dyDescent="0.25">
      <c r="A135" s="157" t="s">
        <v>48</v>
      </c>
      <c r="B135" s="161" t="s">
        <v>355</v>
      </c>
      <c r="C135" s="161" t="s">
        <v>276</v>
      </c>
      <c r="D135" s="161" t="s">
        <v>315</v>
      </c>
      <c r="E135" s="183"/>
      <c r="F135" s="184"/>
    </row>
    <row r="136" spans="1:6" ht="15" customHeight="1" x14ac:dyDescent="0.25">
      <c r="A136" s="102" t="s">
        <v>280</v>
      </c>
      <c r="B136" s="115">
        <v>2270</v>
      </c>
      <c r="C136" s="115">
        <v>1921</v>
      </c>
      <c r="D136" s="115">
        <v>4191</v>
      </c>
      <c r="E136" s="183"/>
      <c r="F136" s="184"/>
    </row>
    <row r="137" spans="1:6" ht="15" customHeight="1" x14ac:dyDescent="0.25">
      <c r="A137" s="102" t="s">
        <v>281</v>
      </c>
      <c r="B137" s="115">
        <v>2756</v>
      </c>
      <c r="C137" s="115">
        <v>2286</v>
      </c>
      <c r="D137" s="115">
        <v>5042</v>
      </c>
      <c r="E137" s="183"/>
      <c r="F137" s="184"/>
    </row>
    <row r="138" spans="1:6" ht="15" customHeight="1" x14ac:dyDescent="0.25">
      <c r="A138" s="102" t="s">
        <v>282</v>
      </c>
      <c r="B138" s="115">
        <v>5202</v>
      </c>
      <c r="C138" s="115">
        <v>5009</v>
      </c>
      <c r="D138" s="115">
        <v>10211</v>
      </c>
      <c r="E138" s="183"/>
      <c r="F138" s="184"/>
    </row>
    <row r="139" spans="1:6" ht="15" customHeight="1" x14ac:dyDescent="0.25">
      <c r="A139" s="102" t="s">
        <v>283</v>
      </c>
      <c r="B139" s="115">
        <v>1949</v>
      </c>
      <c r="C139" s="115">
        <v>1786</v>
      </c>
      <c r="D139" s="115">
        <v>3735</v>
      </c>
      <c r="E139" s="183"/>
      <c r="F139" s="184"/>
    </row>
    <row r="140" spans="1:6" ht="15" customHeight="1" x14ac:dyDescent="0.25">
      <c r="A140" s="102" t="s">
        <v>284</v>
      </c>
      <c r="B140" s="115">
        <v>6758</v>
      </c>
      <c r="C140" s="115">
        <v>5884</v>
      </c>
      <c r="D140" s="115">
        <v>12642</v>
      </c>
      <c r="E140" s="183"/>
      <c r="F140" s="184"/>
    </row>
    <row r="141" spans="1:6" ht="15" customHeight="1" x14ac:dyDescent="0.25">
      <c r="A141" s="102" t="s">
        <v>285</v>
      </c>
      <c r="B141" s="115">
        <v>16894</v>
      </c>
      <c r="C141" s="115">
        <v>14190</v>
      </c>
      <c r="D141" s="115">
        <v>31084</v>
      </c>
      <c r="E141" s="183"/>
      <c r="F141" s="184"/>
    </row>
    <row r="142" spans="1:6" ht="15" customHeight="1" x14ac:dyDescent="0.25">
      <c r="A142" s="102" t="s">
        <v>286</v>
      </c>
      <c r="B142" s="115">
        <v>80518</v>
      </c>
      <c r="C142" s="115">
        <v>72104</v>
      </c>
      <c r="D142" s="115">
        <v>152622</v>
      </c>
      <c r="E142" s="183"/>
      <c r="F142" s="184"/>
    </row>
    <row r="143" spans="1:6" ht="15" customHeight="1" x14ac:dyDescent="0.25">
      <c r="A143" s="102" t="s">
        <v>404</v>
      </c>
      <c r="B143" s="115">
        <v>4357</v>
      </c>
      <c r="C143" s="115">
        <v>3854</v>
      </c>
      <c r="D143" s="115">
        <v>8211</v>
      </c>
      <c r="E143" s="183"/>
      <c r="F143" s="184"/>
    </row>
    <row r="144" spans="1:6" ht="15" customHeight="1" x14ac:dyDescent="0.25">
      <c r="A144" s="102" t="s">
        <v>287</v>
      </c>
      <c r="B144" s="115">
        <v>8974</v>
      </c>
      <c r="C144" s="115">
        <v>6426</v>
      </c>
      <c r="D144" s="115">
        <v>15400</v>
      </c>
      <c r="E144" s="183"/>
      <c r="F144" s="184"/>
    </row>
    <row r="145" spans="1:6" ht="15" customHeight="1" x14ac:dyDescent="0.25">
      <c r="A145" s="102" t="s">
        <v>363</v>
      </c>
      <c r="B145" s="115">
        <v>3475</v>
      </c>
      <c r="C145" s="115">
        <v>2734</v>
      </c>
      <c r="D145" s="115">
        <v>6209</v>
      </c>
      <c r="E145" s="183"/>
      <c r="F145" s="184"/>
    </row>
    <row r="146" spans="1:6" ht="15" customHeight="1" x14ac:dyDescent="0.25">
      <c r="A146" s="102" t="s">
        <v>293</v>
      </c>
      <c r="B146" s="115">
        <v>16828</v>
      </c>
      <c r="C146" s="115">
        <v>14298</v>
      </c>
      <c r="D146" s="115">
        <v>31126</v>
      </c>
      <c r="E146" s="183"/>
      <c r="F146" s="184"/>
    </row>
    <row r="147" spans="1:6" ht="15" customHeight="1" x14ac:dyDescent="0.25">
      <c r="A147" s="102" t="s">
        <v>288</v>
      </c>
      <c r="B147" s="115">
        <v>7950</v>
      </c>
      <c r="C147" s="115">
        <v>5979</v>
      </c>
      <c r="D147" s="115">
        <v>13929</v>
      </c>
      <c r="E147" s="183"/>
      <c r="F147" s="184"/>
    </row>
    <row r="148" spans="1:6" ht="15" customHeight="1" x14ac:dyDescent="0.25">
      <c r="A148" s="102" t="s">
        <v>289</v>
      </c>
      <c r="B148" s="115">
        <v>3542</v>
      </c>
      <c r="C148" s="115">
        <v>2747</v>
      </c>
      <c r="D148" s="115">
        <v>6289</v>
      </c>
      <c r="E148" s="183"/>
      <c r="F148" s="184"/>
    </row>
    <row r="149" spans="1:6" ht="15" customHeight="1" x14ac:dyDescent="0.25">
      <c r="A149" s="102" t="s">
        <v>290</v>
      </c>
      <c r="B149" s="115">
        <v>6218</v>
      </c>
      <c r="C149" s="115">
        <v>4531</v>
      </c>
      <c r="D149" s="115">
        <v>10749</v>
      </c>
      <c r="E149" s="183"/>
      <c r="F149" s="184"/>
    </row>
    <row r="150" spans="1:6" ht="15" customHeight="1" x14ac:dyDescent="0.25">
      <c r="A150" s="102" t="s">
        <v>291</v>
      </c>
      <c r="B150" s="115">
        <v>566</v>
      </c>
      <c r="C150" s="115">
        <v>391</v>
      </c>
      <c r="D150" s="115">
        <v>957</v>
      </c>
      <c r="E150" s="183"/>
      <c r="F150" s="184"/>
    </row>
    <row r="151" spans="1:6" ht="15" customHeight="1" x14ac:dyDescent="0.25">
      <c r="A151" s="102" t="s">
        <v>292</v>
      </c>
      <c r="B151" s="115">
        <v>1167</v>
      </c>
      <c r="C151" s="115">
        <v>975</v>
      </c>
      <c r="D151" s="115">
        <v>2142</v>
      </c>
      <c r="E151" s="183"/>
      <c r="F151" s="184"/>
    </row>
    <row r="152" spans="1:6" ht="15" customHeight="1" x14ac:dyDescent="0.25">
      <c r="A152" s="79" t="s">
        <v>0</v>
      </c>
      <c r="B152" s="26">
        <v>169424</v>
      </c>
      <c r="C152" s="26">
        <v>145115</v>
      </c>
      <c r="D152" s="26">
        <v>314539</v>
      </c>
      <c r="E152" s="183"/>
      <c r="F152" s="184"/>
    </row>
    <row r="153" spans="1:6" x14ac:dyDescent="0.25">
      <c r="A153" s="184"/>
      <c r="B153" s="183"/>
      <c r="C153" s="183"/>
      <c r="D153" s="183"/>
      <c r="E153" s="183"/>
      <c r="F153" s="184"/>
    </row>
    <row r="154" spans="1:6" ht="15" x14ac:dyDescent="0.25">
      <c r="A154" s="99" t="s">
        <v>307</v>
      </c>
      <c r="B154" s="183"/>
      <c r="C154" s="183"/>
      <c r="D154" s="183"/>
      <c r="E154" s="183"/>
      <c r="F154" s="184"/>
    </row>
    <row r="155" spans="1:6" ht="15" x14ac:dyDescent="0.25">
      <c r="A155" s="28" t="s">
        <v>294</v>
      </c>
      <c r="B155" s="183"/>
      <c r="C155" s="183"/>
      <c r="D155" s="183"/>
      <c r="E155" s="183"/>
      <c r="F155" s="184"/>
    </row>
    <row r="156" spans="1:6" ht="15" customHeight="1" x14ac:dyDescent="0.25">
      <c r="A156" s="183"/>
      <c r="B156" s="183"/>
      <c r="C156" s="183"/>
      <c r="D156" s="183"/>
      <c r="E156" s="183"/>
      <c r="F156" s="184"/>
    </row>
    <row r="157" spans="1:6" x14ac:dyDescent="0.25">
      <c r="A157" s="184"/>
      <c r="B157" s="183"/>
      <c r="C157" s="183"/>
      <c r="D157" s="183"/>
      <c r="E157" s="183"/>
      <c r="F157" s="184"/>
    </row>
    <row r="158" spans="1:6" x14ac:dyDescent="0.25">
      <c r="A158" s="184"/>
      <c r="B158" s="183"/>
      <c r="C158" s="183"/>
      <c r="D158" s="183"/>
      <c r="E158" s="183"/>
      <c r="F158" s="184"/>
    </row>
    <row r="159" spans="1:6" x14ac:dyDescent="0.25">
      <c r="A159" s="184"/>
      <c r="B159" s="183"/>
      <c r="C159" s="183"/>
      <c r="D159" s="183"/>
      <c r="E159" s="183"/>
      <c r="F159" s="184"/>
    </row>
    <row r="160" spans="1:6" x14ac:dyDescent="0.25">
      <c r="A160" s="184"/>
      <c r="B160" s="183"/>
      <c r="C160" s="183"/>
      <c r="D160" s="183"/>
      <c r="E160" s="183"/>
      <c r="F160" s="184"/>
    </row>
    <row r="161" spans="1:6" x14ac:dyDescent="0.25">
      <c r="A161" s="184"/>
      <c r="B161" s="183"/>
      <c r="C161" s="183"/>
      <c r="D161" s="183"/>
      <c r="E161" s="183"/>
      <c r="F161" s="184"/>
    </row>
    <row r="162" spans="1:6" x14ac:dyDescent="0.25">
      <c r="A162" s="184"/>
      <c r="B162" s="183"/>
      <c r="C162" s="183"/>
      <c r="D162" s="183"/>
      <c r="E162" s="183"/>
      <c r="F162" s="184"/>
    </row>
    <row r="163" spans="1:6" x14ac:dyDescent="0.25">
      <c r="A163" s="184"/>
      <c r="B163" s="183"/>
      <c r="C163" s="183"/>
      <c r="D163" s="183"/>
      <c r="E163" s="183"/>
      <c r="F163" s="184"/>
    </row>
    <row r="164" spans="1:6" x14ac:dyDescent="0.25">
      <c r="A164" s="184"/>
      <c r="B164" s="183"/>
      <c r="C164" s="183"/>
      <c r="D164" s="183"/>
      <c r="E164" s="183"/>
      <c r="F164" s="184"/>
    </row>
    <row r="165" spans="1:6" x14ac:dyDescent="0.25">
      <c r="A165" s="184"/>
      <c r="B165" s="183"/>
      <c r="C165" s="183"/>
      <c r="D165" s="183"/>
      <c r="E165" s="183"/>
      <c r="F165" s="184"/>
    </row>
    <row r="166" spans="1:6" x14ac:dyDescent="0.25">
      <c r="A166" s="184"/>
      <c r="B166" s="183"/>
      <c r="C166" s="183"/>
      <c r="D166" s="183"/>
      <c r="E166" s="183"/>
      <c r="F166" s="184"/>
    </row>
    <row r="167" spans="1:6" x14ac:dyDescent="0.25">
      <c r="A167" s="184"/>
      <c r="B167" s="183"/>
      <c r="C167" s="183"/>
      <c r="D167" s="183"/>
      <c r="E167" s="183"/>
      <c r="F167" s="184"/>
    </row>
    <row r="168" spans="1:6" x14ac:dyDescent="0.25">
      <c r="A168" s="184"/>
      <c r="B168" s="183"/>
      <c r="C168" s="183"/>
      <c r="D168" s="183"/>
      <c r="E168" s="183"/>
      <c r="F168" s="184"/>
    </row>
    <row r="169" spans="1:6" x14ac:dyDescent="0.25">
      <c r="A169" s="184"/>
      <c r="B169" s="183"/>
      <c r="C169" s="183"/>
      <c r="D169" s="183"/>
      <c r="E169" s="183"/>
      <c r="F169" s="184"/>
    </row>
    <row r="170" spans="1:6" x14ac:dyDescent="0.25">
      <c r="A170" s="184"/>
      <c r="B170" s="183"/>
      <c r="C170" s="183"/>
      <c r="D170" s="183"/>
      <c r="E170" s="183"/>
      <c r="F170" s="184"/>
    </row>
    <row r="171" spans="1:6" x14ac:dyDescent="0.25">
      <c r="A171" s="184"/>
      <c r="B171" s="183"/>
      <c r="C171" s="183"/>
      <c r="D171" s="183"/>
      <c r="E171" s="183"/>
      <c r="F171" s="184"/>
    </row>
    <row r="172" spans="1:6" x14ac:dyDescent="0.25">
      <c r="A172" s="184"/>
      <c r="B172" s="183"/>
      <c r="C172" s="183"/>
      <c r="D172" s="183"/>
      <c r="E172" s="183"/>
      <c r="F172" s="184"/>
    </row>
    <row r="173" spans="1:6" x14ac:dyDescent="0.25">
      <c r="A173" s="184"/>
      <c r="B173" s="183"/>
      <c r="C173" s="183"/>
      <c r="D173" s="183"/>
      <c r="E173" s="183"/>
      <c r="F173" s="184"/>
    </row>
    <row r="174" spans="1:6" x14ac:dyDescent="0.25">
      <c r="A174" s="184"/>
      <c r="B174" s="183"/>
      <c r="C174" s="183"/>
      <c r="D174" s="183"/>
      <c r="E174" s="183"/>
      <c r="F174" s="184"/>
    </row>
    <row r="175" spans="1:6" x14ac:dyDescent="0.25">
      <c r="A175" s="184"/>
      <c r="B175" s="183"/>
      <c r="C175" s="183"/>
      <c r="D175" s="183"/>
      <c r="E175" s="183"/>
      <c r="F175" s="184"/>
    </row>
    <row r="176" spans="1:6" x14ac:dyDescent="0.25">
      <c r="A176" s="184"/>
      <c r="B176" s="183"/>
      <c r="C176" s="183"/>
      <c r="D176" s="183"/>
      <c r="E176" s="183"/>
      <c r="F176" s="184"/>
    </row>
    <row r="177" spans="1:6" x14ac:dyDescent="0.25">
      <c r="A177" s="184"/>
      <c r="B177" s="183"/>
      <c r="C177" s="183"/>
      <c r="D177" s="183"/>
      <c r="E177" s="183"/>
      <c r="F177" s="184"/>
    </row>
    <row r="178" spans="1:6" x14ac:dyDescent="0.25">
      <c r="A178" s="184"/>
      <c r="B178" s="183"/>
      <c r="C178" s="183"/>
      <c r="D178" s="183"/>
      <c r="E178" s="183"/>
      <c r="F178" s="184"/>
    </row>
    <row r="179" spans="1:6" x14ac:dyDescent="0.25">
      <c r="A179" s="184"/>
      <c r="B179" s="183"/>
      <c r="C179" s="183"/>
      <c r="D179" s="183"/>
      <c r="E179" s="183"/>
      <c r="F179" s="184"/>
    </row>
    <row r="180" spans="1:6" x14ac:dyDescent="0.25">
      <c r="A180" s="184"/>
      <c r="B180" s="183"/>
      <c r="C180" s="183"/>
      <c r="D180" s="183"/>
      <c r="E180" s="183"/>
      <c r="F180" s="184"/>
    </row>
    <row r="181" spans="1:6" x14ac:dyDescent="0.25">
      <c r="A181" s="184"/>
      <c r="B181" s="183"/>
      <c r="C181" s="183"/>
      <c r="D181" s="183"/>
      <c r="E181" s="183"/>
      <c r="F181" s="184"/>
    </row>
    <row r="182" spans="1:6" x14ac:dyDescent="0.25">
      <c r="A182" s="184"/>
      <c r="B182" s="183"/>
      <c r="C182" s="183"/>
      <c r="D182" s="183"/>
      <c r="E182" s="183"/>
      <c r="F182" s="184"/>
    </row>
    <row r="183" spans="1:6" x14ac:dyDescent="0.25">
      <c r="A183" s="184"/>
      <c r="B183" s="183"/>
      <c r="C183" s="183"/>
      <c r="D183" s="183"/>
      <c r="E183" s="183"/>
      <c r="F183" s="184"/>
    </row>
    <row r="184" spans="1:6" x14ac:dyDescent="0.25">
      <c r="A184" s="184"/>
      <c r="B184" s="183"/>
      <c r="C184" s="183"/>
      <c r="D184" s="183"/>
      <c r="E184" s="183"/>
      <c r="F184" s="184"/>
    </row>
    <row r="185" spans="1:6" x14ac:dyDescent="0.25">
      <c r="A185" s="184"/>
      <c r="B185" s="183"/>
      <c r="C185" s="183"/>
      <c r="D185" s="183"/>
      <c r="E185" s="183"/>
      <c r="F185" s="184"/>
    </row>
    <row r="186" spans="1:6" x14ac:dyDescent="0.25">
      <c r="A186" s="184"/>
      <c r="B186" s="183"/>
      <c r="C186" s="183"/>
      <c r="D186" s="183"/>
      <c r="E186" s="183"/>
      <c r="F186" s="184"/>
    </row>
    <row r="187" spans="1:6" x14ac:dyDescent="0.25">
      <c r="A187" s="184"/>
      <c r="B187" s="183"/>
      <c r="C187" s="183"/>
      <c r="D187" s="183"/>
      <c r="E187" s="183"/>
      <c r="F187" s="184"/>
    </row>
    <row r="188" spans="1:6" x14ac:dyDescent="0.25">
      <c r="A188" s="184"/>
      <c r="B188" s="183"/>
      <c r="C188" s="183"/>
      <c r="D188" s="183"/>
      <c r="E188" s="183"/>
      <c r="F188" s="184"/>
    </row>
    <row r="189" spans="1:6" x14ac:dyDescent="0.25">
      <c r="A189" s="184"/>
      <c r="B189" s="183"/>
      <c r="C189" s="183"/>
      <c r="D189" s="183"/>
      <c r="E189" s="183"/>
      <c r="F189" s="184"/>
    </row>
    <row r="190" spans="1:6" x14ac:dyDescent="0.25">
      <c r="A190" s="184"/>
      <c r="B190" s="183"/>
      <c r="C190" s="183"/>
      <c r="D190" s="183"/>
      <c r="E190" s="183"/>
      <c r="F190" s="184"/>
    </row>
    <row r="191" spans="1:6" x14ac:dyDescent="0.25">
      <c r="A191" s="184"/>
      <c r="B191" s="183"/>
      <c r="C191" s="183"/>
      <c r="D191" s="183"/>
      <c r="E191" s="183"/>
      <c r="F191" s="184"/>
    </row>
    <row r="192" spans="1:6" x14ac:dyDescent="0.25">
      <c r="A192" s="184"/>
      <c r="B192" s="183"/>
      <c r="C192" s="183"/>
      <c r="D192" s="183"/>
      <c r="E192" s="183"/>
      <c r="F192" s="184"/>
    </row>
    <row r="193" spans="1:6" x14ac:dyDescent="0.25">
      <c r="A193" s="184"/>
      <c r="B193" s="183"/>
      <c r="C193" s="183"/>
      <c r="D193" s="183"/>
      <c r="E193" s="183"/>
      <c r="F193" s="184"/>
    </row>
    <row r="194" spans="1:6" x14ac:dyDescent="0.25">
      <c r="A194" s="184"/>
      <c r="B194" s="183"/>
      <c r="C194" s="183"/>
      <c r="D194" s="183"/>
      <c r="E194" s="183"/>
      <c r="F194" s="184"/>
    </row>
    <row r="195" spans="1:6" x14ac:dyDescent="0.25">
      <c r="A195" s="184"/>
      <c r="B195" s="183"/>
      <c r="C195" s="183"/>
      <c r="D195" s="183"/>
      <c r="E195" s="183"/>
      <c r="F195" s="184"/>
    </row>
    <row r="196" spans="1:6" x14ac:dyDescent="0.25">
      <c r="A196" s="184"/>
      <c r="B196" s="183"/>
      <c r="C196" s="183"/>
      <c r="D196" s="183"/>
      <c r="E196" s="183"/>
      <c r="F196" s="184"/>
    </row>
    <row r="197" spans="1:6" x14ac:dyDescent="0.25">
      <c r="A197" s="184"/>
      <c r="B197" s="183"/>
      <c r="C197" s="183"/>
      <c r="D197" s="183"/>
      <c r="E197" s="183"/>
      <c r="F197" s="184"/>
    </row>
    <row r="198" spans="1:6" x14ac:dyDescent="0.25">
      <c r="A198" s="184"/>
      <c r="B198" s="183"/>
      <c r="C198" s="183"/>
      <c r="D198" s="183"/>
      <c r="E198" s="183"/>
      <c r="F198" s="184"/>
    </row>
    <row r="199" spans="1:6" x14ac:dyDescent="0.25">
      <c r="A199" s="184"/>
      <c r="B199" s="183"/>
      <c r="C199" s="183"/>
      <c r="D199" s="183"/>
      <c r="E199" s="183"/>
      <c r="F199" s="184"/>
    </row>
    <row r="200" spans="1:6" x14ac:dyDescent="0.25">
      <c r="A200" s="184"/>
      <c r="B200" s="183"/>
      <c r="C200" s="183"/>
      <c r="D200" s="183"/>
      <c r="E200" s="183"/>
      <c r="F200" s="184"/>
    </row>
    <row r="201" spans="1:6" x14ac:dyDescent="0.25">
      <c r="A201" s="184"/>
      <c r="B201" s="183"/>
      <c r="C201" s="183"/>
      <c r="D201" s="183"/>
      <c r="E201" s="183"/>
      <c r="F201" s="184"/>
    </row>
    <row r="202" spans="1:6" x14ac:dyDescent="0.25">
      <c r="A202" s="184"/>
      <c r="B202" s="183"/>
      <c r="C202" s="183"/>
      <c r="D202" s="183"/>
      <c r="E202" s="183"/>
      <c r="F202" s="184"/>
    </row>
    <row r="203" spans="1:6" x14ac:dyDescent="0.25">
      <c r="A203" s="184"/>
      <c r="B203" s="183"/>
      <c r="C203" s="183"/>
      <c r="D203" s="183"/>
      <c r="E203" s="183"/>
      <c r="F203" s="184"/>
    </row>
    <row r="204" spans="1:6" x14ac:dyDescent="0.25">
      <c r="A204" s="184"/>
      <c r="B204" s="183"/>
      <c r="C204" s="183"/>
      <c r="D204" s="183"/>
      <c r="E204" s="183"/>
      <c r="F204" s="184"/>
    </row>
    <row r="205" spans="1:6" x14ac:dyDescent="0.25">
      <c r="A205" s="184"/>
      <c r="B205" s="183"/>
      <c r="C205" s="183"/>
      <c r="D205" s="183"/>
      <c r="E205" s="183"/>
      <c r="F205" s="184"/>
    </row>
    <row r="206" spans="1:6" x14ac:dyDescent="0.25">
      <c r="A206" s="184"/>
      <c r="B206" s="183"/>
      <c r="C206" s="183"/>
      <c r="D206" s="183"/>
      <c r="E206" s="183"/>
      <c r="F206" s="184"/>
    </row>
    <row r="207" spans="1:6" x14ac:dyDescent="0.25">
      <c r="A207" s="184"/>
      <c r="B207" s="183"/>
      <c r="C207" s="183"/>
      <c r="D207" s="183"/>
      <c r="E207" s="183"/>
      <c r="F207" s="184"/>
    </row>
    <row r="208" spans="1:6" x14ac:dyDescent="0.25">
      <c r="A208" s="184"/>
      <c r="B208" s="183"/>
      <c r="C208" s="183"/>
      <c r="D208" s="183"/>
      <c r="E208" s="183"/>
      <c r="F208" s="184"/>
    </row>
    <row r="209" spans="1:6" x14ac:dyDescent="0.25">
      <c r="A209" s="184"/>
      <c r="B209" s="183"/>
      <c r="C209" s="183"/>
      <c r="D209" s="183"/>
      <c r="E209" s="183"/>
      <c r="F209" s="184"/>
    </row>
    <row r="210" spans="1:6" x14ac:dyDescent="0.25">
      <c r="A210" s="184"/>
      <c r="B210" s="183"/>
      <c r="C210" s="183"/>
      <c r="D210" s="183"/>
      <c r="E210" s="183"/>
      <c r="F210" s="184"/>
    </row>
    <row r="211" spans="1:6" x14ac:dyDescent="0.25">
      <c r="A211" s="184"/>
      <c r="B211" s="183"/>
      <c r="C211" s="183"/>
      <c r="D211" s="183"/>
      <c r="E211" s="183"/>
      <c r="F211" s="184"/>
    </row>
    <row r="212" spans="1:6" x14ac:dyDescent="0.25">
      <c r="A212" s="184"/>
      <c r="B212" s="183"/>
      <c r="C212" s="183"/>
      <c r="D212" s="183"/>
      <c r="E212" s="183"/>
      <c r="F212" s="184"/>
    </row>
    <row r="213" spans="1:6" x14ac:dyDescent="0.25">
      <c r="A213" s="184"/>
      <c r="B213" s="183"/>
      <c r="C213" s="183"/>
      <c r="D213" s="183"/>
      <c r="E213" s="183"/>
      <c r="F213" s="184"/>
    </row>
    <row r="214" spans="1:6" x14ac:dyDescent="0.25">
      <c r="A214" s="184"/>
      <c r="B214" s="183"/>
      <c r="C214" s="183"/>
      <c r="D214" s="183"/>
      <c r="E214" s="183"/>
      <c r="F214" s="184"/>
    </row>
    <row r="215" spans="1:6" x14ac:dyDescent="0.25">
      <c r="A215" s="184"/>
      <c r="B215" s="183"/>
      <c r="C215" s="183"/>
      <c r="D215" s="183"/>
      <c r="E215" s="183"/>
      <c r="F215" s="184"/>
    </row>
    <row r="216" spans="1:6" x14ac:dyDescent="0.25">
      <c r="A216" s="184"/>
      <c r="B216" s="183"/>
      <c r="C216" s="183"/>
      <c r="D216" s="183"/>
      <c r="E216" s="183"/>
      <c r="F216" s="184"/>
    </row>
    <row r="217" spans="1:6" x14ac:dyDescent="0.25">
      <c r="A217" s="184"/>
      <c r="B217" s="183"/>
      <c r="C217" s="183"/>
      <c r="D217" s="183"/>
      <c r="E217" s="183"/>
      <c r="F217" s="184"/>
    </row>
    <row r="218" spans="1:6" x14ac:dyDescent="0.25">
      <c r="A218" s="184"/>
      <c r="B218" s="183"/>
      <c r="C218" s="183"/>
      <c r="D218" s="183"/>
      <c r="E218" s="183"/>
      <c r="F218" s="184"/>
    </row>
    <row r="219" spans="1:6" x14ac:dyDescent="0.25">
      <c r="A219" s="184"/>
      <c r="B219" s="183"/>
      <c r="C219" s="183"/>
      <c r="D219" s="183"/>
      <c r="E219" s="183"/>
      <c r="F219" s="184"/>
    </row>
    <row r="220" spans="1:6" x14ac:dyDescent="0.25">
      <c r="A220" s="184"/>
      <c r="B220" s="183"/>
      <c r="C220" s="183"/>
      <c r="D220" s="183"/>
      <c r="E220" s="183"/>
      <c r="F220" s="184"/>
    </row>
    <row r="221" spans="1:6" x14ac:dyDescent="0.25">
      <c r="A221" s="184"/>
      <c r="B221" s="183"/>
      <c r="C221" s="183"/>
      <c r="D221" s="183"/>
      <c r="E221" s="183"/>
      <c r="F221" s="184"/>
    </row>
    <row r="222" spans="1:6" x14ac:dyDescent="0.25">
      <c r="A222" s="184"/>
      <c r="B222" s="183"/>
      <c r="C222" s="183"/>
      <c r="D222" s="183"/>
      <c r="E222" s="183"/>
      <c r="F222" s="184"/>
    </row>
    <row r="223" spans="1:6" x14ac:dyDescent="0.25">
      <c r="A223" s="184"/>
      <c r="B223" s="183"/>
      <c r="C223" s="183"/>
      <c r="D223" s="183"/>
      <c r="E223" s="183"/>
      <c r="F223" s="184"/>
    </row>
    <row r="224" spans="1:6" x14ac:dyDescent="0.25">
      <c r="A224" s="184"/>
      <c r="B224" s="183"/>
      <c r="C224" s="183"/>
      <c r="D224" s="183"/>
      <c r="E224" s="183"/>
      <c r="F224" s="184"/>
    </row>
    <row r="225" spans="1:6" x14ac:dyDescent="0.25">
      <c r="A225" s="184"/>
      <c r="B225" s="183"/>
      <c r="C225" s="183"/>
      <c r="D225" s="183"/>
      <c r="E225" s="183"/>
      <c r="F225" s="184"/>
    </row>
    <row r="226" spans="1:6" x14ac:dyDescent="0.25">
      <c r="A226" s="184"/>
      <c r="B226" s="183"/>
      <c r="C226" s="183"/>
      <c r="D226" s="183"/>
      <c r="E226" s="183"/>
      <c r="F226" s="184"/>
    </row>
    <row r="227" spans="1:6" x14ac:dyDescent="0.25">
      <c r="A227" s="184"/>
      <c r="B227" s="183"/>
      <c r="C227" s="183"/>
      <c r="D227" s="183"/>
      <c r="E227" s="183"/>
      <c r="F227" s="184"/>
    </row>
    <row r="228" spans="1:6" x14ac:dyDescent="0.25">
      <c r="A228" s="184"/>
      <c r="B228" s="183"/>
      <c r="C228" s="183"/>
      <c r="D228" s="183"/>
      <c r="E228" s="183"/>
      <c r="F228" s="184"/>
    </row>
    <row r="229" spans="1:6" x14ac:dyDescent="0.25">
      <c r="A229" s="184"/>
      <c r="B229" s="183"/>
      <c r="C229" s="183"/>
      <c r="D229" s="183"/>
      <c r="E229" s="183"/>
      <c r="F229" s="184"/>
    </row>
    <row r="230" spans="1:6" x14ac:dyDescent="0.25">
      <c r="A230" s="184"/>
      <c r="B230" s="183"/>
      <c r="C230" s="183"/>
      <c r="D230" s="183"/>
      <c r="E230" s="183"/>
      <c r="F230" s="184"/>
    </row>
    <row r="231" spans="1:6" x14ac:dyDescent="0.25">
      <c r="A231" s="184"/>
      <c r="B231" s="183"/>
      <c r="C231" s="183"/>
      <c r="D231" s="183"/>
      <c r="E231" s="183"/>
      <c r="F231" s="184"/>
    </row>
    <row r="232" spans="1:6" x14ac:dyDescent="0.25">
      <c r="A232" s="184"/>
      <c r="B232" s="183"/>
      <c r="C232" s="183"/>
      <c r="D232" s="183"/>
      <c r="E232" s="183"/>
      <c r="F232" s="184"/>
    </row>
    <row r="233" spans="1:6" x14ac:dyDescent="0.25">
      <c r="A233" s="184"/>
      <c r="B233" s="183"/>
      <c r="C233" s="183"/>
      <c r="D233" s="183"/>
      <c r="E233" s="183"/>
      <c r="F233" s="184"/>
    </row>
    <row r="234" spans="1:6" x14ac:dyDescent="0.25">
      <c r="A234" s="184"/>
      <c r="B234" s="183"/>
      <c r="C234" s="183"/>
      <c r="D234" s="183"/>
      <c r="E234" s="183"/>
      <c r="F234" s="184"/>
    </row>
    <row r="235" spans="1:6" x14ac:dyDescent="0.25">
      <c r="A235" s="184"/>
      <c r="B235" s="183"/>
      <c r="C235" s="183"/>
      <c r="D235" s="183"/>
      <c r="E235" s="183"/>
      <c r="F235" s="184"/>
    </row>
    <row r="236" spans="1:6" x14ac:dyDescent="0.25">
      <c r="A236" s="184"/>
      <c r="B236" s="183"/>
      <c r="C236" s="183"/>
      <c r="D236" s="183"/>
      <c r="E236" s="183"/>
      <c r="F236" s="184"/>
    </row>
    <row r="237" spans="1:6" x14ac:dyDescent="0.25">
      <c r="A237" s="184"/>
      <c r="B237" s="183"/>
      <c r="C237" s="183"/>
      <c r="D237" s="183"/>
      <c r="E237" s="183"/>
      <c r="F237" s="184"/>
    </row>
    <row r="238" spans="1:6" x14ac:dyDescent="0.25">
      <c r="A238" s="184"/>
      <c r="B238" s="183"/>
      <c r="C238" s="183"/>
      <c r="D238" s="183"/>
      <c r="E238" s="183"/>
      <c r="F238" s="184"/>
    </row>
    <row r="239" spans="1:6" x14ac:dyDescent="0.25">
      <c r="A239" s="184"/>
      <c r="B239" s="183"/>
      <c r="C239" s="183"/>
      <c r="D239" s="183"/>
      <c r="E239" s="183"/>
      <c r="F239" s="184"/>
    </row>
    <row r="240" spans="1:6" x14ac:dyDescent="0.25">
      <c r="A240" s="184"/>
      <c r="B240" s="183"/>
      <c r="C240" s="183"/>
      <c r="D240" s="183"/>
      <c r="E240" s="183"/>
      <c r="F240" s="184"/>
    </row>
    <row r="241" spans="1:6" x14ac:dyDescent="0.25">
      <c r="A241" s="184"/>
      <c r="B241" s="183"/>
      <c r="C241" s="183"/>
      <c r="D241" s="183"/>
      <c r="E241" s="183"/>
      <c r="F241" s="184"/>
    </row>
    <row r="242" spans="1:6" x14ac:dyDescent="0.25">
      <c r="A242" s="184"/>
      <c r="B242" s="183"/>
      <c r="C242" s="183"/>
      <c r="D242" s="183"/>
      <c r="E242" s="183"/>
      <c r="F242" s="184"/>
    </row>
    <row r="243" spans="1:6" x14ac:dyDescent="0.25">
      <c r="A243" s="184"/>
      <c r="B243" s="183"/>
      <c r="C243" s="183"/>
      <c r="D243" s="183"/>
      <c r="E243" s="183"/>
      <c r="F243" s="184"/>
    </row>
    <row r="244" spans="1:6" x14ac:dyDescent="0.25">
      <c r="A244" s="184"/>
      <c r="B244" s="183"/>
      <c r="C244" s="183"/>
      <c r="D244" s="183"/>
      <c r="E244" s="183"/>
      <c r="F244" s="184"/>
    </row>
    <row r="245" spans="1:6" x14ac:dyDescent="0.25">
      <c r="A245" s="184"/>
      <c r="B245" s="183"/>
      <c r="C245" s="183"/>
      <c r="D245" s="183"/>
      <c r="E245" s="183"/>
      <c r="F245" s="184"/>
    </row>
    <row r="246" spans="1:6" x14ac:dyDescent="0.25">
      <c r="A246" s="184"/>
      <c r="B246" s="183"/>
      <c r="C246" s="183"/>
      <c r="D246" s="183"/>
      <c r="E246" s="183"/>
      <c r="F246" s="184"/>
    </row>
    <row r="247" spans="1:6" x14ac:dyDescent="0.25">
      <c r="A247" s="184"/>
      <c r="B247" s="183"/>
      <c r="C247" s="183"/>
      <c r="D247" s="183"/>
      <c r="E247" s="183"/>
      <c r="F247" s="184"/>
    </row>
    <row r="248" spans="1:6" x14ac:dyDescent="0.25">
      <c r="A248" s="184"/>
      <c r="B248" s="183"/>
      <c r="C248" s="183"/>
      <c r="D248" s="183"/>
      <c r="E248" s="183"/>
      <c r="F248" s="184"/>
    </row>
    <row r="249" spans="1:6" x14ac:dyDescent="0.25">
      <c r="A249" s="184"/>
      <c r="B249" s="183"/>
      <c r="C249" s="183"/>
      <c r="D249" s="183"/>
      <c r="E249" s="183"/>
      <c r="F249" s="184"/>
    </row>
    <row r="250" spans="1:6" x14ac:dyDescent="0.25">
      <c r="A250" s="184"/>
      <c r="B250" s="183"/>
      <c r="C250" s="183"/>
      <c r="D250" s="183"/>
      <c r="E250" s="183"/>
      <c r="F250" s="184"/>
    </row>
    <row r="251" spans="1:6" x14ac:dyDescent="0.25">
      <c r="A251" s="184"/>
      <c r="B251" s="183"/>
      <c r="C251" s="183"/>
      <c r="D251" s="183"/>
      <c r="E251" s="183"/>
      <c r="F251" s="184"/>
    </row>
    <row r="252" spans="1:6" x14ac:dyDescent="0.25">
      <c r="A252" s="184"/>
      <c r="B252" s="183"/>
      <c r="C252" s="183"/>
      <c r="D252" s="183"/>
      <c r="E252" s="183"/>
      <c r="F252" s="184"/>
    </row>
    <row r="253" spans="1:6" x14ac:dyDescent="0.25">
      <c r="A253" s="184"/>
      <c r="B253" s="183"/>
      <c r="C253" s="183"/>
      <c r="D253" s="183"/>
      <c r="E253" s="183"/>
      <c r="F253" s="184"/>
    </row>
    <row r="254" spans="1:6" x14ac:dyDescent="0.25">
      <c r="A254" s="184"/>
      <c r="B254" s="183"/>
      <c r="C254" s="183"/>
      <c r="D254" s="183"/>
      <c r="E254" s="183"/>
      <c r="F254" s="184"/>
    </row>
    <row r="255" spans="1:6" x14ac:dyDescent="0.25">
      <c r="A255" s="184"/>
      <c r="B255" s="183"/>
      <c r="C255" s="183"/>
      <c r="D255" s="183"/>
      <c r="E255" s="183"/>
      <c r="F255" s="184"/>
    </row>
    <row r="256" spans="1:6" x14ac:dyDescent="0.25">
      <c r="A256" s="184"/>
      <c r="B256" s="183"/>
      <c r="C256" s="183"/>
      <c r="D256" s="183"/>
      <c r="E256" s="183"/>
      <c r="F256" s="184"/>
    </row>
    <row r="257" spans="1:6" x14ac:dyDescent="0.25">
      <c r="A257" s="184"/>
      <c r="B257" s="183"/>
      <c r="C257" s="183"/>
      <c r="D257" s="183"/>
      <c r="E257" s="183"/>
      <c r="F257" s="184"/>
    </row>
    <row r="258" spans="1:6" x14ac:dyDescent="0.25">
      <c r="A258" s="184"/>
      <c r="B258" s="183"/>
      <c r="C258" s="183"/>
      <c r="D258" s="183"/>
      <c r="E258" s="183"/>
      <c r="F258" s="184"/>
    </row>
    <row r="259" spans="1:6" x14ac:dyDescent="0.25">
      <c r="A259" s="184"/>
      <c r="B259" s="183"/>
      <c r="C259" s="183"/>
      <c r="D259" s="183"/>
      <c r="E259" s="183"/>
      <c r="F259" s="184"/>
    </row>
    <row r="260" spans="1:6" x14ac:dyDescent="0.25">
      <c r="A260" s="184"/>
      <c r="B260" s="183"/>
      <c r="C260" s="183"/>
      <c r="D260" s="183"/>
      <c r="E260" s="183"/>
      <c r="F260" s="184"/>
    </row>
    <row r="261" spans="1:6" x14ac:dyDescent="0.25">
      <c r="A261" s="184"/>
      <c r="B261" s="183"/>
      <c r="C261" s="183"/>
      <c r="D261" s="183"/>
      <c r="E261" s="183"/>
      <c r="F261" s="184"/>
    </row>
    <row r="262" spans="1:6" x14ac:dyDescent="0.25">
      <c r="A262" s="184"/>
      <c r="B262" s="183"/>
      <c r="C262" s="183"/>
      <c r="D262" s="183"/>
      <c r="E262" s="183"/>
      <c r="F262" s="184"/>
    </row>
    <row r="263" spans="1:6" x14ac:dyDescent="0.25">
      <c r="A263" s="184"/>
      <c r="B263" s="183"/>
      <c r="C263" s="183"/>
      <c r="D263" s="183"/>
      <c r="E263" s="183"/>
      <c r="F263" s="184"/>
    </row>
    <row r="264" spans="1:6" x14ac:dyDescent="0.25">
      <c r="A264" s="184"/>
      <c r="B264" s="183"/>
      <c r="C264" s="183"/>
      <c r="D264" s="183"/>
      <c r="E264" s="183"/>
      <c r="F264" s="184"/>
    </row>
    <row r="265" spans="1:6" x14ac:dyDescent="0.25">
      <c r="A265" s="184"/>
      <c r="B265" s="183"/>
      <c r="C265" s="183"/>
      <c r="D265" s="183"/>
      <c r="E265" s="183"/>
      <c r="F265" s="184"/>
    </row>
    <row r="266" spans="1:6" x14ac:dyDescent="0.25">
      <c r="A266" s="184"/>
      <c r="B266" s="183"/>
      <c r="C266" s="183"/>
      <c r="D266" s="183"/>
      <c r="E266" s="183"/>
      <c r="F266" s="184"/>
    </row>
    <row r="267" spans="1:6" x14ac:dyDescent="0.25">
      <c r="A267" s="184"/>
      <c r="B267" s="183"/>
      <c r="C267" s="183"/>
      <c r="D267" s="183"/>
      <c r="E267" s="183"/>
      <c r="F267" s="184"/>
    </row>
    <row r="268" spans="1:6" x14ac:dyDescent="0.25">
      <c r="A268" s="184"/>
      <c r="B268" s="183"/>
      <c r="C268" s="183"/>
      <c r="D268" s="183"/>
      <c r="E268" s="183"/>
      <c r="F268" s="184"/>
    </row>
    <row r="269" spans="1:6" x14ac:dyDescent="0.25">
      <c r="A269" s="184"/>
      <c r="B269" s="183"/>
      <c r="C269" s="183"/>
      <c r="D269" s="183"/>
      <c r="E269" s="183"/>
      <c r="F269" s="184"/>
    </row>
    <row r="270" spans="1:6" x14ac:dyDescent="0.25">
      <c r="A270" s="184"/>
      <c r="B270" s="183"/>
      <c r="C270" s="183"/>
      <c r="D270" s="183"/>
      <c r="E270" s="183"/>
      <c r="F270" s="184"/>
    </row>
    <row r="271" spans="1:6" x14ac:dyDescent="0.25">
      <c r="A271" s="184"/>
      <c r="B271" s="183"/>
      <c r="C271" s="183"/>
      <c r="D271" s="183"/>
      <c r="E271" s="183"/>
      <c r="F271" s="184"/>
    </row>
    <row r="272" spans="1:6" x14ac:dyDescent="0.25">
      <c r="A272" s="184"/>
      <c r="B272" s="183"/>
      <c r="C272" s="183"/>
      <c r="D272" s="183"/>
      <c r="E272" s="183"/>
      <c r="F272" s="184"/>
    </row>
    <row r="273" spans="1:6" x14ac:dyDescent="0.25">
      <c r="A273" s="184"/>
      <c r="B273" s="183"/>
      <c r="C273" s="183"/>
      <c r="D273" s="183"/>
      <c r="E273" s="183"/>
      <c r="F273" s="184"/>
    </row>
    <row r="274" spans="1:6" x14ac:dyDescent="0.25">
      <c r="A274" s="184"/>
      <c r="B274" s="183"/>
      <c r="C274" s="183"/>
      <c r="D274" s="183"/>
      <c r="E274" s="183"/>
      <c r="F274" s="184"/>
    </row>
    <row r="275" spans="1:6" x14ac:dyDescent="0.25">
      <c r="A275" s="184"/>
      <c r="B275" s="183"/>
      <c r="C275" s="183"/>
      <c r="D275" s="183"/>
      <c r="E275" s="183"/>
      <c r="F275" s="184"/>
    </row>
    <row r="276" spans="1:6" x14ac:dyDescent="0.25">
      <c r="A276" s="184"/>
      <c r="B276" s="183"/>
      <c r="C276" s="183"/>
      <c r="D276" s="183"/>
      <c r="E276" s="183"/>
      <c r="F276" s="184"/>
    </row>
    <row r="277" spans="1:6" x14ac:dyDescent="0.25">
      <c r="A277" s="184"/>
      <c r="B277" s="183"/>
      <c r="C277" s="183"/>
      <c r="D277" s="183"/>
      <c r="E277" s="183"/>
      <c r="F277" s="184"/>
    </row>
    <row r="278" spans="1:6" x14ac:dyDescent="0.25">
      <c r="A278" s="184"/>
      <c r="B278" s="183"/>
      <c r="C278" s="183"/>
      <c r="D278" s="183"/>
      <c r="E278" s="183"/>
      <c r="F278" s="184"/>
    </row>
    <row r="279" spans="1:6" x14ac:dyDescent="0.25">
      <c r="A279" s="184"/>
      <c r="B279" s="183"/>
      <c r="C279" s="183"/>
      <c r="D279" s="183"/>
      <c r="E279" s="183"/>
      <c r="F279" s="184"/>
    </row>
    <row r="280" spans="1:6" x14ac:dyDescent="0.25">
      <c r="A280" s="184"/>
      <c r="B280" s="183"/>
      <c r="C280" s="183"/>
      <c r="D280" s="183"/>
      <c r="E280" s="183"/>
      <c r="F280" s="184"/>
    </row>
    <row r="281" spans="1:6" x14ac:dyDescent="0.25">
      <c r="A281" s="184"/>
      <c r="B281" s="183"/>
      <c r="C281" s="183"/>
      <c r="D281" s="183"/>
      <c r="E281" s="183"/>
      <c r="F281" s="184"/>
    </row>
    <row r="282" spans="1:6" x14ac:dyDescent="0.25">
      <c r="A282" s="184"/>
      <c r="B282" s="183"/>
      <c r="C282" s="183"/>
      <c r="D282" s="183"/>
      <c r="E282" s="183"/>
      <c r="F282" s="184"/>
    </row>
    <row r="283" spans="1:6" x14ac:dyDescent="0.25">
      <c r="A283" s="184"/>
      <c r="B283" s="183"/>
      <c r="C283" s="183"/>
      <c r="D283" s="183"/>
      <c r="E283" s="183"/>
      <c r="F283" s="184"/>
    </row>
    <row r="284" spans="1:6" x14ac:dyDescent="0.25">
      <c r="A284" s="184"/>
      <c r="B284" s="183"/>
      <c r="C284" s="183"/>
      <c r="D284" s="183"/>
      <c r="E284" s="183"/>
      <c r="F284" s="184"/>
    </row>
    <row r="285" spans="1:6" x14ac:dyDescent="0.25">
      <c r="A285" s="184"/>
      <c r="B285" s="183"/>
      <c r="C285" s="183"/>
      <c r="D285" s="183"/>
      <c r="E285" s="183"/>
      <c r="F285" s="184"/>
    </row>
    <row r="286" spans="1:6" x14ac:dyDescent="0.25">
      <c r="A286" s="184"/>
      <c r="B286" s="183"/>
      <c r="C286" s="183"/>
      <c r="D286" s="183"/>
      <c r="E286" s="183"/>
      <c r="F286" s="184"/>
    </row>
    <row r="287" spans="1:6" x14ac:dyDescent="0.25">
      <c r="A287" s="184"/>
      <c r="B287" s="183"/>
      <c r="C287" s="183"/>
      <c r="D287" s="183"/>
      <c r="E287" s="183"/>
      <c r="F287" s="184"/>
    </row>
    <row r="288" spans="1:6" x14ac:dyDescent="0.25">
      <c r="A288" s="184"/>
      <c r="B288" s="183"/>
      <c r="C288" s="183"/>
      <c r="D288" s="183"/>
      <c r="E288" s="183"/>
      <c r="F288" s="184"/>
    </row>
    <row r="289" spans="1:6" x14ac:dyDescent="0.25">
      <c r="A289" s="184"/>
      <c r="B289" s="183"/>
      <c r="C289" s="183"/>
      <c r="D289" s="183"/>
      <c r="E289" s="183"/>
      <c r="F289" s="184"/>
    </row>
    <row r="290" spans="1:6" x14ac:dyDescent="0.25">
      <c r="A290" s="184"/>
      <c r="B290" s="183"/>
      <c r="C290" s="183"/>
      <c r="D290" s="183"/>
      <c r="E290" s="183"/>
      <c r="F290" s="184"/>
    </row>
    <row r="291" spans="1:6" x14ac:dyDescent="0.25">
      <c r="A291" s="184"/>
      <c r="B291" s="183"/>
      <c r="C291" s="183"/>
      <c r="D291" s="183"/>
      <c r="E291" s="183"/>
      <c r="F291" s="184"/>
    </row>
    <row r="292" spans="1:6" x14ac:dyDescent="0.25">
      <c r="A292" s="184"/>
      <c r="B292" s="183"/>
      <c r="C292" s="183"/>
      <c r="D292" s="183"/>
      <c r="E292" s="183"/>
      <c r="F292" s="184"/>
    </row>
    <row r="293" spans="1:6" x14ac:dyDescent="0.25">
      <c r="A293" s="184"/>
      <c r="B293" s="183"/>
      <c r="C293" s="183"/>
      <c r="D293" s="183"/>
      <c r="E293" s="183"/>
      <c r="F293" s="184"/>
    </row>
    <row r="294" spans="1:6" x14ac:dyDescent="0.25">
      <c r="A294" s="184"/>
      <c r="B294" s="183"/>
      <c r="C294" s="183"/>
      <c r="D294" s="183"/>
      <c r="E294" s="183"/>
      <c r="F294" s="184"/>
    </row>
    <row r="295" spans="1:6" x14ac:dyDescent="0.25">
      <c r="A295" s="184"/>
      <c r="B295" s="183"/>
      <c r="C295" s="183"/>
      <c r="D295" s="183"/>
      <c r="E295" s="183"/>
      <c r="F295" s="184"/>
    </row>
    <row r="296" spans="1:6" x14ac:dyDescent="0.25">
      <c r="A296" s="184"/>
      <c r="B296" s="183"/>
      <c r="C296" s="183"/>
      <c r="D296" s="183"/>
      <c r="E296" s="183"/>
      <c r="F296" s="184"/>
    </row>
    <row r="297" spans="1:6" x14ac:dyDescent="0.25">
      <c r="A297" s="184"/>
      <c r="B297" s="183"/>
      <c r="C297" s="183"/>
      <c r="D297" s="183"/>
      <c r="E297" s="183"/>
      <c r="F297" s="184"/>
    </row>
    <row r="298" spans="1:6" x14ac:dyDescent="0.25">
      <c r="A298" s="184"/>
      <c r="B298" s="183"/>
      <c r="C298" s="183"/>
      <c r="D298" s="183"/>
      <c r="E298" s="183"/>
      <c r="F298" s="184"/>
    </row>
    <row r="299" spans="1:6" x14ac:dyDescent="0.25">
      <c r="A299" s="184"/>
      <c r="B299" s="183"/>
      <c r="C299" s="183"/>
      <c r="D299" s="183"/>
      <c r="E299" s="183"/>
      <c r="F299" s="184"/>
    </row>
    <row r="300" spans="1:6" x14ac:dyDescent="0.25">
      <c r="A300" s="184"/>
      <c r="B300" s="183"/>
      <c r="C300" s="183"/>
      <c r="D300" s="183"/>
      <c r="E300" s="183"/>
      <c r="F300" s="184"/>
    </row>
    <row r="301" spans="1:6" x14ac:dyDescent="0.25">
      <c r="A301" s="184"/>
      <c r="B301" s="183"/>
      <c r="C301" s="183"/>
      <c r="D301" s="183"/>
      <c r="E301" s="183"/>
      <c r="F301" s="184"/>
    </row>
    <row r="302" spans="1:6" x14ac:dyDescent="0.25">
      <c r="A302" s="184"/>
      <c r="B302" s="183"/>
      <c r="C302" s="183"/>
      <c r="D302" s="183"/>
      <c r="E302" s="183"/>
      <c r="F302" s="184"/>
    </row>
    <row r="303" spans="1:6" x14ac:dyDescent="0.25">
      <c r="A303" s="184"/>
      <c r="B303" s="183"/>
      <c r="C303" s="183"/>
      <c r="D303" s="183"/>
      <c r="E303" s="183"/>
      <c r="F303" s="184"/>
    </row>
    <row r="304" spans="1:6" x14ac:dyDescent="0.25">
      <c r="A304" s="184"/>
      <c r="B304" s="183"/>
      <c r="C304" s="183"/>
      <c r="D304" s="183"/>
      <c r="E304" s="183"/>
      <c r="F304" s="184"/>
    </row>
    <row r="305" spans="1:6" x14ac:dyDescent="0.25">
      <c r="A305" s="184"/>
      <c r="B305" s="183"/>
      <c r="C305" s="183"/>
      <c r="D305" s="183"/>
      <c r="E305" s="183"/>
      <c r="F305" s="184"/>
    </row>
    <row r="306" spans="1:6" x14ac:dyDescent="0.25">
      <c r="A306" s="184"/>
      <c r="B306" s="183"/>
      <c r="C306" s="183"/>
      <c r="D306" s="183"/>
      <c r="E306" s="183"/>
      <c r="F306" s="184"/>
    </row>
    <row r="307" spans="1:6" x14ac:dyDescent="0.25">
      <c r="A307" s="184"/>
      <c r="B307" s="183"/>
      <c r="C307" s="183"/>
      <c r="D307" s="183"/>
      <c r="E307" s="183"/>
      <c r="F307" s="184"/>
    </row>
    <row r="308" spans="1:6" x14ac:dyDescent="0.25">
      <c r="A308" s="184"/>
      <c r="B308" s="183"/>
      <c r="C308" s="183"/>
      <c r="D308" s="183"/>
      <c r="E308" s="183"/>
      <c r="F308" s="184"/>
    </row>
    <row r="309" spans="1:6" x14ac:dyDescent="0.25">
      <c r="A309" s="184"/>
      <c r="B309" s="183"/>
      <c r="C309" s="183"/>
      <c r="D309" s="183"/>
      <c r="E309" s="183"/>
      <c r="F309" s="184"/>
    </row>
    <row r="310" spans="1:6" x14ac:dyDescent="0.25">
      <c r="A310" s="184"/>
      <c r="B310" s="183"/>
      <c r="C310" s="183"/>
      <c r="D310" s="183"/>
      <c r="E310" s="183"/>
      <c r="F310" s="184"/>
    </row>
    <row r="311" spans="1:6" x14ac:dyDescent="0.25">
      <c r="A311" s="184"/>
      <c r="B311" s="183"/>
      <c r="C311" s="183"/>
      <c r="D311" s="183"/>
      <c r="E311" s="183"/>
      <c r="F311" s="184"/>
    </row>
    <row r="312" spans="1:6" x14ac:dyDescent="0.25">
      <c r="A312" s="184"/>
      <c r="B312" s="183"/>
      <c r="C312" s="183"/>
      <c r="D312" s="183"/>
      <c r="E312" s="183"/>
      <c r="F312" s="184"/>
    </row>
    <row r="313" spans="1:6" x14ac:dyDescent="0.25">
      <c r="A313" s="184"/>
      <c r="B313" s="183"/>
      <c r="C313" s="183"/>
      <c r="D313" s="183"/>
      <c r="E313" s="183"/>
      <c r="F313" s="184"/>
    </row>
    <row r="314" spans="1:6" x14ac:dyDescent="0.25">
      <c r="A314" s="184"/>
      <c r="B314" s="183"/>
      <c r="C314" s="183"/>
      <c r="D314" s="183"/>
      <c r="E314" s="183"/>
      <c r="F314" s="184"/>
    </row>
    <row r="315" spans="1:6" x14ac:dyDescent="0.25">
      <c r="A315" s="184"/>
      <c r="B315" s="183"/>
      <c r="C315" s="183"/>
      <c r="D315" s="183"/>
      <c r="E315" s="183"/>
      <c r="F315" s="184"/>
    </row>
    <row r="316" spans="1:6" x14ac:dyDescent="0.25">
      <c r="A316" s="184"/>
      <c r="B316" s="183"/>
      <c r="C316" s="183"/>
      <c r="D316" s="183"/>
      <c r="E316" s="183"/>
      <c r="F316" s="184"/>
    </row>
    <row r="317" spans="1:6" x14ac:dyDescent="0.25">
      <c r="A317" s="184"/>
      <c r="B317" s="183"/>
      <c r="C317" s="183"/>
      <c r="D317" s="183"/>
      <c r="E317" s="183"/>
      <c r="F317" s="184"/>
    </row>
    <row r="318" spans="1:6" x14ac:dyDescent="0.25">
      <c r="A318" s="184"/>
      <c r="B318" s="183"/>
      <c r="C318" s="183"/>
      <c r="D318" s="183"/>
      <c r="E318" s="183"/>
      <c r="F318" s="184"/>
    </row>
    <row r="319" spans="1:6" x14ac:dyDescent="0.25">
      <c r="A319" s="184"/>
      <c r="B319" s="183"/>
      <c r="C319" s="183"/>
      <c r="D319" s="183"/>
      <c r="E319" s="183"/>
      <c r="F319" s="184"/>
    </row>
    <row r="320" spans="1:6" x14ac:dyDescent="0.25">
      <c r="A320" s="184"/>
      <c r="B320" s="183"/>
      <c r="C320" s="183"/>
      <c r="D320" s="183"/>
      <c r="E320" s="183"/>
      <c r="F320" s="184"/>
    </row>
    <row r="321" spans="1:6" x14ac:dyDescent="0.25">
      <c r="A321" s="184"/>
      <c r="B321" s="183"/>
      <c r="C321" s="183"/>
      <c r="D321" s="183"/>
      <c r="E321" s="183"/>
      <c r="F321" s="184"/>
    </row>
    <row r="322" spans="1:6" x14ac:dyDescent="0.25">
      <c r="A322" s="184"/>
      <c r="B322" s="183"/>
      <c r="C322" s="183"/>
      <c r="D322" s="183"/>
      <c r="E322" s="183"/>
      <c r="F322" s="184"/>
    </row>
    <row r="323" spans="1:6" x14ac:dyDescent="0.25">
      <c r="A323" s="184"/>
      <c r="B323" s="183"/>
      <c r="C323" s="183"/>
      <c r="D323" s="183"/>
      <c r="E323" s="183"/>
      <c r="F323" s="184"/>
    </row>
    <row r="324" spans="1:6" x14ac:dyDescent="0.25">
      <c r="A324" s="184"/>
      <c r="B324" s="183"/>
      <c r="C324" s="183"/>
      <c r="D324" s="183"/>
      <c r="E324" s="183"/>
      <c r="F324" s="184"/>
    </row>
    <row r="325" spans="1:6" x14ac:dyDescent="0.25">
      <c r="A325" s="184"/>
      <c r="B325" s="183"/>
      <c r="C325" s="183"/>
      <c r="D325" s="183"/>
      <c r="E325" s="183"/>
      <c r="F325" s="184"/>
    </row>
    <row r="326" spans="1:6" x14ac:dyDescent="0.25">
      <c r="A326" s="184"/>
      <c r="B326" s="183"/>
      <c r="C326" s="183"/>
      <c r="D326" s="183"/>
      <c r="E326" s="183"/>
      <c r="F326" s="184"/>
    </row>
    <row r="327" spans="1:6" x14ac:dyDescent="0.25">
      <c r="A327" s="184"/>
      <c r="B327" s="183"/>
      <c r="C327" s="183"/>
      <c r="D327" s="183"/>
      <c r="E327" s="183"/>
      <c r="F327" s="184"/>
    </row>
    <row r="328" spans="1:6" x14ac:dyDescent="0.25">
      <c r="A328" s="184"/>
      <c r="B328" s="183"/>
      <c r="C328" s="183"/>
      <c r="D328" s="183"/>
      <c r="E328" s="183"/>
      <c r="F328" s="184"/>
    </row>
    <row r="329" spans="1:6" x14ac:dyDescent="0.25">
      <c r="A329" s="184"/>
      <c r="B329" s="183"/>
      <c r="C329" s="183"/>
      <c r="D329" s="183"/>
      <c r="E329" s="183"/>
      <c r="F329" s="184"/>
    </row>
    <row r="330" spans="1:6" x14ac:dyDescent="0.25">
      <c r="A330" s="184"/>
      <c r="B330" s="183"/>
      <c r="C330" s="183"/>
      <c r="D330" s="183"/>
      <c r="E330" s="183"/>
      <c r="F330" s="184"/>
    </row>
    <row r="331" spans="1:6" x14ac:dyDescent="0.25">
      <c r="A331" s="184"/>
      <c r="B331" s="183"/>
      <c r="C331" s="183"/>
      <c r="D331" s="183"/>
      <c r="E331" s="183"/>
      <c r="F331" s="184"/>
    </row>
    <row r="332" spans="1:6" x14ac:dyDescent="0.25">
      <c r="A332" s="184"/>
      <c r="B332" s="183"/>
      <c r="C332" s="183"/>
      <c r="D332" s="183"/>
      <c r="E332" s="183"/>
      <c r="F332" s="184"/>
    </row>
    <row r="333" spans="1:6" x14ac:dyDescent="0.25">
      <c r="A333" s="184"/>
      <c r="B333" s="183"/>
      <c r="C333" s="183"/>
      <c r="D333" s="183"/>
      <c r="E333" s="183"/>
      <c r="F333" s="184"/>
    </row>
    <row r="334" spans="1:6" x14ac:dyDescent="0.25">
      <c r="A334" s="184"/>
      <c r="B334" s="183"/>
      <c r="C334" s="183"/>
      <c r="D334" s="183"/>
      <c r="E334" s="183"/>
      <c r="F334" s="184"/>
    </row>
    <row r="335" spans="1:6" x14ac:dyDescent="0.25">
      <c r="A335" s="184"/>
      <c r="B335" s="183"/>
      <c r="C335" s="183"/>
      <c r="D335" s="183"/>
      <c r="E335" s="183"/>
      <c r="F335" s="184"/>
    </row>
    <row r="336" spans="1:6" x14ac:dyDescent="0.25">
      <c r="A336" s="184"/>
      <c r="B336" s="183"/>
      <c r="C336" s="183"/>
      <c r="D336" s="183"/>
      <c r="E336" s="183"/>
      <c r="F336" s="184"/>
    </row>
    <row r="337" spans="1:6" x14ac:dyDescent="0.25">
      <c r="A337" s="184"/>
      <c r="B337" s="183"/>
      <c r="C337" s="183"/>
      <c r="D337" s="183"/>
      <c r="E337" s="183"/>
      <c r="F337" s="184"/>
    </row>
    <row r="338" spans="1:6" x14ac:dyDescent="0.25">
      <c r="A338" s="184"/>
      <c r="B338" s="183"/>
      <c r="C338" s="183"/>
      <c r="D338" s="183"/>
      <c r="E338" s="183"/>
      <c r="F338" s="184"/>
    </row>
    <row r="339" spans="1:6" x14ac:dyDescent="0.25">
      <c r="A339" s="184"/>
      <c r="B339" s="183"/>
      <c r="C339" s="183"/>
      <c r="D339" s="183"/>
      <c r="E339" s="183"/>
      <c r="F339" s="184"/>
    </row>
    <row r="340" spans="1:6" x14ac:dyDescent="0.25">
      <c r="A340" s="184"/>
      <c r="B340" s="183"/>
      <c r="C340" s="183"/>
      <c r="D340" s="183"/>
      <c r="E340" s="183"/>
      <c r="F340" s="184"/>
    </row>
    <row r="341" spans="1:6" x14ac:dyDescent="0.25">
      <c r="A341" s="184"/>
      <c r="B341" s="183"/>
      <c r="C341" s="183"/>
      <c r="D341" s="183"/>
      <c r="E341" s="183"/>
      <c r="F341" s="184"/>
    </row>
    <row r="342" spans="1:6" x14ac:dyDescent="0.25">
      <c r="A342" s="184"/>
      <c r="B342" s="183"/>
      <c r="C342" s="183"/>
      <c r="D342" s="183"/>
      <c r="E342" s="183"/>
      <c r="F342" s="184"/>
    </row>
    <row r="343" spans="1:6" x14ac:dyDescent="0.25">
      <c r="A343" s="184"/>
      <c r="B343" s="183"/>
      <c r="C343" s="183"/>
      <c r="D343" s="183"/>
      <c r="E343" s="183"/>
      <c r="F343" s="184"/>
    </row>
    <row r="344" spans="1:6" x14ac:dyDescent="0.25">
      <c r="A344" s="184"/>
      <c r="B344" s="183"/>
      <c r="C344" s="183"/>
      <c r="D344" s="183"/>
      <c r="E344" s="183"/>
      <c r="F344" s="184"/>
    </row>
    <row r="345" spans="1:6" x14ac:dyDescent="0.25">
      <c r="A345" s="184"/>
      <c r="B345" s="183"/>
      <c r="C345" s="183"/>
      <c r="D345" s="183"/>
      <c r="E345" s="183"/>
      <c r="F345" s="184"/>
    </row>
  </sheetData>
  <hyperlinks>
    <hyperlink ref="A155" location="Índice!C1" display="Volver al ïndice" xr:uid="{C1A29785-0866-4405-9DE4-8F80786E8C0C}"/>
  </hyperlinks>
  <pageMargins left="0.7" right="0.7" top="0.75" bottom="0.75" header="0.3" footer="0.3"/>
  <pageSetup paperSize="281"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C618C-E91C-4A8C-B436-B8DD4357EDD7}">
  <sheetPr>
    <tabColor rgb="FF92D050"/>
  </sheetPr>
  <dimension ref="A1:V633"/>
  <sheetViews>
    <sheetView showGridLines="0" zoomScale="90" zoomScaleNormal="90" zoomScalePageLayoutView="90" workbookViewId="0">
      <pane ySplit="2" topLeftCell="A24" activePane="bottomLeft" state="frozen"/>
      <selection pane="bottomLeft" activeCell="A39" sqref="A39"/>
    </sheetView>
  </sheetViews>
  <sheetFormatPr baseColWidth="10" defaultColWidth="10.85546875" defaultRowHeight="15" x14ac:dyDescent="0.25"/>
  <cols>
    <col min="1" max="1" width="24.85546875" style="18" customWidth="1"/>
    <col min="2" max="16" width="9.85546875" style="18" customWidth="1"/>
    <col min="17" max="19" width="10.7109375" style="19" customWidth="1"/>
    <col min="20" max="20" width="12.7109375" style="19" customWidth="1"/>
    <col min="21" max="21" width="4.42578125" style="110" customWidth="1"/>
    <col min="22" max="16384" width="10.85546875" style="110"/>
  </cols>
  <sheetData>
    <row r="1" spans="1:21" ht="21" x14ac:dyDescent="0.25">
      <c r="A1" s="85" t="s">
        <v>423</v>
      </c>
      <c r="B1" s="42"/>
      <c r="C1" s="42"/>
      <c r="D1" s="42"/>
      <c r="E1" s="42"/>
      <c r="F1" s="42"/>
      <c r="G1" s="42"/>
      <c r="H1" s="42"/>
      <c r="I1" s="43"/>
      <c r="J1" s="43"/>
      <c r="K1" s="43"/>
      <c r="L1" s="43"/>
      <c r="M1" s="43"/>
      <c r="N1" s="43"/>
      <c r="O1" s="43"/>
      <c r="P1" s="43"/>
      <c r="Q1" s="39"/>
      <c r="R1" s="39"/>
      <c r="S1" s="39"/>
      <c r="T1" s="39"/>
      <c r="U1" s="43"/>
    </row>
    <row r="2" spans="1:21" ht="35.25" customHeight="1" x14ac:dyDescent="0.25">
      <c r="A2" s="43"/>
      <c r="B2" s="43"/>
      <c r="C2" s="43"/>
      <c r="D2" s="43"/>
      <c r="E2" s="43"/>
      <c r="F2" s="43"/>
      <c r="G2" s="43"/>
      <c r="H2" s="43"/>
      <c r="I2" s="43"/>
      <c r="J2" s="43"/>
      <c r="K2" s="43"/>
      <c r="L2" s="43"/>
      <c r="M2" s="43"/>
      <c r="N2" s="43"/>
      <c r="O2" s="43"/>
      <c r="P2" s="43"/>
      <c r="Q2" s="39"/>
      <c r="R2" s="39"/>
      <c r="S2" s="39"/>
      <c r="T2" s="39"/>
      <c r="U2" s="43"/>
    </row>
    <row r="3" spans="1:21" ht="15.75" x14ac:dyDescent="0.25">
      <c r="A3" s="44" t="s">
        <v>80</v>
      </c>
      <c r="B3" s="44"/>
      <c r="C3" s="44"/>
      <c r="D3" s="44"/>
      <c r="E3" s="44"/>
      <c r="F3" s="44"/>
      <c r="G3" s="44"/>
      <c r="H3" s="44"/>
      <c r="I3" s="43"/>
      <c r="J3" s="43"/>
      <c r="K3" s="43"/>
      <c r="L3" s="43"/>
      <c r="M3" s="43"/>
      <c r="N3" s="43"/>
      <c r="O3" s="43"/>
      <c r="P3" s="43"/>
      <c r="Q3" s="39"/>
      <c r="R3" s="39"/>
      <c r="S3" s="39"/>
      <c r="T3" s="39"/>
      <c r="U3" s="43"/>
    </row>
    <row r="4" spans="1:21" ht="30" customHeight="1" x14ac:dyDescent="0.25">
      <c r="A4" s="129" t="s">
        <v>92</v>
      </c>
      <c r="B4" s="130">
        <v>2007</v>
      </c>
      <c r="C4" s="130">
        <v>2008</v>
      </c>
      <c r="D4" s="130">
        <v>2009</v>
      </c>
      <c r="E4" s="130">
        <v>2010</v>
      </c>
      <c r="F4" s="130">
        <v>2011</v>
      </c>
      <c r="G4" s="130">
        <v>2012</v>
      </c>
      <c r="H4" s="130">
        <v>2013</v>
      </c>
      <c r="I4" s="130">
        <v>2014</v>
      </c>
      <c r="J4" s="130">
        <v>2015</v>
      </c>
      <c r="K4" s="130">
        <v>2016</v>
      </c>
      <c r="L4" s="130">
        <v>2017</v>
      </c>
      <c r="M4" s="130">
        <v>2018</v>
      </c>
      <c r="N4" s="130">
        <v>2019</v>
      </c>
      <c r="O4" s="130">
        <v>2020</v>
      </c>
      <c r="P4" s="130">
        <v>2021</v>
      </c>
      <c r="Q4" s="131" t="s">
        <v>424</v>
      </c>
      <c r="R4" s="131" t="s">
        <v>425</v>
      </c>
      <c r="S4" s="131" t="s">
        <v>426</v>
      </c>
      <c r="T4" s="131" t="s">
        <v>427</v>
      </c>
      <c r="U4" s="43"/>
    </row>
    <row r="5" spans="1:21" x14ac:dyDescent="0.25">
      <c r="A5" s="111" t="s">
        <v>2</v>
      </c>
      <c r="B5" s="115">
        <v>86838</v>
      </c>
      <c r="C5" s="115">
        <v>95891</v>
      </c>
      <c r="D5" s="115">
        <v>110007</v>
      </c>
      <c r="E5" s="115">
        <v>128566</v>
      </c>
      <c r="F5" s="115">
        <v>138574</v>
      </c>
      <c r="G5" s="115">
        <v>140031</v>
      </c>
      <c r="H5" s="115">
        <v>144365</v>
      </c>
      <c r="I5" s="115">
        <v>148010</v>
      </c>
      <c r="J5" s="115">
        <v>146540</v>
      </c>
      <c r="K5" s="115">
        <v>141711</v>
      </c>
      <c r="L5" s="115">
        <v>136777</v>
      </c>
      <c r="M5" s="115">
        <v>136730</v>
      </c>
      <c r="N5" s="115">
        <v>137940</v>
      </c>
      <c r="O5" s="115">
        <v>130345</v>
      </c>
      <c r="P5" s="115">
        <v>134496</v>
      </c>
      <c r="Q5" s="187">
        <f>(P5-G5)/G5</f>
        <v>-3.9526961887010735E-2</v>
      </c>
      <c r="R5" s="187">
        <f>(P5-L5)/L5</f>
        <v>-1.6676780452853916E-2</v>
      </c>
      <c r="S5" s="187">
        <f>(P5-O5)/O5</f>
        <v>3.1846254171621464E-2</v>
      </c>
      <c r="T5" s="187">
        <f>P5/P$8</f>
        <v>0.11166924330006127</v>
      </c>
      <c r="U5" s="53"/>
    </row>
    <row r="6" spans="1:21" x14ac:dyDescent="0.25">
      <c r="A6" s="111" t="s">
        <v>3</v>
      </c>
      <c r="B6" s="132">
        <v>156124</v>
      </c>
      <c r="C6" s="132">
        <v>162848</v>
      </c>
      <c r="D6" s="132">
        <v>189597</v>
      </c>
      <c r="E6" s="132">
        <v>224301</v>
      </c>
      <c r="F6" s="132">
        <v>260692</v>
      </c>
      <c r="G6" s="132">
        <v>293519</v>
      </c>
      <c r="H6" s="132">
        <v>324579</v>
      </c>
      <c r="I6" s="115">
        <v>351004</v>
      </c>
      <c r="J6" s="115">
        <v>373171</v>
      </c>
      <c r="K6" s="115">
        <v>380988</v>
      </c>
      <c r="L6" s="115">
        <v>374709</v>
      </c>
      <c r="M6" s="115">
        <v>373104</v>
      </c>
      <c r="N6" s="115">
        <v>379456</v>
      </c>
      <c r="O6" s="115">
        <v>361387</v>
      </c>
      <c r="P6" s="115">
        <v>378538</v>
      </c>
      <c r="Q6" s="187">
        <f t="shared" ref="Q6:Q8" si="0">(P6-G6)/G6</f>
        <v>0.28965416208150069</v>
      </c>
      <c r="R6" s="187">
        <f t="shared" ref="R6:R8" si="1">(P6-L6)/L6</f>
        <v>1.0218596297393443E-2</v>
      </c>
      <c r="S6" s="187">
        <f t="shared" ref="S6:S7" si="2">(P6-O6)/O6</f>
        <v>4.7458818385830145E-2</v>
      </c>
      <c r="T6" s="187">
        <f t="shared" ref="T6:T8" si="3">P6/P$8</f>
        <v>0.31429226163096741</v>
      </c>
      <c r="U6" s="53"/>
    </row>
    <row r="7" spans="1:21" x14ac:dyDescent="0.25">
      <c r="A7" s="111" t="s">
        <v>4</v>
      </c>
      <c r="B7" s="132">
        <v>505382</v>
      </c>
      <c r="C7" s="132">
        <v>524610</v>
      </c>
      <c r="D7" s="132">
        <v>549736</v>
      </c>
      <c r="E7" s="132">
        <v>585391</v>
      </c>
      <c r="F7" s="132">
        <v>615811</v>
      </c>
      <c r="G7" s="132">
        <v>631266</v>
      </c>
      <c r="H7" s="132">
        <v>645333</v>
      </c>
      <c r="I7" s="115">
        <v>645367</v>
      </c>
      <c r="J7" s="115">
        <v>646195</v>
      </c>
      <c r="K7" s="115">
        <v>655781</v>
      </c>
      <c r="L7" s="115">
        <v>665806</v>
      </c>
      <c r="M7" s="115">
        <v>678213</v>
      </c>
      <c r="N7" s="115">
        <v>677084</v>
      </c>
      <c r="O7" s="115">
        <v>660190</v>
      </c>
      <c r="P7" s="115">
        <v>691380</v>
      </c>
      <c r="Q7" s="187">
        <f t="shared" si="0"/>
        <v>9.52276853180751E-2</v>
      </c>
      <c r="R7" s="187">
        <f t="shared" si="1"/>
        <v>3.8410588069197331E-2</v>
      </c>
      <c r="S7" s="187">
        <f t="shared" si="2"/>
        <v>4.7243975219255066E-2</v>
      </c>
      <c r="T7" s="187">
        <f t="shared" si="3"/>
        <v>0.57403849506897131</v>
      </c>
      <c r="U7" s="53"/>
    </row>
    <row r="8" spans="1:21" s="52" customFormat="1" x14ac:dyDescent="0.25">
      <c r="A8" s="112" t="s">
        <v>0</v>
      </c>
      <c r="B8" s="2">
        <v>748344</v>
      </c>
      <c r="C8" s="2">
        <v>783349</v>
      </c>
      <c r="D8" s="2">
        <v>849340</v>
      </c>
      <c r="E8" s="2">
        <v>938258</v>
      </c>
      <c r="F8" s="2">
        <v>1015077</v>
      </c>
      <c r="G8" s="2">
        <v>1064816</v>
      </c>
      <c r="H8" s="2">
        <v>1114277</v>
      </c>
      <c r="I8" s="133">
        <v>1144381</v>
      </c>
      <c r="J8" s="133">
        <v>1165906</v>
      </c>
      <c r="K8" s="133">
        <v>1178480</v>
      </c>
      <c r="L8" s="133">
        <v>1177292</v>
      </c>
      <c r="M8" s="133">
        <v>1188047</v>
      </c>
      <c r="N8" s="133">
        <v>1194480</v>
      </c>
      <c r="O8" s="133">
        <v>1151922</v>
      </c>
      <c r="P8" s="133">
        <v>1204414</v>
      </c>
      <c r="Q8" s="188">
        <f t="shared" si="0"/>
        <v>0.13110058451413201</v>
      </c>
      <c r="R8" s="188">
        <f t="shared" si="1"/>
        <v>2.3037615137111268E-2</v>
      </c>
      <c r="S8" s="188">
        <f>(P8-O8)/O8</f>
        <v>4.5569057627165725E-2</v>
      </c>
      <c r="T8" s="188">
        <f t="shared" si="3"/>
        <v>1</v>
      </c>
      <c r="U8" s="54"/>
    </row>
    <row r="9" spans="1:21" x14ac:dyDescent="0.25">
      <c r="A9" s="43"/>
      <c r="B9" s="43"/>
      <c r="C9" s="43"/>
      <c r="D9" s="43"/>
      <c r="E9" s="43"/>
      <c r="F9" s="43"/>
      <c r="G9" s="43"/>
      <c r="H9" s="43"/>
      <c r="I9" s="43"/>
      <c r="J9" s="43"/>
      <c r="K9" s="43"/>
      <c r="L9" s="43"/>
      <c r="M9" s="43"/>
      <c r="N9" s="43"/>
      <c r="O9" s="43"/>
      <c r="P9" s="43"/>
      <c r="Q9" s="43"/>
      <c r="R9" s="43"/>
      <c r="S9" s="43"/>
      <c r="T9" s="43"/>
      <c r="U9" s="53"/>
    </row>
    <row r="10" spans="1:21" ht="18" x14ac:dyDescent="0.25">
      <c r="A10" s="46" t="s">
        <v>132</v>
      </c>
      <c r="B10" s="46"/>
      <c r="C10" s="46"/>
      <c r="D10" s="46"/>
      <c r="E10" s="46"/>
      <c r="F10" s="46"/>
      <c r="G10" s="46"/>
      <c r="H10" s="46"/>
      <c r="I10" s="43"/>
      <c r="J10" s="43"/>
      <c r="K10" s="43"/>
      <c r="L10" s="43"/>
      <c r="M10" s="43"/>
      <c r="N10" s="43"/>
      <c r="O10" s="43"/>
      <c r="P10" s="43"/>
      <c r="Q10" s="39"/>
      <c r="R10" s="39"/>
      <c r="S10" s="39"/>
      <c r="T10" s="39"/>
      <c r="U10" s="53"/>
    </row>
    <row r="11" spans="1:21" ht="30" customHeight="1" x14ac:dyDescent="0.25">
      <c r="A11" s="129" t="s">
        <v>92</v>
      </c>
      <c r="B11" s="130">
        <v>2007</v>
      </c>
      <c r="C11" s="130">
        <v>2008</v>
      </c>
      <c r="D11" s="130">
        <v>2009</v>
      </c>
      <c r="E11" s="130">
        <v>2010</v>
      </c>
      <c r="F11" s="130">
        <v>2011</v>
      </c>
      <c r="G11" s="130">
        <v>2012</v>
      </c>
      <c r="H11" s="130">
        <v>2013</v>
      </c>
      <c r="I11" s="130">
        <v>2014</v>
      </c>
      <c r="J11" s="130">
        <v>2015</v>
      </c>
      <c r="K11" s="130">
        <v>2016</v>
      </c>
      <c r="L11" s="130">
        <v>2017</v>
      </c>
      <c r="M11" s="130">
        <v>2018</v>
      </c>
      <c r="N11" s="130">
        <v>2019</v>
      </c>
      <c r="O11" s="130">
        <v>2020</v>
      </c>
      <c r="P11" s="130">
        <v>2021</v>
      </c>
      <c r="Q11" s="131" t="s">
        <v>424</v>
      </c>
      <c r="R11" s="131" t="s">
        <v>425</v>
      </c>
      <c r="S11" s="131" t="s">
        <v>426</v>
      </c>
      <c r="T11" s="131" t="s">
        <v>427</v>
      </c>
      <c r="U11" s="53"/>
    </row>
    <row r="12" spans="1:21" x14ac:dyDescent="0.25">
      <c r="A12" s="111" t="s">
        <v>2</v>
      </c>
      <c r="B12" s="115">
        <v>43912</v>
      </c>
      <c r="C12" s="115">
        <v>47056</v>
      </c>
      <c r="D12" s="115">
        <v>53202</v>
      </c>
      <c r="E12" s="115">
        <v>63115</v>
      </c>
      <c r="F12" s="115">
        <v>64035</v>
      </c>
      <c r="G12" s="115">
        <v>62584</v>
      </c>
      <c r="H12" s="115">
        <v>64724</v>
      </c>
      <c r="I12" s="115">
        <v>65941</v>
      </c>
      <c r="J12" s="115">
        <v>63551</v>
      </c>
      <c r="K12" s="115">
        <v>59423</v>
      </c>
      <c r="L12" s="115">
        <v>60034</v>
      </c>
      <c r="M12" s="115">
        <v>59204</v>
      </c>
      <c r="N12" s="115">
        <v>60927</v>
      </c>
      <c r="O12" s="115">
        <v>56166</v>
      </c>
      <c r="P12" s="115">
        <v>58314</v>
      </c>
      <c r="Q12" s="187">
        <f t="shared" ref="Q12:Q15" si="4">(P12-G12)/G12</f>
        <v>-6.822830116323661E-2</v>
      </c>
      <c r="R12" s="187">
        <f t="shared" ref="R12:R15" si="5">(P12-L12)/L12</f>
        <v>-2.8650431422194089E-2</v>
      </c>
      <c r="S12" s="187">
        <f t="shared" ref="S12:S15" si="6">(P12-O12)/O12</f>
        <v>3.8243777374212154E-2</v>
      </c>
      <c r="T12" s="187">
        <f>P12/P$15</f>
        <v>0.18539513383078093</v>
      </c>
      <c r="U12" s="53"/>
    </row>
    <row r="13" spans="1:21" x14ac:dyDescent="0.25">
      <c r="A13" s="111" t="s">
        <v>3</v>
      </c>
      <c r="B13" s="132">
        <v>68128</v>
      </c>
      <c r="C13" s="132">
        <v>68712</v>
      </c>
      <c r="D13" s="132">
        <v>81182</v>
      </c>
      <c r="E13" s="132">
        <v>95186</v>
      </c>
      <c r="F13" s="132">
        <v>105562</v>
      </c>
      <c r="G13" s="132">
        <v>111783</v>
      </c>
      <c r="H13" s="132">
        <v>126264</v>
      </c>
      <c r="I13" s="115">
        <v>128343</v>
      </c>
      <c r="J13" s="115">
        <v>124380</v>
      </c>
      <c r="K13" s="115">
        <v>123220</v>
      </c>
      <c r="L13" s="115">
        <v>119657</v>
      </c>
      <c r="M13" s="115">
        <v>121506</v>
      </c>
      <c r="N13" s="115">
        <v>121894</v>
      </c>
      <c r="O13" s="115">
        <v>109617</v>
      </c>
      <c r="P13" s="115">
        <v>121006</v>
      </c>
      <c r="Q13" s="187">
        <f t="shared" si="4"/>
        <v>8.2508073678466312E-2</v>
      </c>
      <c r="R13" s="187">
        <f t="shared" si="5"/>
        <v>1.1273891205696282E-2</v>
      </c>
      <c r="S13" s="187">
        <f t="shared" si="6"/>
        <v>0.10389811799264713</v>
      </c>
      <c r="T13" s="187">
        <f t="shared" ref="T13:T15" si="7">P13/P$15</f>
        <v>0.38470905038802822</v>
      </c>
      <c r="U13" s="53"/>
    </row>
    <row r="14" spans="1:21" x14ac:dyDescent="0.25">
      <c r="A14" s="111" t="s">
        <v>4</v>
      </c>
      <c r="B14" s="132">
        <v>131339</v>
      </c>
      <c r="C14" s="132">
        <v>137196</v>
      </c>
      <c r="D14" s="132">
        <v>147263</v>
      </c>
      <c r="E14" s="132">
        <v>156757</v>
      </c>
      <c r="F14" s="132">
        <v>158726</v>
      </c>
      <c r="G14" s="132">
        <v>158461</v>
      </c>
      <c r="H14" s="132">
        <v>152012</v>
      </c>
      <c r="I14" s="115">
        <v>147176</v>
      </c>
      <c r="J14" s="115">
        <v>149828</v>
      </c>
      <c r="K14" s="115">
        <v>155263</v>
      </c>
      <c r="L14" s="115">
        <v>155580</v>
      </c>
      <c r="M14" s="115">
        <v>154181</v>
      </c>
      <c r="N14" s="115">
        <v>147853</v>
      </c>
      <c r="O14" s="149">
        <v>137649</v>
      </c>
      <c r="P14" s="149">
        <v>135219</v>
      </c>
      <c r="Q14" s="187">
        <f t="shared" si="4"/>
        <v>-0.14667331393844543</v>
      </c>
      <c r="R14" s="187">
        <f t="shared" si="5"/>
        <v>-0.13087157732356344</v>
      </c>
      <c r="S14" s="187">
        <f t="shared" si="6"/>
        <v>-1.7653597192860099E-2</v>
      </c>
      <c r="T14" s="187">
        <f t="shared" si="7"/>
        <v>0.4298958157811909</v>
      </c>
      <c r="U14" s="53"/>
    </row>
    <row r="15" spans="1:21" x14ac:dyDescent="0.25">
      <c r="A15" s="86" t="s">
        <v>0</v>
      </c>
      <c r="B15" s="45">
        <v>243379</v>
      </c>
      <c r="C15" s="45">
        <v>252964</v>
      </c>
      <c r="D15" s="45">
        <v>281647</v>
      </c>
      <c r="E15" s="45">
        <v>315058</v>
      </c>
      <c r="F15" s="45">
        <v>328323</v>
      </c>
      <c r="G15" s="45">
        <v>332828</v>
      </c>
      <c r="H15" s="45">
        <v>343000</v>
      </c>
      <c r="I15" s="26">
        <v>341460</v>
      </c>
      <c r="J15" s="26">
        <v>337759</v>
      </c>
      <c r="K15" s="26">
        <v>337906</v>
      </c>
      <c r="L15" s="26">
        <v>335271</v>
      </c>
      <c r="M15" s="26">
        <v>334891</v>
      </c>
      <c r="N15" s="26">
        <v>330674</v>
      </c>
      <c r="O15" s="109">
        <v>303432</v>
      </c>
      <c r="P15" s="109">
        <v>314539</v>
      </c>
      <c r="Q15" s="188">
        <f t="shared" si="4"/>
        <v>-5.4950304661867393E-2</v>
      </c>
      <c r="R15" s="188">
        <f t="shared" si="5"/>
        <v>-6.1836544168747072E-2</v>
      </c>
      <c r="S15" s="188">
        <f t="shared" si="6"/>
        <v>3.6604576972764903E-2</v>
      </c>
      <c r="T15" s="188">
        <f t="shared" si="7"/>
        <v>1</v>
      </c>
      <c r="U15" s="53"/>
    </row>
    <row r="16" spans="1:21" x14ac:dyDescent="0.25">
      <c r="A16" s="43"/>
      <c r="B16" s="43"/>
      <c r="C16" s="43"/>
      <c r="D16" s="43"/>
      <c r="E16" s="43"/>
      <c r="F16" s="43"/>
      <c r="G16" s="43"/>
      <c r="H16" s="43"/>
      <c r="I16" s="43"/>
      <c r="J16" s="43"/>
      <c r="K16" s="43"/>
      <c r="L16" s="43"/>
      <c r="M16" s="43"/>
      <c r="N16" s="43"/>
      <c r="O16" s="43"/>
      <c r="P16" s="43"/>
      <c r="Q16" s="43"/>
      <c r="R16" s="43"/>
      <c r="S16" s="43"/>
      <c r="T16" s="43"/>
      <c r="U16" s="53"/>
    </row>
    <row r="17" spans="1:21" ht="15.75" x14ac:dyDescent="0.25">
      <c r="A17" s="46" t="s">
        <v>332</v>
      </c>
      <c r="B17" s="46"/>
      <c r="C17" s="46"/>
      <c r="D17" s="46"/>
      <c r="E17" s="46"/>
      <c r="F17" s="46"/>
      <c r="G17" s="46"/>
      <c r="H17" s="46"/>
      <c r="I17" s="43"/>
      <c r="J17" s="43"/>
      <c r="K17" s="43"/>
      <c r="L17" s="43"/>
      <c r="M17" s="43"/>
      <c r="N17" s="43"/>
      <c r="O17" s="43"/>
      <c r="P17" s="43"/>
      <c r="Q17" s="39"/>
      <c r="R17" s="39"/>
      <c r="S17" s="39"/>
      <c r="T17" s="39"/>
      <c r="U17" s="53"/>
    </row>
    <row r="18" spans="1:21" ht="30" customHeight="1" x14ac:dyDescent="0.25">
      <c r="A18" s="129" t="s">
        <v>333</v>
      </c>
      <c r="B18" s="130">
        <v>2007</v>
      </c>
      <c r="C18" s="130">
        <v>2008</v>
      </c>
      <c r="D18" s="130">
        <v>2009</v>
      </c>
      <c r="E18" s="130">
        <v>2010</v>
      </c>
      <c r="F18" s="130">
        <v>2011</v>
      </c>
      <c r="G18" s="130">
        <v>2012</v>
      </c>
      <c r="H18" s="130">
        <v>2013</v>
      </c>
      <c r="I18" s="130">
        <v>2014</v>
      </c>
      <c r="J18" s="130">
        <v>2015</v>
      </c>
      <c r="K18" s="130">
        <v>2016</v>
      </c>
      <c r="L18" s="130">
        <v>2017</v>
      </c>
      <c r="M18" s="130">
        <v>2018</v>
      </c>
      <c r="N18" s="130">
        <v>2019</v>
      </c>
      <c r="O18" s="130">
        <v>2020</v>
      </c>
      <c r="P18" s="130">
        <v>2021</v>
      </c>
      <c r="Q18" s="131" t="s">
        <v>424</v>
      </c>
      <c r="R18" s="131" t="s">
        <v>425</v>
      </c>
      <c r="S18" s="131" t="s">
        <v>426</v>
      </c>
      <c r="T18" s="131" t="s">
        <v>427</v>
      </c>
      <c r="U18" s="53"/>
    </row>
    <row r="19" spans="1:21" x14ac:dyDescent="0.25">
      <c r="A19" s="87" t="s">
        <v>2</v>
      </c>
      <c r="B19" s="115">
        <v>86838</v>
      </c>
      <c r="C19" s="115">
        <v>95891</v>
      </c>
      <c r="D19" s="115">
        <v>110007</v>
      </c>
      <c r="E19" s="115">
        <v>128566</v>
      </c>
      <c r="F19" s="115">
        <v>138574</v>
      </c>
      <c r="G19" s="115">
        <v>140031</v>
      </c>
      <c r="H19" s="115">
        <v>144365</v>
      </c>
      <c r="I19" s="115">
        <v>148010</v>
      </c>
      <c r="J19" s="115">
        <v>146540</v>
      </c>
      <c r="K19" s="115">
        <v>141711</v>
      </c>
      <c r="L19" s="115">
        <v>136777</v>
      </c>
      <c r="M19" s="115">
        <v>136521</v>
      </c>
      <c r="N19" s="115">
        <v>136866</v>
      </c>
      <c r="O19" s="115">
        <v>127186</v>
      </c>
      <c r="P19" s="115">
        <v>127556</v>
      </c>
      <c r="Q19" s="187">
        <f t="shared" ref="Q19:Q26" si="8">(P19-G19)/G19</f>
        <v>-8.9087416357806481E-2</v>
      </c>
      <c r="R19" s="187">
        <f t="shared" ref="R19:R26" si="9">(P19-L19)/L19</f>
        <v>-6.7416305372979379E-2</v>
      </c>
      <c r="S19" s="187">
        <f t="shared" ref="S19:S26" si="10">(P19-O19)/O19</f>
        <v>2.9091252181843914E-3</v>
      </c>
      <c r="T19" s="187">
        <f t="shared" ref="T19:T26" si="11">P19/P$8</f>
        <v>0.10590710503199066</v>
      </c>
      <c r="U19" s="53"/>
    </row>
    <row r="20" spans="1:21" x14ac:dyDescent="0.25">
      <c r="A20" s="87" t="s">
        <v>329</v>
      </c>
      <c r="B20" s="115"/>
      <c r="C20" s="115"/>
      <c r="D20" s="115"/>
      <c r="E20" s="115"/>
      <c r="F20" s="115"/>
      <c r="G20" s="115"/>
      <c r="H20" s="115"/>
      <c r="I20" s="115"/>
      <c r="J20" s="115"/>
      <c r="K20" s="115"/>
      <c r="L20" s="115"/>
      <c r="M20" s="115">
        <v>209</v>
      </c>
      <c r="N20" s="115">
        <v>1074</v>
      </c>
      <c r="O20" s="115">
        <v>3159</v>
      </c>
      <c r="P20" s="115">
        <v>6940</v>
      </c>
      <c r="Q20" s="187" t="s">
        <v>155</v>
      </c>
      <c r="R20" s="187" t="s">
        <v>155</v>
      </c>
      <c r="S20" s="187">
        <f t="shared" si="10"/>
        <v>1.196897752453308</v>
      </c>
      <c r="T20" s="187">
        <f t="shared" si="11"/>
        <v>5.7621382680706134E-3</v>
      </c>
      <c r="U20" s="53"/>
    </row>
    <row r="21" spans="1:21" x14ac:dyDescent="0.25">
      <c r="A21" s="87" t="s">
        <v>3</v>
      </c>
      <c r="B21" s="115">
        <v>156124</v>
      </c>
      <c r="C21" s="115">
        <v>162848</v>
      </c>
      <c r="D21" s="115">
        <v>189597</v>
      </c>
      <c r="E21" s="115">
        <v>224301</v>
      </c>
      <c r="F21" s="115">
        <v>260692</v>
      </c>
      <c r="G21" s="115">
        <v>293519</v>
      </c>
      <c r="H21" s="115">
        <v>324579</v>
      </c>
      <c r="I21" s="115">
        <v>351004</v>
      </c>
      <c r="J21" s="115">
        <v>373171</v>
      </c>
      <c r="K21" s="115">
        <v>380988</v>
      </c>
      <c r="L21" s="115">
        <v>374709</v>
      </c>
      <c r="M21" s="115">
        <v>373104</v>
      </c>
      <c r="N21" s="115">
        <v>379456</v>
      </c>
      <c r="O21" s="115">
        <v>361387</v>
      </c>
      <c r="P21" s="115">
        <v>378538</v>
      </c>
      <c r="Q21" s="187">
        <f t="shared" si="8"/>
        <v>0.28965416208150069</v>
      </c>
      <c r="R21" s="187">
        <f t="shared" si="9"/>
        <v>1.0218596297393443E-2</v>
      </c>
      <c r="S21" s="187">
        <f t="shared" si="10"/>
        <v>4.7458818385830145E-2</v>
      </c>
      <c r="T21" s="187">
        <f t="shared" si="11"/>
        <v>0.31429226163096741</v>
      </c>
      <c r="U21" s="53"/>
    </row>
    <row r="22" spans="1:21" x14ac:dyDescent="0.25">
      <c r="A22" s="87" t="s">
        <v>428</v>
      </c>
      <c r="B22" s="115">
        <v>164654</v>
      </c>
      <c r="C22" s="115">
        <v>163487</v>
      </c>
      <c r="D22" s="115">
        <v>163656</v>
      </c>
      <c r="E22" s="115">
        <v>162284</v>
      </c>
      <c r="F22" s="115">
        <v>159643</v>
      </c>
      <c r="G22" s="115">
        <v>158192</v>
      </c>
      <c r="H22" s="115">
        <v>166232</v>
      </c>
      <c r="I22" s="115">
        <v>169614</v>
      </c>
      <c r="J22" s="115">
        <v>171384</v>
      </c>
      <c r="K22" s="115">
        <v>174242</v>
      </c>
      <c r="L22" s="115">
        <v>177931</v>
      </c>
      <c r="M22" s="115">
        <v>185531</v>
      </c>
      <c r="N22" s="115">
        <v>185927</v>
      </c>
      <c r="O22" s="115">
        <v>180322</v>
      </c>
      <c r="P22" s="115">
        <v>192961</v>
      </c>
      <c r="Q22" s="187">
        <f t="shared" si="8"/>
        <v>0.21978987559421462</v>
      </c>
      <c r="R22" s="187">
        <f t="shared" si="9"/>
        <v>8.4470946602896627E-2</v>
      </c>
      <c r="S22" s="187">
        <f t="shared" si="10"/>
        <v>7.0091281152604781E-2</v>
      </c>
      <c r="T22" s="187">
        <f t="shared" si="11"/>
        <v>0.16021152195175414</v>
      </c>
      <c r="U22" s="53"/>
    </row>
    <row r="23" spans="1:21" x14ac:dyDescent="0.25">
      <c r="A23" s="87" t="s">
        <v>429</v>
      </c>
      <c r="B23" s="115">
        <v>101031</v>
      </c>
      <c r="C23" s="115">
        <v>107609</v>
      </c>
      <c r="D23" s="115">
        <v>113271</v>
      </c>
      <c r="E23" s="115">
        <v>119524</v>
      </c>
      <c r="F23" s="115">
        <v>123054</v>
      </c>
      <c r="G23" s="115">
        <v>124799</v>
      </c>
      <c r="H23" s="115">
        <v>129501</v>
      </c>
      <c r="I23" s="115">
        <v>131781</v>
      </c>
      <c r="J23" s="115">
        <v>133564</v>
      </c>
      <c r="K23" s="115">
        <v>138613</v>
      </c>
      <c r="L23" s="115">
        <v>141039</v>
      </c>
      <c r="M23" s="115">
        <v>144461</v>
      </c>
      <c r="N23" s="115">
        <v>172393</v>
      </c>
      <c r="O23" s="115">
        <v>185450</v>
      </c>
      <c r="P23" s="115">
        <v>193168</v>
      </c>
      <c r="Q23" s="187">
        <f t="shared" si="8"/>
        <v>0.54783291532784717</v>
      </c>
      <c r="R23" s="187">
        <f t="shared" si="9"/>
        <v>0.36960698813803272</v>
      </c>
      <c r="S23" s="187">
        <f t="shared" si="10"/>
        <v>4.1617686708007549E-2</v>
      </c>
      <c r="T23" s="187">
        <f t="shared" si="11"/>
        <v>0.16038338976464903</v>
      </c>
      <c r="U23" s="53"/>
    </row>
    <row r="24" spans="1:21" x14ac:dyDescent="0.25">
      <c r="A24" s="87" t="s">
        <v>430</v>
      </c>
      <c r="B24" s="115">
        <v>239697</v>
      </c>
      <c r="C24" s="115">
        <v>253514</v>
      </c>
      <c r="D24" s="115">
        <v>272809</v>
      </c>
      <c r="E24" s="115">
        <v>303583</v>
      </c>
      <c r="F24" s="115">
        <v>333114</v>
      </c>
      <c r="G24" s="115">
        <v>348275</v>
      </c>
      <c r="H24" s="115">
        <v>349600</v>
      </c>
      <c r="I24" s="115">
        <v>343972</v>
      </c>
      <c r="J24" s="115">
        <v>341247</v>
      </c>
      <c r="K24" s="115">
        <v>342926</v>
      </c>
      <c r="L24" s="115">
        <v>346836</v>
      </c>
      <c r="M24" s="115">
        <v>348221</v>
      </c>
      <c r="N24" s="115">
        <v>316615</v>
      </c>
      <c r="O24" s="115">
        <v>292083</v>
      </c>
      <c r="P24" s="115">
        <v>303657</v>
      </c>
      <c r="Q24" s="187">
        <f t="shared" si="8"/>
        <v>-0.12811140621635203</v>
      </c>
      <c r="R24" s="187">
        <f t="shared" si="9"/>
        <v>-0.12449399716292427</v>
      </c>
      <c r="S24" s="187">
        <f t="shared" si="10"/>
        <v>3.9625722825361281E-2</v>
      </c>
      <c r="T24" s="187">
        <f t="shared" si="11"/>
        <v>0.25212011816534846</v>
      </c>
      <c r="U24" s="53"/>
    </row>
    <row r="25" spans="1:21" x14ac:dyDescent="0.25">
      <c r="A25" s="87" t="s">
        <v>431</v>
      </c>
      <c r="B25" s="115"/>
      <c r="C25" s="115"/>
      <c r="D25" s="115"/>
      <c r="E25" s="115"/>
      <c r="F25" s="115"/>
      <c r="G25" s="115"/>
      <c r="H25" s="115"/>
      <c r="I25" s="115"/>
      <c r="J25" s="115"/>
      <c r="K25" s="115"/>
      <c r="L25" s="115"/>
      <c r="M25" s="115"/>
      <c r="N25" s="115">
        <v>2149</v>
      </c>
      <c r="O25" s="115">
        <v>2335</v>
      </c>
      <c r="P25" s="115">
        <v>1594</v>
      </c>
      <c r="Q25" s="187" t="s">
        <v>155</v>
      </c>
      <c r="R25" s="187" t="s">
        <v>155</v>
      </c>
      <c r="S25" s="187">
        <f t="shared" si="10"/>
        <v>-0.31734475374732335</v>
      </c>
      <c r="T25" s="187">
        <f t="shared" si="11"/>
        <v>1.3234651872196771E-3</v>
      </c>
      <c r="U25" s="53"/>
    </row>
    <row r="26" spans="1:21" s="52" customFormat="1" x14ac:dyDescent="0.25">
      <c r="A26" s="88" t="s">
        <v>0</v>
      </c>
      <c r="B26" s="26">
        <v>748344</v>
      </c>
      <c r="C26" s="26">
        <v>783349</v>
      </c>
      <c r="D26" s="26">
        <v>849340</v>
      </c>
      <c r="E26" s="26">
        <v>938258</v>
      </c>
      <c r="F26" s="26">
        <v>1015077</v>
      </c>
      <c r="G26" s="26">
        <v>1064816</v>
      </c>
      <c r="H26" s="26">
        <v>1114277</v>
      </c>
      <c r="I26" s="26">
        <v>1144381</v>
      </c>
      <c r="J26" s="26">
        <v>1165906</v>
      </c>
      <c r="K26" s="26">
        <v>1178480</v>
      </c>
      <c r="L26" s="26">
        <v>1177292</v>
      </c>
      <c r="M26" s="26">
        <v>1188047</v>
      </c>
      <c r="N26" s="26">
        <v>1194480</v>
      </c>
      <c r="O26" s="26">
        <v>1151922</v>
      </c>
      <c r="P26" s="26">
        <v>1204414</v>
      </c>
      <c r="Q26" s="33">
        <f t="shared" si="8"/>
        <v>0.13110058451413201</v>
      </c>
      <c r="R26" s="33">
        <f t="shared" si="9"/>
        <v>2.3037615137111268E-2</v>
      </c>
      <c r="S26" s="33">
        <f t="shared" si="10"/>
        <v>4.5569057627165725E-2</v>
      </c>
      <c r="T26" s="33">
        <f t="shared" si="11"/>
        <v>1</v>
      </c>
      <c r="U26" s="54"/>
    </row>
    <row r="27" spans="1:21" x14ac:dyDescent="0.25">
      <c r="A27" s="139" t="s">
        <v>388</v>
      </c>
      <c r="B27" s="110"/>
      <c r="C27" s="110"/>
      <c r="D27" s="110"/>
      <c r="E27" s="110"/>
      <c r="F27" s="110"/>
      <c r="G27" s="110"/>
      <c r="H27" s="110"/>
      <c r="I27" s="47"/>
      <c r="J27" s="47"/>
      <c r="K27" s="47"/>
      <c r="L27" s="47"/>
      <c r="M27" s="47"/>
      <c r="N27" s="47"/>
      <c r="O27" s="47"/>
      <c r="P27" s="47"/>
      <c r="Q27" s="40"/>
      <c r="R27" s="40"/>
      <c r="S27" s="40"/>
      <c r="T27" s="40"/>
      <c r="U27" s="53"/>
    </row>
    <row r="28" spans="1:21" x14ac:dyDescent="0.25">
      <c r="A28" s="139" t="s">
        <v>393</v>
      </c>
      <c r="B28" s="116"/>
      <c r="C28" s="116"/>
      <c r="D28" s="116"/>
      <c r="E28" s="116"/>
      <c r="F28" s="116"/>
      <c r="G28" s="116"/>
      <c r="H28" s="116"/>
      <c r="I28" s="116"/>
      <c r="J28" s="116"/>
      <c r="K28" s="116"/>
      <c r="L28" s="116"/>
      <c r="M28" s="116"/>
      <c r="N28" s="116"/>
      <c r="O28" s="116"/>
      <c r="P28" s="116"/>
      <c r="Q28" s="116"/>
      <c r="R28" s="116"/>
      <c r="S28" s="116"/>
      <c r="T28" s="116"/>
      <c r="U28" s="116"/>
    </row>
    <row r="29" spans="1:21" x14ac:dyDescent="0.25">
      <c r="A29" s="139"/>
      <c r="Q29" s="116"/>
      <c r="R29" s="116"/>
      <c r="S29" s="116"/>
      <c r="T29" s="116"/>
      <c r="U29" s="116"/>
    </row>
    <row r="30" spans="1:21" ht="18" x14ac:dyDescent="0.25">
      <c r="A30" s="46" t="s">
        <v>305</v>
      </c>
      <c r="B30" s="46"/>
      <c r="C30" s="46"/>
      <c r="D30" s="46"/>
      <c r="E30" s="46"/>
      <c r="F30" s="46"/>
      <c r="G30" s="46"/>
      <c r="H30" s="46"/>
      <c r="I30" s="110"/>
      <c r="J30" s="110"/>
      <c r="K30" s="110"/>
      <c r="L30" s="110"/>
      <c r="M30" s="110"/>
      <c r="N30" s="110"/>
      <c r="O30" s="110"/>
      <c r="P30" s="110"/>
      <c r="Q30" s="39"/>
      <c r="R30" s="39"/>
      <c r="S30" s="39"/>
      <c r="T30" s="39"/>
      <c r="U30" s="53"/>
    </row>
    <row r="31" spans="1:21" ht="30" customHeight="1" x14ac:dyDescent="0.25">
      <c r="A31" s="129" t="s">
        <v>333</v>
      </c>
      <c r="B31" s="130">
        <v>2007</v>
      </c>
      <c r="C31" s="130">
        <v>2008</v>
      </c>
      <c r="D31" s="130">
        <v>2009</v>
      </c>
      <c r="E31" s="130">
        <v>2010</v>
      </c>
      <c r="F31" s="130">
        <v>2011</v>
      </c>
      <c r="G31" s="130">
        <v>2012</v>
      </c>
      <c r="H31" s="130">
        <v>2013</v>
      </c>
      <c r="I31" s="130">
        <v>2014</v>
      </c>
      <c r="J31" s="130">
        <v>2015</v>
      </c>
      <c r="K31" s="130">
        <v>2016</v>
      </c>
      <c r="L31" s="130">
        <v>2017</v>
      </c>
      <c r="M31" s="130">
        <v>2018</v>
      </c>
      <c r="N31" s="130">
        <v>2019</v>
      </c>
      <c r="O31" s="130">
        <v>2020</v>
      </c>
      <c r="P31" s="130">
        <v>2021</v>
      </c>
      <c r="Q31" s="131" t="s">
        <v>424</v>
      </c>
      <c r="R31" s="131" t="s">
        <v>425</v>
      </c>
      <c r="S31" s="131" t="s">
        <v>426</v>
      </c>
      <c r="T31" s="131" t="s">
        <v>427</v>
      </c>
      <c r="U31" s="53"/>
    </row>
    <row r="32" spans="1:21" x14ac:dyDescent="0.25">
      <c r="A32" s="87" t="s">
        <v>2</v>
      </c>
      <c r="B32" s="115">
        <v>43912</v>
      </c>
      <c r="C32" s="115">
        <v>47056</v>
      </c>
      <c r="D32" s="115">
        <v>53202</v>
      </c>
      <c r="E32" s="115">
        <v>63115</v>
      </c>
      <c r="F32" s="115">
        <v>64035</v>
      </c>
      <c r="G32" s="115">
        <v>62584</v>
      </c>
      <c r="H32" s="115">
        <v>64724</v>
      </c>
      <c r="I32" s="115">
        <v>65941</v>
      </c>
      <c r="J32" s="115">
        <v>63551</v>
      </c>
      <c r="K32" s="115">
        <v>59423</v>
      </c>
      <c r="L32" s="115">
        <v>60034</v>
      </c>
      <c r="M32" s="115">
        <v>58995</v>
      </c>
      <c r="N32" s="115">
        <v>60015</v>
      </c>
      <c r="O32" s="115">
        <v>53844</v>
      </c>
      <c r="P32" s="115">
        <v>55031</v>
      </c>
      <c r="Q32" s="187">
        <f t="shared" ref="Q32:Q38" si="12">(P32-G32)/G32</f>
        <v>-0.12068579828710213</v>
      </c>
      <c r="R32" s="187">
        <f t="shared" ref="R32:R38" si="13">(P32-L32)/L32</f>
        <v>-8.3336109537928513E-2</v>
      </c>
      <c r="S32" s="187">
        <f t="shared" ref="S32:S38" si="14">(P32-O32)/O32</f>
        <v>2.2045167520986553E-2</v>
      </c>
      <c r="T32" s="187">
        <f t="shared" ref="T32:T38" si="15">P32/P$15</f>
        <v>0.17495763641392642</v>
      </c>
      <c r="U32" s="53"/>
    </row>
    <row r="33" spans="1:21" x14ac:dyDescent="0.25">
      <c r="A33" s="87" t="s">
        <v>329</v>
      </c>
      <c r="B33" s="115"/>
      <c r="C33" s="115"/>
      <c r="D33" s="115"/>
      <c r="E33" s="115"/>
      <c r="F33" s="115"/>
      <c r="G33" s="115"/>
      <c r="H33" s="115"/>
      <c r="I33" s="115"/>
      <c r="J33" s="115"/>
      <c r="K33" s="115"/>
      <c r="L33" s="115"/>
      <c r="M33" s="115">
        <v>209</v>
      </c>
      <c r="N33" s="115">
        <v>912</v>
      </c>
      <c r="O33" s="115">
        <v>2322</v>
      </c>
      <c r="P33" s="115">
        <v>3283</v>
      </c>
      <c r="Q33" s="187" t="s">
        <v>155</v>
      </c>
      <c r="R33" s="187" t="s">
        <v>155</v>
      </c>
      <c r="S33" s="187">
        <f t="shared" si="14"/>
        <v>0.41386735572782085</v>
      </c>
      <c r="T33" s="187">
        <f t="shared" si="15"/>
        <v>1.0437497416854508E-2</v>
      </c>
      <c r="U33" s="53"/>
    </row>
    <row r="34" spans="1:21" x14ac:dyDescent="0.25">
      <c r="A34" s="87" t="s">
        <v>3</v>
      </c>
      <c r="B34" s="115">
        <v>68128</v>
      </c>
      <c r="C34" s="115">
        <v>68712</v>
      </c>
      <c r="D34" s="115">
        <v>81182</v>
      </c>
      <c r="E34" s="115">
        <v>95186</v>
      </c>
      <c r="F34" s="115">
        <v>105562</v>
      </c>
      <c r="G34" s="115">
        <v>111783</v>
      </c>
      <c r="H34" s="115">
        <v>126264</v>
      </c>
      <c r="I34" s="115">
        <v>128343</v>
      </c>
      <c r="J34" s="115">
        <v>124380</v>
      </c>
      <c r="K34" s="115">
        <v>123220</v>
      </c>
      <c r="L34" s="115">
        <v>119657</v>
      </c>
      <c r="M34" s="115">
        <v>121506</v>
      </c>
      <c r="N34" s="115">
        <v>121894</v>
      </c>
      <c r="O34" s="115">
        <v>109617</v>
      </c>
      <c r="P34" s="115">
        <v>121006</v>
      </c>
      <c r="Q34" s="187">
        <f t="shared" si="12"/>
        <v>8.2508073678466312E-2</v>
      </c>
      <c r="R34" s="187">
        <f t="shared" si="13"/>
        <v>1.1273891205696282E-2</v>
      </c>
      <c r="S34" s="187">
        <f t="shared" si="14"/>
        <v>0.10389811799264713</v>
      </c>
      <c r="T34" s="187">
        <f t="shared" si="15"/>
        <v>0.38470905038802822</v>
      </c>
      <c r="U34" s="53"/>
    </row>
    <row r="35" spans="1:21" x14ac:dyDescent="0.25">
      <c r="A35" s="87" t="s">
        <v>350</v>
      </c>
      <c r="B35" s="115">
        <v>37341</v>
      </c>
      <c r="C35" s="115">
        <v>36855</v>
      </c>
      <c r="D35" s="115">
        <v>37340</v>
      </c>
      <c r="E35" s="115">
        <v>37772</v>
      </c>
      <c r="F35" s="115">
        <v>37415</v>
      </c>
      <c r="G35" s="115">
        <v>36406</v>
      </c>
      <c r="H35" s="115">
        <v>38904</v>
      </c>
      <c r="I35" s="115">
        <v>39600</v>
      </c>
      <c r="J35" s="115">
        <v>41539</v>
      </c>
      <c r="K35" s="115">
        <v>42194</v>
      </c>
      <c r="L35" s="115">
        <v>42337</v>
      </c>
      <c r="M35" s="115">
        <v>43131</v>
      </c>
      <c r="N35" s="115">
        <v>42533</v>
      </c>
      <c r="O35" s="115">
        <v>39795</v>
      </c>
      <c r="P35" s="115">
        <v>37438</v>
      </c>
      <c r="Q35" s="187">
        <f t="shared" si="12"/>
        <v>2.8346975773224193E-2</v>
      </c>
      <c r="R35" s="187">
        <f t="shared" si="13"/>
        <v>-0.11571438694286322</v>
      </c>
      <c r="S35" s="187">
        <f t="shared" si="14"/>
        <v>-5.9228546299786404E-2</v>
      </c>
      <c r="T35" s="187">
        <f t="shared" si="15"/>
        <v>0.11902498577282944</v>
      </c>
      <c r="U35" s="53"/>
    </row>
    <row r="36" spans="1:21" x14ac:dyDescent="0.25">
      <c r="A36" s="87" t="s">
        <v>351</v>
      </c>
      <c r="B36" s="115">
        <v>23990</v>
      </c>
      <c r="C36" s="115">
        <v>24973</v>
      </c>
      <c r="D36" s="115">
        <v>26455</v>
      </c>
      <c r="E36" s="115">
        <v>27839</v>
      </c>
      <c r="F36" s="115">
        <v>27523</v>
      </c>
      <c r="G36" s="115">
        <v>28942</v>
      </c>
      <c r="H36" s="115">
        <v>29973</v>
      </c>
      <c r="I36" s="115">
        <v>29781</v>
      </c>
      <c r="J36" s="115">
        <v>30938</v>
      </c>
      <c r="K36" s="115">
        <v>32129</v>
      </c>
      <c r="L36" s="115">
        <v>31964</v>
      </c>
      <c r="M36" s="115">
        <v>33199</v>
      </c>
      <c r="N36" s="115">
        <v>38906</v>
      </c>
      <c r="O36" s="115">
        <v>40183</v>
      </c>
      <c r="P36" s="115">
        <v>37522</v>
      </c>
      <c r="Q36" s="187">
        <f t="shared" si="12"/>
        <v>0.29645497892336398</v>
      </c>
      <c r="R36" s="187">
        <f t="shared" si="13"/>
        <v>0.17388311850832186</v>
      </c>
      <c r="S36" s="187">
        <f t="shared" si="14"/>
        <v>-6.6222034193564441E-2</v>
      </c>
      <c r="T36" s="187">
        <f t="shared" si="15"/>
        <v>0.11929204327603254</v>
      </c>
      <c r="U36" s="53"/>
    </row>
    <row r="37" spans="1:21" x14ac:dyDescent="0.25">
      <c r="A37" s="87" t="s">
        <v>299</v>
      </c>
      <c r="B37" s="115">
        <v>70008</v>
      </c>
      <c r="C37" s="115">
        <v>75368</v>
      </c>
      <c r="D37" s="115">
        <v>83468</v>
      </c>
      <c r="E37" s="115">
        <v>91146</v>
      </c>
      <c r="F37" s="115">
        <v>93788</v>
      </c>
      <c r="G37" s="115">
        <v>93113</v>
      </c>
      <c r="H37" s="115">
        <v>83135</v>
      </c>
      <c r="I37" s="115">
        <v>77795</v>
      </c>
      <c r="J37" s="115">
        <v>77351</v>
      </c>
      <c r="K37" s="115">
        <v>80940</v>
      </c>
      <c r="L37" s="115">
        <v>81279</v>
      </c>
      <c r="M37" s="115">
        <v>77851</v>
      </c>
      <c r="N37" s="115">
        <v>66414</v>
      </c>
      <c r="O37" s="115">
        <v>57671</v>
      </c>
      <c r="P37" s="115">
        <v>60259</v>
      </c>
      <c r="Q37" s="187">
        <f t="shared" si="12"/>
        <v>-0.35284009751592149</v>
      </c>
      <c r="R37" s="187">
        <f t="shared" si="13"/>
        <v>-0.25861538650820015</v>
      </c>
      <c r="S37" s="187">
        <f t="shared" si="14"/>
        <v>4.4875240588857487E-2</v>
      </c>
      <c r="T37" s="187">
        <f t="shared" si="15"/>
        <v>0.19157878673232889</v>
      </c>
      <c r="U37" s="53"/>
    </row>
    <row r="38" spans="1:21" s="52" customFormat="1" x14ac:dyDescent="0.25">
      <c r="A38" s="88" t="s">
        <v>0</v>
      </c>
      <c r="B38" s="26">
        <v>243379</v>
      </c>
      <c r="C38" s="26">
        <v>252964</v>
      </c>
      <c r="D38" s="26">
        <v>281647</v>
      </c>
      <c r="E38" s="26">
        <v>315058</v>
      </c>
      <c r="F38" s="26">
        <v>328323</v>
      </c>
      <c r="G38" s="26">
        <v>332828</v>
      </c>
      <c r="H38" s="26">
        <v>343000</v>
      </c>
      <c r="I38" s="26">
        <v>341460</v>
      </c>
      <c r="J38" s="26">
        <v>337759</v>
      </c>
      <c r="K38" s="26">
        <v>337906</v>
      </c>
      <c r="L38" s="26">
        <v>335271</v>
      </c>
      <c r="M38" s="26">
        <v>334891</v>
      </c>
      <c r="N38" s="26">
        <v>330674</v>
      </c>
      <c r="O38" s="26">
        <v>303432</v>
      </c>
      <c r="P38" s="26">
        <v>314539</v>
      </c>
      <c r="Q38" s="33">
        <f t="shared" si="12"/>
        <v>-5.4950304661867393E-2</v>
      </c>
      <c r="R38" s="33">
        <f t="shared" si="13"/>
        <v>-6.1836544168747072E-2</v>
      </c>
      <c r="S38" s="33">
        <f t="shared" si="14"/>
        <v>3.6604576972764903E-2</v>
      </c>
      <c r="T38" s="33">
        <f t="shared" si="15"/>
        <v>1</v>
      </c>
      <c r="U38" s="54"/>
    </row>
    <row r="39" spans="1:21" x14ac:dyDescent="0.25">
      <c r="A39" s="139" t="s">
        <v>388</v>
      </c>
      <c r="Q39" s="39"/>
      <c r="R39" s="39"/>
      <c r="S39" s="39"/>
      <c r="T39" s="39"/>
    </row>
    <row r="40" spans="1:21" x14ac:dyDescent="0.25">
      <c r="A40" s="139"/>
      <c r="Q40" s="39"/>
      <c r="R40" s="39"/>
      <c r="S40" s="39"/>
      <c r="T40" s="39"/>
    </row>
    <row r="41" spans="1:21" ht="15.75" x14ac:dyDescent="0.25">
      <c r="A41" s="27" t="s">
        <v>81</v>
      </c>
      <c r="B41" s="27"/>
      <c r="C41" s="27"/>
      <c r="D41" s="27"/>
      <c r="E41" s="27"/>
      <c r="F41" s="27"/>
      <c r="G41" s="27"/>
      <c r="H41" s="27"/>
      <c r="I41" s="110"/>
      <c r="J41" s="110"/>
      <c r="K41" s="110"/>
      <c r="L41" s="110"/>
      <c r="M41" s="110"/>
      <c r="N41" s="110"/>
      <c r="O41" s="110"/>
      <c r="P41" s="110"/>
      <c r="Q41" s="39"/>
      <c r="R41" s="39"/>
      <c r="S41" s="39"/>
      <c r="T41" s="39"/>
    </row>
    <row r="42" spans="1:21" ht="30" customHeight="1" x14ac:dyDescent="0.25">
      <c r="A42" s="148" t="s">
        <v>97</v>
      </c>
      <c r="B42" s="130">
        <v>2007</v>
      </c>
      <c r="C42" s="130">
        <v>2008</v>
      </c>
      <c r="D42" s="130">
        <v>2009</v>
      </c>
      <c r="E42" s="130">
        <v>2010</v>
      </c>
      <c r="F42" s="130">
        <v>2011</v>
      </c>
      <c r="G42" s="130">
        <v>2012</v>
      </c>
      <c r="H42" s="130">
        <v>2013</v>
      </c>
      <c r="I42" s="130">
        <v>2014</v>
      </c>
      <c r="J42" s="130">
        <v>2015</v>
      </c>
      <c r="K42" s="130">
        <v>2016</v>
      </c>
      <c r="L42" s="130">
        <v>2017</v>
      </c>
      <c r="M42" s="130">
        <v>2018</v>
      </c>
      <c r="N42" s="130">
        <v>2019</v>
      </c>
      <c r="O42" s="130">
        <v>2020</v>
      </c>
      <c r="P42" s="130">
        <v>2021</v>
      </c>
      <c r="Q42" s="131" t="s">
        <v>424</v>
      </c>
      <c r="R42" s="131" t="s">
        <v>425</v>
      </c>
      <c r="S42" s="131" t="s">
        <v>426</v>
      </c>
      <c r="T42" s="131" t="s">
        <v>427</v>
      </c>
      <c r="U42" s="53"/>
    </row>
    <row r="43" spans="1:21" x14ac:dyDescent="0.25">
      <c r="A43" s="107" t="s">
        <v>93</v>
      </c>
      <c r="B43" s="115">
        <v>165808</v>
      </c>
      <c r="C43" s="115">
        <v>175916</v>
      </c>
      <c r="D43" s="115">
        <v>206219</v>
      </c>
      <c r="E43" s="115">
        <v>245096</v>
      </c>
      <c r="F43" s="115">
        <v>279331</v>
      </c>
      <c r="G43" s="115">
        <v>304419</v>
      </c>
      <c r="H43" s="115">
        <v>327473</v>
      </c>
      <c r="I43" s="115">
        <v>348865</v>
      </c>
      <c r="J43" s="149">
        <v>361876</v>
      </c>
      <c r="K43" s="149">
        <v>361714</v>
      </c>
      <c r="L43" s="149">
        <v>353269</v>
      </c>
      <c r="M43" s="149">
        <v>349297</v>
      </c>
      <c r="N43" s="149">
        <v>344231</v>
      </c>
      <c r="O43" s="149">
        <v>315748</v>
      </c>
      <c r="P43" s="149">
        <v>317719</v>
      </c>
      <c r="Q43" s="187">
        <f t="shared" ref="Q43:Q48" si="16">(P43-G43)/G43</f>
        <v>4.3689782832214807E-2</v>
      </c>
      <c r="R43" s="187">
        <f t="shared" ref="R43:R48" si="17">(P43-L43)/L43</f>
        <v>-0.10063153008047691</v>
      </c>
      <c r="S43" s="187">
        <f t="shared" ref="S43:S48" si="18">(P43-O43)/O43</f>
        <v>6.2423198246703065E-3</v>
      </c>
      <c r="T43" s="187">
        <f t="shared" ref="T43:T48" si="19">P43/P$8</f>
        <v>0.26379550553215092</v>
      </c>
      <c r="U43" s="53"/>
    </row>
    <row r="44" spans="1:21" x14ac:dyDescent="0.25">
      <c r="A44" s="107" t="s">
        <v>432</v>
      </c>
      <c r="B44" s="115">
        <v>127121</v>
      </c>
      <c r="C44" s="115">
        <v>136095</v>
      </c>
      <c r="D44" s="115">
        <v>150579</v>
      </c>
      <c r="E44" s="115">
        <v>170940</v>
      </c>
      <c r="F44" s="115">
        <v>188452</v>
      </c>
      <c r="G44" s="115">
        <v>198379</v>
      </c>
      <c r="H44" s="115">
        <v>216088</v>
      </c>
      <c r="I44" s="115">
        <v>223448</v>
      </c>
      <c r="J44" s="149">
        <v>228257</v>
      </c>
      <c r="K44" s="149">
        <v>223253</v>
      </c>
      <c r="L44" s="149">
        <v>219218</v>
      </c>
      <c r="M44" s="149">
        <v>219513</v>
      </c>
      <c r="N44" s="149">
        <v>225948</v>
      </c>
      <c r="O44" s="149">
        <v>220955</v>
      </c>
      <c r="P44" s="149">
        <v>236940</v>
      </c>
      <c r="Q44" s="187">
        <f t="shared" si="16"/>
        <v>0.1943804535762354</v>
      </c>
      <c r="R44" s="187">
        <f t="shared" si="17"/>
        <v>8.0841901668658595E-2</v>
      </c>
      <c r="S44" s="187">
        <f t="shared" si="18"/>
        <v>7.2345047634133644E-2</v>
      </c>
      <c r="T44" s="187">
        <f t="shared" si="19"/>
        <v>0.19672637481796126</v>
      </c>
      <c r="U44" s="53"/>
    </row>
    <row r="45" spans="1:21" x14ac:dyDescent="0.25">
      <c r="A45" s="107" t="s">
        <v>433</v>
      </c>
      <c r="B45" s="115">
        <v>8330</v>
      </c>
      <c r="C45" s="115">
        <v>9437</v>
      </c>
      <c r="D45" s="115">
        <v>7079</v>
      </c>
      <c r="E45" s="115">
        <v>7659</v>
      </c>
      <c r="F45" s="115">
        <v>7407</v>
      </c>
      <c r="G45" s="115">
        <v>6870</v>
      </c>
      <c r="H45" s="115">
        <v>8834</v>
      </c>
      <c r="I45" s="115">
        <v>8741</v>
      </c>
      <c r="J45" s="149">
        <v>8322</v>
      </c>
      <c r="K45" s="149">
        <v>8907</v>
      </c>
      <c r="L45" s="149">
        <v>11687</v>
      </c>
      <c r="M45" s="149">
        <v>13440</v>
      </c>
      <c r="N45" s="149">
        <v>15161</v>
      </c>
      <c r="O45" s="149">
        <v>15175</v>
      </c>
      <c r="P45" s="149">
        <v>14441</v>
      </c>
      <c r="Q45" s="187">
        <f t="shared" si="16"/>
        <v>1.1020378457059681</v>
      </c>
      <c r="R45" s="187">
        <f t="shared" si="17"/>
        <v>0.23564644476769059</v>
      </c>
      <c r="S45" s="187">
        <f t="shared" si="18"/>
        <v>-4.8369028006589786E-2</v>
      </c>
      <c r="T45" s="187">
        <f t="shared" si="19"/>
        <v>1.1990063217465092E-2</v>
      </c>
      <c r="U45" s="53"/>
    </row>
    <row r="46" spans="1:21" x14ac:dyDescent="0.25">
      <c r="A46" s="107" t="s">
        <v>434</v>
      </c>
      <c r="B46" s="115">
        <v>9421</v>
      </c>
      <c r="C46" s="115">
        <v>9849</v>
      </c>
      <c r="D46" s="115">
        <v>8126</v>
      </c>
      <c r="E46" s="115">
        <v>8849</v>
      </c>
      <c r="F46" s="115">
        <v>8826</v>
      </c>
      <c r="G46" s="115">
        <v>8681</v>
      </c>
      <c r="H46" s="115">
        <v>8765</v>
      </c>
      <c r="I46" s="115">
        <v>8437</v>
      </c>
      <c r="J46" s="149">
        <v>9291</v>
      </c>
      <c r="K46" s="149">
        <v>9780</v>
      </c>
      <c r="L46" s="149">
        <v>11755</v>
      </c>
      <c r="M46" s="149">
        <v>10145</v>
      </c>
      <c r="N46" s="149">
        <v>10449</v>
      </c>
      <c r="O46" s="149">
        <v>10305</v>
      </c>
      <c r="P46" s="149">
        <v>12290</v>
      </c>
      <c r="Q46" s="187">
        <f t="shared" si="16"/>
        <v>0.41573551434166572</v>
      </c>
      <c r="R46" s="187">
        <f t="shared" si="17"/>
        <v>4.5512547851977884E-2</v>
      </c>
      <c r="S46" s="187">
        <f t="shared" si="18"/>
        <v>0.19262493934983019</v>
      </c>
      <c r="T46" s="187">
        <f t="shared" si="19"/>
        <v>1.0204132466078939E-2</v>
      </c>
      <c r="U46" s="53"/>
    </row>
    <row r="47" spans="1:21" x14ac:dyDescent="0.25">
      <c r="A47" s="107" t="s">
        <v>435</v>
      </c>
      <c r="B47" s="115">
        <v>437664</v>
      </c>
      <c r="C47" s="115">
        <v>452052</v>
      </c>
      <c r="D47" s="115">
        <v>477337</v>
      </c>
      <c r="E47" s="115">
        <v>505714</v>
      </c>
      <c r="F47" s="115">
        <v>531061</v>
      </c>
      <c r="G47" s="115">
        <v>546467</v>
      </c>
      <c r="H47" s="115">
        <v>553117</v>
      </c>
      <c r="I47" s="115">
        <v>554890</v>
      </c>
      <c r="J47" s="149">
        <v>558160</v>
      </c>
      <c r="K47" s="149">
        <v>574826</v>
      </c>
      <c r="L47" s="149">
        <v>581363</v>
      </c>
      <c r="M47" s="149">
        <v>595652</v>
      </c>
      <c r="N47" s="149">
        <v>598691</v>
      </c>
      <c r="O47" s="149">
        <v>589739</v>
      </c>
      <c r="P47" s="149">
        <v>623024</v>
      </c>
      <c r="Q47" s="187">
        <f t="shared" si="16"/>
        <v>0.14009446133069334</v>
      </c>
      <c r="R47" s="187">
        <f t="shared" si="17"/>
        <v>7.1660907212877323E-2</v>
      </c>
      <c r="S47" s="187">
        <f t="shared" si="18"/>
        <v>5.6440221860857093E-2</v>
      </c>
      <c r="T47" s="187">
        <f t="shared" si="19"/>
        <v>0.51728392396634382</v>
      </c>
      <c r="U47" s="53"/>
    </row>
    <row r="48" spans="1:21" s="52" customFormat="1" x14ac:dyDescent="0.25">
      <c r="A48" s="112" t="s">
        <v>0</v>
      </c>
      <c r="B48" s="26">
        <v>748344</v>
      </c>
      <c r="C48" s="26">
        <v>783349</v>
      </c>
      <c r="D48" s="26">
        <v>849340</v>
      </c>
      <c r="E48" s="26">
        <v>938258</v>
      </c>
      <c r="F48" s="26">
        <v>1015077</v>
      </c>
      <c r="G48" s="26">
        <v>1064816</v>
      </c>
      <c r="H48" s="26">
        <v>1114277</v>
      </c>
      <c r="I48" s="26">
        <v>1144381</v>
      </c>
      <c r="J48" s="26">
        <v>1165906</v>
      </c>
      <c r="K48" s="26">
        <v>1178480</v>
      </c>
      <c r="L48" s="26">
        <v>1177292</v>
      </c>
      <c r="M48" s="26">
        <v>1188047</v>
      </c>
      <c r="N48" s="26">
        <v>1194480</v>
      </c>
      <c r="O48" s="26">
        <v>1151922</v>
      </c>
      <c r="P48" s="26">
        <v>1204414</v>
      </c>
      <c r="Q48" s="33">
        <f t="shared" si="16"/>
        <v>0.13110058451413201</v>
      </c>
      <c r="R48" s="33">
        <f t="shared" si="17"/>
        <v>2.3037615137111268E-2</v>
      </c>
      <c r="S48" s="33">
        <f t="shared" si="18"/>
        <v>4.5569057627165725E-2</v>
      </c>
      <c r="T48" s="33">
        <f t="shared" si="19"/>
        <v>1</v>
      </c>
      <c r="U48" s="54"/>
    </row>
    <row r="49" spans="1:21" x14ac:dyDescent="0.25">
      <c r="A49" s="110"/>
      <c r="B49" s="110"/>
      <c r="C49" s="110"/>
      <c r="D49" s="110"/>
      <c r="E49" s="110"/>
      <c r="F49" s="110"/>
      <c r="G49" s="110"/>
      <c r="H49" s="110"/>
      <c r="I49" s="110"/>
      <c r="J49" s="110"/>
      <c r="K49" s="110"/>
      <c r="L49" s="110"/>
      <c r="M49" s="110"/>
      <c r="N49" s="110"/>
      <c r="O49" s="110"/>
      <c r="P49" s="110"/>
      <c r="Q49" s="39"/>
      <c r="R49" s="39"/>
      <c r="S49" s="39"/>
      <c r="T49" s="39"/>
      <c r="U49" s="53"/>
    </row>
    <row r="50" spans="1:21" ht="18" x14ac:dyDescent="0.25">
      <c r="A50" s="27" t="s">
        <v>133</v>
      </c>
      <c r="B50" s="27"/>
      <c r="C50" s="27"/>
      <c r="D50" s="27"/>
      <c r="E50" s="27"/>
      <c r="F50" s="27"/>
      <c r="G50" s="27"/>
      <c r="H50" s="27"/>
      <c r="I50" s="110"/>
      <c r="J50" s="110"/>
      <c r="K50" s="110"/>
      <c r="L50" s="110"/>
      <c r="M50" s="110"/>
      <c r="N50" s="110"/>
      <c r="O50" s="110"/>
      <c r="P50" s="110"/>
      <c r="Q50" s="39"/>
      <c r="R50" s="39"/>
      <c r="S50" s="39"/>
      <c r="T50" s="39"/>
      <c r="U50" s="53"/>
    </row>
    <row r="51" spans="1:21" ht="30" customHeight="1" x14ac:dyDescent="0.25">
      <c r="A51" s="148" t="s">
        <v>97</v>
      </c>
      <c r="B51" s="130">
        <v>2007</v>
      </c>
      <c r="C51" s="130">
        <v>2008</v>
      </c>
      <c r="D51" s="130">
        <v>2009</v>
      </c>
      <c r="E51" s="130">
        <v>2010</v>
      </c>
      <c r="F51" s="130">
        <v>2011</v>
      </c>
      <c r="G51" s="130">
        <v>2012</v>
      </c>
      <c r="H51" s="130">
        <v>2013</v>
      </c>
      <c r="I51" s="130">
        <v>2014</v>
      </c>
      <c r="J51" s="130">
        <v>2015</v>
      </c>
      <c r="K51" s="130">
        <v>2016</v>
      </c>
      <c r="L51" s="130">
        <v>2017</v>
      </c>
      <c r="M51" s="130">
        <v>2018</v>
      </c>
      <c r="N51" s="130">
        <v>2019</v>
      </c>
      <c r="O51" s="130">
        <v>2020</v>
      </c>
      <c r="P51" s="130">
        <v>2021</v>
      </c>
      <c r="Q51" s="131" t="s">
        <v>424</v>
      </c>
      <c r="R51" s="131" t="s">
        <v>425</v>
      </c>
      <c r="S51" s="131" t="s">
        <v>426</v>
      </c>
      <c r="T51" s="131" t="s">
        <v>427</v>
      </c>
      <c r="U51" s="53"/>
    </row>
    <row r="52" spans="1:21" x14ac:dyDescent="0.25">
      <c r="A52" s="107" t="s">
        <v>93</v>
      </c>
      <c r="B52" s="113">
        <v>80591</v>
      </c>
      <c r="C52" s="113">
        <v>85360</v>
      </c>
      <c r="D52" s="113">
        <v>101018</v>
      </c>
      <c r="E52" s="113">
        <v>122122</v>
      </c>
      <c r="F52" s="113">
        <v>133577</v>
      </c>
      <c r="G52" s="113">
        <v>142297</v>
      </c>
      <c r="H52" s="113">
        <v>153165</v>
      </c>
      <c r="I52" s="150">
        <v>157762</v>
      </c>
      <c r="J52" s="150">
        <v>158026</v>
      </c>
      <c r="K52" s="150">
        <v>152333</v>
      </c>
      <c r="L52" s="150">
        <v>148316</v>
      </c>
      <c r="M52" s="150">
        <v>146392</v>
      </c>
      <c r="N52" s="150">
        <v>143246</v>
      </c>
      <c r="O52" s="150">
        <v>126829</v>
      </c>
      <c r="P52" s="150">
        <v>131809</v>
      </c>
      <c r="Q52" s="187">
        <f>(P52-G52)/G52</f>
        <v>-7.3704997294391311E-2</v>
      </c>
      <c r="R52" s="187">
        <f>(P52-L52)/L52</f>
        <v>-0.11129615146039537</v>
      </c>
      <c r="S52" s="187">
        <f>(P52-O52)/O52</f>
        <v>3.9265467676950855E-2</v>
      </c>
      <c r="T52" s="187">
        <f t="shared" ref="T52:T57" si="20">P52/P$15</f>
        <v>0.41905455285354121</v>
      </c>
      <c r="U52" s="53"/>
    </row>
    <row r="53" spans="1:21" x14ac:dyDescent="0.25">
      <c r="A53" s="107" t="s">
        <v>432</v>
      </c>
      <c r="B53" s="113">
        <v>49359</v>
      </c>
      <c r="C53" s="113">
        <v>48940</v>
      </c>
      <c r="D53" s="113">
        <v>53877</v>
      </c>
      <c r="E53" s="113">
        <v>59776</v>
      </c>
      <c r="F53" s="113">
        <v>58805</v>
      </c>
      <c r="G53" s="113">
        <v>53623</v>
      </c>
      <c r="H53" s="113">
        <v>61348</v>
      </c>
      <c r="I53" s="150">
        <v>57457</v>
      </c>
      <c r="J53" s="150">
        <v>49401</v>
      </c>
      <c r="K53" s="150">
        <v>48285</v>
      </c>
      <c r="L53" s="150">
        <v>48965</v>
      </c>
      <c r="M53" s="150">
        <v>50985</v>
      </c>
      <c r="N53" s="150">
        <v>53801</v>
      </c>
      <c r="O53" s="150">
        <v>50670</v>
      </c>
      <c r="P53" s="150">
        <v>58266</v>
      </c>
      <c r="Q53" s="187">
        <f>(P53-G53)/G53</f>
        <v>8.6585979896686122E-2</v>
      </c>
      <c r="R53" s="187">
        <f>(P53-L53)/L53</f>
        <v>0.1899520065352803</v>
      </c>
      <c r="S53" s="187">
        <f>(P53-O53)/O53</f>
        <v>0.14991119005328596</v>
      </c>
      <c r="T53" s="187">
        <f>P53/P$15</f>
        <v>0.18524252954323628</v>
      </c>
      <c r="U53" s="53"/>
    </row>
    <row r="54" spans="1:21" x14ac:dyDescent="0.25">
      <c r="A54" s="107" t="s">
        <v>433</v>
      </c>
      <c r="B54" s="113">
        <v>4164</v>
      </c>
      <c r="C54" s="113">
        <v>4619</v>
      </c>
      <c r="D54" s="113">
        <v>3985</v>
      </c>
      <c r="E54" s="113">
        <v>4806</v>
      </c>
      <c r="F54" s="113">
        <v>4369</v>
      </c>
      <c r="G54" s="113">
        <v>4188</v>
      </c>
      <c r="H54" s="113">
        <v>5086</v>
      </c>
      <c r="I54" s="150">
        <v>5307</v>
      </c>
      <c r="J54" s="150">
        <v>5264</v>
      </c>
      <c r="K54" s="150">
        <v>5422</v>
      </c>
      <c r="L54" s="150">
        <v>6152</v>
      </c>
      <c r="M54" s="150">
        <v>7320</v>
      </c>
      <c r="N54" s="150">
        <v>7943</v>
      </c>
      <c r="O54" s="150">
        <v>7861</v>
      </c>
      <c r="P54" s="150">
        <v>7326</v>
      </c>
      <c r="Q54" s="187">
        <f t="shared" ref="Q54:Q57" si="21">(P54-G54)/G54</f>
        <v>0.74928366762177645</v>
      </c>
      <c r="R54" s="187">
        <f t="shared" ref="R54:R57" si="22">(P54-L54)/L54</f>
        <v>0.19083224967490248</v>
      </c>
      <c r="S54" s="187">
        <f t="shared" ref="S54:S57" si="23">(P54-O54)/O54</f>
        <v>-6.8057499045922912E-2</v>
      </c>
      <c r="T54" s="187">
        <f t="shared" si="20"/>
        <v>2.3291229386498972E-2</v>
      </c>
      <c r="U54" s="53"/>
    </row>
    <row r="55" spans="1:21" x14ac:dyDescent="0.25">
      <c r="A55" s="107" t="s">
        <v>434</v>
      </c>
      <c r="B55" s="113">
        <v>2851</v>
      </c>
      <c r="C55" s="113">
        <v>2739</v>
      </c>
      <c r="D55" s="113">
        <v>2739</v>
      </c>
      <c r="E55" s="113">
        <v>2825</v>
      </c>
      <c r="F55" s="113">
        <v>2530</v>
      </c>
      <c r="G55" s="113">
        <v>2690</v>
      </c>
      <c r="H55" s="113">
        <v>2844</v>
      </c>
      <c r="I55" s="150">
        <v>2727</v>
      </c>
      <c r="J55" s="150">
        <v>3360</v>
      </c>
      <c r="K55" s="150">
        <v>3375</v>
      </c>
      <c r="L55" s="150">
        <v>4519</v>
      </c>
      <c r="M55" s="150">
        <v>3994</v>
      </c>
      <c r="N55" s="150">
        <v>3468</v>
      </c>
      <c r="O55" s="150">
        <v>3009</v>
      </c>
      <c r="P55" s="150">
        <v>3383</v>
      </c>
      <c r="Q55" s="187">
        <f t="shared" si="21"/>
        <v>0.25762081784386615</v>
      </c>
      <c r="R55" s="187">
        <f t="shared" si="22"/>
        <v>-0.25138304934720068</v>
      </c>
      <c r="S55" s="187">
        <f t="shared" si="23"/>
        <v>0.12429378531073447</v>
      </c>
      <c r="T55" s="187">
        <f t="shared" si="20"/>
        <v>1.0755423015905818E-2</v>
      </c>
      <c r="U55" s="53"/>
    </row>
    <row r="56" spans="1:21" x14ac:dyDescent="0.25">
      <c r="A56" s="107" t="s">
        <v>435</v>
      </c>
      <c r="B56" s="113">
        <v>106414</v>
      </c>
      <c r="C56" s="113">
        <v>111306</v>
      </c>
      <c r="D56" s="113">
        <v>120028</v>
      </c>
      <c r="E56" s="113">
        <v>125529</v>
      </c>
      <c r="F56" s="113">
        <v>129042</v>
      </c>
      <c r="G56" s="113">
        <v>130030</v>
      </c>
      <c r="H56" s="113">
        <v>120557</v>
      </c>
      <c r="I56" s="150">
        <v>118207</v>
      </c>
      <c r="J56" s="150">
        <v>121708</v>
      </c>
      <c r="K56" s="150">
        <v>128491</v>
      </c>
      <c r="L56" s="150">
        <v>127319</v>
      </c>
      <c r="M56" s="150">
        <v>126200</v>
      </c>
      <c r="N56" s="150">
        <v>122216</v>
      </c>
      <c r="O56" s="150">
        <v>115063</v>
      </c>
      <c r="P56" s="150">
        <v>113755</v>
      </c>
      <c r="Q56" s="187">
        <f t="shared" si="21"/>
        <v>-0.1251634238252711</v>
      </c>
      <c r="R56" s="187">
        <f t="shared" si="22"/>
        <v>-0.10653555243129462</v>
      </c>
      <c r="S56" s="187">
        <f t="shared" si="23"/>
        <v>-1.1367685528797267E-2</v>
      </c>
      <c r="T56" s="187">
        <f t="shared" si="20"/>
        <v>0.36165626520081773</v>
      </c>
      <c r="U56" s="53"/>
    </row>
    <row r="57" spans="1:21" s="52" customFormat="1" x14ac:dyDescent="0.25">
      <c r="A57" s="112" t="s">
        <v>0</v>
      </c>
      <c r="B57" s="2">
        <v>243379</v>
      </c>
      <c r="C57" s="2">
        <v>252964</v>
      </c>
      <c r="D57" s="2">
        <v>281647</v>
      </c>
      <c r="E57" s="2">
        <v>315058</v>
      </c>
      <c r="F57" s="2">
        <v>328323</v>
      </c>
      <c r="G57" s="2">
        <v>332828</v>
      </c>
      <c r="H57" s="2">
        <v>343000</v>
      </c>
      <c r="I57" s="2">
        <v>341460</v>
      </c>
      <c r="J57" s="2">
        <v>337759</v>
      </c>
      <c r="K57" s="2">
        <v>337906</v>
      </c>
      <c r="L57" s="2">
        <v>335271</v>
      </c>
      <c r="M57" s="2">
        <v>334891</v>
      </c>
      <c r="N57" s="2">
        <v>330674</v>
      </c>
      <c r="O57" s="2">
        <v>303432</v>
      </c>
      <c r="P57" s="2">
        <v>314539</v>
      </c>
      <c r="Q57" s="33">
        <f t="shared" si="21"/>
        <v>-5.4950304661867393E-2</v>
      </c>
      <c r="R57" s="33">
        <f t="shared" si="22"/>
        <v>-6.1836544168747072E-2</v>
      </c>
      <c r="S57" s="33">
        <f t="shared" si="23"/>
        <v>3.6604576972764903E-2</v>
      </c>
      <c r="T57" s="33">
        <f t="shared" si="20"/>
        <v>1</v>
      </c>
      <c r="U57" s="54"/>
    </row>
    <row r="58" spans="1:21" x14ac:dyDescent="0.25">
      <c r="A58" s="110"/>
      <c r="Q58" s="39"/>
      <c r="R58" s="39"/>
      <c r="S58" s="39"/>
      <c r="T58" s="39"/>
      <c r="U58" s="53"/>
    </row>
    <row r="59" spans="1:21" ht="15.75" x14ac:dyDescent="0.25">
      <c r="A59" s="27" t="s">
        <v>271</v>
      </c>
      <c r="B59" s="27"/>
      <c r="C59" s="27"/>
      <c r="D59" s="27"/>
      <c r="E59" s="27"/>
      <c r="F59" s="27"/>
      <c r="G59" s="27"/>
      <c r="H59" s="27"/>
      <c r="I59" s="110"/>
      <c r="J59" s="110"/>
      <c r="K59" s="110"/>
      <c r="L59" s="110"/>
      <c r="M59" s="110"/>
      <c r="N59" s="110"/>
      <c r="O59" s="110"/>
      <c r="P59" s="110"/>
      <c r="Q59" s="39"/>
      <c r="R59" s="39"/>
      <c r="S59" s="39"/>
      <c r="T59" s="39"/>
      <c r="U59" s="53"/>
    </row>
    <row r="60" spans="1:21" ht="30" customHeight="1" x14ac:dyDescent="0.25">
      <c r="A60" s="148" t="s">
        <v>97</v>
      </c>
      <c r="B60" s="130">
        <v>2007</v>
      </c>
      <c r="C60" s="130">
        <v>2008</v>
      </c>
      <c r="D60" s="130">
        <v>2009</v>
      </c>
      <c r="E60" s="130">
        <v>2010</v>
      </c>
      <c r="F60" s="130">
        <v>2011</v>
      </c>
      <c r="G60" s="130">
        <v>2012</v>
      </c>
      <c r="H60" s="130">
        <v>2013</v>
      </c>
      <c r="I60" s="130">
        <v>2014</v>
      </c>
      <c r="J60" s="130">
        <v>2015</v>
      </c>
      <c r="K60" s="130">
        <v>2016</v>
      </c>
      <c r="L60" s="130">
        <v>2017</v>
      </c>
      <c r="M60" s="130">
        <v>2018</v>
      </c>
      <c r="N60" s="130">
        <v>2019</v>
      </c>
      <c r="O60" s="130">
        <v>2020</v>
      </c>
      <c r="P60" s="130">
        <v>2021</v>
      </c>
      <c r="Q60" s="131" t="s">
        <v>424</v>
      </c>
      <c r="R60" s="131" t="s">
        <v>425</v>
      </c>
      <c r="S60" s="131" t="s">
        <v>426</v>
      </c>
      <c r="T60" s="131" t="s">
        <v>427</v>
      </c>
      <c r="U60" s="53"/>
    </row>
    <row r="61" spans="1:21" x14ac:dyDescent="0.25">
      <c r="A61" s="107" t="s">
        <v>298</v>
      </c>
      <c r="B61" s="113">
        <f t="shared" ref="B61:P61" si="24">B43+B44</f>
        <v>292929</v>
      </c>
      <c r="C61" s="113">
        <f t="shared" si="24"/>
        <v>312011</v>
      </c>
      <c r="D61" s="113">
        <f t="shared" si="24"/>
        <v>356798</v>
      </c>
      <c r="E61" s="113">
        <f t="shared" si="24"/>
        <v>416036</v>
      </c>
      <c r="F61" s="113">
        <f t="shared" si="24"/>
        <v>467783</v>
      </c>
      <c r="G61" s="113">
        <f t="shared" si="24"/>
        <v>502798</v>
      </c>
      <c r="H61" s="113">
        <f t="shared" si="24"/>
        <v>543561</v>
      </c>
      <c r="I61" s="113">
        <f t="shared" si="24"/>
        <v>572313</v>
      </c>
      <c r="J61" s="113">
        <f t="shared" si="24"/>
        <v>590133</v>
      </c>
      <c r="K61" s="113">
        <f t="shared" si="24"/>
        <v>584967</v>
      </c>
      <c r="L61" s="113">
        <f t="shared" si="24"/>
        <v>572487</v>
      </c>
      <c r="M61" s="113">
        <f t="shared" si="24"/>
        <v>568810</v>
      </c>
      <c r="N61" s="113">
        <f t="shared" si="24"/>
        <v>570179</v>
      </c>
      <c r="O61" s="113">
        <f t="shared" si="24"/>
        <v>536703</v>
      </c>
      <c r="P61" s="113">
        <f t="shared" si="24"/>
        <v>554659</v>
      </c>
      <c r="Q61" s="103">
        <f t="shared" ref="Q61:Q63" si="25">(P61-G61)/G61</f>
        <v>0.10314480168974419</v>
      </c>
      <c r="R61" s="103">
        <f t="shared" ref="R61:R63" si="26">(P61-L61)/L61</f>
        <v>-3.114131849282167E-2</v>
      </c>
      <c r="S61" s="103">
        <f t="shared" ref="S61:S63" si="27">(P61-O61)/O61</f>
        <v>3.3456120051499616E-2</v>
      </c>
      <c r="T61" s="103">
        <f t="shared" ref="T61:T63" si="28">P61/P$8</f>
        <v>0.46052188035011216</v>
      </c>
      <c r="U61" s="53"/>
    </row>
    <row r="62" spans="1:21" x14ac:dyDescent="0.25">
      <c r="A62" s="107" t="s">
        <v>98</v>
      </c>
      <c r="B62" s="113">
        <f t="shared" ref="B62:P62" si="29">B45+B46+B47</f>
        <v>455415</v>
      </c>
      <c r="C62" s="113">
        <f t="shared" si="29"/>
        <v>471338</v>
      </c>
      <c r="D62" s="113">
        <f t="shared" si="29"/>
        <v>492542</v>
      </c>
      <c r="E62" s="113">
        <f t="shared" si="29"/>
        <v>522222</v>
      </c>
      <c r="F62" s="113">
        <f t="shared" si="29"/>
        <v>547294</v>
      </c>
      <c r="G62" s="113">
        <f t="shared" si="29"/>
        <v>562018</v>
      </c>
      <c r="H62" s="113">
        <f t="shared" si="29"/>
        <v>570716</v>
      </c>
      <c r="I62" s="113">
        <f t="shared" si="29"/>
        <v>572068</v>
      </c>
      <c r="J62" s="113">
        <f t="shared" si="29"/>
        <v>575773</v>
      </c>
      <c r="K62" s="113">
        <f t="shared" si="29"/>
        <v>593513</v>
      </c>
      <c r="L62" s="113">
        <f t="shared" si="29"/>
        <v>604805</v>
      </c>
      <c r="M62" s="113">
        <f t="shared" si="29"/>
        <v>619237</v>
      </c>
      <c r="N62" s="113">
        <f t="shared" si="29"/>
        <v>624301</v>
      </c>
      <c r="O62" s="113">
        <f t="shared" si="29"/>
        <v>615219</v>
      </c>
      <c r="P62" s="113">
        <f t="shared" si="29"/>
        <v>649755</v>
      </c>
      <c r="Q62" s="103">
        <f t="shared" si="25"/>
        <v>0.15611065837748969</v>
      </c>
      <c r="R62" s="103">
        <f t="shared" si="26"/>
        <v>7.4321475516902144E-2</v>
      </c>
      <c r="S62" s="189">
        <f t="shared" si="27"/>
        <v>5.6136107629965917E-2</v>
      </c>
      <c r="T62" s="103">
        <f t="shared" si="28"/>
        <v>0.53947811964988779</v>
      </c>
      <c r="U62" s="53"/>
    </row>
    <row r="63" spans="1:21" s="52" customFormat="1" x14ac:dyDescent="0.25">
      <c r="A63" s="112" t="s">
        <v>0</v>
      </c>
      <c r="B63" s="2">
        <f>SUM(B61:B62)</f>
        <v>748344</v>
      </c>
      <c r="C63" s="2">
        <f t="shared" ref="C63:P63" si="30">SUM(C61:C62)</f>
        <v>783349</v>
      </c>
      <c r="D63" s="2">
        <f t="shared" si="30"/>
        <v>849340</v>
      </c>
      <c r="E63" s="2">
        <f t="shared" si="30"/>
        <v>938258</v>
      </c>
      <c r="F63" s="2">
        <f t="shared" si="30"/>
        <v>1015077</v>
      </c>
      <c r="G63" s="2">
        <f t="shared" si="30"/>
        <v>1064816</v>
      </c>
      <c r="H63" s="2">
        <f t="shared" si="30"/>
        <v>1114277</v>
      </c>
      <c r="I63" s="2">
        <f t="shared" si="30"/>
        <v>1144381</v>
      </c>
      <c r="J63" s="2">
        <f t="shared" si="30"/>
        <v>1165906</v>
      </c>
      <c r="K63" s="2">
        <f t="shared" si="30"/>
        <v>1178480</v>
      </c>
      <c r="L63" s="2">
        <f t="shared" si="30"/>
        <v>1177292</v>
      </c>
      <c r="M63" s="2">
        <f t="shared" si="30"/>
        <v>1188047</v>
      </c>
      <c r="N63" s="2">
        <f t="shared" si="30"/>
        <v>1194480</v>
      </c>
      <c r="O63" s="2">
        <f t="shared" si="30"/>
        <v>1151922</v>
      </c>
      <c r="P63" s="2">
        <f t="shared" si="30"/>
        <v>1204414</v>
      </c>
      <c r="Q63" s="33">
        <f t="shared" si="25"/>
        <v>0.13110058451413201</v>
      </c>
      <c r="R63" s="33">
        <f t="shared" si="26"/>
        <v>2.3037615137111268E-2</v>
      </c>
      <c r="S63" s="33">
        <f t="shared" si="27"/>
        <v>4.5569057627165725E-2</v>
      </c>
      <c r="T63" s="33">
        <f t="shared" si="28"/>
        <v>1</v>
      </c>
      <c r="U63" s="54"/>
    </row>
    <row r="64" spans="1:21" x14ac:dyDescent="0.25">
      <c r="A64" s="49" t="s">
        <v>358</v>
      </c>
      <c r="B64" s="49"/>
      <c r="C64" s="49"/>
      <c r="D64" s="49"/>
      <c r="E64" s="49"/>
      <c r="F64" s="49"/>
      <c r="G64" s="49"/>
      <c r="H64" s="49"/>
      <c r="I64" s="110"/>
      <c r="J64" s="110"/>
      <c r="K64" s="110"/>
      <c r="L64" s="110"/>
      <c r="M64" s="110"/>
      <c r="N64" s="110"/>
      <c r="O64" s="110"/>
      <c r="P64" s="110"/>
      <c r="Q64" s="39"/>
      <c r="R64" s="39"/>
      <c r="S64" s="39"/>
      <c r="T64" s="39"/>
      <c r="U64" s="53"/>
    </row>
    <row r="65" spans="1:21" x14ac:dyDescent="0.25">
      <c r="A65" s="49" t="s">
        <v>359</v>
      </c>
      <c r="B65" s="49"/>
      <c r="C65" s="49"/>
      <c r="D65" s="49"/>
      <c r="E65" s="49"/>
      <c r="F65" s="49"/>
      <c r="G65" s="49"/>
      <c r="H65" s="49"/>
      <c r="I65" s="110"/>
      <c r="J65" s="110"/>
      <c r="K65" s="110"/>
      <c r="L65" s="110"/>
      <c r="M65" s="110"/>
      <c r="N65" s="110"/>
      <c r="O65" s="110"/>
      <c r="P65" s="110"/>
      <c r="Q65" s="39"/>
      <c r="R65" s="39"/>
      <c r="S65" s="39"/>
      <c r="T65" s="39"/>
      <c r="U65" s="53"/>
    </row>
    <row r="66" spans="1:21" x14ac:dyDescent="0.25">
      <c r="A66" s="110"/>
      <c r="B66" s="110"/>
      <c r="C66" s="110"/>
      <c r="D66" s="110"/>
      <c r="E66" s="110"/>
      <c r="F66" s="110"/>
      <c r="G66" s="110"/>
      <c r="H66" s="110"/>
      <c r="I66" s="110"/>
      <c r="J66" s="110"/>
      <c r="K66" s="110"/>
      <c r="L66" s="110"/>
      <c r="M66" s="110"/>
      <c r="N66" s="110"/>
      <c r="O66" s="110"/>
      <c r="P66" s="110"/>
      <c r="Q66" s="39"/>
      <c r="R66" s="39"/>
      <c r="S66" s="39"/>
      <c r="T66" s="39"/>
      <c r="U66" s="53"/>
    </row>
    <row r="67" spans="1:21" ht="18" x14ac:dyDescent="0.25">
      <c r="A67" s="27" t="s">
        <v>272</v>
      </c>
      <c r="B67" s="27"/>
      <c r="C67" s="27"/>
      <c r="D67" s="27"/>
      <c r="E67" s="27"/>
      <c r="F67" s="27"/>
      <c r="G67" s="27"/>
      <c r="H67" s="27"/>
      <c r="I67" s="110"/>
      <c r="J67" s="110"/>
      <c r="K67" s="110"/>
      <c r="L67" s="110"/>
      <c r="M67" s="110"/>
      <c r="N67" s="110"/>
      <c r="O67" s="110"/>
      <c r="P67" s="110"/>
      <c r="Q67" s="39"/>
      <c r="R67" s="39"/>
      <c r="S67" s="39"/>
      <c r="T67" s="39"/>
      <c r="U67" s="53"/>
    </row>
    <row r="68" spans="1:21" ht="30" customHeight="1" x14ac:dyDescent="0.25">
      <c r="A68" s="148" t="s">
        <v>97</v>
      </c>
      <c r="B68" s="130">
        <v>2007</v>
      </c>
      <c r="C68" s="130">
        <v>2008</v>
      </c>
      <c r="D68" s="130">
        <v>2009</v>
      </c>
      <c r="E68" s="130">
        <v>2010</v>
      </c>
      <c r="F68" s="130">
        <v>2011</v>
      </c>
      <c r="G68" s="130">
        <v>2012</v>
      </c>
      <c r="H68" s="130">
        <v>2013</v>
      </c>
      <c r="I68" s="130">
        <v>2014</v>
      </c>
      <c r="J68" s="130">
        <v>2015</v>
      </c>
      <c r="K68" s="130">
        <v>2016</v>
      </c>
      <c r="L68" s="130">
        <v>2017</v>
      </c>
      <c r="M68" s="130">
        <v>2018</v>
      </c>
      <c r="N68" s="130">
        <v>2019</v>
      </c>
      <c r="O68" s="130">
        <v>2020</v>
      </c>
      <c r="P68" s="130">
        <v>2021</v>
      </c>
      <c r="Q68" s="131" t="s">
        <v>424</v>
      </c>
      <c r="R68" s="131" t="s">
        <v>425</v>
      </c>
      <c r="S68" s="131" t="s">
        <v>426</v>
      </c>
      <c r="T68" s="131" t="s">
        <v>427</v>
      </c>
      <c r="U68" s="53"/>
    </row>
    <row r="69" spans="1:21" x14ac:dyDescent="0.25">
      <c r="A69" s="107" t="s">
        <v>298</v>
      </c>
      <c r="B69" s="113">
        <f>B52+B53</f>
        <v>129950</v>
      </c>
      <c r="C69" s="113">
        <f t="shared" ref="C69:P69" si="31">C52+C53</f>
        <v>134300</v>
      </c>
      <c r="D69" s="113">
        <f t="shared" si="31"/>
        <v>154895</v>
      </c>
      <c r="E69" s="113">
        <f t="shared" si="31"/>
        <v>181898</v>
      </c>
      <c r="F69" s="113">
        <f t="shared" si="31"/>
        <v>192382</v>
      </c>
      <c r="G69" s="113">
        <f t="shared" si="31"/>
        <v>195920</v>
      </c>
      <c r="H69" s="113">
        <f t="shared" si="31"/>
        <v>214513</v>
      </c>
      <c r="I69" s="113">
        <f t="shared" si="31"/>
        <v>215219</v>
      </c>
      <c r="J69" s="113">
        <f t="shared" si="31"/>
        <v>207427</v>
      </c>
      <c r="K69" s="113">
        <f t="shared" si="31"/>
        <v>200618</v>
      </c>
      <c r="L69" s="113">
        <f t="shared" si="31"/>
        <v>197281</v>
      </c>
      <c r="M69" s="113">
        <f t="shared" si="31"/>
        <v>197377</v>
      </c>
      <c r="N69" s="113">
        <f t="shared" si="31"/>
        <v>197047</v>
      </c>
      <c r="O69" s="113">
        <f t="shared" si="31"/>
        <v>177499</v>
      </c>
      <c r="P69" s="113">
        <f t="shared" si="31"/>
        <v>190075</v>
      </c>
      <c r="Q69" s="187">
        <f t="shared" ref="Q69:Q71" si="32">(P69-G69)/G69</f>
        <v>-2.9833605553287054E-2</v>
      </c>
      <c r="R69" s="187">
        <f t="shared" ref="R69:R71" si="33">(P69-L69)/L69</f>
        <v>-3.6526578839320561E-2</v>
      </c>
      <c r="S69" s="187">
        <f t="shared" ref="S69:S71" si="34">(P69-O69)/O69</f>
        <v>7.0851103386497957E-2</v>
      </c>
      <c r="T69" s="187">
        <f t="shared" ref="T69:T71" si="35">P69/P$15</f>
        <v>0.60429708239677749</v>
      </c>
      <c r="U69" s="53"/>
    </row>
    <row r="70" spans="1:21" x14ac:dyDescent="0.25">
      <c r="A70" s="107" t="s">
        <v>98</v>
      </c>
      <c r="B70" s="113">
        <f>B54+B55+B56</f>
        <v>113429</v>
      </c>
      <c r="C70" s="113">
        <f t="shared" ref="C70:P70" si="36">C54+C55+C56</f>
        <v>118664</v>
      </c>
      <c r="D70" s="113">
        <f t="shared" si="36"/>
        <v>126752</v>
      </c>
      <c r="E70" s="113">
        <f t="shared" si="36"/>
        <v>133160</v>
      </c>
      <c r="F70" s="113">
        <f t="shared" si="36"/>
        <v>135941</v>
      </c>
      <c r="G70" s="113">
        <f t="shared" si="36"/>
        <v>136908</v>
      </c>
      <c r="H70" s="113">
        <f t="shared" si="36"/>
        <v>128487</v>
      </c>
      <c r="I70" s="113">
        <f t="shared" si="36"/>
        <v>126241</v>
      </c>
      <c r="J70" s="113">
        <f t="shared" si="36"/>
        <v>130332</v>
      </c>
      <c r="K70" s="113">
        <f t="shared" si="36"/>
        <v>137288</v>
      </c>
      <c r="L70" s="113">
        <f t="shared" si="36"/>
        <v>137990</v>
      </c>
      <c r="M70" s="113">
        <f t="shared" si="36"/>
        <v>137514</v>
      </c>
      <c r="N70" s="113">
        <f t="shared" si="36"/>
        <v>133627</v>
      </c>
      <c r="O70" s="113">
        <f t="shared" si="36"/>
        <v>125933</v>
      </c>
      <c r="P70" s="113">
        <f t="shared" si="36"/>
        <v>124464</v>
      </c>
      <c r="Q70" s="187">
        <f t="shared" si="32"/>
        <v>-9.0893154527127706E-2</v>
      </c>
      <c r="R70" s="187">
        <f t="shared" si="33"/>
        <v>-9.8021595767809264E-2</v>
      </c>
      <c r="S70" s="187">
        <f t="shared" si="34"/>
        <v>-1.1664932940531871E-2</v>
      </c>
      <c r="T70" s="187">
        <f t="shared" si="35"/>
        <v>0.39570291760322251</v>
      </c>
      <c r="U70" s="53"/>
    </row>
    <row r="71" spans="1:21" x14ac:dyDescent="0.25">
      <c r="A71" s="112" t="s">
        <v>0</v>
      </c>
      <c r="B71" s="2">
        <f>B69+B70</f>
        <v>243379</v>
      </c>
      <c r="C71" s="2">
        <f t="shared" ref="C71:P71" si="37">C69+C70</f>
        <v>252964</v>
      </c>
      <c r="D71" s="2">
        <f t="shared" si="37"/>
        <v>281647</v>
      </c>
      <c r="E71" s="2">
        <f t="shared" si="37"/>
        <v>315058</v>
      </c>
      <c r="F71" s="2">
        <f t="shared" si="37"/>
        <v>328323</v>
      </c>
      <c r="G71" s="2">
        <f t="shared" si="37"/>
        <v>332828</v>
      </c>
      <c r="H71" s="2">
        <f t="shared" si="37"/>
        <v>343000</v>
      </c>
      <c r="I71" s="2">
        <f t="shared" si="37"/>
        <v>341460</v>
      </c>
      <c r="J71" s="2">
        <f t="shared" si="37"/>
        <v>337759</v>
      </c>
      <c r="K71" s="2">
        <f t="shared" si="37"/>
        <v>337906</v>
      </c>
      <c r="L71" s="2">
        <f t="shared" si="37"/>
        <v>335271</v>
      </c>
      <c r="M71" s="2">
        <f t="shared" si="37"/>
        <v>334891</v>
      </c>
      <c r="N71" s="2">
        <f t="shared" si="37"/>
        <v>330674</v>
      </c>
      <c r="O71" s="2">
        <f t="shared" si="37"/>
        <v>303432</v>
      </c>
      <c r="P71" s="2">
        <f t="shared" si="37"/>
        <v>314539</v>
      </c>
      <c r="Q71" s="188">
        <f t="shared" si="32"/>
        <v>-5.4950304661867393E-2</v>
      </c>
      <c r="R71" s="188">
        <f t="shared" si="33"/>
        <v>-6.1836544168747072E-2</v>
      </c>
      <c r="S71" s="188">
        <f t="shared" si="34"/>
        <v>3.6604576972764903E-2</v>
      </c>
      <c r="T71" s="188">
        <f t="shared" si="35"/>
        <v>1</v>
      </c>
      <c r="U71" s="53"/>
    </row>
    <row r="72" spans="1:21" x14ac:dyDescent="0.25">
      <c r="A72" s="49" t="s">
        <v>358</v>
      </c>
      <c r="B72" s="39"/>
      <c r="C72" s="39"/>
      <c r="D72" s="39"/>
      <c r="E72" s="39"/>
      <c r="F72" s="39"/>
      <c r="G72" s="39"/>
      <c r="H72" s="39"/>
      <c r="I72" s="39"/>
      <c r="J72" s="39"/>
      <c r="K72" s="39"/>
      <c r="L72" s="39"/>
      <c r="M72" s="39"/>
      <c r="N72" s="39"/>
      <c r="O72" s="39"/>
      <c r="P72" s="39"/>
      <c r="Q72" s="39"/>
      <c r="R72" s="39"/>
      <c r="S72" s="39"/>
      <c r="T72" s="39"/>
      <c r="U72" s="53"/>
    </row>
    <row r="73" spans="1:21" x14ac:dyDescent="0.25">
      <c r="A73" s="49" t="s">
        <v>359</v>
      </c>
      <c r="B73" s="49"/>
      <c r="C73" s="49"/>
      <c r="D73" s="49"/>
      <c r="E73" s="49"/>
      <c r="F73" s="49"/>
      <c r="G73" s="49"/>
      <c r="H73" s="49"/>
      <c r="I73" s="110"/>
      <c r="J73" s="110"/>
      <c r="K73" s="110"/>
      <c r="L73" s="110"/>
      <c r="M73" s="110"/>
      <c r="N73" s="110"/>
      <c r="O73" s="110"/>
      <c r="P73" s="110"/>
      <c r="Q73" s="39"/>
      <c r="R73" s="39"/>
      <c r="S73" s="39"/>
      <c r="T73" s="39"/>
      <c r="U73" s="53"/>
    </row>
    <row r="74" spans="1:21" x14ac:dyDescent="0.25">
      <c r="A74" s="110"/>
      <c r="Q74" s="39"/>
      <c r="R74" s="39"/>
      <c r="S74" s="39"/>
      <c r="T74" s="39"/>
      <c r="U74" s="53"/>
    </row>
    <row r="75" spans="1:21" ht="15.75" x14ac:dyDescent="0.25">
      <c r="A75" s="27" t="s">
        <v>82</v>
      </c>
      <c r="B75" s="27"/>
      <c r="C75" s="27"/>
      <c r="D75" s="27"/>
      <c r="E75" s="27"/>
      <c r="F75" s="27"/>
      <c r="G75" s="27"/>
      <c r="H75" s="27"/>
      <c r="I75" s="110"/>
      <c r="J75" s="110"/>
      <c r="K75" s="110"/>
      <c r="L75" s="110"/>
      <c r="M75" s="110"/>
      <c r="N75" s="110"/>
      <c r="O75" s="110"/>
      <c r="P75" s="110"/>
      <c r="Q75" s="39"/>
      <c r="R75" s="39"/>
      <c r="S75" s="39"/>
      <c r="T75" s="39"/>
      <c r="U75" s="53"/>
    </row>
    <row r="76" spans="1:21" ht="30" customHeight="1" x14ac:dyDescent="0.25">
      <c r="A76" s="148" t="s">
        <v>114</v>
      </c>
      <c r="B76" s="130">
        <v>2007</v>
      </c>
      <c r="C76" s="130">
        <v>2008</v>
      </c>
      <c r="D76" s="130">
        <v>2009</v>
      </c>
      <c r="E76" s="130">
        <v>2010</v>
      </c>
      <c r="F76" s="130">
        <v>2011</v>
      </c>
      <c r="G76" s="130">
        <v>2012</v>
      </c>
      <c r="H76" s="130">
        <v>2013</v>
      </c>
      <c r="I76" s="130">
        <v>2014</v>
      </c>
      <c r="J76" s="130">
        <v>2015</v>
      </c>
      <c r="K76" s="130">
        <v>2016</v>
      </c>
      <c r="L76" s="130">
        <v>2017</v>
      </c>
      <c r="M76" s="130">
        <v>2018</v>
      </c>
      <c r="N76" s="130">
        <v>2019</v>
      </c>
      <c r="O76" s="130">
        <v>2020</v>
      </c>
      <c r="P76" s="130">
        <v>2021</v>
      </c>
      <c r="Q76" s="131" t="s">
        <v>424</v>
      </c>
      <c r="R76" s="131" t="s">
        <v>425</v>
      </c>
      <c r="S76" s="131" t="s">
        <v>426</v>
      </c>
      <c r="T76" s="131" t="s">
        <v>427</v>
      </c>
      <c r="U76" s="53"/>
    </row>
    <row r="77" spans="1:21" s="52" customFormat="1" x14ac:dyDescent="0.25">
      <c r="A77" s="112" t="s">
        <v>2</v>
      </c>
      <c r="B77" s="2">
        <v>86838</v>
      </c>
      <c r="C77" s="2">
        <v>95891</v>
      </c>
      <c r="D77" s="2">
        <v>110007</v>
      </c>
      <c r="E77" s="2">
        <v>128566</v>
      </c>
      <c r="F77" s="2">
        <v>138574</v>
      </c>
      <c r="G77" s="2">
        <v>140031</v>
      </c>
      <c r="H77" s="2">
        <v>144365</v>
      </c>
      <c r="I77" s="2">
        <v>148010</v>
      </c>
      <c r="J77" s="2">
        <v>146540</v>
      </c>
      <c r="K77" s="2">
        <v>141711</v>
      </c>
      <c r="L77" s="2">
        <v>136777</v>
      </c>
      <c r="M77" s="2">
        <v>136730</v>
      </c>
      <c r="N77" s="2">
        <v>137940</v>
      </c>
      <c r="O77" s="2">
        <v>130345</v>
      </c>
      <c r="P77" s="2">
        <v>134496</v>
      </c>
      <c r="Q77" s="188">
        <f t="shared" ref="Q77:Q88" si="38">(P77-G77)/G77</f>
        <v>-3.9526961887010735E-2</v>
      </c>
      <c r="R77" s="188">
        <f t="shared" ref="R77:R88" si="39">(P77-L77)/L77</f>
        <v>-1.6676780452853916E-2</v>
      </c>
      <c r="S77" s="188">
        <f t="shared" ref="S77:S88" si="40">(P77-O77)/O77</f>
        <v>3.1846254171621464E-2</v>
      </c>
      <c r="T77" s="188">
        <f t="shared" ref="T77:T88" si="41">P77/P$8</f>
        <v>0.11166924330006127</v>
      </c>
      <c r="U77" s="54"/>
    </row>
    <row r="78" spans="1:21" x14ac:dyDescent="0.25">
      <c r="A78" s="182" t="s">
        <v>93</v>
      </c>
      <c r="B78" s="113">
        <v>86838</v>
      </c>
      <c r="C78" s="113">
        <v>95891</v>
      </c>
      <c r="D78" s="113">
        <v>110007</v>
      </c>
      <c r="E78" s="113">
        <v>128566</v>
      </c>
      <c r="F78" s="113">
        <v>138574</v>
      </c>
      <c r="G78" s="113">
        <v>140031</v>
      </c>
      <c r="H78" s="113">
        <v>144365</v>
      </c>
      <c r="I78" s="113">
        <v>148010</v>
      </c>
      <c r="J78" s="113">
        <v>146540</v>
      </c>
      <c r="K78" s="113">
        <v>141711</v>
      </c>
      <c r="L78" s="113">
        <v>136777</v>
      </c>
      <c r="M78" s="113">
        <v>136730</v>
      </c>
      <c r="N78" s="113">
        <v>137940</v>
      </c>
      <c r="O78" s="113">
        <v>130345</v>
      </c>
      <c r="P78" s="113">
        <v>134496</v>
      </c>
      <c r="Q78" s="187">
        <f t="shared" si="38"/>
        <v>-3.9526961887010735E-2</v>
      </c>
      <c r="R78" s="187">
        <f t="shared" si="39"/>
        <v>-1.6676780452853916E-2</v>
      </c>
      <c r="S78" s="187">
        <f t="shared" si="40"/>
        <v>3.1846254171621464E-2</v>
      </c>
      <c r="T78" s="187">
        <f t="shared" si="41"/>
        <v>0.11166924330006127</v>
      </c>
      <c r="U78" s="53"/>
    </row>
    <row r="79" spans="1:21" s="52" customFormat="1" x14ac:dyDescent="0.25">
      <c r="A79" s="112" t="s">
        <v>3</v>
      </c>
      <c r="B79" s="2">
        <v>156124</v>
      </c>
      <c r="C79" s="2">
        <v>162848</v>
      </c>
      <c r="D79" s="2">
        <v>189597</v>
      </c>
      <c r="E79" s="2">
        <v>224301</v>
      </c>
      <c r="F79" s="2">
        <v>260692</v>
      </c>
      <c r="G79" s="2">
        <v>293519</v>
      </c>
      <c r="H79" s="2">
        <v>324579</v>
      </c>
      <c r="I79" s="2">
        <v>351004</v>
      </c>
      <c r="J79" s="2">
        <v>373171</v>
      </c>
      <c r="K79" s="2">
        <v>380988</v>
      </c>
      <c r="L79" s="2">
        <v>374709</v>
      </c>
      <c r="M79" s="2">
        <v>373104</v>
      </c>
      <c r="N79" s="2">
        <v>379456</v>
      </c>
      <c r="O79" s="2">
        <v>361387</v>
      </c>
      <c r="P79" s="2">
        <v>378538</v>
      </c>
      <c r="Q79" s="188">
        <f t="shared" si="38"/>
        <v>0.28965416208150069</v>
      </c>
      <c r="R79" s="188">
        <f t="shared" si="39"/>
        <v>1.0218596297393443E-2</v>
      </c>
      <c r="S79" s="188">
        <f t="shared" si="40"/>
        <v>4.7458818385830145E-2</v>
      </c>
      <c r="T79" s="188">
        <f t="shared" si="41"/>
        <v>0.31429226163096741</v>
      </c>
      <c r="U79" s="54"/>
    </row>
    <row r="80" spans="1:21" x14ac:dyDescent="0.25">
      <c r="A80" s="182" t="s">
        <v>93</v>
      </c>
      <c r="B80" s="113">
        <v>56779</v>
      </c>
      <c r="C80" s="113">
        <v>57745</v>
      </c>
      <c r="D80" s="113">
        <v>71788</v>
      </c>
      <c r="E80" s="113">
        <v>90635</v>
      </c>
      <c r="F80" s="113">
        <v>112735</v>
      </c>
      <c r="G80" s="113">
        <v>135185</v>
      </c>
      <c r="H80" s="113">
        <v>150837</v>
      </c>
      <c r="I80" s="113">
        <v>169741</v>
      </c>
      <c r="J80" s="113">
        <v>186153</v>
      </c>
      <c r="K80" s="113">
        <v>191561</v>
      </c>
      <c r="L80" s="113">
        <v>186689</v>
      </c>
      <c r="M80" s="113">
        <v>183145</v>
      </c>
      <c r="N80" s="113">
        <v>179754</v>
      </c>
      <c r="O80" s="113">
        <v>160942</v>
      </c>
      <c r="P80" s="113">
        <v>160236</v>
      </c>
      <c r="Q80" s="187">
        <f t="shared" si="38"/>
        <v>0.18530902097126162</v>
      </c>
      <c r="R80" s="187">
        <f t="shared" si="39"/>
        <v>-0.14169554713989577</v>
      </c>
      <c r="S80" s="187">
        <f t="shared" si="40"/>
        <v>-4.3866734600042255E-3</v>
      </c>
      <c r="T80" s="187">
        <f t="shared" si="41"/>
        <v>0.13304063220786208</v>
      </c>
      <c r="U80" s="53"/>
    </row>
    <row r="81" spans="1:21" x14ac:dyDescent="0.25">
      <c r="A81" s="182" t="s">
        <v>406</v>
      </c>
      <c r="B81" s="113">
        <v>99345</v>
      </c>
      <c r="C81" s="113">
        <v>105103</v>
      </c>
      <c r="D81" s="113">
        <v>117809</v>
      </c>
      <c r="E81" s="113">
        <v>133666</v>
      </c>
      <c r="F81" s="113">
        <v>147957</v>
      </c>
      <c r="G81" s="113">
        <v>158334</v>
      </c>
      <c r="H81" s="113">
        <v>173742</v>
      </c>
      <c r="I81" s="113">
        <v>181263</v>
      </c>
      <c r="J81" s="113">
        <v>187018</v>
      </c>
      <c r="K81" s="113">
        <v>189427</v>
      </c>
      <c r="L81" s="113">
        <v>188020</v>
      </c>
      <c r="M81" s="113">
        <v>189959</v>
      </c>
      <c r="N81" s="113">
        <v>199702</v>
      </c>
      <c r="O81" s="113">
        <v>200445</v>
      </c>
      <c r="P81" s="113">
        <v>218302</v>
      </c>
      <c r="Q81" s="187">
        <f t="shared" si="38"/>
        <v>0.37874366844771179</v>
      </c>
      <c r="R81" s="187">
        <f t="shared" si="39"/>
        <v>0.1610573343261355</v>
      </c>
      <c r="S81" s="187">
        <f t="shared" si="40"/>
        <v>8.9086781910249699E-2</v>
      </c>
      <c r="T81" s="187">
        <f t="shared" si="41"/>
        <v>0.18125162942310535</v>
      </c>
      <c r="U81" s="53"/>
    </row>
    <row r="82" spans="1:21" s="52" customFormat="1" x14ac:dyDescent="0.25">
      <c r="A82" s="112" t="s">
        <v>4</v>
      </c>
      <c r="B82" s="2">
        <v>505382</v>
      </c>
      <c r="C82" s="2">
        <v>524610</v>
      </c>
      <c r="D82" s="2">
        <v>549736</v>
      </c>
      <c r="E82" s="2">
        <v>585391</v>
      </c>
      <c r="F82" s="2">
        <v>615811</v>
      </c>
      <c r="G82" s="2">
        <v>631266</v>
      </c>
      <c r="H82" s="2">
        <v>645333</v>
      </c>
      <c r="I82" s="2">
        <v>645367</v>
      </c>
      <c r="J82" s="2">
        <v>646195</v>
      </c>
      <c r="K82" s="2">
        <v>655781</v>
      </c>
      <c r="L82" s="2">
        <v>665806</v>
      </c>
      <c r="M82" s="2">
        <v>678213</v>
      </c>
      <c r="N82" s="2">
        <v>677084</v>
      </c>
      <c r="O82" s="2">
        <v>660190</v>
      </c>
      <c r="P82" s="2">
        <v>691380</v>
      </c>
      <c r="Q82" s="188">
        <f t="shared" si="38"/>
        <v>9.52276853180751E-2</v>
      </c>
      <c r="R82" s="188">
        <f t="shared" si="39"/>
        <v>3.8410588069197331E-2</v>
      </c>
      <c r="S82" s="188">
        <f t="shared" si="40"/>
        <v>4.7243975219255066E-2</v>
      </c>
      <c r="T82" s="188">
        <f t="shared" si="41"/>
        <v>0.57403849506897131</v>
      </c>
      <c r="U82" s="54"/>
    </row>
    <row r="83" spans="1:21" x14ac:dyDescent="0.25">
      <c r="A83" s="182" t="s">
        <v>93</v>
      </c>
      <c r="B83" s="113">
        <v>22191</v>
      </c>
      <c r="C83" s="113">
        <v>22280</v>
      </c>
      <c r="D83" s="113">
        <v>24424</v>
      </c>
      <c r="E83" s="113">
        <v>25895</v>
      </c>
      <c r="F83" s="113">
        <v>28022</v>
      </c>
      <c r="G83" s="113">
        <v>29203</v>
      </c>
      <c r="H83" s="113">
        <v>32271</v>
      </c>
      <c r="I83" s="113">
        <v>31114</v>
      </c>
      <c r="J83" s="113">
        <v>29183</v>
      </c>
      <c r="K83" s="151">
        <v>28442</v>
      </c>
      <c r="L83" s="151">
        <v>29803</v>
      </c>
      <c r="M83" s="151">
        <v>29422</v>
      </c>
      <c r="N83" s="151">
        <v>26537</v>
      </c>
      <c r="O83" s="151">
        <v>24461</v>
      </c>
      <c r="P83" s="151">
        <v>22987</v>
      </c>
      <c r="Q83" s="187">
        <f t="shared" si="38"/>
        <v>-0.2128548436804438</v>
      </c>
      <c r="R83" s="187">
        <f t="shared" si="39"/>
        <v>-0.22870180854276415</v>
      </c>
      <c r="S83" s="187">
        <f t="shared" si="40"/>
        <v>-6.0259188095335432E-2</v>
      </c>
      <c r="T83" s="187">
        <f t="shared" si="41"/>
        <v>1.908563002422755E-2</v>
      </c>
      <c r="U83" s="53"/>
    </row>
    <row r="84" spans="1:21" x14ac:dyDescent="0.25">
      <c r="A84" s="182" t="s">
        <v>406</v>
      </c>
      <c r="B84" s="113">
        <v>27776</v>
      </c>
      <c r="C84" s="113">
        <v>30992</v>
      </c>
      <c r="D84" s="113">
        <v>32770</v>
      </c>
      <c r="E84" s="113">
        <v>37274</v>
      </c>
      <c r="F84" s="113">
        <v>40495</v>
      </c>
      <c r="G84" s="113">
        <v>40045</v>
      </c>
      <c r="H84" s="113">
        <v>42346</v>
      </c>
      <c r="I84" s="113">
        <v>42185</v>
      </c>
      <c r="J84" s="113">
        <v>41239</v>
      </c>
      <c r="K84" s="151">
        <v>33826</v>
      </c>
      <c r="L84" s="151">
        <v>31198</v>
      </c>
      <c r="M84" s="151">
        <v>29554</v>
      </c>
      <c r="N84" s="151">
        <v>26246</v>
      </c>
      <c r="O84" s="151">
        <v>20510</v>
      </c>
      <c r="P84" s="151">
        <v>18638</v>
      </c>
      <c r="Q84" s="187">
        <f t="shared" si="38"/>
        <v>-0.53457360469471848</v>
      </c>
      <c r="R84" s="187">
        <f t="shared" si="39"/>
        <v>-0.40258990960959035</v>
      </c>
      <c r="S84" s="187">
        <f t="shared" si="40"/>
        <v>-9.1272549975621647E-2</v>
      </c>
      <c r="T84" s="187">
        <f t="shared" si="41"/>
        <v>1.5474745394855922E-2</v>
      </c>
      <c r="U84" s="53"/>
    </row>
    <row r="85" spans="1:21" x14ac:dyDescent="0.25">
      <c r="A85" s="182" t="s">
        <v>354</v>
      </c>
      <c r="B85" s="113">
        <v>8330</v>
      </c>
      <c r="C85" s="113">
        <v>9437</v>
      </c>
      <c r="D85" s="113">
        <v>7079</v>
      </c>
      <c r="E85" s="113">
        <v>7659</v>
      </c>
      <c r="F85" s="113">
        <v>7407</v>
      </c>
      <c r="G85" s="113">
        <v>6870</v>
      </c>
      <c r="H85" s="113">
        <v>8834</v>
      </c>
      <c r="I85" s="113">
        <v>8741</v>
      </c>
      <c r="J85" s="113">
        <v>8322</v>
      </c>
      <c r="K85" s="151">
        <v>8907</v>
      </c>
      <c r="L85" s="151">
        <v>11687</v>
      </c>
      <c r="M85" s="151">
        <v>13440</v>
      </c>
      <c r="N85" s="151">
        <v>15161</v>
      </c>
      <c r="O85" s="151">
        <v>15175</v>
      </c>
      <c r="P85" s="151">
        <v>14441</v>
      </c>
      <c r="Q85" s="187">
        <f t="shared" si="38"/>
        <v>1.1020378457059681</v>
      </c>
      <c r="R85" s="187">
        <f t="shared" si="39"/>
        <v>0.23564644476769059</v>
      </c>
      <c r="S85" s="187">
        <f t="shared" si="40"/>
        <v>-4.8369028006589786E-2</v>
      </c>
      <c r="T85" s="187">
        <f t="shared" si="41"/>
        <v>1.1990063217465092E-2</v>
      </c>
      <c r="U85" s="53"/>
    </row>
    <row r="86" spans="1:21" x14ac:dyDescent="0.25">
      <c r="A86" s="182" t="s">
        <v>94</v>
      </c>
      <c r="B86" s="113">
        <v>9421</v>
      </c>
      <c r="C86" s="113">
        <v>9849</v>
      </c>
      <c r="D86" s="113">
        <v>8126</v>
      </c>
      <c r="E86" s="113">
        <v>8849</v>
      </c>
      <c r="F86" s="113">
        <v>8826</v>
      </c>
      <c r="G86" s="113">
        <v>8681</v>
      </c>
      <c r="H86" s="113">
        <v>8765</v>
      </c>
      <c r="I86" s="113">
        <v>8437</v>
      </c>
      <c r="J86" s="113">
        <v>9291</v>
      </c>
      <c r="K86" s="151">
        <v>9780</v>
      </c>
      <c r="L86" s="151">
        <v>11755</v>
      </c>
      <c r="M86" s="151">
        <v>10145</v>
      </c>
      <c r="N86" s="151">
        <v>10449</v>
      </c>
      <c r="O86" s="151">
        <v>10305</v>
      </c>
      <c r="P86" s="151">
        <v>12290</v>
      </c>
      <c r="Q86" s="187">
        <f t="shared" si="38"/>
        <v>0.41573551434166572</v>
      </c>
      <c r="R86" s="187">
        <f t="shared" si="39"/>
        <v>4.5512547851977884E-2</v>
      </c>
      <c r="S86" s="187">
        <f t="shared" si="40"/>
        <v>0.19262493934983019</v>
      </c>
      <c r="T86" s="187">
        <f t="shared" si="41"/>
        <v>1.0204132466078939E-2</v>
      </c>
      <c r="U86" s="53"/>
    </row>
    <row r="87" spans="1:21" x14ac:dyDescent="0.25">
      <c r="A87" s="182" t="s">
        <v>407</v>
      </c>
      <c r="B87" s="113">
        <v>437664</v>
      </c>
      <c r="C87" s="113">
        <v>452052</v>
      </c>
      <c r="D87" s="113">
        <v>477337</v>
      </c>
      <c r="E87" s="113">
        <v>505714</v>
      </c>
      <c r="F87" s="113">
        <v>531061</v>
      </c>
      <c r="G87" s="113">
        <v>546467</v>
      </c>
      <c r="H87" s="113">
        <v>553117</v>
      </c>
      <c r="I87" s="113">
        <v>554890</v>
      </c>
      <c r="J87" s="113">
        <v>558160</v>
      </c>
      <c r="K87" s="113">
        <v>574826</v>
      </c>
      <c r="L87" s="113">
        <v>581363</v>
      </c>
      <c r="M87" s="113">
        <v>595652</v>
      </c>
      <c r="N87" s="113">
        <v>598691</v>
      </c>
      <c r="O87" s="113">
        <v>589739</v>
      </c>
      <c r="P87" s="113">
        <v>623024</v>
      </c>
      <c r="Q87" s="187">
        <f t="shared" si="38"/>
        <v>0.14009446133069334</v>
      </c>
      <c r="R87" s="187">
        <f t="shared" si="39"/>
        <v>7.1660907212877323E-2</v>
      </c>
      <c r="S87" s="187">
        <f t="shared" si="40"/>
        <v>5.6440221860857093E-2</v>
      </c>
      <c r="T87" s="187">
        <f t="shared" si="41"/>
        <v>0.51728392396634382</v>
      </c>
      <c r="U87" s="53"/>
    </row>
    <row r="88" spans="1:21" s="52" customFormat="1" ht="15" customHeight="1" x14ac:dyDescent="0.25">
      <c r="A88" s="112" t="s">
        <v>0</v>
      </c>
      <c r="B88" s="2">
        <v>748344</v>
      </c>
      <c r="C88" s="2">
        <v>783349</v>
      </c>
      <c r="D88" s="2">
        <v>849340</v>
      </c>
      <c r="E88" s="2">
        <v>938258</v>
      </c>
      <c r="F88" s="2">
        <v>1015077</v>
      </c>
      <c r="G88" s="2">
        <v>1064816</v>
      </c>
      <c r="H88" s="2">
        <v>1114277</v>
      </c>
      <c r="I88" s="2">
        <v>1144381</v>
      </c>
      <c r="J88" s="2">
        <v>1165906</v>
      </c>
      <c r="K88" s="2">
        <v>1178480</v>
      </c>
      <c r="L88" s="2">
        <v>1177292</v>
      </c>
      <c r="M88" s="2">
        <v>1188047</v>
      </c>
      <c r="N88" s="2">
        <v>1194480</v>
      </c>
      <c r="O88" s="2">
        <v>1151922</v>
      </c>
      <c r="P88" s="2">
        <v>1204414</v>
      </c>
      <c r="Q88" s="188">
        <f t="shared" si="38"/>
        <v>0.13110058451413201</v>
      </c>
      <c r="R88" s="188">
        <f t="shared" si="39"/>
        <v>2.3037615137111268E-2</v>
      </c>
      <c r="S88" s="188">
        <f t="shared" si="40"/>
        <v>4.5569057627165725E-2</v>
      </c>
      <c r="T88" s="188">
        <f t="shared" si="41"/>
        <v>1</v>
      </c>
      <c r="U88" s="54"/>
    </row>
    <row r="89" spans="1:21" x14ac:dyDescent="0.25">
      <c r="A89" s="110"/>
      <c r="B89" s="110"/>
      <c r="C89" s="110"/>
      <c r="D89" s="110"/>
      <c r="E89" s="110"/>
      <c r="F89" s="110"/>
      <c r="G89" s="110"/>
      <c r="H89" s="110"/>
      <c r="I89" s="110"/>
      <c r="J89" s="110"/>
      <c r="K89" s="110"/>
      <c r="L89" s="110"/>
      <c r="M89" s="110"/>
      <c r="N89" s="110"/>
      <c r="O89" s="110"/>
      <c r="P89" s="110"/>
      <c r="Q89" s="39"/>
      <c r="R89" s="39"/>
      <c r="S89" s="39"/>
      <c r="T89" s="39"/>
      <c r="U89" s="53"/>
    </row>
    <row r="90" spans="1:21" ht="18" x14ac:dyDescent="0.25">
      <c r="A90" s="27" t="s">
        <v>134</v>
      </c>
      <c r="B90" s="27"/>
      <c r="C90" s="27"/>
      <c r="D90" s="27"/>
      <c r="E90" s="27"/>
      <c r="F90" s="27"/>
      <c r="G90" s="27"/>
      <c r="H90" s="27"/>
      <c r="I90" s="110"/>
      <c r="J90" s="110"/>
      <c r="K90" s="110"/>
      <c r="L90" s="110"/>
      <c r="M90" s="110"/>
      <c r="N90" s="110"/>
      <c r="O90" s="110"/>
      <c r="P90" s="110"/>
      <c r="Q90" s="39"/>
      <c r="R90" s="39"/>
      <c r="S90" s="39"/>
      <c r="T90" s="39"/>
      <c r="U90" s="53"/>
    </row>
    <row r="91" spans="1:21" ht="30" customHeight="1" x14ac:dyDescent="0.25">
      <c r="A91" s="148" t="s">
        <v>114</v>
      </c>
      <c r="B91" s="130">
        <v>2007</v>
      </c>
      <c r="C91" s="130">
        <v>2008</v>
      </c>
      <c r="D91" s="130">
        <v>2009</v>
      </c>
      <c r="E91" s="130">
        <v>2010</v>
      </c>
      <c r="F91" s="130">
        <v>2011</v>
      </c>
      <c r="G91" s="130">
        <v>2012</v>
      </c>
      <c r="H91" s="130">
        <v>2013</v>
      </c>
      <c r="I91" s="130">
        <v>2014</v>
      </c>
      <c r="J91" s="130">
        <v>2015</v>
      </c>
      <c r="K91" s="130">
        <v>2016</v>
      </c>
      <c r="L91" s="130">
        <v>2017</v>
      </c>
      <c r="M91" s="130">
        <v>2018</v>
      </c>
      <c r="N91" s="130">
        <v>2019</v>
      </c>
      <c r="O91" s="130">
        <v>2020</v>
      </c>
      <c r="P91" s="130">
        <v>2021</v>
      </c>
      <c r="Q91" s="131" t="s">
        <v>424</v>
      </c>
      <c r="R91" s="131" t="s">
        <v>425</v>
      </c>
      <c r="S91" s="131" t="s">
        <v>426</v>
      </c>
      <c r="T91" s="131" t="s">
        <v>427</v>
      </c>
      <c r="U91" s="53"/>
    </row>
    <row r="92" spans="1:21" s="52" customFormat="1" x14ac:dyDescent="0.25">
      <c r="A92" s="112" t="s">
        <v>2</v>
      </c>
      <c r="B92" s="2">
        <v>43912</v>
      </c>
      <c r="C92" s="2">
        <v>47056</v>
      </c>
      <c r="D92" s="2">
        <v>53202</v>
      </c>
      <c r="E92" s="2">
        <v>63115</v>
      </c>
      <c r="F92" s="2">
        <v>64035</v>
      </c>
      <c r="G92" s="2">
        <v>62584</v>
      </c>
      <c r="H92" s="2">
        <v>64724</v>
      </c>
      <c r="I92" s="2">
        <v>65941</v>
      </c>
      <c r="J92" s="2">
        <v>63551</v>
      </c>
      <c r="K92" s="2">
        <v>59423</v>
      </c>
      <c r="L92" s="2">
        <v>60034</v>
      </c>
      <c r="M92" s="2">
        <v>59204</v>
      </c>
      <c r="N92" s="2">
        <v>60927</v>
      </c>
      <c r="O92" s="2">
        <v>56166</v>
      </c>
      <c r="P92" s="2">
        <v>58314</v>
      </c>
      <c r="Q92" s="188">
        <f t="shared" ref="Q92:Q103" si="42">(P92-G92)/G92</f>
        <v>-6.822830116323661E-2</v>
      </c>
      <c r="R92" s="188">
        <f t="shared" ref="R92:R103" si="43">(P92-L92)/L92</f>
        <v>-2.8650431422194089E-2</v>
      </c>
      <c r="S92" s="188">
        <f t="shared" ref="S92:S103" si="44">(P92-O92)/O92</f>
        <v>3.8243777374212154E-2</v>
      </c>
      <c r="T92" s="188">
        <f t="shared" ref="T92:T103" si="45">P92/P$15</f>
        <v>0.18539513383078093</v>
      </c>
      <c r="U92" s="54"/>
    </row>
    <row r="93" spans="1:21" x14ac:dyDescent="0.25">
      <c r="A93" s="182" t="s">
        <v>93</v>
      </c>
      <c r="B93" s="113">
        <v>43912</v>
      </c>
      <c r="C93" s="113">
        <v>47056</v>
      </c>
      <c r="D93" s="113">
        <v>53202</v>
      </c>
      <c r="E93" s="113">
        <v>63115</v>
      </c>
      <c r="F93" s="113">
        <v>64035</v>
      </c>
      <c r="G93" s="113">
        <v>62584</v>
      </c>
      <c r="H93" s="113">
        <v>64724</v>
      </c>
      <c r="I93" s="113">
        <v>65941</v>
      </c>
      <c r="J93" s="113">
        <v>63551</v>
      </c>
      <c r="K93" s="113">
        <v>59423</v>
      </c>
      <c r="L93" s="113">
        <v>60034</v>
      </c>
      <c r="M93" s="113">
        <v>59204</v>
      </c>
      <c r="N93" s="113">
        <v>60927</v>
      </c>
      <c r="O93" s="113">
        <v>56166</v>
      </c>
      <c r="P93" s="113">
        <v>58314</v>
      </c>
      <c r="Q93" s="187">
        <f t="shared" si="42"/>
        <v>-6.822830116323661E-2</v>
      </c>
      <c r="R93" s="187">
        <f t="shared" si="43"/>
        <v>-2.8650431422194089E-2</v>
      </c>
      <c r="S93" s="187">
        <f t="shared" si="44"/>
        <v>3.8243777374212154E-2</v>
      </c>
      <c r="T93" s="187">
        <f t="shared" si="45"/>
        <v>0.18539513383078093</v>
      </c>
      <c r="U93" s="53"/>
    </row>
    <row r="94" spans="1:21" s="52" customFormat="1" x14ac:dyDescent="0.25">
      <c r="A94" s="112" t="s">
        <v>3</v>
      </c>
      <c r="B94" s="2">
        <v>68128</v>
      </c>
      <c r="C94" s="2">
        <v>68712</v>
      </c>
      <c r="D94" s="2">
        <v>81182</v>
      </c>
      <c r="E94" s="2">
        <v>95186</v>
      </c>
      <c r="F94" s="2">
        <v>105562</v>
      </c>
      <c r="G94" s="2">
        <v>111783</v>
      </c>
      <c r="H94" s="2">
        <v>126264</v>
      </c>
      <c r="I94" s="2">
        <v>128343</v>
      </c>
      <c r="J94" s="2">
        <v>124380</v>
      </c>
      <c r="K94" s="2">
        <v>123220</v>
      </c>
      <c r="L94" s="2">
        <v>119657</v>
      </c>
      <c r="M94" s="2">
        <v>121506</v>
      </c>
      <c r="N94" s="2">
        <v>121894</v>
      </c>
      <c r="O94" s="2">
        <v>109617</v>
      </c>
      <c r="P94" s="2">
        <v>121006</v>
      </c>
      <c r="Q94" s="188">
        <f t="shared" si="42"/>
        <v>8.2508073678466312E-2</v>
      </c>
      <c r="R94" s="188">
        <f t="shared" si="43"/>
        <v>1.1273891205696282E-2</v>
      </c>
      <c r="S94" s="188">
        <f t="shared" si="44"/>
        <v>0.10389811799264713</v>
      </c>
      <c r="T94" s="188">
        <f t="shared" si="45"/>
        <v>0.38470905038802822</v>
      </c>
      <c r="U94" s="54"/>
    </row>
    <row r="95" spans="1:21" x14ac:dyDescent="0.25">
      <c r="A95" s="182" t="s">
        <v>93</v>
      </c>
      <c r="B95" s="113">
        <v>28343</v>
      </c>
      <c r="C95" s="113">
        <v>29424</v>
      </c>
      <c r="D95" s="113">
        <v>37612</v>
      </c>
      <c r="E95" s="113">
        <v>46941</v>
      </c>
      <c r="F95" s="113">
        <v>57684</v>
      </c>
      <c r="G95" s="113">
        <v>67233</v>
      </c>
      <c r="H95" s="113">
        <v>73968</v>
      </c>
      <c r="I95" s="113">
        <v>79376</v>
      </c>
      <c r="J95" s="113">
        <v>83249</v>
      </c>
      <c r="K95" s="113">
        <v>81338</v>
      </c>
      <c r="L95" s="113">
        <v>76290</v>
      </c>
      <c r="M95" s="113">
        <v>75422</v>
      </c>
      <c r="N95" s="113">
        <v>71479</v>
      </c>
      <c r="O95" s="113">
        <v>60659</v>
      </c>
      <c r="P95" s="113">
        <v>64728</v>
      </c>
      <c r="Q95" s="187">
        <f t="shared" si="42"/>
        <v>-3.7258489134799878E-2</v>
      </c>
      <c r="R95" s="187">
        <f t="shared" si="43"/>
        <v>-0.15155328352339756</v>
      </c>
      <c r="S95" s="187">
        <f t="shared" si="44"/>
        <v>6.7079905702368978E-2</v>
      </c>
      <c r="T95" s="187">
        <f t="shared" si="45"/>
        <v>0.20578688175393195</v>
      </c>
      <c r="U95" s="53"/>
    </row>
    <row r="96" spans="1:21" x14ac:dyDescent="0.25">
      <c r="A96" s="182" t="s">
        <v>406</v>
      </c>
      <c r="B96" s="113">
        <v>39785</v>
      </c>
      <c r="C96" s="113">
        <v>39288</v>
      </c>
      <c r="D96" s="113">
        <v>43570</v>
      </c>
      <c r="E96" s="113">
        <v>48245</v>
      </c>
      <c r="F96" s="113">
        <v>47878</v>
      </c>
      <c r="G96" s="113">
        <v>44550</v>
      </c>
      <c r="H96" s="113">
        <v>52296</v>
      </c>
      <c r="I96" s="113">
        <v>48967</v>
      </c>
      <c r="J96" s="113">
        <v>41131</v>
      </c>
      <c r="K96" s="113">
        <v>41882</v>
      </c>
      <c r="L96" s="113">
        <v>43367</v>
      </c>
      <c r="M96" s="113">
        <v>46084</v>
      </c>
      <c r="N96" s="113">
        <v>50415</v>
      </c>
      <c r="O96" s="113">
        <v>48958</v>
      </c>
      <c r="P96" s="113">
        <v>56278</v>
      </c>
      <c r="Q96" s="187">
        <f t="shared" si="42"/>
        <v>0.26325476992143659</v>
      </c>
      <c r="R96" s="187">
        <f t="shared" si="43"/>
        <v>0.29771485230705375</v>
      </c>
      <c r="S96" s="187">
        <f t="shared" si="44"/>
        <v>0.14951591159769598</v>
      </c>
      <c r="T96" s="187">
        <f t="shared" si="45"/>
        <v>0.17892216863409624</v>
      </c>
      <c r="U96" s="53"/>
    </row>
    <row r="97" spans="1:21" s="52" customFormat="1" x14ac:dyDescent="0.25">
      <c r="A97" s="112" t="s">
        <v>4</v>
      </c>
      <c r="B97" s="2">
        <v>131339</v>
      </c>
      <c r="C97" s="2">
        <v>137196</v>
      </c>
      <c r="D97" s="2">
        <v>147263</v>
      </c>
      <c r="E97" s="2">
        <v>156757</v>
      </c>
      <c r="F97" s="2">
        <v>158726</v>
      </c>
      <c r="G97" s="2">
        <v>158461</v>
      </c>
      <c r="H97" s="2">
        <v>152012</v>
      </c>
      <c r="I97" s="2">
        <v>147176</v>
      </c>
      <c r="J97" s="2">
        <v>149828</v>
      </c>
      <c r="K97" s="2">
        <v>155263</v>
      </c>
      <c r="L97" s="2">
        <v>155580</v>
      </c>
      <c r="M97" s="2">
        <v>154181</v>
      </c>
      <c r="N97" s="2">
        <v>147853</v>
      </c>
      <c r="O97" s="2">
        <v>137649</v>
      </c>
      <c r="P97" s="2">
        <v>135219</v>
      </c>
      <c r="Q97" s="188">
        <f t="shared" si="42"/>
        <v>-0.14667331393844543</v>
      </c>
      <c r="R97" s="188">
        <f t="shared" si="43"/>
        <v>-0.13087157732356344</v>
      </c>
      <c r="S97" s="188">
        <f t="shared" si="44"/>
        <v>-1.7653597192860099E-2</v>
      </c>
      <c r="T97" s="188">
        <f t="shared" si="45"/>
        <v>0.4298958157811909</v>
      </c>
      <c r="U97" s="54"/>
    </row>
    <row r="98" spans="1:21" x14ac:dyDescent="0.25">
      <c r="A98" s="182" t="s">
        <v>93</v>
      </c>
      <c r="B98" s="113">
        <v>8336</v>
      </c>
      <c r="C98" s="113">
        <v>8880</v>
      </c>
      <c r="D98" s="113">
        <v>10204</v>
      </c>
      <c r="E98" s="113">
        <v>12066</v>
      </c>
      <c r="F98" s="113">
        <v>11858</v>
      </c>
      <c r="G98" s="113">
        <v>12480</v>
      </c>
      <c r="H98" s="113">
        <v>14473</v>
      </c>
      <c r="I98" s="113">
        <v>12445</v>
      </c>
      <c r="J98" s="113">
        <v>11226</v>
      </c>
      <c r="K98" s="113">
        <v>11572</v>
      </c>
      <c r="L98" s="113">
        <v>11992</v>
      </c>
      <c r="M98" s="113">
        <v>11766</v>
      </c>
      <c r="N98" s="113">
        <v>10840</v>
      </c>
      <c r="O98" s="113">
        <v>10004</v>
      </c>
      <c r="P98" s="113">
        <v>8767</v>
      </c>
      <c r="Q98" s="187">
        <f t="shared" si="42"/>
        <v>-0.29751602564102564</v>
      </c>
      <c r="R98" s="187">
        <f t="shared" si="43"/>
        <v>-0.26892928619079387</v>
      </c>
      <c r="S98" s="187">
        <f t="shared" si="44"/>
        <v>-0.12365053978408637</v>
      </c>
      <c r="T98" s="187">
        <f t="shared" si="45"/>
        <v>2.7872537268828348E-2</v>
      </c>
      <c r="U98" s="53"/>
    </row>
    <row r="99" spans="1:21" x14ac:dyDescent="0.25">
      <c r="A99" s="182" t="s">
        <v>406</v>
      </c>
      <c r="B99" s="113">
        <v>9574</v>
      </c>
      <c r="C99" s="113">
        <v>9652</v>
      </c>
      <c r="D99" s="113">
        <v>10307</v>
      </c>
      <c r="E99" s="113">
        <v>11531</v>
      </c>
      <c r="F99" s="113">
        <v>10927</v>
      </c>
      <c r="G99" s="113">
        <v>9073</v>
      </c>
      <c r="H99" s="113">
        <v>9052</v>
      </c>
      <c r="I99" s="113">
        <v>8490</v>
      </c>
      <c r="J99" s="113">
        <v>8270</v>
      </c>
      <c r="K99" s="113">
        <v>6403</v>
      </c>
      <c r="L99" s="113">
        <v>5598</v>
      </c>
      <c r="M99" s="113">
        <v>4901</v>
      </c>
      <c r="N99" s="113">
        <v>3386</v>
      </c>
      <c r="O99" s="113">
        <v>1712</v>
      </c>
      <c r="P99" s="113">
        <v>1988</v>
      </c>
      <c r="Q99" s="187">
        <f t="shared" si="42"/>
        <v>-0.78088835004959767</v>
      </c>
      <c r="R99" s="187">
        <f t="shared" si="43"/>
        <v>-0.64487316898892466</v>
      </c>
      <c r="S99" s="187">
        <f t="shared" si="44"/>
        <v>0.16121495327102803</v>
      </c>
      <c r="T99" s="187">
        <f t="shared" si="45"/>
        <v>6.3203609091400433E-3</v>
      </c>
      <c r="U99" s="53"/>
    </row>
    <row r="100" spans="1:21" x14ac:dyDescent="0.25">
      <c r="A100" s="182" t="s">
        <v>354</v>
      </c>
      <c r="B100" s="113">
        <v>4164</v>
      </c>
      <c r="C100" s="113">
        <v>4619</v>
      </c>
      <c r="D100" s="113">
        <v>3985</v>
      </c>
      <c r="E100" s="113">
        <v>4806</v>
      </c>
      <c r="F100" s="113">
        <v>4369</v>
      </c>
      <c r="G100" s="113">
        <v>4188</v>
      </c>
      <c r="H100" s="113">
        <v>5086</v>
      </c>
      <c r="I100" s="113">
        <v>5307</v>
      </c>
      <c r="J100" s="113">
        <v>5264</v>
      </c>
      <c r="K100" s="113">
        <v>5422</v>
      </c>
      <c r="L100" s="113">
        <v>6152</v>
      </c>
      <c r="M100" s="113">
        <v>7320</v>
      </c>
      <c r="N100" s="113">
        <v>7943</v>
      </c>
      <c r="O100" s="113">
        <v>7861</v>
      </c>
      <c r="P100" s="113">
        <v>7326</v>
      </c>
      <c r="Q100" s="187">
        <f t="shared" si="42"/>
        <v>0.74928366762177645</v>
      </c>
      <c r="R100" s="187">
        <f t="shared" si="43"/>
        <v>0.19083224967490248</v>
      </c>
      <c r="S100" s="187">
        <f t="shared" si="44"/>
        <v>-6.8057499045922912E-2</v>
      </c>
      <c r="T100" s="187">
        <f t="shared" si="45"/>
        <v>2.3291229386498972E-2</v>
      </c>
      <c r="U100" s="53"/>
    </row>
    <row r="101" spans="1:21" x14ac:dyDescent="0.25">
      <c r="A101" s="182" t="s">
        <v>94</v>
      </c>
      <c r="B101" s="113">
        <v>2851</v>
      </c>
      <c r="C101" s="113">
        <v>2739</v>
      </c>
      <c r="D101" s="113">
        <v>2739</v>
      </c>
      <c r="E101" s="113">
        <v>2825</v>
      </c>
      <c r="F101" s="113">
        <v>2530</v>
      </c>
      <c r="G101" s="113">
        <v>2690</v>
      </c>
      <c r="H101" s="113">
        <v>2844</v>
      </c>
      <c r="I101" s="113">
        <v>2727</v>
      </c>
      <c r="J101" s="113">
        <v>3360</v>
      </c>
      <c r="K101" s="113">
        <v>3375</v>
      </c>
      <c r="L101" s="113">
        <v>4519</v>
      </c>
      <c r="M101" s="113">
        <v>3994</v>
      </c>
      <c r="N101" s="113">
        <v>3468</v>
      </c>
      <c r="O101" s="113">
        <v>3009</v>
      </c>
      <c r="P101" s="113">
        <v>3383</v>
      </c>
      <c r="Q101" s="187">
        <f t="shared" si="42"/>
        <v>0.25762081784386615</v>
      </c>
      <c r="R101" s="187">
        <f t="shared" si="43"/>
        <v>-0.25138304934720068</v>
      </c>
      <c r="S101" s="187">
        <f t="shared" si="44"/>
        <v>0.12429378531073447</v>
      </c>
      <c r="T101" s="187">
        <f t="shared" si="45"/>
        <v>1.0755423015905818E-2</v>
      </c>
      <c r="U101" s="53"/>
    </row>
    <row r="102" spans="1:21" x14ac:dyDescent="0.25">
      <c r="A102" s="182" t="s">
        <v>407</v>
      </c>
      <c r="B102" s="113">
        <v>106414</v>
      </c>
      <c r="C102" s="113">
        <v>111306</v>
      </c>
      <c r="D102" s="113">
        <v>120028</v>
      </c>
      <c r="E102" s="113">
        <v>125529</v>
      </c>
      <c r="F102" s="113">
        <v>129042</v>
      </c>
      <c r="G102" s="113">
        <v>130030</v>
      </c>
      <c r="H102" s="113">
        <v>120557</v>
      </c>
      <c r="I102" s="113">
        <v>118207</v>
      </c>
      <c r="J102" s="113">
        <v>121708</v>
      </c>
      <c r="K102" s="113">
        <v>128491</v>
      </c>
      <c r="L102" s="113">
        <v>127319</v>
      </c>
      <c r="M102" s="113">
        <v>126200</v>
      </c>
      <c r="N102" s="113">
        <v>122216</v>
      </c>
      <c r="O102" s="113">
        <v>115063</v>
      </c>
      <c r="P102" s="113">
        <v>113755</v>
      </c>
      <c r="Q102" s="187">
        <f t="shared" si="42"/>
        <v>-0.1251634238252711</v>
      </c>
      <c r="R102" s="187">
        <f t="shared" si="43"/>
        <v>-0.10653555243129462</v>
      </c>
      <c r="S102" s="187">
        <f t="shared" si="44"/>
        <v>-1.1367685528797267E-2</v>
      </c>
      <c r="T102" s="187">
        <f t="shared" si="45"/>
        <v>0.36165626520081773</v>
      </c>
      <c r="U102" s="53"/>
    </row>
    <row r="103" spans="1:21" s="52" customFormat="1" x14ac:dyDescent="0.25">
      <c r="A103" s="112" t="s">
        <v>0</v>
      </c>
      <c r="B103" s="2">
        <v>243379</v>
      </c>
      <c r="C103" s="2">
        <v>252964</v>
      </c>
      <c r="D103" s="2">
        <v>281647</v>
      </c>
      <c r="E103" s="2">
        <v>315058</v>
      </c>
      <c r="F103" s="2">
        <v>328323</v>
      </c>
      <c r="G103" s="2">
        <v>332828</v>
      </c>
      <c r="H103" s="2">
        <v>343000</v>
      </c>
      <c r="I103" s="2">
        <v>341460</v>
      </c>
      <c r="J103" s="2">
        <v>337759</v>
      </c>
      <c r="K103" s="2">
        <v>337906</v>
      </c>
      <c r="L103" s="2">
        <v>335271</v>
      </c>
      <c r="M103" s="2">
        <v>334891</v>
      </c>
      <c r="N103" s="2">
        <v>330674</v>
      </c>
      <c r="O103" s="2">
        <v>303432</v>
      </c>
      <c r="P103" s="2">
        <v>314539</v>
      </c>
      <c r="Q103" s="188">
        <f t="shared" si="42"/>
        <v>-5.4950304661867393E-2</v>
      </c>
      <c r="R103" s="188">
        <f t="shared" si="43"/>
        <v>-6.1836544168747072E-2</v>
      </c>
      <c r="S103" s="188">
        <f t="shared" si="44"/>
        <v>3.6604576972764903E-2</v>
      </c>
      <c r="T103" s="188">
        <f t="shared" si="45"/>
        <v>1</v>
      </c>
      <c r="U103" s="54"/>
    </row>
    <row r="104" spans="1:21" x14ac:dyDescent="0.25">
      <c r="A104" s="110"/>
      <c r="Q104" s="39"/>
      <c r="R104" s="39"/>
      <c r="S104" s="39"/>
      <c r="T104" s="39"/>
      <c r="U104" s="53"/>
    </row>
    <row r="105" spans="1:21" ht="15.75" x14ac:dyDescent="0.25">
      <c r="A105" s="27" t="s">
        <v>83</v>
      </c>
      <c r="B105" s="27"/>
      <c r="C105" s="27"/>
      <c r="D105" s="27"/>
      <c r="E105" s="27"/>
      <c r="F105" s="27"/>
      <c r="G105" s="27"/>
      <c r="H105" s="27"/>
      <c r="I105" s="110"/>
      <c r="J105" s="110"/>
      <c r="K105" s="110"/>
      <c r="L105" s="110"/>
      <c r="M105" s="110"/>
      <c r="N105" s="110"/>
      <c r="O105" s="110"/>
      <c r="P105" s="110"/>
      <c r="Q105" s="39"/>
      <c r="R105" s="39"/>
      <c r="S105" s="39"/>
      <c r="T105" s="39"/>
      <c r="U105" s="53"/>
    </row>
    <row r="106" spans="1:21" ht="30" customHeight="1" x14ac:dyDescent="0.25">
      <c r="A106" s="148" t="s">
        <v>60</v>
      </c>
      <c r="B106" s="130">
        <v>2007</v>
      </c>
      <c r="C106" s="130">
        <v>2008</v>
      </c>
      <c r="D106" s="130">
        <v>2009</v>
      </c>
      <c r="E106" s="130">
        <v>2010</v>
      </c>
      <c r="F106" s="130">
        <v>2011</v>
      </c>
      <c r="G106" s="130">
        <v>2012</v>
      </c>
      <c r="H106" s="130">
        <v>2013</v>
      </c>
      <c r="I106" s="130">
        <v>2014</v>
      </c>
      <c r="J106" s="130">
        <v>2015</v>
      </c>
      <c r="K106" s="130">
        <v>2016</v>
      </c>
      <c r="L106" s="130">
        <v>2017</v>
      </c>
      <c r="M106" s="130">
        <v>2018</v>
      </c>
      <c r="N106" s="130">
        <v>2019</v>
      </c>
      <c r="O106" s="130">
        <v>2020</v>
      </c>
      <c r="P106" s="130">
        <v>2021</v>
      </c>
      <c r="Q106" s="131" t="s">
        <v>424</v>
      </c>
      <c r="R106" s="131" t="s">
        <v>425</v>
      </c>
      <c r="S106" s="131" t="s">
        <v>426</v>
      </c>
      <c r="T106" s="131" t="s">
        <v>427</v>
      </c>
      <c r="U106" s="53"/>
    </row>
    <row r="107" spans="1:21" x14ac:dyDescent="0.25">
      <c r="A107" s="107" t="s">
        <v>99</v>
      </c>
      <c r="B107" s="113">
        <v>587404</v>
      </c>
      <c r="C107" s="113">
        <v>609869</v>
      </c>
      <c r="D107" s="113">
        <v>647444</v>
      </c>
      <c r="E107" s="113">
        <v>705887</v>
      </c>
      <c r="F107" s="113">
        <v>748519</v>
      </c>
      <c r="G107" s="113">
        <v>771720</v>
      </c>
      <c r="H107" s="113">
        <v>795788</v>
      </c>
      <c r="I107" s="113">
        <v>809291</v>
      </c>
      <c r="J107" s="113">
        <v>821325</v>
      </c>
      <c r="K107" s="113">
        <v>829437</v>
      </c>
      <c r="L107" s="113">
        <v>835489</v>
      </c>
      <c r="M107" s="113">
        <v>853675</v>
      </c>
      <c r="N107" s="113">
        <v>862252</v>
      </c>
      <c r="O107" s="113">
        <v>846665</v>
      </c>
      <c r="P107" s="113">
        <v>870527</v>
      </c>
      <c r="Q107" s="187">
        <f t="shared" ref="Q107:Q112" si="46">(P107-G107)/G107</f>
        <v>0.12803477945368785</v>
      </c>
      <c r="R107" s="187">
        <f t="shared" ref="R107:R112" si="47">(P107-L107)/L107</f>
        <v>4.1937117065574771E-2</v>
      </c>
      <c r="S107" s="187">
        <f t="shared" ref="S107:S112" si="48">(P107-O107)/O107</f>
        <v>2.8183520046299305E-2</v>
      </c>
      <c r="T107" s="187">
        <f t="shared" ref="T107:T112" si="49">P107/P$8</f>
        <v>0.72278053891768113</v>
      </c>
      <c r="U107" s="53"/>
    </row>
    <row r="108" spans="1:21" x14ac:dyDescent="0.25">
      <c r="A108" s="107" t="s">
        <v>100</v>
      </c>
      <c r="B108" s="113">
        <v>148471</v>
      </c>
      <c r="C108" s="113">
        <v>163998</v>
      </c>
      <c r="D108" s="113">
        <v>187341</v>
      </c>
      <c r="E108" s="113">
        <v>215661</v>
      </c>
      <c r="F108" s="113">
        <v>243631</v>
      </c>
      <c r="G108" s="113">
        <v>266771</v>
      </c>
      <c r="H108" s="113">
        <v>297724</v>
      </c>
      <c r="I108" s="113">
        <v>308960</v>
      </c>
      <c r="J108" s="113">
        <v>314721</v>
      </c>
      <c r="K108" s="113">
        <v>307380</v>
      </c>
      <c r="L108" s="113">
        <v>295468</v>
      </c>
      <c r="M108" s="113">
        <v>281796</v>
      </c>
      <c r="N108" s="113">
        <v>269548</v>
      </c>
      <c r="O108" s="113">
        <v>238325</v>
      </c>
      <c r="P108" s="113">
        <v>240135</v>
      </c>
      <c r="Q108" s="187">
        <f t="shared" si="46"/>
        <v>-9.9845935277822553E-2</v>
      </c>
      <c r="R108" s="187">
        <f t="shared" si="47"/>
        <v>-0.18727239498016707</v>
      </c>
      <c r="S108" s="187">
        <f t="shared" si="48"/>
        <v>7.5946711423476344E-3</v>
      </c>
      <c r="T108" s="187">
        <f t="shared" si="49"/>
        <v>0.19937911714742604</v>
      </c>
      <c r="U108" s="53"/>
    </row>
    <row r="109" spans="1:21" x14ac:dyDescent="0.25">
      <c r="A109" s="87" t="s">
        <v>101</v>
      </c>
      <c r="B109" s="14">
        <v>771</v>
      </c>
      <c r="C109" s="14">
        <v>1009</v>
      </c>
      <c r="D109" s="14">
        <v>613</v>
      </c>
      <c r="E109" s="14">
        <v>1652</v>
      </c>
      <c r="F109" s="14">
        <v>1958</v>
      </c>
      <c r="G109" s="14">
        <v>2827</v>
      </c>
      <c r="H109" s="14">
        <v>4296</v>
      </c>
      <c r="I109" s="14">
        <v>6628</v>
      </c>
      <c r="J109" s="14">
        <v>6224</v>
      </c>
      <c r="K109" s="14">
        <v>7102</v>
      </c>
      <c r="L109" s="14">
        <v>7517</v>
      </c>
      <c r="M109" s="14">
        <v>6377</v>
      </c>
      <c r="N109" s="14">
        <v>7302</v>
      </c>
      <c r="O109" s="14">
        <v>6420</v>
      </c>
      <c r="P109" s="14">
        <v>7212</v>
      </c>
      <c r="Q109" s="187">
        <f t="shared" si="46"/>
        <v>1.5511142553944111</v>
      </c>
      <c r="R109" s="187">
        <f t="shared" si="47"/>
        <v>-4.0574697352667284E-2</v>
      </c>
      <c r="S109" s="187">
        <f t="shared" si="48"/>
        <v>0.12336448598130841</v>
      </c>
      <c r="T109" s="187">
        <f t="shared" si="49"/>
        <v>5.9879742347730934E-3</v>
      </c>
      <c r="U109" s="53"/>
    </row>
    <row r="110" spans="1:21" x14ac:dyDescent="0.25">
      <c r="A110" s="87" t="s">
        <v>102</v>
      </c>
      <c r="B110" s="14">
        <v>6928</v>
      </c>
      <c r="C110" s="14">
        <v>4286</v>
      </c>
      <c r="D110" s="14">
        <v>4254</v>
      </c>
      <c r="E110" s="14">
        <v>5021</v>
      </c>
      <c r="F110" s="14">
        <v>6091</v>
      </c>
      <c r="G110" s="14">
        <v>8291</v>
      </c>
      <c r="H110" s="14">
        <v>9655</v>
      </c>
      <c r="I110" s="14">
        <v>14709</v>
      </c>
      <c r="J110" s="14">
        <v>20371</v>
      </c>
      <c r="K110" s="14">
        <v>24659</v>
      </c>
      <c r="L110" s="14">
        <v>28500</v>
      </c>
      <c r="M110" s="14">
        <v>35459</v>
      </c>
      <c r="N110" s="14">
        <v>45448</v>
      </c>
      <c r="O110" s="14">
        <v>52517</v>
      </c>
      <c r="P110" s="14">
        <v>79369</v>
      </c>
      <c r="Q110" s="187">
        <f t="shared" si="46"/>
        <v>8.5729103847545538</v>
      </c>
      <c r="R110" s="187">
        <f t="shared" si="47"/>
        <v>1.7848771929824561</v>
      </c>
      <c r="S110" s="187">
        <f t="shared" si="48"/>
        <v>0.51130110250014282</v>
      </c>
      <c r="T110" s="187">
        <f t="shared" si="49"/>
        <v>6.5898436916209877E-2</v>
      </c>
      <c r="U110" s="53"/>
    </row>
    <row r="111" spans="1:21" x14ac:dyDescent="0.25">
      <c r="A111" s="107" t="s">
        <v>103</v>
      </c>
      <c r="B111" s="113">
        <v>4770</v>
      </c>
      <c r="C111" s="113">
        <v>4187</v>
      </c>
      <c r="D111" s="113">
        <v>9688</v>
      </c>
      <c r="E111" s="113">
        <v>10037</v>
      </c>
      <c r="F111" s="113">
        <v>14878</v>
      </c>
      <c r="G111" s="113">
        <v>15207</v>
      </c>
      <c r="H111" s="113">
        <v>6814</v>
      </c>
      <c r="I111" s="113">
        <v>4793</v>
      </c>
      <c r="J111" s="113">
        <v>3265</v>
      </c>
      <c r="K111" s="113">
        <v>9902</v>
      </c>
      <c r="L111" s="113">
        <v>10318</v>
      </c>
      <c r="M111" s="113">
        <v>10740</v>
      </c>
      <c r="N111" s="113">
        <v>9930</v>
      </c>
      <c r="O111" s="113">
        <v>7995</v>
      </c>
      <c r="P111" s="113">
        <v>7171</v>
      </c>
      <c r="Q111" s="187">
        <f t="shared" si="46"/>
        <v>-0.52844084960873283</v>
      </c>
      <c r="R111" s="187">
        <f t="shared" si="47"/>
        <v>-0.30500096918007363</v>
      </c>
      <c r="S111" s="187">
        <f t="shared" si="48"/>
        <v>-0.10306441525953722</v>
      </c>
      <c r="T111" s="187">
        <f t="shared" si="49"/>
        <v>5.9539327839098514E-3</v>
      </c>
      <c r="U111" s="53"/>
    </row>
    <row r="112" spans="1:21" s="52" customFormat="1" x14ac:dyDescent="0.25">
      <c r="A112" s="112" t="s">
        <v>0</v>
      </c>
      <c r="B112" s="2">
        <v>748344</v>
      </c>
      <c r="C112" s="2">
        <v>783349</v>
      </c>
      <c r="D112" s="2">
        <v>849340</v>
      </c>
      <c r="E112" s="2">
        <v>938258</v>
      </c>
      <c r="F112" s="2">
        <v>1015077</v>
      </c>
      <c r="G112" s="2">
        <v>1064816</v>
      </c>
      <c r="H112" s="2">
        <v>1114277</v>
      </c>
      <c r="I112" s="2">
        <v>1144381</v>
      </c>
      <c r="J112" s="2">
        <v>1165906</v>
      </c>
      <c r="K112" s="2">
        <v>1178480</v>
      </c>
      <c r="L112" s="2">
        <v>1177292</v>
      </c>
      <c r="M112" s="2">
        <v>1188047</v>
      </c>
      <c r="N112" s="2">
        <v>1194480</v>
      </c>
      <c r="O112" s="2">
        <v>1151922</v>
      </c>
      <c r="P112" s="2">
        <v>1204414</v>
      </c>
      <c r="Q112" s="188">
        <f t="shared" si="46"/>
        <v>0.13110058451413201</v>
      </c>
      <c r="R112" s="188">
        <f t="shared" si="47"/>
        <v>2.3037615137111268E-2</v>
      </c>
      <c r="S112" s="188">
        <f t="shared" si="48"/>
        <v>4.5569057627165725E-2</v>
      </c>
      <c r="T112" s="188">
        <f t="shared" si="49"/>
        <v>1</v>
      </c>
      <c r="U112" s="54"/>
    </row>
    <row r="113" spans="1:21" x14ac:dyDescent="0.25">
      <c r="A113" s="15"/>
      <c r="B113" s="15"/>
      <c r="C113" s="15"/>
      <c r="D113" s="15"/>
      <c r="E113" s="15"/>
      <c r="F113" s="15"/>
      <c r="G113" s="15"/>
      <c r="H113" s="15"/>
      <c r="I113" s="15"/>
      <c r="J113" s="15"/>
      <c r="K113" s="15"/>
      <c r="L113" s="15"/>
      <c r="M113" s="15"/>
      <c r="N113" s="15"/>
      <c r="O113" s="15"/>
      <c r="P113" s="15"/>
      <c r="Q113" s="15"/>
      <c r="R113" s="15"/>
      <c r="S113" s="15"/>
      <c r="T113" s="15"/>
      <c r="U113" s="15"/>
    </row>
    <row r="114" spans="1:21" ht="18" x14ac:dyDescent="0.25">
      <c r="A114" s="24" t="s">
        <v>135</v>
      </c>
      <c r="B114" s="24"/>
      <c r="C114" s="24"/>
      <c r="D114" s="24"/>
      <c r="E114" s="24"/>
      <c r="F114" s="24"/>
      <c r="G114" s="24"/>
      <c r="H114" s="24"/>
      <c r="I114" s="15"/>
      <c r="J114" s="15"/>
      <c r="K114" s="15"/>
      <c r="L114" s="15"/>
      <c r="M114" s="15"/>
      <c r="N114" s="15"/>
      <c r="O114" s="15"/>
      <c r="P114" s="15"/>
      <c r="Q114" s="36"/>
      <c r="R114" s="36"/>
      <c r="S114" s="36"/>
      <c r="T114" s="36"/>
      <c r="U114" s="53"/>
    </row>
    <row r="115" spans="1:21" ht="30" customHeight="1" x14ac:dyDescent="0.25">
      <c r="A115" s="148" t="s">
        <v>60</v>
      </c>
      <c r="B115" s="130">
        <v>2007</v>
      </c>
      <c r="C115" s="130">
        <v>2008</v>
      </c>
      <c r="D115" s="130">
        <v>2009</v>
      </c>
      <c r="E115" s="130">
        <v>2010</v>
      </c>
      <c r="F115" s="130">
        <v>2011</v>
      </c>
      <c r="G115" s="130">
        <v>2012</v>
      </c>
      <c r="H115" s="130">
        <v>2013</v>
      </c>
      <c r="I115" s="130">
        <v>2014</v>
      </c>
      <c r="J115" s="130">
        <v>2015</v>
      </c>
      <c r="K115" s="130">
        <v>2016</v>
      </c>
      <c r="L115" s="130">
        <v>2017</v>
      </c>
      <c r="M115" s="130">
        <v>2018</v>
      </c>
      <c r="N115" s="130">
        <v>2019</v>
      </c>
      <c r="O115" s="130">
        <v>2020</v>
      </c>
      <c r="P115" s="130">
        <v>2021</v>
      </c>
      <c r="Q115" s="131" t="s">
        <v>424</v>
      </c>
      <c r="R115" s="131" t="s">
        <v>425</v>
      </c>
      <c r="S115" s="131" t="s">
        <v>426</v>
      </c>
      <c r="T115" s="131" t="s">
        <v>427</v>
      </c>
      <c r="U115" s="53"/>
    </row>
    <row r="116" spans="1:21" x14ac:dyDescent="0.25">
      <c r="A116" s="107" t="s">
        <v>99</v>
      </c>
      <c r="B116" s="113">
        <v>176706</v>
      </c>
      <c r="C116" s="113">
        <v>181847</v>
      </c>
      <c r="D116" s="113">
        <v>196944</v>
      </c>
      <c r="E116" s="113">
        <v>216605</v>
      </c>
      <c r="F116" s="113">
        <v>218904</v>
      </c>
      <c r="G116" s="113">
        <v>219112</v>
      </c>
      <c r="H116" s="113">
        <v>222484</v>
      </c>
      <c r="I116" s="113">
        <v>222438</v>
      </c>
      <c r="J116" s="113">
        <v>221723</v>
      </c>
      <c r="K116" s="113">
        <v>224839</v>
      </c>
      <c r="L116" s="113">
        <v>227162</v>
      </c>
      <c r="M116" s="113">
        <v>229949</v>
      </c>
      <c r="N116" s="113">
        <v>227343</v>
      </c>
      <c r="O116" s="113">
        <v>215171</v>
      </c>
      <c r="P116" s="113">
        <v>208672</v>
      </c>
      <c r="Q116" s="187">
        <f t="shared" ref="Q116:Q121" si="50">(P116-G116)/G116</f>
        <v>-4.7646865529957283E-2</v>
      </c>
      <c r="R116" s="187">
        <f t="shared" ref="R116:R121" si="51">(P116-L116)/L116</f>
        <v>-8.1395655963585459E-2</v>
      </c>
      <c r="S116" s="187">
        <f t="shared" ref="S116:S121" si="52">(P116-O116)/O116</f>
        <v>-3.0203884352445264E-2</v>
      </c>
      <c r="T116" s="187">
        <f t="shared" ref="T116:T121" si="53">P116/P$15</f>
        <v>0.66342170605234962</v>
      </c>
      <c r="U116" s="53"/>
    </row>
    <row r="117" spans="1:21" x14ac:dyDescent="0.25">
      <c r="A117" s="107" t="s">
        <v>100</v>
      </c>
      <c r="B117" s="113">
        <v>62280</v>
      </c>
      <c r="C117" s="113">
        <v>68258</v>
      </c>
      <c r="D117" s="113">
        <v>77955</v>
      </c>
      <c r="E117" s="113">
        <v>91697</v>
      </c>
      <c r="F117" s="113">
        <v>101023</v>
      </c>
      <c r="G117" s="113">
        <v>104348</v>
      </c>
      <c r="H117" s="113">
        <v>113321</v>
      </c>
      <c r="I117" s="113">
        <v>110620</v>
      </c>
      <c r="J117" s="113">
        <v>106066</v>
      </c>
      <c r="K117" s="113">
        <v>99206</v>
      </c>
      <c r="L117" s="113">
        <v>91788</v>
      </c>
      <c r="M117" s="113">
        <v>86683</v>
      </c>
      <c r="N117" s="113">
        <v>82165</v>
      </c>
      <c r="O117" s="113">
        <v>66717</v>
      </c>
      <c r="P117" s="113">
        <v>71280</v>
      </c>
      <c r="Q117" s="187">
        <f t="shared" si="50"/>
        <v>-0.31690113849810253</v>
      </c>
      <c r="R117" s="187">
        <f t="shared" si="51"/>
        <v>-0.2234278990717741</v>
      </c>
      <c r="S117" s="187">
        <f t="shared" si="52"/>
        <v>6.8393363010926744E-2</v>
      </c>
      <c r="T117" s="187">
        <f t="shared" si="53"/>
        <v>0.22661736700377377</v>
      </c>
      <c r="U117" s="53"/>
    </row>
    <row r="118" spans="1:21" x14ac:dyDescent="0.25">
      <c r="A118" s="87" t="s">
        <v>101</v>
      </c>
      <c r="B118" s="14">
        <v>457</v>
      </c>
      <c r="C118" s="14">
        <v>293</v>
      </c>
      <c r="D118" s="14">
        <v>327</v>
      </c>
      <c r="E118" s="14">
        <v>1131</v>
      </c>
      <c r="F118" s="14">
        <v>1340</v>
      </c>
      <c r="G118" s="14">
        <v>1610</v>
      </c>
      <c r="H118" s="14">
        <v>2435</v>
      </c>
      <c r="I118" s="14">
        <v>2982</v>
      </c>
      <c r="J118" s="14">
        <v>2061</v>
      </c>
      <c r="K118" s="14">
        <v>2209</v>
      </c>
      <c r="L118" s="14">
        <v>2622</v>
      </c>
      <c r="M118" s="14">
        <v>2171</v>
      </c>
      <c r="N118" s="14">
        <v>2615</v>
      </c>
      <c r="O118" s="14">
        <v>1875</v>
      </c>
      <c r="P118" s="14">
        <v>2364</v>
      </c>
      <c r="Q118" s="187">
        <f t="shared" si="50"/>
        <v>0.46832298136645961</v>
      </c>
      <c r="R118" s="187">
        <f t="shared" si="51"/>
        <v>-9.8398169336384442E-2</v>
      </c>
      <c r="S118" s="187">
        <f t="shared" si="52"/>
        <v>0.26079999999999998</v>
      </c>
      <c r="T118" s="187">
        <f t="shared" si="53"/>
        <v>7.5157611615729687E-3</v>
      </c>
      <c r="U118" s="53"/>
    </row>
    <row r="119" spans="1:21" x14ac:dyDescent="0.25">
      <c r="A119" s="87" t="s">
        <v>102</v>
      </c>
      <c r="B119" s="14">
        <v>2457</v>
      </c>
      <c r="C119" s="14">
        <v>1305</v>
      </c>
      <c r="D119" s="14">
        <v>1478</v>
      </c>
      <c r="E119" s="14">
        <v>1664</v>
      </c>
      <c r="F119" s="14">
        <v>1777</v>
      </c>
      <c r="G119" s="14">
        <v>1856</v>
      </c>
      <c r="H119" s="14">
        <v>3116</v>
      </c>
      <c r="I119" s="14">
        <v>5108</v>
      </c>
      <c r="J119" s="14">
        <v>7522</v>
      </c>
      <c r="K119" s="14">
        <v>9491</v>
      </c>
      <c r="L119" s="14">
        <v>11289</v>
      </c>
      <c r="M119" s="14">
        <v>14121</v>
      </c>
      <c r="N119" s="14">
        <v>17302</v>
      </c>
      <c r="O119" s="14">
        <v>18655</v>
      </c>
      <c r="P119" s="14">
        <v>31461</v>
      </c>
      <c r="Q119" s="187">
        <f t="shared" si="50"/>
        <v>15.950969827586206</v>
      </c>
      <c r="R119" s="187">
        <f t="shared" si="51"/>
        <v>1.7868721764549562</v>
      </c>
      <c r="S119" s="187">
        <f t="shared" si="52"/>
        <v>0.68646475475743773</v>
      </c>
      <c r="T119" s="187">
        <f t="shared" si="53"/>
        <v>0.10002257271753265</v>
      </c>
      <c r="U119" s="53"/>
    </row>
    <row r="120" spans="1:21" x14ac:dyDescent="0.25">
      <c r="A120" s="107" t="s">
        <v>103</v>
      </c>
      <c r="B120" s="113">
        <v>1479</v>
      </c>
      <c r="C120" s="113">
        <v>1261</v>
      </c>
      <c r="D120" s="113">
        <v>4943</v>
      </c>
      <c r="E120" s="113">
        <v>3961</v>
      </c>
      <c r="F120" s="113">
        <v>5279</v>
      </c>
      <c r="G120" s="113">
        <v>5902</v>
      </c>
      <c r="H120" s="113">
        <v>1644</v>
      </c>
      <c r="I120" s="113">
        <v>312</v>
      </c>
      <c r="J120" s="113">
        <v>387</v>
      </c>
      <c r="K120" s="113">
        <v>2161</v>
      </c>
      <c r="L120" s="113">
        <v>2410</v>
      </c>
      <c r="M120" s="113">
        <v>1967</v>
      </c>
      <c r="N120" s="113">
        <v>1249</v>
      </c>
      <c r="O120" s="113">
        <v>1014</v>
      </c>
      <c r="P120" s="113">
        <v>762</v>
      </c>
      <c r="Q120" s="187">
        <f t="shared" si="50"/>
        <v>-0.87089122331413082</v>
      </c>
      <c r="R120" s="187">
        <f t="shared" si="51"/>
        <v>-0.68381742738589213</v>
      </c>
      <c r="S120" s="187">
        <f t="shared" si="52"/>
        <v>-0.24852071005917159</v>
      </c>
      <c r="T120" s="187">
        <f t="shared" si="53"/>
        <v>2.4225930647709822E-3</v>
      </c>
      <c r="U120" s="53"/>
    </row>
    <row r="121" spans="1:21" s="52" customFormat="1" x14ac:dyDescent="0.25">
      <c r="A121" s="112" t="s">
        <v>0</v>
      </c>
      <c r="B121" s="2">
        <v>243379</v>
      </c>
      <c r="C121" s="2">
        <v>252964</v>
      </c>
      <c r="D121" s="2">
        <v>281647</v>
      </c>
      <c r="E121" s="2">
        <v>315058</v>
      </c>
      <c r="F121" s="2">
        <v>328323</v>
      </c>
      <c r="G121" s="2">
        <v>332828</v>
      </c>
      <c r="H121" s="2">
        <v>343000</v>
      </c>
      <c r="I121" s="2">
        <v>341460</v>
      </c>
      <c r="J121" s="2">
        <v>337759</v>
      </c>
      <c r="K121" s="2">
        <v>337906</v>
      </c>
      <c r="L121" s="2">
        <v>335271</v>
      </c>
      <c r="M121" s="2">
        <v>334891</v>
      </c>
      <c r="N121" s="2">
        <v>330674</v>
      </c>
      <c r="O121" s="2">
        <v>303432</v>
      </c>
      <c r="P121" s="2">
        <v>314539</v>
      </c>
      <c r="Q121" s="188">
        <f t="shared" si="50"/>
        <v>-5.4950304661867393E-2</v>
      </c>
      <c r="R121" s="188">
        <f t="shared" si="51"/>
        <v>-6.1836544168747072E-2</v>
      </c>
      <c r="S121" s="188">
        <f t="shared" si="52"/>
        <v>3.6604576972764903E-2</v>
      </c>
      <c r="T121" s="188">
        <f t="shared" si="53"/>
        <v>1</v>
      </c>
      <c r="U121" s="54"/>
    </row>
    <row r="122" spans="1:21" x14ac:dyDescent="0.25">
      <c r="A122" s="110"/>
      <c r="B122" s="110"/>
      <c r="C122" s="110"/>
      <c r="D122" s="110"/>
      <c r="E122" s="110"/>
      <c r="F122" s="110"/>
      <c r="G122" s="110"/>
      <c r="H122" s="110"/>
      <c r="I122" s="110"/>
      <c r="J122" s="110"/>
      <c r="K122" s="110"/>
      <c r="L122" s="110"/>
      <c r="M122" s="110"/>
      <c r="N122" s="110"/>
      <c r="O122" s="110"/>
      <c r="P122" s="110"/>
      <c r="Q122" s="110"/>
      <c r="R122" s="110"/>
      <c r="S122" s="110"/>
      <c r="T122" s="110"/>
    </row>
    <row r="123" spans="1:21" ht="18" x14ac:dyDescent="0.25">
      <c r="A123" s="27" t="s">
        <v>136</v>
      </c>
      <c r="B123" s="27"/>
      <c r="C123" s="27"/>
      <c r="D123" s="27"/>
      <c r="E123" s="27"/>
      <c r="F123" s="27"/>
      <c r="G123" s="27"/>
      <c r="H123" s="27"/>
      <c r="I123" s="110"/>
      <c r="J123" s="110"/>
      <c r="K123" s="110"/>
      <c r="L123" s="110"/>
      <c r="M123" s="110"/>
      <c r="N123" s="110"/>
      <c r="O123" s="110"/>
      <c r="P123" s="110"/>
      <c r="Q123" s="39"/>
      <c r="R123" s="39"/>
      <c r="S123" s="39"/>
      <c r="T123" s="39"/>
      <c r="U123" s="53"/>
    </row>
    <row r="124" spans="1:21" ht="30" customHeight="1" x14ac:dyDescent="0.25">
      <c r="A124" s="148" t="s">
        <v>148</v>
      </c>
      <c r="B124" s="130">
        <v>2007</v>
      </c>
      <c r="C124" s="130">
        <v>2008</v>
      </c>
      <c r="D124" s="130">
        <v>2009</v>
      </c>
      <c r="E124" s="130">
        <v>2010</v>
      </c>
      <c r="F124" s="130">
        <v>2011</v>
      </c>
      <c r="G124" s="130">
        <v>2012</v>
      </c>
      <c r="H124" s="130">
        <v>2013</v>
      </c>
      <c r="I124" s="130">
        <v>2014</v>
      </c>
      <c r="J124" s="130">
        <v>2015</v>
      </c>
      <c r="K124" s="130">
        <v>2016</v>
      </c>
      <c r="L124" s="130">
        <v>2017</v>
      </c>
      <c r="M124" s="130">
        <v>2018</v>
      </c>
      <c r="N124" s="130">
        <v>2019</v>
      </c>
      <c r="O124" s="130">
        <v>2020</v>
      </c>
      <c r="P124" s="130">
        <v>2021</v>
      </c>
      <c r="Q124" s="131" t="s">
        <v>424</v>
      </c>
      <c r="R124" s="131" t="s">
        <v>425</v>
      </c>
      <c r="S124" s="131" t="s">
        <v>426</v>
      </c>
      <c r="T124" s="131" t="s">
        <v>427</v>
      </c>
      <c r="U124" s="53"/>
    </row>
    <row r="125" spans="1:21" s="52" customFormat="1" x14ac:dyDescent="0.25">
      <c r="A125" s="112" t="s">
        <v>2</v>
      </c>
      <c r="B125" s="2">
        <v>43912</v>
      </c>
      <c r="C125" s="2">
        <v>47056</v>
      </c>
      <c r="D125" s="2">
        <v>53202</v>
      </c>
      <c r="E125" s="2">
        <v>63115</v>
      </c>
      <c r="F125" s="2">
        <v>64035</v>
      </c>
      <c r="G125" s="2">
        <v>62584</v>
      </c>
      <c r="H125" s="2">
        <v>64724</v>
      </c>
      <c r="I125" s="2">
        <v>65941</v>
      </c>
      <c r="J125" s="2">
        <v>63551</v>
      </c>
      <c r="K125" s="2">
        <v>59423</v>
      </c>
      <c r="L125" s="2">
        <v>60034</v>
      </c>
      <c r="M125" s="2">
        <v>59204</v>
      </c>
      <c r="N125" s="2">
        <v>60927</v>
      </c>
      <c r="O125" s="2">
        <v>56166</v>
      </c>
      <c r="P125" s="2">
        <v>58314</v>
      </c>
      <c r="Q125" s="188">
        <f t="shared" ref="Q125:Q143" si="54">(P125-G125)/G125</f>
        <v>-6.822830116323661E-2</v>
      </c>
      <c r="R125" s="188">
        <f t="shared" ref="R125:R143" si="55">(P125-L125)/L125</f>
        <v>-2.8650431422194089E-2</v>
      </c>
      <c r="S125" s="188">
        <f t="shared" ref="S125:S143" si="56">(P125-O125)/O125</f>
        <v>3.8243777374212154E-2</v>
      </c>
      <c r="T125" s="188">
        <f t="shared" ref="T125:T143" si="57">P125/P$15</f>
        <v>0.18539513383078093</v>
      </c>
      <c r="U125" s="54"/>
    </row>
    <row r="126" spans="1:21" x14ac:dyDescent="0.25">
      <c r="A126" s="182" t="s">
        <v>99</v>
      </c>
      <c r="B126" s="113">
        <v>25977</v>
      </c>
      <c r="C126" s="113">
        <v>28050</v>
      </c>
      <c r="D126" s="113">
        <v>32412</v>
      </c>
      <c r="E126" s="113">
        <v>36848</v>
      </c>
      <c r="F126" s="113">
        <v>36276</v>
      </c>
      <c r="G126" s="113">
        <v>34204</v>
      </c>
      <c r="H126" s="113">
        <v>35210</v>
      </c>
      <c r="I126" s="113">
        <v>36369</v>
      </c>
      <c r="J126" s="113">
        <v>35889</v>
      </c>
      <c r="K126" s="113">
        <v>34681</v>
      </c>
      <c r="L126" s="113">
        <v>36308</v>
      </c>
      <c r="M126" s="113">
        <v>36692</v>
      </c>
      <c r="N126" s="113">
        <v>38247</v>
      </c>
      <c r="O126" s="113">
        <v>36004</v>
      </c>
      <c r="P126" s="113">
        <v>34699</v>
      </c>
      <c r="Q126" s="187">
        <f t="shared" si="54"/>
        <v>1.4471991579932172E-2</v>
      </c>
      <c r="R126" s="187">
        <f t="shared" si="55"/>
        <v>-4.4315302412691417E-2</v>
      </c>
      <c r="S126" s="187">
        <f t="shared" si="56"/>
        <v>-3.6245972669703364E-2</v>
      </c>
      <c r="T126" s="187">
        <f t="shared" si="57"/>
        <v>0.11031700361481406</v>
      </c>
      <c r="U126" s="53"/>
    </row>
    <row r="127" spans="1:21" x14ac:dyDescent="0.25">
      <c r="A127" s="182" t="s">
        <v>100</v>
      </c>
      <c r="B127" s="113">
        <v>17410</v>
      </c>
      <c r="C127" s="113">
        <v>18652</v>
      </c>
      <c r="D127" s="113">
        <v>20487</v>
      </c>
      <c r="E127" s="113">
        <v>25286</v>
      </c>
      <c r="F127" s="113">
        <v>27270</v>
      </c>
      <c r="G127" s="113">
        <v>27418</v>
      </c>
      <c r="H127" s="113">
        <v>28913</v>
      </c>
      <c r="I127" s="113">
        <v>28903</v>
      </c>
      <c r="J127" s="113">
        <v>26623</v>
      </c>
      <c r="K127" s="113">
        <v>24084</v>
      </c>
      <c r="L127" s="113">
        <v>22765</v>
      </c>
      <c r="M127" s="113">
        <v>21861</v>
      </c>
      <c r="N127" s="113">
        <v>21953</v>
      </c>
      <c r="O127" s="113">
        <v>18646</v>
      </c>
      <c r="P127" s="113">
        <v>20515</v>
      </c>
      <c r="Q127" s="187">
        <f t="shared" si="54"/>
        <v>-0.25176891093442266</v>
      </c>
      <c r="R127" s="187">
        <f t="shared" si="55"/>
        <v>-9.8835932352295194E-2</v>
      </c>
      <c r="S127" s="187">
        <f t="shared" si="56"/>
        <v>0.10023597554435268</v>
      </c>
      <c r="T127" s="187">
        <f t="shared" si="57"/>
        <v>6.5222436645376247E-2</v>
      </c>
      <c r="U127" s="53"/>
    </row>
    <row r="128" spans="1:21" x14ac:dyDescent="0.25">
      <c r="A128" s="182" t="s">
        <v>101</v>
      </c>
      <c r="B128" s="113">
        <v>85</v>
      </c>
      <c r="C128" s="113">
        <v>138</v>
      </c>
      <c r="D128" s="113">
        <v>202</v>
      </c>
      <c r="E128" s="113">
        <v>939</v>
      </c>
      <c r="F128" s="113">
        <v>426</v>
      </c>
      <c r="G128" s="113">
        <v>425</v>
      </c>
      <c r="H128" s="113">
        <v>181</v>
      </c>
      <c r="I128" s="113">
        <v>282</v>
      </c>
      <c r="J128" s="113">
        <v>267</v>
      </c>
      <c r="K128" s="113">
        <v>263</v>
      </c>
      <c r="L128" s="113">
        <v>340</v>
      </c>
      <c r="M128" s="113">
        <v>334</v>
      </c>
      <c r="N128" s="113">
        <v>114</v>
      </c>
      <c r="O128" s="113">
        <v>167</v>
      </c>
      <c r="P128" s="113">
        <v>322</v>
      </c>
      <c r="Q128" s="187">
        <f t="shared" si="54"/>
        <v>-0.24235294117647058</v>
      </c>
      <c r="R128" s="187">
        <f t="shared" si="55"/>
        <v>-5.2941176470588235E-2</v>
      </c>
      <c r="S128" s="187">
        <f t="shared" si="56"/>
        <v>0.92814371257485029</v>
      </c>
      <c r="T128" s="187">
        <f t="shared" si="57"/>
        <v>1.0237204289452182E-3</v>
      </c>
      <c r="U128" s="53"/>
    </row>
    <row r="129" spans="1:21" x14ac:dyDescent="0.25">
      <c r="A129" s="182" t="s">
        <v>102</v>
      </c>
      <c r="B129" s="113"/>
      <c r="C129" s="113"/>
      <c r="D129" s="113"/>
      <c r="E129" s="113"/>
      <c r="F129" s="113">
        <v>63</v>
      </c>
      <c r="G129" s="113">
        <v>147</v>
      </c>
      <c r="H129" s="113">
        <v>113</v>
      </c>
      <c r="I129" s="113">
        <v>279</v>
      </c>
      <c r="J129" s="113">
        <v>706</v>
      </c>
      <c r="K129" s="113">
        <v>371</v>
      </c>
      <c r="L129" s="113">
        <v>400</v>
      </c>
      <c r="M129" s="113">
        <v>310</v>
      </c>
      <c r="N129" s="113">
        <v>613</v>
      </c>
      <c r="O129" s="113">
        <v>1349</v>
      </c>
      <c r="P129" s="113">
        <v>2778</v>
      </c>
      <c r="Q129" s="187">
        <f t="shared" si="54"/>
        <v>17.897959183673468</v>
      </c>
      <c r="R129" s="187">
        <f t="shared" si="55"/>
        <v>5.9450000000000003</v>
      </c>
      <c r="S129" s="187">
        <f t="shared" si="56"/>
        <v>1.0593031875463306</v>
      </c>
      <c r="T129" s="187">
        <f t="shared" si="57"/>
        <v>8.8319731416453915E-3</v>
      </c>
      <c r="U129" s="53"/>
    </row>
    <row r="130" spans="1:21" x14ac:dyDescent="0.25">
      <c r="A130" s="182" t="s">
        <v>103</v>
      </c>
      <c r="B130" s="113">
        <v>440</v>
      </c>
      <c r="C130" s="113">
        <v>216</v>
      </c>
      <c r="D130" s="113">
        <v>101</v>
      </c>
      <c r="E130" s="113">
        <v>42</v>
      </c>
      <c r="F130" s="113"/>
      <c r="G130" s="113">
        <v>390</v>
      </c>
      <c r="H130" s="113">
        <v>307</v>
      </c>
      <c r="I130" s="113">
        <v>108</v>
      </c>
      <c r="J130" s="113">
        <v>66</v>
      </c>
      <c r="K130" s="113">
        <v>24</v>
      </c>
      <c r="L130" s="113">
        <v>221</v>
      </c>
      <c r="M130" s="113">
        <v>7</v>
      </c>
      <c r="N130" s="113"/>
      <c r="O130" s="113"/>
      <c r="P130" s="113"/>
      <c r="Q130" s="187">
        <f t="shared" si="54"/>
        <v>-1</v>
      </c>
      <c r="R130" s="187">
        <f t="shared" si="55"/>
        <v>-1</v>
      </c>
      <c r="S130" s="187" t="s">
        <v>155</v>
      </c>
      <c r="T130" s="187">
        <f t="shared" si="57"/>
        <v>0</v>
      </c>
      <c r="U130" s="53"/>
    </row>
    <row r="131" spans="1:21" s="52" customFormat="1" x14ac:dyDescent="0.25">
      <c r="A131" s="112" t="s">
        <v>3</v>
      </c>
      <c r="B131" s="2">
        <v>68128</v>
      </c>
      <c r="C131" s="2">
        <v>68712</v>
      </c>
      <c r="D131" s="2">
        <v>81182</v>
      </c>
      <c r="E131" s="2">
        <v>95186</v>
      </c>
      <c r="F131" s="2">
        <v>105562</v>
      </c>
      <c r="G131" s="2">
        <v>111783</v>
      </c>
      <c r="H131" s="2">
        <v>126264</v>
      </c>
      <c r="I131" s="2">
        <v>128343</v>
      </c>
      <c r="J131" s="2">
        <v>124380</v>
      </c>
      <c r="K131" s="2">
        <v>123220</v>
      </c>
      <c r="L131" s="2">
        <v>119657</v>
      </c>
      <c r="M131" s="2">
        <v>121506</v>
      </c>
      <c r="N131" s="2">
        <v>121894</v>
      </c>
      <c r="O131" s="2">
        <v>109617</v>
      </c>
      <c r="P131" s="2">
        <v>121006</v>
      </c>
      <c r="Q131" s="188">
        <f t="shared" si="54"/>
        <v>8.2508073678466312E-2</v>
      </c>
      <c r="R131" s="188">
        <f t="shared" si="55"/>
        <v>1.1273891205696282E-2</v>
      </c>
      <c r="S131" s="188">
        <f t="shared" si="56"/>
        <v>0.10389811799264713</v>
      </c>
      <c r="T131" s="188">
        <f t="shared" si="57"/>
        <v>0.38470905038802822</v>
      </c>
      <c r="U131" s="54"/>
    </row>
    <row r="132" spans="1:21" x14ac:dyDescent="0.25">
      <c r="A132" s="182" t="s">
        <v>99</v>
      </c>
      <c r="B132" s="113">
        <v>41863</v>
      </c>
      <c r="C132" s="113">
        <v>40662</v>
      </c>
      <c r="D132" s="113">
        <v>45678</v>
      </c>
      <c r="E132" s="113">
        <v>52967</v>
      </c>
      <c r="F132" s="113">
        <v>54923</v>
      </c>
      <c r="G132" s="113">
        <v>55975</v>
      </c>
      <c r="H132" s="113">
        <v>63737</v>
      </c>
      <c r="I132" s="113">
        <v>64378</v>
      </c>
      <c r="J132" s="113">
        <v>62115</v>
      </c>
      <c r="K132" s="113">
        <v>61754</v>
      </c>
      <c r="L132" s="113">
        <v>61496</v>
      </c>
      <c r="M132" s="113">
        <v>62241</v>
      </c>
      <c r="N132" s="113">
        <v>61092</v>
      </c>
      <c r="O132" s="113">
        <v>57125</v>
      </c>
      <c r="P132" s="113">
        <v>57147</v>
      </c>
      <c r="Q132" s="187">
        <f t="shared" si="54"/>
        <v>2.0937918713711479E-2</v>
      </c>
      <c r="R132" s="187">
        <f t="shared" si="55"/>
        <v>-7.0720046832314296E-2</v>
      </c>
      <c r="S132" s="187">
        <f t="shared" si="56"/>
        <v>3.8512035010940921E-4</v>
      </c>
      <c r="T132" s="187">
        <f t="shared" si="57"/>
        <v>0.18168494208985214</v>
      </c>
      <c r="U132" s="53"/>
    </row>
    <row r="133" spans="1:21" x14ac:dyDescent="0.25">
      <c r="A133" s="182" t="s">
        <v>100</v>
      </c>
      <c r="B133" s="113">
        <v>25724</v>
      </c>
      <c r="C133" s="113">
        <v>27174</v>
      </c>
      <c r="D133" s="113">
        <v>32631</v>
      </c>
      <c r="E133" s="113">
        <v>39934</v>
      </c>
      <c r="F133" s="113">
        <v>47215</v>
      </c>
      <c r="G133" s="113">
        <v>52185</v>
      </c>
      <c r="H133" s="113">
        <v>58146</v>
      </c>
      <c r="I133" s="113">
        <v>57558</v>
      </c>
      <c r="J133" s="113">
        <v>54770</v>
      </c>
      <c r="K133" s="113">
        <v>51358</v>
      </c>
      <c r="L133" s="113">
        <v>46078</v>
      </c>
      <c r="M133" s="113">
        <v>44907</v>
      </c>
      <c r="N133" s="113">
        <v>43225</v>
      </c>
      <c r="O133" s="113">
        <v>35502</v>
      </c>
      <c r="P133" s="113">
        <v>37742</v>
      </c>
      <c r="Q133" s="187">
        <f t="shared" si="54"/>
        <v>-0.27676535402893554</v>
      </c>
      <c r="R133" s="187">
        <f t="shared" si="55"/>
        <v>-0.18091062980164069</v>
      </c>
      <c r="S133" s="187">
        <f t="shared" si="56"/>
        <v>6.3095036899329618E-2</v>
      </c>
      <c r="T133" s="187">
        <f t="shared" si="57"/>
        <v>0.11999147959394542</v>
      </c>
      <c r="U133" s="53"/>
    </row>
    <row r="134" spans="1:21" x14ac:dyDescent="0.25">
      <c r="A134" s="182" t="s">
        <v>101</v>
      </c>
      <c r="B134" s="113">
        <v>154</v>
      </c>
      <c r="C134" s="113"/>
      <c r="D134" s="113">
        <v>62</v>
      </c>
      <c r="E134" s="113">
        <v>67</v>
      </c>
      <c r="F134" s="113">
        <v>736</v>
      </c>
      <c r="G134" s="113">
        <v>966</v>
      </c>
      <c r="H134" s="113">
        <v>1959</v>
      </c>
      <c r="I134" s="113">
        <v>2402</v>
      </c>
      <c r="J134" s="113">
        <v>1338</v>
      </c>
      <c r="K134" s="113">
        <v>1555</v>
      </c>
      <c r="L134" s="113">
        <v>1660</v>
      </c>
      <c r="M134" s="113">
        <v>1124</v>
      </c>
      <c r="N134" s="113">
        <v>1803</v>
      </c>
      <c r="O134" s="113">
        <v>1107</v>
      </c>
      <c r="P134" s="113">
        <v>1323</v>
      </c>
      <c r="Q134" s="187">
        <f t="shared" si="54"/>
        <v>0.36956521739130432</v>
      </c>
      <c r="R134" s="187">
        <f t="shared" si="55"/>
        <v>-0.20301204819277108</v>
      </c>
      <c r="S134" s="187">
        <f t="shared" si="56"/>
        <v>0.1951219512195122</v>
      </c>
      <c r="T134" s="187">
        <f t="shared" si="57"/>
        <v>4.206155675448831E-3</v>
      </c>
      <c r="U134" s="53"/>
    </row>
    <row r="135" spans="1:21" x14ac:dyDescent="0.25">
      <c r="A135" s="182" t="s">
        <v>102</v>
      </c>
      <c r="B135" s="113">
        <v>333</v>
      </c>
      <c r="C135" s="113">
        <v>736</v>
      </c>
      <c r="D135" s="113">
        <v>822</v>
      </c>
      <c r="E135" s="113">
        <v>1073</v>
      </c>
      <c r="F135" s="113">
        <v>1327</v>
      </c>
      <c r="G135" s="113">
        <v>1411</v>
      </c>
      <c r="H135" s="113">
        <v>2384</v>
      </c>
      <c r="I135" s="113">
        <v>3958</v>
      </c>
      <c r="J135" s="113">
        <v>6134</v>
      </c>
      <c r="K135" s="113">
        <v>8502</v>
      </c>
      <c r="L135" s="113">
        <v>10363</v>
      </c>
      <c r="M135" s="113">
        <v>13171</v>
      </c>
      <c r="N135" s="113">
        <v>15706</v>
      </c>
      <c r="O135" s="113">
        <v>15815</v>
      </c>
      <c r="P135" s="113">
        <v>24722</v>
      </c>
      <c r="Q135" s="187">
        <f t="shared" si="54"/>
        <v>16.52090715804394</v>
      </c>
      <c r="R135" s="187">
        <f t="shared" si="55"/>
        <v>1.3856026247225708</v>
      </c>
      <c r="S135" s="187">
        <f t="shared" si="56"/>
        <v>0.56319949415112236</v>
      </c>
      <c r="T135" s="187">
        <f t="shared" si="57"/>
        <v>7.8597566597464863E-2</v>
      </c>
      <c r="U135" s="53"/>
    </row>
    <row r="136" spans="1:21" x14ac:dyDescent="0.25">
      <c r="A136" s="182" t="s">
        <v>103</v>
      </c>
      <c r="B136" s="113">
        <v>54</v>
      </c>
      <c r="C136" s="113">
        <v>140</v>
      </c>
      <c r="D136" s="113">
        <v>1989</v>
      </c>
      <c r="E136" s="113">
        <v>1145</v>
      </c>
      <c r="F136" s="113">
        <v>1361</v>
      </c>
      <c r="G136" s="113">
        <v>1246</v>
      </c>
      <c r="H136" s="113">
        <v>38</v>
      </c>
      <c r="I136" s="113">
        <v>47</v>
      </c>
      <c r="J136" s="113">
        <v>23</v>
      </c>
      <c r="K136" s="113">
        <v>51</v>
      </c>
      <c r="L136" s="113">
        <v>60</v>
      </c>
      <c r="M136" s="113">
        <v>63</v>
      </c>
      <c r="N136" s="113">
        <v>68</v>
      </c>
      <c r="O136" s="113">
        <v>68</v>
      </c>
      <c r="P136" s="113">
        <v>72</v>
      </c>
      <c r="Q136" s="187">
        <f t="shared" si="54"/>
        <v>-0.942215088282504</v>
      </c>
      <c r="R136" s="187">
        <f t="shared" si="55"/>
        <v>0.2</v>
      </c>
      <c r="S136" s="187">
        <f t="shared" si="56"/>
        <v>5.8823529411764705E-2</v>
      </c>
      <c r="T136" s="187">
        <f t="shared" si="57"/>
        <v>2.289064313169432E-4</v>
      </c>
      <c r="U136" s="53"/>
    </row>
    <row r="137" spans="1:21" s="52" customFormat="1" x14ac:dyDescent="0.25">
      <c r="A137" s="112" t="s">
        <v>4</v>
      </c>
      <c r="B137" s="2">
        <v>131339</v>
      </c>
      <c r="C137" s="2">
        <v>137196</v>
      </c>
      <c r="D137" s="2">
        <v>147263</v>
      </c>
      <c r="E137" s="2">
        <v>156757</v>
      </c>
      <c r="F137" s="2">
        <v>158726</v>
      </c>
      <c r="G137" s="2">
        <v>158461</v>
      </c>
      <c r="H137" s="2">
        <v>152012</v>
      </c>
      <c r="I137" s="2">
        <v>147176</v>
      </c>
      <c r="J137" s="2">
        <v>149828</v>
      </c>
      <c r="K137" s="2">
        <v>155263</v>
      </c>
      <c r="L137" s="2">
        <v>155580</v>
      </c>
      <c r="M137" s="2">
        <v>154181</v>
      </c>
      <c r="N137" s="2">
        <v>147853</v>
      </c>
      <c r="O137" s="2">
        <v>137649</v>
      </c>
      <c r="P137" s="2">
        <v>135219</v>
      </c>
      <c r="Q137" s="188">
        <f t="shared" si="54"/>
        <v>-0.14667331393844543</v>
      </c>
      <c r="R137" s="188">
        <f t="shared" si="55"/>
        <v>-0.13087157732356344</v>
      </c>
      <c r="S137" s="188">
        <f t="shared" si="56"/>
        <v>-1.7653597192860099E-2</v>
      </c>
      <c r="T137" s="188">
        <f t="shared" si="57"/>
        <v>0.4298958157811909</v>
      </c>
      <c r="U137" s="54"/>
    </row>
    <row r="138" spans="1:21" x14ac:dyDescent="0.25">
      <c r="A138" s="182" t="s">
        <v>99</v>
      </c>
      <c r="B138" s="113">
        <v>108866</v>
      </c>
      <c r="C138" s="113">
        <v>113135</v>
      </c>
      <c r="D138" s="113">
        <v>118854</v>
      </c>
      <c r="E138" s="113">
        <v>126790</v>
      </c>
      <c r="F138" s="113">
        <v>127705</v>
      </c>
      <c r="G138" s="113">
        <v>128933</v>
      </c>
      <c r="H138" s="113">
        <v>123537</v>
      </c>
      <c r="I138" s="113">
        <v>121691</v>
      </c>
      <c r="J138" s="113">
        <v>123719</v>
      </c>
      <c r="K138" s="113">
        <v>128404</v>
      </c>
      <c r="L138" s="113">
        <v>129358</v>
      </c>
      <c r="M138" s="113">
        <v>131016</v>
      </c>
      <c r="N138" s="113">
        <v>128004</v>
      </c>
      <c r="O138" s="113">
        <v>122042</v>
      </c>
      <c r="P138" s="113">
        <v>116826</v>
      </c>
      <c r="Q138" s="187">
        <f t="shared" si="54"/>
        <v>-9.3901483716348808E-2</v>
      </c>
      <c r="R138" s="187">
        <f t="shared" si="55"/>
        <v>-9.687843040244902E-2</v>
      </c>
      <c r="S138" s="187">
        <f t="shared" si="56"/>
        <v>-4.2739384801953426E-2</v>
      </c>
      <c r="T138" s="187">
        <f t="shared" si="57"/>
        <v>0.37141976034768343</v>
      </c>
      <c r="U138" s="53"/>
    </row>
    <row r="139" spans="1:21" x14ac:dyDescent="0.25">
      <c r="A139" s="182" t="s">
        <v>100</v>
      </c>
      <c r="B139" s="113">
        <v>19146</v>
      </c>
      <c r="C139" s="113">
        <v>22432</v>
      </c>
      <c r="D139" s="113">
        <v>24837</v>
      </c>
      <c r="E139" s="113">
        <v>26477</v>
      </c>
      <c r="F139" s="113">
        <v>26538</v>
      </c>
      <c r="G139" s="113">
        <v>24745</v>
      </c>
      <c r="H139" s="113">
        <v>26262</v>
      </c>
      <c r="I139" s="113">
        <v>24159</v>
      </c>
      <c r="J139" s="113">
        <v>24673</v>
      </c>
      <c r="K139" s="113">
        <v>23764</v>
      </c>
      <c r="L139" s="113">
        <v>22945</v>
      </c>
      <c r="M139" s="113">
        <v>19915</v>
      </c>
      <c r="N139" s="113">
        <v>16987</v>
      </c>
      <c r="O139" s="113">
        <v>12569</v>
      </c>
      <c r="P139" s="113">
        <v>13023</v>
      </c>
      <c r="Q139" s="187">
        <f t="shared" si="54"/>
        <v>-0.47371186098201656</v>
      </c>
      <c r="R139" s="187">
        <f t="shared" si="55"/>
        <v>-0.43242536500326867</v>
      </c>
      <c r="S139" s="187">
        <f t="shared" si="56"/>
        <v>3.6120614209563209E-2</v>
      </c>
      <c r="T139" s="187">
        <f t="shared" si="57"/>
        <v>4.14034507644521E-2</v>
      </c>
      <c r="U139" s="53"/>
    </row>
    <row r="140" spans="1:21" x14ac:dyDescent="0.25">
      <c r="A140" s="182" t="s">
        <v>101</v>
      </c>
      <c r="B140" s="113">
        <v>218</v>
      </c>
      <c r="C140" s="113">
        <v>155</v>
      </c>
      <c r="D140" s="113">
        <v>63</v>
      </c>
      <c r="E140" s="113">
        <v>125</v>
      </c>
      <c r="F140" s="113">
        <v>178</v>
      </c>
      <c r="G140" s="113">
        <v>219</v>
      </c>
      <c r="H140" s="113">
        <v>295</v>
      </c>
      <c r="I140" s="113">
        <v>298</v>
      </c>
      <c r="J140" s="113">
        <v>456</v>
      </c>
      <c r="K140" s="113">
        <v>391</v>
      </c>
      <c r="L140" s="113">
        <v>622</v>
      </c>
      <c r="M140" s="113">
        <v>713</v>
      </c>
      <c r="N140" s="113">
        <v>698</v>
      </c>
      <c r="O140" s="113">
        <v>601</v>
      </c>
      <c r="P140" s="113">
        <v>719</v>
      </c>
      <c r="Q140" s="187">
        <f t="shared" si="54"/>
        <v>2.2831050228310503</v>
      </c>
      <c r="R140" s="187">
        <f t="shared" si="55"/>
        <v>0.15594855305466238</v>
      </c>
      <c r="S140" s="187">
        <f t="shared" si="56"/>
        <v>0.19633943427620631</v>
      </c>
      <c r="T140" s="187">
        <f t="shared" si="57"/>
        <v>2.2858850571789188E-3</v>
      </c>
      <c r="U140" s="53"/>
    </row>
    <row r="141" spans="1:21" x14ac:dyDescent="0.25">
      <c r="A141" s="182" t="s">
        <v>102</v>
      </c>
      <c r="B141" s="113">
        <v>2124</v>
      </c>
      <c r="C141" s="113">
        <v>569</v>
      </c>
      <c r="D141" s="113">
        <v>656</v>
      </c>
      <c r="E141" s="113">
        <v>591</v>
      </c>
      <c r="F141" s="113">
        <v>387</v>
      </c>
      <c r="G141" s="113">
        <v>298</v>
      </c>
      <c r="H141" s="113">
        <v>619</v>
      </c>
      <c r="I141" s="113">
        <v>871</v>
      </c>
      <c r="J141" s="113">
        <v>682</v>
      </c>
      <c r="K141" s="113">
        <v>618</v>
      </c>
      <c r="L141" s="113">
        <v>526</v>
      </c>
      <c r="M141" s="113">
        <v>640</v>
      </c>
      <c r="N141" s="113">
        <v>983</v>
      </c>
      <c r="O141" s="113">
        <v>1491</v>
      </c>
      <c r="P141" s="113">
        <v>3961</v>
      </c>
      <c r="Q141" s="187">
        <f t="shared" si="54"/>
        <v>12.291946308724832</v>
      </c>
      <c r="R141" s="187">
        <f t="shared" si="55"/>
        <v>6.5304182509505706</v>
      </c>
      <c r="S141" s="187">
        <f t="shared" si="56"/>
        <v>1.6566063044936283</v>
      </c>
      <c r="T141" s="187">
        <f t="shared" si="57"/>
        <v>1.2593032978422389E-2</v>
      </c>
      <c r="U141" s="53"/>
    </row>
    <row r="142" spans="1:21" x14ac:dyDescent="0.25">
      <c r="A142" s="182" t="s">
        <v>103</v>
      </c>
      <c r="B142" s="113">
        <v>985</v>
      </c>
      <c r="C142" s="113">
        <v>905</v>
      </c>
      <c r="D142" s="113">
        <v>2853</v>
      </c>
      <c r="E142" s="113">
        <v>2774</v>
      </c>
      <c r="F142" s="113">
        <v>3918</v>
      </c>
      <c r="G142" s="113">
        <v>4266</v>
      </c>
      <c r="H142" s="113">
        <v>1299</v>
      </c>
      <c r="I142" s="113">
        <v>157</v>
      </c>
      <c r="J142" s="113">
        <v>298</v>
      </c>
      <c r="K142" s="113">
        <v>2086</v>
      </c>
      <c r="L142" s="113">
        <v>2129</v>
      </c>
      <c r="M142" s="113">
        <v>1897</v>
      </c>
      <c r="N142" s="113">
        <v>1181</v>
      </c>
      <c r="O142" s="113">
        <v>946</v>
      </c>
      <c r="P142" s="113">
        <v>690</v>
      </c>
      <c r="Q142" s="187">
        <f t="shared" si="54"/>
        <v>-0.83825597749648384</v>
      </c>
      <c r="R142" s="187">
        <f t="shared" si="55"/>
        <v>-0.67590418036636923</v>
      </c>
      <c r="S142" s="187">
        <f t="shared" si="56"/>
        <v>-0.27061310782241016</v>
      </c>
      <c r="T142" s="187">
        <f t="shared" si="57"/>
        <v>2.193686633454039E-3</v>
      </c>
      <c r="U142" s="53"/>
    </row>
    <row r="143" spans="1:21" s="52" customFormat="1" x14ac:dyDescent="0.25">
      <c r="A143" s="112" t="s">
        <v>0</v>
      </c>
      <c r="B143" s="2">
        <v>243379</v>
      </c>
      <c r="C143" s="2">
        <v>252964</v>
      </c>
      <c r="D143" s="2">
        <v>281647</v>
      </c>
      <c r="E143" s="2">
        <v>315058</v>
      </c>
      <c r="F143" s="2">
        <v>328323</v>
      </c>
      <c r="G143" s="2">
        <v>332828</v>
      </c>
      <c r="H143" s="2">
        <v>343000</v>
      </c>
      <c r="I143" s="2">
        <v>341460</v>
      </c>
      <c r="J143" s="2">
        <v>337759</v>
      </c>
      <c r="K143" s="2">
        <v>337906</v>
      </c>
      <c r="L143" s="2">
        <v>335271</v>
      </c>
      <c r="M143" s="2">
        <v>334891</v>
      </c>
      <c r="N143" s="2">
        <v>330674</v>
      </c>
      <c r="O143" s="2">
        <v>303432</v>
      </c>
      <c r="P143" s="2">
        <v>314539</v>
      </c>
      <c r="Q143" s="188">
        <f t="shared" si="54"/>
        <v>-5.4950304661867393E-2</v>
      </c>
      <c r="R143" s="188">
        <f t="shared" si="55"/>
        <v>-6.1836544168747072E-2</v>
      </c>
      <c r="S143" s="188">
        <f t="shared" si="56"/>
        <v>3.6604576972764903E-2</v>
      </c>
      <c r="T143" s="188">
        <f t="shared" si="57"/>
        <v>1</v>
      </c>
      <c r="U143" s="54"/>
    </row>
    <row r="144" spans="1:21" x14ac:dyDescent="0.25">
      <c r="A144" s="110"/>
      <c r="Q144" s="39"/>
      <c r="R144" s="39"/>
      <c r="S144" s="39"/>
      <c r="T144" s="39"/>
      <c r="U144" s="53"/>
    </row>
    <row r="145" spans="1:22" ht="15.75" x14ac:dyDescent="0.25">
      <c r="A145" s="27" t="s">
        <v>84</v>
      </c>
      <c r="B145" s="27"/>
      <c r="C145" s="27"/>
      <c r="D145" s="27"/>
      <c r="E145" s="27"/>
      <c r="F145" s="27"/>
      <c r="G145" s="27"/>
      <c r="H145" s="27"/>
      <c r="I145" s="110"/>
      <c r="J145" s="110"/>
      <c r="K145" s="110"/>
      <c r="L145" s="110"/>
      <c r="M145" s="110"/>
      <c r="N145" s="110"/>
      <c r="O145" s="110"/>
      <c r="P145" s="110"/>
      <c r="Q145" s="39"/>
      <c r="R145" s="39"/>
      <c r="S145" s="39"/>
      <c r="T145" s="39"/>
      <c r="U145" s="53"/>
    </row>
    <row r="146" spans="1:22" ht="30" customHeight="1" x14ac:dyDescent="0.25">
      <c r="A146" s="148" t="s">
        <v>58</v>
      </c>
      <c r="B146" s="130">
        <v>2007</v>
      </c>
      <c r="C146" s="130">
        <v>2008</v>
      </c>
      <c r="D146" s="130">
        <v>2009</v>
      </c>
      <c r="E146" s="130">
        <v>2010</v>
      </c>
      <c r="F146" s="130">
        <v>2011</v>
      </c>
      <c r="G146" s="130">
        <v>2012</v>
      </c>
      <c r="H146" s="130">
        <v>2013</v>
      </c>
      <c r="I146" s="130">
        <v>2014</v>
      </c>
      <c r="J146" s="130">
        <v>2015</v>
      </c>
      <c r="K146" s="130">
        <v>2016</v>
      </c>
      <c r="L146" s="130">
        <v>2017</v>
      </c>
      <c r="M146" s="130">
        <v>2018</v>
      </c>
      <c r="N146" s="130">
        <v>2019</v>
      </c>
      <c r="O146" s="130">
        <v>2020</v>
      </c>
      <c r="P146" s="130">
        <v>2021</v>
      </c>
      <c r="Q146" s="131" t="s">
        <v>424</v>
      </c>
      <c r="R146" s="131" t="s">
        <v>425</v>
      </c>
      <c r="S146" s="131" t="s">
        <v>426</v>
      </c>
      <c r="T146" s="131" t="s">
        <v>427</v>
      </c>
      <c r="U146" s="53"/>
    </row>
    <row r="147" spans="1:22" x14ac:dyDescent="0.25">
      <c r="A147" s="107" t="s">
        <v>49</v>
      </c>
      <c r="B147" s="151">
        <v>110303</v>
      </c>
      <c r="C147" s="151">
        <v>121935</v>
      </c>
      <c r="D147" s="151">
        <v>135920</v>
      </c>
      <c r="E147" s="151">
        <v>152536</v>
      </c>
      <c r="F147" s="151">
        <v>167580</v>
      </c>
      <c r="G147" s="151">
        <v>177212</v>
      </c>
      <c r="H147" s="151">
        <v>186011</v>
      </c>
      <c r="I147" s="151">
        <v>197159</v>
      </c>
      <c r="J147" s="151">
        <v>209037</v>
      </c>
      <c r="K147" s="151">
        <v>223350</v>
      </c>
      <c r="L147" s="151">
        <v>227842</v>
      </c>
      <c r="M147" s="151">
        <v>233739</v>
      </c>
      <c r="N147" s="151">
        <v>235779</v>
      </c>
      <c r="O147" s="151">
        <v>222254</v>
      </c>
      <c r="P147" s="151">
        <v>227380</v>
      </c>
      <c r="Q147" s="187">
        <f t="shared" ref="Q147:Q158" si="58">(P147-G147)/G147</f>
        <v>0.28309595287000883</v>
      </c>
      <c r="R147" s="187">
        <f t="shared" ref="R147:R158" si="59">(P147-L147)/L147</f>
        <v>-2.0277209645280501E-3</v>
      </c>
      <c r="S147" s="187">
        <f t="shared" ref="S147:S158" si="60">(P147-O147)/O147</f>
        <v>2.3063701890629638E-2</v>
      </c>
      <c r="T147" s="187">
        <f t="shared" ref="T147:T158" si="61">P147/P$8</f>
        <v>0.18878890481180061</v>
      </c>
      <c r="U147" s="53"/>
    </row>
    <row r="148" spans="1:22" x14ac:dyDescent="0.25">
      <c r="A148" s="107" t="s">
        <v>50</v>
      </c>
      <c r="B148" s="151">
        <v>27453</v>
      </c>
      <c r="C148" s="151">
        <v>27604</v>
      </c>
      <c r="D148" s="151">
        <v>27668</v>
      </c>
      <c r="E148" s="151">
        <v>27521</v>
      </c>
      <c r="F148" s="151">
        <v>26778</v>
      </c>
      <c r="G148" s="151">
        <v>25965</v>
      </c>
      <c r="H148" s="151">
        <v>25748</v>
      </c>
      <c r="I148" s="151">
        <v>24912</v>
      </c>
      <c r="J148" s="151">
        <v>24967</v>
      </c>
      <c r="K148" s="151">
        <v>26041</v>
      </c>
      <c r="L148" s="151">
        <v>27330</v>
      </c>
      <c r="M148" s="151">
        <v>29117</v>
      </c>
      <c r="N148" s="151">
        <v>31376</v>
      </c>
      <c r="O148" s="151">
        <v>32620</v>
      </c>
      <c r="P148" s="151">
        <v>35717</v>
      </c>
      <c r="Q148" s="187">
        <f t="shared" si="58"/>
        <v>0.37558251492393607</v>
      </c>
      <c r="R148" s="187">
        <f t="shared" si="59"/>
        <v>0.30687888766922794</v>
      </c>
      <c r="S148" s="187">
        <f t="shared" si="60"/>
        <v>9.4941753525444511E-2</v>
      </c>
      <c r="T148" s="187">
        <f t="shared" si="61"/>
        <v>2.9655085377619322E-2</v>
      </c>
      <c r="U148" s="53"/>
    </row>
    <row r="149" spans="1:22" x14ac:dyDescent="0.25">
      <c r="A149" s="107" t="s">
        <v>51</v>
      </c>
      <c r="B149" s="151">
        <v>49607</v>
      </c>
      <c r="C149" s="151">
        <v>49396</v>
      </c>
      <c r="D149" s="151">
        <v>50967</v>
      </c>
      <c r="E149" s="151">
        <v>53659</v>
      </c>
      <c r="F149" s="151">
        <v>54468</v>
      </c>
      <c r="G149" s="151">
        <v>53849</v>
      </c>
      <c r="H149" s="151">
        <v>53336</v>
      </c>
      <c r="I149" s="151">
        <v>52461</v>
      </c>
      <c r="J149" s="151">
        <v>52282</v>
      </c>
      <c r="K149" s="151">
        <v>52552</v>
      </c>
      <c r="L149" s="151">
        <v>53279</v>
      </c>
      <c r="M149" s="151">
        <v>55521</v>
      </c>
      <c r="N149" s="151">
        <v>57869</v>
      </c>
      <c r="O149" s="151">
        <v>58354</v>
      </c>
      <c r="P149" s="151">
        <v>60974</v>
      </c>
      <c r="Q149" s="187">
        <f t="shared" si="58"/>
        <v>0.13231443480844585</v>
      </c>
      <c r="R149" s="187">
        <f t="shared" si="59"/>
        <v>0.14442838641866401</v>
      </c>
      <c r="S149" s="187">
        <f t="shared" si="60"/>
        <v>4.4898378860061004E-2</v>
      </c>
      <c r="T149" s="187">
        <f t="shared" si="61"/>
        <v>5.062544938866536E-2</v>
      </c>
      <c r="U149" s="53"/>
    </row>
    <row r="150" spans="1:22" x14ac:dyDescent="0.25">
      <c r="A150" s="107" t="s">
        <v>52</v>
      </c>
      <c r="B150" s="151">
        <v>13645</v>
      </c>
      <c r="C150" s="151">
        <v>14388</v>
      </c>
      <c r="D150" s="151">
        <v>14957</v>
      </c>
      <c r="E150" s="151">
        <v>15308</v>
      </c>
      <c r="F150" s="151">
        <v>15451</v>
      </c>
      <c r="G150" s="151">
        <v>15469</v>
      </c>
      <c r="H150" s="151">
        <v>16852</v>
      </c>
      <c r="I150" s="151">
        <v>17686</v>
      </c>
      <c r="J150" s="151">
        <v>17987</v>
      </c>
      <c r="K150" s="151">
        <v>17868</v>
      </c>
      <c r="L150" s="151">
        <v>17834</v>
      </c>
      <c r="M150" s="151">
        <v>17749</v>
      </c>
      <c r="N150" s="151">
        <v>18080</v>
      </c>
      <c r="O150" s="151">
        <v>18247</v>
      </c>
      <c r="P150" s="151">
        <v>19173</v>
      </c>
      <c r="Q150" s="187">
        <f t="shared" si="58"/>
        <v>0.23944663520589565</v>
      </c>
      <c r="R150" s="187">
        <f t="shared" si="59"/>
        <v>7.5081305371761803E-2</v>
      </c>
      <c r="S150" s="187">
        <f t="shared" si="60"/>
        <v>5.0748068175590508E-2</v>
      </c>
      <c r="T150" s="187">
        <f t="shared" si="61"/>
        <v>1.5918944814656753E-2</v>
      </c>
      <c r="U150" s="53"/>
    </row>
    <row r="151" spans="1:22" x14ac:dyDescent="0.25">
      <c r="A151" s="107" t="s">
        <v>53</v>
      </c>
      <c r="B151" s="151">
        <v>74167</v>
      </c>
      <c r="C151" s="151">
        <v>75813</v>
      </c>
      <c r="D151" s="151">
        <v>79510</v>
      </c>
      <c r="E151" s="151">
        <v>85777</v>
      </c>
      <c r="F151" s="151">
        <v>90723</v>
      </c>
      <c r="G151" s="151">
        <v>93247</v>
      </c>
      <c r="H151" s="151">
        <v>95975</v>
      </c>
      <c r="I151" s="151">
        <v>98655</v>
      </c>
      <c r="J151" s="151">
        <v>101374</v>
      </c>
      <c r="K151" s="151">
        <v>103656</v>
      </c>
      <c r="L151" s="151">
        <v>106792</v>
      </c>
      <c r="M151" s="151">
        <v>110930</v>
      </c>
      <c r="N151" s="151">
        <v>116873</v>
      </c>
      <c r="O151" s="151">
        <v>119217</v>
      </c>
      <c r="P151" s="151">
        <v>130780</v>
      </c>
      <c r="Q151" s="187">
        <f t="shared" si="58"/>
        <v>0.40251160895256682</v>
      </c>
      <c r="R151" s="187">
        <f t="shared" si="59"/>
        <v>0.22462356730841262</v>
      </c>
      <c r="S151" s="187">
        <f t="shared" si="60"/>
        <v>9.6991200919331971E-2</v>
      </c>
      <c r="T151" s="187">
        <f t="shared" si="61"/>
        <v>0.10858392546084653</v>
      </c>
      <c r="U151" s="53"/>
    </row>
    <row r="152" spans="1:22" x14ac:dyDescent="0.25">
      <c r="A152" s="107" t="s">
        <v>7</v>
      </c>
      <c r="B152" s="151">
        <v>62304</v>
      </c>
      <c r="C152" s="151">
        <v>47375</v>
      </c>
      <c r="D152" s="151">
        <v>46522</v>
      </c>
      <c r="E152" s="151">
        <v>45237</v>
      </c>
      <c r="F152" s="151">
        <v>43820</v>
      </c>
      <c r="G152" s="151">
        <v>42304</v>
      </c>
      <c r="H152" s="151">
        <v>41396</v>
      </c>
      <c r="I152" s="151">
        <v>40700</v>
      </c>
      <c r="J152" s="151">
        <v>40445</v>
      </c>
      <c r="K152" s="151">
        <v>41438</v>
      </c>
      <c r="L152" s="151">
        <v>42246</v>
      </c>
      <c r="M152" s="151">
        <v>42828</v>
      </c>
      <c r="N152" s="151">
        <v>44570</v>
      </c>
      <c r="O152" s="151">
        <v>45008</v>
      </c>
      <c r="P152" s="151">
        <v>49548</v>
      </c>
      <c r="Q152" s="187">
        <f t="shared" si="58"/>
        <v>0.17123676248108927</v>
      </c>
      <c r="R152" s="187">
        <f t="shared" si="59"/>
        <v>0.17284476636841359</v>
      </c>
      <c r="S152" s="187">
        <f t="shared" si="60"/>
        <v>0.10087095627444009</v>
      </c>
      <c r="T152" s="187">
        <f t="shared" si="61"/>
        <v>4.1138678228582533E-2</v>
      </c>
      <c r="U152" s="53"/>
    </row>
    <row r="153" spans="1:22" x14ac:dyDescent="0.25">
      <c r="A153" s="107" t="s">
        <v>54</v>
      </c>
      <c r="B153" s="151">
        <v>115972</v>
      </c>
      <c r="C153" s="151">
        <v>119720</v>
      </c>
      <c r="D153" s="151">
        <v>125442</v>
      </c>
      <c r="E153" s="151">
        <v>136857</v>
      </c>
      <c r="F153" s="151">
        <v>143984</v>
      </c>
      <c r="G153" s="151">
        <v>146156</v>
      </c>
      <c r="H153" s="151">
        <v>142772</v>
      </c>
      <c r="I153" s="151">
        <v>139127</v>
      </c>
      <c r="J153" s="151">
        <v>135210</v>
      </c>
      <c r="K153" s="151">
        <v>136119</v>
      </c>
      <c r="L153" s="151">
        <v>137046</v>
      </c>
      <c r="M153" s="151">
        <v>141177</v>
      </c>
      <c r="N153" s="151">
        <v>140328</v>
      </c>
      <c r="O153" s="151">
        <v>129093</v>
      </c>
      <c r="P153" s="151">
        <v>122859</v>
      </c>
      <c r="Q153" s="187">
        <f t="shared" si="58"/>
        <v>-0.15939817729001887</v>
      </c>
      <c r="R153" s="187">
        <f t="shared" si="59"/>
        <v>-0.10351998599010551</v>
      </c>
      <c r="S153" s="187">
        <f t="shared" si="60"/>
        <v>-4.8290767121377615E-2</v>
      </c>
      <c r="T153" s="187">
        <f t="shared" si="61"/>
        <v>0.10200728320992615</v>
      </c>
      <c r="U153" s="53"/>
    </row>
    <row r="154" spans="1:22" x14ac:dyDescent="0.25">
      <c r="A154" s="107" t="s">
        <v>55</v>
      </c>
      <c r="B154" s="151">
        <v>8516</v>
      </c>
      <c r="C154" s="151">
        <v>9105</v>
      </c>
      <c r="D154" s="151">
        <v>9296</v>
      </c>
      <c r="E154" s="151">
        <v>9919</v>
      </c>
      <c r="F154" s="151">
        <v>10264</v>
      </c>
      <c r="G154" s="151">
        <v>10060</v>
      </c>
      <c r="H154" s="151">
        <v>10084</v>
      </c>
      <c r="I154" s="151">
        <v>10071</v>
      </c>
      <c r="J154" s="151">
        <v>9712</v>
      </c>
      <c r="K154" s="151">
        <v>9670</v>
      </c>
      <c r="L154" s="151">
        <v>9526</v>
      </c>
      <c r="M154" s="151">
        <v>9556</v>
      </c>
      <c r="N154" s="151">
        <v>9195</v>
      </c>
      <c r="O154" s="151">
        <v>8421</v>
      </c>
      <c r="P154" s="151">
        <v>8478</v>
      </c>
      <c r="Q154" s="187">
        <f t="shared" si="58"/>
        <v>-0.15725646123260437</v>
      </c>
      <c r="R154" s="187">
        <f t="shared" si="59"/>
        <v>-0.11001469661977745</v>
      </c>
      <c r="S154" s="187">
        <f t="shared" si="60"/>
        <v>6.7687923049519058E-3</v>
      </c>
      <c r="T154" s="187">
        <f t="shared" si="61"/>
        <v>7.0391078150868385E-3</v>
      </c>
      <c r="U154" s="53"/>
    </row>
    <row r="155" spans="1:22" x14ac:dyDescent="0.25">
      <c r="A155" s="107" t="s">
        <v>56</v>
      </c>
      <c r="B155" s="151">
        <v>104211</v>
      </c>
      <c r="C155" s="151">
        <v>120211</v>
      </c>
      <c r="D155" s="151">
        <v>141086</v>
      </c>
      <c r="E155" s="151">
        <v>167535</v>
      </c>
      <c r="F155" s="151">
        <v>192770</v>
      </c>
      <c r="G155" s="151">
        <v>209543</v>
      </c>
      <c r="H155" s="151">
        <v>215582</v>
      </c>
      <c r="I155" s="151">
        <v>219422</v>
      </c>
      <c r="J155" s="151">
        <v>223216</v>
      </c>
      <c r="K155" s="151">
        <v>225249</v>
      </c>
      <c r="L155" s="151">
        <v>225538</v>
      </c>
      <c r="M155" s="151">
        <v>225675</v>
      </c>
      <c r="N155" s="151">
        <v>223609</v>
      </c>
      <c r="O155" s="151">
        <v>218384</v>
      </c>
      <c r="P155" s="151">
        <v>239335</v>
      </c>
      <c r="Q155" s="187">
        <f t="shared" si="58"/>
        <v>0.1421760688736918</v>
      </c>
      <c r="R155" s="187">
        <f t="shared" si="59"/>
        <v>6.1173726822087632E-2</v>
      </c>
      <c r="S155" s="187">
        <f t="shared" si="60"/>
        <v>9.5936515495640709E-2</v>
      </c>
      <c r="T155" s="187">
        <f t="shared" si="61"/>
        <v>0.19871489371594817</v>
      </c>
      <c r="U155" s="53"/>
    </row>
    <row r="156" spans="1:22" x14ac:dyDescent="0.25">
      <c r="A156" s="107" t="s">
        <v>57</v>
      </c>
      <c r="B156" s="151">
        <v>181747</v>
      </c>
      <c r="C156" s="151">
        <v>197360</v>
      </c>
      <c r="D156" s="151">
        <v>217741</v>
      </c>
      <c r="E156" s="151">
        <v>243737</v>
      </c>
      <c r="F156" s="151">
        <v>269044</v>
      </c>
      <c r="G156" s="151">
        <v>290752</v>
      </c>
      <c r="H156" s="151">
        <v>326450</v>
      </c>
      <c r="I156" s="151">
        <v>344180</v>
      </c>
      <c r="J156" s="151">
        <v>351672</v>
      </c>
      <c r="K156" s="151">
        <v>342279</v>
      </c>
      <c r="L156" s="151">
        <v>329859</v>
      </c>
      <c r="M156" s="151">
        <v>321755</v>
      </c>
      <c r="N156" s="151">
        <v>316801</v>
      </c>
      <c r="O156" s="151">
        <v>300324</v>
      </c>
      <c r="P156" s="151">
        <v>310170</v>
      </c>
      <c r="Q156" s="187">
        <f t="shared" si="58"/>
        <v>6.6785439137134056E-2</v>
      </c>
      <c r="R156" s="187">
        <f t="shared" si="59"/>
        <v>-5.9689139905232239E-2</v>
      </c>
      <c r="S156" s="187">
        <f t="shared" si="60"/>
        <v>3.2784592639948852E-2</v>
      </c>
      <c r="T156" s="187">
        <f t="shared" si="61"/>
        <v>0.25752772717686778</v>
      </c>
      <c r="U156" s="53"/>
    </row>
    <row r="157" spans="1:22" x14ac:dyDescent="0.25">
      <c r="A157" s="107" t="s">
        <v>104</v>
      </c>
      <c r="B157" s="151">
        <v>419</v>
      </c>
      <c r="C157" s="151">
        <v>442</v>
      </c>
      <c r="D157" s="151">
        <v>231</v>
      </c>
      <c r="E157" s="151">
        <v>172</v>
      </c>
      <c r="F157" s="151">
        <v>195</v>
      </c>
      <c r="G157" s="151">
        <v>259</v>
      </c>
      <c r="H157" s="151">
        <v>71</v>
      </c>
      <c r="I157" s="151">
        <v>8</v>
      </c>
      <c r="J157" s="151">
        <v>4</v>
      </c>
      <c r="K157" s="151">
        <v>258</v>
      </c>
      <c r="L157" s="151"/>
      <c r="M157" s="151"/>
      <c r="N157" s="151"/>
      <c r="O157" s="151"/>
      <c r="P157" s="151"/>
      <c r="Q157" s="187">
        <f t="shared" si="58"/>
        <v>-1</v>
      </c>
      <c r="R157" s="187" t="s">
        <v>155</v>
      </c>
      <c r="S157" s="187" t="s">
        <v>155</v>
      </c>
      <c r="T157" s="187">
        <f t="shared" si="61"/>
        <v>0</v>
      </c>
      <c r="U157" s="53"/>
    </row>
    <row r="158" spans="1:22" s="52" customFormat="1" x14ac:dyDescent="0.25">
      <c r="A158" s="112" t="s">
        <v>0</v>
      </c>
      <c r="B158" s="190">
        <v>748344</v>
      </c>
      <c r="C158" s="190">
        <v>783349</v>
      </c>
      <c r="D158" s="190">
        <v>849340</v>
      </c>
      <c r="E158" s="190">
        <v>938258</v>
      </c>
      <c r="F158" s="190">
        <v>1015077</v>
      </c>
      <c r="G158" s="190">
        <v>1064816</v>
      </c>
      <c r="H158" s="190">
        <v>1114277</v>
      </c>
      <c r="I158" s="190">
        <v>1144381</v>
      </c>
      <c r="J158" s="190">
        <v>1165906</v>
      </c>
      <c r="K158" s="190">
        <v>1178480</v>
      </c>
      <c r="L158" s="190">
        <v>1177292</v>
      </c>
      <c r="M158" s="190">
        <v>1188047</v>
      </c>
      <c r="N158" s="190">
        <v>1194480</v>
      </c>
      <c r="O158" s="190">
        <v>1151922</v>
      </c>
      <c r="P158" s="190">
        <v>1204414</v>
      </c>
      <c r="Q158" s="188">
        <f t="shared" si="58"/>
        <v>0.13110058451413201</v>
      </c>
      <c r="R158" s="188">
        <f t="shared" si="59"/>
        <v>2.3037615137111268E-2</v>
      </c>
      <c r="S158" s="188">
        <f t="shared" si="60"/>
        <v>4.5569057627165725E-2</v>
      </c>
      <c r="T158" s="188">
        <f t="shared" si="61"/>
        <v>1</v>
      </c>
      <c r="U158" s="54"/>
      <c r="V158" s="110"/>
    </row>
    <row r="159" spans="1:22" x14ac:dyDescent="0.25">
      <c r="A159" s="110"/>
      <c r="B159" s="110"/>
      <c r="C159" s="110"/>
      <c r="D159" s="110"/>
      <c r="E159" s="110"/>
      <c r="F159" s="110"/>
      <c r="G159" s="110"/>
      <c r="H159" s="110"/>
      <c r="I159" s="110"/>
      <c r="J159" s="110"/>
      <c r="K159" s="110"/>
      <c r="L159" s="110"/>
      <c r="M159" s="110"/>
      <c r="N159" s="110"/>
      <c r="O159" s="110"/>
      <c r="P159" s="110"/>
      <c r="Q159" s="110"/>
      <c r="R159" s="110"/>
      <c r="S159" s="110"/>
      <c r="T159" s="110"/>
      <c r="U159" s="53"/>
    </row>
    <row r="160" spans="1:22" ht="18" x14ac:dyDescent="0.25">
      <c r="A160" s="27" t="s">
        <v>137</v>
      </c>
      <c r="B160" s="27"/>
      <c r="C160" s="27"/>
      <c r="D160" s="27"/>
      <c r="E160" s="27"/>
      <c r="F160" s="27"/>
      <c r="G160" s="27"/>
      <c r="H160" s="27"/>
      <c r="I160" s="110"/>
      <c r="J160" s="110"/>
      <c r="K160" s="110"/>
      <c r="L160" s="110"/>
      <c r="M160" s="110"/>
      <c r="N160" s="110"/>
      <c r="O160" s="110"/>
      <c r="P160" s="110"/>
      <c r="Q160" s="39"/>
      <c r="R160" s="39"/>
      <c r="S160" s="39"/>
      <c r="T160" s="39"/>
      <c r="U160" s="53"/>
    </row>
    <row r="161" spans="1:22" ht="30" customHeight="1" x14ac:dyDescent="0.25">
      <c r="A161" s="148" t="s">
        <v>58</v>
      </c>
      <c r="B161" s="130">
        <v>2007</v>
      </c>
      <c r="C161" s="130">
        <v>2008</v>
      </c>
      <c r="D161" s="130">
        <v>2009</v>
      </c>
      <c r="E161" s="130">
        <v>2010</v>
      </c>
      <c r="F161" s="130">
        <v>2011</v>
      </c>
      <c r="G161" s="130">
        <v>2012</v>
      </c>
      <c r="H161" s="130">
        <v>2013</v>
      </c>
      <c r="I161" s="130">
        <v>2014</v>
      </c>
      <c r="J161" s="130">
        <v>2015</v>
      </c>
      <c r="K161" s="130">
        <v>2016</v>
      </c>
      <c r="L161" s="130">
        <v>2017</v>
      </c>
      <c r="M161" s="130">
        <v>2018</v>
      </c>
      <c r="N161" s="130">
        <v>2019</v>
      </c>
      <c r="O161" s="130">
        <v>2020</v>
      </c>
      <c r="P161" s="130">
        <v>2021</v>
      </c>
      <c r="Q161" s="131" t="s">
        <v>424</v>
      </c>
      <c r="R161" s="131" t="s">
        <v>425</v>
      </c>
      <c r="S161" s="131" t="s">
        <v>426</v>
      </c>
      <c r="T161" s="131" t="s">
        <v>427</v>
      </c>
      <c r="U161" s="53"/>
    </row>
    <row r="162" spans="1:22" x14ac:dyDescent="0.25">
      <c r="A162" s="107" t="s">
        <v>49</v>
      </c>
      <c r="B162" s="151">
        <v>42432</v>
      </c>
      <c r="C162" s="151">
        <v>46105</v>
      </c>
      <c r="D162" s="151">
        <v>51159</v>
      </c>
      <c r="E162" s="151">
        <v>56254</v>
      </c>
      <c r="F162" s="151">
        <v>60532</v>
      </c>
      <c r="G162" s="151">
        <v>61065</v>
      </c>
      <c r="H162" s="151">
        <v>62651</v>
      </c>
      <c r="I162" s="151">
        <v>67385</v>
      </c>
      <c r="J162" s="151">
        <v>70022</v>
      </c>
      <c r="K162" s="151">
        <v>72850</v>
      </c>
      <c r="L162" s="151">
        <v>72024</v>
      </c>
      <c r="M162" s="151">
        <v>71151</v>
      </c>
      <c r="N162" s="151">
        <v>70646</v>
      </c>
      <c r="O162" s="151">
        <v>61347</v>
      </c>
      <c r="P162" s="151">
        <v>63738</v>
      </c>
      <c r="Q162" s="187">
        <f t="shared" ref="Q162:Q173" si="62">(P162-G162)/G162</f>
        <v>4.3773028739867353E-2</v>
      </c>
      <c r="R162" s="187">
        <f t="shared" ref="R162:R173" si="63">(P162-L162)/L162</f>
        <v>-0.11504498500499834</v>
      </c>
      <c r="S162" s="187">
        <f t="shared" ref="S162:S173" si="64">(P162-O162)/O162</f>
        <v>3.8975011002983034E-2</v>
      </c>
      <c r="T162" s="187">
        <f t="shared" ref="T162:T173" si="65">P162/P$15</f>
        <v>0.20263941832332397</v>
      </c>
      <c r="U162" s="53"/>
    </row>
    <row r="163" spans="1:22" x14ac:dyDescent="0.25">
      <c r="A163" s="107" t="s">
        <v>50</v>
      </c>
      <c r="B163" s="151">
        <v>6733</v>
      </c>
      <c r="C163" s="151">
        <v>6683</v>
      </c>
      <c r="D163" s="151">
        <v>6931</v>
      </c>
      <c r="E163" s="151">
        <v>6468</v>
      </c>
      <c r="F163" s="151">
        <v>6284</v>
      </c>
      <c r="G163" s="151">
        <v>6184</v>
      </c>
      <c r="H163" s="151">
        <v>6048</v>
      </c>
      <c r="I163" s="151">
        <v>5925</v>
      </c>
      <c r="J163" s="151">
        <v>6548</v>
      </c>
      <c r="K163" s="151">
        <v>7318</v>
      </c>
      <c r="L163" s="151">
        <v>7788</v>
      </c>
      <c r="M163" s="151">
        <v>8195</v>
      </c>
      <c r="N163" s="151">
        <v>8810</v>
      </c>
      <c r="O163" s="151">
        <v>8771</v>
      </c>
      <c r="P163" s="151">
        <v>9599</v>
      </c>
      <c r="Q163" s="187">
        <f t="shared" si="62"/>
        <v>0.5522315653298836</v>
      </c>
      <c r="R163" s="187">
        <f t="shared" si="63"/>
        <v>0.2325372367745249</v>
      </c>
      <c r="S163" s="187">
        <f t="shared" si="64"/>
        <v>9.4402006612700942E-2</v>
      </c>
      <c r="T163" s="187">
        <f t="shared" si="65"/>
        <v>3.0517678252935249E-2</v>
      </c>
      <c r="U163" s="53"/>
    </row>
    <row r="164" spans="1:22" x14ac:dyDescent="0.25">
      <c r="A164" s="107" t="s">
        <v>51</v>
      </c>
      <c r="B164" s="151">
        <v>14967</v>
      </c>
      <c r="C164" s="151">
        <v>15094</v>
      </c>
      <c r="D164" s="151">
        <v>15527</v>
      </c>
      <c r="E164" s="151">
        <v>16391</v>
      </c>
      <c r="F164" s="151">
        <v>15675</v>
      </c>
      <c r="G164" s="151">
        <v>15631</v>
      </c>
      <c r="H164" s="151">
        <v>15920</v>
      </c>
      <c r="I164" s="151">
        <v>15347</v>
      </c>
      <c r="J164" s="151">
        <v>15547</v>
      </c>
      <c r="K164" s="151">
        <v>15800</v>
      </c>
      <c r="L164" s="151">
        <v>15910</v>
      </c>
      <c r="M164" s="151">
        <v>16652</v>
      </c>
      <c r="N164" s="151">
        <v>18072</v>
      </c>
      <c r="O164" s="151">
        <v>17496</v>
      </c>
      <c r="P164" s="151">
        <v>17190</v>
      </c>
      <c r="Q164" s="187">
        <f t="shared" si="62"/>
        <v>9.9737700722922401E-2</v>
      </c>
      <c r="R164" s="187">
        <f t="shared" si="63"/>
        <v>8.045254556882464E-2</v>
      </c>
      <c r="S164" s="187">
        <f t="shared" si="64"/>
        <v>-1.7489711934156379E-2</v>
      </c>
      <c r="T164" s="187">
        <f t="shared" si="65"/>
        <v>5.4651410476920188E-2</v>
      </c>
      <c r="U164" s="53"/>
    </row>
    <row r="165" spans="1:22" x14ac:dyDescent="0.25">
      <c r="A165" s="107" t="s">
        <v>52</v>
      </c>
      <c r="B165" s="151">
        <v>4456</v>
      </c>
      <c r="C165" s="151">
        <v>4728</v>
      </c>
      <c r="D165" s="151">
        <v>4825</v>
      </c>
      <c r="E165" s="151">
        <v>4993</v>
      </c>
      <c r="F165" s="151">
        <v>4984</v>
      </c>
      <c r="G165" s="151">
        <v>5093</v>
      </c>
      <c r="H165" s="151">
        <v>6079</v>
      </c>
      <c r="I165" s="151">
        <v>6132</v>
      </c>
      <c r="J165" s="151">
        <v>5976</v>
      </c>
      <c r="K165" s="151">
        <v>5481</v>
      </c>
      <c r="L165" s="151">
        <v>5641</v>
      </c>
      <c r="M165" s="151">
        <v>5548</v>
      </c>
      <c r="N165" s="151">
        <v>5590</v>
      </c>
      <c r="O165" s="151">
        <v>5523</v>
      </c>
      <c r="P165" s="151">
        <v>5048</v>
      </c>
      <c r="Q165" s="187">
        <f t="shared" si="62"/>
        <v>-8.8356567838209308E-3</v>
      </c>
      <c r="R165" s="187">
        <f t="shared" si="63"/>
        <v>-0.10512320510547775</v>
      </c>
      <c r="S165" s="187">
        <f t="shared" si="64"/>
        <v>-8.6003983342386389E-2</v>
      </c>
      <c r="T165" s="187">
        <f t="shared" si="65"/>
        <v>1.6048884240110129E-2</v>
      </c>
      <c r="U165" s="53"/>
    </row>
    <row r="166" spans="1:22" x14ac:dyDescent="0.25">
      <c r="A166" s="107" t="s">
        <v>53</v>
      </c>
      <c r="B166" s="151">
        <v>20116</v>
      </c>
      <c r="C166" s="151">
        <v>20831</v>
      </c>
      <c r="D166" s="151">
        <v>23028</v>
      </c>
      <c r="E166" s="151">
        <v>25090</v>
      </c>
      <c r="F166" s="151">
        <v>25035</v>
      </c>
      <c r="G166" s="151">
        <v>25201</v>
      </c>
      <c r="H166" s="151">
        <v>25638</v>
      </c>
      <c r="I166" s="151">
        <v>25503</v>
      </c>
      <c r="J166" s="151">
        <v>26416</v>
      </c>
      <c r="K166" s="151">
        <v>28592</v>
      </c>
      <c r="L166" s="151">
        <v>30281</v>
      </c>
      <c r="M166" s="151">
        <v>30954</v>
      </c>
      <c r="N166" s="151">
        <v>31673</v>
      </c>
      <c r="O166" s="151">
        <v>30402</v>
      </c>
      <c r="P166" s="151">
        <v>33115</v>
      </c>
      <c r="Q166" s="187">
        <f t="shared" si="62"/>
        <v>0.3140351573350264</v>
      </c>
      <c r="R166" s="187">
        <f t="shared" si="63"/>
        <v>9.3590039959050228E-2</v>
      </c>
      <c r="S166" s="187">
        <f t="shared" si="64"/>
        <v>8.9237550161173601E-2</v>
      </c>
      <c r="T166" s="187">
        <f t="shared" si="65"/>
        <v>0.1052810621258413</v>
      </c>
      <c r="U166" s="53"/>
    </row>
    <row r="167" spans="1:22" x14ac:dyDescent="0.25">
      <c r="A167" s="107" t="s">
        <v>7</v>
      </c>
      <c r="B167" s="151">
        <v>21005</v>
      </c>
      <c r="C167" s="151">
        <v>12914</v>
      </c>
      <c r="D167" s="151">
        <v>12439</v>
      </c>
      <c r="E167" s="151">
        <v>11461</v>
      </c>
      <c r="F167" s="151">
        <v>10620</v>
      </c>
      <c r="G167" s="151">
        <v>9832</v>
      </c>
      <c r="H167" s="151">
        <v>8772</v>
      </c>
      <c r="I167" s="151">
        <v>9044</v>
      </c>
      <c r="J167" s="151">
        <v>9051</v>
      </c>
      <c r="K167" s="151">
        <v>9350</v>
      </c>
      <c r="L167" s="151">
        <v>9910</v>
      </c>
      <c r="M167" s="151">
        <v>10203</v>
      </c>
      <c r="N167" s="151">
        <v>10391</v>
      </c>
      <c r="O167" s="151">
        <v>10405</v>
      </c>
      <c r="P167" s="151">
        <v>11046</v>
      </c>
      <c r="Q167" s="187">
        <f t="shared" si="62"/>
        <v>0.12347436940602116</v>
      </c>
      <c r="R167" s="187">
        <f t="shared" si="63"/>
        <v>0.11463168516649849</v>
      </c>
      <c r="S167" s="187">
        <f t="shared" si="64"/>
        <v>6.1604997597308989E-2</v>
      </c>
      <c r="T167" s="187">
        <f t="shared" si="65"/>
        <v>3.5118061671207706E-2</v>
      </c>
      <c r="U167" s="53"/>
    </row>
    <row r="168" spans="1:22" x14ac:dyDescent="0.25">
      <c r="A168" s="107" t="s">
        <v>54</v>
      </c>
      <c r="B168" s="151">
        <v>33309</v>
      </c>
      <c r="C168" s="151">
        <v>34750</v>
      </c>
      <c r="D168" s="151">
        <v>39059</v>
      </c>
      <c r="E168" s="151">
        <v>44467</v>
      </c>
      <c r="F168" s="151">
        <v>44121</v>
      </c>
      <c r="G168" s="151">
        <v>42735</v>
      </c>
      <c r="H168" s="151">
        <v>38860</v>
      </c>
      <c r="I168" s="151">
        <v>36673</v>
      </c>
      <c r="J168" s="151">
        <v>36760</v>
      </c>
      <c r="K168" s="151">
        <v>39882</v>
      </c>
      <c r="L168" s="151">
        <v>41111</v>
      </c>
      <c r="M168" s="151">
        <v>45745</v>
      </c>
      <c r="N168" s="151">
        <v>39963</v>
      </c>
      <c r="O168" s="151">
        <v>34929</v>
      </c>
      <c r="P168" s="151">
        <v>30017</v>
      </c>
      <c r="Q168" s="187">
        <f t="shared" si="62"/>
        <v>-0.29760149760149762</v>
      </c>
      <c r="R168" s="187">
        <f t="shared" si="63"/>
        <v>-0.26985478339130647</v>
      </c>
      <c r="S168" s="187">
        <f t="shared" si="64"/>
        <v>-0.14062813135217156</v>
      </c>
      <c r="T168" s="187">
        <f t="shared" si="65"/>
        <v>9.5431727067231728E-2</v>
      </c>
      <c r="U168" s="53"/>
    </row>
    <row r="169" spans="1:22" x14ac:dyDescent="0.25">
      <c r="A169" s="107" t="s">
        <v>55</v>
      </c>
      <c r="B169" s="151">
        <v>3062</v>
      </c>
      <c r="C169" s="151">
        <v>3246</v>
      </c>
      <c r="D169" s="151">
        <v>3228</v>
      </c>
      <c r="E169" s="151">
        <v>3452</v>
      </c>
      <c r="F169" s="151">
        <v>3377</v>
      </c>
      <c r="G169" s="151">
        <v>3259</v>
      </c>
      <c r="H169" s="151">
        <v>3310</v>
      </c>
      <c r="I169" s="151">
        <v>3090</v>
      </c>
      <c r="J169" s="151">
        <v>3060</v>
      </c>
      <c r="K169" s="151">
        <v>2941</v>
      </c>
      <c r="L169" s="151">
        <v>2958</v>
      </c>
      <c r="M169" s="151">
        <v>2857</v>
      </c>
      <c r="N169" s="151">
        <v>2673</v>
      </c>
      <c r="O169" s="151">
        <v>2209</v>
      </c>
      <c r="P169" s="151">
        <v>2293</v>
      </c>
      <c r="Q169" s="187">
        <f t="shared" si="62"/>
        <v>-0.29640994169990792</v>
      </c>
      <c r="R169" s="187">
        <f t="shared" si="63"/>
        <v>-0.22481406355645706</v>
      </c>
      <c r="S169" s="187">
        <f t="shared" si="64"/>
        <v>3.8026256224535988E-2</v>
      </c>
      <c r="T169" s="187">
        <f t="shared" si="65"/>
        <v>7.2900339862465389E-3</v>
      </c>
      <c r="U169" s="53"/>
    </row>
    <row r="170" spans="1:22" x14ac:dyDescent="0.25">
      <c r="A170" s="107" t="s">
        <v>56</v>
      </c>
      <c r="B170" s="151">
        <v>35151</v>
      </c>
      <c r="C170" s="151">
        <v>41771</v>
      </c>
      <c r="D170" s="151">
        <v>48952</v>
      </c>
      <c r="E170" s="151">
        <v>59271</v>
      </c>
      <c r="F170" s="151">
        <v>63896</v>
      </c>
      <c r="G170" s="151">
        <v>65386</v>
      </c>
      <c r="H170" s="151">
        <v>60315</v>
      </c>
      <c r="I170" s="151">
        <v>58178</v>
      </c>
      <c r="J170" s="151">
        <v>58045</v>
      </c>
      <c r="K170" s="151">
        <v>58300</v>
      </c>
      <c r="L170" s="151">
        <v>58669</v>
      </c>
      <c r="M170" s="151">
        <v>56746</v>
      </c>
      <c r="N170" s="151">
        <v>54430</v>
      </c>
      <c r="O170" s="151">
        <v>51750</v>
      </c>
      <c r="P170" s="151">
        <v>59112</v>
      </c>
      <c r="Q170" s="187">
        <f t="shared" si="62"/>
        <v>-9.5953262166212958E-2</v>
      </c>
      <c r="R170" s="187">
        <f t="shared" si="63"/>
        <v>7.550836046293613E-3</v>
      </c>
      <c r="S170" s="187">
        <f t="shared" si="64"/>
        <v>0.14226086956521738</v>
      </c>
      <c r="T170" s="187">
        <f t="shared" si="65"/>
        <v>0.18793218011121038</v>
      </c>
      <c r="U170" s="53"/>
    </row>
    <row r="171" spans="1:22" x14ac:dyDescent="0.25">
      <c r="A171" s="107" t="s">
        <v>57</v>
      </c>
      <c r="B171" s="151">
        <v>61821</v>
      </c>
      <c r="C171" s="151">
        <v>66578</v>
      </c>
      <c r="D171" s="151">
        <v>76359</v>
      </c>
      <c r="E171" s="151">
        <v>87077</v>
      </c>
      <c r="F171" s="151">
        <v>93625</v>
      </c>
      <c r="G171" s="151">
        <v>98209</v>
      </c>
      <c r="H171" s="151">
        <v>115347</v>
      </c>
      <c r="I171" s="151">
        <v>114183</v>
      </c>
      <c r="J171" s="151">
        <v>106330</v>
      </c>
      <c r="K171" s="151">
        <v>97137</v>
      </c>
      <c r="L171" s="151">
        <v>90979</v>
      </c>
      <c r="M171" s="151">
        <v>86840</v>
      </c>
      <c r="N171" s="151">
        <v>88426</v>
      </c>
      <c r="O171" s="151">
        <v>80600</v>
      </c>
      <c r="P171" s="151">
        <v>83381</v>
      </c>
      <c r="Q171" s="187">
        <f t="shared" si="62"/>
        <v>-0.1509841256911281</v>
      </c>
      <c r="R171" s="187">
        <f t="shared" si="63"/>
        <v>-8.3513777904791212E-2</v>
      </c>
      <c r="S171" s="187">
        <f t="shared" si="64"/>
        <v>3.4503722084367243E-2</v>
      </c>
      <c r="T171" s="187">
        <f t="shared" si="65"/>
        <v>0.26508954374497279</v>
      </c>
      <c r="U171" s="53"/>
    </row>
    <row r="172" spans="1:22" x14ac:dyDescent="0.25">
      <c r="A172" s="107" t="s">
        <v>104</v>
      </c>
      <c r="B172" s="151">
        <v>327</v>
      </c>
      <c r="C172" s="151">
        <v>264</v>
      </c>
      <c r="D172" s="151">
        <v>140</v>
      </c>
      <c r="E172" s="151">
        <v>134</v>
      </c>
      <c r="F172" s="151">
        <v>174</v>
      </c>
      <c r="G172" s="151">
        <v>233</v>
      </c>
      <c r="H172" s="151">
        <v>60</v>
      </c>
      <c r="I172" s="151"/>
      <c r="J172" s="151">
        <v>4</v>
      </c>
      <c r="K172" s="151">
        <v>255</v>
      </c>
      <c r="L172" s="151"/>
      <c r="M172" s="151"/>
      <c r="N172" s="151"/>
      <c r="O172" s="151"/>
      <c r="P172" s="151"/>
      <c r="Q172" s="187">
        <f t="shared" si="62"/>
        <v>-1</v>
      </c>
      <c r="R172" s="187" t="s">
        <v>155</v>
      </c>
      <c r="S172" s="187" t="s">
        <v>155</v>
      </c>
      <c r="T172" s="187">
        <f t="shared" si="65"/>
        <v>0</v>
      </c>
      <c r="U172" s="53"/>
    </row>
    <row r="173" spans="1:22" s="52" customFormat="1" x14ac:dyDescent="0.25">
      <c r="A173" s="112" t="s">
        <v>0</v>
      </c>
      <c r="B173" s="108">
        <v>243379</v>
      </c>
      <c r="C173" s="108">
        <v>252964</v>
      </c>
      <c r="D173" s="108">
        <v>281647</v>
      </c>
      <c r="E173" s="108">
        <v>315058</v>
      </c>
      <c r="F173" s="108">
        <v>328323</v>
      </c>
      <c r="G173" s="108">
        <v>332828</v>
      </c>
      <c r="H173" s="108">
        <v>343000</v>
      </c>
      <c r="I173" s="108">
        <v>341460</v>
      </c>
      <c r="J173" s="108">
        <v>337759</v>
      </c>
      <c r="K173" s="108">
        <v>337906</v>
      </c>
      <c r="L173" s="108">
        <v>335271</v>
      </c>
      <c r="M173" s="108">
        <v>334891</v>
      </c>
      <c r="N173" s="108">
        <v>330674</v>
      </c>
      <c r="O173" s="108">
        <v>303432</v>
      </c>
      <c r="P173" s="108">
        <v>314539</v>
      </c>
      <c r="Q173" s="188">
        <f t="shared" si="62"/>
        <v>-5.4950304661867393E-2</v>
      </c>
      <c r="R173" s="188">
        <f t="shared" si="63"/>
        <v>-6.1836544168747072E-2</v>
      </c>
      <c r="S173" s="188">
        <f t="shared" si="64"/>
        <v>3.6604576972764903E-2</v>
      </c>
      <c r="T173" s="188">
        <f t="shared" si="65"/>
        <v>1</v>
      </c>
      <c r="U173" s="54"/>
      <c r="V173" s="110"/>
    </row>
    <row r="174" spans="1:22" x14ac:dyDescent="0.25">
      <c r="A174" s="39"/>
      <c r="B174" s="39"/>
      <c r="C174" s="39"/>
      <c r="D174" s="39"/>
      <c r="E174" s="39"/>
      <c r="F174" s="39"/>
      <c r="G174" s="39"/>
      <c r="H174" s="39"/>
      <c r="I174" s="39"/>
      <c r="J174" s="39"/>
      <c r="K174" s="39"/>
      <c r="L174" s="39"/>
      <c r="M174" s="39"/>
      <c r="N174" s="39"/>
      <c r="O174" s="39"/>
      <c r="P174" s="39"/>
      <c r="Q174" s="39"/>
      <c r="R174" s="39"/>
      <c r="S174" s="39"/>
      <c r="T174" s="39"/>
      <c r="U174" s="53"/>
    </row>
    <row r="175" spans="1:22" ht="15.75" x14ac:dyDescent="0.25">
      <c r="A175" s="27" t="s">
        <v>85</v>
      </c>
      <c r="B175" s="27"/>
      <c r="C175" s="27"/>
      <c r="D175" s="27"/>
      <c r="E175" s="27"/>
      <c r="F175" s="27"/>
      <c r="G175" s="27"/>
      <c r="H175" s="27"/>
      <c r="I175" s="110"/>
      <c r="J175" s="110"/>
      <c r="K175" s="110"/>
      <c r="L175" s="110"/>
      <c r="M175" s="110"/>
      <c r="N175" s="110"/>
      <c r="O175" s="110"/>
      <c r="P175" s="110"/>
      <c r="Q175" s="39"/>
      <c r="R175" s="39"/>
      <c r="S175" s="39"/>
      <c r="T175" s="39"/>
      <c r="U175" s="53"/>
    </row>
    <row r="176" spans="1:22" ht="30" customHeight="1" x14ac:dyDescent="0.25">
      <c r="A176" s="148" t="s">
        <v>2</v>
      </c>
      <c r="B176" s="130">
        <v>2007</v>
      </c>
      <c r="C176" s="130">
        <v>2008</v>
      </c>
      <c r="D176" s="130">
        <v>2009</v>
      </c>
      <c r="E176" s="130">
        <v>2010</v>
      </c>
      <c r="F176" s="130">
        <v>2011</v>
      </c>
      <c r="G176" s="130">
        <v>2012</v>
      </c>
      <c r="H176" s="130">
        <v>2013</v>
      </c>
      <c r="I176" s="130">
        <v>2014</v>
      </c>
      <c r="J176" s="130">
        <v>2015</v>
      </c>
      <c r="K176" s="130">
        <v>2016</v>
      </c>
      <c r="L176" s="130">
        <v>2017</v>
      </c>
      <c r="M176" s="130">
        <v>2018</v>
      </c>
      <c r="N176" s="130">
        <v>2019</v>
      </c>
      <c r="O176" s="130">
        <v>2020</v>
      </c>
      <c r="P176" s="130">
        <v>2021</v>
      </c>
      <c r="Q176" s="131" t="s">
        <v>424</v>
      </c>
      <c r="R176" s="131" t="s">
        <v>425</v>
      </c>
      <c r="S176" s="131" t="s">
        <v>426</v>
      </c>
      <c r="T176" s="131" t="s">
        <v>427</v>
      </c>
    </row>
    <row r="177" spans="1:21" ht="15" customHeight="1" x14ac:dyDescent="0.25">
      <c r="A177" s="191" t="s">
        <v>18</v>
      </c>
      <c r="B177" s="151">
        <v>11520</v>
      </c>
      <c r="C177" s="151">
        <v>14078</v>
      </c>
      <c r="D177" s="151">
        <v>17625</v>
      </c>
      <c r="E177" s="151">
        <v>22458</v>
      </c>
      <c r="F177" s="151">
        <v>24642</v>
      </c>
      <c r="G177" s="151">
        <v>24341</v>
      </c>
      <c r="H177" s="151">
        <v>23955</v>
      </c>
      <c r="I177" s="151">
        <v>23295</v>
      </c>
      <c r="J177" s="151">
        <v>22226</v>
      </c>
      <c r="K177" s="151">
        <v>21372</v>
      </c>
      <c r="L177" s="151">
        <v>20546</v>
      </c>
      <c r="M177" s="151">
        <v>19538</v>
      </c>
      <c r="N177" s="151">
        <v>18334</v>
      </c>
      <c r="O177" s="151">
        <v>16855</v>
      </c>
      <c r="P177" s="151">
        <v>19160</v>
      </c>
      <c r="Q177" s="187">
        <f t="shared" ref="Q177:Q196" si="66">(P177-G177)/G177</f>
        <v>-0.2128507456554784</v>
      </c>
      <c r="R177" s="187">
        <f t="shared" ref="R177:R196" si="67">(P177-L177)/L177</f>
        <v>-6.7458386060547063E-2</v>
      </c>
      <c r="S177" s="187">
        <f t="shared" ref="S177:S196" si="68">(P177-O177)/O177</f>
        <v>0.13675467220409374</v>
      </c>
      <c r="T177" s="187">
        <f>P177/P$5</f>
        <v>0.14245776826076612</v>
      </c>
      <c r="U177" s="53"/>
    </row>
    <row r="178" spans="1:21" x14ac:dyDescent="0.25">
      <c r="A178" s="191" t="s">
        <v>21</v>
      </c>
      <c r="B178" s="151">
        <v>4790</v>
      </c>
      <c r="C178" s="151">
        <v>5439</v>
      </c>
      <c r="D178" s="151">
        <v>8122</v>
      </c>
      <c r="E178" s="151">
        <v>9908</v>
      </c>
      <c r="F178" s="151">
        <v>10754</v>
      </c>
      <c r="G178" s="151">
        <v>11187</v>
      </c>
      <c r="H178" s="151">
        <v>12046</v>
      </c>
      <c r="I178" s="151">
        <v>13005</v>
      </c>
      <c r="J178" s="151">
        <v>13191</v>
      </c>
      <c r="K178" s="151">
        <v>14014</v>
      </c>
      <c r="L178" s="151">
        <v>12894</v>
      </c>
      <c r="M178" s="151">
        <v>13563</v>
      </c>
      <c r="N178" s="151">
        <v>13868</v>
      </c>
      <c r="O178" s="151">
        <v>12284</v>
      </c>
      <c r="P178" s="151">
        <v>12128</v>
      </c>
      <c r="Q178" s="187">
        <f t="shared" si="66"/>
        <v>8.4115491195137213E-2</v>
      </c>
      <c r="R178" s="187">
        <f t="shared" si="67"/>
        <v>-5.9407476345587094E-2</v>
      </c>
      <c r="S178" s="187">
        <f t="shared" si="68"/>
        <v>-1.2699446434386193E-2</v>
      </c>
      <c r="T178" s="187">
        <f t="shared" ref="T178:T196" si="69">P178/P$5</f>
        <v>9.0173685462764691E-2</v>
      </c>
    </row>
    <row r="179" spans="1:21" x14ac:dyDescent="0.25">
      <c r="A179" s="191" t="s">
        <v>25</v>
      </c>
      <c r="B179" s="151">
        <v>1327</v>
      </c>
      <c r="C179" s="151">
        <v>1818</v>
      </c>
      <c r="D179" s="151">
        <v>2784</v>
      </c>
      <c r="E179" s="151">
        <v>4190</v>
      </c>
      <c r="F179" s="151">
        <v>5236</v>
      </c>
      <c r="G179" s="151">
        <v>6213</v>
      </c>
      <c r="H179" s="151">
        <v>6273</v>
      </c>
      <c r="I179" s="151">
        <v>6642</v>
      </c>
      <c r="J179" s="151">
        <v>6783</v>
      </c>
      <c r="K179" s="151">
        <v>7664</v>
      </c>
      <c r="L179" s="151">
        <v>9397</v>
      </c>
      <c r="M179" s="151">
        <v>10541</v>
      </c>
      <c r="N179" s="151">
        <v>11479</v>
      </c>
      <c r="O179" s="151">
        <v>11414</v>
      </c>
      <c r="P179" s="151">
        <v>11378</v>
      </c>
      <c r="Q179" s="187">
        <f t="shared" si="66"/>
        <v>0.83132142282311283</v>
      </c>
      <c r="R179" s="187">
        <f t="shared" si="67"/>
        <v>0.21081196126423327</v>
      </c>
      <c r="S179" s="187">
        <f t="shared" si="68"/>
        <v>-3.1540213772560015E-3</v>
      </c>
      <c r="T179" s="187">
        <f t="shared" si="69"/>
        <v>8.4597311444206513E-2</v>
      </c>
      <c r="U179" s="53"/>
    </row>
    <row r="180" spans="1:21" x14ac:dyDescent="0.25">
      <c r="A180" s="191" t="s">
        <v>33</v>
      </c>
      <c r="B180" s="151">
        <v>6948</v>
      </c>
      <c r="C180" s="151">
        <v>7280</v>
      </c>
      <c r="D180" s="151">
        <v>8121</v>
      </c>
      <c r="E180" s="151">
        <v>8942</v>
      </c>
      <c r="F180" s="151">
        <v>9214</v>
      </c>
      <c r="G180" s="151">
        <v>8500</v>
      </c>
      <c r="H180" s="151">
        <v>8024</v>
      </c>
      <c r="I180" s="151">
        <v>8368</v>
      </c>
      <c r="J180" s="151">
        <v>8660</v>
      </c>
      <c r="K180" s="151">
        <v>9131</v>
      </c>
      <c r="L180" s="151">
        <v>8645</v>
      </c>
      <c r="M180" s="151">
        <v>8428</v>
      </c>
      <c r="N180" s="151">
        <v>8387</v>
      </c>
      <c r="O180" s="151">
        <v>7963</v>
      </c>
      <c r="P180" s="151">
        <v>8037</v>
      </c>
      <c r="Q180" s="187">
        <f t="shared" si="66"/>
        <v>-5.4470588235294118E-2</v>
      </c>
      <c r="R180" s="187">
        <f t="shared" si="67"/>
        <v>-7.032967032967033E-2</v>
      </c>
      <c r="S180" s="187">
        <f t="shared" si="68"/>
        <v>9.2929800326510114E-3</v>
      </c>
      <c r="T180" s="187">
        <f t="shared" si="69"/>
        <v>5.9756423982869379E-2</v>
      </c>
    </row>
    <row r="181" spans="1:21" x14ac:dyDescent="0.25">
      <c r="A181" s="191" t="s">
        <v>156</v>
      </c>
      <c r="B181" s="151">
        <v>3002</v>
      </c>
      <c r="C181" s="151">
        <v>3678</v>
      </c>
      <c r="D181" s="151">
        <v>4318</v>
      </c>
      <c r="E181" s="151">
        <v>4737</v>
      </c>
      <c r="F181" s="151">
        <v>4659</v>
      </c>
      <c r="G181" s="151">
        <v>4197</v>
      </c>
      <c r="H181" s="151">
        <v>4247</v>
      </c>
      <c r="I181" s="151">
        <v>4328</v>
      </c>
      <c r="J181" s="151">
        <v>4396</v>
      </c>
      <c r="K181" s="151">
        <v>4207</v>
      </c>
      <c r="L181" s="151">
        <v>4403</v>
      </c>
      <c r="M181" s="151">
        <v>4652</v>
      </c>
      <c r="N181" s="151">
        <v>5124</v>
      </c>
      <c r="O181" s="151">
        <v>5241</v>
      </c>
      <c r="P181" s="151">
        <v>5587</v>
      </c>
      <c r="Q181" s="187">
        <f t="shared" si="66"/>
        <v>0.33118894448415537</v>
      </c>
      <c r="R181" s="187">
        <f t="shared" si="67"/>
        <v>0.26890756302521007</v>
      </c>
      <c r="S181" s="187">
        <f t="shared" si="68"/>
        <v>6.6017935508490749E-2</v>
      </c>
      <c r="T181" s="187">
        <f t="shared" si="69"/>
        <v>4.1540268855579349E-2</v>
      </c>
      <c r="U181" s="53"/>
    </row>
    <row r="182" spans="1:21" x14ac:dyDescent="0.25">
      <c r="A182" s="191" t="s">
        <v>27</v>
      </c>
      <c r="B182" s="151">
        <v>1435</v>
      </c>
      <c r="C182" s="151">
        <v>1842</v>
      </c>
      <c r="D182" s="151">
        <v>2156</v>
      </c>
      <c r="E182" s="151">
        <v>2514</v>
      </c>
      <c r="F182" s="151">
        <v>2997</v>
      </c>
      <c r="G182" s="151">
        <v>3314</v>
      </c>
      <c r="H182" s="151">
        <v>3669</v>
      </c>
      <c r="I182" s="151">
        <v>4170</v>
      </c>
      <c r="J182" s="151">
        <v>4803</v>
      </c>
      <c r="K182" s="151">
        <v>5001</v>
      </c>
      <c r="L182" s="151">
        <v>5149</v>
      </c>
      <c r="M182" s="151">
        <v>5057</v>
      </c>
      <c r="N182" s="151">
        <v>5321</v>
      </c>
      <c r="O182" s="151">
        <v>5291</v>
      </c>
      <c r="P182" s="151">
        <v>5263</v>
      </c>
      <c r="Q182" s="187">
        <f t="shared" si="66"/>
        <v>0.58811104405552206</v>
      </c>
      <c r="R182" s="187">
        <f t="shared" si="67"/>
        <v>2.2140221402214021E-2</v>
      </c>
      <c r="S182" s="187">
        <f t="shared" si="68"/>
        <v>-5.2920052920052921E-3</v>
      </c>
      <c r="T182" s="187">
        <f t="shared" si="69"/>
        <v>3.9131275279562221E-2</v>
      </c>
    </row>
    <row r="183" spans="1:21" x14ac:dyDescent="0.25">
      <c r="A183" s="191" t="s">
        <v>29</v>
      </c>
      <c r="B183" s="151">
        <v>3719</v>
      </c>
      <c r="C183" s="151">
        <v>4350</v>
      </c>
      <c r="D183" s="151">
        <v>5073</v>
      </c>
      <c r="E183" s="151">
        <v>5748</v>
      </c>
      <c r="F183" s="151">
        <v>6369</v>
      </c>
      <c r="G183" s="151">
        <v>6289</v>
      </c>
      <c r="H183" s="151">
        <v>6471</v>
      </c>
      <c r="I183" s="151">
        <v>6670</v>
      </c>
      <c r="J183" s="151">
        <v>6742</v>
      </c>
      <c r="K183" s="151">
        <v>6729</v>
      </c>
      <c r="L183" s="151">
        <v>6813</v>
      </c>
      <c r="M183" s="151">
        <v>6923</v>
      </c>
      <c r="N183" s="151">
        <v>6809</v>
      </c>
      <c r="O183" s="151">
        <v>6151</v>
      </c>
      <c r="P183" s="151">
        <v>5152</v>
      </c>
      <c r="Q183" s="187">
        <f t="shared" si="66"/>
        <v>-0.18079185880108126</v>
      </c>
      <c r="R183" s="187">
        <f t="shared" si="67"/>
        <v>-0.24379862028474975</v>
      </c>
      <c r="S183" s="187">
        <f t="shared" si="68"/>
        <v>-0.16241261583482361</v>
      </c>
      <c r="T183" s="187">
        <f t="shared" si="69"/>
        <v>3.8305971924815607E-2</v>
      </c>
      <c r="U183" s="53"/>
    </row>
    <row r="184" spans="1:21" x14ac:dyDescent="0.25">
      <c r="A184" s="191" t="s">
        <v>34</v>
      </c>
      <c r="B184" s="151">
        <v>1494</v>
      </c>
      <c r="C184" s="151">
        <v>1568</v>
      </c>
      <c r="D184" s="151">
        <v>1958</v>
      </c>
      <c r="E184" s="151">
        <v>2401</v>
      </c>
      <c r="F184" s="151">
        <v>2636</v>
      </c>
      <c r="G184" s="151">
        <v>2933</v>
      </c>
      <c r="H184" s="151">
        <v>3162</v>
      </c>
      <c r="I184" s="151">
        <v>3244</v>
      </c>
      <c r="J184" s="151">
        <v>3413</v>
      </c>
      <c r="K184" s="151">
        <v>3717</v>
      </c>
      <c r="L184" s="151">
        <v>4072</v>
      </c>
      <c r="M184" s="151">
        <v>4378</v>
      </c>
      <c r="N184" s="151">
        <v>4497</v>
      </c>
      <c r="O184" s="151">
        <v>4437</v>
      </c>
      <c r="P184" s="151">
        <v>4922</v>
      </c>
      <c r="Q184" s="187">
        <f t="shared" si="66"/>
        <v>0.67814524377770202</v>
      </c>
      <c r="R184" s="187">
        <f t="shared" si="67"/>
        <v>0.20874263261296661</v>
      </c>
      <c r="S184" s="187">
        <f t="shared" si="68"/>
        <v>0.10930809105251296</v>
      </c>
      <c r="T184" s="187">
        <f t="shared" si="69"/>
        <v>3.659588389245777E-2</v>
      </c>
    </row>
    <row r="185" spans="1:21" x14ac:dyDescent="0.25">
      <c r="A185" s="191" t="s">
        <v>26</v>
      </c>
      <c r="B185" s="151">
        <v>1469</v>
      </c>
      <c r="C185" s="151">
        <v>1782</v>
      </c>
      <c r="D185" s="151">
        <v>2297</v>
      </c>
      <c r="E185" s="151">
        <v>2833</v>
      </c>
      <c r="F185" s="151">
        <v>3029</v>
      </c>
      <c r="G185" s="151">
        <v>3088</v>
      </c>
      <c r="H185" s="151">
        <v>3119</v>
      </c>
      <c r="I185" s="151">
        <v>3158</v>
      </c>
      <c r="J185" s="151">
        <v>3424</v>
      </c>
      <c r="K185" s="151">
        <v>3587</v>
      </c>
      <c r="L185" s="151">
        <v>3872</v>
      </c>
      <c r="M185" s="151">
        <v>4249</v>
      </c>
      <c r="N185" s="151">
        <v>4511</v>
      </c>
      <c r="O185" s="151">
        <v>4198</v>
      </c>
      <c r="P185" s="151">
        <v>4692</v>
      </c>
      <c r="Q185" s="187">
        <f t="shared" si="66"/>
        <v>0.51943005181347146</v>
      </c>
      <c r="R185" s="187">
        <f t="shared" si="67"/>
        <v>0.21177685950413222</v>
      </c>
      <c r="S185" s="187">
        <f t="shared" si="68"/>
        <v>0.11767508337303478</v>
      </c>
      <c r="T185" s="187">
        <f t="shared" si="69"/>
        <v>3.4885795860099926E-2</v>
      </c>
      <c r="U185" s="53"/>
    </row>
    <row r="186" spans="1:21" x14ac:dyDescent="0.25">
      <c r="A186" s="191" t="s">
        <v>24</v>
      </c>
      <c r="B186" s="151">
        <v>1814</v>
      </c>
      <c r="C186" s="151">
        <v>2004</v>
      </c>
      <c r="D186" s="151">
        <v>2198</v>
      </c>
      <c r="E186" s="151">
        <v>2452</v>
      </c>
      <c r="F186" s="151">
        <v>2692</v>
      </c>
      <c r="G186" s="151">
        <v>3150</v>
      </c>
      <c r="H186" s="151">
        <v>3566</v>
      </c>
      <c r="I186" s="151">
        <v>3784</v>
      </c>
      <c r="J186" s="151">
        <v>4135</v>
      </c>
      <c r="K186" s="151">
        <v>4529</v>
      </c>
      <c r="L186" s="151">
        <v>4978</v>
      </c>
      <c r="M186" s="151">
        <v>4736</v>
      </c>
      <c r="N186" s="151">
        <v>4468</v>
      </c>
      <c r="O186" s="151">
        <v>3567</v>
      </c>
      <c r="P186" s="151">
        <v>4003</v>
      </c>
      <c r="Q186" s="187">
        <f t="shared" si="66"/>
        <v>0.27079365079365081</v>
      </c>
      <c r="R186" s="187">
        <f t="shared" si="67"/>
        <v>-0.19586179188429087</v>
      </c>
      <c r="S186" s="187">
        <f t="shared" si="68"/>
        <v>0.12223156714325764</v>
      </c>
      <c r="T186" s="187">
        <f t="shared" si="69"/>
        <v>2.9762966928384486E-2</v>
      </c>
    </row>
    <row r="187" spans="1:21" x14ac:dyDescent="0.25">
      <c r="A187" s="191" t="s">
        <v>157</v>
      </c>
      <c r="B187" s="151">
        <v>816</v>
      </c>
      <c r="C187" s="151">
        <v>1024</v>
      </c>
      <c r="D187" s="151">
        <v>1157</v>
      </c>
      <c r="E187" s="151">
        <v>1299</v>
      </c>
      <c r="F187" s="151">
        <v>1503</v>
      </c>
      <c r="G187" s="151">
        <v>1646</v>
      </c>
      <c r="H187" s="151">
        <v>1732</v>
      </c>
      <c r="I187" s="151">
        <v>1999</v>
      </c>
      <c r="J187" s="151">
        <v>1701</v>
      </c>
      <c r="K187" s="151">
        <v>1920</v>
      </c>
      <c r="L187" s="151">
        <v>2508</v>
      </c>
      <c r="M187" s="151">
        <v>3141</v>
      </c>
      <c r="N187" s="151">
        <v>3414</v>
      </c>
      <c r="O187" s="151">
        <v>3510</v>
      </c>
      <c r="P187" s="151">
        <v>3870</v>
      </c>
      <c r="Q187" s="187">
        <f t="shared" si="66"/>
        <v>1.3511543134872419</v>
      </c>
      <c r="R187" s="187">
        <f t="shared" si="67"/>
        <v>0.5430622009569378</v>
      </c>
      <c r="S187" s="187">
        <f t="shared" si="68"/>
        <v>0.10256410256410256</v>
      </c>
      <c r="T187" s="187">
        <f t="shared" si="69"/>
        <v>2.877408993576017E-2</v>
      </c>
      <c r="U187" s="53"/>
    </row>
    <row r="188" spans="1:21" x14ac:dyDescent="0.25">
      <c r="A188" s="191" t="s">
        <v>35</v>
      </c>
      <c r="B188" s="151">
        <v>344</v>
      </c>
      <c r="C188" s="151">
        <v>345</v>
      </c>
      <c r="D188" s="151">
        <v>446</v>
      </c>
      <c r="E188" s="151">
        <v>428</v>
      </c>
      <c r="F188" s="151">
        <v>501</v>
      </c>
      <c r="G188" s="151">
        <v>568</v>
      </c>
      <c r="H188" s="151">
        <v>819</v>
      </c>
      <c r="I188" s="151">
        <v>1153</v>
      </c>
      <c r="J188" s="151">
        <v>1550</v>
      </c>
      <c r="K188" s="151">
        <v>1706</v>
      </c>
      <c r="L188" s="151">
        <v>1834</v>
      </c>
      <c r="M188" s="151">
        <v>2330</v>
      </c>
      <c r="N188" s="151">
        <v>2670</v>
      </c>
      <c r="O188" s="151">
        <v>3180</v>
      </c>
      <c r="P188" s="151">
        <v>3815</v>
      </c>
      <c r="Q188" s="187">
        <f t="shared" si="66"/>
        <v>5.716549295774648</v>
      </c>
      <c r="R188" s="187">
        <f t="shared" si="67"/>
        <v>1.0801526717557253</v>
      </c>
      <c r="S188" s="187">
        <f t="shared" si="68"/>
        <v>0.19968553459119498</v>
      </c>
      <c r="T188" s="187">
        <f t="shared" si="69"/>
        <v>2.8365155841065904E-2</v>
      </c>
    </row>
    <row r="189" spans="1:21" x14ac:dyDescent="0.25">
      <c r="A189" s="191" t="s">
        <v>44</v>
      </c>
      <c r="B189" s="151">
        <v>1740</v>
      </c>
      <c r="C189" s="151">
        <v>1771</v>
      </c>
      <c r="D189" s="151">
        <v>2046</v>
      </c>
      <c r="E189" s="151">
        <v>2371</v>
      </c>
      <c r="F189" s="151">
        <v>2531</v>
      </c>
      <c r="G189" s="151">
        <v>2513</v>
      </c>
      <c r="H189" s="151">
        <v>2629</v>
      </c>
      <c r="I189" s="151">
        <v>2491</v>
      </c>
      <c r="J189" s="151">
        <v>2851</v>
      </c>
      <c r="K189" s="151">
        <v>3092</v>
      </c>
      <c r="L189" s="151">
        <v>3608</v>
      </c>
      <c r="M189" s="151">
        <v>3840</v>
      </c>
      <c r="N189" s="151">
        <v>3978</v>
      </c>
      <c r="O189" s="151">
        <v>3609</v>
      </c>
      <c r="P189" s="151">
        <v>3680</v>
      </c>
      <c r="Q189" s="187">
        <f t="shared" si="66"/>
        <v>0.46438519697572622</v>
      </c>
      <c r="R189" s="187">
        <f t="shared" si="67"/>
        <v>1.9955654101995565E-2</v>
      </c>
      <c r="S189" s="187">
        <f t="shared" si="68"/>
        <v>1.9673039623164312E-2</v>
      </c>
      <c r="T189" s="187">
        <f t="shared" si="69"/>
        <v>2.7361408517725436E-2</v>
      </c>
      <c r="U189" s="53"/>
    </row>
    <row r="190" spans="1:21" x14ac:dyDescent="0.25">
      <c r="A190" s="191" t="s">
        <v>31</v>
      </c>
      <c r="B190" s="151">
        <v>1194</v>
      </c>
      <c r="C190" s="151">
        <v>1410</v>
      </c>
      <c r="D190" s="151">
        <v>1676</v>
      </c>
      <c r="E190" s="151">
        <v>1947</v>
      </c>
      <c r="F190" s="151">
        <v>2179</v>
      </c>
      <c r="G190" s="151">
        <v>2433</v>
      </c>
      <c r="H190" s="151">
        <v>2895</v>
      </c>
      <c r="I190" s="151">
        <v>3372</v>
      </c>
      <c r="J190" s="151">
        <v>3898</v>
      </c>
      <c r="K190" s="151">
        <v>4379</v>
      </c>
      <c r="L190" s="151">
        <v>4317</v>
      </c>
      <c r="M190" s="151">
        <v>4214</v>
      </c>
      <c r="N190" s="151">
        <v>4273</v>
      </c>
      <c r="O190" s="151">
        <v>3943</v>
      </c>
      <c r="P190" s="151">
        <v>3656</v>
      </c>
      <c r="Q190" s="187">
        <f t="shared" si="66"/>
        <v>0.50267159884915746</v>
      </c>
      <c r="R190" s="187">
        <f t="shared" si="67"/>
        <v>-0.15311558952976603</v>
      </c>
      <c r="S190" s="187">
        <f t="shared" si="68"/>
        <v>-7.2787217854425559E-2</v>
      </c>
      <c r="T190" s="187">
        <f t="shared" si="69"/>
        <v>2.7182964549131574E-2</v>
      </c>
    </row>
    <row r="191" spans="1:21" x14ac:dyDescent="0.25">
      <c r="A191" s="191" t="s">
        <v>36</v>
      </c>
      <c r="B191" s="151">
        <v>846</v>
      </c>
      <c r="C191" s="151">
        <v>873</v>
      </c>
      <c r="D191" s="151">
        <v>1370</v>
      </c>
      <c r="E191" s="151">
        <v>2041</v>
      </c>
      <c r="F191" s="151">
        <v>2279</v>
      </c>
      <c r="G191" s="151">
        <v>2462</v>
      </c>
      <c r="H191" s="151">
        <v>2229</v>
      </c>
      <c r="I191" s="151">
        <v>2338</v>
      </c>
      <c r="J191" s="151">
        <v>2564</v>
      </c>
      <c r="K191" s="151">
        <v>2618</v>
      </c>
      <c r="L191" s="151">
        <v>2806</v>
      </c>
      <c r="M191" s="151">
        <v>2769</v>
      </c>
      <c r="N191" s="151">
        <v>3020</v>
      </c>
      <c r="O191" s="151">
        <v>3088</v>
      </c>
      <c r="P191" s="151">
        <v>3352</v>
      </c>
      <c r="Q191" s="187">
        <f t="shared" si="66"/>
        <v>0.36149471974004876</v>
      </c>
      <c r="R191" s="187">
        <f t="shared" si="67"/>
        <v>0.19458303635067711</v>
      </c>
      <c r="S191" s="187">
        <f t="shared" si="68"/>
        <v>8.549222797927461E-2</v>
      </c>
      <c r="T191" s="187">
        <f t="shared" si="69"/>
        <v>2.4922674280275992E-2</v>
      </c>
      <c r="U191" s="53"/>
    </row>
    <row r="192" spans="1:21" x14ac:dyDescent="0.25">
      <c r="A192" s="191" t="s">
        <v>28</v>
      </c>
      <c r="B192" s="151">
        <v>1992</v>
      </c>
      <c r="C192" s="151">
        <v>2087</v>
      </c>
      <c r="D192" s="151">
        <v>2224</v>
      </c>
      <c r="E192" s="151">
        <v>2424</v>
      </c>
      <c r="F192" s="151">
        <v>2476</v>
      </c>
      <c r="G192" s="151">
        <v>2417</v>
      </c>
      <c r="H192" s="151">
        <v>2400</v>
      </c>
      <c r="I192" s="151">
        <v>2725</v>
      </c>
      <c r="J192" s="151">
        <v>2801</v>
      </c>
      <c r="K192" s="151">
        <v>2925</v>
      </c>
      <c r="L192" s="151">
        <v>3080</v>
      </c>
      <c r="M192" s="151">
        <v>3254</v>
      </c>
      <c r="N192" s="151">
        <v>3221</v>
      </c>
      <c r="O192" s="151">
        <v>3021</v>
      </c>
      <c r="P192" s="151">
        <v>2910</v>
      </c>
      <c r="Q192" s="187">
        <f t="shared" si="66"/>
        <v>0.20397186594952421</v>
      </c>
      <c r="R192" s="187">
        <f t="shared" si="67"/>
        <v>-5.5194805194805192E-2</v>
      </c>
      <c r="S192" s="187">
        <f t="shared" si="68"/>
        <v>-3.6742800397219465E-2</v>
      </c>
      <c r="T192" s="187">
        <f t="shared" si="69"/>
        <v>2.1636331192005712E-2</v>
      </c>
    </row>
    <row r="193" spans="1:21" x14ac:dyDescent="0.25">
      <c r="A193" s="191" t="s">
        <v>30</v>
      </c>
      <c r="B193" s="151">
        <v>3803</v>
      </c>
      <c r="C193" s="151">
        <v>3666</v>
      </c>
      <c r="D193" s="151">
        <v>3965</v>
      </c>
      <c r="E193" s="151">
        <v>4414</v>
      </c>
      <c r="F193" s="151">
        <v>4583</v>
      </c>
      <c r="G193" s="151">
        <v>4101</v>
      </c>
      <c r="H193" s="151">
        <v>3693</v>
      </c>
      <c r="I193" s="151">
        <v>3653</v>
      </c>
      <c r="J193" s="151">
        <v>3537</v>
      </c>
      <c r="K193" s="151">
        <v>3049</v>
      </c>
      <c r="L193" s="151">
        <v>2882</v>
      </c>
      <c r="M193" s="151">
        <v>2718</v>
      </c>
      <c r="N193" s="151">
        <v>2819</v>
      </c>
      <c r="O193" s="151">
        <v>2725</v>
      </c>
      <c r="P193" s="151">
        <v>2256</v>
      </c>
      <c r="Q193" s="187">
        <f t="shared" si="66"/>
        <v>-0.44989027066569132</v>
      </c>
      <c r="R193" s="187">
        <f t="shared" si="67"/>
        <v>-0.21721027064538515</v>
      </c>
      <c r="S193" s="187">
        <f t="shared" si="68"/>
        <v>-0.17211009174311925</v>
      </c>
      <c r="T193" s="187">
        <f t="shared" si="69"/>
        <v>1.6773733047822984E-2</v>
      </c>
      <c r="U193" s="53"/>
    </row>
    <row r="194" spans="1:21" x14ac:dyDescent="0.25">
      <c r="A194" s="191" t="s">
        <v>45</v>
      </c>
      <c r="B194" s="151">
        <v>1346</v>
      </c>
      <c r="C194" s="151">
        <v>1553</v>
      </c>
      <c r="D194" s="151">
        <v>1847</v>
      </c>
      <c r="E194" s="151">
        <v>2099</v>
      </c>
      <c r="F194" s="151">
        <v>2191</v>
      </c>
      <c r="G194" s="151">
        <v>2194</v>
      </c>
      <c r="H194" s="151">
        <v>2472</v>
      </c>
      <c r="I194" s="151">
        <v>2818</v>
      </c>
      <c r="J194" s="151">
        <v>3378</v>
      </c>
      <c r="K194" s="151">
        <v>3410</v>
      </c>
      <c r="L194" s="151">
        <v>3613</v>
      </c>
      <c r="M194" s="151">
        <v>3865</v>
      </c>
      <c r="N194" s="151">
        <v>3910</v>
      </c>
      <c r="O194" s="151">
        <v>3704</v>
      </c>
      <c r="P194" s="151">
        <v>2123</v>
      </c>
      <c r="Q194" s="187">
        <f t="shared" si="66"/>
        <v>-3.2360984503190519E-2</v>
      </c>
      <c r="R194" s="187">
        <f t="shared" si="67"/>
        <v>-0.41239966786603932</v>
      </c>
      <c r="S194" s="187">
        <f t="shared" si="68"/>
        <v>-0.42683585313174949</v>
      </c>
      <c r="T194" s="187">
        <f t="shared" si="69"/>
        <v>1.5784856055198668E-2</v>
      </c>
    </row>
    <row r="195" spans="1:21" x14ac:dyDescent="0.25">
      <c r="A195" s="191" t="s">
        <v>389</v>
      </c>
      <c r="B195" s="151">
        <v>164</v>
      </c>
      <c r="C195" s="151">
        <v>198</v>
      </c>
      <c r="D195" s="151">
        <v>306</v>
      </c>
      <c r="E195" s="151">
        <v>376</v>
      </c>
      <c r="F195" s="151">
        <v>474</v>
      </c>
      <c r="G195" s="151">
        <v>482</v>
      </c>
      <c r="H195" s="151">
        <v>564</v>
      </c>
      <c r="I195" s="151">
        <v>684</v>
      </c>
      <c r="J195" s="151">
        <v>784</v>
      </c>
      <c r="K195" s="151">
        <v>1010</v>
      </c>
      <c r="L195" s="151">
        <v>980</v>
      </c>
      <c r="M195" s="151">
        <v>1110</v>
      </c>
      <c r="N195" s="151">
        <v>1392</v>
      </c>
      <c r="O195" s="151">
        <v>1493</v>
      </c>
      <c r="P195" s="151">
        <v>2015</v>
      </c>
      <c r="Q195" s="187">
        <f t="shared" si="66"/>
        <v>3.1804979253112031</v>
      </c>
      <c r="R195" s="187">
        <f t="shared" si="67"/>
        <v>1.0561224489795917</v>
      </c>
      <c r="S195" s="187">
        <f t="shared" si="68"/>
        <v>0.34963161419959815</v>
      </c>
      <c r="T195" s="187">
        <f t="shared" si="69"/>
        <v>1.4981858196526291E-2</v>
      </c>
      <c r="U195" s="53"/>
    </row>
    <row r="196" spans="1:21" x14ac:dyDescent="0.25">
      <c r="A196" s="191" t="s">
        <v>436</v>
      </c>
      <c r="B196" s="151">
        <v>109</v>
      </c>
      <c r="C196" s="151">
        <v>106</v>
      </c>
      <c r="D196" s="151">
        <v>115</v>
      </c>
      <c r="E196" s="151">
        <v>109</v>
      </c>
      <c r="F196" s="151">
        <v>124</v>
      </c>
      <c r="G196" s="151">
        <v>121</v>
      </c>
      <c r="H196" s="151">
        <v>136</v>
      </c>
      <c r="I196" s="151">
        <v>216</v>
      </c>
      <c r="J196" s="151">
        <v>285</v>
      </c>
      <c r="K196" s="151">
        <v>386</v>
      </c>
      <c r="L196" s="151">
        <v>482</v>
      </c>
      <c r="M196" s="151">
        <v>587</v>
      </c>
      <c r="N196" s="151">
        <v>968</v>
      </c>
      <c r="O196" s="151">
        <v>1337</v>
      </c>
      <c r="P196" s="151">
        <v>1960</v>
      </c>
      <c r="Q196" s="187">
        <f t="shared" si="66"/>
        <v>15.198347107438016</v>
      </c>
      <c r="R196" s="187">
        <f t="shared" si="67"/>
        <v>3.0663900414937761</v>
      </c>
      <c r="S196" s="187">
        <f t="shared" si="68"/>
        <v>0.46596858638743455</v>
      </c>
      <c r="T196" s="187">
        <f t="shared" si="69"/>
        <v>1.4572924101832025E-2</v>
      </c>
    </row>
    <row r="197" spans="1:21" x14ac:dyDescent="0.25">
      <c r="A197" s="110"/>
      <c r="B197" s="110"/>
      <c r="C197" s="110"/>
      <c r="D197" s="110"/>
      <c r="E197" s="110"/>
      <c r="F197" s="110"/>
      <c r="G197" s="110"/>
      <c r="H197" s="110"/>
      <c r="I197" s="110"/>
      <c r="J197" s="110"/>
      <c r="K197" s="110"/>
      <c r="L197" s="110"/>
      <c r="M197" s="110"/>
      <c r="N197" s="110"/>
      <c r="O197" s="110"/>
      <c r="P197" s="110"/>
      <c r="Q197" s="39"/>
      <c r="R197" s="39"/>
      <c r="S197" s="39"/>
      <c r="T197" s="39"/>
      <c r="U197" s="53"/>
    </row>
    <row r="198" spans="1:21" ht="18" x14ac:dyDescent="0.25">
      <c r="A198" s="27" t="s">
        <v>138</v>
      </c>
      <c r="B198" s="27"/>
      <c r="C198" s="27"/>
      <c r="D198" s="27"/>
      <c r="E198" s="27"/>
      <c r="F198" s="27"/>
      <c r="G198" s="27"/>
      <c r="H198" s="27"/>
      <c r="I198" s="110"/>
      <c r="J198" s="110"/>
      <c r="K198" s="110"/>
      <c r="L198" s="110"/>
      <c r="M198" s="110"/>
      <c r="N198" s="110"/>
      <c r="O198" s="110"/>
      <c r="P198" s="110"/>
      <c r="Q198" s="39"/>
      <c r="R198" s="39"/>
      <c r="S198" s="39"/>
      <c r="T198" s="39"/>
      <c r="U198" s="53"/>
    </row>
    <row r="199" spans="1:21" ht="25.5" x14ac:dyDescent="0.25">
      <c r="A199" s="148" t="s">
        <v>2</v>
      </c>
      <c r="B199" s="130">
        <v>2007</v>
      </c>
      <c r="C199" s="130">
        <v>2008</v>
      </c>
      <c r="D199" s="130">
        <v>2009</v>
      </c>
      <c r="E199" s="130">
        <v>2010</v>
      </c>
      <c r="F199" s="130">
        <v>2011</v>
      </c>
      <c r="G199" s="130">
        <v>2012</v>
      </c>
      <c r="H199" s="130">
        <v>2013</v>
      </c>
      <c r="I199" s="130">
        <v>2014</v>
      </c>
      <c r="J199" s="130">
        <v>2015</v>
      </c>
      <c r="K199" s="130">
        <v>2016</v>
      </c>
      <c r="L199" s="130">
        <v>2017</v>
      </c>
      <c r="M199" s="130">
        <v>2018</v>
      </c>
      <c r="N199" s="130">
        <v>2019</v>
      </c>
      <c r="O199" s="130">
        <v>2020</v>
      </c>
      <c r="P199" s="130">
        <v>2021</v>
      </c>
      <c r="Q199" s="131" t="s">
        <v>424</v>
      </c>
      <c r="R199" s="131" t="s">
        <v>425</v>
      </c>
      <c r="S199" s="131" t="s">
        <v>426</v>
      </c>
      <c r="T199" s="131" t="s">
        <v>427</v>
      </c>
      <c r="U199" s="53"/>
    </row>
    <row r="200" spans="1:21" x14ac:dyDescent="0.25">
      <c r="A200" s="191" t="s">
        <v>18</v>
      </c>
      <c r="B200" s="168">
        <v>5404</v>
      </c>
      <c r="C200" s="168">
        <v>6605</v>
      </c>
      <c r="D200" s="168">
        <v>8270</v>
      </c>
      <c r="E200" s="168">
        <v>10455</v>
      </c>
      <c r="F200" s="168">
        <v>10939</v>
      </c>
      <c r="G200" s="168">
        <v>9917</v>
      </c>
      <c r="H200" s="168">
        <v>9491</v>
      </c>
      <c r="I200" s="168">
        <v>9344</v>
      </c>
      <c r="J200" s="168">
        <v>8492</v>
      </c>
      <c r="K200" s="168">
        <v>8434</v>
      </c>
      <c r="L200" s="168">
        <v>7935</v>
      </c>
      <c r="M200" s="168">
        <v>7175</v>
      </c>
      <c r="N200" s="168">
        <v>6880</v>
      </c>
      <c r="O200" s="168">
        <v>6438</v>
      </c>
      <c r="P200" s="168">
        <v>7895</v>
      </c>
      <c r="Q200" s="187">
        <f t="shared" ref="Q200:Q219" si="70">(P200-G200)/G200</f>
        <v>-0.20389230614097006</v>
      </c>
      <c r="R200" s="187">
        <f t="shared" ref="R200:R219" si="71">(P200-L200)/L200</f>
        <v>-5.0409577819785761E-3</v>
      </c>
      <c r="S200" s="187">
        <f t="shared" ref="S200:S219" si="72">(P200-O200)/O200</f>
        <v>0.22631251941596769</v>
      </c>
      <c r="T200" s="187">
        <f t="shared" ref="T200:T219" si="73">P200/P$12</f>
        <v>0.13538772850430428</v>
      </c>
      <c r="U200" s="53"/>
    </row>
    <row r="201" spans="1:21" x14ac:dyDescent="0.25">
      <c r="A201" s="191" t="s">
        <v>21</v>
      </c>
      <c r="B201" s="168">
        <v>2725</v>
      </c>
      <c r="C201" s="168">
        <v>2771</v>
      </c>
      <c r="D201" s="168">
        <v>4118</v>
      </c>
      <c r="E201" s="168">
        <v>5251</v>
      </c>
      <c r="F201" s="168">
        <v>5370</v>
      </c>
      <c r="G201" s="168">
        <v>5461</v>
      </c>
      <c r="H201" s="168">
        <v>5912</v>
      </c>
      <c r="I201" s="168">
        <v>6308</v>
      </c>
      <c r="J201" s="168">
        <v>6282</v>
      </c>
      <c r="K201" s="168">
        <v>5891</v>
      </c>
      <c r="L201" s="168">
        <v>6037</v>
      </c>
      <c r="M201" s="168">
        <v>6304</v>
      </c>
      <c r="N201" s="168">
        <v>6534</v>
      </c>
      <c r="O201" s="168">
        <v>5230</v>
      </c>
      <c r="P201" s="168">
        <v>5561</v>
      </c>
      <c r="Q201" s="187">
        <f t="shared" si="70"/>
        <v>1.8311664530305805E-2</v>
      </c>
      <c r="R201" s="187">
        <f t="shared" si="71"/>
        <v>-7.8847109491469267E-2</v>
      </c>
      <c r="S201" s="187">
        <f t="shared" si="72"/>
        <v>6.3288718929254306E-2</v>
      </c>
      <c r="T201" s="187">
        <f t="shared" si="73"/>
        <v>9.5363034605755057E-2</v>
      </c>
      <c r="U201" s="53"/>
    </row>
    <row r="202" spans="1:21" x14ac:dyDescent="0.25">
      <c r="A202" s="191" t="s">
        <v>25</v>
      </c>
      <c r="B202" s="168">
        <v>811</v>
      </c>
      <c r="C202" s="168">
        <v>953</v>
      </c>
      <c r="D202" s="168">
        <v>1639</v>
      </c>
      <c r="E202" s="168">
        <v>2513</v>
      </c>
      <c r="F202" s="168">
        <v>2608</v>
      </c>
      <c r="G202" s="168">
        <v>3032</v>
      </c>
      <c r="H202" s="168">
        <v>2563</v>
      </c>
      <c r="I202" s="168">
        <v>2821</v>
      </c>
      <c r="J202" s="168">
        <v>3087</v>
      </c>
      <c r="K202" s="168">
        <v>3530</v>
      </c>
      <c r="L202" s="168">
        <v>4504</v>
      </c>
      <c r="M202" s="168">
        <v>4629</v>
      </c>
      <c r="N202" s="168">
        <v>4675</v>
      </c>
      <c r="O202" s="168">
        <v>4446</v>
      </c>
      <c r="P202" s="168">
        <v>4150</v>
      </c>
      <c r="Q202" s="187">
        <f t="shared" si="70"/>
        <v>0.3687335092348285</v>
      </c>
      <c r="R202" s="187">
        <f t="shared" si="71"/>
        <v>-7.8596802841918292E-2</v>
      </c>
      <c r="S202" s="187">
        <f t="shared" si="72"/>
        <v>-6.6576698155645528E-2</v>
      </c>
      <c r="T202" s="187">
        <f t="shared" si="73"/>
        <v>7.1166443735638102E-2</v>
      </c>
      <c r="U202" s="53"/>
    </row>
    <row r="203" spans="1:21" x14ac:dyDescent="0.25">
      <c r="A203" s="191" t="s">
        <v>33</v>
      </c>
      <c r="B203" s="168">
        <v>3425</v>
      </c>
      <c r="C203" s="168">
        <v>3675</v>
      </c>
      <c r="D203" s="168">
        <v>3968</v>
      </c>
      <c r="E203" s="168">
        <v>4417</v>
      </c>
      <c r="F203" s="168">
        <v>4326</v>
      </c>
      <c r="G203" s="168">
        <v>3771</v>
      </c>
      <c r="H203" s="168">
        <v>3632</v>
      </c>
      <c r="I203" s="168">
        <v>3935</v>
      </c>
      <c r="J203" s="168">
        <v>4208</v>
      </c>
      <c r="K203" s="168">
        <v>4298</v>
      </c>
      <c r="L203" s="168">
        <v>4171</v>
      </c>
      <c r="M203" s="168">
        <v>4055</v>
      </c>
      <c r="N203" s="168">
        <v>4103</v>
      </c>
      <c r="O203" s="168">
        <v>4046</v>
      </c>
      <c r="P203" s="168">
        <v>4092</v>
      </c>
      <c r="Q203" s="187">
        <f t="shared" si="70"/>
        <v>8.5123309466984889E-2</v>
      </c>
      <c r="R203" s="187">
        <f t="shared" si="71"/>
        <v>-1.8940302085830737E-2</v>
      </c>
      <c r="S203" s="187">
        <f t="shared" si="72"/>
        <v>1.1369253583786456E-2</v>
      </c>
      <c r="T203" s="187">
        <f t="shared" si="73"/>
        <v>7.0171828377405085E-2</v>
      </c>
      <c r="U203" s="53"/>
    </row>
    <row r="204" spans="1:21" x14ac:dyDescent="0.25">
      <c r="A204" s="191" t="s">
        <v>29</v>
      </c>
      <c r="B204" s="168">
        <v>2021</v>
      </c>
      <c r="C204" s="168">
        <v>2437</v>
      </c>
      <c r="D204" s="168">
        <v>2709</v>
      </c>
      <c r="E204" s="168">
        <v>3140</v>
      </c>
      <c r="F204" s="168">
        <v>3152</v>
      </c>
      <c r="G204" s="168">
        <v>2947</v>
      </c>
      <c r="H204" s="168">
        <v>2805</v>
      </c>
      <c r="I204" s="168">
        <v>2962</v>
      </c>
      <c r="J204" s="168">
        <v>2872</v>
      </c>
      <c r="K204" s="168">
        <v>3228</v>
      </c>
      <c r="L204" s="168">
        <v>3433</v>
      </c>
      <c r="M204" s="168">
        <v>3415</v>
      </c>
      <c r="N204" s="168">
        <v>3219</v>
      </c>
      <c r="O204" s="168">
        <v>3067</v>
      </c>
      <c r="P204" s="168">
        <v>2711</v>
      </c>
      <c r="Q204" s="187">
        <f t="shared" si="70"/>
        <v>-8.008143875127248E-2</v>
      </c>
      <c r="R204" s="187">
        <f t="shared" si="71"/>
        <v>-0.21031168074570347</v>
      </c>
      <c r="S204" s="187">
        <f t="shared" si="72"/>
        <v>-0.11607433974567982</v>
      </c>
      <c r="T204" s="187">
        <f t="shared" si="73"/>
        <v>4.6489693727063824E-2</v>
      </c>
      <c r="U204" s="53"/>
    </row>
    <row r="205" spans="1:21" x14ac:dyDescent="0.25">
      <c r="A205" s="191" t="s">
        <v>24</v>
      </c>
      <c r="B205" s="168">
        <v>956</v>
      </c>
      <c r="C205" s="168">
        <v>1104</v>
      </c>
      <c r="D205" s="168">
        <v>1077</v>
      </c>
      <c r="E205" s="168">
        <v>1298</v>
      </c>
      <c r="F205" s="168">
        <v>1376</v>
      </c>
      <c r="G205" s="168">
        <v>1580</v>
      </c>
      <c r="H205" s="168">
        <v>1786</v>
      </c>
      <c r="I205" s="168">
        <v>1904</v>
      </c>
      <c r="J205" s="168">
        <v>2015</v>
      </c>
      <c r="K205" s="168">
        <v>2333</v>
      </c>
      <c r="L205" s="168">
        <v>2617</v>
      </c>
      <c r="M205" s="168">
        <v>2116</v>
      </c>
      <c r="N205" s="168">
        <v>2176</v>
      </c>
      <c r="O205" s="168">
        <v>1609</v>
      </c>
      <c r="P205" s="168">
        <v>2259</v>
      </c>
      <c r="Q205" s="187">
        <f t="shared" si="70"/>
        <v>0.42974683544303799</v>
      </c>
      <c r="R205" s="187">
        <f t="shared" si="71"/>
        <v>-0.13679786014520443</v>
      </c>
      <c r="S205" s="187">
        <f t="shared" si="72"/>
        <v>0.40397762585456803</v>
      </c>
      <c r="T205" s="187">
        <f t="shared" si="73"/>
        <v>3.8738553349109993E-2</v>
      </c>
      <c r="U205" s="53"/>
    </row>
    <row r="206" spans="1:21" x14ac:dyDescent="0.25">
      <c r="A206" s="191" t="s">
        <v>156</v>
      </c>
      <c r="B206" s="168">
        <v>1687</v>
      </c>
      <c r="C206" s="168">
        <v>1957</v>
      </c>
      <c r="D206" s="168">
        <v>2112</v>
      </c>
      <c r="E206" s="168">
        <v>2307</v>
      </c>
      <c r="F206" s="168">
        <v>1912</v>
      </c>
      <c r="G206" s="168">
        <v>1546</v>
      </c>
      <c r="H206" s="168">
        <v>1754</v>
      </c>
      <c r="I206" s="168">
        <v>1762</v>
      </c>
      <c r="J206" s="168">
        <v>1743</v>
      </c>
      <c r="K206" s="168">
        <v>1529</v>
      </c>
      <c r="L206" s="168">
        <v>1763</v>
      </c>
      <c r="M206" s="168">
        <v>1813</v>
      </c>
      <c r="N206" s="168">
        <v>2033</v>
      </c>
      <c r="O206" s="168">
        <v>2028</v>
      </c>
      <c r="P206" s="168">
        <v>2209</v>
      </c>
      <c r="Q206" s="187">
        <f t="shared" si="70"/>
        <v>0.42884864165588615</v>
      </c>
      <c r="R206" s="187">
        <f t="shared" si="71"/>
        <v>0.25297787861599547</v>
      </c>
      <c r="S206" s="187">
        <f t="shared" si="72"/>
        <v>8.9250493096646941E-2</v>
      </c>
      <c r="T206" s="187">
        <f t="shared" si="73"/>
        <v>3.7881126316150496E-2</v>
      </c>
      <c r="U206" s="53"/>
    </row>
    <row r="207" spans="1:21" x14ac:dyDescent="0.25">
      <c r="A207" s="191" t="s">
        <v>27</v>
      </c>
      <c r="B207" s="168">
        <v>704</v>
      </c>
      <c r="C207" s="168">
        <v>917</v>
      </c>
      <c r="D207" s="168">
        <v>982</v>
      </c>
      <c r="E207" s="168">
        <v>1188</v>
      </c>
      <c r="F207" s="168">
        <v>1398</v>
      </c>
      <c r="G207" s="168">
        <v>1442</v>
      </c>
      <c r="H207" s="168">
        <v>1764</v>
      </c>
      <c r="I207" s="168">
        <v>1943</v>
      </c>
      <c r="J207" s="168">
        <v>2302</v>
      </c>
      <c r="K207" s="168">
        <v>2257</v>
      </c>
      <c r="L207" s="168">
        <v>2335</v>
      </c>
      <c r="M207" s="168">
        <v>2042</v>
      </c>
      <c r="N207" s="168">
        <v>2299</v>
      </c>
      <c r="O207" s="168">
        <v>2193</v>
      </c>
      <c r="P207" s="168">
        <v>2189</v>
      </c>
      <c r="Q207" s="187">
        <f t="shared" si="70"/>
        <v>0.51803051317614424</v>
      </c>
      <c r="R207" s="187">
        <f t="shared" si="71"/>
        <v>-6.2526766595289079E-2</v>
      </c>
      <c r="S207" s="187">
        <f t="shared" si="72"/>
        <v>-1.823985408116735E-3</v>
      </c>
      <c r="T207" s="187">
        <f t="shared" si="73"/>
        <v>3.75381555029667E-2</v>
      </c>
      <c r="U207" s="53"/>
    </row>
    <row r="208" spans="1:21" x14ac:dyDescent="0.25">
      <c r="A208" s="191" t="s">
        <v>34</v>
      </c>
      <c r="B208" s="168">
        <v>650</v>
      </c>
      <c r="C208" s="168">
        <v>633</v>
      </c>
      <c r="D208" s="168">
        <v>835</v>
      </c>
      <c r="E208" s="168">
        <v>1000</v>
      </c>
      <c r="F208" s="168">
        <v>1066</v>
      </c>
      <c r="G208" s="168">
        <v>1248</v>
      </c>
      <c r="H208" s="168">
        <v>1249</v>
      </c>
      <c r="I208" s="168">
        <v>1306</v>
      </c>
      <c r="J208" s="168">
        <v>1416</v>
      </c>
      <c r="K208" s="168">
        <v>1584</v>
      </c>
      <c r="L208" s="168">
        <v>1731</v>
      </c>
      <c r="M208" s="168">
        <v>1802</v>
      </c>
      <c r="N208" s="168">
        <v>1761</v>
      </c>
      <c r="O208" s="168">
        <v>1911</v>
      </c>
      <c r="P208" s="168">
        <v>1991</v>
      </c>
      <c r="Q208" s="187">
        <f t="shared" si="70"/>
        <v>0.5953525641025641</v>
      </c>
      <c r="R208" s="187">
        <f t="shared" si="71"/>
        <v>0.15020219526285383</v>
      </c>
      <c r="S208" s="187">
        <f t="shared" si="72"/>
        <v>4.1862899005756148E-2</v>
      </c>
      <c r="T208" s="187">
        <f t="shared" si="73"/>
        <v>3.4142744452447096E-2</v>
      </c>
      <c r="U208" s="53"/>
    </row>
    <row r="209" spans="1:21" x14ac:dyDescent="0.25">
      <c r="A209" s="191" t="s">
        <v>157</v>
      </c>
      <c r="B209" s="168">
        <v>513</v>
      </c>
      <c r="C209" s="168">
        <v>544</v>
      </c>
      <c r="D209" s="168">
        <v>619</v>
      </c>
      <c r="E209" s="168">
        <v>774</v>
      </c>
      <c r="F209" s="168">
        <v>787</v>
      </c>
      <c r="G209" s="168">
        <v>841</v>
      </c>
      <c r="H209" s="168">
        <v>937</v>
      </c>
      <c r="I209" s="168">
        <v>1075</v>
      </c>
      <c r="J209" s="168">
        <v>835</v>
      </c>
      <c r="K209" s="168">
        <v>976</v>
      </c>
      <c r="L209" s="168">
        <v>1402</v>
      </c>
      <c r="M209" s="168">
        <v>1568</v>
      </c>
      <c r="N209" s="168">
        <v>1746</v>
      </c>
      <c r="O209" s="168">
        <v>1649</v>
      </c>
      <c r="P209" s="168">
        <v>1832</v>
      </c>
      <c r="Q209" s="187">
        <f t="shared" si="70"/>
        <v>1.1783590963139121</v>
      </c>
      <c r="R209" s="187">
        <f t="shared" si="71"/>
        <v>0.30670470756062768</v>
      </c>
      <c r="S209" s="187">
        <f t="shared" si="72"/>
        <v>0.11097634930260764</v>
      </c>
      <c r="T209" s="187">
        <f t="shared" si="73"/>
        <v>3.1416126487635899E-2</v>
      </c>
      <c r="U209" s="53"/>
    </row>
    <row r="210" spans="1:21" x14ac:dyDescent="0.25">
      <c r="A210" s="191" t="s">
        <v>26</v>
      </c>
      <c r="B210" s="168">
        <v>894</v>
      </c>
      <c r="C210" s="168">
        <v>933</v>
      </c>
      <c r="D210" s="168">
        <v>1178</v>
      </c>
      <c r="E210" s="168">
        <v>1363</v>
      </c>
      <c r="F210" s="168">
        <v>1391</v>
      </c>
      <c r="G210" s="168">
        <v>1378</v>
      </c>
      <c r="H210" s="168">
        <v>1509</v>
      </c>
      <c r="I210" s="168">
        <v>1482</v>
      </c>
      <c r="J210" s="168">
        <v>1675</v>
      </c>
      <c r="K210" s="168">
        <v>1705</v>
      </c>
      <c r="L210" s="168">
        <v>1822</v>
      </c>
      <c r="M210" s="168">
        <v>1928</v>
      </c>
      <c r="N210" s="168">
        <v>1928</v>
      </c>
      <c r="O210" s="168">
        <v>1822</v>
      </c>
      <c r="P210" s="168">
        <v>1826</v>
      </c>
      <c r="Q210" s="187">
        <f t="shared" si="70"/>
        <v>0.3251088534107402</v>
      </c>
      <c r="R210" s="187">
        <f t="shared" si="71"/>
        <v>2.1953896816684962E-3</v>
      </c>
      <c r="S210" s="187">
        <f t="shared" si="72"/>
        <v>2.1953896816684962E-3</v>
      </c>
      <c r="T210" s="187">
        <f t="shared" si="73"/>
        <v>3.1313235243680765E-2</v>
      </c>
      <c r="U210" s="53"/>
    </row>
    <row r="211" spans="1:21" x14ac:dyDescent="0.25">
      <c r="A211" s="191" t="s">
        <v>44</v>
      </c>
      <c r="B211" s="168">
        <v>785</v>
      </c>
      <c r="C211" s="168">
        <v>738</v>
      </c>
      <c r="D211" s="168">
        <v>939</v>
      </c>
      <c r="E211" s="168">
        <v>1009</v>
      </c>
      <c r="F211" s="168">
        <v>1087</v>
      </c>
      <c r="G211" s="168">
        <v>1047</v>
      </c>
      <c r="H211" s="168">
        <v>1021</v>
      </c>
      <c r="I211" s="168">
        <v>982</v>
      </c>
      <c r="J211" s="168">
        <v>1179</v>
      </c>
      <c r="K211" s="168">
        <v>1376</v>
      </c>
      <c r="L211" s="168">
        <v>1618</v>
      </c>
      <c r="M211" s="168">
        <v>1761</v>
      </c>
      <c r="N211" s="168">
        <v>1848</v>
      </c>
      <c r="O211" s="168">
        <v>1556</v>
      </c>
      <c r="P211" s="168">
        <v>1767</v>
      </c>
      <c r="Q211" s="187">
        <f t="shared" si="70"/>
        <v>0.68767908309455583</v>
      </c>
      <c r="R211" s="187">
        <f t="shared" si="71"/>
        <v>9.2088998763906055E-2</v>
      </c>
      <c r="S211" s="187">
        <f t="shared" si="72"/>
        <v>0.13560411311053985</v>
      </c>
      <c r="T211" s="187">
        <f t="shared" si="73"/>
        <v>3.0301471344788559E-2</v>
      </c>
      <c r="U211" s="53"/>
    </row>
    <row r="212" spans="1:21" x14ac:dyDescent="0.25">
      <c r="A212" s="191" t="s">
        <v>35</v>
      </c>
      <c r="B212" s="168">
        <v>173</v>
      </c>
      <c r="C212" s="168">
        <v>168</v>
      </c>
      <c r="D212" s="168">
        <v>233</v>
      </c>
      <c r="E212" s="168">
        <v>194</v>
      </c>
      <c r="F212" s="168">
        <v>293</v>
      </c>
      <c r="G212" s="168">
        <v>280</v>
      </c>
      <c r="H212" s="168">
        <v>448</v>
      </c>
      <c r="I212" s="168">
        <v>661</v>
      </c>
      <c r="J212" s="168">
        <v>832</v>
      </c>
      <c r="K212" s="168">
        <v>777</v>
      </c>
      <c r="L212" s="168">
        <v>806</v>
      </c>
      <c r="M212" s="168">
        <v>1185</v>
      </c>
      <c r="N212" s="168">
        <v>1116</v>
      </c>
      <c r="O212" s="168">
        <v>1372</v>
      </c>
      <c r="P212" s="168">
        <v>1756</v>
      </c>
      <c r="Q212" s="187">
        <f t="shared" si="70"/>
        <v>5.2714285714285714</v>
      </c>
      <c r="R212" s="187">
        <f t="shared" si="71"/>
        <v>1.1786600496277915</v>
      </c>
      <c r="S212" s="187">
        <f t="shared" si="72"/>
        <v>0.27988338192419826</v>
      </c>
      <c r="T212" s="187">
        <f t="shared" si="73"/>
        <v>3.0112837397537468E-2</v>
      </c>
      <c r="U212" s="53"/>
    </row>
    <row r="213" spans="1:21" x14ac:dyDescent="0.25">
      <c r="A213" s="191" t="s">
        <v>31</v>
      </c>
      <c r="B213" s="168">
        <v>738</v>
      </c>
      <c r="C213" s="168">
        <v>779</v>
      </c>
      <c r="D213" s="168">
        <v>895</v>
      </c>
      <c r="E213" s="168">
        <v>1020</v>
      </c>
      <c r="F213" s="168">
        <v>1080</v>
      </c>
      <c r="G213" s="168">
        <v>1263</v>
      </c>
      <c r="H213" s="168">
        <v>1441</v>
      </c>
      <c r="I213" s="168">
        <v>1725</v>
      </c>
      <c r="J213" s="168">
        <v>1979</v>
      </c>
      <c r="K213" s="168">
        <v>2169</v>
      </c>
      <c r="L213" s="168">
        <v>2061</v>
      </c>
      <c r="M213" s="168">
        <v>1976</v>
      </c>
      <c r="N213" s="168">
        <v>2202</v>
      </c>
      <c r="O213" s="168">
        <v>1843</v>
      </c>
      <c r="P213" s="168">
        <v>1686</v>
      </c>
      <c r="Q213" s="187">
        <f t="shared" si="70"/>
        <v>0.33491686460807601</v>
      </c>
      <c r="R213" s="187">
        <f t="shared" si="71"/>
        <v>-0.18195050946142649</v>
      </c>
      <c r="S213" s="187">
        <f t="shared" si="72"/>
        <v>-8.518719479110147E-2</v>
      </c>
      <c r="T213" s="187">
        <f t="shared" si="73"/>
        <v>2.8912439551394175E-2</v>
      </c>
      <c r="U213" s="53"/>
    </row>
    <row r="214" spans="1:21" x14ac:dyDescent="0.25">
      <c r="A214" s="191" t="s">
        <v>36</v>
      </c>
      <c r="B214" s="168">
        <v>508</v>
      </c>
      <c r="C214" s="168">
        <v>459</v>
      </c>
      <c r="D214" s="168">
        <v>808</v>
      </c>
      <c r="E214" s="168">
        <v>1163</v>
      </c>
      <c r="F214" s="168">
        <v>1102</v>
      </c>
      <c r="G214" s="168">
        <v>1108</v>
      </c>
      <c r="H214" s="168">
        <v>1017</v>
      </c>
      <c r="I214" s="168">
        <v>1076</v>
      </c>
      <c r="J214" s="168">
        <v>1149</v>
      </c>
      <c r="K214" s="168">
        <v>1121</v>
      </c>
      <c r="L214" s="168">
        <v>1227</v>
      </c>
      <c r="M214" s="168">
        <v>1174</v>
      </c>
      <c r="N214" s="168">
        <v>1279</v>
      </c>
      <c r="O214" s="168">
        <v>1191</v>
      </c>
      <c r="P214" s="168">
        <v>1339</v>
      </c>
      <c r="Q214" s="187">
        <f t="shared" si="70"/>
        <v>0.20848375451263537</v>
      </c>
      <c r="R214" s="187">
        <f t="shared" si="71"/>
        <v>9.1279543602281993E-2</v>
      </c>
      <c r="S214" s="187">
        <f t="shared" si="72"/>
        <v>0.12426532325776658</v>
      </c>
      <c r="T214" s="187">
        <f t="shared" si="73"/>
        <v>2.296189594265528E-2</v>
      </c>
      <c r="U214" s="53"/>
    </row>
    <row r="215" spans="1:21" x14ac:dyDescent="0.25">
      <c r="A215" s="191" t="s">
        <v>28</v>
      </c>
      <c r="B215" s="168">
        <v>971</v>
      </c>
      <c r="C215" s="168">
        <v>1055</v>
      </c>
      <c r="D215" s="168">
        <v>1026</v>
      </c>
      <c r="E215" s="168">
        <v>1202</v>
      </c>
      <c r="F215" s="168">
        <v>1205</v>
      </c>
      <c r="G215" s="168">
        <v>1155</v>
      </c>
      <c r="H215" s="168">
        <v>1168</v>
      </c>
      <c r="I215" s="168">
        <v>1419</v>
      </c>
      <c r="J215" s="168">
        <v>1379</v>
      </c>
      <c r="K215" s="168">
        <v>1412</v>
      </c>
      <c r="L215" s="168">
        <v>1475</v>
      </c>
      <c r="M215" s="168">
        <v>1481</v>
      </c>
      <c r="N215" s="168">
        <v>1449</v>
      </c>
      <c r="O215" s="168">
        <v>1234</v>
      </c>
      <c r="P215" s="168">
        <v>1313</v>
      </c>
      <c r="Q215" s="187">
        <f t="shared" si="70"/>
        <v>0.13679653679653681</v>
      </c>
      <c r="R215" s="187">
        <f t="shared" si="71"/>
        <v>-0.10983050847457627</v>
      </c>
      <c r="S215" s="187">
        <f t="shared" si="72"/>
        <v>6.40194489465154E-2</v>
      </c>
      <c r="T215" s="187">
        <f t="shared" si="73"/>
        <v>2.2516033885516342E-2</v>
      </c>
      <c r="U215" s="53"/>
    </row>
    <row r="216" spans="1:21" x14ac:dyDescent="0.25">
      <c r="A216" s="191" t="s">
        <v>389</v>
      </c>
      <c r="B216" s="168">
        <v>103</v>
      </c>
      <c r="C216" s="168">
        <v>109</v>
      </c>
      <c r="D216" s="168">
        <v>177</v>
      </c>
      <c r="E216" s="168">
        <v>187</v>
      </c>
      <c r="F216" s="168">
        <v>235</v>
      </c>
      <c r="G216" s="168">
        <v>205</v>
      </c>
      <c r="H216" s="168">
        <v>284</v>
      </c>
      <c r="I216" s="168">
        <v>354</v>
      </c>
      <c r="J216" s="168">
        <v>408</v>
      </c>
      <c r="K216" s="168">
        <v>541</v>
      </c>
      <c r="L216" s="168">
        <v>457</v>
      </c>
      <c r="M216" s="168">
        <v>480</v>
      </c>
      <c r="N216" s="168">
        <v>665</v>
      </c>
      <c r="O216" s="168">
        <v>723</v>
      </c>
      <c r="P216" s="168">
        <v>1011</v>
      </c>
      <c r="Q216" s="187">
        <f t="shared" si="70"/>
        <v>3.9317073170731707</v>
      </c>
      <c r="R216" s="187">
        <f t="shared" si="71"/>
        <v>1.2122538293216629</v>
      </c>
      <c r="S216" s="187">
        <f t="shared" si="72"/>
        <v>0.39834024896265557</v>
      </c>
      <c r="T216" s="187">
        <f t="shared" si="73"/>
        <v>1.7337174606440992E-2</v>
      </c>
      <c r="U216" s="53"/>
    </row>
    <row r="217" spans="1:21" x14ac:dyDescent="0.25">
      <c r="A217" s="191" t="s">
        <v>30</v>
      </c>
      <c r="B217" s="168">
        <v>1783</v>
      </c>
      <c r="C217" s="168">
        <v>1805</v>
      </c>
      <c r="D217" s="168">
        <v>1920</v>
      </c>
      <c r="E217" s="168">
        <v>2174</v>
      </c>
      <c r="F217" s="168">
        <v>2109</v>
      </c>
      <c r="G217" s="168">
        <v>1696</v>
      </c>
      <c r="H217" s="168">
        <v>1388</v>
      </c>
      <c r="I217" s="168">
        <v>1662</v>
      </c>
      <c r="J217" s="168">
        <v>1506</v>
      </c>
      <c r="K217" s="168">
        <v>1142</v>
      </c>
      <c r="L217" s="168">
        <v>1233</v>
      </c>
      <c r="M217" s="168">
        <v>1212</v>
      </c>
      <c r="N217" s="168">
        <v>1350</v>
      </c>
      <c r="O217" s="168">
        <v>1323</v>
      </c>
      <c r="P217" s="168">
        <v>933</v>
      </c>
      <c r="Q217" s="187">
        <f t="shared" si="70"/>
        <v>-0.44988207547169812</v>
      </c>
      <c r="R217" s="187">
        <f t="shared" si="71"/>
        <v>-0.24330900243309003</v>
      </c>
      <c r="S217" s="187">
        <f t="shared" si="72"/>
        <v>-0.29478458049886619</v>
      </c>
      <c r="T217" s="187">
        <f t="shared" si="73"/>
        <v>1.5999588435024178E-2</v>
      </c>
      <c r="U217" s="53"/>
    </row>
    <row r="218" spans="1:21" x14ac:dyDescent="0.25">
      <c r="A218" s="191" t="s">
        <v>437</v>
      </c>
      <c r="B218" s="168"/>
      <c r="C218" s="168"/>
      <c r="D218" s="168"/>
      <c r="E218" s="168"/>
      <c r="F218" s="168"/>
      <c r="G218" s="168">
        <v>25</v>
      </c>
      <c r="H218" s="168"/>
      <c r="I218" s="168"/>
      <c r="J218" s="168"/>
      <c r="K218" s="168">
        <v>74</v>
      </c>
      <c r="L218" s="168">
        <v>136</v>
      </c>
      <c r="M218" s="168">
        <v>248</v>
      </c>
      <c r="N218" s="168">
        <v>290</v>
      </c>
      <c r="O218" s="168">
        <v>698</v>
      </c>
      <c r="P218" s="168">
        <v>821</v>
      </c>
      <c r="Q218" s="187">
        <f t="shared" si="70"/>
        <v>31.84</v>
      </c>
      <c r="R218" s="187">
        <f t="shared" si="71"/>
        <v>5.0367647058823533</v>
      </c>
      <c r="S218" s="187">
        <f t="shared" si="72"/>
        <v>0.17621776504297995</v>
      </c>
      <c r="T218" s="187">
        <f t="shared" si="73"/>
        <v>1.407895188119491E-2</v>
      </c>
      <c r="U218" s="53"/>
    </row>
    <row r="219" spans="1:21" x14ac:dyDescent="0.25">
      <c r="A219" s="191" t="s">
        <v>436</v>
      </c>
      <c r="B219" s="168">
        <v>82</v>
      </c>
      <c r="C219" s="168">
        <v>64</v>
      </c>
      <c r="D219" s="168">
        <v>61</v>
      </c>
      <c r="E219" s="168">
        <v>49</v>
      </c>
      <c r="F219" s="168">
        <v>74</v>
      </c>
      <c r="G219" s="168">
        <v>54</v>
      </c>
      <c r="H219" s="168">
        <v>81</v>
      </c>
      <c r="I219" s="168">
        <v>102</v>
      </c>
      <c r="J219" s="168">
        <v>177</v>
      </c>
      <c r="K219" s="168">
        <v>157</v>
      </c>
      <c r="L219" s="168">
        <v>220</v>
      </c>
      <c r="M219" s="168">
        <v>275</v>
      </c>
      <c r="N219" s="168">
        <v>568</v>
      </c>
      <c r="O219" s="168">
        <v>639</v>
      </c>
      <c r="P219" s="168">
        <v>819</v>
      </c>
      <c r="Q219" s="187">
        <f t="shared" si="70"/>
        <v>14.166666666666666</v>
      </c>
      <c r="R219" s="187">
        <f t="shared" si="71"/>
        <v>2.7227272727272727</v>
      </c>
      <c r="S219" s="187">
        <f t="shared" si="72"/>
        <v>0.28169014084507044</v>
      </c>
      <c r="T219" s="187">
        <f t="shared" si="73"/>
        <v>1.404465479987653E-2</v>
      </c>
      <c r="U219" s="53"/>
    </row>
    <row r="220" spans="1:21" x14ac:dyDescent="0.25">
      <c r="A220" s="110"/>
      <c r="B220" s="110"/>
      <c r="C220" s="110"/>
      <c r="D220" s="110"/>
      <c r="E220" s="110"/>
      <c r="F220" s="110"/>
      <c r="G220" s="110"/>
      <c r="H220" s="110"/>
      <c r="I220" s="110"/>
      <c r="J220" s="110"/>
      <c r="K220" s="110"/>
      <c r="L220" s="110"/>
      <c r="M220" s="110"/>
      <c r="N220" s="110"/>
      <c r="O220" s="110"/>
      <c r="P220" s="110"/>
      <c r="Q220" s="39"/>
      <c r="R220" s="39"/>
      <c r="S220" s="39"/>
      <c r="T220" s="39"/>
      <c r="U220" s="53"/>
    </row>
    <row r="221" spans="1:21" ht="15.75" x14ac:dyDescent="0.25">
      <c r="A221" s="27" t="s">
        <v>86</v>
      </c>
      <c r="B221" s="27"/>
      <c r="C221" s="27"/>
      <c r="D221" s="27"/>
      <c r="E221" s="27"/>
      <c r="F221" s="27"/>
      <c r="G221" s="27"/>
      <c r="H221" s="27"/>
      <c r="I221" s="110"/>
      <c r="J221" s="110"/>
      <c r="K221" s="110"/>
      <c r="L221" s="110"/>
      <c r="M221" s="110"/>
      <c r="N221" s="110"/>
      <c r="O221" s="110"/>
      <c r="P221" s="110"/>
      <c r="Q221" s="39"/>
      <c r="R221" s="39"/>
      <c r="S221" s="39"/>
      <c r="T221" s="39"/>
    </row>
    <row r="222" spans="1:21" ht="30" customHeight="1" x14ac:dyDescent="0.25">
      <c r="A222" s="148" t="s">
        <v>3</v>
      </c>
      <c r="B222" s="130">
        <v>2007</v>
      </c>
      <c r="C222" s="130">
        <v>2008</v>
      </c>
      <c r="D222" s="130">
        <v>2009</v>
      </c>
      <c r="E222" s="130">
        <v>2010</v>
      </c>
      <c r="F222" s="130">
        <v>2011</v>
      </c>
      <c r="G222" s="130">
        <v>2012</v>
      </c>
      <c r="H222" s="130">
        <v>2013</v>
      </c>
      <c r="I222" s="130">
        <v>2014</v>
      </c>
      <c r="J222" s="130">
        <v>2015</v>
      </c>
      <c r="K222" s="130">
        <v>2016</v>
      </c>
      <c r="L222" s="130">
        <v>2017</v>
      </c>
      <c r="M222" s="130">
        <v>2018</v>
      </c>
      <c r="N222" s="130">
        <v>2019</v>
      </c>
      <c r="O222" s="130">
        <v>2020</v>
      </c>
      <c r="P222" s="130">
        <v>2021</v>
      </c>
      <c r="Q222" s="131" t="s">
        <v>424</v>
      </c>
      <c r="R222" s="131" t="s">
        <v>425</v>
      </c>
      <c r="S222" s="131" t="s">
        <v>426</v>
      </c>
      <c r="T222" s="131" t="s">
        <v>427</v>
      </c>
      <c r="U222" s="53"/>
    </row>
    <row r="223" spans="1:21" x14ac:dyDescent="0.25">
      <c r="A223" s="191" t="s">
        <v>18</v>
      </c>
      <c r="B223" s="151">
        <v>6718</v>
      </c>
      <c r="C223" s="151">
        <v>9811</v>
      </c>
      <c r="D223" s="151">
        <v>12040</v>
      </c>
      <c r="E223" s="151">
        <v>15641</v>
      </c>
      <c r="F223" s="151">
        <v>19863</v>
      </c>
      <c r="G223" s="151">
        <v>23800</v>
      </c>
      <c r="H223" s="151">
        <v>24361</v>
      </c>
      <c r="I223" s="151">
        <v>25311</v>
      </c>
      <c r="J223" s="151">
        <v>26367</v>
      </c>
      <c r="K223" s="151">
        <v>26567</v>
      </c>
      <c r="L223" s="151">
        <v>25434</v>
      </c>
      <c r="M223" s="151">
        <v>25004</v>
      </c>
      <c r="N223" s="151">
        <v>24422</v>
      </c>
      <c r="O223" s="151">
        <v>22300</v>
      </c>
      <c r="P223" s="151">
        <v>24787</v>
      </c>
      <c r="Q223" s="187">
        <f t="shared" ref="Q223:Q242" si="74">(P223-G223)/G223</f>
        <v>4.147058823529412E-2</v>
      </c>
      <c r="R223" s="187">
        <f t="shared" ref="R223:R242" si="75">(P223-L223)/L223</f>
        <v>-2.5438389557285522E-2</v>
      </c>
      <c r="S223" s="187">
        <f t="shared" ref="S223:S242" si="76">(P223-O223)/O223</f>
        <v>0.11152466367713004</v>
      </c>
      <c r="T223" s="187">
        <f>P223/P$6</f>
        <v>6.5480876424559756E-2</v>
      </c>
    </row>
    <row r="224" spans="1:21" x14ac:dyDescent="0.25">
      <c r="A224" s="191" t="s">
        <v>46</v>
      </c>
      <c r="B224" s="151">
        <v>3966</v>
      </c>
      <c r="C224" s="151">
        <v>5142</v>
      </c>
      <c r="D224" s="151">
        <v>7127</v>
      </c>
      <c r="E224" s="151">
        <v>8738</v>
      </c>
      <c r="F224" s="151">
        <v>10341</v>
      </c>
      <c r="G224" s="151">
        <v>11432</v>
      </c>
      <c r="H224" s="151">
        <v>13082</v>
      </c>
      <c r="I224" s="151">
        <v>14638</v>
      </c>
      <c r="J224" s="151">
        <v>17255</v>
      </c>
      <c r="K224" s="151">
        <v>18579</v>
      </c>
      <c r="L224" s="151">
        <v>19543</v>
      </c>
      <c r="M224" s="151">
        <v>20475</v>
      </c>
      <c r="N224" s="151">
        <v>21493</v>
      </c>
      <c r="O224" s="151">
        <v>20854</v>
      </c>
      <c r="P224" s="151">
        <v>22636</v>
      </c>
      <c r="Q224" s="187">
        <f t="shared" si="74"/>
        <v>0.98005598320503851</v>
      </c>
      <c r="R224" s="187">
        <f t="shared" si="75"/>
        <v>0.15826638694161593</v>
      </c>
      <c r="S224" s="187">
        <f t="shared" si="76"/>
        <v>8.5451232377481534E-2</v>
      </c>
      <c r="T224" s="187">
        <f t="shared" ref="T224:T242" si="77">P224/P$6</f>
        <v>5.9798487866475757E-2</v>
      </c>
      <c r="U224" s="53"/>
    </row>
    <row r="225" spans="1:21" x14ac:dyDescent="0.25">
      <c r="A225" s="191" t="s">
        <v>32</v>
      </c>
      <c r="B225" s="151">
        <v>7073</v>
      </c>
      <c r="C225" s="151">
        <v>7444</v>
      </c>
      <c r="D225" s="151">
        <v>7327</v>
      </c>
      <c r="E225" s="151">
        <v>8012</v>
      </c>
      <c r="F225" s="151">
        <v>8875</v>
      </c>
      <c r="G225" s="151">
        <v>9096</v>
      </c>
      <c r="H225" s="151">
        <v>9428</v>
      </c>
      <c r="I225" s="151">
        <v>9963</v>
      </c>
      <c r="J225" s="151">
        <v>10711</v>
      </c>
      <c r="K225" s="151">
        <v>11924</v>
      </c>
      <c r="L225" s="151">
        <v>13450</v>
      </c>
      <c r="M225" s="151">
        <v>14952</v>
      </c>
      <c r="N225" s="151">
        <v>16417</v>
      </c>
      <c r="O225" s="151">
        <v>16606</v>
      </c>
      <c r="P225" s="151">
        <v>15895</v>
      </c>
      <c r="Q225" s="187">
        <f t="shared" si="74"/>
        <v>0.74747141600703604</v>
      </c>
      <c r="R225" s="187">
        <f t="shared" si="75"/>
        <v>0.18178438661710036</v>
      </c>
      <c r="S225" s="187">
        <f t="shared" si="76"/>
        <v>-4.2815849692882088E-2</v>
      </c>
      <c r="T225" s="187">
        <f t="shared" si="77"/>
        <v>4.1990500293233438E-2</v>
      </c>
    </row>
    <row r="226" spans="1:21" x14ac:dyDescent="0.25">
      <c r="A226" s="191" t="s">
        <v>12</v>
      </c>
      <c r="B226" s="151">
        <v>4239</v>
      </c>
      <c r="C226" s="151">
        <v>5141</v>
      </c>
      <c r="D226" s="151">
        <v>6337</v>
      </c>
      <c r="E226" s="151">
        <v>8050</v>
      </c>
      <c r="F226" s="151">
        <v>8784</v>
      </c>
      <c r="G226" s="151">
        <v>9409</v>
      </c>
      <c r="H226" s="151">
        <v>11617</v>
      </c>
      <c r="I226" s="151">
        <v>12592</v>
      </c>
      <c r="J226" s="151">
        <v>11376</v>
      </c>
      <c r="K226" s="151">
        <v>12351</v>
      </c>
      <c r="L226" s="151">
        <v>11352</v>
      </c>
      <c r="M226" s="151">
        <v>10883</v>
      </c>
      <c r="N226" s="151">
        <v>10975</v>
      </c>
      <c r="O226" s="151">
        <v>12552</v>
      </c>
      <c r="P226" s="151">
        <v>15777</v>
      </c>
      <c r="Q226" s="187">
        <f t="shared" si="74"/>
        <v>0.67679880965033479</v>
      </c>
      <c r="R226" s="187">
        <f t="shared" si="75"/>
        <v>0.38979915433403806</v>
      </c>
      <c r="S226" s="187">
        <f t="shared" si="76"/>
        <v>0.25693116634799235</v>
      </c>
      <c r="T226" s="187">
        <f t="shared" si="77"/>
        <v>4.1678774654063791E-2</v>
      </c>
      <c r="U226" s="53"/>
    </row>
    <row r="227" spans="1:21" x14ac:dyDescent="0.25">
      <c r="A227" s="191" t="s">
        <v>21</v>
      </c>
      <c r="B227" s="151">
        <v>3104</v>
      </c>
      <c r="C227" s="151">
        <v>3664</v>
      </c>
      <c r="D227" s="151">
        <v>5876</v>
      </c>
      <c r="E227" s="151">
        <v>8142</v>
      </c>
      <c r="F227" s="151">
        <v>10737</v>
      </c>
      <c r="G227" s="151">
        <v>14083</v>
      </c>
      <c r="H227" s="151">
        <v>15600</v>
      </c>
      <c r="I227" s="151">
        <v>17946</v>
      </c>
      <c r="J227" s="151">
        <v>20983</v>
      </c>
      <c r="K227" s="151">
        <v>23148</v>
      </c>
      <c r="L227" s="151">
        <v>21797</v>
      </c>
      <c r="M227" s="151">
        <v>21134</v>
      </c>
      <c r="N227" s="151">
        <v>19397</v>
      </c>
      <c r="O227" s="151">
        <v>16007</v>
      </c>
      <c r="P227" s="151">
        <v>14769</v>
      </c>
      <c r="Q227" s="187">
        <f t="shared" si="74"/>
        <v>4.8711212099694666E-2</v>
      </c>
      <c r="R227" s="187">
        <f t="shared" si="75"/>
        <v>-0.32242969215947148</v>
      </c>
      <c r="S227" s="187">
        <f t="shared" si="76"/>
        <v>-7.734116324108202E-2</v>
      </c>
      <c r="T227" s="187">
        <f t="shared" si="77"/>
        <v>3.9015898007597652E-2</v>
      </c>
    </row>
    <row r="228" spans="1:21" x14ac:dyDescent="0.25">
      <c r="A228" s="191" t="s">
        <v>16</v>
      </c>
      <c r="B228" s="151">
        <v>5896</v>
      </c>
      <c r="C228" s="151">
        <v>5647</v>
      </c>
      <c r="D228" s="151">
        <v>6755</v>
      </c>
      <c r="E228" s="151">
        <v>7748</v>
      </c>
      <c r="F228" s="151">
        <v>8217</v>
      </c>
      <c r="G228" s="151">
        <v>8054</v>
      </c>
      <c r="H228" s="151">
        <v>8066</v>
      </c>
      <c r="I228" s="151">
        <v>7806</v>
      </c>
      <c r="J228" s="151">
        <v>7907</v>
      </c>
      <c r="K228" s="151">
        <v>8157</v>
      </c>
      <c r="L228" s="151">
        <v>8609</v>
      </c>
      <c r="M228" s="151">
        <v>9391</v>
      </c>
      <c r="N228" s="151">
        <v>10871</v>
      </c>
      <c r="O228" s="151">
        <v>11308</v>
      </c>
      <c r="P228" s="151">
        <v>14214</v>
      </c>
      <c r="Q228" s="187">
        <f t="shared" si="74"/>
        <v>0.7648373479016638</v>
      </c>
      <c r="R228" s="187">
        <f t="shared" si="75"/>
        <v>0.65106284121268443</v>
      </c>
      <c r="S228" s="187">
        <f t="shared" si="76"/>
        <v>0.25698620445702158</v>
      </c>
      <c r="T228" s="187">
        <f t="shared" si="77"/>
        <v>3.754973080641838E-2</v>
      </c>
      <c r="U228" s="53"/>
    </row>
    <row r="229" spans="1:21" x14ac:dyDescent="0.25">
      <c r="A229" s="191" t="s">
        <v>10</v>
      </c>
      <c r="B229" s="151">
        <v>6540</v>
      </c>
      <c r="C229" s="151">
        <v>7528</v>
      </c>
      <c r="D229" s="151">
        <v>8375</v>
      </c>
      <c r="E229" s="151">
        <v>8806</v>
      </c>
      <c r="F229" s="151">
        <v>9395</v>
      </c>
      <c r="G229" s="151">
        <v>9486</v>
      </c>
      <c r="H229" s="151">
        <v>9859</v>
      </c>
      <c r="I229" s="151">
        <v>9885</v>
      </c>
      <c r="J229" s="151">
        <v>10324</v>
      </c>
      <c r="K229" s="151">
        <v>10839</v>
      </c>
      <c r="L229" s="151">
        <v>10933</v>
      </c>
      <c r="M229" s="151">
        <v>11490</v>
      </c>
      <c r="N229" s="151">
        <v>12139</v>
      </c>
      <c r="O229" s="151">
        <v>12066</v>
      </c>
      <c r="P229" s="151">
        <v>13180</v>
      </c>
      <c r="Q229" s="187">
        <f t="shared" si="74"/>
        <v>0.38941598144634199</v>
      </c>
      <c r="R229" s="187">
        <f t="shared" si="75"/>
        <v>0.20552455867556937</v>
      </c>
      <c r="S229" s="187">
        <f t="shared" si="76"/>
        <v>9.2325542847671138E-2</v>
      </c>
      <c r="T229" s="187">
        <f t="shared" si="77"/>
        <v>3.481816884962672E-2</v>
      </c>
    </row>
    <row r="230" spans="1:21" x14ac:dyDescent="0.25">
      <c r="A230" s="191" t="s">
        <v>25</v>
      </c>
      <c r="B230" s="151">
        <v>592</v>
      </c>
      <c r="C230" s="151">
        <v>868</v>
      </c>
      <c r="D230" s="151">
        <v>2018</v>
      </c>
      <c r="E230" s="151">
        <v>3390</v>
      </c>
      <c r="F230" s="151">
        <v>4745</v>
      </c>
      <c r="G230" s="151">
        <v>4979</v>
      </c>
      <c r="H230" s="151">
        <v>4878</v>
      </c>
      <c r="I230" s="151">
        <v>5736</v>
      </c>
      <c r="J230" s="151">
        <v>6945</v>
      </c>
      <c r="K230" s="151">
        <v>9418</v>
      </c>
      <c r="L230" s="151">
        <v>11994</v>
      </c>
      <c r="M230" s="151">
        <v>14378</v>
      </c>
      <c r="N230" s="151">
        <v>15676</v>
      </c>
      <c r="O230" s="151">
        <v>14531</v>
      </c>
      <c r="P230" s="151">
        <v>12086</v>
      </c>
      <c r="Q230" s="187">
        <f t="shared" si="74"/>
        <v>1.4273950592488451</v>
      </c>
      <c r="R230" s="187">
        <f t="shared" si="75"/>
        <v>7.6705019176254797E-3</v>
      </c>
      <c r="S230" s="187">
        <f t="shared" si="76"/>
        <v>-0.16826095932833254</v>
      </c>
      <c r="T230" s="187">
        <f t="shared" si="77"/>
        <v>3.1928102330545417E-2</v>
      </c>
      <c r="U230" s="53"/>
    </row>
    <row r="231" spans="1:21" x14ac:dyDescent="0.25">
      <c r="A231" s="191" t="s">
        <v>23</v>
      </c>
      <c r="B231" s="151">
        <v>2121</v>
      </c>
      <c r="C231" s="151">
        <v>2592</v>
      </c>
      <c r="D231" s="151">
        <v>3412</v>
      </c>
      <c r="E231" s="151">
        <v>4002</v>
      </c>
      <c r="F231" s="151">
        <v>4413</v>
      </c>
      <c r="G231" s="151">
        <v>4927</v>
      </c>
      <c r="H231" s="151">
        <v>6020</v>
      </c>
      <c r="I231" s="151">
        <v>6843</v>
      </c>
      <c r="J231" s="151">
        <v>8106</v>
      </c>
      <c r="K231" s="151">
        <v>8737</v>
      </c>
      <c r="L231" s="151">
        <v>9661</v>
      </c>
      <c r="M231" s="151">
        <v>10444</v>
      </c>
      <c r="N231" s="151">
        <v>11028</v>
      </c>
      <c r="O231" s="151">
        <v>10780</v>
      </c>
      <c r="P231" s="151">
        <v>10935</v>
      </c>
      <c r="Q231" s="187">
        <f t="shared" si="74"/>
        <v>1.2194032880048711</v>
      </c>
      <c r="R231" s="187">
        <f t="shared" si="75"/>
        <v>0.13187040679018736</v>
      </c>
      <c r="S231" s="187">
        <f t="shared" si="76"/>
        <v>1.4378478664192951E-2</v>
      </c>
      <c r="T231" s="187">
        <f t="shared" si="77"/>
        <v>2.8887456477288936E-2</v>
      </c>
    </row>
    <row r="232" spans="1:21" x14ac:dyDescent="0.25">
      <c r="A232" s="191" t="s">
        <v>35</v>
      </c>
      <c r="B232" s="151">
        <v>912</v>
      </c>
      <c r="C232" s="151">
        <v>1152</v>
      </c>
      <c r="D232" s="151">
        <v>1988</v>
      </c>
      <c r="E232" s="151">
        <v>3193</v>
      </c>
      <c r="F232" s="151">
        <v>4407</v>
      </c>
      <c r="G232" s="151">
        <v>5544</v>
      </c>
      <c r="H232" s="151">
        <v>5432</v>
      </c>
      <c r="I232" s="151">
        <v>6376</v>
      </c>
      <c r="J232" s="151">
        <v>7977</v>
      </c>
      <c r="K232" s="151">
        <v>8444</v>
      </c>
      <c r="L232" s="151">
        <v>10335</v>
      </c>
      <c r="M232" s="151">
        <v>10770</v>
      </c>
      <c r="N232" s="151">
        <v>10953</v>
      </c>
      <c r="O232" s="151">
        <v>9407</v>
      </c>
      <c r="P232" s="151">
        <v>9607</v>
      </c>
      <c r="Q232" s="187">
        <f t="shared" si="74"/>
        <v>0.73286435786435788</v>
      </c>
      <c r="R232" s="187">
        <f t="shared" si="75"/>
        <v>-7.0440251572327042E-2</v>
      </c>
      <c r="S232" s="187">
        <f t="shared" si="76"/>
        <v>2.1260763261401083E-2</v>
      </c>
      <c r="T232" s="187">
        <f t="shared" si="77"/>
        <v>2.5379222165277989E-2</v>
      </c>
      <c r="U232" s="53"/>
    </row>
    <row r="233" spans="1:21" x14ac:dyDescent="0.25">
      <c r="A233" s="191" t="s">
        <v>19</v>
      </c>
      <c r="B233" s="151">
        <v>4150</v>
      </c>
      <c r="C233" s="151">
        <v>5343</v>
      </c>
      <c r="D233" s="151">
        <v>7234</v>
      </c>
      <c r="E233" s="151">
        <v>6831</v>
      </c>
      <c r="F233" s="151">
        <v>7235</v>
      </c>
      <c r="G233" s="151">
        <v>8077</v>
      </c>
      <c r="H233" s="151">
        <v>8908</v>
      </c>
      <c r="I233" s="151">
        <v>9603</v>
      </c>
      <c r="J233" s="151">
        <v>10454</v>
      </c>
      <c r="K233" s="151">
        <v>10288</v>
      </c>
      <c r="L233" s="151">
        <v>9946</v>
      </c>
      <c r="M233" s="151">
        <v>8951</v>
      </c>
      <c r="N233" s="151">
        <v>8885</v>
      </c>
      <c r="O233" s="151">
        <v>8658</v>
      </c>
      <c r="P233" s="151">
        <v>9557</v>
      </c>
      <c r="Q233" s="187">
        <f t="shared" si="74"/>
        <v>0.18323635012999875</v>
      </c>
      <c r="R233" s="187">
        <f t="shared" si="75"/>
        <v>-3.9111200482606072E-2</v>
      </c>
      <c r="S233" s="187">
        <f t="shared" si="76"/>
        <v>0.10383460383460383</v>
      </c>
      <c r="T233" s="187">
        <f t="shared" si="77"/>
        <v>2.5247135030036616E-2</v>
      </c>
    </row>
    <row r="234" spans="1:21" x14ac:dyDescent="0.25">
      <c r="A234" s="191" t="s">
        <v>20</v>
      </c>
      <c r="B234" s="151">
        <v>7098</v>
      </c>
      <c r="C234" s="151">
        <v>8923</v>
      </c>
      <c r="D234" s="151">
        <v>11767</v>
      </c>
      <c r="E234" s="151">
        <v>14639</v>
      </c>
      <c r="F234" s="151">
        <v>18388</v>
      </c>
      <c r="G234" s="151">
        <v>21467</v>
      </c>
      <c r="H234" s="151">
        <v>25804</v>
      </c>
      <c r="I234" s="151">
        <v>28059</v>
      </c>
      <c r="J234" s="151">
        <v>29669</v>
      </c>
      <c r="K234" s="151">
        <v>27310</v>
      </c>
      <c r="L234" s="151">
        <v>21561</v>
      </c>
      <c r="M234" s="151">
        <v>16217</v>
      </c>
      <c r="N234" s="151">
        <v>11781</v>
      </c>
      <c r="O234" s="151">
        <v>8216</v>
      </c>
      <c r="P234" s="151">
        <v>7644</v>
      </c>
      <c r="Q234" s="187">
        <f t="shared" si="74"/>
        <v>-0.64391857269297059</v>
      </c>
      <c r="R234" s="187">
        <f t="shared" si="75"/>
        <v>-0.64547098928621116</v>
      </c>
      <c r="S234" s="187">
        <f t="shared" si="76"/>
        <v>-6.9620253164556958E-2</v>
      </c>
      <c r="T234" s="187">
        <f t="shared" si="77"/>
        <v>2.0193481235701569E-2</v>
      </c>
      <c r="U234" s="53"/>
    </row>
    <row r="235" spans="1:21" x14ac:dyDescent="0.25">
      <c r="A235" s="191" t="s">
        <v>162</v>
      </c>
      <c r="B235" s="151">
        <v>610</v>
      </c>
      <c r="C235" s="151">
        <v>791</v>
      </c>
      <c r="D235" s="151">
        <v>1090</v>
      </c>
      <c r="E235" s="151">
        <v>1402</v>
      </c>
      <c r="F235" s="151">
        <v>1413</v>
      </c>
      <c r="G235" s="151">
        <v>2468</v>
      </c>
      <c r="H235" s="151">
        <v>3130</v>
      </c>
      <c r="I235" s="151">
        <v>3989</v>
      </c>
      <c r="J235" s="151">
        <v>4729</v>
      </c>
      <c r="K235" s="151">
        <v>5667</v>
      </c>
      <c r="L235" s="151">
        <v>6120</v>
      </c>
      <c r="M235" s="151">
        <v>6342</v>
      </c>
      <c r="N235" s="151">
        <v>6764</v>
      </c>
      <c r="O235" s="151">
        <v>6471</v>
      </c>
      <c r="P235" s="151">
        <v>6910</v>
      </c>
      <c r="Q235" s="187">
        <f t="shared" si="74"/>
        <v>1.7998379254457051</v>
      </c>
      <c r="R235" s="187">
        <f t="shared" si="75"/>
        <v>0.12908496732026145</v>
      </c>
      <c r="S235" s="187">
        <f t="shared" si="76"/>
        <v>6.7841137382166586E-2</v>
      </c>
      <c r="T235" s="187">
        <f t="shared" si="77"/>
        <v>1.8254442090358168E-2</v>
      </c>
    </row>
    <row r="236" spans="1:21" x14ac:dyDescent="0.25">
      <c r="A236" s="191" t="s">
        <v>156</v>
      </c>
      <c r="B236" s="151">
        <v>3650</v>
      </c>
      <c r="C236" s="151">
        <v>3326</v>
      </c>
      <c r="D236" s="151">
        <v>3964</v>
      </c>
      <c r="E236" s="151">
        <v>5075</v>
      </c>
      <c r="F236" s="151">
        <v>5758</v>
      </c>
      <c r="G236" s="151">
        <v>6184</v>
      </c>
      <c r="H236" s="151">
        <v>6284</v>
      </c>
      <c r="I236" s="151">
        <v>6479</v>
      </c>
      <c r="J236" s="151">
        <v>6706</v>
      </c>
      <c r="K236" s="151">
        <v>7107</v>
      </c>
      <c r="L236" s="151">
        <v>6889</v>
      </c>
      <c r="M236" s="151">
        <v>6589</v>
      </c>
      <c r="N236" s="151">
        <v>6589</v>
      </c>
      <c r="O236" s="151">
        <v>6338</v>
      </c>
      <c r="P236" s="151">
        <v>6740</v>
      </c>
      <c r="Q236" s="187">
        <f t="shared" si="74"/>
        <v>8.9909443725743859E-2</v>
      </c>
      <c r="R236" s="187">
        <f t="shared" si="75"/>
        <v>-2.1628683408332124E-2</v>
      </c>
      <c r="S236" s="187">
        <f t="shared" si="76"/>
        <v>6.3426948564215838E-2</v>
      </c>
      <c r="T236" s="187">
        <f t="shared" si="77"/>
        <v>1.780534583053749E-2</v>
      </c>
      <c r="U236" s="53"/>
    </row>
    <row r="237" spans="1:21" x14ac:dyDescent="0.25">
      <c r="A237" s="191" t="s">
        <v>17</v>
      </c>
      <c r="B237" s="151">
        <v>3423</v>
      </c>
      <c r="C237" s="151">
        <v>3618</v>
      </c>
      <c r="D237" s="151">
        <v>3505</v>
      </c>
      <c r="E237" s="151">
        <v>3590</v>
      </c>
      <c r="F237" s="151">
        <v>4028</v>
      </c>
      <c r="G237" s="151">
        <v>4304</v>
      </c>
      <c r="H237" s="151">
        <v>4888</v>
      </c>
      <c r="I237" s="151">
        <v>4967</v>
      </c>
      <c r="J237" s="151">
        <v>5319</v>
      </c>
      <c r="K237" s="151">
        <v>5600</v>
      </c>
      <c r="L237" s="151">
        <v>5811</v>
      </c>
      <c r="M237" s="151">
        <v>6186</v>
      </c>
      <c r="N237" s="151">
        <v>6659</v>
      </c>
      <c r="O237" s="151">
        <v>6833</v>
      </c>
      <c r="P237" s="151">
        <v>6503</v>
      </c>
      <c r="Q237" s="187">
        <f t="shared" si="74"/>
        <v>0.51092007434944242</v>
      </c>
      <c r="R237" s="187">
        <f t="shared" si="75"/>
        <v>0.1190844949234211</v>
      </c>
      <c r="S237" s="187">
        <f t="shared" si="76"/>
        <v>-4.8295038782379625E-2</v>
      </c>
      <c r="T237" s="187">
        <f t="shared" si="77"/>
        <v>1.7179252809493367E-2</v>
      </c>
    </row>
    <row r="238" spans="1:21" x14ac:dyDescent="0.25">
      <c r="A238" s="191" t="s">
        <v>349</v>
      </c>
      <c r="B238" s="151">
        <v>2519</v>
      </c>
      <c r="C238" s="151">
        <v>2956</v>
      </c>
      <c r="D238" s="151">
        <v>3367</v>
      </c>
      <c r="E238" s="151">
        <v>3739</v>
      </c>
      <c r="F238" s="151">
        <v>3815</v>
      </c>
      <c r="G238" s="151">
        <v>3980</v>
      </c>
      <c r="H238" s="151">
        <v>4204</v>
      </c>
      <c r="I238" s="151">
        <v>4034</v>
      </c>
      <c r="J238" s="151">
        <v>4111</v>
      </c>
      <c r="K238" s="151">
        <v>4423</v>
      </c>
      <c r="L238" s="151">
        <v>5099</v>
      </c>
      <c r="M238" s="151">
        <v>5618</v>
      </c>
      <c r="N238" s="151">
        <v>6359</v>
      </c>
      <c r="O238" s="151">
        <v>6394</v>
      </c>
      <c r="P238" s="151">
        <v>6383</v>
      </c>
      <c r="Q238" s="187">
        <f t="shared" si="74"/>
        <v>0.60376884422110555</v>
      </c>
      <c r="R238" s="187">
        <f t="shared" si="75"/>
        <v>0.25181408119239068</v>
      </c>
      <c r="S238" s="187">
        <f t="shared" si="76"/>
        <v>-1.7203628401626526E-3</v>
      </c>
      <c r="T238" s="187">
        <f t="shared" si="77"/>
        <v>1.6862243684914065E-2</v>
      </c>
      <c r="U238" s="53"/>
    </row>
    <row r="239" spans="1:21" x14ac:dyDescent="0.25">
      <c r="A239" s="191" t="s">
        <v>24</v>
      </c>
      <c r="B239" s="151">
        <v>3757</v>
      </c>
      <c r="C239" s="151">
        <v>3839</v>
      </c>
      <c r="D239" s="151">
        <v>4246</v>
      </c>
      <c r="E239" s="151">
        <v>5061</v>
      </c>
      <c r="F239" s="151">
        <v>5853</v>
      </c>
      <c r="G239" s="151">
        <v>6952</v>
      </c>
      <c r="H239" s="151">
        <v>8388</v>
      </c>
      <c r="I239" s="151">
        <v>9449</v>
      </c>
      <c r="J239" s="151">
        <v>10194</v>
      </c>
      <c r="K239" s="151">
        <v>10279</v>
      </c>
      <c r="L239" s="151">
        <v>9940</v>
      </c>
      <c r="M239" s="151">
        <v>8993</v>
      </c>
      <c r="N239" s="151">
        <v>8300</v>
      </c>
      <c r="O239" s="151">
        <v>6730</v>
      </c>
      <c r="P239" s="151">
        <v>6181</v>
      </c>
      <c r="Q239" s="187">
        <f t="shared" si="74"/>
        <v>-0.11090333716915995</v>
      </c>
      <c r="R239" s="187">
        <f t="shared" si="75"/>
        <v>-0.37816901408450704</v>
      </c>
      <c r="S239" s="187">
        <f t="shared" si="76"/>
        <v>-8.1575037147102528E-2</v>
      </c>
      <c r="T239" s="187">
        <f t="shared" si="77"/>
        <v>1.6328611658538904E-2</v>
      </c>
    </row>
    <row r="240" spans="1:21" x14ac:dyDescent="0.25">
      <c r="A240" s="191" t="s">
        <v>438</v>
      </c>
      <c r="B240" s="151">
        <v>852</v>
      </c>
      <c r="C240" s="151">
        <v>795</v>
      </c>
      <c r="D240" s="151">
        <v>833</v>
      </c>
      <c r="E240" s="151">
        <v>969</v>
      </c>
      <c r="F240" s="151">
        <v>1101</v>
      </c>
      <c r="G240" s="151">
        <v>1362</v>
      </c>
      <c r="H240" s="151">
        <v>1655</v>
      </c>
      <c r="I240" s="151">
        <v>1914</v>
      </c>
      <c r="J240" s="151">
        <v>2332</v>
      </c>
      <c r="K240" s="151">
        <v>2846</v>
      </c>
      <c r="L240" s="151">
        <v>3358</v>
      </c>
      <c r="M240" s="151">
        <v>3888</v>
      </c>
      <c r="N240" s="151">
        <v>4433</v>
      </c>
      <c r="O240" s="151">
        <v>4929</v>
      </c>
      <c r="P240" s="151">
        <v>6137</v>
      </c>
      <c r="Q240" s="187">
        <f t="shared" si="74"/>
        <v>3.5058737151248165</v>
      </c>
      <c r="R240" s="187">
        <f t="shared" si="75"/>
        <v>0.82757593805836804</v>
      </c>
      <c r="S240" s="187">
        <f t="shared" si="76"/>
        <v>0.24508013795901806</v>
      </c>
      <c r="T240" s="187">
        <f t="shared" si="77"/>
        <v>1.6212374979526493E-2</v>
      </c>
      <c r="U240" s="53"/>
    </row>
    <row r="241" spans="1:21" x14ac:dyDescent="0.25">
      <c r="A241" s="191" t="s">
        <v>22</v>
      </c>
      <c r="B241" s="151">
        <v>5419</v>
      </c>
      <c r="C241" s="151">
        <v>5825</v>
      </c>
      <c r="D241" s="151">
        <v>6358</v>
      </c>
      <c r="E241" s="151">
        <v>7226</v>
      </c>
      <c r="F241" s="151">
        <v>7224</v>
      </c>
      <c r="G241" s="151">
        <v>6736</v>
      </c>
      <c r="H241" s="151">
        <v>6762</v>
      </c>
      <c r="I241" s="151">
        <v>6068</v>
      </c>
      <c r="J241" s="151">
        <v>5820</v>
      </c>
      <c r="K241" s="151">
        <v>5481</v>
      </c>
      <c r="L241" s="151">
        <v>5422</v>
      </c>
      <c r="M241" s="151">
        <v>5737</v>
      </c>
      <c r="N241" s="151">
        <v>6071</v>
      </c>
      <c r="O241" s="151">
        <v>6158</v>
      </c>
      <c r="P241" s="151">
        <v>5848</v>
      </c>
      <c r="Q241" s="187">
        <f t="shared" si="74"/>
        <v>-0.13182897862232779</v>
      </c>
      <c r="R241" s="187">
        <f t="shared" si="75"/>
        <v>7.8568793803024714E-2</v>
      </c>
      <c r="S241" s="187">
        <f t="shared" si="76"/>
        <v>-5.0341019811627155E-2</v>
      </c>
      <c r="T241" s="187">
        <f t="shared" si="77"/>
        <v>1.544891133783134E-2</v>
      </c>
    </row>
    <row r="242" spans="1:21" x14ac:dyDescent="0.25">
      <c r="A242" s="191" t="s">
        <v>157</v>
      </c>
      <c r="B242" s="151">
        <v>105</v>
      </c>
      <c r="C242" s="151">
        <v>129</v>
      </c>
      <c r="D242" s="151">
        <v>155</v>
      </c>
      <c r="E242" s="151">
        <v>259</v>
      </c>
      <c r="F242" s="151">
        <v>357</v>
      </c>
      <c r="G242" s="151">
        <v>410</v>
      </c>
      <c r="H242" s="151">
        <v>545</v>
      </c>
      <c r="I242" s="151">
        <v>897</v>
      </c>
      <c r="J242" s="151">
        <v>1815</v>
      </c>
      <c r="K242" s="151">
        <v>2444</v>
      </c>
      <c r="L242" s="151">
        <v>2618</v>
      </c>
      <c r="M242" s="151">
        <v>2982</v>
      </c>
      <c r="N242" s="151">
        <v>4094</v>
      </c>
      <c r="O242" s="151">
        <v>4513</v>
      </c>
      <c r="P242" s="151">
        <v>5530</v>
      </c>
      <c r="Q242" s="187">
        <f t="shared" si="74"/>
        <v>12.487804878048781</v>
      </c>
      <c r="R242" s="187">
        <f t="shared" si="75"/>
        <v>1.1122994652406417</v>
      </c>
      <c r="S242" s="187">
        <f t="shared" si="76"/>
        <v>0.22534899180146245</v>
      </c>
      <c r="T242" s="187">
        <f t="shared" si="77"/>
        <v>1.4608837157696189E-2</v>
      </c>
      <c r="U242" s="53"/>
    </row>
    <row r="243" spans="1:21" x14ac:dyDescent="0.25">
      <c r="A243" s="110"/>
      <c r="B243" s="110"/>
      <c r="C243" s="110"/>
      <c r="D243" s="110"/>
      <c r="E243" s="110"/>
      <c r="F243" s="110"/>
      <c r="G243" s="110"/>
      <c r="H243" s="110"/>
      <c r="I243" s="110"/>
      <c r="J243" s="110"/>
      <c r="K243" s="110"/>
      <c r="L243" s="110"/>
      <c r="M243" s="110"/>
      <c r="N243" s="110"/>
      <c r="O243" s="110"/>
      <c r="P243" s="110"/>
      <c r="Q243" s="39"/>
      <c r="R243" s="39"/>
      <c r="S243" s="39"/>
      <c r="T243" s="39"/>
    </row>
    <row r="244" spans="1:21" ht="18" x14ac:dyDescent="0.25">
      <c r="A244" s="27" t="s">
        <v>139</v>
      </c>
      <c r="B244" s="27"/>
      <c r="C244" s="27"/>
      <c r="D244" s="27"/>
      <c r="E244" s="27"/>
      <c r="F244" s="27"/>
      <c r="G244" s="27"/>
      <c r="H244" s="27"/>
      <c r="I244" s="110"/>
      <c r="J244" s="110"/>
      <c r="K244" s="110"/>
      <c r="L244" s="110"/>
      <c r="M244" s="110"/>
      <c r="N244" s="110"/>
      <c r="O244" s="110"/>
      <c r="P244" s="110"/>
      <c r="Q244" s="39"/>
      <c r="R244" s="39"/>
      <c r="S244" s="39"/>
      <c r="T244" s="39"/>
    </row>
    <row r="245" spans="1:21" ht="25.5" x14ac:dyDescent="0.25">
      <c r="A245" s="148" t="s">
        <v>3</v>
      </c>
      <c r="B245" s="130">
        <v>2007</v>
      </c>
      <c r="C245" s="130">
        <v>2008</v>
      </c>
      <c r="D245" s="130">
        <v>2009</v>
      </c>
      <c r="E245" s="130">
        <v>2010</v>
      </c>
      <c r="F245" s="130">
        <v>2011</v>
      </c>
      <c r="G245" s="130">
        <v>2012</v>
      </c>
      <c r="H245" s="130">
        <v>2013</v>
      </c>
      <c r="I245" s="130">
        <v>2014</v>
      </c>
      <c r="J245" s="130">
        <v>2015</v>
      </c>
      <c r="K245" s="130">
        <v>2016</v>
      </c>
      <c r="L245" s="130">
        <v>2017</v>
      </c>
      <c r="M245" s="130">
        <v>2018</v>
      </c>
      <c r="N245" s="130">
        <v>2019</v>
      </c>
      <c r="O245" s="130">
        <v>2020</v>
      </c>
      <c r="P245" s="130">
        <v>2021</v>
      </c>
      <c r="Q245" s="131" t="s">
        <v>424</v>
      </c>
      <c r="R245" s="131" t="s">
        <v>425</v>
      </c>
      <c r="S245" s="131" t="s">
        <v>426</v>
      </c>
      <c r="T245" s="131" t="s">
        <v>427</v>
      </c>
    </row>
    <row r="246" spans="1:21" x14ac:dyDescent="0.25">
      <c r="A246" s="191" t="s">
        <v>18</v>
      </c>
      <c r="B246" s="168">
        <v>4188</v>
      </c>
      <c r="C246" s="168">
        <v>5797</v>
      </c>
      <c r="D246" s="168">
        <v>6347</v>
      </c>
      <c r="E246" s="168">
        <v>8259</v>
      </c>
      <c r="F246" s="168">
        <v>9759</v>
      </c>
      <c r="G246" s="168">
        <v>11169</v>
      </c>
      <c r="H246" s="168">
        <v>10051</v>
      </c>
      <c r="I246" s="168">
        <v>10209</v>
      </c>
      <c r="J246" s="168">
        <v>10528</v>
      </c>
      <c r="K246" s="168">
        <v>10405</v>
      </c>
      <c r="L246" s="168">
        <v>9827</v>
      </c>
      <c r="M246" s="168">
        <v>9885</v>
      </c>
      <c r="N246" s="168">
        <v>9093</v>
      </c>
      <c r="O246" s="168">
        <v>8095</v>
      </c>
      <c r="P246" s="168">
        <v>10638</v>
      </c>
      <c r="Q246" s="187">
        <f t="shared" ref="Q246:Q265" si="78">(P246-G246)/G246</f>
        <v>-4.7542304593070107E-2</v>
      </c>
      <c r="R246" s="187">
        <f t="shared" ref="R246:R265" si="79">(P246-L246)/L246</f>
        <v>8.2527729724229171E-2</v>
      </c>
      <c r="S246" s="187">
        <f t="shared" ref="S246:S265" si="80">(P246-O246)/O246</f>
        <v>0.3141445336627548</v>
      </c>
      <c r="T246" s="187">
        <f>P246/P$13</f>
        <v>8.7912996049782657E-2</v>
      </c>
    </row>
    <row r="247" spans="1:21" x14ac:dyDescent="0.25">
      <c r="A247" s="191" t="s">
        <v>21</v>
      </c>
      <c r="B247" s="168">
        <v>1427</v>
      </c>
      <c r="C247" s="168">
        <v>2244</v>
      </c>
      <c r="D247" s="168">
        <v>3288</v>
      </c>
      <c r="E247" s="168">
        <v>4494</v>
      </c>
      <c r="F247" s="168">
        <v>6108</v>
      </c>
      <c r="G247" s="168">
        <v>7366</v>
      </c>
      <c r="H247" s="168">
        <v>7550</v>
      </c>
      <c r="I247" s="168">
        <v>8647</v>
      </c>
      <c r="J247" s="168">
        <v>9776</v>
      </c>
      <c r="K247" s="168">
        <v>10126</v>
      </c>
      <c r="L247" s="168">
        <v>9142</v>
      </c>
      <c r="M247" s="168">
        <v>8974</v>
      </c>
      <c r="N247" s="168">
        <v>7126</v>
      </c>
      <c r="O247" s="168">
        <v>5739</v>
      </c>
      <c r="P247" s="168">
        <v>5626</v>
      </c>
      <c r="Q247" s="187">
        <f t="shared" si="78"/>
        <v>-0.23622047244094488</v>
      </c>
      <c r="R247" s="187">
        <f t="shared" si="79"/>
        <v>-0.38459855611463573</v>
      </c>
      <c r="S247" s="187">
        <f t="shared" si="80"/>
        <v>-1.9689841435790209E-2</v>
      </c>
      <c r="T247" s="187">
        <f t="shared" ref="T247:T265" si="81">P247/P$13</f>
        <v>4.6493562302695732E-2</v>
      </c>
    </row>
    <row r="248" spans="1:21" x14ac:dyDescent="0.25">
      <c r="A248" s="191" t="s">
        <v>16</v>
      </c>
      <c r="B248" s="168">
        <v>2110</v>
      </c>
      <c r="C248" s="168">
        <v>2100</v>
      </c>
      <c r="D248" s="168">
        <v>2647</v>
      </c>
      <c r="E248" s="168">
        <v>3035</v>
      </c>
      <c r="F248" s="168">
        <v>2526</v>
      </c>
      <c r="G248" s="168">
        <v>2097</v>
      </c>
      <c r="H248" s="168">
        <v>2252</v>
      </c>
      <c r="I248" s="168">
        <v>2039</v>
      </c>
      <c r="J248" s="168">
        <v>1871</v>
      </c>
      <c r="K248" s="168">
        <v>1956</v>
      </c>
      <c r="L248" s="168">
        <v>2434</v>
      </c>
      <c r="M248" s="168">
        <v>2637</v>
      </c>
      <c r="N248" s="168">
        <v>3220</v>
      </c>
      <c r="O248" s="168">
        <v>3158</v>
      </c>
      <c r="P248" s="168">
        <v>5345</v>
      </c>
      <c r="Q248" s="187">
        <f t="shared" si="78"/>
        <v>1.5488793514544588</v>
      </c>
      <c r="R248" s="187">
        <f t="shared" si="79"/>
        <v>1.1959737058340181</v>
      </c>
      <c r="S248" s="187">
        <f t="shared" si="80"/>
        <v>0.69252691576947434</v>
      </c>
      <c r="T248" s="187">
        <f t="shared" si="81"/>
        <v>4.4171363403467598E-2</v>
      </c>
    </row>
    <row r="249" spans="1:21" x14ac:dyDescent="0.25">
      <c r="A249" s="191" t="s">
        <v>46</v>
      </c>
      <c r="B249" s="168">
        <v>2067</v>
      </c>
      <c r="C249" s="168">
        <v>2632</v>
      </c>
      <c r="D249" s="168">
        <v>3442</v>
      </c>
      <c r="E249" s="168">
        <v>3544</v>
      </c>
      <c r="F249" s="168">
        <v>3959</v>
      </c>
      <c r="G249" s="168">
        <v>3544</v>
      </c>
      <c r="H249" s="168">
        <v>4109</v>
      </c>
      <c r="I249" s="168">
        <v>4072</v>
      </c>
      <c r="J249" s="168">
        <v>4271</v>
      </c>
      <c r="K249" s="168">
        <v>4097</v>
      </c>
      <c r="L249" s="168">
        <v>4268</v>
      </c>
      <c r="M249" s="168">
        <v>4721</v>
      </c>
      <c r="N249" s="168">
        <v>4875</v>
      </c>
      <c r="O249" s="168">
        <v>4426</v>
      </c>
      <c r="P249" s="168">
        <v>4898</v>
      </c>
      <c r="Q249" s="187">
        <f t="shared" si="78"/>
        <v>0.38205417607223474</v>
      </c>
      <c r="R249" s="187">
        <f t="shared" si="79"/>
        <v>0.14761012183692596</v>
      </c>
      <c r="S249" s="187">
        <f t="shared" si="80"/>
        <v>0.10664256665160415</v>
      </c>
      <c r="T249" s="187">
        <f t="shared" si="81"/>
        <v>4.0477331702560203E-2</v>
      </c>
    </row>
    <row r="250" spans="1:21" x14ac:dyDescent="0.25">
      <c r="A250" s="191" t="s">
        <v>12</v>
      </c>
      <c r="B250" s="168">
        <v>2106</v>
      </c>
      <c r="C250" s="168">
        <v>2516</v>
      </c>
      <c r="D250" s="168">
        <v>2777</v>
      </c>
      <c r="E250" s="168">
        <v>3597</v>
      </c>
      <c r="F250" s="168">
        <v>3156</v>
      </c>
      <c r="G250" s="168">
        <v>2922</v>
      </c>
      <c r="H250" s="168">
        <v>3494</v>
      </c>
      <c r="I250" s="168">
        <v>3224</v>
      </c>
      <c r="J250" s="168">
        <v>622</v>
      </c>
      <c r="K250" s="168">
        <v>2860</v>
      </c>
      <c r="L250" s="168">
        <v>2870</v>
      </c>
      <c r="M250" s="168">
        <v>3067</v>
      </c>
      <c r="N250" s="168">
        <v>2693</v>
      </c>
      <c r="O250" s="168">
        <v>3038</v>
      </c>
      <c r="P250" s="168">
        <v>4321</v>
      </c>
      <c r="Q250" s="187">
        <f t="shared" si="78"/>
        <v>0.4787816563997262</v>
      </c>
      <c r="R250" s="187">
        <f t="shared" si="79"/>
        <v>0.50557491289198608</v>
      </c>
      <c r="S250" s="187">
        <f t="shared" si="80"/>
        <v>0.42231731402238315</v>
      </c>
      <c r="T250" s="187">
        <f t="shared" si="81"/>
        <v>3.5708973108771469E-2</v>
      </c>
    </row>
    <row r="251" spans="1:21" x14ac:dyDescent="0.25">
      <c r="A251" s="191" t="s">
        <v>35</v>
      </c>
      <c r="B251" s="168">
        <v>482</v>
      </c>
      <c r="C251" s="168">
        <v>584</v>
      </c>
      <c r="D251" s="168">
        <v>1218</v>
      </c>
      <c r="E251" s="168">
        <v>1688</v>
      </c>
      <c r="F251" s="168">
        <v>2156</v>
      </c>
      <c r="G251" s="168">
        <v>2719</v>
      </c>
      <c r="H251" s="168">
        <v>2790</v>
      </c>
      <c r="I251" s="168">
        <v>3153</v>
      </c>
      <c r="J251" s="168">
        <v>4255</v>
      </c>
      <c r="K251" s="168">
        <v>4075</v>
      </c>
      <c r="L251" s="168">
        <v>4498</v>
      </c>
      <c r="M251" s="168">
        <v>4513</v>
      </c>
      <c r="N251" s="168">
        <v>4335</v>
      </c>
      <c r="O251" s="168">
        <v>3495</v>
      </c>
      <c r="P251" s="168">
        <v>3944</v>
      </c>
      <c r="Q251" s="187">
        <f t="shared" si="78"/>
        <v>0.45053328429569695</v>
      </c>
      <c r="R251" s="187">
        <f t="shared" si="79"/>
        <v>-0.12316585148955091</v>
      </c>
      <c r="S251" s="187">
        <f t="shared" si="80"/>
        <v>0.12846924177396279</v>
      </c>
      <c r="T251" s="187">
        <f t="shared" si="81"/>
        <v>3.2593425119415563E-2</v>
      </c>
    </row>
    <row r="252" spans="1:21" x14ac:dyDescent="0.25">
      <c r="A252" s="191" t="s">
        <v>32</v>
      </c>
      <c r="B252" s="168">
        <v>2621</v>
      </c>
      <c r="C252" s="168">
        <v>2069</v>
      </c>
      <c r="D252" s="168">
        <v>1801</v>
      </c>
      <c r="E252" s="168">
        <v>2178</v>
      </c>
      <c r="F252" s="168">
        <v>2247</v>
      </c>
      <c r="G252" s="168">
        <v>1896</v>
      </c>
      <c r="H252" s="168">
        <v>2196</v>
      </c>
      <c r="I252" s="168">
        <v>2305</v>
      </c>
      <c r="J252" s="168">
        <v>2255</v>
      </c>
      <c r="K252" s="168">
        <v>2972</v>
      </c>
      <c r="L252" s="168">
        <v>3355</v>
      </c>
      <c r="M252" s="168">
        <v>3513</v>
      </c>
      <c r="N252" s="168">
        <v>3800</v>
      </c>
      <c r="O252" s="168">
        <v>3913</v>
      </c>
      <c r="P252" s="168">
        <v>3917</v>
      </c>
      <c r="Q252" s="187">
        <f t="shared" si="78"/>
        <v>1.0659282700421941</v>
      </c>
      <c r="R252" s="187">
        <f t="shared" si="79"/>
        <v>0.16751117734724291</v>
      </c>
      <c r="S252" s="187">
        <f t="shared" si="80"/>
        <v>1.0222335803731152E-3</v>
      </c>
      <c r="T252" s="187">
        <f t="shared" si="81"/>
        <v>3.237029568781713E-2</v>
      </c>
    </row>
    <row r="253" spans="1:21" x14ac:dyDescent="0.25">
      <c r="A253" s="191" t="s">
        <v>25</v>
      </c>
      <c r="B253" s="168">
        <v>294</v>
      </c>
      <c r="C253" s="168">
        <v>586</v>
      </c>
      <c r="D253" s="168">
        <v>1381</v>
      </c>
      <c r="E253" s="168">
        <v>1984</v>
      </c>
      <c r="F253" s="168">
        <v>2607</v>
      </c>
      <c r="G253" s="168">
        <v>2140</v>
      </c>
      <c r="H253" s="168">
        <v>2114</v>
      </c>
      <c r="I253" s="168">
        <v>2389</v>
      </c>
      <c r="J253" s="168">
        <v>3475</v>
      </c>
      <c r="K253" s="168">
        <v>4503</v>
      </c>
      <c r="L253" s="168">
        <v>5989</v>
      </c>
      <c r="M253" s="168">
        <v>7553</v>
      </c>
      <c r="N253" s="168">
        <v>5976</v>
      </c>
      <c r="O253" s="168">
        <v>4870</v>
      </c>
      <c r="P253" s="168">
        <v>3721</v>
      </c>
      <c r="Q253" s="187">
        <f t="shared" si="78"/>
        <v>0.73878504672897194</v>
      </c>
      <c r="R253" s="187">
        <f t="shared" si="79"/>
        <v>-0.37869427283352813</v>
      </c>
      <c r="S253" s="187">
        <f t="shared" si="80"/>
        <v>-0.23593429158110882</v>
      </c>
      <c r="T253" s="187">
        <f t="shared" si="81"/>
        <v>3.0750541295472951E-2</v>
      </c>
    </row>
    <row r="254" spans="1:21" x14ac:dyDescent="0.25">
      <c r="A254" s="191" t="s">
        <v>10</v>
      </c>
      <c r="B254" s="168">
        <v>2567</v>
      </c>
      <c r="C254" s="168">
        <v>2948</v>
      </c>
      <c r="D254" s="168">
        <v>3003</v>
      </c>
      <c r="E254" s="168">
        <v>2832</v>
      </c>
      <c r="F254" s="168">
        <v>2922</v>
      </c>
      <c r="G254" s="168">
        <v>2535</v>
      </c>
      <c r="H254" s="168">
        <v>2918</v>
      </c>
      <c r="I254" s="168">
        <v>2625</v>
      </c>
      <c r="J254" s="168">
        <v>2385</v>
      </c>
      <c r="K254" s="168">
        <v>2648</v>
      </c>
      <c r="L254" s="168">
        <v>2520</v>
      </c>
      <c r="M254" s="168">
        <v>2851</v>
      </c>
      <c r="N254" s="168">
        <v>3032</v>
      </c>
      <c r="O254" s="168">
        <v>2952</v>
      </c>
      <c r="P254" s="168">
        <v>3330</v>
      </c>
      <c r="Q254" s="187">
        <f t="shared" si="78"/>
        <v>0.31360946745562129</v>
      </c>
      <c r="R254" s="187">
        <f t="shared" si="79"/>
        <v>0.32142857142857145</v>
      </c>
      <c r="S254" s="187">
        <f t="shared" si="80"/>
        <v>0.12804878048780488</v>
      </c>
      <c r="T254" s="187">
        <f t="shared" si="81"/>
        <v>2.7519296563806753E-2</v>
      </c>
    </row>
    <row r="255" spans="1:21" x14ac:dyDescent="0.25">
      <c r="A255" s="191" t="s">
        <v>156</v>
      </c>
      <c r="B255" s="168">
        <v>1472</v>
      </c>
      <c r="C255" s="168">
        <v>1571</v>
      </c>
      <c r="D255" s="168">
        <v>2050</v>
      </c>
      <c r="E255" s="168">
        <v>2575</v>
      </c>
      <c r="F255" s="168">
        <v>2951</v>
      </c>
      <c r="G255" s="168">
        <v>2950</v>
      </c>
      <c r="H255" s="168">
        <v>2901</v>
      </c>
      <c r="I255" s="168">
        <v>2987</v>
      </c>
      <c r="J255" s="168">
        <v>2992</v>
      </c>
      <c r="K255" s="168">
        <v>3164</v>
      </c>
      <c r="L255" s="168">
        <v>2872</v>
      </c>
      <c r="M255" s="168">
        <v>2568</v>
      </c>
      <c r="N255" s="168">
        <v>2763</v>
      </c>
      <c r="O255" s="168">
        <v>2597</v>
      </c>
      <c r="P255" s="168">
        <v>2766</v>
      </c>
      <c r="Q255" s="187">
        <f t="shared" si="78"/>
        <v>-6.2372881355932205E-2</v>
      </c>
      <c r="R255" s="187">
        <f t="shared" si="79"/>
        <v>-3.6908077994428967E-2</v>
      </c>
      <c r="S255" s="187">
        <f t="shared" si="80"/>
        <v>6.5075086638428953E-2</v>
      </c>
      <c r="T255" s="187">
        <f t="shared" si="81"/>
        <v>2.2858370659306151E-2</v>
      </c>
    </row>
    <row r="256" spans="1:21" x14ac:dyDescent="0.25">
      <c r="A256" s="191" t="s">
        <v>24</v>
      </c>
      <c r="B256" s="168">
        <v>1852</v>
      </c>
      <c r="C256" s="168">
        <v>1971</v>
      </c>
      <c r="D256" s="168">
        <v>2144</v>
      </c>
      <c r="E256" s="168">
        <v>2521</v>
      </c>
      <c r="F256" s="168">
        <v>3060</v>
      </c>
      <c r="G256" s="168">
        <v>3609</v>
      </c>
      <c r="H256" s="168">
        <v>4552</v>
      </c>
      <c r="I256" s="168">
        <v>4931</v>
      </c>
      <c r="J256" s="168">
        <v>4879</v>
      </c>
      <c r="K256" s="168">
        <v>4887</v>
      </c>
      <c r="L256" s="168">
        <v>4501</v>
      </c>
      <c r="M256" s="168">
        <v>3779</v>
      </c>
      <c r="N256" s="168">
        <v>3516</v>
      </c>
      <c r="O256" s="168">
        <v>2764</v>
      </c>
      <c r="P256" s="168">
        <v>2760</v>
      </c>
      <c r="Q256" s="187">
        <f t="shared" si="78"/>
        <v>-0.23524522028262676</v>
      </c>
      <c r="R256" s="187">
        <f t="shared" si="79"/>
        <v>-0.3868029326816263</v>
      </c>
      <c r="S256" s="187">
        <f t="shared" si="80"/>
        <v>-1.4471780028943559E-3</v>
      </c>
      <c r="T256" s="187">
        <f t="shared" si="81"/>
        <v>2.2808786341173164E-2</v>
      </c>
    </row>
    <row r="257" spans="1:21" x14ac:dyDescent="0.25">
      <c r="A257" s="191" t="s">
        <v>157</v>
      </c>
      <c r="B257" s="168">
        <v>53</v>
      </c>
      <c r="C257" s="168">
        <v>78</v>
      </c>
      <c r="D257" s="168">
        <v>83</v>
      </c>
      <c r="E257" s="168">
        <v>169</v>
      </c>
      <c r="F257" s="168">
        <v>205</v>
      </c>
      <c r="G257" s="168">
        <v>209</v>
      </c>
      <c r="H257" s="168">
        <v>273</v>
      </c>
      <c r="I257" s="168">
        <v>569</v>
      </c>
      <c r="J257" s="168">
        <v>1059</v>
      </c>
      <c r="K257" s="168">
        <v>1319</v>
      </c>
      <c r="L257" s="168">
        <v>1202</v>
      </c>
      <c r="M257" s="168">
        <v>1497</v>
      </c>
      <c r="N257" s="168">
        <v>2158</v>
      </c>
      <c r="O257" s="168">
        <v>2011</v>
      </c>
      <c r="P257" s="168">
        <v>2568</v>
      </c>
      <c r="Q257" s="187">
        <f t="shared" si="78"/>
        <v>11.287081339712918</v>
      </c>
      <c r="R257" s="187">
        <f t="shared" si="79"/>
        <v>1.1364392678868553</v>
      </c>
      <c r="S257" s="187">
        <f t="shared" si="80"/>
        <v>0.27697662854301341</v>
      </c>
      <c r="T257" s="187">
        <f t="shared" si="81"/>
        <v>2.122208816091764E-2</v>
      </c>
    </row>
    <row r="258" spans="1:21" x14ac:dyDescent="0.25">
      <c r="A258" s="191" t="s">
        <v>23</v>
      </c>
      <c r="B258" s="168">
        <v>943</v>
      </c>
      <c r="C258" s="168">
        <v>1113</v>
      </c>
      <c r="D258" s="168">
        <v>1461</v>
      </c>
      <c r="E258" s="168">
        <v>1429</v>
      </c>
      <c r="F258" s="168">
        <v>1425</v>
      </c>
      <c r="G258" s="168">
        <v>1476</v>
      </c>
      <c r="H258" s="168">
        <v>2006</v>
      </c>
      <c r="I258" s="168">
        <v>2034</v>
      </c>
      <c r="J258" s="168">
        <v>2017</v>
      </c>
      <c r="K258" s="168">
        <v>1959</v>
      </c>
      <c r="L258" s="168">
        <v>2393</v>
      </c>
      <c r="M258" s="168">
        <v>2481</v>
      </c>
      <c r="N258" s="168">
        <v>2327</v>
      </c>
      <c r="O258" s="168">
        <v>2238</v>
      </c>
      <c r="P258" s="168">
        <v>2440</v>
      </c>
      <c r="Q258" s="187">
        <f t="shared" si="78"/>
        <v>0.65311653116531165</v>
      </c>
      <c r="R258" s="187">
        <f t="shared" si="79"/>
        <v>1.9640618470539072E-2</v>
      </c>
      <c r="S258" s="187">
        <f t="shared" si="80"/>
        <v>9.0259159964253793E-2</v>
      </c>
      <c r="T258" s="187">
        <f t="shared" si="81"/>
        <v>2.0164289374080623E-2</v>
      </c>
    </row>
    <row r="259" spans="1:21" x14ac:dyDescent="0.25">
      <c r="A259" s="191" t="s">
        <v>437</v>
      </c>
      <c r="B259" s="168">
        <v>105</v>
      </c>
      <c r="C259" s="168">
        <v>147</v>
      </c>
      <c r="D259" s="168">
        <v>253</v>
      </c>
      <c r="E259" s="168">
        <v>329</v>
      </c>
      <c r="F259" s="168">
        <v>428</v>
      </c>
      <c r="G259" s="168">
        <v>640</v>
      </c>
      <c r="H259" s="168">
        <v>889</v>
      </c>
      <c r="I259" s="168">
        <v>843</v>
      </c>
      <c r="J259" s="168">
        <v>1091</v>
      </c>
      <c r="K259" s="168">
        <v>1436</v>
      </c>
      <c r="L259" s="168">
        <v>1360</v>
      </c>
      <c r="M259" s="168">
        <v>1579</v>
      </c>
      <c r="N259" s="168">
        <v>2235</v>
      </c>
      <c r="O259" s="168">
        <v>2226</v>
      </c>
      <c r="P259" s="168">
        <v>2331</v>
      </c>
      <c r="Q259" s="187">
        <f t="shared" si="78"/>
        <v>2.6421874999999999</v>
      </c>
      <c r="R259" s="187">
        <f t="shared" si="79"/>
        <v>0.71397058823529413</v>
      </c>
      <c r="S259" s="187">
        <f t="shared" si="80"/>
        <v>4.716981132075472E-2</v>
      </c>
      <c r="T259" s="187">
        <f t="shared" si="81"/>
        <v>1.9263507594664726E-2</v>
      </c>
    </row>
    <row r="260" spans="1:21" x14ac:dyDescent="0.25">
      <c r="A260" s="191" t="s">
        <v>19</v>
      </c>
      <c r="B260" s="168">
        <v>2080</v>
      </c>
      <c r="C260" s="168">
        <v>2261</v>
      </c>
      <c r="D260" s="168">
        <v>3391</v>
      </c>
      <c r="E260" s="168">
        <v>2715</v>
      </c>
      <c r="F260" s="168">
        <v>2898</v>
      </c>
      <c r="G260" s="168">
        <v>2832</v>
      </c>
      <c r="H260" s="168">
        <v>2992</v>
      </c>
      <c r="I260" s="168">
        <v>2527</v>
      </c>
      <c r="J260" s="168">
        <v>2992</v>
      </c>
      <c r="K260" s="168">
        <v>2461</v>
      </c>
      <c r="L260" s="168">
        <v>2419</v>
      </c>
      <c r="M260" s="168">
        <v>2648</v>
      </c>
      <c r="N260" s="168">
        <v>2376</v>
      </c>
      <c r="O260" s="168">
        <v>2114</v>
      </c>
      <c r="P260" s="168">
        <v>2271</v>
      </c>
      <c r="Q260" s="187">
        <f t="shared" si="78"/>
        <v>-0.19809322033898305</v>
      </c>
      <c r="R260" s="187">
        <f t="shared" si="79"/>
        <v>-6.1182306738321618E-2</v>
      </c>
      <c r="S260" s="187">
        <f t="shared" si="80"/>
        <v>7.4266792809839166E-2</v>
      </c>
      <c r="T260" s="187">
        <f t="shared" si="81"/>
        <v>1.8767664413334877E-2</v>
      </c>
    </row>
    <row r="261" spans="1:21" x14ac:dyDescent="0.25">
      <c r="A261" s="191" t="s">
        <v>27</v>
      </c>
      <c r="B261" s="168">
        <v>407</v>
      </c>
      <c r="C261" s="168">
        <v>518</v>
      </c>
      <c r="D261" s="168">
        <v>689</v>
      </c>
      <c r="E261" s="168">
        <v>912</v>
      </c>
      <c r="F261" s="168">
        <v>1221</v>
      </c>
      <c r="G261" s="168">
        <v>1275</v>
      </c>
      <c r="H261" s="168">
        <v>2052</v>
      </c>
      <c r="I261" s="168">
        <v>2227</v>
      </c>
      <c r="J261" s="168">
        <v>2256</v>
      </c>
      <c r="K261" s="168">
        <v>2361</v>
      </c>
      <c r="L261" s="168">
        <v>2294</v>
      </c>
      <c r="M261" s="168">
        <v>2305</v>
      </c>
      <c r="N261" s="168">
        <v>2333</v>
      </c>
      <c r="O261" s="168">
        <v>2205</v>
      </c>
      <c r="P261" s="168">
        <v>2079</v>
      </c>
      <c r="Q261" s="187">
        <f t="shared" si="78"/>
        <v>0.63058823529411767</v>
      </c>
      <c r="R261" s="187">
        <f t="shared" si="79"/>
        <v>-9.3722755013077599E-2</v>
      </c>
      <c r="S261" s="187">
        <f t="shared" si="80"/>
        <v>-5.7142857142857141E-2</v>
      </c>
      <c r="T261" s="187">
        <f t="shared" si="81"/>
        <v>1.718096623307935E-2</v>
      </c>
    </row>
    <row r="262" spans="1:21" x14ac:dyDescent="0.25">
      <c r="A262" s="191" t="s">
        <v>29</v>
      </c>
      <c r="B262" s="168">
        <v>1133</v>
      </c>
      <c r="C262" s="168">
        <v>1165</v>
      </c>
      <c r="D262" s="168">
        <v>1294</v>
      </c>
      <c r="E262" s="168">
        <v>1427</v>
      </c>
      <c r="F262" s="168">
        <v>1786</v>
      </c>
      <c r="G262" s="168">
        <v>1944</v>
      </c>
      <c r="H262" s="168">
        <v>2381</v>
      </c>
      <c r="I262" s="168">
        <v>2963</v>
      </c>
      <c r="J262" s="168">
        <v>2996</v>
      </c>
      <c r="K262" s="168">
        <v>3120</v>
      </c>
      <c r="L262" s="168">
        <v>3118</v>
      </c>
      <c r="M262" s="168">
        <v>2923</v>
      </c>
      <c r="N262" s="168">
        <v>2719</v>
      </c>
      <c r="O262" s="168">
        <v>2277</v>
      </c>
      <c r="P262" s="168">
        <v>2047</v>
      </c>
      <c r="Q262" s="187">
        <f t="shared" si="78"/>
        <v>5.2983539094650207E-2</v>
      </c>
      <c r="R262" s="187">
        <f t="shared" si="79"/>
        <v>-0.34348941629249519</v>
      </c>
      <c r="S262" s="187">
        <f t="shared" si="80"/>
        <v>-0.10101010101010101</v>
      </c>
      <c r="T262" s="187">
        <f t="shared" si="81"/>
        <v>1.6916516536370097E-2</v>
      </c>
    </row>
    <row r="263" spans="1:21" x14ac:dyDescent="0.25">
      <c r="A263" s="191" t="s">
        <v>45</v>
      </c>
      <c r="B263" s="168">
        <v>73</v>
      </c>
      <c r="C263" s="168">
        <v>47</v>
      </c>
      <c r="D263" s="168">
        <v>66</v>
      </c>
      <c r="E263" s="168">
        <v>278</v>
      </c>
      <c r="F263" s="168">
        <v>403</v>
      </c>
      <c r="G263" s="168">
        <v>465</v>
      </c>
      <c r="H263" s="168">
        <v>260</v>
      </c>
      <c r="I263" s="168">
        <v>276</v>
      </c>
      <c r="J263" s="168">
        <v>255</v>
      </c>
      <c r="K263" s="168">
        <v>452</v>
      </c>
      <c r="L263" s="168">
        <v>557</v>
      </c>
      <c r="M263" s="168">
        <v>890</v>
      </c>
      <c r="N263" s="168">
        <v>1376</v>
      </c>
      <c r="O263" s="168">
        <v>1266</v>
      </c>
      <c r="P263" s="168">
        <v>1790</v>
      </c>
      <c r="Q263" s="187">
        <f t="shared" si="78"/>
        <v>2.849462365591398</v>
      </c>
      <c r="R263" s="187">
        <f t="shared" si="79"/>
        <v>2.213644524236984</v>
      </c>
      <c r="S263" s="187">
        <f t="shared" si="80"/>
        <v>0.41390205371248023</v>
      </c>
      <c r="T263" s="187">
        <f t="shared" si="81"/>
        <v>1.4792654909673901E-2</v>
      </c>
    </row>
    <row r="264" spans="1:21" x14ac:dyDescent="0.25">
      <c r="A264" s="191" t="s">
        <v>20</v>
      </c>
      <c r="B264" s="168">
        <v>2991</v>
      </c>
      <c r="C264" s="168">
        <v>3638</v>
      </c>
      <c r="D264" s="168">
        <v>5242</v>
      </c>
      <c r="E264" s="168">
        <v>5766</v>
      </c>
      <c r="F264" s="168">
        <v>6802</v>
      </c>
      <c r="G264" s="168">
        <v>6814</v>
      </c>
      <c r="H264" s="168">
        <v>8380</v>
      </c>
      <c r="I264" s="168">
        <v>7207</v>
      </c>
      <c r="J264" s="168">
        <v>5212</v>
      </c>
      <c r="K264" s="168">
        <v>3275</v>
      </c>
      <c r="L264" s="168">
        <v>2207</v>
      </c>
      <c r="M264" s="168">
        <v>2041</v>
      </c>
      <c r="N264" s="168">
        <v>1932</v>
      </c>
      <c r="O264" s="168">
        <v>1297</v>
      </c>
      <c r="P264" s="168">
        <v>1788</v>
      </c>
      <c r="Q264" s="187">
        <f t="shared" si="78"/>
        <v>-0.73759906075726445</v>
      </c>
      <c r="R264" s="187">
        <f t="shared" si="79"/>
        <v>-0.18985047575894881</v>
      </c>
      <c r="S264" s="187">
        <f t="shared" si="80"/>
        <v>0.37856592135697764</v>
      </c>
      <c r="T264" s="187">
        <f t="shared" si="81"/>
        <v>1.4776126803629571E-2</v>
      </c>
    </row>
    <row r="265" spans="1:21" x14ac:dyDescent="0.25">
      <c r="A265" s="191" t="s">
        <v>34</v>
      </c>
      <c r="B265" s="168">
        <v>220</v>
      </c>
      <c r="C265" s="168">
        <v>297</v>
      </c>
      <c r="D265" s="168">
        <v>515</v>
      </c>
      <c r="E265" s="168">
        <v>609</v>
      </c>
      <c r="F265" s="168">
        <v>886</v>
      </c>
      <c r="G265" s="168">
        <v>1343</v>
      </c>
      <c r="H265" s="168">
        <v>1363</v>
      </c>
      <c r="I265" s="168">
        <v>1485</v>
      </c>
      <c r="J265" s="168">
        <v>1720</v>
      </c>
      <c r="K265" s="168">
        <v>1762</v>
      </c>
      <c r="L265" s="168">
        <v>2115</v>
      </c>
      <c r="M265" s="168">
        <v>2664</v>
      </c>
      <c r="N265" s="168">
        <v>2586</v>
      </c>
      <c r="O265" s="168">
        <v>2221</v>
      </c>
      <c r="P265" s="168">
        <v>1746</v>
      </c>
      <c r="Q265" s="187">
        <f t="shared" si="78"/>
        <v>0.30007446016381234</v>
      </c>
      <c r="R265" s="187">
        <f t="shared" si="79"/>
        <v>-0.17446808510638298</v>
      </c>
      <c r="S265" s="187">
        <f t="shared" si="80"/>
        <v>-0.21386762719495722</v>
      </c>
      <c r="T265" s="187">
        <f t="shared" si="81"/>
        <v>1.4429036576698676E-2</v>
      </c>
    </row>
    <row r="266" spans="1:21" x14ac:dyDescent="0.25">
      <c r="A266" s="192"/>
      <c r="B266" s="192"/>
      <c r="C266" s="192"/>
      <c r="D266" s="192"/>
      <c r="E266" s="192"/>
      <c r="F266" s="192"/>
      <c r="G266" s="192"/>
      <c r="H266" s="192"/>
      <c r="I266" s="192"/>
      <c r="J266" s="192"/>
      <c r="K266" s="192"/>
      <c r="L266" s="192"/>
      <c r="M266" s="192"/>
      <c r="N266" s="192"/>
      <c r="O266" s="192"/>
      <c r="P266" s="192"/>
      <c r="Q266" s="193"/>
      <c r="R266" s="193"/>
      <c r="S266" s="193"/>
      <c r="T266" s="193"/>
    </row>
    <row r="267" spans="1:21" ht="15.75" x14ac:dyDescent="0.25">
      <c r="A267" s="27" t="s">
        <v>87</v>
      </c>
      <c r="B267" s="27"/>
      <c r="C267" s="27"/>
      <c r="D267" s="27"/>
      <c r="E267" s="27"/>
      <c r="F267" s="27"/>
      <c r="G267" s="27"/>
      <c r="H267" s="27"/>
      <c r="I267" s="110"/>
      <c r="J267" s="110"/>
      <c r="K267" s="110"/>
      <c r="L267" s="110"/>
      <c r="M267" s="110"/>
      <c r="N267" s="110"/>
      <c r="O267" s="110"/>
      <c r="P267" s="110"/>
      <c r="Q267" s="39"/>
      <c r="R267" s="39"/>
      <c r="S267" s="39"/>
      <c r="T267" s="39"/>
      <c r="U267" s="53"/>
    </row>
    <row r="268" spans="1:21" ht="30" customHeight="1" x14ac:dyDescent="0.25">
      <c r="A268" s="148" t="s">
        <v>4</v>
      </c>
      <c r="B268" s="130">
        <v>2007</v>
      </c>
      <c r="C268" s="130">
        <v>2008</v>
      </c>
      <c r="D268" s="130">
        <v>2009</v>
      </c>
      <c r="E268" s="130">
        <v>2010</v>
      </c>
      <c r="F268" s="130">
        <v>2011</v>
      </c>
      <c r="G268" s="130">
        <v>2012</v>
      </c>
      <c r="H268" s="130">
        <v>2013</v>
      </c>
      <c r="I268" s="130">
        <v>2014</v>
      </c>
      <c r="J268" s="130">
        <v>2015</v>
      </c>
      <c r="K268" s="130">
        <v>2016</v>
      </c>
      <c r="L268" s="130">
        <v>2017</v>
      </c>
      <c r="M268" s="130">
        <v>2018</v>
      </c>
      <c r="N268" s="130">
        <v>2019</v>
      </c>
      <c r="O268" s="130">
        <v>2020</v>
      </c>
      <c r="P268" s="130">
        <v>2021</v>
      </c>
      <c r="Q268" s="131" t="s">
        <v>424</v>
      </c>
      <c r="R268" s="131" t="s">
        <v>425</v>
      </c>
      <c r="S268" s="131" t="s">
        <v>426</v>
      </c>
      <c r="T268" s="131" t="s">
        <v>427</v>
      </c>
    </row>
    <row r="269" spans="1:21" x14ac:dyDescent="0.25">
      <c r="A269" s="191" t="s">
        <v>5</v>
      </c>
      <c r="B269" s="151">
        <v>25180</v>
      </c>
      <c r="C269" s="151">
        <v>27769</v>
      </c>
      <c r="D269" s="151">
        <v>28960</v>
      </c>
      <c r="E269" s="151">
        <v>31923</v>
      </c>
      <c r="F269" s="151">
        <v>34797</v>
      </c>
      <c r="G269" s="151">
        <v>37996</v>
      </c>
      <c r="H269" s="151">
        <v>40408</v>
      </c>
      <c r="I269" s="151">
        <v>42017</v>
      </c>
      <c r="J269" s="151">
        <v>42610</v>
      </c>
      <c r="K269" s="151">
        <v>44041</v>
      </c>
      <c r="L269" s="151">
        <v>44662</v>
      </c>
      <c r="M269" s="151">
        <v>46137</v>
      </c>
      <c r="N269" s="151">
        <v>46530</v>
      </c>
      <c r="O269" s="151">
        <v>45184</v>
      </c>
      <c r="P269" s="151">
        <v>46533</v>
      </c>
      <c r="Q269" s="187">
        <f t="shared" ref="Q269:Q288" si="82">(P269-G269)/G269</f>
        <v>0.22468154542583429</v>
      </c>
      <c r="R269" s="187">
        <f t="shared" ref="R269:R288" si="83">(P269-L269)/L269</f>
        <v>4.1892436523218841E-2</v>
      </c>
      <c r="S269" s="187">
        <f t="shared" ref="S269:S288" si="84">(P269-O269)/O269</f>
        <v>2.9855701133144476E-2</v>
      </c>
      <c r="T269" s="187">
        <f>P269/P$7</f>
        <v>6.7304521391998606E-2</v>
      </c>
      <c r="U269" s="53"/>
    </row>
    <row r="270" spans="1:21" x14ac:dyDescent="0.25">
      <c r="A270" s="191" t="s">
        <v>7</v>
      </c>
      <c r="B270" s="151">
        <v>32980</v>
      </c>
      <c r="C270" s="151">
        <v>33986</v>
      </c>
      <c r="D270" s="151">
        <v>35635</v>
      </c>
      <c r="E270" s="151">
        <v>36569</v>
      </c>
      <c r="F270" s="151">
        <v>37188</v>
      </c>
      <c r="G270" s="151">
        <v>37148</v>
      </c>
      <c r="H270" s="151">
        <v>37552</v>
      </c>
      <c r="I270" s="151">
        <v>37413</v>
      </c>
      <c r="J270" s="151">
        <v>37377</v>
      </c>
      <c r="K270" s="151">
        <v>38537</v>
      </c>
      <c r="L270" s="151">
        <v>39342</v>
      </c>
      <c r="M270" s="151">
        <v>39939</v>
      </c>
      <c r="N270" s="151">
        <v>41604</v>
      </c>
      <c r="O270" s="151">
        <v>41861</v>
      </c>
      <c r="P270" s="151">
        <v>45753</v>
      </c>
      <c r="Q270" s="187">
        <f t="shared" si="82"/>
        <v>0.23164100355335415</v>
      </c>
      <c r="R270" s="187">
        <f t="shared" si="83"/>
        <v>0.16295561994814703</v>
      </c>
      <c r="S270" s="187">
        <f t="shared" si="84"/>
        <v>9.2974367549747972E-2</v>
      </c>
      <c r="T270" s="187">
        <f t="shared" ref="T270:T288" si="85">P270/P$7</f>
        <v>6.6176342966241433E-2</v>
      </c>
    </row>
    <row r="271" spans="1:21" x14ac:dyDescent="0.25">
      <c r="A271" s="191" t="s">
        <v>8</v>
      </c>
      <c r="B271" s="151">
        <v>23937</v>
      </c>
      <c r="C271" s="151">
        <v>24309</v>
      </c>
      <c r="D271" s="151">
        <v>23916</v>
      </c>
      <c r="E271" s="151">
        <v>24711</v>
      </c>
      <c r="F271" s="151">
        <v>26116</v>
      </c>
      <c r="G271" s="151">
        <v>27031</v>
      </c>
      <c r="H271" s="151">
        <v>27599</v>
      </c>
      <c r="I271" s="151">
        <v>28710</v>
      </c>
      <c r="J271" s="151">
        <v>30038</v>
      </c>
      <c r="K271" s="151">
        <v>31834</v>
      </c>
      <c r="L271" s="151">
        <v>33331</v>
      </c>
      <c r="M271" s="151">
        <v>34830</v>
      </c>
      <c r="N271" s="151">
        <v>36886</v>
      </c>
      <c r="O271" s="151">
        <v>37659</v>
      </c>
      <c r="P271" s="151">
        <v>41631</v>
      </c>
      <c r="Q271" s="187">
        <f t="shared" si="82"/>
        <v>0.54012060227146608</v>
      </c>
      <c r="R271" s="187">
        <f t="shared" si="83"/>
        <v>0.24901743122018541</v>
      </c>
      <c r="S271" s="187">
        <f t="shared" si="84"/>
        <v>0.10547279534772565</v>
      </c>
      <c r="T271" s="187">
        <f t="shared" si="85"/>
        <v>6.0214353900893865E-2</v>
      </c>
      <c r="U271" s="53"/>
    </row>
    <row r="272" spans="1:21" x14ac:dyDescent="0.25">
      <c r="A272" s="191" t="s">
        <v>6</v>
      </c>
      <c r="B272" s="151">
        <v>15379</v>
      </c>
      <c r="C272" s="151">
        <v>18679</v>
      </c>
      <c r="D272" s="151">
        <v>23295</v>
      </c>
      <c r="E272" s="151">
        <v>28426</v>
      </c>
      <c r="F272" s="151">
        <v>33493</v>
      </c>
      <c r="G272" s="151">
        <v>37498</v>
      </c>
      <c r="H272" s="151">
        <v>39071</v>
      </c>
      <c r="I272" s="151">
        <v>40014</v>
      </c>
      <c r="J272" s="151">
        <v>40906</v>
      </c>
      <c r="K272" s="151">
        <v>41099</v>
      </c>
      <c r="L272" s="151">
        <v>40377</v>
      </c>
      <c r="M272" s="151">
        <v>38953</v>
      </c>
      <c r="N272" s="151">
        <v>37305</v>
      </c>
      <c r="O272" s="151">
        <v>36013</v>
      </c>
      <c r="P272" s="151">
        <v>38826</v>
      </c>
      <c r="Q272" s="187">
        <f t="shared" si="82"/>
        <v>3.5415222145181079E-2</v>
      </c>
      <c r="R272" s="187">
        <f t="shared" si="83"/>
        <v>-3.8412957872055876E-2</v>
      </c>
      <c r="S272" s="187">
        <f t="shared" si="84"/>
        <v>7.8110682253630631E-2</v>
      </c>
      <c r="T272" s="187">
        <f t="shared" si="85"/>
        <v>5.6157250715959388E-2</v>
      </c>
    </row>
    <row r="273" spans="1:21" x14ac:dyDescent="0.25">
      <c r="A273" s="191" t="s">
        <v>47</v>
      </c>
      <c r="B273" s="151">
        <v>16323</v>
      </c>
      <c r="C273" s="151">
        <v>18114</v>
      </c>
      <c r="D273" s="151">
        <v>18903</v>
      </c>
      <c r="E273" s="151">
        <v>21276</v>
      </c>
      <c r="F273" s="151">
        <v>23051</v>
      </c>
      <c r="G273" s="151">
        <v>25095</v>
      </c>
      <c r="H273" s="151">
        <v>24893</v>
      </c>
      <c r="I273" s="151">
        <v>26094</v>
      </c>
      <c r="J273" s="151">
        <v>26612</v>
      </c>
      <c r="K273" s="151">
        <v>27462</v>
      </c>
      <c r="L273" s="151">
        <v>27600</v>
      </c>
      <c r="M273" s="151">
        <v>27884</v>
      </c>
      <c r="N273" s="151">
        <v>27464</v>
      </c>
      <c r="O273" s="151">
        <v>27814</v>
      </c>
      <c r="P273" s="151">
        <v>30026</v>
      </c>
      <c r="Q273" s="187">
        <f t="shared" si="82"/>
        <v>0.19649332536361824</v>
      </c>
      <c r="R273" s="187">
        <f t="shared" si="83"/>
        <v>8.7898550724637675E-2</v>
      </c>
      <c r="S273" s="187">
        <f t="shared" si="84"/>
        <v>7.9528295103185445E-2</v>
      </c>
      <c r="T273" s="187">
        <f t="shared" si="85"/>
        <v>4.3429083861262978E-2</v>
      </c>
      <c r="U273" s="53"/>
    </row>
    <row r="274" spans="1:21" x14ac:dyDescent="0.25">
      <c r="A274" s="191" t="s">
        <v>9</v>
      </c>
      <c r="B274" s="151">
        <v>14927</v>
      </c>
      <c r="C274" s="151">
        <v>16798</v>
      </c>
      <c r="D274" s="151">
        <v>19815</v>
      </c>
      <c r="E274" s="151">
        <v>21878</v>
      </c>
      <c r="F274" s="151">
        <v>23744</v>
      </c>
      <c r="G274" s="151">
        <v>24440</v>
      </c>
      <c r="H274" s="151">
        <v>23893</v>
      </c>
      <c r="I274" s="151">
        <v>22692</v>
      </c>
      <c r="J274" s="151">
        <v>21787</v>
      </c>
      <c r="K274" s="151">
        <v>20928</v>
      </c>
      <c r="L274" s="151">
        <v>20258</v>
      </c>
      <c r="M274" s="151">
        <v>19604</v>
      </c>
      <c r="N274" s="151">
        <v>19099</v>
      </c>
      <c r="O274" s="151">
        <v>18859</v>
      </c>
      <c r="P274" s="151">
        <v>20603</v>
      </c>
      <c r="Q274" s="187">
        <f t="shared" si="82"/>
        <v>-0.15699672667757775</v>
      </c>
      <c r="R274" s="187">
        <f t="shared" si="83"/>
        <v>1.7030309013722975E-2</v>
      </c>
      <c r="S274" s="187">
        <f t="shared" si="84"/>
        <v>9.247574102550507E-2</v>
      </c>
      <c r="T274" s="187">
        <f t="shared" si="85"/>
        <v>2.9799820648557955E-2</v>
      </c>
    </row>
    <row r="275" spans="1:21" x14ac:dyDescent="0.25">
      <c r="A275" s="191" t="s">
        <v>348</v>
      </c>
      <c r="B275" s="151">
        <v>10978</v>
      </c>
      <c r="C275" s="151">
        <v>8754</v>
      </c>
      <c r="D275" s="151">
        <v>9493</v>
      </c>
      <c r="E275" s="151">
        <v>11954</v>
      </c>
      <c r="F275" s="151">
        <v>12367</v>
      </c>
      <c r="G275" s="151">
        <v>12774</v>
      </c>
      <c r="H275" s="151">
        <v>14804</v>
      </c>
      <c r="I275" s="151">
        <v>14134</v>
      </c>
      <c r="J275" s="151">
        <v>15164</v>
      </c>
      <c r="K275" s="151">
        <v>15271</v>
      </c>
      <c r="L275" s="151">
        <v>16234</v>
      </c>
      <c r="M275" s="151">
        <v>16498</v>
      </c>
      <c r="N275" s="151">
        <v>17751</v>
      </c>
      <c r="O275" s="151">
        <v>17314</v>
      </c>
      <c r="P275" s="151">
        <v>18241</v>
      </c>
      <c r="Q275" s="187">
        <f t="shared" si="82"/>
        <v>0.42797870674808203</v>
      </c>
      <c r="R275" s="187">
        <f t="shared" si="83"/>
        <v>0.1236294197363558</v>
      </c>
      <c r="S275" s="187">
        <f t="shared" si="84"/>
        <v>5.3540487466789882E-2</v>
      </c>
      <c r="T275" s="187">
        <f t="shared" si="85"/>
        <v>2.6383464954149671E-2</v>
      </c>
      <c r="U275" s="53"/>
    </row>
    <row r="276" spans="1:21" x14ac:dyDescent="0.25">
      <c r="A276" s="191" t="s">
        <v>13</v>
      </c>
      <c r="B276" s="151">
        <v>10168</v>
      </c>
      <c r="C276" s="151">
        <v>10829</v>
      </c>
      <c r="D276" s="151">
        <v>11630</v>
      </c>
      <c r="E276" s="151">
        <v>11996</v>
      </c>
      <c r="F276" s="151">
        <v>12450</v>
      </c>
      <c r="G276" s="151">
        <v>12830</v>
      </c>
      <c r="H276" s="151">
        <v>13365</v>
      </c>
      <c r="I276" s="151">
        <v>13740</v>
      </c>
      <c r="J276" s="151">
        <v>14018</v>
      </c>
      <c r="K276" s="151">
        <v>14498</v>
      </c>
      <c r="L276" s="151">
        <v>15025</v>
      </c>
      <c r="M276" s="151">
        <v>15807</v>
      </c>
      <c r="N276" s="151">
        <v>16329</v>
      </c>
      <c r="O276" s="151">
        <v>16929</v>
      </c>
      <c r="P276" s="151">
        <v>17843</v>
      </c>
      <c r="Q276" s="187">
        <f t="shared" si="82"/>
        <v>0.39072486360093533</v>
      </c>
      <c r="R276" s="187">
        <f t="shared" si="83"/>
        <v>0.1875540765391015</v>
      </c>
      <c r="S276" s="187">
        <f t="shared" si="84"/>
        <v>5.3990194341071537E-2</v>
      </c>
      <c r="T276" s="187">
        <f t="shared" si="85"/>
        <v>2.5807804680494085E-2</v>
      </c>
    </row>
    <row r="277" spans="1:21" x14ac:dyDescent="0.25">
      <c r="A277" s="191" t="s">
        <v>141</v>
      </c>
      <c r="B277" s="151">
        <v>5107</v>
      </c>
      <c r="C277" s="151">
        <v>5697</v>
      </c>
      <c r="D277" s="151">
        <v>6316</v>
      </c>
      <c r="E277" s="151">
        <v>6975</v>
      </c>
      <c r="F277" s="151">
        <v>7611</v>
      </c>
      <c r="G277" s="151">
        <v>8511</v>
      </c>
      <c r="H277" s="151">
        <v>9430</v>
      </c>
      <c r="I277" s="151">
        <v>10045</v>
      </c>
      <c r="J277" s="151">
        <v>10657</v>
      </c>
      <c r="K277" s="151">
        <v>11278</v>
      </c>
      <c r="L277" s="151">
        <v>12081</v>
      </c>
      <c r="M277" s="151">
        <v>13005</v>
      </c>
      <c r="N277" s="151">
        <v>13833</v>
      </c>
      <c r="O277" s="151">
        <v>14340</v>
      </c>
      <c r="P277" s="151">
        <v>16158</v>
      </c>
      <c r="Q277" s="187">
        <f t="shared" si="82"/>
        <v>0.89848431441663734</v>
      </c>
      <c r="R277" s="187">
        <f t="shared" si="83"/>
        <v>0.33747206357089643</v>
      </c>
      <c r="S277" s="187">
        <f t="shared" si="84"/>
        <v>0.12677824267782425</v>
      </c>
      <c r="T277" s="187">
        <f t="shared" si="85"/>
        <v>2.3370650004339147E-2</v>
      </c>
      <c r="U277" s="53"/>
    </row>
    <row r="278" spans="1:21" x14ac:dyDescent="0.25">
      <c r="A278" s="191" t="s">
        <v>12</v>
      </c>
      <c r="B278" s="151">
        <v>11416</v>
      </c>
      <c r="C278" s="151">
        <v>11400</v>
      </c>
      <c r="D278" s="151">
        <v>11686</v>
      </c>
      <c r="E278" s="151">
        <v>12418</v>
      </c>
      <c r="F278" s="151">
        <v>13319</v>
      </c>
      <c r="G278" s="151">
        <v>13296</v>
      </c>
      <c r="H278" s="151">
        <v>13490</v>
      </c>
      <c r="I278" s="151">
        <v>13007</v>
      </c>
      <c r="J278" s="151">
        <v>13202</v>
      </c>
      <c r="K278" s="151">
        <v>13156</v>
      </c>
      <c r="L278" s="151">
        <v>13826</v>
      </c>
      <c r="M278" s="151">
        <v>14089</v>
      </c>
      <c r="N278" s="151">
        <v>14222</v>
      </c>
      <c r="O278" s="151">
        <v>14260</v>
      </c>
      <c r="P278" s="151">
        <v>15422</v>
      </c>
      <c r="Q278" s="187">
        <f t="shared" si="82"/>
        <v>0.15989771359807461</v>
      </c>
      <c r="R278" s="187">
        <f t="shared" si="83"/>
        <v>0.11543468826847968</v>
      </c>
      <c r="S278" s="187">
        <f t="shared" si="84"/>
        <v>8.1486676016830295E-2</v>
      </c>
      <c r="T278" s="187">
        <f t="shared" si="85"/>
        <v>2.2306112412855447E-2</v>
      </c>
    </row>
    <row r="279" spans="1:21" x14ac:dyDescent="0.25">
      <c r="A279" s="191" t="s">
        <v>14</v>
      </c>
      <c r="B279" s="151">
        <v>4950</v>
      </c>
      <c r="C279" s="151">
        <v>6163</v>
      </c>
      <c r="D279" s="151">
        <v>7541</v>
      </c>
      <c r="E279" s="151">
        <v>9202</v>
      </c>
      <c r="F279" s="151">
        <v>11118</v>
      </c>
      <c r="G279" s="151">
        <v>12629</v>
      </c>
      <c r="H279" s="151">
        <v>13324</v>
      </c>
      <c r="I279" s="151">
        <v>13714</v>
      </c>
      <c r="J279" s="151">
        <v>14149</v>
      </c>
      <c r="K279" s="151">
        <v>14588</v>
      </c>
      <c r="L279" s="151">
        <v>14982</v>
      </c>
      <c r="M279" s="151">
        <v>15197</v>
      </c>
      <c r="N279" s="151">
        <v>14649</v>
      </c>
      <c r="O279" s="151">
        <v>14009</v>
      </c>
      <c r="P279" s="151">
        <v>14679</v>
      </c>
      <c r="Q279" s="187">
        <f t="shared" si="82"/>
        <v>0.16232480798162957</v>
      </c>
      <c r="R279" s="187">
        <f t="shared" si="83"/>
        <v>-2.0224269122947537E-2</v>
      </c>
      <c r="S279" s="187">
        <f t="shared" si="84"/>
        <v>4.7826397316011134E-2</v>
      </c>
      <c r="T279" s="187">
        <f t="shared" si="85"/>
        <v>2.1231450143191877E-2</v>
      </c>
      <c r="U279" s="53"/>
    </row>
    <row r="280" spans="1:21" x14ac:dyDescent="0.25">
      <c r="A280" s="191" t="s">
        <v>11</v>
      </c>
      <c r="B280" s="151">
        <v>8314</v>
      </c>
      <c r="C280" s="151">
        <v>9313</v>
      </c>
      <c r="D280" s="151">
        <v>10336</v>
      </c>
      <c r="E280" s="151">
        <v>11409</v>
      </c>
      <c r="F280" s="151">
        <v>12494</v>
      </c>
      <c r="G280" s="151">
        <v>13495</v>
      </c>
      <c r="H280" s="151">
        <v>14005</v>
      </c>
      <c r="I280" s="151">
        <v>14423</v>
      </c>
      <c r="J280" s="151">
        <v>14519</v>
      </c>
      <c r="K280" s="151">
        <v>14688</v>
      </c>
      <c r="L280" s="151">
        <v>14780</v>
      </c>
      <c r="M280" s="151">
        <v>14485</v>
      </c>
      <c r="N280" s="151">
        <v>14348</v>
      </c>
      <c r="O280" s="151">
        <v>14030</v>
      </c>
      <c r="P280" s="151">
        <v>14480</v>
      </c>
      <c r="Q280" s="187">
        <f t="shared" si="82"/>
        <v>7.2989996294924045E-2</v>
      </c>
      <c r="R280" s="187">
        <f t="shared" si="83"/>
        <v>-2.0297699594046009E-2</v>
      </c>
      <c r="S280" s="187">
        <f t="shared" si="84"/>
        <v>3.2074126870990732E-2</v>
      </c>
      <c r="T280" s="187">
        <f t="shared" si="85"/>
        <v>2.0943620006364082E-2</v>
      </c>
    </row>
    <row r="281" spans="1:21" x14ac:dyDescent="0.25">
      <c r="A281" s="191" t="s">
        <v>15</v>
      </c>
      <c r="B281" s="151">
        <v>12784</v>
      </c>
      <c r="C281" s="151">
        <v>12507</v>
      </c>
      <c r="D281" s="151">
        <v>12466</v>
      </c>
      <c r="E281" s="151">
        <v>12395</v>
      </c>
      <c r="F281" s="151">
        <v>12194</v>
      </c>
      <c r="G281" s="151">
        <v>12081</v>
      </c>
      <c r="H281" s="151">
        <v>11943</v>
      </c>
      <c r="I281" s="151">
        <v>11838</v>
      </c>
      <c r="J281" s="151">
        <v>12010</v>
      </c>
      <c r="K281" s="151">
        <v>12245</v>
      </c>
      <c r="L281" s="151">
        <v>12511</v>
      </c>
      <c r="M281" s="151">
        <v>12877</v>
      </c>
      <c r="N281" s="151">
        <v>13078</v>
      </c>
      <c r="O281" s="151">
        <v>13252</v>
      </c>
      <c r="P281" s="151">
        <v>14468</v>
      </c>
      <c r="Q281" s="187">
        <f t="shared" si="82"/>
        <v>0.19758298154126314</v>
      </c>
      <c r="R281" s="187">
        <f t="shared" si="83"/>
        <v>0.15642234833346655</v>
      </c>
      <c r="S281" s="187">
        <f t="shared" si="84"/>
        <v>9.1759734379716268E-2</v>
      </c>
      <c r="T281" s="187">
        <f t="shared" si="85"/>
        <v>2.0926263415198588E-2</v>
      </c>
      <c r="U281" s="53"/>
    </row>
    <row r="282" spans="1:21" x14ac:dyDescent="0.25">
      <c r="A282" s="191" t="s">
        <v>364</v>
      </c>
      <c r="B282" s="151">
        <v>9101</v>
      </c>
      <c r="C282" s="151">
        <v>9345</v>
      </c>
      <c r="D282" s="151">
        <v>9396</v>
      </c>
      <c r="E282" s="151">
        <v>9298</v>
      </c>
      <c r="F282" s="151">
        <v>9196</v>
      </c>
      <c r="G282" s="151">
        <v>8916</v>
      </c>
      <c r="H282" s="151">
        <v>8711</v>
      </c>
      <c r="I282" s="151">
        <v>8430</v>
      </c>
      <c r="J282" s="151">
        <v>8476</v>
      </c>
      <c r="K282" s="151">
        <v>8676</v>
      </c>
      <c r="L282" s="151">
        <v>9127</v>
      </c>
      <c r="M282" s="151">
        <v>9833</v>
      </c>
      <c r="N282" s="151">
        <v>10971</v>
      </c>
      <c r="O282" s="151">
        <v>12247</v>
      </c>
      <c r="P282" s="151">
        <v>14378</v>
      </c>
      <c r="Q282" s="187">
        <f t="shared" si="82"/>
        <v>0.61260655002243158</v>
      </c>
      <c r="R282" s="187">
        <f t="shared" si="83"/>
        <v>0.57532595595485925</v>
      </c>
      <c r="S282" s="187">
        <f t="shared" si="84"/>
        <v>0.17400179635829183</v>
      </c>
      <c r="T282" s="187">
        <f t="shared" si="85"/>
        <v>2.0796088981457374E-2</v>
      </c>
    </row>
    <row r="283" spans="1:21" x14ac:dyDescent="0.25">
      <c r="A283" s="191" t="s">
        <v>275</v>
      </c>
      <c r="B283" s="151">
        <v>1575</v>
      </c>
      <c r="C283" s="151">
        <v>1895</v>
      </c>
      <c r="D283" s="151">
        <v>2302</v>
      </c>
      <c r="E283" s="151">
        <v>3079</v>
      </c>
      <c r="F283" s="151">
        <v>4047</v>
      </c>
      <c r="G283" s="151">
        <v>5243</v>
      </c>
      <c r="H283" s="151">
        <v>6222</v>
      </c>
      <c r="I283" s="151">
        <v>7052</v>
      </c>
      <c r="J283" s="151">
        <v>7955</v>
      </c>
      <c r="K283" s="151">
        <v>8835</v>
      </c>
      <c r="L283" s="151">
        <v>9793</v>
      </c>
      <c r="M283" s="151">
        <v>10968</v>
      </c>
      <c r="N283" s="151">
        <v>11858</v>
      </c>
      <c r="O283" s="151">
        <v>12355</v>
      </c>
      <c r="P283" s="151">
        <v>13740</v>
      </c>
      <c r="Q283" s="187">
        <f t="shared" si="82"/>
        <v>1.6206370398626739</v>
      </c>
      <c r="R283" s="187">
        <f t="shared" si="83"/>
        <v>0.40304298989073828</v>
      </c>
      <c r="S283" s="187">
        <f t="shared" si="84"/>
        <v>0.11210036422501012</v>
      </c>
      <c r="T283" s="187">
        <f t="shared" si="85"/>
        <v>1.9873296884491885E-2</v>
      </c>
      <c r="U283" s="53"/>
    </row>
    <row r="284" spans="1:21" x14ac:dyDescent="0.25">
      <c r="A284" s="191" t="s">
        <v>10</v>
      </c>
      <c r="B284" s="151">
        <v>11067</v>
      </c>
      <c r="C284" s="151">
        <v>10956</v>
      </c>
      <c r="D284" s="151">
        <v>11198</v>
      </c>
      <c r="E284" s="151">
        <v>12209</v>
      </c>
      <c r="F284" s="151">
        <v>13008</v>
      </c>
      <c r="G284" s="151">
        <v>12794</v>
      </c>
      <c r="H284" s="151">
        <v>13006</v>
      </c>
      <c r="I284" s="151">
        <v>12177</v>
      </c>
      <c r="J284" s="151">
        <v>12103</v>
      </c>
      <c r="K284" s="151">
        <v>12587</v>
      </c>
      <c r="L284" s="151">
        <v>13013</v>
      </c>
      <c r="M284" s="151">
        <v>13567</v>
      </c>
      <c r="N284" s="151">
        <v>13432</v>
      </c>
      <c r="O284" s="151">
        <v>12929</v>
      </c>
      <c r="P284" s="151">
        <v>12579</v>
      </c>
      <c r="Q284" s="187">
        <f t="shared" si="82"/>
        <v>-1.680475222760669E-2</v>
      </c>
      <c r="R284" s="187">
        <f t="shared" si="83"/>
        <v>-3.335126412049489E-2</v>
      </c>
      <c r="S284" s="187">
        <f t="shared" si="84"/>
        <v>-2.7070925825663238E-2</v>
      </c>
      <c r="T284" s="187">
        <f t="shared" si="85"/>
        <v>1.8194046689230234E-2</v>
      </c>
    </row>
    <row r="285" spans="1:21" x14ac:dyDescent="0.25">
      <c r="A285" s="191" t="s">
        <v>46</v>
      </c>
      <c r="B285" s="151">
        <v>9440</v>
      </c>
      <c r="C285" s="151">
        <v>10789</v>
      </c>
      <c r="D285" s="151">
        <v>12130</v>
      </c>
      <c r="E285" s="151">
        <v>13912</v>
      </c>
      <c r="F285" s="151">
        <v>14981</v>
      </c>
      <c r="G285" s="151">
        <v>15299</v>
      </c>
      <c r="H285" s="151">
        <v>15893</v>
      </c>
      <c r="I285" s="151">
        <v>16454</v>
      </c>
      <c r="J285" s="151">
        <v>16377</v>
      </c>
      <c r="K285" s="151">
        <v>16639</v>
      </c>
      <c r="L285" s="151">
        <v>17060</v>
      </c>
      <c r="M285" s="151">
        <v>16833</v>
      </c>
      <c r="N285" s="151">
        <v>15312</v>
      </c>
      <c r="O285" s="151">
        <v>13018</v>
      </c>
      <c r="P285" s="151">
        <v>11980</v>
      </c>
      <c r="Q285" s="187">
        <f t="shared" si="82"/>
        <v>-0.21694228380939931</v>
      </c>
      <c r="R285" s="187">
        <f t="shared" si="83"/>
        <v>-0.29777256740914421</v>
      </c>
      <c r="S285" s="187">
        <f t="shared" si="84"/>
        <v>-7.9735750499308644E-2</v>
      </c>
      <c r="T285" s="187">
        <f t="shared" si="85"/>
        <v>1.7327663513552603E-2</v>
      </c>
      <c r="U285" s="53"/>
    </row>
    <row r="286" spans="1:21" x14ac:dyDescent="0.25">
      <c r="A286" s="191" t="s">
        <v>390</v>
      </c>
      <c r="B286" s="151">
        <v>6687</v>
      </c>
      <c r="C286" s="151">
        <v>7060</v>
      </c>
      <c r="D286" s="151">
        <v>7099</v>
      </c>
      <c r="E286" s="151">
        <v>7283</v>
      </c>
      <c r="F286" s="151">
        <v>7610</v>
      </c>
      <c r="G286" s="151">
        <v>7626</v>
      </c>
      <c r="H286" s="151">
        <v>7709</v>
      </c>
      <c r="I286" s="151">
        <v>7665</v>
      </c>
      <c r="J286" s="151">
        <v>7589</v>
      </c>
      <c r="K286" s="151">
        <v>8002</v>
      </c>
      <c r="L286" s="151">
        <v>8270</v>
      </c>
      <c r="M286" s="151">
        <v>8695</v>
      </c>
      <c r="N286" s="151">
        <v>9235</v>
      </c>
      <c r="O286" s="151">
        <v>10238</v>
      </c>
      <c r="P286" s="151">
        <v>11936</v>
      </c>
      <c r="Q286" s="187">
        <f t="shared" si="82"/>
        <v>0.56517178075006558</v>
      </c>
      <c r="R286" s="187">
        <f t="shared" si="83"/>
        <v>0.44328899637243047</v>
      </c>
      <c r="S286" s="187">
        <f t="shared" si="84"/>
        <v>0.16585270560656379</v>
      </c>
      <c r="T286" s="187">
        <f t="shared" si="85"/>
        <v>1.7264022679279123E-2</v>
      </c>
    </row>
    <row r="287" spans="1:21" x14ac:dyDescent="0.25">
      <c r="A287" s="191" t="s">
        <v>391</v>
      </c>
      <c r="B287" s="151">
        <v>2715</v>
      </c>
      <c r="C287" s="151">
        <v>2657</v>
      </c>
      <c r="D287" s="151">
        <v>2630</v>
      </c>
      <c r="E287" s="151">
        <v>3126</v>
      </c>
      <c r="F287" s="151">
        <v>3644</v>
      </c>
      <c r="G287" s="151">
        <v>4216</v>
      </c>
      <c r="H287" s="151">
        <v>4992</v>
      </c>
      <c r="I287" s="151">
        <v>5770</v>
      </c>
      <c r="J287" s="151">
        <v>6394</v>
      </c>
      <c r="K287" s="151">
        <v>7090</v>
      </c>
      <c r="L287" s="151">
        <v>7924</v>
      </c>
      <c r="M287" s="151">
        <v>8697</v>
      </c>
      <c r="N287" s="151">
        <v>9570</v>
      </c>
      <c r="O287" s="151">
        <v>10231</v>
      </c>
      <c r="P287" s="151">
        <v>11774</v>
      </c>
      <c r="Q287" s="187">
        <f t="shared" si="82"/>
        <v>1.7926944971537002</v>
      </c>
      <c r="R287" s="187">
        <f t="shared" si="83"/>
        <v>0.48586572438162545</v>
      </c>
      <c r="S287" s="187">
        <f t="shared" si="84"/>
        <v>0.1508161470042029</v>
      </c>
      <c r="T287" s="187">
        <f t="shared" si="85"/>
        <v>1.7029708698544938E-2</v>
      </c>
      <c r="U287" s="53"/>
    </row>
    <row r="288" spans="1:21" x14ac:dyDescent="0.25">
      <c r="A288" s="191" t="s">
        <v>439</v>
      </c>
      <c r="B288" s="151">
        <v>4093</v>
      </c>
      <c r="C288" s="151">
        <v>5109</v>
      </c>
      <c r="D288" s="151">
        <v>6125</v>
      </c>
      <c r="E288" s="151">
        <v>7512</v>
      </c>
      <c r="F288" s="151">
        <v>9369</v>
      </c>
      <c r="G288" s="151">
        <v>10866</v>
      </c>
      <c r="H288" s="151">
        <v>11055</v>
      </c>
      <c r="I288" s="151">
        <v>11397</v>
      </c>
      <c r="J288" s="151">
        <v>11720</v>
      </c>
      <c r="K288" s="151">
        <v>11844</v>
      </c>
      <c r="L288" s="151">
        <v>11799</v>
      </c>
      <c r="M288" s="151">
        <v>11404</v>
      </c>
      <c r="N288" s="151">
        <v>10810</v>
      </c>
      <c r="O288" s="151">
        <v>10183</v>
      </c>
      <c r="P288" s="151">
        <v>10282</v>
      </c>
      <c r="Q288" s="187">
        <f t="shared" si="82"/>
        <v>-5.3745628566169705E-2</v>
      </c>
      <c r="R288" s="187">
        <f t="shared" si="83"/>
        <v>-0.12857021781506908</v>
      </c>
      <c r="S288" s="187">
        <f t="shared" si="84"/>
        <v>9.7220858293233826E-3</v>
      </c>
      <c r="T288" s="187">
        <f t="shared" si="85"/>
        <v>1.487170586363505E-2</v>
      </c>
    </row>
    <row r="289" spans="1:21" x14ac:dyDescent="0.25">
      <c r="A289" s="110"/>
      <c r="B289" s="110"/>
      <c r="C289" s="110"/>
      <c r="D289" s="110"/>
      <c r="E289" s="110"/>
      <c r="F289" s="110"/>
      <c r="G289" s="110"/>
      <c r="H289" s="110"/>
      <c r="I289" s="110"/>
      <c r="J289" s="110"/>
      <c r="K289" s="110"/>
      <c r="L289" s="110"/>
      <c r="M289" s="110"/>
      <c r="N289" s="110"/>
      <c r="O289" s="110"/>
      <c r="P289" s="110"/>
      <c r="Q289" s="39"/>
      <c r="R289" s="39"/>
      <c r="S289" s="39"/>
      <c r="T289" s="39"/>
      <c r="U289" s="39"/>
    </row>
    <row r="290" spans="1:21" ht="18" x14ac:dyDescent="0.25">
      <c r="A290" s="27" t="s">
        <v>140</v>
      </c>
      <c r="B290" s="27"/>
      <c r="C290" s="27"/>
      <c r="D290" s="27"/>
      <c r="E290" s="27"/>
      <c r="F290" s="27"/>
      <c r="G290" s="27"/>
      <c r="H290" s="27"/>
      <c r="I290" s="110"/>
      <c r="J290" s="110"/>
      <c r="K290" s="110"/>
      <c r="L290" s="110"/>
      <c r="M290" s="110"/>
      <c r="N290" s="110"/>
      <c r="O290" s="110"/>
      <c r="P290" s="110"/>
      <c r="Q290" s="39"/>
      <c r="R290" s="39"/>
      <c r="S290" s="39"/>
      <c r="T290" s="39"/>
      <c r="U290" s="53"/>
    </row>
    <row r="291" spans="1:21" ht="30" customHeight="1" x14ac:dyDescent="0.25">
      <c r="A291" s="148" t="s">
        <v>4</v>
      </c>
      <c r="B291" s="130">
        <v>2007</v>
      </c>
      <c r="C291" s="130">
        <v>2008</v>
      </c>
      <c r="D291" s="130">
        <v>2009</v>
      </c>
      <c r="E291" s="130">
        <v>2010</v>
      </c>
      <c r="F291" s="130">
        <v>2011</v>
      </c>
      <c r="G291" s="130">
        <v>2012</v>
      </c>
      <c r="H291" s="130">
        <v>2013</v>
      </c>
      <c r="I291" s="130">
        <v>2014</v>
      </c>
      <c r="J291" s="130">
        <v>2015</v>
      </c>
      <c r="K291" s="130">
        <v>2016</v>
      </c>
      <c r="L291" s="130">
        <v>2017</v>
      </c>
      <c r="M291" s="130">
        <v>2018</v>
      </c>
      <c r="N291" s="130">
        <v>2019</v>
      </c>
      <c r="O291" s="130">
        <v>2020</v>
      </c>
      <c r="P291" s="130">
        <v>2021</v>
      </c>
      <c r="Q291" s="131" t="s">
        <v>424</v>
      </c>
      <c r="R291" s="131" t="s">
        <v>425</v>
      </c>
      <c r="S291" s="131" t="s">
        <v>426</v>
      </c>
      <c r="T291" s="131" t="s">
        <v>427</v>
      </c>
      <c r="U291" s="53"/>
    </row>
    <row r="292" spans="1:21" x14ac:dyDescent="0.25">
      <c r="A292" s="191" t="s">
        <v>8</v>
      </c>
      <c r="B292" s="151">
        <v>4872</v>
      </c>
      <c r="C292" s="151">
        <v>5036</v>
      </c>
      <c r="D292" s="151">
        <v>5333</v>
      </c>
      <c r="E292" s="151">
        <v>5907</v>
      </c>
      <c r="F292" s="151">
        <v>6502</v>
      </c>
      <c r="G292" s="151">
        <v>6719</v>
      </c>
      <c r="H292" s="151">
        <v>6226</v>
      </c>
      <c r="I292" s="151">
        <v>6610</v>
      </c>
      <c r="J292" s="151">
        <v>7390</v>
      </c>
      <c r="K292" s="151">
        <v>7691</v>
      </c>
      <c r="L292" s="151">
        <v>8067</v>
      </c>
      <c r="M292" s="151">
        <v>7834</v>
      </c>
      <c r="N292" s="151">
        <v>8260</v>
      </c>
      <c r="O292" s="151">
        <v>8374</v>
      </c>
      <c r="P292" s="151">
        <v>9350</v>
      </c>
      <c r="Q292" s="187">
        <f t="shared" ref="Q292:Q311" si="86">(P292-G292)/G292</f>
        <v>0.39157612739991071</v>
      </c>
      <c r="R292" s="187">
        <f t="shared" ref="R292:R311" si="87">(P292-L292)/L292</f>
        <v>0.15904301475145655</v>
      </c>
      <c r="S292" s="187">
        <f t="shared" ref="S292:S311" si="88">(P292-O292)/O292</f>
        <v>0.11655122999761165</v>
      </c>
      <c r="T292" s="187">
        <f>P292/P$14</f>
        <v>6.9147087317610698E-2</v>
      </c>
      <c r="U292" s="53"/>
    </row>
    <row r="293" spans="1:21" x14ac:dyDescent="0.25">
      <c r="A293" s="191" t="s">
        <v>7</v>
      </c>
      <c r="B293" s="151">
        <v>8201</v>
      </c>
      <c r="C293" s="151">
        <v>9053</v>
      </c>
      <c r="D293" s="151">
        <v>8962</v>
      </c>
      <c r="E293" s="151">
        <v>8245</v>
      </c>
      <c r="F293" s="151">
        <v>8310</v>
      </c>
      <c r="G293" s="151">
        <v>8115</v>
      </c>
      <c r="H293" s="151">
        <v>7484</v>
      </c>
      <c r="I293" s="151">
        <v>7731</v>
      </c>
      <c r="J293" s="151">
        <v>7692</v>
      </c>
      <c r="K293" s="151">
        <v>8108</v>
      </c>
      <c r="L293" s="151">
        <v>8608</v>
      </c>
      <c r="M293" s="151">
        <v>8932</v>
      </c>
      <c r="N293" s="151">
        <v>9056</v>
      </c>
      <c r="O293" s="151">
        <v>8921</v>
      </c>
      <c r="P293" s="151">
        <v>9235</v>
      </c>
      <c r="Q293" s="187">
        <f t="shared" si="86"/>
        <v>0.13801601971657423</v>
      </c>
      <c r="R293" s="187">
        <f t="shared" si="87"/>
        <v>7.2839219330855021E-2</v>
      </c>
      <c r="S293" s="187">
        <f t="shared" si="88"/>
        <v>3.5197847774913124E-2</v>
      </c>
      <c r="T293" s="187">
        <f t="shared" ref="T293:T311" si="89">P293/P$14</f>
        <v>6.8296615120656115E-2</v>
      </c>
      <c r="U293" s="53"/>
    </row>
    <row r="294" spans="1:21" x14ac:dyDescent="0.25">
      <c r="A294" s="191" t="s">
        <v>5</v>
      </c>
      <c r="B294" s="151">
        <v>6765</v>
      </c>
      <c r="C294" s="151">
        <v>7486</v>
      </c>
      <c r="D294" s="151">
        <v>7877</v>
      </c>
      <c r="E294" s="151">
        <v>8159</v>
      </c>
      <c r="F294" s="151">
        <v>9006</v>
      </c>
      <c r="G294" s="151">
        <v>10010</v>
      </c>
      <c r="H294" s="151">
        <v>9576</v>
      </c>
      <c r="I294" s="151">
        <v>9853</v>
      </c>
      <c r="J294" s="151">
        <v>9853</v>
      </c>
      <c r="K294" s="151">
        <v>10422</v>
      </c>
      <c r="L294" s="151">
        <v>10635</v>
      </c>
      <c r="M294" s="151">
        <v>9746</v>
      </c>
      <c r="N294" s="151">
        <v>9731</v>
      </c>
      <c r="O294" s="151">
        <v>8753</v>
      </c>
      <c r="P294" s="151">
        <v>8650</v>
      </c>
      <c r="Q294" s="187">
        <f t="shared" si="86"/>
        <v>-0.13586413586413587</v>
      </c>
      <c r="R294" s="187">
        <f t="shared" si="87"/>
        <v>-0.18664786083685941</v>
      </c>
      <c r="S294" s="187">
        <f t="shared" si="88"/>
        <v>-1.1767394036330401E-2</v>
      </c>
      <c r="T294" s="187">
        <f t="shared" si="89"/>
        <v>6.3970300031800265E-2</v>
      </c>
      <c r="U294" s="53"/>
    </row>
    <row r="295" spans="1:21" x14ac:dyDescent="0.25">
      <c r="A295" s="191" t="s">
        <v>6</v>
      </c>
      <c r="B295" s="151">
        <v>4177</v>
      </c>
      <c r="C295" s="151">
        <v>5971</v>
      </c>
      <c r="D295" s="151">
        <v>7665</v>
      </c>
      <c r="E295" s="151">
        <v>8804</v>
      </c>
      <c r="F295" s="151">
        <v>9365</v>
      </c>
      <c r="G295" s="151">
        <v>9560</v>
      </c>
      <c r="H295" s="151">
        <v>8198</v>
      </c>
      <c r="I295" s="151">
        <v>7720</v>
      </c>
      <c r="J295" s="151">
        <v>7478</v>
      </c>
      <c r="K295" s="151">
        <v>7498</v>
      </c>
      <c r="L295" s="151">
        <v>7308</v>
      </c>
      <c r="M295" s="151">
        <v>6575</v>
      </c>
      <c r="N295" s="151">
        <v>6376</v>
      </c>
      <c r="O295" s="151">
        <v>6145</v>
      </c>
      <c r="P295" s="151">
        <v>7360</v>
      </c>
      <c r="Q295" s="187">
        <f t="shared" si="86"/>
        <v>-0.23012552301255229</v>
      </c>
      <c r="R295" s="187">
        <f t="shared" si="87"/>
        <v>7.1154898741105635E-3</v>
      </c>
      <c r="S295" s="187">
        <f t="shared" si="88"/>
        <v>0.19772172497965826</v>
      </c>
      <c r="T295" s="187">
        <f t="shared" si="89"/>
        <v>5.4430220605092478E-2</v>
      </c>
      <c r="U295" s="53"/>
    </row>
    <row r="296" spans="1:21" x14ac:dyDescent="0.25">
      <c r="A296" s="191" t="s">
        <v>47</v>
      </c>
      <c r="B296" s="151">
        <v>3725</v>
      </c>
      <c r="C296" s="151">
        <v>4338</v>
      </c>
      <c r="D296" s="151">
        <v>4932</v>
      </c>
      <c r="E296" s="151">
        <v>5494</v>
      </c>
      <c r="F296" s="151">
        <v>5901</v>
      </c>
      <c r="G296" s="151">
        <v>6246</v>
      </c>
      <c r="H296" s="151">
        <v>5272</v>
      </c>
      <c r="I296" s="151">
        <v>5041</v>
      </c>
      <c r="J296" s="151">
        <v>5030</v>
      </c>
      <c r="K296" s="151">
        <v>5078</v>
      </c>
      <c r="L296" s="151">
        <v>4975</v>
      </c>
      <c r="M296" s="151">
        <v>4556</v>
      </c>
      <c r="N296" s="151">
        <v>4972</v>
      </c>
      <c r="O296" s="151">
        <v>4709</v>
      </c>
      <c r="P296" s="151">
        <v>4734</v>
      </c>
      <c r="Q296" s="187">
        <f t="shared" si="86"/>
        <v>-0.24207492795389049</v>
      </c>
      <c r="R296" s="187">
        <f t="shared" si="87"/>
        <v>-4.844221105527638E-2</v>
      </c>
      <c r="S296" s="187">
        <f t="shared" si="88"/>
        <v>5.308982798895732E-3</v>
      </c>
      <c r="T296" s="187">
        <f t="shared" si="89"/>
        <v>3.500987287289508E-2</v>
      </c>
      <c r="U296" s="53"/>
    </row>
    <row r="297" spans="1:21" x14ac:dyDescent="0.25">
      <c r="A297" s="191" t="s">
        <v>348</v>
      </c>
      <c r="B297" s="151">
        <v>3037</v>
      </c>
      <c r="C297" s="151">
        <v>2323</v>
      </c>
      <c r="D297" s="151">
        <v>2460</v>
      </c>
      <c r="E297" s="151">
        <v>3501</v>
      </c>
      <c r="F297" s="151">
        <v>3368</v>
      </c>
      <c r="G297" s="151">
        <v>3456</v>
      </c>
      <c r="H297" s="151">
        <v>4137</v>
      </c>
      <c r="I297" s="151">
        <v>4096</v>
      </c>
      <c r="J297" s="151">
        <v>4203</v>
      </c>
      <c r="K297" s="151">
        <v>4174</v>
      </c>
      <c r="L297" s="151">
        <v>4383</v>
      </c>
      <c r="M297" s="151">
        <v>4416</v>
      </c>
      <c r="N297" s="151">
        <v>4427</v>
      </c>
      <c r="O297" s="151">
        <v>4451</v>
      </c>
      <c r="P297" s="151">
        <v>4266</v>
      </c>
      <c r="Q297" s="187">
        <f t="shared" si="86"/>
        <v>0.234375</v>
      </c>
      <c r="R297" s="187">
        <f t="shared" si="87"/>
        <v>-2.6694045174537988E-2</v>
      </c>
      <c r="S297" s="187">
        <f t="shared" si="88"/>
        <v>-4.1563693552010783E-2</v>
      </c>
      <c r="T297" s="187">
        <f t="shared" si="89"/>
        <v>3.1548820801810394E-2</v>
      </c>
      <c r="U297" s="53"/>
    </row>
    <row r="298" spans="1:21" x14ac:dyDescent="0.25">
      <c r="A298" s="191" t="s">
        <v>9</v>
      </c>
      <c r="B298" s="151">
        <v>4439</v>
      </c>
      <c r="C298" s="151">
        <v>4959</v>
      </c>
      <c r="D298" s="151">
        <v>5974</v>
      </c>
      <c r="E298" s="151">
        <v>5976</v>
      </c>
      <c r="F298" s="151">
        <v>5997</v>
      </c>
      <c r="G298" s="151">
        <v>5776</v>
      </c>
      <c r="H298" s="151">
        <v>4753</v>
      </c>
      <c r="I298" s="151">
        <v>4091</v>
      </c>
      <c r="J298" s="151">
        <v>3928</v>
      </c>
      <c r="K298" s="151">
        <v>4180</v>
      </c>
      <c r="L298" s="151">
        <v>4388</v>
      </c>
      <c r="M298" s="151">
        <v>4261</v>
      </c>
      <c r="N298" s="151">
        <v>3900</v>
      </c>
      <c r="O298" s="151">
        <v>3842</v>
      </c>
      <c r="P298" s="151">
        <v>4010</v>
      </c>
      <c r="Q298" s="187">
        <f t="shared" si="86"/>
        <v>-0.30574792243767313</v>
      </c>
      <c r="R298" s="187">
        <f t="shared" si="87"/>
        <v>-8.6144029170464903E-2</v>
      </c>
      <c r="S298" s="187">
        <f t="shared" si="88"/>
        <v>4.372722540343571E-2</v>
      </c>
      <c r="T298" s="187">
        <f t="shared" si="89"/>
        <v>2.9655595737285441E-2</v>
      </c>
      <c r="U298" s="53"/>
    </row>
    <row r="299" spans="1:21" x14ac:dyDescent="0.25">
      <c r="A299" s="191" t="s">
        <v>364</v>
      </c>
      <c r="B299" s="151">
        <v>1811</v>
      </c>
      <c r="C299" s="151">
        <v>1928</v>
      </c>
      <c r="D299" s="151">
        <v>1857</v>
      </c>
      <c r="E299" s="151">
        <v>1710</v>
      </c>
      <c r="F299" s="151">
        <v>1672</v>
      </c>
      <c r="G299" s="151">
        <v>1642</v>
      </c>
      <c r="H299" s="151">
        <v>1514</v>
      </c>
      <c r="I299" s="151">
        <v>1484</v>
      </c>
      <c r="J299" s="151">
        <v>1643</v>
      </c>
      <c r="K299" s="151">
        <v>1849</v>
      </c>
      <c r="L299" s="151">
        <v>2054</v>
      </c>
      <c r="M299" s="151">
        <v>2215</v>
      </c>
      <c r="N299" s="151">
        <v>2466</v>
      </c>
      <c r="O299" s="151">
        <v>2910</v>
      </c>
      <c r="P299" s="151">
        <v>3256</v>
      </c>
      <c r="Q299" s="187">
        <f t="shared" si="86"/>
        <v>0.98294762484774667</v>
      </c>
      <c r="R299" s="187">
        <f t="shared" si="87"/>
        <v>0.58519961051606617</v>
      </c>
      <c r="S299" s="187">
        <f t="shared" si="88"/>
        <v>0.11890034364261168</v>
      </c>
      <c r="T299" s="187">
        <f t="shared" si="89"/>
        <v>2.407945628942678E-2</v>
      </c>
      <c r="U299" s="53"/>
    </row>
    <row r="300" spans="1:21" x14ac:dyDescent="0.25">
      <c r="A300" s="191" t="s">
        <v>15</v>
      </c>
      <c r="B300" s="151">
        <v>2364</v>
      </c>
      <c r="C300" s="151">
        <v>2428</v>
      </c>
      <c r="D300" s="151">
        <v>2413</v>
      </c>
      <c r="E300" s="151">
        <v>2443</v>
      </c>
      <c r="F300" s="151">
        <v>2399</v>
      </c>
      <c r="G300" s="151">
        <v>2450</v>
      </c>
      <c r="H300" s="151">
        <v>2309</v>
      </c>
      <c r="I300" s="151">
        <v>2311</v>
      </c>
      <c r="J300" s="151">
        <v>2433</v>
      </c>
      <c r="K300" s="151">
        <v>2558</v>
      </c>
      <c r="L300" s="151">
        <v>2731</v>
      </c>
      <c r="M300" s="151">
        <v>2722</v>
      </c>
      <c r="N300" s="151">
        <v>2739</v>
      </c>
      <c r="O300" s="151">
        <v>2792</v>
      </c>
      <c r="P300" s="151">
        <v>3033</v>
      </c>
      <c r="Q300" s="187">
        <f t="shared" si="86"/>
        <v>0.23795918367346938</v>
      </c>
      <c r="R300" s="187">
        <f t="shared" si="87"/>
        <v>0.11058220432076163</v>
      </c>
      <c r="S300" s="187">
        <f t="shared" si="88"/>
        <v>8.6318051575931226E-2</v>
      </c>
      <c r="T300" s="187">
        <f t="shared" si="89"/>
        <v>2.2430279768375746E-2</v>
      </c>
      <c r="U300" s="53"/>
    </row>
    <row r="301" spans="1:21" x14ac:dyDescent="0.25">
      <c r="A301" s="191" t="s">
        <v>141</v>
      </c>
      <c r="B301" s="151">
        <v>1439</v>
      </c>
      <c r="C301" s="151">
        <v>1601</v>
      </c>
      <c r="D301" s="151">
        <v>1636</v>
      </c>
      <c r="E301" s="151">
        <v>1793</v>
      </c>
      <c r="F301" s="151">
        <v>2020</v>
      </c>
      <c r="G301" s="151">
        <v>2336</v>
      </c>
      <c r="H301" s="151">
        <v>2330</v>
      </c>
      <c r="I301" s="151">
        <v>2288</v>
      </c>
      <c r="J301" s="151">
        <v>2434</v>
      </c>
      <c r="K301" s="151">
        <v>2555</v>
      </c>
      <c r="L301" s="151">
        <v>2642</v>
      </c>
      <c r="M301" s="151">
        <v>2748</v>
      </c>
      <c r="N301" s="151">
        <v>2826</v>
      </c>
      <c r="O301" s="151">
        <v>2786</v>
      </c>
      <c r="P301" s="151">
        <v>2937</v>
      </c>
      <c r="Q301" s="187">
        <f t="shared" si="86"/>
        <v>0.25727739726027399</v>
      </c>
      <c r="R301" s="187">
        <f t="shared" si="87"/>
        <v>0.11165783497350493</v>
      </c>
      <c r="S301" s="187">
        <f t="shared" si="88"/>
        <v>5.4199569274946159E-2</v>
      </c>
      <c r="T301" s="187">
        <f t="shared" si="89"/>
        <v>2.1720320369178887E-2</v>
      </c>
      <c r="U301" s="53"/>
    </row>
    <row r="302" spans="1:21" x14ac:dyDescent="0.25">
      <c r="A302" s="191" t="s">
        <v>12</v>
      </c>
      <c r="B302" s="151">
        <v>3143</v>
      </c>
      <c r="C302" s="151">
        <v>2982</v>
      </c>
      <c r="D302" s="151">
        <v>3279</v>
      </c>
      <c r="E302" s="151">
        <v>3460</v>
      </c>
      <c r="F302" s="151">
        <v>3447</v>
      </c>
      <c r="G302" s="151">
        <v>3167</v>
      </c>
      <c r="H302" s="151">
        <v>2904</v>
      </c>
      <c r="I302" s="151">
        <v>2647</v>
      </c>
      <c r="J302" s="151">
        <v>3399</v>
      </c>
      <c r="K302" s="151">
        <v>3591</v>
      </c>
      <c r="L302" s="151">
        <v>4109</v>
      </c>
      <c r="M302" s="151">
        <v>3890</v>
      </c>
      <c r="N302" s="151">
        <v>3356</v>
      </c>
      <c r="O302" s="151">
        <v>2945</v>
      </c>
      <c r="P302" s="151">
        <v>2815</v>
      </c>
      <c r="Q302" s="187">
        <f t="shared" si="86"/>
        <v>-0.11114619513735396</v>
      </c>
      <c r="R302" s="187">
        <f t="shared" si="87"/>
        <v>-0.31491847164760284</v>
      </c>
      <c r="S302" s="187">
        <f t="shared" si="88"/>
        <v>-4.4142614601018676E-2</v>
      </c>
      <c r="T302" s="187">
        <f t="shared" si="89"/>
        <v>2.0818080299366212E-2</v>
      </c>
      <c r="U302" s="53"/>
    </row>
    <row r="303" spans="1:21" x14ac:dyDescent="0.25">
      <c r="A303" s="191" t="s">
        <v>13</v>
      </c>
      <c r="B303" s="151">
        <v>1802</v>
      </c>
      <c r="C303" s="151">
        <v>1929</v>
      </c>
      <c r="D303" s="151">
        <v>1983</v>
      </c>
      <c r="E303" s="151">
        <v>1936</v>
      </c>
      <c r="F303" s="151">
        <v>2061</v>
      </c>
      <c r="G303" s="151">
        <v>1987</v>
      </c>
      <c r="H303" s="151">
        <v>2097</v>
      </c>
      <c r="I303" s="151">
        <v>2129</v>
      </c>
      <c r="J303" s="151">
        <v>2119</v>
      </c>
      <c r="K303" s="151">
        <v>2214</v>
      </c>
      <c r="L303" s="151">
        <v>2326</v>
      </c>
      <c r="M303" s="151">
        <v>2450</v>
      </c>
      <c r="N303" s="151">
        <v>2514</v>
      </c>
      <c r="O303" s="151">
        <v>2433</v>
      </c>
      <c r="P303" s="151">
        <v>2798</v>
      </c>
      <c r="Q303" s="187">
        <f t="shared" si="86"/>
        <v>0.40815299446401609</v>
      </c>
      <c r="R303" s="187">
        <f t="shared" si="87"/>
        <v>0.20292347377472056</v>
      </c>
      <c r="S303" s="187">
        <f t="shared" si="88"/>
        <v>0.15002055076037812</v>
      </c>
      <c r="T303" s="187">
        <f t="shared" si="89"/>
        <v>2.0692358322425101E-2</v>
      </c>
      <c r="U303" s="53"/>
    </row>
    <row r="304" spans="1:21" x14ac:dyDescent="0.25">
      <c r="A304" s="191" t="s">
        <v>390</v>
      </c>
      <c r="B304" s="151">
        <v>1836</v>
      </c>
      <c r="C304" s="151">
        <v>1695</v>
      </c>
      <c r="D304" s="151">
        <v>1818</v>
      </c>
      <c r="E304" s="151">
        <v>1974</v>
      </c>
      <c r="F304" s="151">
        <v>2129</v>
      </c>
      <c r="G304" s="151">
        <v>1982</v>
      </c>
      <c r="H304" s="151">
        <v>1983</v>
      </c>
      <c r="I304" s="151">
        <v>1988</v>
      </c>
      <c r="J304" s="151">
        <v>2081</v>
      </c>
      <c r="K304" s="151">
        <v>2209</v>
      </c>
      <c r="L304" s="151">
        <v>2186</v>
      </c>
      <c r="M304" s="151">
        <v>2212</v>
      </c>
      <c r="N304" s="151">
        <v>2474</v>
      </c>
      <c r="O304" s="151">
        <v>2500</v>
      </c>
      <c r="P304" s="151">
        <v>2792</v>
      </c>
      <c r="Q304" s="187">
        <f t="shared" si="86"/>
        <v>0.40867810292633705</v>
      </c>
      <c r="R304" s="187">
        <f t="shared" si="87"/>
        <v>0.27721866422689845</v>
      </c>
      <c r="S304" s="187">
        <f t="shared" si="88"/>
        <v>0.1168</v>
      </c>
      <c r="T304" s="187">
        <f t="shared" si="89"/>
        <v>2.06479858599753E-2</v>
      </c>
      <c r="U304" s="53"/>
    </row>
    <row r="305" spans="1:21" x14ac:dyDescent="0.25">
      <c r="A305" s="191" t="s">
        <v>14</v>
      </c>
      <c r="B305" s="151">
        <v>1587</v>
      </c>
      <c r="C305" s="151">
        <v>2011</v>
      </c>
      <c r="D305" s="151">
        <v>2512</v>
      </c>
      <c r="E305" s="151">
        <v>3022</v>
      </c>
      <c r="F305" s="151">
        <v>3320</v>
      </c>
      <c r="G305" s="151">
        <v>3613</v>
      </c>
      <c r="H305" s="151">
        <v>3118</v>
      </c>
      <c r="I305" s="151">
        <v>3042</v>
      </c>
      <c r="J305" s="151">
        <v>3059</v>
      </c>
      <c r="K305" s="151">
        <v>3170</v>
      </c>
      <c r="L305" s="151">
        <v>3546</v>
      </c>
      <c r="M305" s="151">
        <v>3311</v>
      </c>
      <c r="N305" s="151">
        <v>2824</v>
      </c>
      <c r="O305" s="151">
        <v>2591</v>
      </c>
      <c r="P305" s="151">
        <v>2603</v>
      </c>
      <c r="Q305" s="187">
        <f t="shared" si="86"/>
        <v>-0.2795460835870468</v>
      </c>
      <c r="R305" s="187">
        <f t="shared" si="87"/>
        <v>-0.26593344613649184</v>
      </c>
      <c r="S305" s="187">
        <f t="shared" si="88"/>
        <v>4.631416441528367E-3</v>
      </c>
      <c r="T305" s="187">
        <f t="shared" si="89"/>
        <v>1.9250253292806486E-2</v>
      </c>
      <c r="U305" s="53"/>
    </row>
    <row r="306" spans="1:21" x14ac:dyDescent="0.25">
      <c r="A306" s="191" t="s">
        <v>275</v>
      </c>
      <c r="B306" s="151">
        <v>436</v>
      </c>
      <c r="C306" s="151">
        <v>555</v>
      </c>
      <c r="D306" s="151">
        <v>722</v>
      </c>
      <c r="E306" s="151">
        <v>1196</v>
      </c>
      <c r="F306" s="151">
        <v>1425</v>
      </c>
      <c r="G306" s="151">
        <v>1753</v>
      </c>
      <c r="H306" s="151">
        <v>1856</v>
      </c>
      <c r="I306" s="151">
        <v>1790</v>
      </c>
      <c r="J306" s="151">
        <v>2022</v>
      </c>
      <c r="K306" s="151">
        <v>2167</v>
      </c>
      <c r="L306" s="151">
        <v>2438</v>
      </c>
      <c r="M306" s="151">
        <v>2675</v>
      </c>
      <c r="N306" s="151">
        <v>2673</v>
      </c>
      <c r="O306" s="151">
        <v>2539</v>
      </c>
      <c r="P306" s="151">
        <v>2323</v>
      </c>
      <c r="Q306" s="187">
        <f t="shared" si="86"/>
        <v>0.32515687393040504</v>
      </c>
      <c r="R306" s="187">
        <f t="shared" si="87"/>
        <v>-4.716981132075472E-2</v>
      </c>
      <c r="S306" s="187">
        <f t="shared" si="88"/>
        <v>-8.5072863332020479E-2</v>
      </c>
      <c r="T306" s="187">
        <f t="shared" si="89"/>
        <v>1.7179538378482313E-2</v>
      </c>
      <c r="U306" s="53"/>
    </row>
    <row r="307" spans="1:21" x14ac:dyDescent="0.25">
      <c r="A307" s="191" t="s">
        <v>10</v>
      </c>
      <c r="B307" s="151">
        <v>2807</v>
      </c>
      <c r="C307" s="151">
        <v>2517</v>
      </c>
      <c r="D307" s="151">
        <v>2797</v>
      </c>
      <c r="E307" s="151">
        <v>3036</v>
      </c>
      <c r="F307" s="151">
        <v>2998</v>
      </c>
      <c r="G307" s="151">
        <v>2933</v>
      </c>
      <c r="H307" s="151">
        <v>2869</v>
      </c>
      <c r="I307" s="151">
        <v>2531</v>
      </c>
      <c r="J307" s="151">
        <v>2741</v>
      </c>
      <c r="K307" s="151">
        <v>3344</v>
      </c>
      <c r="L307" s="151">
        <v>3225</v>
      </c>
      <c r="M307" s="151">
        <v>3098</v>
      </c>
      <c r="N307" s="151">
        <v>2881</v>
      </c>
      <c r="O307" s="151">
        <v>2502</v>
      </c>
      <c r="P307" s="151">
        <v>2244</v>
      </c>
      <c r="Q307" s="187">
        <f t="shared" si="86"/>
        <v>-0.23491305830207979</v>
      </c>
      <c r="R307" s="187">
        <f t="shared" si="87"/>
        <v>-0.30418604651162789</v>
      </c>
      <c r="S307" s="187">
        <f t="shared" si="88"/>
        <v>-0.10311750599520383</v>
      </c>
      <c r="T307" s="187">
        <f t="shared" si="89"/>
        <v>1.6595300956226567E-2</v>
      </c>
      <c r="U307" s="53"/>
    </row>
    <row r="308" spans="1:21" x14ac:dyDescent="0.25">
      <c r="A308" s="191" t="s">
        <v>391</v>
      </c>
      <c r="B308" s="151">
        <v>614</v>
      </c>
      <c r="C308" s="151">
        <v>601</v>
      </c>
      <c r="D308" s="151">
        <v>596</v>
      </c>
      <c r="E308" s="151">
        <v>857</v>
      </c>
      <c r="F308" s="151">
        <v>1054</v>
      </c>
      <c r="G308" s="151">
        <v>1173</v>
      </c>
      <c r="H308" s="151">
        <v>1484</v>
      </c>
      <c r="I308" s="151">
        <v>1456</v>
      </c>
      <c r="J308" s="151">
        <v>1481</v>
      </c>
      <c r="K308" s="151">
        <v>1535</v>
      </c>
      <c r="L308" s="151">
        <v>1781</v>
      </c>
      <c r="M308" s="151">
        <v>2000</v>
      </c>
      <c r="N308" s="151">
        <v>2098</v>
      </c>
      <c r="O308" s="151">
        <v>2190</v>
      </c>
      <c r="P308" s="151">
        <v>2238</v>
      </c>
      <c r="Q308" s="187">
        <f t="shared" si="86"/>
        <v>0.90792838874680304</v>
      </c>
      <c r="R308" s="187">
        <f t="shared" si="87"/>
        <v>0.25659741718135881</v>
      </c>
      <c r="S308" s="187">
        <f t="shared" si="88"/>
        <v>2.1917808219178082E-2</v>
      </c>
      <c r="T308" s="187">
        <f t="shared" si="89"/>
        <v>1.6550928493776762E-2</v>
      </c>
      <c r="U308" s="53"/>
    </row>
    <row r="309" spans="1:21" x14ac:dyDescent="0.25">
      <c r="A309" s="191" t="s">
        <v>11</v>
      </c>
      <c r="B309" s="151">
        <v>1946</v>
      </c>
      <c r="C309" s="151">
        <v>2162</v>
      </c>
      <c r="D309" s="151">
        <v>2354</v>
      </c>
      <c r="E309" s="151">
        <v>2478</v>
      </c>
      <c r="F309" s="151">
        <v>2633</v>
      </c>
      <c r="G309" s="151">
        <v>2891</v>
      </c>
      <c r="H309" s="151">
        <v>2460</v>
      </c>
      <c r="I309" s="151">
        <v>2430</v>
      </c>
      <c r="J309" s="151">
        <v>2327</v>
      </c>
      <c r="K309" s="151">
        <v>2348</v>
      </c>
      <c r="L309" s="151">
        <v>2329</v>
      </c>
      <c r="M309" s="151">
        <v>2062</v>
      </c>
      <c r="N309" s="151">
        <v>2093</v>
      </c>
      <c r="O309" s="151">
        <v>2102</v>
      </c>
      <c r="P309" s="151">
        <v>2189</v>
      </c>
      <c r="Q309" s="187">
        <f t="shared" si="86"/>
        <v>-0.24282255274991352</v>
      </c>
      <c r="R309" s="187">
        <f t="shared" si="87"/>
        <v>-6.0111635895234009E-2</v>
      </c>
      <c r="S309" s="187">
        <f t="shared" si="88"/>
        <v>4.1389153187440533E-2</v>
      </c>
      <c r="T309" s="187">
        <f t="shared" si="89"/>
        <v>1.6188553383770031E-2</v>
      </c>
      <c r="U309" s="53"/>
    </row>
    <row r="310" spans="1:21" x14ac:dyDescent="0.25">
      <c r="A310" s="191" t="s">
        <v>440</v>
      </c>
      <c r="B310" s="151">
        <v>1468</v>
      </c>
      <c r="C310" s="151">
        <v>1680</v>
      </c>
      <c r="D310" s="151">
        <v>1749</v>
      </c>
      <c r="E310" s="151">
        <v>1793</v>
      </c>
      <c r="F310" s="151">
        <v>1828</v>
      </c>
      <c r="G310" s="151">
        <v>1782</v>
      </c>
      <c r="H310" s="151">
        <v>2014</v>
      </c>
      <c r="I310" s="151">
        <v>2110</v>
      </c>
      <c r="J310" s="151">
        <v>2213</v>
      </c>
      <c r="K310" s="151">
        <v>2038</v>
      </c>
      <c r="L310" s="151">
        <v>2319</v>
      </c>
      <c r="M310" s="151">
        <v>2144</v>
      </c>
      <c r="N310" s="151">
        <v>2174</v>
      </c>
      <c r="O310" s="151">
        <v>2139</v>
      </c>
      <c r="P310" s="151">
        <v>1899</v>
      </c>
      <c r="Q310" s="187">
        <f t="shared" si="86"/>
        <v>6.5656565656565663E-2</v>
      </c>
      <c r="R310" s="187">
        <f t="shared" si="87"/>
        <v>-0.18111254851228978</v>
      </c>
      <c r="S310" s="187">
        <f t="shared" si="88"/>
        <v>-0.11220196353436185</v>
      </c>
      <c r="T310" s="187">
        <f t="shared" si="89"/>
        <v>1.4043884365362856E-2</v>
      </c>
      <c r="U310" s="53"/>
    </row>
    <row r="311" spans="1:21" x14ac:dyDescent="0.25">
      <c r="A311" s="191" t="s">
        <v>441</v>
      </c>
      <c r="B311" s="151">
        <v>687</v>
      </c>
      <c r="C311" s="151">
        <v>729</v>
      </c>
      <c r="D311" s="151">
        <v>733</v>
      </c>
      <c r="E311" s="151">
        <v>756</v>
      </c>
      <c r="F311" s="151">
        <v>734</v>
      </c>
      <c r="G311" s="151">
        <v>735</v>
      </c>
      <c r="H311" s="151">
        <v>792</v>
      </c>
      <c r="I311" s="151">
        <v>868</v>
      </c>
      <c r="J311" s="151">
        <v>884</v>
      </c>
      <c r="K311" s="151">
        <v>958</v>
      </c>
      <c r="L311" s="151">
        <v>997</v>
      </c>
      <c r="M311" s="151">
        <v>1338</v>
      </c>
      <c r="N311" s="151">
        <v>1539</v>
      </c>
      <c r="O311" s="151">
        <v>1597</v>
      </c>
      <c r="P311" s="151">
        <v>1614</v>
      </c>
      <c r="Q311" s="187">
        <f t="shared" si="86"/>
        <v>1.1959183673469387</v>
      </c>
      <c r="R311" s="187">
        <f t="shared" si="87"/>
        <v>0.61885656970912739</v>
      </c>
      <c r="S311" s="187">
        <f t="shared" si="88"/>
        <v>1.0644959298685034E-2</v>
      </c>
      <c r="T311" s="187">
        <f t="shared" si="89"/>
        <v>1.1936192398997182E-2</v>
      </c>
      <c r="U311" s="53"/>
    </row>
    <row r="312" spans="1:21" x14ac:dyDescent="0.25">
      <c r="A312" s="194"/>
      <c r="B312" s="195"/>
      <c r="C312" s="195"/>
      <c r="D312" s="195"/>
      <c r="E312" s="195"/>
      <c r="F312" s="195"/>
      <c r="G312" s="195"/>
      <c r="H312" s="195"/>
      <c r="I312" s="195"/>
      <c r="J312" s="195"/>
      <c r="K312" s="195"/>
      <c r="L312" s="195"/>
      <c r="M312" s="195"/>
      <c r="N312" s="195"/>
      <c r="O312" s="195"/>
      <c r="P312" s="195"/>
      <c r="Q312" s="193"/>
      <c r="R312" s="193"/>
      <c r="S312" s="193"/>
      <c r="T312" s="193"/>
      <c r="U312" s="53"/>
    </row>
    <row r="313" spans="1:21" ht="15.75" x14ac:dyDescent="0.25">
      <c r="A313" s="27" t="s">
        <v>163</v>
      </c>
      <c r="B313" s="27"/>
      <c r="C313" s="27"/>
      <c r="D313" s="27"/>
      <c r="E313" s="27"/>
      <c r="F313" s="27"/>
      <c r="G313" s="27"/>
      <c r="H313" s="27"/>
      <c r="I313" s="110"/>
      <c r="J313" s="110"/>
      <c r="K313" s="110"/>
      <c r="L313" s="110"/>
      <c r="M313" s="110"/>
      <c r="N313" s="110"/>
      <c r="O313" s="110"/>
      <c r="P313" s="110"/>
      <c r="Q313" s="39"/>
      <c r="R313" s="39"/>
      <c r="S313" s="39"/>
      <c r="T313" s="39"/>
      <c r="U313" s="53"/>
    </row>
    <row r="314" spans="1:21" ht="30" customHeight="1" x14ac:dyDescent="0.25">
      <c r="A314" s="148" t="s">
        <v>273</v>
      </c>
      <c r="B314" s="130">
        <v>2007</v>
      </c>
      <c r="C314" s="130">
        <v>2008</v>
      </c>
      <c r="D314" s="130">
        <v>2009</v>
      </c>
      <c r="E314" s="130">
        <v>2010</v>
      </c>
      <c r="F314" s="130">
        <v>2011</v>
      </c>
      <c r="G314" s="130">
        <v>2012</v>
      </c>
      <c r="H314" s="130">
        <v>2013</v>
      </c>
      <c r="I314" s="130">
        <v>2014</v>
      </c>
      <c r="J314" s="130">
        <v>2015</v>
      </c>
      <c r="K314" s="130">
        <v>2016</v>
      </c>
      <c r="L314" s="130">
        <v>2017</v>
      </c>
      <c r="M314" s="130">
        <v>2018</v>
      </c>
      <c r="N314" s="130">
        <v>2019</v>
      </c>
      <c r="O314" s="130">
        <v>2020</v>
      </c>
      <c r="P314" s="130">
        <v>2021</v>
      </c>
      <c r="Q314" s="131" t="s">
        <v>424</v>
      </c>
      <c r="R314" s="131" t="s">
        <v>425</v>
      </c>
      <c r="S314" s="131" t="s">
        <v>426</v>
      </c>
      <c r="T314" s="131" t="s">
        <v>427</v>
      </c>
    </row>
    <row r="315" spans="1:21" x14ac:dyDescent="0.25">
      <c r="A315" s="107" t="s">
        <v>168</v>
      </c>
      <c r="B315" s="113">
        <v>371125</v>
      </c>
      <c r="C315" s="113">
        <v>391284</v>
      </c>
      <c r="D315" s="113">
        <v>430511</v>
      </c>
      <c r="E315" s="113">
        <v>478401</v>
      </c>
      <c r="F315" s="113">
        <v>521352</v>
      </c>
      <c r="G315" s="113">
        <v>551474</v>
      </c>
      <c r="H315" s="113">
        <v>574903</v>
      </c>
      <c r="I315" s="113">
        <v>592624</v>
      </c>
      <c r="J315" s="113">
        <v>603580</v>
      </c>
      <c r="K315" s="113">
        <v>614703</v>
      </c>
      <c r="L315" s="113">
        <v>618980</v>
      </c>
      <c r="M315" s="113">
        <v>628662</v>
      </c>
      <c r="N315" s="113">
        <v>632715</v>
      </c>
      <c r="O315" s="113">
        <v>614837</v>
      </c>
      <c r="P315" s="113">
        <v>651231</v>
      </c>
      <c r="Q315" s="103">
        <f t="shared" ref="Q315:Q317" si="90">(P315-G315)/G315</f>
        <v>0.18089157421746085</v>
      </c>
      <c r="R315" s="187">
        <f t="shared" ref="R315:R317" si="91">(P315-L315)/L315</f>
        <v>5.2103460531842706E-2</v>
      </c>
      <c r="S315" s="187">
        <f t="shared" ref="S315:S317" si="92">(P315-O315)/O315</f>
        <v>5.9192924303514589E-2</v>
      </c>
      <c r="T315" s="187">
        <f>P315/P$317</f>
        <v>0.5407036118809645</v>
      </c>
      <c r="U315" s="53"/>
    </row>
    <row r="316" spans="1:21" x14ac:dyDescent="0.25">
      <c r="A316" s="107" t="s">
        <v>169</v>
      </c>
      <c r="B316" s="113">
        <v>377219</v>
      </c>
      <c r="C316" s="113">
        <v>392065</v>
      </c>
      <c r="D316" s="113">
        <v>418829</v>
      </c>
      <c r="E316" s="113">
        <v>459857</v>
      </c>
      <c r="F316" s="113">
        <v>493725</v>
      </c>
      <c r="G316" s="113">
        <v>513342</v>
      </c>
      <c r="H316" s="113">
        <v>539374</v>
      </c>
      <c r="I316" s="113">
        <v>551757</v>
      </c>
      <c r="J316" s="113">
        <v>562326</v>
      </c>
      <c r="K316" s="113">
        <v>563777</v>
      </c>
      <c r="L316" s="113">
        <v>558312</v>
      </c>
      <c r="M316" s="113">
        <v>559385</v>
      </c>
      <c r="N316" s="113">
        <v>561765</v>
      </c>
      <c r="O316" s="113">
        <v>537085</v>
      </c>
      <c r="P316" s="113">
        <v>553183</v>
      </c>
      <c r="Q316" s="103">
        <f t="shared" si="90"/>
        <v>7.761102734629155E-2</v>
      </c>
      <c r="R316" s="187">
        <f t="shared" si="91"/>
        <v>-9.186619667855965E-3</v>
      </c>
      <c r="S316" s="187">
        <f t="shared" si="92"/>
        <v>2.9972909316030052E-2</v>
      </c>
      <c r="T316" s="187">
        <f>P316/P$317</f>
        <v>0.4592963881190355</v>
      </c>
    </row>
    <row r="317" spans="1:21" s="52" customFormat="1" x14ac:dyDescent="0.25">
      <c r="A317" s="112" t="s">
        <v>0</v>
      </c>
      <c r="B317" s="2">
        <v>748344</v>
      </c>
      <c r="C317" s="2">
        <v>783349</v>
      </c>
      <c r="D317" s="2">
        <v>849340</v>
      </c>
      <c r="E317" s="2">
        <v>938258</v>
      </c>
      <c r="F317" s="2">
        <v>1015077</v>
      </c>
      <c r="G317" s="2">
        <v>1064816</v>
      </c>
      <c r="H317" s="2">
        <v>1114277</v>
      </c>
      <c r="I317" s="2">
        <v>1144381</v>
      </c>
      <c r="J317" s="2">
        <v>1165906</v>
      </c>
      <c r="K317" s="2">
        <v>1178480</v>
      </c>
      <c r="L317" s="2">
        <v>1177292</v>
      </c>
      <c r="M317" s="2">
        <v>1188047</v>
      </c>
      <c r="N317" s="2">
        <v>1194480</v>
      </c>
      <c r="O317" s="2">
        <v>1151922</v>
      </c>
      <c r="P317" s="2">
        <v>1204414</v>
      </c>
      <c r="Q317" s="33">
        <f t="shared" si="90"/>
        <v>0.13110058451413201</v>
      </c>
      <c r="R317" s="188">
        <f t="shared" si="91"/>
        <v>2.3037615137111268E-2</v>
      </c>
      <c r="S317" s="188">
        <f t="shared" si="92"/>
        <v>4.5569057627165725E-2</v>
      </c>
      <c r="T317" s="188">
        <f>SUM(T315:T316)</f>
        <v>1</v>
      </c>
      <c r="U317" s="53"/>
    </row>
    <row r="318" spans="1:21" x14ac:dyDescent="0.25">
      <c r="A318" s="110"/>
      <c r="Q318" s="40"/>
      <c r="R318" s="39"/>
      <c r="S318" s="39"/>
      <c r="T318" s="39"/>
    </row>
    <row r="319" spans="1:21" ht="18" x14ac:dyDescent="0.25">
      <c r="A319" s="27" t="s">
        <v>442</v>
      </c>
      <c r="B319" s="27"/>
      <c r="C319" s="27"/>
      <c r="D319" s="27"/>
      <c r="E319" s="27"/>
      <c r="F319" s="27"/>
      <c r="G319" s="27"/>
      <c r="H319" s="27"/>
      <c r="I319" s="110"/>
      <c r="J319" s="110"/>
      <c r="K319" s="110"/>
      <c r="L319" s="110"/>
      <c r="M319" s="110"/>
      <c r="N319" s="110"/>
      <c r="O319" s="110"/>
      <c r="P319" s="110"/>
      <c r="Q319" s="39"/>
      <c r="R319" s="39"/>
      <c r="S319" s="39"/>
      <c r="T319" s="39"/>
    </row>
    <row r="320" spans="1:21" ht="25.5" x14ac:dyDescent="0.25">
      <c r="A320" s="148" t="s">
        <v>273</v>
      </c>
      <c r="B320" s="130">
        <v>2007</v>
      </c>
      <c r="C320" s="130">
        <v>2008</v>
      </c>
      <c r="D320" s="130">
        <v>2009</v>
      </c>
      <c r="E320" s="130">
        <v>2010</v>
      </c>
      <c r="F320" s="130">
        <v>2011</v>
      </c>
      <c r="G320" s="130">
        <v>2012</v>
      </c>
      <c r="H320" s="130">
        <v>2013</v>
      </c>
      <c r="I320" s="130">
        <v>2014</v>
      </c>
      <c r="J320" s="130">
        <v>2015</v>
      </c>
      <c r="K320" s="130">
        <v>2016</v>
      </c>
      <c r="L320" s="130">
        <v>2017</v>
      </c>
      <c r="M320" s="130">
        <v>2018</v>
      </c>
      <c r="N320" s="130">
        <v>2019</v>
      </c>
      <c r="O320" s="130">
        <v>2020</v>
      </c>
      <c r="P320" s="130">
        <v>2021</v>
      </c>
      <c r="Q320" s="131" t="s">
        <v>424</v>
      </c>
      <c r="R320" s="131" t="s">
        <v>425</v>
      </c>
      <c r="S320" s="131" t="s">
        <v>426</v>
      </c>
      <c r="T320" s="131" t="s">
        <v>427</v>
      </c>
    </row>
    <row r="321" spans="1:21" x14ac:dyDescent="0.25">
      <c r="A321" s="107" t="s">
        <v>168</v>
      </c>
      <c r="B321" s="113">
        <v>119926</v>
      </c>
      <c r="C321" s="113">
        <v>126795</v>
      </c>
      <c r="D321" s="113">
        <v>143154</v>
      </c>
      <c r="E321" s="113">
        <v>160589</v>
      </c>
      <c r="F321" s="113">
        <v>167448</v>
      </c>
      <c r="G321" s="113">
        <v>171930</v>
      </c>
      <c r="H321" s="113">
        <v>173936</v>
      </c>
      <c r="I321" s="113">
        <v>172801</v>
      </c>
      <c r="J321" s="113">
        <v>170791</v>
      </c>
      <c r="K321" s="113">
        <v>173672</v>
      </c>
      <c r="L321" s="113">
        <v>175005</v>
      </c>
      <c r="M321" s="113">
        <v>178166</v>
      </c>
      <c r="N321" s="113">
        <v>172879</v>
      </c>
      <c r="O321" s="113">
        <v>160196</v>
      </c>
      <c r="P321" s="113">
        <v>169424</v>
      </c>
      <c r="Q321" s="187">
        <f t="shared" ref="Q321:Q323" si="93">(P321-G321)/G321</f>
        <v>-1.4575699412551621E-2</v>
      </c>
      <c r="R321" s="187">
        <f t="shared" ref="R321:R323" si="94">(P321-L321)/L321</f>
        <v>-3.1890517413788178E-2</v>
      </c>
      <c r="S321" s="187">
        <f t="shared" ref="S321:S323" si="95">(P321-O321)/O321</f>
        <v>5.7604434567654621E-2</v>
      </c>
      <c r="T321" s="187">
        <f>P321/P$323</f>
        <v>0.53864226693669148</v>
      </c>
    </row>
    <row r="322" spans="1:21" x14ac:dyDescent="0.25">
      <c r="A322" s="107" t="s">
        <v>169</v>
      </c>
      <c r="B322" s="113">
        <v>123453</v>
      </c>
      <c r="C322" s="113">
        <v>126169</v>
      </c>
      <c r="D322" s="113">
        <v>138493</v>
      </c>
      <c r="E322" s="113">
        <v>154469</v>
      </c>
      <c r="F322" s="113">
        <v>160875</v>
      </c>
      <c r="G322" s="113">
        <v>160898</v>
      </c>
      <c r="H322" s="113">
        <v>169064</v>
      </c>
      <c r="I322" s="113">
        <v>168659</v>
      </c>
      <c r="J322" s="113">
        <v>166968</v>
      </c>
      <c r="K322" s="113">
        <v>164234</v>
      </c>
      <c r="L322" s="113">
        <v>160266</v>
      </c>
      <c r="M322" s="113">
        <v>156725</v>
      </c>
      <c r="N322" s="113">
        <v>157795</v>
      </c>
      <c r="O322" s="113">
        <v>143236</v>
      </c>
      <c r="P322" s="113">
        <v>145115</v>
      </c>
      <c r="Q322" s="187">
        <f t="shared" si="93"/>
        <v>-9.8093201904312047E-2</v>
      </c>
      <c r="R322" s="187">
        <f t="shared" si="94"/>
        <v>-9.4536582930877411E-2</v>
      </c>
      <c r="S322" s="187">
        <f t="shared" si="95"/>
        <v>1.3118210505738781E-2</v>
      </c>
      <c r="T322" s="187">
        <f>P322/P$323</f>
        <v>0.46135773306330852</v>
      </c>
    </row>
    <row r="323" spans="1:21" x14ac:dyDescent="0.25">
      <c r="A323" s="112" t="s">
        <v>0</v>
      </c>
      <c r="B323" s="2">
        <v>243379</v>
      </c>
      <c r="C323" s="2">
        <v>252964</v>
      </c>
      <c r="D323" s="2">
        <v>281647</v>
      </c>
      <c r="E323" s="2">
        <v>315058</v>
      </c>
      <c r="F323" s="2">
        <v>328323</v>
      </c>
      <c r="G323" s="2">
        <v>332828</v>
      </c>
      <c r="H323" s="2">
        <v>343000</v>
      </c>
      <c r="I323" s="2">
        <v>341460</v>
      </c>
      <c r="J323" s="2">
        <v>337759</v>
      </c>
      <c r="K323" s="2">
        <v>337906</v>
      </c>
      <c r="L323" s="2">
        <v>335271</v>
      </c>
      <c r="M323" s="2">
        <v>334891</v>
      </c>
      <c r="N323" s="2">
        <v>330674</v>
      </c>
      <c r="O323" s="2">
        <v>303432</v>
      </c>
      <c r="P323" s="2">
        <v>314539</v>
      </c>
      <c r="Q323" s="188">
        <f t="shared" si="93"/>
        <v>-5.4950304661867393E-2</v>
      </c>
      <c r="R323" s="188">
        <f t="shared" si="94"/>
        <v>-6.1836544168747072E-2</v>
      </c>
      <c r="S323" s="188">
        <f t="shared" si="95"/>
        <v>3.6604576972764903E-2</v>
      </c>
      <c r="T323" s="188">
        <f>SUM(T321:T322)</f>
        <v>1</v>
      </c>
    </row>
    <row r="324" spans="1:21" x14ac:dyDescent="0.25">
      <c r="A324" s="110"/>
      <c r="B324" s="110"/>
      <c r="C324" s="110"/>
      <c r="D324" s="110"/>
      <c r="E324" s="110"/>
      <c r="F324" s="110"/>
      <c r="G324" s="110"/>
      <c r="H324" s="110"/>
      <c r="Q324" s="40"/>
      <c r="R324" s="39"/>
      <c r="S324" s="39"/>
      <c r="T324" s="39"/>
    </row>
    <row r="325" spans="1:21" ht="15.75" x14ac:dyDescent="0.25">
      <c r="A325" s="27" t="s">
        <v>164</v>
      </c>
      <c r="B325" s="27"/>
      <c r="C325" s="27"/>
      <c r="D325" s="27"/>
      <c r="E325" s="27"/>
      <c r="F325" s="27"/>
      <c r="G325" s="27"/>
      <c r="H325" s="27"/>
      <c r="I325" s="110"/>
      <c r="J325" s="110"/>
      <c r="K325" s="110"/>
      <c r="L325" s="110"/>
      <c r="M325" s="110"/>
      <c r="N325" s="110"/>
      <c r="O325" s="110"/>
      <c r="P325" s="110"/>
      <c r="Q325" s="39"/>
      <c r="R325" s="39"/>
      <c r="S325" s="39"/>
      <c r="T325" s="39"/>
      <c r="U325" s="53"/>
    </row>
    <row r="326" spans="1:21" ht="30" customHeight="1" x14ac:dyDescent="0.25">
      <c r="A326" s="148" t="s">
        <v>273</v>
      </c>
      <c r="B326" s="130">
        <v>2007</v>
      </c>
      <c r="C326" s="130">
        <v>2008</v>
      </c>
      <c r="D326" s="130">
        <v>2009</v>
      </c>
      <c r="E326" s="130">
        <v>2010</v>
      </c>
      <c r="F326" s="130">
        <v>2011</v>
      </c>
      <c r="G326" s="130">
        <v>2012</v>
      </c>
      <c r="H326" s="130">
        <v>2013</v>
      </c>
      <c r="I326" s="130">
        <v>2014</v>
      </c>
      <c r="J326" s="130">
        <v>2015</v>
      </c>
      <c r="K326" s="130">
        <v>2016</v>
      </c>
      <c r="L326" s="130">
        <v>2017</v>
      </c>
      <c r="M326" s="130">
        <v>2018</v>
      </c>
      <c r="N326" s="130">
        <v>2019</v>
      </c>
      <c r="O326" s="130">
        <v>2020</v>
      </c>
      <c r="P326" s="130">
        <v>2021</v>
      </c>
      <c r="Q326" s="131" t="s">
        <v>424</v>
      </c>
      <c r="R326" s="131" t="s">
        <v>425</v>
      </c>
      <c r="S326" s="131" t="s">
        <v>426</v>
      </c>
      <c r="T326" s="131" t="s">
        <v>427</v>
      </c>
    </row>
    <row r="327" spans="1:21" x14ac:dyDescent="0.25">
      <c r="A327" s="107" t="s">
        <v>168</v>
      </c>
      <c r="B327" s="113">
        <v>44257</v>
      </c>
      <c r="C327" s="113">
        <v>49204</v>
      </c>
      <c r="D327" s="113">
        <v>58062</v>
      </c>
      <c r="E327" s="113">
        <v>68358</v>
      </c>
      <c r="F327" s="113">
        <v>73482</v>
      </c>
      <c r="G327" s="113">
        <v>74691</v>
      </c>
      <c r="H327" s="113">
        <v>76203</v>
      </c>
      <c r="I327" s="113">
        <v>77533</v>
      </c>
      <c r="J327" s="113">
        <v>75945</v>
      </c>
      <c r="K327" s="113">
        <v>73936</v>
      </c>
      <c r="L327" s="113">
        <v>71873</v>
      </c>
      <c r="M327" s="113">
        <v>72646</v>
      </c>
      <c r="N327" s="113">
        <v>73796</v>
      </c>
      <c r="O327" s="113">
        <v>71493</v>
      </c>
      <c r="P327" s="113">
        <v>77789</v>
      </c>
      <c r="Q327" s="187">
        <f t="shared" ref="Q327:Q329" si="96">(P327-G327)/G327</f>
        <v>4.1477554189929176E-2</v>
      </c>
      <c r="R327" s="187">
        <f t="shared" ref="R327:R329" si="97">(P327-L327)/L327</f>
        <v>8.231185563424373E-2</v>
      </c>
      <c r="S327" s="187">
        <f t="shared" ref="S327:S329" si="98">(P327-O327)/O327</f>
        <v>8.8064565761682964E-2</v>
      </c>
      <c r="T327" s="187">
        <f>P327/P$329</f>
        <v>0.57837407803949559</v>
      </c>
      <c r="U327" s="53"/>
    </row>
    <row r="328" spans="1:21" x14ac:dyDescent="0.25">
      <c r="A328" s="107" t="s">
        <v>169</v>
      </c>
      <c r="B328" s="113">
        <v>42581</v>
      </c>
      <c r="C328" s="113">
        <v>46687</v>
      </c>
      <c r="D328" s="113">
        <v>51945</v>
      </c>
      <c r="E328" s="113">
        <v>60208</v>
      </c>
      <c r="F328" s="113">
        <v>65092</v>
      </c>
      <c r="G328" s="113">
        <v>65340</v>
      </c>
      <c r="H328" s="113">
        <v>68162</v>
      </c>
      <c r="I328" s="113">
        <v>70477</v>
      </c>
      <c r="J328" s="113">
        <v>70595</v>
      </c>
      <c r="K328" s="113">
        <v>67775</v>
      </c>
      <c r="L328" s="113">
        <v>64904</v>
      </c>
      <c r="M328" s="113">
        <v>64084</v>
      </c>
      <c r="N328" s="113">
        <v>64144</v>
      </c>
      <c r="O328" s="113">
        <v>58852</v>
      </c>
      <c r="P328" s="113">
        <v>56707</v>
      </c>
      <c r="Q328" s="187">
        <f t="shared" si="96"/>
        <v>-0.13212427303336394</v>
      </c>
      <c r="R328" s="187">
        <f t="shared" si="97"/>
        <v>-0.1262942191544435</v>
      </c>
      <c r="S328" s="187">
        <f t="shared" si="98"/>
        <v>-3.6447359478012642E-2</v>
      </c>
      <c r="T328" s="187">
        <f>P328/P$329</f>
        <v>0.42162592196050441</v>
      </c>
    </row>
    <row r="329" spans="1:21" s="52" customFormat="1" x14ac:dyDescent="0.25">
      <c r="A329" s="112" t="s">
        <v>0</v>
      </c>
      <c r="B329" s="2">
        <v>86838</v>
      </c>
      <c r="C329" s="2">
        <v>95891</v>
      </c>
      <c r="D329" s="2">
        <v>110007</v>
      </c>
      <c r="E329" s="2">
        <v>128566</v>
      </c>
      <c r="F329" s="2">
        <v>138574</v>
      </c>
      <c r="G329" s="2">
        <v>140031</v>
      </c>
      <c r="H329" s="2">
        <v>144365</v>
      </c>
      <c r="I329" s="2">
        <v>148010</v>
      </c>
      <c r="J329" s="2">
        <v>146540</v>
      </c>
      <c r="K329" s="2">
        <v>141711</v>
      </c>
      <c r="L329" s="2">
        <v>136777</v>
      </c>
      <c r="M329" s="2">
        <v>136730</v>
      </c>
      <c r="N329" s="2">
        <v>137940</v>
      </c>
      <c r="O329" s="2">
        <v>130345</v>
      </c>
      <c r="P329" s="2">
        <v>134496</v>
      </c>
      <c r="Q329" s="188">
        <f t="shared" si="96"/>
        <v>-3.9526961887010735E-2</v>
      </c>
      <c r="R329" s="188">
        <f t="shared" si="97"/>
        <v>-1.6676780452853916E-2</v>
      </c>
      <c r="S329" s="188">
        <f t="shared" si="98"/>
        <v>3.1846254171621464E-2</v>
      </c>
      <c r="T329" s="188">
        <f>SUM(T327:T328)</f>
        <v>1</v>
      </c>
      <c r="U329" s="53"/>
    </row>
    <row r="330" spans="1:21" x14ac:dyDescent="0.25">
      <c r="A330" s="110"/>
      <c r="B330" s="110"/>
      <c r="C330" s="110"/>
      <c r="D330" s="110"/>
      <c r="E330" s="110"/>
      <c r="F330" s="110"/>
      <c r="G330" s="110"/>
      <c r="H330" s="110"/>
      <c r="I330" s="110"/>
      <c r="J330" s="110"/>
      <c r="K330" s="110"/>
      <c r="L330" s="110"/>
      <c r="M330" s="110"/>
      <c r="N330" s="110"/>
      <c r="O330" s="110"/>
      <c r="P330" s="110"/>
      <c r="Q330" s="39"/>
      <c r="R330" s="39"/>
      <c r="S330" s="39"/>
      <c r="T330" s="39"/>
    </row>
    <row r="331" spans="1:21" ht="18" x14ac:dyDescent="0.25">
      <c r="A331" s="27" t="s">
        <v>443</v>
      </c>
      <c r="B331" s="27"/>
      <c r="C331" s="27"/>
      <c r="D331" s="27"/>
      <c r="E331" s="27"/>
      <c r="F331" s="27"/>
      <c r="G331" s="27"/>
      <c r="H331" s="27"/>
      <c r="I331" s="110"/>
      <c r="J331" s="110"/>
      <c r="K331" s="110"/>
      <c r="L331" s="110"/>
      <c r="M331" s="110"/>
      <c r="N331" s="110"/>
      <c r="O331" s="110"/>
      <c r="P331" s="110"/>
      <c r="Q331" s="39"/>
      <c r="R331" s="39"/>
      <c r="S331" s="39"/>
      <c r="T331" s="39"/>
    </row>
    <row r="332" spans="1:21" ht="25.5" x14ac:dyDescent="0.25">
      <c r="A332" s="148" t="s">
        <v>273</v>
      </c>
      <c r="B332" s="130">
        <v>2007</v>
      </c>
      <c r="C332" s="130">
        <v>2008</v>
      </c>
      <c r="D332" s="130">
        <v>2009</v>
      </c>
      <c r="E332" s="130">
        <v>2010</v>
      </c>
      <c r="F332" s="130">
        <v>2011</v>
      </c>
      <c r="G332" s="130">
        <v>2012</v>
      </c>
      <c r="H332" s="130">
        <v>2013</v>
      </c>
      <c r="I332" s="130">
        <v>2014</v>
      </c>
      <c r="J332" s="130">
        <v>2015</v>
      </c>
      <c r="K332" s="130">
        <v>2016</v>
      </c>
      <c r="L332" s="130">
        <v>2017</v>
      </c>
      <c r="M332" s="130">
        <v>2018</v>
      </c>
      <c r="N332" s="130">
        <v>2019</v>
      </c>
      <c r="O332" s="130">
        <v>2020</v>
      </c>
      <c r="P332" s="130">
        <v>2021</v>
      </c>
      <c r="Q332" s="131" t="s">
        <v>424</v>
      </c>
      <c r="R332" s="131" t="s">
        <v>425</v>
      </c>
      <c r="S332" s="131" t="s">
        <v>426</v>
      </c>
      <c r="T332" s="131" t="s">
        <v>427</v>
      </c>
    </row>
    <row r="333" spans="1:21" x14ac:dyDescent="0.25">
      <c r="A333" s="107" t="s">
        <v>168</v>
      </c>
      <c r="B333" s="113">
        <v>22154</v>
      </c>
      <c r="C333" s="113">
        <v>23582</v>
      </c>
      <c r="D333" s="113">
        <v>27657</v>
      </c>
      <c r="E333" s="113">
        <v>32532</v>
      </c>
      <c r="F333" s="113">
        <v>33020</v>
      </c>
      <c r="G333" s="113">
        <v>32493</v>
      </c>
      <c r="H333" s="113">
        <v>32724</v>
      </c>
      <c r="I333" s="113">
        <v>33290</v>
      </c>
      <c r="J333" s="113">
        <v>31760</v>
      </c>
      <c r="K333" s="113">
        <v>29634</v>
      </c>
      <c r="L333" s="113">
        <v>30307</v>
      </c>
      <c r="M333" s="113">
        <v>30547</v>
      </c>
      <c r="N333" s="113">
        <v>31517</v>
      </c>
      <c r="O333" s="113">
        <v>29771</v>
      </c>
      <c r="P333" s="113">
        <v>32941</v>
      </c>
      <c r="Q333" s="187">
        <f t="shared" ref="Q333:Q335" si="99">(P333-G333)/G333</f>
        <v>1.3787585018311637E-2</v>
      </c>
      <c r="R333" s="187">
        <f t="shared" ref="R333:R335" si="100">(P333-L333)/L333</f>
        <v>8.6910614709473061E-2</v>
      </c>
      <c r="S333" s="187">
        <f t="shared" ref="S333:S335" si="101">(P333-O333)/O333</f>
        <v>0.10647945987706157</v>
      </c>
      <c r="T333" s="187">
        <f>P333/P$335</f>
        <v>0.56489007785437462</v>
      </c>
    </row>
    <row r="334" spans="1:21" x14ac:dyDescent="0.25">
      <c r="A334" s="107" t="s">
        <v>169</v>
      </c>
      <c r="B334" s="113">
        <v>21758</v>
      </c>
      <c r="C334" s="113">
        <v>23474</v>
      </c>
      <c r="D334" s="113">
        <v>25545</v>
      </c>
      <c r="E334" s="113">
        <v>30583</v>
      </c>
      <c r="F334" s="113">
        <v>31015</v>
      </c>
      <c r="G334" s="113">
        <v>30091</v>
      </c>
      <c r="H334" s="113">
        <v>32000</v>
      </c>
      <c r="I334" s="113">
        <v>32651</v>
      </c>
      <c r="J334" s="113">
        <v>31791</v>
      </c>
      <c r="K334" s="113">
        <v>29789</v>
      </c>
      <c r="L334" s="113">
        <v>29727</v>
      </c>
      <c r="M334" s="113">
        <v>28657</v>
      </c>
      <c r="N334" s="113">
        <v>29410</v>
      </c>
      <c r="O334" s="113">
        <v>26395</v>
      </c>
      <c r="P334" s="113">
        <v>25373</v>
      </c>
      <c r="Q334" s="187">
        <f t="shared" si="99"/>
        <v>-0.15679106709647403</v>
      </c>
      <c r="R334" s="187">
        <f t="shared" si="100"/>
        <v>-0.14646617553066235</v>
      </c>
      <c r="S334" s="187">
        <f t="shared" si="101"/>
        <v>-3.8719454442129188E-2</v>
      </c>
      <c r="T334" s="187">
        <f>P334/P$335</f>
        <v>0.43510992214562538</v>
      </c>
    </row>
    <row r="335" spans="1:21" x14ac:dyDescent="0.25">
      <c r="A335" s="112" t="s">
        <v>0</v>
      </c>
      <c r="B335" s="2">
        <v>43912</v>
      </c>
      <c r="C335" s="2">
        <v>47056</v>
      </c>
      <c r="D335" s="2">
        <v>53202</v>
      </c>
      <c r="E335" s="2">
        <v>63115</v>
      </c>
      <c r="F335" s="2">
        <v>64035</v>
      </c>
      <c r="G335" s="2">
        <v>62584</v>
      </c>
      <c r="H335" s="2">
        <v>64724</v>
      </c>
      <c r="I335" s="2">
        <v>65941</v>
      </c>
      <c r="J335" s="2">
        <v>63551</v>
      </c>
      <c r="K335" s="2">
        <v>59423</v>
      </c>
      <c r="L335" s="2">
        <v>60034</v>
      </c>
      <c r="M335" s="2">
        <v>59204</v>
      </c>
      <c r="N335" s="2">
        <v>60927</v>
      </c>
      <c r="O335" s="2">
        <v>56166</v>
      </c>
      <c r="P335" s="2">
        <v>58314</v>
      </c>
      <c r="Q335" s="188">
        <f t="shared" si="99"/>
        <v>-6.822830116323661E-2</v>
      </c>
      <c r="R335" s="188">
        <f t="shared" si="100"/>
        <v>-2.8650431422194089E-2</v>
      </c>
      <c r="S335" s="188">
        <f t="shared" si="101"/>
        <v>3.8243777374212154E-2</v>
      </c>
      <c r="T335" s="188">
        <f>SUM(T333:T334)</f>
        <v>1</v>
      </c>
    </row>
    <row r="336" spans="1:21" x14ac:dyDescent="0.25">
      <c r="A336" s="127"/>
      <c r="B336" s="128"/>
      <c r="C336" s="128"/>
      <c r="D336" s="128"/>
      <c r="E336" s="128"/>
      <c r="F336" s="128"/>
      <c r="G336" s="128"/>
      <c r="H336" s="128"/>
      <c r="I336" s="128"/>
      <c r="J336" s="128"/>
      <c r="K336" s="128"/>
      <c r="L336" s="128"/>
      <c r="M336" s="128"/>
      <c r="N336" s="128"/>
      <c r="O336" s="128"/>
      <c r="P336" s="128"/>
      <c r="Q336" s="61"/>
      <c r="R336" s="61"/>
      <c r="S336" s="61"/>
      <c r="T336" s="39"/>
    </row>
    <row r="337" spans="1:21" ht="15.75" x14ac:dyDescent="0.25">
      <c r="A337" s="27" t="s">
        <v>165</v>
      </c>
      <c r="B337" s="27"/>
      <c r="C337" s="27"/>
      <c r="D337" s="27"/>
      <c r="E337" s="27"/>
      <c r="F337" s="27"/>
      <c r="G337" s="27"/>
      <c r="H337" s="27"/>
      <c r="I337" s="110"/>
      <c r="J337" s="110"/>
      <c r="K337" s="110"/>
      <c r="L337" s="110"/>
      <c r="M337" s="110"/>
      <c r="N337" s="110"/>
      <c r="O337" s="110"/>
      <c r="P337" s="110"/>
      <c r="Q337" s="39"/>
      <c r="R337" s="39"/>
      <c r="S337" s="39"/>
      <c r="T337" s="39"/>
      <c r="U337" s="53"/>
    </row>
    <row r="338" spans="1:21" ht="30" customHeight="1" x14ac:dyDescent="0.25">
      <c r="A338" s="148" t="s">
        <v>273</v>
      </c>
      <c r="B338" s="130">
        <v>2007</v>
      </c>
      <c r="C338" s="130">
        <v>2008</v>
      </c>
      <c r="D338" s="130">
        <v>2009</v>
      </c>
      <c r="E338" s="130">
        <v>2010</v>
      </c>
      <c r="F338" s="130">
        <v>2011</v>
      </c>
      <c r="G338" s="130">
        <v>2012</v>
      </c>
      <c r="H338" s="130">
        <v>2013</v>
      </c>
      <c r="I338" s="130">
        <v>2014</v>
      </c>
      <c r="J338" s="130">
        <v>2015</v>
      </c>
      <c r="K338" s="130">
        <v>2016</v>
      </c>
      <c r="L338" s="130">
        <v>2017</v>
      </c>
      <c r="M338" s="130">
        <v>2018</v>
      </c>
      <c r="N338" s="130">
        <v>2019</v>
      </c>
      <c r="O338" s="130">
        <v>2020</v>
      </c>
      <c r="P338" s="130">
        <v>2021</v>
      </c>
      <c r="Q338" s="131" t="s">
        <v>424</v>
      </c>
      <c r="R338" s="131" t="s">
        <v>425</v>
      </c>
      <c r="S338" s="131" t="s">
        <v>426</v>
      </c>
      <c r="T338" s="131" t="s">
        <v>427</v>
      </c>
    </row>
    <row r="339" spans="1:21" x14ac:dyDescent="0.25">
      <c r="A339" s="107" t="s">
        <v>168</v>
      </c>
      <c r="B339" s="113">
        <v>67731</v>
      </c>
      <c r="C339" s="113">
        <v>74347</v>
      </c>
      <c r="D339" s="113">
        <v>90107</v>
      </c>
      <c r="E339" s="113">
        <v>108362</v>
      </c>
      <c r="F339" s="113">
        <v>127935</v>
      </c>
      <c r="G339" s="113">
        <v>146289</v>
      </c>
      <c r="H339" s="113">
        <v>162242</v>
      </c>
      <c r="I339" s="113">
        <v>176433</v>
      </c>
      <c r="J339" s="113">
        <v>186190</v>
      </c>
      <c r="K339" s="113">
        <v>190303</v>
      </c>
      <c r="L339" s="113">
        <v>188028</v>
      </c>
      <c r="M339" s="113">
        <v>187329</v>
      </c>
      <c r="N339" s="113">
        <v>190314</v>
      </c>
      <c r="O339" s="113">
        <v>181999</v>
      </c>
      <c r="P339" s="113">
        <v>192599</v>
      </c>
      <c r="Q339" s="187">
        <f t="shared" ref="Q339:Q341" si="102">(P339-G339)/G339</f>
        <v>0.3165651552748327</v>
      </c>
      <c r="R339" s="187">
        <f t="shared" ref="R339:R341" si="103">(P339-L339)/L339</f>
        <v>2.4310209117790967E-2</v>
      </c>
      <c r="S339" s="187">
        <f t="shared" ref="S339:S341" si="104">(P339-O339)/O339</f>
        <v>5.8242078253177218E-2</v>
      </c>
      <c r="T339" s="187">
        <f>P339/P$341</f>
        <v>0.50879700320707566</v>
      </c>
      <c r="U339" s="53"/>
    </row>
    <row r="340" spans="1:21" x14ac:dyDescent="0.25">
      <c r="A340" s="107" t="s">
        <v>169</v>
      </c>
      <c r="B340" s="113">
        <v>88393</v>
      </c>
      <c r="C340" s="113">
        <v>88501</v>
      </c>
      <c r="D340" s="113">
        <v>99490</v>
      </c>
      <c r="E340" s="113">
        <v>115939</v>
      </c>
      <c r="F340" s="113">
        <v>132757</v>
      </c>
      <c r="G340" s="113">
        <v>147230</v>
      </c>
      <c r="H340" s="113">
        <v>162337</v>
      </c>
      <c r="I340" s="113">
        <v>174571</v>
      </c>
      <c r="J340" s="113">
        <v>186981</v>
      </c>
      <c r="K340" s="113">
        <v>190685</v>
      </c>
      <c r="L340" s="113">
        <v>186681</v>
      </c>
      <c r="M340" s="113">
        <v>185775</v>
      </c>
      <c r="N340" s="113">
        <v>189142</v>
      </c>
      <c r="O340" s="113">
        <v>179388</v>
      </c>
      <c r="P340" s="113">
        <v>185939</v>
      </c>
      <c r="Q340" s="187">
        <f t="shared" si="102"/>
        <v>0.26291516674590776</v>
      </c>
      <c r="R340" s="187">
        <f t="shared" si="103"/>
        <v>-3.974694800220697E-3</v>
      </c>
      <c r="S340" s="187">
        <f t="shared" si="104"/>
        <v>3.6518607710660692E-2</v>
      </c>
      <c r="T340" s="187">
        <f>P340/P$341</f>
        <v>0.49120299679292434</v>
      </c>
    </row>
    <row r="341" spans="1:21" s="52" customFormat="1" x14ac:dyDescent="0.25">
      <c r="A341" s="112" t="s">
        <v>0</v>
      </c>
      <c r="B341" s="2">
        <v>156124</v>
      </c>
      <c r="C341" s="2">
        <v>162848</v>
      </c>
      <c r="D341" s="2">
        <v>189597</v>
      </c>
      <c r="E341" s="2">
        <v>224301</v>
      </c>
      <c r="F341" s="2">
        <v>260692</v>
      </c>
      <c r="G341" s="2">
        <v>293519</v>
      </c>
      <c r="H341" s="2">
        <v>324579</v>
      </c>
      <c r="I341" s="2">
        <v>351004</v>
      </c>
      <c r="J341" s="2">
        <v>373171</v>
      </c>
      <c r="K341" s="2">
        <v>380988</v>
      </c>
      <c r="L341" s="2">
        <v>374709</v>
      </c>
      <c r="M341" s="2">
        <v>373104</v>
      </c>
      <c r="N341" s="2">
        <v>379456</v>
      </c>
      <c r="O341" s="2">
        <v>361387</v>
      </c>
      <c r="P341" s="2">
        <v>378538</v>
      </c>
      <c r="Q341" s="188">
        <f t="shared" si="102"/>
        <v>0.28965416208150069</v>
      </c>
      <c r="R341" s="188">
        <f t="shared" si="103"/>
        <v>1.0218596297393443E-2</v>
      </c>
      <c r="S341" s="188">
        <f t="shared" si="104"/>
        <v>4.7458818385830145E-2</v>
      </c>
      <c r="T341" s="188">
        <f>SUM(T339:T340)</f>
        <v>1</v>
      </c>
      <c r="U341" s="53"/>
    </row>
    <row r="342" spans="1:21" x14ac:dyDescent="0.25">
      <c r="A342" s="110"/>
      <c r="B342" s="110"/>
      <c r="C342" s="110"/>
      <c r="D342" s="110"/>
      <c r="E342" s="110"/>
      <c r="F342" s="110"/>
      <c r="G342" s="110"/>
      <c r="H342" s="110"/>
      <c r="I342" s="110"/>
      <c r="J342" s="110"/>
      <c r="K342" s="110"/>
      <c r="L342" s="110"/>
      <c r="M342" s="110"/>
      <c r="N342" s="110"/>
      <c r="O342" s="110"/>
      <c r="P342" s="110"/>
      <c r="Q342" s="39"/>
      <c r="R342" s="39"/>
      <c r="S342" s="39"/>
      <c r="T342" s="39"/>
    </row>
    <row r="343" spans="1:21" ht="18" x14ac:dyDescent="0.25">
      <c r="A343" s="27" t="s">
        <v>444</v>
      </c>
      <c r="B343" s="27"/>
      <c r="C343" s="27"/>
      <c r="D343" s="27"/>
      <c r="E343" s="27"/>
      <c r="F343" s="27"/>
      <c r="G343" s="27"/>
      <c r="H343" s="27"/>
      <c r="I343" s="110"/>
      <c r="J343" s="110"/>
      <c r="K343" s="110"/>
      <c r="L343" s="110"/>
      <c r="M343" s="110"/>
      <c r="N343" s="110"/>
      <c r="O343" s="110"/>
      <c r="P343" s="110"/>
      <c r="Q343" s="39"/>
      <c r="R343" s="39"/>
      <c r="S343" s="39"/>
      <c r="T343" s="39"/>
    </row>
    <row r="344" spans="1:21" ht="25.5" x14ac:dyDescent="0.25">
      <c r="A344" s="148" t="s">
        <v>273</v>
      </c>
      <c r="B344" s="130">
        <v>2007</v>
      </c>
      <c r="C344" s="130">
        <v>2008</v>
      </c>
      <c r="D344" s="130">
        <v>2009</v>
      </c>
      <c r="E344" s="130">
        <v>2010</v>
      </c>
      <c r="F344" s="130">
        <v>2011</v>
      </c>
      <c r="G344" s="130">
        <v>2012</v>
      </c>
      <c r="H344" s="130">
        <v>2013</v>
      </c>
      <c r="I344" s="130">
        <v>2014</v>
      </c>
      <c r="J344" s="130">
        <v>2015</v>
      </c>
      <c r="K344" s="130">
        <v>2016</v>
      </c>
      <c r="L344" s="130">
        <v>2017</v>
      </c>
      <c r="M344" s="130">
        <v>2018</v>
      </c>
      <c r="N344" s="130">
        <v>2019</v>
      </c>
      <c r="O344" s="130">
        <v>2020</v>
      </c>
      <c r="P344" s="130">
        <v>2021</v>
      </c>
      <c r="Q344" s="131" t="s">
        <v>424</v>
      </c>
      <c r="R344" s="131" t="s">
        <v>425</v>
      </c>
      <c r="S344" s="131" t="s">
        <v>426</v>
      </c>
      <c r="T344" s="131" t="s">
        <v>427</v>
      </c>
    </row>
    <row r="345" spans="1:21" x14ac:dyDescent="0.25">
      <c r="A345" s="107" t="s">
        <v>168</v>
      </c>
      <c r="B345" s="113">
        <v>31723</v>
      </c>
      <c r="C345" s="113">
        <v>33451</v>
      </c>
      <c r="D345" s="113">
        <v>40158</v>
      </c>
      <c r="E345" s="113">
        <v>47449</v>
      </c>
      <c r="F345" s="113">
        <v>53108</v>
      </c>
      <c r="G345" s="113">
        <v>56870</v>
      </c>
      <c r="H345" s="113">
        <v>62984</v>
      </c>
      <c r="I345" s="113">
        <v>63557</v>
      </c>
      <c r="J345" s="113">
        <v>61145</v>
      </c>
      <c r="K345" s="113">
        <v>61279</v>
      </c>
      <c r="L345" s="113">
        <v>60829</v>
      </c>
      <c r="M345" s="113">
        <v>63585</v>
      </c>
      <c r="N345" s="113">
        <v>62287</v>
      </c>
      <c r="O345" s="113">
        <v>55463</v>
      </c>
      <c r="P345" s="113">
        <v>61505</v>
      </c>
      <c r="Q345" s="187">
        <f>(P345-G345)/G345</f>
        <v>8.1501670476525415E-2</v>
      </c>
      <c r="R345" s="187">
        <f>(P345-L345)/L345</f>
        <v>1.111312038665768E-2</v>
      </c>
      <c r="S345" s="187">
        <f>(P345-O345)/O345</f>
        <v>0.1089374898581036</v>
      </c>
      <c r="T345" s="187">
        <f>P345/P$347</f>
        <v>0.50828058112820851</v>
      </c>
    </row>
    <row r="346" spans="1:21" x14ac:dyDescent="0.25">
      <c r="A346" s="107" t="s">
        <v>169</v>
      </c>
      <c r="B346" s="113">
        <v>36405</v>
      </c>
      <c r="C346" s="113">
        <v>35261</v>
      </c>
      <c r="D346" s="113">
        <v>41024</v>
      </c>
      <c r="E346" s="113">
        <v>47737</v>
      </c>
      <c r="F346" s="113">
        <v>52454</v>
      </c>
      <c r="G346" s="113">
        <v>54913</v>
      </c>
      <c r="H346" s="113">
        <v>63280</v>
      </c>
      <c r="I346" s="113">
        <v>64786</v>
      </c>
      <c r="J346" s="113">
        <v>63235</v>
      </c>
      <c r="K346" s="113">
        <v>61941</v>
      </c>
      <c r="L346" s="113">
        <v>58828</v>
      </c>
      <c r="M346" s="113">
        <v>57921</v>
      </c>
      <c r="N346" s="113">
        <v>59607</v>
      </c>
      <c r="O346" s="113">
        <v>54154</v>
      </c>
      <c r="P346" s="113">
        <v>59501</v>
      </c>
      <c r="Q346" s="187">
        <f t="shared" ref="Q346:Q347" si="105">(P346-G346)/G346</f>
        <v>8.3550343270263866E-2</v>
      </c>
      <c r="R346" s="187">
        <f t="shared" ref="R346:R347" si="106">(P346-L346)/L346</f>
        <v>1.1440130550078195E-2</v>
      </c>
      <c r="S346" s="187">
        <f t="shared" ref="S346:S347" si="107">(P346-O346)/O346</f>
        <v>9.873693540643351E-2</v>
      </c>
      <c r="T346" s="187">
        <f>P346/P$347</f>
        <v>0.49171941887179149</v>
      </c>
    </row>
    <row r="347" spans="1:21" x14ac:dyDescent="0.25">
      <c r="A347" s="112" t="s">
        <v>0</v>
      </c>
      <c r="B347" s="2">
        <v>68128</v>
      </c>
      <c r="C347" s="2">
        <v>68712</v>
      </c>
      <c r="D347" s="2">
        <v>81182</v>
      </c>
      <c r="E347" s="2">
        <v>95186</v>
      </c>
      <c r="F347" s="2">
        <v>105562</v>
      </c>
      <c r="G347" s="2">
        <v>111783</v>
      </c>
      <c r="H347" s="2">
        <v>126264</v>
      </c>
      <c r="I347" s="2">
        <v>128343</v>
      </c>
      <c r="J347" s="2">
        <v>124380</v>
      </c>
      <c r="K347" s="2">
        <v>123220</v>
      </c>
      <c r="L347" s="2">
        <v>119657</v>
      </c>
      <c r="M347" s="2">
        <v>121506</v>
      </c>
      <c r="N347" s="2">
        <v>121894</v>
      </c>
      <c r="O347" s="2">
        <v>109617</v>
      </c>
      <c r="P347" s="2">
        <v>121006</v>
      </c>
      <c r="Q347" s="188">
        <f t="shared" si="105"/>
        <v>8.2508073678466312E-2</v>
      </c>
      <c r="R347" s="188">
        <f t="shared" si="106"/>
        <v>1.1273891205696282E-2</v>
      </c>
      <c r="S347" s="188">
        <f t="shared" si="107"/>
        <v>0.10389811799264713</v>
      </c>
      <c r="T347" s="188">
        <f>SUM(T345:T346)</f>
        <v>1</v>
      </c>
    </row>
    <row r="348" spans="1:21" x14ac:dyDescent="0.25">
      <c r="A348" s="127"/>
      <c r="B348" s="128"/>
      <c r="C348" s="128"/>
      <c r="D348" s="128"/>
      <c r="E348" s="128"/>
      <c r="F348" s="128"/>
      <c r="G348" s="128"/>
      <c r="H348" s="128"/>
      <c r="I348" s="128"/>
      <c r="J348" s="128"/>
      <c r="K348" s="128"/>
      <c r="L348" s="128"/>
      <c r="M348" s="128"/>
      <c r="N348" s="128"/>
      <c r="O348" s="128"/>
      <c r="P348" s="128"/>
      <c r="Q348" s="61"/>
      <c r="R348" s="61"/>
      <c r="S348" s="61"/>
      <c r="T348" s="61"/>
    </row>
    <row r="349" spans="1:21" ht="15.75" x14ac:dyDescent="0.25">
      <c r="A349" s="27" t="s">
        <v>166</v>
      </c>
      <c r="B349" s="27"/>
      <c r="C349" s="27"/>
      <c r="D349" s="27"/>
      <c r="E349" s="27"/>
      <c r="F349" s="27"/>
      <c r="G349" s="27"/>
      <c r="H349" s="27"/>
      <c r="I349" s="110"/>
      <c r="J349" s="110"/>
      <c r="K349" s="110"/>
      <c r="L349" s="110"/>
      <c r="M349" s="110"/>
      <c r="N349" s="110"/>
      <c r="O349" s="110"/>
      <c r="P349" s="110"/>
      <c r="Q349" s="39"/>
      <c r="R349" s="39"/>
      <c r="S349" s="39"/>
      <c r="T349" s="39"/>
      <c r="U349" s="53"/>
    </row>
    <row r="350" spans="1:21" ht="30" customHeight="1" x14ac:dyDescent="0.25">
      <c r="A350" s="148" t="s">
        <v>273</v>
      </c>
      <c r="B350" s="130">
        <v>2007</v>
      </c>
      <c r="C350" s="130">
        <v>2008</v>
      </c>
      <c r="D350" s="130">
        <v>2009</v>
      </c>
      <c r="E350" s="130">
        <v>2010</v>
      </c>
      <c r="F350" s="130">
        <v>2011</v>
      </c>
      <c r="G350" s="130">
        <v>2012</v>
      </c>
      <c r="H350" s="130">
        <v>2013</v>
      </c>
      <c r="I350" s="130">
        <v>2014</v>
      </c>
      <c r="J350" s="130">
        <v>2015</v>
      </c>
      <c r="K350" s="130">
        <v>2016</v>
      </c>
      <c r="L350" s="130">
        <v>2017</v>
      </c>
      <c r="M350" s="130">
        <v>2018</v>
      </c>
      <c r="N350" s="130">
        <v>2019</v>
      </c>
      <c r="O350" s="130">
        <v>2020</v>
      </c>
      <c r="P350" s="130">
        <v>2021</v>
      </c>
      <c r="Q350" s="131" t="s">
        <v>424</v>
      </c>
      <c r="R350" s="131" t="s">
        <v>425</v>
      </c>
      <c r="S350" s="131" t="s">
        <v>426</v>
      </c>
      <c r="T350" s="131" t="s">
        <v>427</v>
      </c>
    </row>
    <row r="351" spans="1:21" x14ac:dyDescent="0.25">
      <c r="A351" s="107" t="s">
        <v>168</v>
      </c>
      <c r="B351" s="113">
        <v>259137</v>
      </c>
      <c r="C351" s="113">
        <v>267733</v>
      </c>
      <c r="D351" s="113">
        <v>282342</v>
      </c>
      <c r="E351" s="113">
        <v>301681</v>
      </c>
      <c r="F351" s="113">
        <v>319935</v>
      </c>
      <c r="G351" s="113">
        <v>330494</v>
      </c>
      <c r="H351" s="113">
        <v>336458</v>
      </c>
      <c r="I351" s="113">
        <v>338658</v>
      </c>
      <c r="J351" s="113">
        <v>341445</v>
      </c>
      <c r="K351" s="113">
        <v>350464</v>
      </c>
      <c r="L351" s="113">
        <v>359079</v>
      </c>
      <c r="M351" s="113">
        <v>368687</v>
      </c>
      <c r="N351" s="113">
        <v>368605</v>
      </c>
      <c r="O351" s="113">
        <v>361345</v>
      </c>
      <c r="P351" s="113">
        <v>380843</v>
      </c>
      <c r="Q351" s="103">
        <f t="shared" ref="Q351:Q353" si="108">(P351-G351)/G351</f>
        <v>0.15234467191537518</v>
      </c>
      <c r="R351" s="103">
        <f t="shared" ref="R351:R353" si="109">(P351-L351)/L351</f>
        <v>6.0610617719220564E-2</v>
      </c>
      <c r="S351" s="103">
        <f t="shared" ref="S351:S353" si="110">(P351-O351)/O351</f>
        <v>5.3959512377367888E-2</v>
      </c>
      <c r="T351" s="103">
        <f>P351/P$353</f>
        <v>0.55084468743672077</v>
      </c>
      <c r="U351" s="53"/>
    </row>
    <row r="352" spans="1:21" x14ac:dyDescent="0.25">
      <c r="A352" s="107" t="s">
        <v>169</v>
      </c>
      <c r="B352" s="113">
        <v>246245</v>
      </c>
      <c r="C352" s="113">
        <v>256877</v>
      </c>
      <c r="D352" s="113">
        <v>267394</v>
      </c>
      <c r="E352" s="113">
        <v>283710</v>
      </c>
      <c r="F352" s="113">
        <v>295876</v>
      </c>
      <c r="G352" s="113">
        <v>300772</v>
      </c>
      <c r="H352" s="113">
        <v>308875</v>
      </c>
      <c r="I352" s="113">
        <v>306709</v>
      </c>
      <c r="J352" s="113">
        <v>304750</v>
      </c>
      <c r="K352" s="113">
        <v>305317</v>
      </c>
      <c r="L352" s="113">
        <v>306727</v>
      </c>
      <c r="M352" s="113">
        <v>309526</v>
      </c>
      <c r="N352" s="113">
        <v>308479</v>
      </c>
      <c r="O352" s="113">
        <v>298845</v>
      </c>
      <c r="P352" s="113">
        <v>310537</v>
      </c>
      <c r="Q352" s="103">
        <f t="shared" si="108"/>
        <v>3.2466452994294681E-2</v>
      </c>
      <c r="R352" s="103">
        <f t="shared" si="109"/>
        <v>1.2421469254418425E-2</v>
      </c>
      <c r="S352" s="103">
        <f t="shared" si="110"/>
        <v>3.9123960581572387E-2</v>
      </c>
      <c r="T352" s="103">
        <f>P352/P$353</f>
        <v>0.44915531256327923</v>
      </c>
    </row>
    <row r="353" spans="1:21" s="52" customFormat="1" x14ac:dyDescent="0.25">
      <c r="A353" s="112" t="s">
        <v>0</v>
      </c>
      <c r="B353" s="2">
        <v>505382</v>
      </c>
      <c r="C353" s="2">
        <v>524610</v>
      </c>
      <c r="D353" s="2">
        <v>549736</v>
      </c>
      <c r="E353" s="2">
        <v>585391</v>
      </c>
      <c r="F353" s="2">
        <v>615811</v>
      </c>
      <c r="G353" s="2">
        <v>631266</v>
      </c>
      <c r="H353" s="2">
        <v>645333</v>
      </c>
      <c r="I353" s="2">
        <v>645367</v>
      </c>
      <c r="J353" s="2">
        <v>646195</v>
      </c>
      <c r="K353" s="2">
        <v>655781</v>
      </c>
      <c r="L353" s="2">
        <v>665806</v>
      </c>
      <c r="M353" s="2">
        <v>678213</v>
      </c>
      <c r="N353" s="2">
        <v>677084</v>
      </c>
      <c r="O353" s="2">
        <v>660190</v>
      </c>
      <c r="P353" s="2">
        <v>691380</v>
      </c>
      <c r="Q353" s="33">
        <f t="shared" si="108"/>
        <v>9.52276853180751E-2</v>
      </c>
      <c r="R353" s="33">
        <f t="shared" si="109"/>
        <v>3.8410588069197331E-2</v>
      </c>
      <c r="S353" s="33">
        <f t="shared" si="110"/>
        <v>4.7243975219255066E-2</v>
      </c>
      <c r="T353" s="33">
        <f>SUM(T351:T352)</f>
        <v>1</v>
      </c>
      <c r="U353" s="53"/>
    </row>
    <row r="354" spans="1:21" x14ac:dyDescent="0.25">
      <c r="A354" s="110"/>
      <c r="B354" s="110"/>
      <c r="C354" s="110"/>
      <c r="D354" s="110"/>
      <c r="E354" s="110"/>
      <c r="F354" s="110"/>
      <c r="G354" s="110"/>
      <c r="H354" s="110"/>
      <c r="I354" s="110"/>
      <c r="J354" s="110"/>
      <c r="K354" s="110"/>
      <c r="L354" s="110"/>
      <c r="M354" s="110"/>
      <c r="N354" s="110"/>
      <c r="O354" s="110"/>
      <c r="P354" s="110"/>
      <c r="Q354" s="39"/>
      <c r="R354" s="39"/>
      <c r="S354" s="39"/>
      <c r="T354" s="39"/>
    </row>
    <row r="355" spans="1:21" ht="18" x14ac:dyDescent="0.25">
      <c r="A355" s="27" t="s">
        <v>445</v>
      </c>
      <c r="B355" s="27"/>
      <c r="C355" s="27"/>
      <c r="D355" s="27"/>
      <c r="E355" s="27"/>
      <c r="F355" s="27"/>
      <c r="G355" s="27"/>
      <c r="H355" s="27"/>
      <c r="I355" s="110"/>
      <c r="J355" s="110"/>
      <c r="K355" s="110"/>
      <c r="L355" s="110"/>
      <c r="M355" s="110"/>
      <c r="N355" s="110"/>
      <c r="O355" s="110"/>
      <c r="P355" s="110"/>
      <c r="Q355" s="39"/>
      <c r="R355" s="39"/>
      <c r="S355" s="39"/>
      <c r="T355" s="39"/>
    </row>
    <row r="356" spans="1:21" ht="25.5" x14ac:dyDescent="0.25">
      <c r="A356" s="148" t="s">
        <v>273</v>
      </c>
      <c r="B356" s="130">
        <v>2007</v>
      </c>
      <c r="C356" s="130">
        <v>2008</v>
      </c>
      <c r="D356" s="130">
        <v>2009</v>
      </c>
      <c r="E356" s="130">
        <v>2010</v>
      </c>
      <c r="F356" s="130">
        <v>2011</v>
      </c>
      <c r="G356" s="130">
        <v>2012</v>
      </c>
      <c r="H356" s="130">
        <v>2013</v>
      </c>
      <c r="I356" s="130">
        <v>2014</v>
      </c>
      <c r="J356" s="130">
        <v>2015</v>
      </c>
      <c r="K356" s="130">
        <v>2016</v>
      </c>
      <c r="L356" s="130">
        <v>2017</v>
      </c>
      <c r="M356" s="130">
        <v>2018</v>
      </c>
      <c r="N356" s="130">
        <v>2019</v>
      </c>
      <c r="O356" s="130">
        <v>2020</v>
      </c>
      <c r="P356" s="130">
        <v>2021</v>
      </c>
      <c r="Q356" s="131" t="s">
        <v>424</v>
      </c>
      <c r="R356" s="131" t="s">
        <v>425</v>
      </c>
      <c r="S356" s="131" t="s">
        <v>426</v>
      </c>
      <c r="T356" s="131" t="s">
        <v>427</v>
      </c>
    </row>
    <row r="357" spans="1:21" x14ac:dyDescent="0.25">
      <c r="A357" s="107" t="s">
        <v>168</v>
      </c>
      <c r="B357" s="113">
        <v>66049</v>
      </c>
      <c r="C357" s="113">
        <v>69762</v>
      </c>
      <c r="D357" s="113">
        <v>75339</v>
      </c>
      <c r="E357" s="113">
        <v>80608</v>
      </c>
      <c r="F357" s="113">
        <v>81320</v>
      </c>
      <c r="G357" s="113">
        <v>82567</v>
      </c>
      <c r="H357" s="113">
        <v>78228</v>
      </c>
      <c r="I357" s="113">
        <v>75954</v>
      </c>
      <c r="J357" s="113">
        <v>77886</v>
      </c>
      <c r="K357" s="113">
        <v>82759</v>
      </c>
      <c r="L357" s="113">
        <v>83869</v>
      </c>
      <c r="M357" s="113">
        <v>84034</v>
      </c>
      <c r="N357" s="113">
        <v>79075</v>
      </c>
      <c r="O357" s="113">
        <v>74962</v>
      </c>
      <c r="P357" s="113">
        <v>74978</v>
      </c>
      <c r="Q357" s="187">
        <f t="shared" ref="Q357:Q359" si="111">(P357-G357)/G357</f>
        <v>-9.1913234100790872E-2</v>
      </c>
      <c r="R357" s="187">
        <f t="shared" ref="R357:R359" si="112">(P357-L357)/L357</f>
        <v>-0.10601056409400375</v>
      </c>
      <c r="S357" s="187">
        <f t="shared" ref="S357:S359" si="113">(P357-O357)/O357</f>
        <v>2.1344147701502094E-4</v>
      </c>
      <c r="T357" s="187">
        <f>P357/P$359</f>
        <v>0.55449308159356303</v>
      </c>
    </row>
    <row r="358" spans="1:21" x14ac:dyDescent="0.25">
      <c r="A358" s="107" t="s">
        <v>169</v>
      </c>
      <c r="B358" s="113">
        <v>65290</v>
      </c>
      <c r="C358" s="113">
        <v>67434</v>
      </c>
      <c r="D358" s="113">
        <v>71924</v>
      </c>
      <c r="E358" s="113">
        <v>76149</v>
      </c>
      <c r="F358" s="113">
        <v>77406</v>
      </c>
      <c r="G358" s="113">
        <v>75894</v>
      </c>
      <c r="H358" s="113">
        <v>73784</v>
      </c>
      <c r="I358" s="113">
        <v>71222</v>
      </c>
      <c r="J358" s="113">
        <v>71942</v>
      </c>
      <c r="K358" s="113">
        <v>72504</v>
      </c>
      <c r="L358" s="113">
        <v>71711</v>
      </c>
      <c r="M358" s="113">
        <v>70147</v>
      </c>
      <c r="N358" s="113">
        <v>68778</v>
      </c>
      <c r="O358" s="113">
        <v>62687</v>
      </c>
      <c r="P358" s="113">
        <v>60241</v>
      </c>
      <c r="Q358" s="187">
        <f t="shared" si="111"/>
        <v>-0.20624818826257676</v>
      </c>
      <c r="R358" s="187">
        <f t="shared" si="112"/>
        <v>-0.15994756731882137</v>
      </c>
      <c r="S358" s="187">
        <f t="shared" si="113"/>
        <v>-3.901925439086254E-2</v>
      </c>
      <c r="T358" s="187">
        <f t="shared" ref="T358:T359" si="114">P358/P$359</f>
        <v>0.44550691840643697</v>
      </c>
    </row>
    <row r="359" spans="1:21" x14ac:dyDescent="0.25">
      <c r="A359" s="112" t="s">
        <v>0</v>
      </c>
      <c r="B359" s="2">
        <v>131339</v>
      </c>
      <c r="C359" s="2">
        <v>137196</v>
      </c>
      <c r="D359" s="2">
        <v>147263</v>
      </c>
      <c r="E359" s="2">
        <v>156757</v>
      </c>
      <c r="F359" s="2">
        <v>158726</v>
      </c>
      <c r="G359" s="2">
        <v>158461</v>
      </c>
      <c r="H359" s="2">
        <v>152012</v>
      </c>
      <c r="I359" s="2">
        <v>147176</v>
      </c>
      <c r="J359" s="2">
        <v>149828</v>
      </c>
      <c r="K359" s="2">
        <v>155263</v>
      </c>
      <c r="L359" s="2">
        <v>155580</v>
      </c>
      <c r="M359" s="2">
        <v>154181</v>
      </c>
      <c r="N359" s="2">
        <v>147853</v>
      </c>
      <c r="O359" s="2">
        <v>137649</v>
      </c>
      <c r="P359" s="2">
        <v>135219</v>
      </c>
      <c r="Q359" s="188">
        <f t="shared" si="111"/>
        <v>-0.14667331393844543</v>
      </c>
      <c r="R359" s="188">
        <f t="shared" si="112"/>
        <v>-0.13087157732356344</v>
      </c>
      <c r="S359" s="188">
        <f t="shared" si="113"/>
        <v>-1.7653597192860099E-2</v>
      </c>
      <c r="T359" s="188">
        <f t="shared" si="114"/>
        <v>1</v>
      </c>
    </row>
    <row r="360" spans="1:21" x14ac:dyDescent="0.25">
      <c r="A360" s="127"/>
      <c r="B360" s="128"/>
      <c r="C360" s="128"/>
      <c r="D360" s="128"/>
      <c r="E360" s="128"/>
      <c r="F360" s="128"/>
      <c r="G360" s="128"/>
      <c r="H360" s="128"/>
      <c r="I360" s="128"/>
      <c r="J360" s="128"/>
      <c r="K360" s="128"/>
      <c r="L360" s="128"/>
      <c r="M360" s="128"/>
      <c r="N360" s="128"/>
      <c r="O360" s="128"/>
      <c r="P360" s="128"/>
      <c r="Q360" s="61"/>
      <c r="R360" s="61"/>
      <c r="S360" s="61"/>
      <c r="T360" s="61"/>
    </row>
    <row r="361" spans="1:21" ht="15.75" x14ac:dyDescent="0.25">
      <c r="A361" s="27" t="s">
        <v>88</v>
      </c>
      <c r="B361" s="27"/>
      <c r="C361" s="27"/>
      <c r="D361" s="27"/>
      <c r="E361" s="27"/>
      <c r="F361" s="27"/>
      <c r="G361" s="27"/>
      <c r="H361" s="27"/>
      <c r="I361" s="110"/>
      <c r="J361" s="110"/>
      <c r="K361" s="110"/>
      <c r="L361" s="110"/>
      <c r="M361" s="110"/>
      <c r="N361" s="110"/>
      <c r="O361" s="110"/>
      <c r="P361" s="110"/>
      <c r="Q361" s="39"/>
      <c r="R361" s="39"/>
      <c r="S361" s="39"/>
      <c r="T361" s="39"/>
      <c r="U361" s="53"/>
    </row>
    <row r="362" spans="1:21" ht="30" customHeight="1" x14ac:dyDescent="0.25">
      <c r="A362" s="148" t="s">
        <v>105</v>
      </c>
      <c r="B362" s="130">
        <v>2007</v>
      </c>
      <c r="C362" s="130">
        <v>2008</v>
      </c>
      <c r="D362" s="130">
        <v>2009</v>
      </c>
      <c r="E362" s="130">
        <v>2010</v>
      </c>
      <c r="F362" s="130">
        <v>2011</v>
      </c>
      <c r="G362" s="130">
        <v>2012</v>
      </c>
      <c r="H362" s="130">
        <v>2013</v>
      </c>
      <c r="I362" s="130">
        <v>2014</v>
      </c>
      <c r="J362" s="130">
        <v>2015</v>
      </c>
      <c r="K362" s="130">
        <v>2016</v>
      </c>
      <c r="L362" s="130">
        <v>2017</v>
      </c>
      <c r="M362" s="130">
        <v>2018</v>
      </c>
      <c r="N362" s="130">
        <v>2019</v>
      </c>
      <c r="O362" s="130">
        <v>2020</v>
      </c>
      <c r="P362" s="130">
        <v>2021</v>
      </c>
      <c r="Q362" s="131" t="s">
        <v>424</v>
      </c>
      <c r="R362" s="131" t="s">
        <v>425</v>
      </c>
      <c r="S362" s="131" t="s">
        <v>426</v>
      </c>
      <c r="T362" s="131" t="s">
        <v>427</v>
      </c>
    </row>
    <row r="363" spans="1:21" x14ac:dyDescent="0.25">
      <c r="A363" s="107" t="s">
        <v>39</v>
      </c>
      <c r="B363" s="113">
        <v>166307</v>
      </c>
      <c r="C363" s="113">
        <v>172695</v>
      </c>
      <c r="D363" s="113">
        <v>186093</v>
      </c>
      <c r="E363" s="113">
        <v>195411</v>
      </c>
      <c r="F363" s="113">
        <v>201106</v>
      </c>
      <c r="G363" s="113">
        <v>202623</v>
      </c>
      <c r="H363" s="113">
        <v>209197</v>
      </c>
      <c r="I363" s="113">
        <v>209445</v>
      </c>
      <c r="J363" s="113">
        <v>208765</v>
      </c>
      <c r="K363" s="113">
        <v>210760</v>
      </c>
      <c r="L363" s="113">
        <v>209497</v>
      </c>
      <c r="M363" s="113">
        <v>213380</v>
      </c>
      <c r="N363" s="113">
        <v>215136</v>
      </c>
      <c r="O363" s="113">
        <v>215846</v>
      </c>
      <c r="P363" s="113">
        <v>207224</v>
      </c>
      <c r="Q363" s="187">
        <f t="shared" ref="Q363:Q370" si="115">(P363-G363)/G363</f>
        <v>2.2707195135794059E-2</v>
      </c>
      <c r="R363" s="187">
        <f t="shared" ref="R363:R370" si="116">(P363-L363)/L363</f>
        <v>-1.0849797371800073E-2</v>
      </c>
      <c r="S363" s="187">
        <f t="shared" ref="S363:S370" si="117">(P363-O363)/O363</f>
        <v>-3.9945146076369266E-2</v>
      </c>
      <c r="T363" s="187">
        <f>P363/P$370</f>
        <v>0.17205379545571539</v>
      </c>
      <c r="U363" s="53"/>
    </row>
    <row r="364" spans="1:21" x14ac:dyDescent="0.25">
      <c r="A364" s="107" t="s">
        <v>40</v>
      </c>
      <c r="B364" s="113">
        <v>389929</v>
      </c>
      <c r="C364" s="113">
        <v>410484</v>
      </c>
      <c r="D364" s="113">
        <v>449131</v>
      </c>
      <c r="E364" s="113">
        <v>500905</v>
      </c>
      <c r="F364" s="113">
        <v>544885</v>
      </c>
      <c r="G364" s="113">
        <v>566416</v>
      </c>
      <c r="H364" s="113">
        <v>580453</v>
      </c>
      <c r="I364" s="113">
        <v>584589</v>
      </c>
      <c r="J364" s="113">
        <v>586054</v>
      </c>
      <c r="K364" s="113">
        <v>585672</v>
      </c>
      <c r="L364" s="113">
        <v>586478</v>
      </c>
      <c r="M364" s="113">
        <v>591848</v>
      </c>
      <c r="N364" s="113">
        <v>595263</v>
      </c>
      <c r="O364" s="113">
        <v>575220</v>
      </c>
      <c r="P364" s="113">
        <v>586862</v>
      </c>
      <c r="Q364" s="187">
        <f t="shared" si="115"/>
        <v>3.6097144148470379E-2</v>
      </c>
      <c r="R364" s="187">
        <f t="shared" si="116"/>
        <v>6.5475601812855729E-4</v>
      </c>
      <c r="S364" s="187">
        <f t="shared" si="117"/>
        <v>2.0239212822919926E-2</v>
      </c>
      <c r="T364" s="187">
        <f t="shared" ref="T364:T369" si="118">P364/P$370</f>
        <v>0.48725936430496491</v>
      </c>
    </row>
    <row r="365" spans="1:21" x14ac:dyDescent="0.25">
      <c r="A365" s="107" t="s">
        <v>41</v>
      </c>
      <c r="B365" s="113">
        <v>118994</v>
      </c>
      <c r="C365" s="113">
        <v>122791</v>
      </c>
      <c r="D365" s="113">
        <v>130091</v>
      </c>
      <c r="E365" s="113">
        <v>145265</v>
      </c>
      <c r="F365" s="113">
        <v>160828</v>
      </c>
      <c r="G365" s="113">
        <v>172366</v>
      </c>
      <c r="H365" s="113">
        <v>187724</v>
      </c>
      <c r="I365" s="113">
        <v>199954</v>
      </c>
      <c r="J365" s="113">
        <v>210028</v>
      </c>
      <c r="K365" s="113">
        <v>213770</v>
      </c>
      <c r="L365" s="113">
        <v>212026</v>
      </c>
      <c r="M365" s="113">
        <v>208305</v>
      </c>
      <c r="N365" s="113">
        <v>203409</v>
      </c>
      <c r="O365" s="113">
        <v>186093</v>
      </c>
      <c r="P365" s="113">
        <v>200159</v>
      </c>
      <c r="Q365" s="187">
        <f t="shared" si="115"/>
        <v>0.1612440968636506</v>
      </c>
      <c r="R365" s="187">
        <f t="shared" si="116"/>
        <v>-5.5969550904134399E-2</v>
      </c>
      <c r="S365" s="187">
        <f t="shared" si="117"/>
        <v>7.5585862982487248E-2</v>
      </c>
      <c r="T365" s="187">
        <f t="shared" si="118"/>
        <v>0.16618787227647636</v>
      </c>
      <c r="U365" s="53"/>
    </row>
    <row r="366" spans="1:21" x14ac:dyDescent="0.25">
      <c r="A366" s="107" t="s">
        <v>42</v>
      </c>
      <c r="B366" s="113">
        <v>37026</v>
      </c>
      <c r="C366" s="113">
        <v>38357</v>
      </c>
      <c r="D366" s="113">
        <v>41422</v>
      </c>
      <c r="E366" s="113">
        <v>48213</v>
      </c>
      <c r="F366" s="113">
        <v>55150</v>
      </c>
      <c r="G366" s="113">
        <v>63433</v>
      </c>
      <c r="H366" s="113">
        <v>70881</v>
      </c>
      <c r="I366" s="113">
        <v>76266</v>
      </c>
      <c r="J366" s="113">
        <v>80345</v>
      </c>
      <c r="K366" s="113">
        <v>81688</v>
      </c>
      <c r="L366" s="113">
        <v>80636</v>
      </c>
      <c r="M366" s="113">
        <v>81631</v>
      </c>
      <c r="N366" s="113">
        <v>83426</v>
      </c>
      <c r="O366" s="113">
        <v>79572</v>
      </c>
      <c r="P366" s="113">
        <v>93483</v>
      </c>
      <c r="Q366" s="187">
        <f t="shared" si="115"/>
        <v>0.47372818564469599</v>
      </c>
      <c r="R366" s="187">
        <f t="shared" si="116"/>
        <v>0.15932089885410983</v>
      </c>
      <c r="S366" s="187">
        <f t="shared" si="117"/>
        <v>0.17482280199064998</v>
      </c>
      <c r="T366" s="187">
        <f t="shared" si="118"/>
        <v>7.7616998806058379E-2</v>
      </c>
    </row>
    <row r="367" spans="1:21" x14ac:dyDescent="0.25">
      <c r="A367" s="107" t="s">
        <v>43</v>
      </c>
      <c r="B367" s="113">
        <v>17190</v>
      </c>
      <c r="C367" s="113">
        <v>19013</v>
      </c>
      <c r="D367" s="113">
        <v>21521</v>
      </c>
      <c r="E367" s="113">
        <v>25196</v>
      </c>
      <c r="F367" s="113">
        <v>28084</v>
      </c>
      <c r="G367" s="113">
        <v>31071</v>
      </c>
      <c r="H367" s="113">
        <v>34053</v>
      </c>
      <c r="I367" s="113">
        <v>37238</v>
      </c>
      <c r="J367" s="113">
        <v>39793</v>
      </c>
      <c r="K367" s="113">
        <v>42213</v>
      </c>
      <c r="L367" s="113">
        <v>43687</v>
      </c>
      <c r="M367" s="113">
        <v>45023</v>
      </c>
      <c r="N367" s="113">
        <v>46456</v>
      </c>
      <c r="O367" s="113">
        <v>44892</v>
      </c>
      <c r="P367" s="113">
        <v>54747</v>
      </c>
      <c r="Q367" s="187">
        <f t="shared" si="115"/>
        <v>0.76199671719609929</v>
      </c>
      <c r="R367" s="187">
        <f t="shared" si="116"/>
        <v>0.25316455696202533</v>
      </c>
      <c r="S367" s="187">
        <f t="shared" si="117"/>
        <v>0.21952686447473937</v>
      </c>
      <c r="T367" s="187">
        <f t="shared" si="118"/>
        <v>4.5455300253899406E-2</v>
      </c>
      <c r="U367" s="53"/>
    </row>
    <row r="368" spans="1:21" x14ac:dyDescent="0.25">
      <c r="A368" s="107" t="s">
        <v>1</v>
      </c>
      <c r="B368" s="113">
        <v>17050</v>
      </c>
      <c r="C368" s="113">
        <v>19037</v>
      </c>
      <c r="D368" s="113">
        <v>20672</v>
      </c>
      <c r="E368" s="113">
        <v>22922</v>
      </c>
      <c r="F368" s="113">
        <v>24671</v>
      </c>
      <c r="G368" s="113">
        <v>28758</v>
      </c>
      <c r="H368" s="113">
        <v>31894</v>
      </c>
      <c r="I368" s="113">
        <v>36838</v>
      </c>
      <c r="J368" s="113">
        <v>40838</v>
      </c>
      <c r="K368" s="113">
        <v>44339</v>
      </c>
      <c r="L368" s="113">
        <v>44948</v>
      </c>
      <c r="M368" s="113">
        <v>47621</v>
      </c>
      <c r="N368" s="113">
        <v>50751</v>
      </c>
      <c r="O368" s="113">
        <v>50276</v>
      </c>
      <c r="P368" s="113">
        <v>61928</v>
      </c>
      <c r="Q368" s="187">
        <f t="shared" si="115"/>
        <v>1.1534181792892413</v>
      </c>
      <c r="R368" s="187">
        <f t="shared" si="116"/>
        <v>0.37776986740233159</v>
      </c>
      <c r="S368" s="187">
        <f t="shared" si="117"/>
        <v>0.23176068104065559</v>
      </c>
      <c r="T368" s="187">
        <f t="shared" si="118"/>
        <v>5.1417535830702729E-2</v>
      </c>
    </row>
    <row r="369" spans="1:21" x14ac:dyDescent="0.25">
      <c r="A369" s="107" t="s">
        <v>77</v>
      </c>
      <c r="B369" s="113">
        <v>1848</v>
      </c>
      <c r="C369" s="113">
        <v>972</v>
      </c>
      <c r="D369" s="113">
        <v>410</v>
      </c>
      <c r="E369" s="151">
        <v>346</v>
      </c>
      <c r="F369" s="151">
        <v>353</v>
      </c>
      <c r="G369" s="151">
        <v>149</v>
      </c>
      <c r="H369" s="113">
        <v>75</v>
      </c>
      <c r="I369" s="113">
        <v>51</v>
      </c>
      <c r="J369" s="113">
        <v>83</v>
      </c>
      <c r="K369" s="113">
        <v>38</v>
      </c>
      <c r="L369" s="113">
        <v>20</v>
      </c>
      <c r="M369" s="113">
        <v>239</v>
      </c>
      <c r="N369" s="113">
        <v>39</v>
      </c>
      <c r="O369" s="113">
        <v>23</v>
      </c>
      <c r="P369" s="113">
        <v>11</v>
      </c>
      <c r="Q369" s="187">
        <f t="shared" si="115"/>
        <v>-0.9261744966442953</v>
      </c>
      <c r="R369" s="187">
        <f t="shared" si="116"/>
        <v>-0.45</v>
      </c>
      <c r="S369" s="187">
        <f t="shared" si="117"/>
        <v>-0.52173913043478259</v>
      </c>
      <c r="T369" s="187">
        <f t="shared" si="118"/>
        <v>9.1330721828208579E-6</v>
      </c>
      <c r="U369" s="53"/>
    </row>
    <row r="370" spans="1:21" x14ac:dyDescent="0.25">
      <c r="A370" s="112" t="s">
        <v>0</v>
      </c>
      <c r="B370" s="2">
        <f>SUM(B363:B369)</f>
        <v>748344</v>
      </c>
      <c r="C370" s="2">
        <f t="shared" ref="C370:P370" si="119">SUM(C363:C369)</f>
        <v>783349</v>
      </c>
      <c r="D370" s="2">
        <f t="shared" si="119"/>
        <v>849340</v>
      </c>
      <c r="E370" s="2">
        <f t="shared" si="119"/>
        <v>938258</v>
      </c>
      <c r="F370" s="2">
        <f t="shared" si="119"/>
        <v>1015077</v>
      </c>
      <c r="G370" s="2">
        <f t="shared" si="119"/>
        <v>1064816</v>
      </c>
      <c r="H370" s="2">
        <f t="shared" si="119"/>
        <v>1114277</v>
      </c>
      <c r="I370" s="2">
        <f t="shared" si="119"/>
        <v>1144381</v>
      </c>
      <c r="J370" s="2">
        <f t="shared" si="119"/>
        <v>1165906</v>
      </c>
      <c r="K370" s="2">
        <f t="shared" si="119"/>
        <v>1178480</v>
      </c>
      <c r="L370" s="2">
        <f t="shared" si="119"/>
        <v>1177292</v>
      </c>
      <c r="M370" s="2">
        <f t="shared" si="119"/>
        <v>1188047</v>
      </c>
      <c r="N370" s="2">
        <f t="shared" si="119"/>
        <v>1194480</v>
      </c>
      <c r="O370" s="2">
        <f t="shared" si="119"/>
        <v>1151922</v>
      </c>
      <c r="P370" s="2">
        <f t="shared" si="119"/>
        <v>1204414</v>
      </c>
      <c r="Q370" s="188">
        <f t="shared" si="115"/>
        <v>0.13110058451413201</v>
      </c>
      <c r="R370" s="188">
        <f t="shared" si="116"/>
        <v>2.3037615137111268E-2</v>
      </c>
      <c r="S370" s="188">
        <f t="shared" si="117"/>
        <v>4.5569057627165725E-2</v>
      </c>
      <c r="T370" s="188">
        <f t="shared" ref="T370" si="120">P370/P$8</f>
        <v>1</v>
      </c>
    </row>
    <row r="371" spans="1:21" x14ac:dyDescent="0.25">
      <c r="A371" s="196" t="s">
        <v>127</v>
      </c>
      <c r="B371" s="197">
        <v>23.147827985682401</v>
      </c>
      <c r="C371" s="197">
        <v>23.1855512112447</v>
      </c>
      <c r="D371" s="197">
        <v>23.1824437821729</v>
      </c>
      <c r="E371" s="197">
        <v>23.279294529534901</v>
      </c>
      <c r="F371" s="197">
        <v>23.374275343705399</v>
      </c>
      <c r="G371" s="197">
        <v>23.575227919892701</v>
      </c>
      <c r="H371" s="197">
        <v>23.7303505109486</v>
      </c>
      <c r="I371" s="197">
        <v>23.927547123644398</v>
      </c>
      <c r="J371" s="197">
        <v>24.076570800198699</v>
      </c>
      <c r="K371" s="197">
        <v>24.183172358079599</v>
      </c>
      <c r="L371" s="197">
        <v>24.2004863786788</v>
      </c>
      <c r="M371" s="197">
        <v>24.237911345941399</v>
      </c>
      <c r="N371" s="197">
        <v>24.291961679145299</v>
      </c>
      <c r="O371" s="197">
        <v>24.242920603282101</v>
      </c>
      <c r="P371" s="197">
        <v>24.694624639759301</v>
      </c>
      <c r="Q371" s="198"/>
      <c r="R371" s="198"/>
      <c r="S371" s="198"/>
      <c r="T371" s="199"/>
      <c r="U371" s="53"/>
    </row>
    <row r="372" spans="1:21" x14ac:dyDescent="0.25">
      <c r="A372" s="110"/>
      <c r="B372" s="110"/>
      <c r="C372" s="110"/>
      <c r="D372" s="110"/>
      <c r="E372" s="110"/>
      <c r="F372" s="110"/>
      <c r="G372" s="110"/>
      <c r="H372" s="110"/>
      <c r="I372" s="110"/>
      <c r="J372" s="110"/>
      <c r="K372" s="110"/>
      <c r="L372" s="110"/>
      <c r="M372" s="110"/>
      <c r="N372" s="110"/>
      <c r="O372" s="110"/>
      <c r="P372" s="110"/>
      <c r="Q372" s="39"/>
      <c r="R372" s="39"/>
      <c r="S372" s="39"/>
      <c r="T372" s="39"/>
    </row>
    <row r="373" spans="1:21" ht="18" x14ac:dyDescent="0.25">
      <c r="A373" s="27" t="s">
        <v>446</v>
      </c>
      <c r="B373" s="27"/>
      <c r="C373" s="27"/>
      <c r="D373" s="27"/>
      <c r="E373" s="27"/>
      <c r="F373" s="27"/>
      <c r="G373" s="27"/>
      <c r="H373" s="27"/>
      <c r="I373" s="110"/>
      <c r="J373" s="110"/>
      <c r="K373" s="110"/>
      <c r="L373" s="110"/>
      <c r="M373" s="110"/>
      <c r="N373" s="110"/>
      <c r="O373" s="110"/>
      <c r="P373" s="110"/>
      <c r="Q373" s="39"/>
      <c r="R373" s="39"/>
      <c r="S373" s="39"/>
      <c r="T373" s="39"/>
      <c r="U373" s="53"/>
    </row>
    <row r="374" spans="1:21" ht="25.5" x14ac:dyDescent="0.25">
      <c r="A374" s="148" t="s">
        <v>105</v>
      </c>
      <c r="B374" s="130">
        <v>2007</v>
      </c>
      <c r="C374" s="130">
        <v>2008</v>
      </c>
      <c r="D374" s="130">
        <v>2009</v>
      </c>
      <c r="E374" s="130">
        <v>2010</v>
      </c>
      <c r="F374" s="130">
        <v>2011</v>
      </c>
      <c r="G374" s="130">
        <v>2012</v>
      </c>
      <c r="H374" s="130">
        <v>2013</v>
      </c>
      <c r="I374" s="130">
        <v>2014</v>
      </c>
      <c r="J374" s="130">
        <v>2015</v>
      </c>
      <c r="K374" s="130">
        <v>2016</v>
      </c>
      <c r="L374" s="130">
        <v>2017</v>
      </c>
      <c r="M374" s="130">
        <v>2018</v>
      </c>
      <c r="N374" s="130">
        <v>2019</v>
      </c>
      <c r="O374" s="130">
        <v>2020</v>
      </c>
      <c r="P374" s="130">
        <v>2021</v>
      </c>
      <c r="Q374" s="131" t="s">
        <v>424</v>
      </c>
      <c r="R374" s="131" t="s">
        <v>425</v>
      </c>
      <c r="S374" s="131" t="s">
        <v>426</v>
      </c>
      <c r="T374" s="131" t="s">
        <v>427</v>
      </c>
      <c r="U374" s="53"/>
    </row>
    <row r="375" spans="1:21" x14ac:dyDescent="0.25">
      <c r="A375" s="107" t="s">
        <v>39</v>
      </c>
      <c r="B375" s="113">
        <v>116834</v>
      </c>
      <c r="C375" s="113">
        <v>119869</v>
      </c>
      <c r="D375" s="113">
        <v>131934</v>
      </c>
      <c r="E375" s="113">
        <v>136172</v>
      </c>
      <c r="F375" s="113">
        <v>140693</v>
      </c>
      <c r="G375" s="113">
        <v>140980</v>
      </c>
      <c r="H375" s="113">
        <v>146555</v>
      </c>
      <c r="I375" s="113">
        <v>143842</v>
      </c>
      <c r="J375" s="113">
        <v>143593</v>
      </c>
      <c r="K375" s="113">
        <v>146213</v>
      </c>
      <c r="L375" s="113">
        <v>144859</v>
      </c>
      <c r="M375" s="113">
        <v>147296</v>
      </c>
      <c r="N375" s="113">
        <v>149187</v>
      </c>
      <c r="O375" s="113">
        <v>147163</v>
      </c>
      <c r="P375" s="113">
        <v>139496</v>
      </c>
      <c r="Q375" s="187">
        <f t="shared" ref="Q375:Q382" si="121">(P375-G375)/G375</f>
        <v>-1.0526315789473684E-2</v>
      </c>
      <c r="R375" s="187">
        <f t="shared" ref="R375:R382" si="122">(P375-L375)/L375</f>
        <v>-3.70222078020696E-2</v>
      </c>
      <c r="S375" s="187">
        <f t="shared" ref="S375:S382" si="123">(P375-O375)/O375</f>
        <v>-5.2098693285676428E-2</v>
      </c>
      <c r="T375" s="187">
        <f>P375/P$382</f>
        <v>0.44349349365261542</v>
      </c>
      <c r="U375" s="53"/>
    </row>
    <row r="376" spans="1:21" x14ac:dyDescent="0.25">
      <c r="A376" s="107" t="s">
        <v>40</v>
      </c>
      <c r="B376" s="113">
        <v>79476</v>
      </c>
      <c r="C376" s="113">
        <v>83562</v>
      </c>
      <c r="D376" s="113">
        <v>93654</v>
      </c>
      <c r="E376" s="113">
        <v>109962</v>
      </c>
      <c r="F376" s="113">
        <v>112450</v>
      </c>
      <c r="G376" s="113">
        <v>112677</v>
      </c>
      <c r="H376" s="113">
        <v>113295</v>
      </c>
      <c r="I376" s="113">
        <v>110886</v>
      </c>
      <c r="J376" s="113">
        <v>106681</v>
      </c>
      <c r="K376" s="113">
        <v>105838</v>
      </c>
      <c r="L376" s="113">
        <v>105661</v>
      </c>
      <c r="M376" s="113">
        <v>100647</v>
      </c>
      <c r="N376" s="113">
        <v>96399</v>
      </c>
      <c r="O376" s="113">
        <v>82823</v>
      </c>
      <c r="P376" s="113">
        <v>78670</v>
      </c>
      <c r="Q376" s="187">
        <f t="shared" si="121"/>
        <v>-0.30180959734462226</v>
      </c>
      <c r="R376" s="187">
        <f t="shared" si="122"/>
        <v>-0.25544903038964234</v>
      </c>
      <c r="S376" s="187">
        <f t="shared" si="123"/>
        <v>-5.0143076198640474E-2</v>
      </c>
      <c r="T376" s="187">
        <f t="shared" ref="T376:T382" si="124">P376/P$382</f>
        <v>0.2501120687736656</v>
      </c>
      <c r="U376" s="53"/>
    </row>
    <row r="377" spans="1:21" x14ac:dyDescent="0.25">
      <c r="A377" s="107" t="s">
        <v>41</v>
      </c>
      <c r="B377" s="113">
        <v>24696</v>
      </c>
      <c r="C377" s="113">
        <v>26236</v>
      </c>
      <c r="D377" s="113">
        <v>29255</v>
      </c>
      <c r="E377" s="113">
        <v>36160</v>
      </c>
      <c r="F377" s="113">
        <v>39137</v>
      </c>
      <c r="G377" s="113">
        <v>39446</v>
      </c>
      <c r="H377" s="113">
        <v>42003</v>
      </c>
      <c r="I377" s="113">
        <v>43216</v>
      </c>
      <c r="J377" s="113">
        <v>42584</v>
      </c>
      <c r="K377" s="113">
        <v>42125</v>
      </c>
      <c r="L377" s="113">
        <v>40950</v>
      </c>
      <c r="M377" s="113">
        <v>39846</v>
      </c>
      <c r="N377" s="113">
        <v>37122</v>
      </c>
      <c r="O377" s="113">
        <v>30109</v>
      </c>
      <c r="P377" s="113">
        <v>34993</v>
      </c>
      <c r="Q377" s="187">
        <f t="shared" si="121"/>
        <v>-0.11288850580540485</v>
      </c>
      <c r="R377" s="187">
        <f t="shared" si="122"/>
        <v>-0.14547008547008547</v>
      </c>
      <c r="S377" s="187">
        <f t="shared" si="123"/>
        <v>0.16221063469394534</v>
      </c>
      <c r="T377" s="187">
        <f t="shared" si="124"/>
        <v>0.11125170487602491</v>
      </c>
      <c r="U377" s="53"/>
    </row>
    <row r="378" spans="1:21" x14ac:dyDescent="0.25">
      <c r="A378" s="107" t="s">
        <v>42</v>
      </c>
      <c r="B378" s="113">
        <v>10727</v>
      </c>
      <c r="C378" s="113">
        <v>11160</v>
      </c>
      <c r="D378" s="113">
        <v>12844</v>
      </c>
      <c r="E378" s="113">
        <v>15925</v>
      </c>
      <c r="F378" s="113">
        <v>17728</v>
      </c>
      <c r="G378" s="113">
        <v>19861</v>
      </c>
      <c r="H378" s="113">
        <v>21049</v>
      </c>
      <c r="I378" s="113">
        <v>21764</v>
      </c>
      <c r="J378" s="113">
        <v>21817</v>
      </c>
      <c r="K378" s="113">
        <v>20708</v>
      </c>
      <c r="L378" s="113">
        <v>20202</v>
      </c>
      <c r="M378" s="113">
        <v>20906</v>
      </c>
      <c r="N378" s="113">
        <v>21058</v>
      </c>
      <c r="O378" s="113">
        <v>19168</v>
      </c>
      <c r="P378" s="113">
        <v>26140</v>
      </c>
      <c r="Q378" s="187">
        <f t="shared" si="121"/>
        <v>0.31614722320124866</v>
      </c>
      <c r="R378" s="187">
        <f t="shared" si="122"/>
        <v>0.29393129393129391</v>
      </c>
      <c r="S378" s="187">
        <f t="shared" si="123"/>
        <v>0.36373121869782971</v>
      </c>
      <c r="T378" s="187">
        <f t="shared" si="124"/>
        <v>8.3105751592012431E-2</v>
      </c>
      <c r="U378" s="53"/>
    </row>
    <row r="379" spans="1:21" x14ac:dyDescent="0.25">
      <c r="A379" s="107" t="s">
        <v>43</v>
      </c>
      <c r="B379" s="113">
        <v>5314</v>
      </c>
      <c r="C379" s="113">
        <v>5931</v>
      </c>
      <c r="D379" s="113">
        <v>7026</v>
      </c>
      <c r="E379" s="113">
        <v>8542</v>
      </c>
      <c r="F379" s="113">
        <v>9468</v>
      </c>
      <c r="G379" s="113">
        <v>10015</v>
      </c>
      <c r="H379" s="113">
        <v>10622</v>
      </c>
      <c r="I379" s="113">
        <v>10952</v>
      </c>
      <c r="J379" s="113">
        <v>11319</v>
      </c>
      <c r="K379" s="113">
        <v>11226</v>
      </c>
      <c r="L379" s="113">
        <v>11481</v>
      </c>
      <c r="M379" s="113">
        <v>12559</v>
      </c>
      <c r="N379" s="113">
        <v>12867</v>
      </c>
      <c r="O379" s="113">
        <v>11496</v>
      </c>
      <c r="P379" s="113">
        <v>16654</v>
      </c>
      <c r="Q379" s="187">
        <f t="shared" si="121"/>
        <v>0.66290564153769349</v>
      </c>
      <c r="R379" s="187">
        <f t="shared" si="122"/>
        <v>0.45057050779548818</v>
      </c>
      <c r="S379" s="187">
        <f t="shared" si="123"/>
        <v>0.44867780097425192</v>
      </c>
      <c r="T379" s="187">
        <f t="shared" si="124"/>
        <v>5.2947329266005171E-2</v>
      </c>
      <c r="U379" s="53"/>
    </row>
    <row r="380" spans="1:21" x14ac:dyDescent="0.25">
      <c r="A380" s="107" t="s">
        <v>1</v>
      </c>
      <c r="B380" s="113">
        <v>5531</v>
      </c>
      <c r="C380" s="113">
        <v>5903</v>
      </c>
      <c r="D380" s="113">
        <v>6712</v>
      </c>
      <c r="E380" s="113">
        <v>7296</v>
      </c>
      <c r="F380" s="113">
        <v>7991</v>
      </c>
      <c r="G380" s="113">
        <v>9142</v>
      </c>
      <c r="H380" s="113">
        <v>9459</v>
      </c>
      <c r="I380" s="113">
        <v>10778</v>
      </c>
      <c r="J380" s="113">
        <v>11720</v>
      </c>
      <c r="K380" s="113">
        <v>11789</v>
      </c>
      <c r="L380" s="113">
        <v>12112</v>
      </c>
      <c r="M380" s="113">
        <v>13454</v>
      </c>
      <c r="N380" s="113">
        <v>14024</v>
      </c>
      <c r="O380" s="113">
        <v>12664</v>
      </c>
      <c r="P380" s="113">
        <v>18583</v>
      </c>
      <c r="Q380" s="187">
        <f t="shared" si="121"/>
        <v>1.0327061912054256</v>
      </c>
      <c r="R380" s="187">
        <f t="shared" si="122"/>
        <v>0.53426354029062084</v>
      </c>
      <c r="S380" s="187">
        <f t="shared" si="123"/>
        <v>0.46738787113076435</v>
      </c>
      <c r="T380" s="187">
        <f t="shared" si="124"/>
        <v>5.9080114071704937E-2</v>
      </c>
      <c r="U380" s="53"/>
    </row>
    <row r="381" spans="1:21" x14ac:dyDescent="0.25">
      <c r="A381" s="107" t="s">
        <v>77</v>
      </c>
      <c r="B381" s="151">
        <f>B382-B375-B376-B377-B378-B379-B380</f>
        <v>801</v>
      </c>
      <c r="C381" s="151">
        <f t="shared" ref="C381:P381" si="125">C382-C375-C376-C377-C378-C379-C380</f>
        <v>303</v>
      </c>
      <c r="D381" s="151">
        <f t="shared" si="125"/>
        <v>222</v>
      </c>
      <c r="E381" s="151">
        <f t="shared" si="125"/>
        <v>1001</v>
      </c>
      <c r="F381" s="151">
        <f t="shared" si="125"/>
        <v>856</v>
      </c>
      <c r="G381" s="151">
        <f t="shared" si="125"/>
        <v>707</v>
      </c>
      <c r="H381" s="151">
        <f t="shared" si="125"/>
        <v>17</v>
      </c>
      <c r="I381" s="151">
        <f t="shared" si="125"/>
        <v>22</v>
      </c>
      <c r="J381" s="151">
        <f t="shared" si="125"/>
        <v>45</v>
      </c>
      <c r="K381" s="151">
        <f t="shared" si="125"/>
        <v>7</v>
      </c>
      <c r="L381" s="151">
        <f t="shared" si="125"/>
        <v>6</v>
      </c>
      <c r="M381" s="151">
        <f t="shared" si="125"/>
        <v>183</v>
      </c>
      <c r="N381" s="151">
        <f t="shared" si="125"/>
        <v>17</v>
      </c>
      <c r="O381" s="151">
        <f t="shared" si="125"/>
        <v>9</v>
      </c>
      <c r="P381" s="151">
        <f t="shared" si="125"/>
        <v>3</v>
      </c>
      <c r="Q381" s="187">
        <f t="shared" si="121"/>
        <v>-0.99575671852899572</v>
      </c>
      <c r="R381" s="187">
        <f t="shared" si="122"/>
        <v>-0.5</v>
      </c>
      <c r="S381" s="187">
        <f t="shared" si="123"/>
        <v>-0.66666666666666663</v>
      </c>
      <c r="T381" s="187">
        <f t="shared" si="124"/>
        <v>9.5377679715393012E-6</v>
      </c>
      <c r="U381" s="53"/>
    </row>
    <row r="382" spans="1:21" x14ac:dyDescent="0.25">
      <c r="A382" s="112" t="s">
        <v>0</v>
      </c>
      <c r="B382" s="2">
        <v>243379</v>
      </c>
      <c r="C382" s="2">
        <v>252964</v>
      </c>
      <c r="D382" s="2">
        <v>281647</v>
      </c>
      <c r="E382" s="2">
        <v>315058</v>
      </c>
      <c r="F382" s="2">
        <v>328323</v>
      </c>
      <c r="G382" s="2">
        <v>332828</v>
      </c>
      <c r="H382" s="2">
        <v>343000</v>
      </c>
      <c r="I382" s="2">
        <v>341460</v>
      </c>
      <c r="J382" s="2">
        <v>337759</v>
      </c>
      <c r="K382" s="2">
        <v>337906</v>
      </c>
      <c r="L382" s="2">
        <v>335271</v>
      </c>
      <c r="M382" s="2">
        <v>334891</v>
      </c>
      <c r="N382" s="2">
        <v>330674</v>
      </c>
      <c r="O382" s="2">
        <v>303432</v>
      </c>
      <c r="P382" s="2">
        <v>314539</v>
      </c>
      <c r="Q382" s="188">
        <f t="shared" si="121"/>
        <v>-5.4950304661867393E-2</v>
      </c>
      <c r="R382" s="188">
        <f t="shared" si="122"/>
        <v>-6.1836544168747072E-2</v>
      </c>
      <c r="S382" s="188">
        <f t="shared" si="123"/>
        <v>3.6604576972764903E-2</v>
      </c>
      <c r="T382" s="188">
        <f t="shared" si="124"/>
        <v>1</v>
      </c>
      <c r="U382" s="53"/>
    </row>
    <row r="383" spans="1:21" x14ac:dyDescent="0.25">
      <c r="A383" s="196" t="s">
        <v>126</v>
      </c>
      <c r="B383" s="197">
        <v>21.859599798827599</v>
      </c>
      <c r="C383" s="197">
        <v>21.922952097870301</v>
      </c>
      <c r="D383" s="197">
        <v>21.996180154570499</v>
      </c>
      <c r="E383" s="197">
        <v>22.244414230537799</v>
      </c>
      <c r="F383" s="197">
        <v>22.3689043476137</v>
      </c>
      <c r="G383" s="197">
        <v>22.535067038820198</v>
      </c>
      <c r="H383" s="197">
        <v>22.586084441502901</v>
      </c>
      <c r="I383" s="197">
        <v>22.776528652084501</v>
      </c>
      <c r="J383" s="197">
        <v>22.871933864777102</v>
      </c>
      <c r="K383" s="197">
        <v>22.839068159367802</v>
      </c>
      <c r="L383" s="197">
        <v>22.899542867584898</v>
      </c>
      <c r="M383" s="197">
        <v>23.072627178521</v>
      </c>
      <c r="N383" s="197">
        <v>23.086156824782201</v>
      </c>
      <c r="O383" s="197">
        <v>22.871482398605799</v>
      </c>
      <c r="P383" s="197">
        <v>24.0046504129567</v>
      </c>
      <c r="Q383" s="198"/>
      <c r="R383" s="198"/>
      <c r="S383" s="198"/>
      <c r="T383" s="199"/>
      <c r="U383" s="53"/>
    </row>
    <row r="384" spans="1:21" x14ac:dyDescent="0.25">
      <c r="A384" s="110" t="s">
        <v>447</v>
      </c>
      <c r="Q384" s="18"/>
      <c r="R384" s="18"/>
      <c r="S384" s="18"/>
      <c r="T384" s="18"/>
      <c r="U384" s="18"/>
    </row>
    <row r="385" spans="1:21" x14ac:dyDescent="0.25">
      <c r="B385" s="110"/>
      <c r="Q385" s="18"/>
      <c r="R385" s="18"/>
      <c r="S385" s="18"/>
      <c r="T385" s="18"/>
      <c r="U385" s="18"/>
    </row>
    <row r="386" spans="1:21" ht="15.75" x14ac:dyDescent="0.25">
      <c r="A386" s="27" t="s">
        <v>118</v>
      </c>
      <c r="B386" s="27"/>
      <c r="C386" s="27"/>
      <c r="D386" s="27"/>
      <c r="E386" s="27"/>
      <c r="F386" s="27"/>
      <c r="G386" s="27"/>
      <c r="H386" s="27"/>
      <c r="I386" s="110"/>
      <c r="J386" s="110"/>
      <c r="K386" s="110"/>
      <c r="L386" s="110"/>
      <c r="M386" s="110"/>
      <c r="N386" s="110"/>
      <c r="O386" s="110"/>
      <c r="P386" s="110"/>
      <c r="Q386" s="39"/>
      <c r="R386" s="39"/>
      <c r="S386" s="39"/>
      <c r="T386" s="39"/>
    </row>
    <row r="387" spans="1:21" ht="30" customHeight="1" x14ac:dyDescent="0.25">
      <c r="A387" s="148" t="s">
        <v>105</v>
      </c>
      <c r="B387" s="130">
        <v>2007</v>
      </c>
      <c r="C387" s="130">
        <v>2008</v>
      </c>
      <c r="D387" s="130">
        <v>2009</v>
      </c>
      <c r="E387" s="130">
        <v>2010</v>
      </c>
      <c r="F387" s="130">
        <v>2011</v>
      </c>
      <c r="G387" s="130">
        <v>2012</v>
      </c>
      <c r="H387" s="130">
        <v>2013</v>
      </c>
      <c r="I387" s="130">
        <v>2014</v>
      </c>
      <c r="J387" s="130">
        <v>2015</v>
      </c>
      <c r="K387" s="130">
        <v>2016</v>
      </c>
      <c r="L387" s="130">
        <v>2017</v>
      </c>
      <c r="M387" s="130">
        <v>2018</v>
      </c>
      <c r="N387" s="130">
        <v>2019</v>
      </c>
      <c r="O387" s="130">
        <v>2020</v>
      </c>
      <c r="P387" s="130">
        <v>2021</v>
      </c>
      <c r="Q387" s="131" t="s">
        <v>424</v>
      </c>
      <c r="R387" s="131" t="s">
        <v>425</v>
      </c>
      <c r="S387" s="131" t="s">
        <v>426</v>
      </c>
      <c r="T387" s="131" t="s">
        <v>427</v>
      </c>
      <c r="U387" s="53"/>
    </row>
    <row r="388" spans="1:21" x14ac:dyDescent="0.25">
      <c r="A388" s="107" t="s">
        <v>39</v>
      </c>
      <c r="B388" s="113">
        <v>19251</v>
      </c>
      <c r="C388" s="113">
        <v>21930</v>
      </c>
      <c r="D388" s="113">
        <v>25601</v>
      </c>
      <c r="E388" s="113">
        <v>28304</v>
      </c>
      <c r="F388" s="113">
        <v>27688</v>
      </c>
      <c r="G388" s="113">
        <v>27294</v>
      </c>
      <c r="H388" s="113">
        <v>29658</v>
      </c>
      <c r="I388" s="113">
        <v>30138</v>
      </c>
      <c r="J388" s="113">
        <v>29653</v>
      </c>
      <c r="K388" s="113">
        <v>27569</v>
      </c>
      <c r="L388" s="113">
        <v>26952</v>
      </c>
      <c r="M388" s="113">
        <v>27325</v>
      </c>
      <c r="N388" s="113">
        <v>27147</v>
      </c>
      <c r="O388" s="113">
        <v>27329</v>
      </c>
      <c r="P388" s="113">
        <v>23794</v>
      </c>
      <c r="Q388" s="187">
        <f t="shared" ref="Q388:Q395" si="126">(P388-G388)/G388</f>
        <v>-0.12823331135047997</v>
      </c>
      <c r="R388" s="187">
        <f t="shared" ref="R388:R395" si="127">(P388-L388)/L388</f>
        <v>-0.11717126743840903</v>
      </c>
      <c r="S388" s="187">
        <f t="shared" ref="S388:S395" si="128">(P388-O388)/O388</f>
        <v>-0.12934977496432362</v>
      </c>
      <c r="T388" s="187">
        <f>P388/P$395</f>
        <v>0.17691232453009756</v>
      </c>
    </row>
    <row r="389" spans="1:21" x14ac:dyDescent="0.25">
      <c r="A389" s="107" t="s">
        <v>40</v>
      </c>
      <c r="B389" s="113">
        <v>41037</v>
      </c>
      <c r="C389" s="113">
        <v>46023</v>
      </c>
      <c r="D389" s="113">
        <v>53272</v>
      </c>
      <c r="E389" s="113">
        <v>62664</v>
      </c>
      <c r="F389" s="113">
        <v>67952</v>
      </c>
      <c r="G389" s="113">
        <v>66830</v>
      </c>
      <c r="H389" s="113">
        <v>66980</v>
      </c>
      <c r="I389" s="113">
        <v>67528</v>
      </c>
      <c r="J389" s="113">
        <v>66606</v>
      </c>
      <c r="K389" s="113">
        <v>64232</v>
      </c>
      <c r="L389" s="113">
        <v>62121</v>
      </c>
      <c r="M389" s="113">
        <v>61597</v>
      </c>
      <c r="N389" s="113">
        <v>62231</v>
      </c>
      <c r="O389" s="113">
        <v>57028</v>
      </c>
      <c r="P389" s="113">
        <v>56904</v>
      </c>
      <c r="Q389" s="187">
        <f t="shared" si="126"/>
        <v>-0.14852611102798144</v>
      </c>
      <c r="R389" s="187">
        <f t="shared" si="127"/>
        <v>-8.3981262375042262E-2</v>
      </c>
      <c r="S389" s="187">
        <f t="shared" si="128"/>
        <v>-2.174370484674195E-3</v>
      </c>
      <c r="T389" s="187">
        <f t="shared" ref="T389:T394" si="129">P389/P$395</f>
        <v>0.42309064953604569</v>
      </c>
      <c r="U389" s="53"/>
    </row>
    <row r="390" spans="1:21" x14ac:dyDescent="0.25">
      <c r="A390" s="107" t="s">
        <v>41</v>
      </c>
      <c r="B390" s="113">
        <v>14932</v>
      </c>
      <c r="C390" s="113">
        <v>15501</v>
      </c>
      <c r="D390" s="113">
        <v>17123</v>
      </c>
      <c r="E390" s="113">
        <v>20398</v>
      </c>
      <c r="F390" s="113">
        <v>23206</v>
      </c>
      <c r="G390" s="113">
        <v>23971</v>
      </c>
      <c r="H390" s="113">
        <v>24573</v>
      </c>
      <c r="I390" s="113">
        <v>25529</v>
      </c>
      <c r="J390" s="113">
        <v>25727</v>
      </c>
      <c r="K390" s="113">
        <v>24932</v>
      </c>
      <c r="L390" s="113">
        <v>23797</v>
      </c>
      <c r="M390" s="113">
        <v>23209</v>
      </c>
      <c r="N390" s="113">
        <v>23030</v>
      </c>
      <c r="O390" s="113">
        <v>20736</v>
      </c>
      <c r="P390" s="113">
        <v>22387</v>
      </c>
      <c r="Q390" s="187">
        <f t="shared" si="126"/>
        <v>-6.6079846481164745E-2</v>
      </c>
      <c r="R390" s="187">
        <f t="shared" si="127"/>
        <v>-5.9251166113375636E-2</v>
      </c>
      <c r="S390" s="187">
        <f t="shared" si="128"/>
        <v>7.9619984567901231E-2</v>
      </c>
      <c r="T390" s="187">
        <f t="shared" si="129"/>
        <v>0.16645104687128243</v>
      </c>
    </row>
    <row r="391" spans="1:21" x14ac:dyDescent="0.25">
      <c r="A391" s="107" t="s">
        <v>42</v>
      </c>
      <c r="B391" s="113">
        <v>6015</v>
      </c>
      <c r="C391" s="113">
        <v>6272</v>
      </c>
      <c r="D391" s="113">
        <v>6905</v>
      </c>
      <c r="E391" s="113">
        <v>8504</v>
      </c>
      <c r="F391" s="113">
        <v>9864</v>
      </c>
      <c r="G391" s="113">
        <v>11116</v>
      </c>
      <c r="H391" s="113">
        <v>11721</v>
      </c>
      <c r="I391" s="113">
        <v>12140</v>
      </c>
      <c r="J391" s="113">
        <v>11774</v>
      </c>
      <c r="K391" s="113">
        <v>11535</v>
      </c>
      <c r="L391" s="113">
        <v>10874</v>
      </c>
      <c r="M391" s="113">
        <v>10914</v>
      </c>
      <c r="N391" s="113">
        <v>11296</v>
      </c>
      <c r="O391" s="113">
        <v>11015</v>
      </c>
      <c r="P391" s="113">
        <v>13326</v>
      </c>
      <c r="Q391" s="187">
        <f t="shared" si="126"/>
        <v>0.19881252249010437</v>
      </c>
      <c r="R391" s="187">
        <f t="shared" si="127"/>
        <v>0.22549199926430016</v>
      </c>
      <c r="S391" s="187">
        <f t="shared" si="128"/>
        <v>0.20980481162051748</v>
      </c>
      <c r="T391" s="187">
        <f t="shared" si="129"/>
        <v>9.9081013561741607E-2</v>
      </c>
      <c r="U391" s="53"/>
    </row>
    <row r="392" spans="1:21" x14ac:dyDescent="0.25">
      <c r="A392" s="107" t="s">
        <v>43</v>
      </c>
      <c r="B392" s="113">
        <v>2859</v>
      </c>
      <c r="C392" s="113">
        <v>3080</v>
      </c>
      <c r="D392" s="113">
        <v>3619</v>
      </c>
      <c r="E392" s="113">
        <v>4505</v>
      </c>
      <c r="F392" s="113">
        <v>5193</v>
      </c>
      <c r="G392" s="113">
        <v>5602</v>
      </c>
      <c r="H392" s="113">
        <v>5886</v>
      </c>
      <c r="I392" s="113">
        <v>6297</v>
      </c>
      <c r="J392" s="113">
        <v>6159</v>
      </c>
      <c r="K392" s="113">
        <v>6221</v>
      </c>
      <c r="L392" s="113">
        <v>6179</v>
      </c>
      <c r="M392" s="113">
        <v>6298</v>
      </c>
      <c r="N392" s="113">
        <v>6376</v>
      </c>
      <c r="O392" s="113">
        <v>6433</v>
      </c>
      <c r="P392" s="113">
        <v>8032</v>
      </c>
      <c r="Q392" s="187">
        <f t="shared" si="126"/>
        <v>0.4337736522670475</v>
      </c>
      <c r="R392" s="187">
        <f t="shared" si="127"/>
        <v>0.29988671306036574</v>
      </c>
      <c r="S392" s="187">
        <f t="shared" si="128"/>
        <v>0.24856210166329862</v>
      </c>
      <c r="T392" s="187">
        <f t="shared" si="129"/>
        <v>5.9719248156078993E-2</v>
      </c>
    </row>
    <row r="393" spans="1:21" x14ac:dyDescent="0.25">
      <c r="A393" s="107" t="s">
        <v>1</v>
      </c>
      <c r="B393" s="113">
        <v>2666</v>
      </c>
      <c r="C393" s="113">
        <v>2869</v>
      </c>
      <c r="D393" s="113">
        <v>3382</v>
      </c>
      <c r="E393" s="113">
        <v>4178</v>
      </c>
      <c r="F393" s="113">
        <v>4663</v>
      </c>
      <c r="G393" s="113">
        <v>5204</v>
      </c>
      <c r="H393" s="113">
        <v>5543</v>
      </c>
      <c r="I393" s="113">
        <v>6373</v>
      </c>
      <c r="J393" s="113">
        <v>6611</v>
      </c>
      <c r="K393" s="113">
        <v>7221</v>
      </c>
      <c r="L393" s="113">
        <v>6854</v>
      </c>
      <c r="M393" s="113">
        <v>7365</v>
      </c>
      <c r="N393" s="113">
        <v>7859</v>
      </c>
      <c r="O393" s="113">
        <v>7804</v>
      </c>
      <c r="P393" s="113">
        <v>10053</v>
      </c>
      <c r="Q393" s="187">
        <f t="shared" si="126"/>
        <v>0.931783243658724</v>
      </c>
      <c r="R393" s="187">
        <f t="shared" si="127"/>
        <v>0.46673475342865478</v>
      </c>
      <c r="S393" s="187">
        <f t="shared" si="128"/>
        <v>0.28818554587391082</v>
      </c>
      <c r="T393" s="187">
        <f t="shared" si="129"/>
        <v>7.4745717344753743E-2</v>
      </c>
      <c r="U393" s="53"/>
    </row>
    <row r="394" spans="1:21" x14ac:dyDescent="0.25">
      <c r="A394" s="107" t="s">
        <v>77</v>
      </c>
      <c r="B394" s="113">
        <v>78</v>
      </c>
      <c r="C394" s="113">
        <v>216</v>
      </c>
      <c r="D394" s="113">
        <v>105</v>
      </c>
      <c r="E394" s="113">
        <v>13</v>
      </c>
      <c r="F394" s="113">
        <v>8</v>
      </c>
      <c r="G394" s="113">
        <v>14</v>
      </c>
      <c r="H394" s="113">
        <v>4</v>
      </c>
      <c r="I394" s="113">
        <v>5</v>
      </c>
      <c r="J394" s="113">
        <v>10</v>
      </c>
      <c r="K394" s="113">
        <v>1</v>
      </c>
      <c r="L394" s="113"/>
      <c r="M394" s="113">
        <v>22</v>
      </c>
      <c r="N394" s="113">
        <v>1</v>
      </c>
      <c r="O394" s="113"/>
      <c r="P394" s="113"/>
      <c r="Q394" s="187">
        <f t="shared" si="126"/>
        <v>-1</v>
      </c>
      <c r="R394" s="187" t="s">
        <v>155</v>
      </c>
      <c r="S394" s="187" t="s">
        <v>155</v>
      </c>
      <c r="T394" s="187">
        <f t="shared" si="129"/>
        <v>0</v>
      </c>
    </row>
    <row r="395" spans="1:21" x14ac:dyDescent="0.25">
      <c r="A395" s="112" t="s">
        <v>0</v>
      </c>
      <c r="B395" s="2">
        <f>SUM(B388:B394)</f>
        <v>86838</v>
      </c>
      <c r="C395" s="2">
        <f t="shared" ref="C395:P395" si="130">SUM(C388:C394)</f>
        <v>95891</v>
      </c>
      <c r="D395" s="2">
        <f t="shared" si="130"/>
        <v>110007</v>
      </c>
      <c r="E395" s="2">
        <f t="shared" si="130"/>
        <v>128566</v>
      </c>
      <c r="F395" s="2">
        <f t="shared" si="130"/>
        <v>138574</v>
      </c>
      <c r="G395" s="2">
        <f t="shared" si="130"/>
        <v>140031</v>
      </c>
      <c r="H395" s="2">
        <f t="shared" si="130"/>
        <v>144365</v>
      </c>
      <c r="I395" s="2">
        <f t="shared" si="130"/>
        <v>148010</v>
      </c>
      <c r="J395" s="2">
        <f t="shared" si="130"/>
        <v>146540</v>
      </c>
      <c r="K395" s="2">
        <f t="shared" si="130"/>
        <v>141711</v>
      </c>
      <c r="L395" s="2">
        <f t="shared" si="130"/>
        <v>136777</v>
      </c>
      <c r="M395" s="2">
        <f t="shared" si="130"/>
        <v>136730</v>
      </c>
      <c r="N395" s="2">
        <f t="shared" si="130"/>
        <v>137940</v>
      </c>
      <c r="O395" s="2">
        <f t="shared" si="130"/>
        <v>130345</v>
      </c>
      <c r="P395" s="2">
        <f t="shared" si="130"/>
        <v>134496</v>
      </c>
      <c r="Q395" s="188">
        <f t="shared" si="126"/>
        <v>-3.9526961887010735E-2</v>
      </c>
      <c r="R395" s="188">
        <f t="shared" si="127"/>
        <v>-1.6676780452853916E-2</v>
      </c>
      <c r="S395" s="188">
        <f t="shared" si="128"/>
        <v>3.1846254171621464E-2</v>
      </c>
      <c r="T395" s="188">
        <f>SUM(T388:T394)</f>
        <v>1</v>
      </c>
      <c r="U395" s="53"/>
    </row>
    <row r="396" spans="1:21" x14ac:dyDescent="0.25">
      <c r="A396" s="200" t="s">
        <v>127</v>
      </c>
      <c r="B396" s="197">
        <v>23.7081028123559</v>
      </c>
      <c r="C396" s="197">
        <v>23.5424091978051</v>
      </c>
      <c r="D396" s="197">
        <v>23.493039253152801</v>
      </c>
      <c r="E396" s="197">
        <v>23.6828826024359</v>
      </c>
      <c r="F396" s="197">
        <v>23.911380704794901</v>
      </c>
      <c r="G396" s="197">
        <v>24.1648397976391</v>
      </c>
      <c r="H396" s="197">
        <v>24.196826012565701</v>
      </c>
      <c r="I396" s="197">
        <v>24.354427215296798</v>
      </c>
      <c r="J396" s="197">
        <v>24.400675629563899</v>
      </c>
      <c r="K396" s="197">
        <v>24.6299696563404</v>
      </c>
      <c r="L396" s="197">
        <v>24.581574387506699</v>
      </c>
      <c r="M396" s="197">
        <v>24.679265295374101</v>
      </c>
      <c r="N396" s="197">
        <v>24.772363146028301</v>
      </c>
      <c r="O396" s="197">
        <v>24.830281176876699</v>
      </c>
      <c r="P396" s="197">
        <v>25.649640137996698</v>
      </c>
      <c r="Q396" s="201"/>
      <c r="R396" s="202"/>
      <c r="S396" s="202"/>
      <c r="T396" s="202"/>
    </row>
    <row r="397" spans="1:21" x14ac:dyDescent="0.25">
      <c r="A397" s="110"/>
      <c r="B397" s="110"/>
      <c r="C397" s="110"/>
      <c r="D397" s="110"/>
      <c r="E397" s="110"/>
      <c r="F397" s="110"/>
      <c r="G397" s="110"/>
      <c r="H397" s="110"/>
      <c r="I397" s="110"/>
      <c r="J397" s="110"/>
      <c r="K397" s="110"/>
      <c r="L397" s="110"/>
      <c r="M397" s="110"/>
      <c r="N397" s="110"/>
      <c r="O397" s="110"/>
      <c r="P397" s="110"/>
      <c r="Q397" s="39"/>
      <c r="R397" s="39"/>
      <c r="S397" s="39"/>
      <c r="T397" s="39"/>
      <c r="U397" s="53"/>
    </row>
    <row r="398" spans="1:21" ht="18" x14ac:dyDescent="0.25">
      <c r="A398" s="27" t="s">
        <v>448</v>
      </c>
      <c r="B398" s="27"/>
      <c r="C398" s="27"/>
      <c r="D398" s="27"/>
      <c r="E398" s="27"/>
      <c r="F398" s="27"/>
      <c r="G398" s="27"/>
      <c r="H398" s="27"/>
      <c r="I398" s="110"/>
      <c r="J398" s="110"/>
      <c r="K398" s="110"/>
      <c r="L398" s="110"/>
      <c r="M398" s="110"/>
      <c r="N398" s="110"/>
      <c r="O398" s="110"/>
      <c r="P398" s="110"/>
      <c r="Q398" s="39"/>
      <c r="R398" s="39"/>
      <c r="S398" s="39"/>
      <c r="T398" s="39"/>
    </row>
    <row r="399" spans="1:21" ht="25.5" x14ac:dyDescent="0.25">
      <c r="A399" s="148" t="s">
        <v>105</v>
      </c>
      <c r="B399" s="130">
        <v>2007</v>
      </c>
      <c r="C399" s="130">
        <v>2008</v>
      </c>
      <c r="D399" s="130">
        <v>2009</v>
      </c>
      <c r="E399" s="130">
        <v>2010</v>
      </c>
      <c r="F399" s="130">
        <v>2011</v>
      </c>
      <c r="G399" s="130">
        <v>2012</v>
      </c>
      <c r="H399" s="130">
        <v>2013</v>
      </c>
      <c r="I399" s="130">
        <v>2014</v>
      </c>
      <c r="J399" s="130">
        <v>2015</v>
      </c>
      <c r="K399" s="130">
        <v>2016</v>
      </c>
      <c r="L399" s="130">
        <v>2017</v>
      </c>
      <c r="M399" s="130">
        <v>2018</v>
      </c>
      <c r="N399" s="130">
        <v>2019</v>
      </c>
      <c r="O399" s="130">
        <v>2020</v>
      </c>
      <c r="P399" s="130">
        <v>2021</v>
      </c>
      <c r="Q399" s="131" t="s">
        <v>424</v>
      </c>
      <c r="R399" s="131" t="s">
        <v>425</v>
      </c>
      <c r="S399" s="131" t="s">
        <v>426</v>
      </c>
      <c r="T399" s="131" t="s">
        <v>427</v>
      </c>
    </row>
    <row r="400" spans="1:21" x14ac:dyDescent="0.25">
      <c r="A400" s="107" t="s">
        <v>39</v>
      </c>
      <c r="B400" s="113">
        <v>14790</v>
      </c>
      <c r="C400" s="113">
        <v>16416</v>
      </c>
      <c r="D400" s="113">
        <v>19605</v>
      </c>
      <c r="E400" s="113">
        <v>20665</v>
      </c>
      <c r="F400" s="113">
        <v>20069</v>
      </c>
      <c r="G400" s="113">
        <v>20033</v>
      </c>
      <c r="H400" s="113">
        <v>21232</v>
      </c>
      <c r="I400" s="113">
        <v>21202</v>
      </c>
      <c r="J400" s="113">
        <v>20538</v>
      </c>
      <c r="K400" s="113">
        <v>19089</v>
      </c>
      <c r="L400" s="113">
        <v>19550</v>
      </c>
      <c r="M400" s="113">
        <v>19459</v>
      </c>
      <c r="N400" s="113">
        <v>19735</v>
      </c>
      <c r="O400" s="113">
        <v>19807</v>
      </c>
      <c r="P400" s="113">
        <v>16860</v>
      </c>
      <c r="Q400" s="187">
        <f t="shared" ref="Q400:Q407" si="131">(P400-G400)/G400</f>
        <v>-0.15838865871312335</v>
      </c>
      <c r="R400" s="187">
        <f t="shared" ref="R400:R405" si="132">(P400-L400)/L400</f>
        <v>-0.13759590792838874</v>
      </c>
      <c r="S400" s="187">
        <f t="shared" ref="S400:S405" si="133">(P400-O400)/O400</f>
        <v>-0.14878578280405916</v>
      </c>
      <c r="T400" s="187">
        <f>P400/P$407</f>
        <v>0.28912439551394176</v>
      </c>
    </row>
    <row r="401" spans="1:21" x14ac:dyDescent="0.25">
      <c r="A401" s="107" t="s">
        <v>40</v>
      </c>
      <c r="B401" s="113">
        <v>17437</v>
      </c>
      <c r="C401" s="113">
        <v>19031</v>
      </c>
      <c r="D401" s="113">
        <v>20863</v>
      </c>
      <c r="E401" s="113">
        <v>25267</v>
      </c>
      <c r="F401" s="113">
        <v>25280</v>
      </c>
      <c r="G401" s="113">
        <v>23612</v>
      </c>
      <c r="H401" s="113">
        <v>24325</v>
      </c>
      <c r="I401" s="113">
        <v>24104</v>
      </c>
      <c r="J401" s="113">
        <v>22810</v>
      </c>
      <c r="K401" s="113">
        <v>21744</v>
      </c>
      <c r="L401" s="113">
        <v>21936</v>
      </c>
      <c r="M401" s="113">
        <v>21523</v>
      </c>
      <c r="N401" s="113">
        <v>21833</v>
      </c>
      <c r="O401" s="113">
        <v>19042</v>
      </c>
      <c r="P401" s="113">
        <v>18774</v>
      </c>
      <c r="Q401" s="187">
        <f t="shared" si="131"/>
        <v>-0.20489581568693885</v>
      </c>
      <c r="R401" s="187">
        <f t="shared" si="132"/>
        <v>-0.14414660831509846</v>
      </c>
      <c r="S401" s="187">
        <f t="shared" si="133"/>
        <v>-1.4074151874803067E-2</v>
      </c>
      <c r="T401" s="187">
        <f t="shared" ref="T401:T406" si="134">P401/P$407</f>
        <v>0.32194670233563122</v>
      </c>
    </row>
    <row r="402" spans="1:21" x14ac:dyDescent="0.25">
      <c r="A402" s="107" t="s">
        <v>41</v>
      </c>
      <c r="B402" s="113">
        <v>6376</v>
      </c>
      <c r="C402" s="113">
        <v>6395</v>
      </c>
      <c r="D402" s="113">
        <v>6882</v>
      </c>
      <c r="E402" s="113">
        <v>9138</v>
      </c>
      <c r="F402" s="113">
        <v>9760</v>
      </c>
      <c r="G402" s="113">
        <v>9232</v>
      </c>
      <c r="H402" s="113">
        <v>9480</v>
      </c>
      <c r="I402" s="113">
        <v>10100</v>
      </c>
      <c r="J402" s="113">
        <v>9893</v>
      </c>
      <c r="K402" s="113">
        <v>9075</v>
      </c>
      <c r="L402" s="113">
        <v>8993</v>
      </c>
      <c r="M402" s="113">
        <v>8675</v>
      </c>
      <c r="N402" s="113">
        <v>8797</v>
      </c>
      <c r="O402" s="113">
        <v>7302</v>
      </c>
      <c r="P402" s="113">
        <v>8591</v>
      </c>
      <c r="Q402" s="187">
        <f t="shared" si="131"/>
        <v>-6.9432409012131713E-2</v>
      </c>
      <c r="R402" s="187">
        <f t="shared" si="132"/>
        <v>-4.4701434449015899E-2</v>
      </c>
      <c r="S402" s="187">
        <f t="shared" si="133"/>
        <v>0.17652697890988769</v>
      </c>
      <c r="T402" s="187">
        <f t="shared" si="134"/>
        <v>0.14732311280310045</v>
      </c>
    </row>
    <row r="403" spans="1:21" x14ac:dyDescent="0.25">
      <c r="A403" s="107" t="s">
        <v>42</v>
      </c>
      <c r="B403" s="113">
        <v>2687</v>
      </c>
      <c r="C403" s="113">
        <v>2598</v>
      </c>
      <c r="D403" s="113">
        <v>2863</v>
      </c>
      <c r="E403" s="113">
        <v>3987</v>
      </c>
      <c r="F403" s="113">
        <v>4386</v>
      </c>
      <c r="G403" s="113">
        <v>4797</v>
      </c>
      <c r="H403" s="113">
        <v>4803</v>
      </c>
      <c r="I403" s="113">
        <v>5180</v>
      </c>
      <c r="J403" s="113">
        <v>4891</v>
      </c>
      <c r="K403" s="113">
        <v>4391</v>
      </c>
      <c r="L403" s="113">
        <v>4264</v>
      </c>
      <c r="M403" s="113">
        <v>4198</v>
      </c>
      <c r="N403" s="113">
        <v>4621</v>
      </c>
      <c r="O403" s="113">
        <v>4303</v>
      </c>
      <c r="P403" s="113">
        <v>5843</v>
      </c>
      <c r="Q403" s="187">
        <f t="shared" si="131"/>
        <v>0.21805294976026685</v>
      </c>
      <c r="R403" s="187">
        <f t="shared" si="132"/>
        <v>0.37030956848030017</v>
      </c>
      <c r="S403" s="187">
        <f t="shared" si="133"/>
        <v>0.35788984429467813</v>
      </c>
      <c r="T403" s="187">
        <f t="shared" si="134"/>
        <v>0.1001989230716466</v>
      </c>
    </row>
    <row r="404" spans="1:21" x14ac:dyDescent="0.25">
      <c r="A404" s="107" t="s">
        <v>43</v>
      </c>
      <c r="B404" s="113">
        <v>1305</v>
      </c>
      <c r="C404" s="113">
        <v>1315</v>
      </c>
      <c r="D404" s="113">
        <v>1508</v>
      </c>
      <c r="E404" s="113">
        <v>2092</v>
      </c>
      <c r="F404" s="113">
        <v>2319</v>
      </c>
      <c r="G404" s="113">
        <v>2504</v>
      </c>
      <c r="H404" s="113">
        <v>2469</v>
      </c>
      <c r="I404" s="113">
        <v>2586</v>
      </c>
      <c r="J404" s="113">
        <v>2629</v>
      </c>
      <c r="K404" s="113">
        <v>2333</v>
      </c>
      <c r="L404" s="113">
        <v>2450</v>
      </c>
      <c r="M404" s="113">
        <v>2510</v>
      </c>
      <c r="N404" s="113">
        <v>2706</v>
      </c>
      <c r="O404" s="113">
        <v>2587</v>
      </c>
      <c r="P404" s="113">
        <v>3713</v>
      </c>
      <c r="Q404" s="187">
        <f t="shared" si="131"/>
        <v>0.48282747603833864</v>
      </c>
      <c r="R404" s="187">
        <f t="shared" si="132"/>
        <v>0.51551020408163262</v>
      </c>
      <c r="S404" s="187">
        <f t="shared" si="133"/>
        <v>0.43525318902203325</v>
      </c>
      <c r="T404" s="187">
        <f t="shared" si="134"/>
        <v>6.367253146757211E-2</v>
      </c>
    </row>
    <row r="405" spans="1:21" x14ac:dyDescent="0.25">
      <c r="A405" s="107" t="s">
        <v>1</v>
      </c>
      <c r="B405" s="113">
        <v>1269</v>
      </c>
      <c r="C405" s="113">
        <v>1189</v>
      </c>
      <c r="D405" s="113">
        <v>1387</v>
      </c>
      <c r="E405" s="113">
        <v>1929</v>
      </c>
      <c r="F405" s="113">
        <v>2182</v>
      </c>
      <c r="G405" s="113">
        <v>2388</v>
      </c>
      <c r="H405" s="113">
        <v>2412</v>
      </c>
      <c r="I405" s="113">
        <v>2766</v>
      </c>
      <c r="J405" s="113">
        <v>2783</v>
      </c>
      <c r="K405" s="113">
        <v>2790</v>
      </c>
      <c r="L405" s="113">
        <v>2841</v>
      </c>
      <c r="M405" s="113">
        <v>2820</v>
      </c>
      <c r="N405" s="113">
        <v>3234</v>
      </c>
      <c r="O405" s="113">
        <v>3125</v>
      </c>
      <c r="P405" s="113">
        <v>4533</v>
      </c>
      <c r="Q405" s="187">
        <f t="shared" si="131"/>
        <v>0.89824120603015079</v>
      </c>
      <c r="R405" s="187">
        <f t="shared" si="132"/>
        <v>0.59556494192185849</v>
      </c>
      <c r="S405" s="187">
        <f t="shared" si="133"/>
        <v>0.45056000000000002</v>
      </c>
      <c r="T405" s="187">
        <f t="shared" si="134"/>
        <v>7.7734334808107833E-2</v>
      </c>
    </row>
    <row r="406" spans="1:21" x14ac:dyDescent="0.25">
      <c r="A406" s="107" t="s">
        <v>77</v>
      </c>
      <c r="B406" s="151">
        <f t="shared" ref="B406:P406" si="135">B407-B400-B401-B402-B403-B404-B405</f>
        <v>48</v>
      </c>
      <c r="C406" s="151">
        <f t="shared" si="135"/>
        <v>112</v>
      </c>
      <c r="D406" s="151">
        <f t="shared" si="135"/>
        <v>94</v>
      </c>
      <c r="E406" s="151">
        <f t="shared" si="135"/>
        <v>37</v>
      </c>
      <c r="F406" s="151">
        <f t="shared" si="135"/>
        <v>39</v>
      </c>
      <c r="G406" s="151">
        <f t="shared" si="135"/>
        <v>18</v>
      </c>
      <c r="H406" s="151">
        <f t="shared" si="135"/>
        <v>3</v>
      </c>
      <c r="I406" s="151">
        <f t="shared" si="135"/>
        <v>3</v>
      </c>
      <c r="J406" s="151">
        <f t="shared" si="135"/>
        <v>7</v>
      </c>
      <c r="K406" s="151">
        <f t="shared" si="135"/>
        <v>1</v>
      </c>
      <c r="L406" s="151">
        <f t="shared" si="135"/>
        <v>0</v>
      </c>
      <c r="M406" s="151">
        <f t="shared" si="135"/>
        <v>19</v>
      </c>
      <c r="N406" s="151">
        <f t="shared" si="135"/>
        <v>1</v>
      </c>
      <c r="O406" s="151">
        <f t="shared" si="135"/>
        <v>0</v>
      </c>
      <c r="P406" s="151">
        <f t="shared" si="135"/>
        <v>0</v>
      </c>
      <c r="Q406" s="187">
        <f t="shared" si="131"/>
        <v>-1</v>
      </c>
      <c r="R406" s="187" t="s">
        <v>155</v>
      </c>
      <c r="S406" s="187" t="s">
        <v>155</v>
      </c>
      <c r="T406" s="187">
        <f t="shared" si="134"/>
        <v>0</v>
      </c>
    </row>
    <row r="407" spans="1:21" x14ac:dyDescent="0.25">
      <c r="A407" s="112" t="s">
        <v>0</v>
      </c>
      <c r="B407" s="2">
        <v>43912</v>
      </c>
      <c r="C407" s="2">
        <v>47056</v>
      </c>
      <c r="D407" s="2">
        <v>53202</v>
      </c>
      <c r="E407" s="2">
        <v>63115</v>
      </c>
      <c r="F407" s="2">
        <v>64035</v>
      </c>
      <c r="G407" s="2">
        <v>62584</v>
      </c>
      <c r="H407" s="2">
        <v>64724</v>
      </c>
      <c r="I407" s="2">
        <v>65941</v>
      </c>
      <c r="J407" s="2">
        <v>63551</v>
      </c>
      <c r="K407" s="2">
        <v>59423</v>
      </c>
      <c r="L407" s="2">
        <v>60034</v>
      </c>
      <c r="M407" s="2">
        <v>59204</v>
      </c>
      <c r="N407" s="2">
        <v>60927</v>
      </c>
      <c r="O407" s="2">
        <v>56166</v>
      </c>
      <c r="P407" s="2">
        <v>58314</v>
      </c>
      <c r="Q407" s="188">
        <f t="shared" si="131"/>
        <v>-6.822830116323661E-2</v>
      </c>
      <c r="R407" s="188">
        <f t="shared" ref="R407" si="136">(P407-L407)/L407</f>
        <v>-2.8650431422194089E-2</v>
      </c>
      <c r="S407" s="188">
        <f t="shared" ref="S407" si="137">(P407-O407)/O407</f>
        <v>3.8243777374212154E-2</v>
      </c>
      <c r="T407" s="188">
        <f>SUM(T400:T406)</f>
        <v>1</v>
      </c>
    </row>
    <row r="408" spans="1:21" x14ac:dyDescent="0.25">
      <c r="A408" s="200" t="s">
        <v>449</v>
      </c>
      <c r="B408" s="197">
        <v>23.012766733540001</v>
      </c>
      <c r="C408" s="197">
        <v>22.732319359236499</v>
      </c>
      <c r="D408" s="197">
        <v>22.638378398734702</v>
      </c>
      <c r="E408" s="197">
        <v>23.1590411871017</v>
      </c>
      <c r="F408" s="197">
        <v>23.441152572035801</v>
      </c>
      <c r="G408" s="197">
        <v>23.626426493622699</v>
      </c>
      <c r="H408" s="197">
        <v>23.526614236492001</v>
      </c>
      <c r="I408" s="197">
        <v>23.749719450426099</v>
      </c>
      <c r="J408" s="197">
        <v>23.8293780687398</v>
      </c>
      <c r="K408" s="197">
        <v>23.845999798054599</v>
      </c>
      <c r="L408" s="197">
        <v>23.809674517773299</v>
      </c>
      <c r="M408" s="197">
        <v>23.837053307425901</v>
      </c>
      <c r="N408" s="197">
        <v>24.045940977579399</v>
      </c>
      <c r="O408" s="197">
        <v>23.973827582523199</v>
      </c>
      <c r="P408" s="197">
        <v>25.312875124326901</v>
      </c>
      <c r="Q408" s="201"/>
      <c r="R408" s="202"/>
      <c r="S408" s="202"/>
      <c r="T408" s="202"/>
    </row>
    <row r="409" spans="1:21" x14ac:dyDescent="0.25">
      <c r="A409" s="110" t="s">
        <v>447</v>
      </c>
      <c r="B409" s="110"/>
      <c r="C409" s="110"/>
      <c r="D409" s="110"/>
      <c r="E409" s="110"/>
      <c r="F409" s="110"/>
      <c r="G409" s="110"/>
      <c r="H409" s="110"/>
      <c r="I409" s="110"/>
      <c r="J409" s="110"/>
      <c r="K409" s="110"/>
      <c r="L409" s="110"/>
      <c r="M409" s="110"/>
      <c r="N409" s="110"/>
      <c r="O409" s="110"/>
      <c r="P409" s="110"/>
      <c r="Q409" s="39"/>
      <c r="R409" s="39"/>
      <c r="S409" s="39"/>
      <c r="T409" s="39"/>
    </row>
    <row r="410" spans="1:21" x14ac:dyDescent="0.25">
      <c r="A410" s="110"/>
      <c r="B410" s="110"/>
      <c r="C410" s="110"/>
      <c r="D410" s="110"/>
      <c r="E410" s="110"/>
      <c r="F410" s="110"/>
      <c r="G410" s="110"/>
      <c r="H410" s="110"/>
      <c r="I410" s="110"/>
      <c r="J410" s="110"/>
      <c r="K410" s="110"/>
      <c r="L410" s="110"/>
      <c r="M410" s="110"/>
      <c r="N410" s="110"/>
      <c r="O410" s="110"/>
      <c r="P410" s="110"/>
      <c r="Q410" s="39"/>
      <c r="R410" s="39"/>
      <c r="S410" s="39"/>
      <c r="T410" s="39"/>
    </row>
    <row r="411" spans="1:21" ht="15.75" x14ac:dyDescent="0.25">
      <c r="A411" s="27" t="s">
        <v>119</v>
      </c>
      <c r="B411" s="27"/>
      <c r="C411" s="27"/>
      <c r="D411" s="27"/>
      <c r="E411" s="27"/>
      <c r="F411" s="27"/>
      <c r="G411" s="27"/>
      <c r="H411" s="27"/>
      <c r="I411" s="110"/>
      <c r="J411" s="110"/>
      <c r="K411" s="110"/>
      <c r="L411" s="110"/>
      <c r="M411" s="110"/>
      <c r="N411" s="110"/>
      <c r="O411" s="110"/>
      <c r="P411" s="110"/>
      <c r="Q411" s="39"/>
      <c r="R411" s="39"/>
      <c r="S411" s="39"/>
      <c r="T411" s="39"/>
      <c r="U411" s="53"/>
    </row>
    <row r="412" spans="1:21" ht="30" customHeight="1" x14ac:dyDescent="0.25">
      <c r="A412" s="148" t="s">
        <v>105</v>
      </c>
      <c r="B412" s="130">
        <v>2007</v>
      </c>
      <c r="C412" s="130">
        <v>2008</v>
      </c>
      <c r="D412" s="130">
        <v>2009</v>
      </c>
      <c r="E412" s="130">
        <v>2010</v>
      </c>
      <c r="F412" s="130">
        <v>2011</v>
      </c>
      <c r="G412" s="130">
        <v>2012</v>
      </c>
      <c r="H412" s="130">
        <v>2013</v>
      </c>
      <c r="I412" s="130">
        <v>2014</v>
      </c>
      <c r="J412" s="130">
        <v>2015</v>
      </c>
      <c r="K412" s="130">
        <v>2016</v>
      </c>
      <c r="L412" s="130">
        <v>2017</v>
      </c>
      <c r="M412" s="130">
        <v>2018</v>
      </c>
      <c r="N412" s="130">
        <v>2019</v>
      </c>
      <c r="O412" s="130">
        <v>2020</v>
      </c>
      <c r="P412" s="130">
        <v>2021</v>
      </c>
      <c r="Q412" s="131" t="s">
        <v>424</v>
      </c>
      <c r="R412" s="131" t="s">
        <v>425</v>
      </c>
      <c r="S412" s="131" t="s">
        <v>426</v>
      </c>
      <c r="T412" s="131" t="s">
        <v>427</v>
      </c>
    </row>
    <row r="413" spans="1:21" x14ac:dyDescent="0.25">
      <c r="A413" s="107" t="s">
        <v>39</v>
      </c>
      <c r="B413" s="151">
        <v>32963</v>
      </c>
      <c r="C413" s="151">
        <v>33654</v>
      </c>
      <c r="D413" s="151">
        <v>37223</v>
      </c>
      <c r="E413" s="151">
        <v>40455</v>
      </c>
      <c r="F413" s="151">
        <v>43918</v>
      </c>
      <c r="G413" s="151">
        <v>45726</v>
      </c>
      <c r="H413" s="151">
        <v>51461</v>
      </c>
      <c r="I413" s="151">
        <v>53220</v>
      </c>
      <c r="J413" s="151">
        <v>51604</v>
      </c>
      <c r="K413" s="151">
        <v>50595</v>
      </c>
      <c r="L413" s="151">
        <v>50014</v>
      </c>
      <c r="M413" s="151">
        <v>50615</v>
      </c>
      <c r="N413" s="151">
        <v>50884</v>
      </c>
      <c r="O413" s="151">
        <v>51176</v>
      </c>
      <c r="P413" s="151">
        <v>47974</v>
      </c>
      <c r="Q413" s="187">
        <f t="shared" ref="Q413:Q420" si="138">(P413-G413)/G413</f>
        <v>4.9162402134453047E-2</v>
      </c>
      <c r="R413" s="187">
        <f t="shared" ref="R413:R420" si="139">(P413-L413)/L413</f>
        <v>-4.0788579197824609E-2</v>
      </c>
      <c r="S413" s="187">
        <f t="shared" ref="S413:S420" si="140">(P413-O413)/O413</f>
        <v>-6.2568391433484444E-2</v>
      </c>
      <c r="T413" s="187">
        <f>P413/P$420</f>
        <v>0.12673496452139549</v>
      </c>
      <c r="U413" s="53"/>
    </row>
    <row r="414" spans="1:21" x14ac:dyDescent="0.25">
      <c r="A414" s="107" t="s">
        <v>40</v>
      </c>
      <c r="B414" s="151">
        <v>80093</v>
      </c>
      <c r="C414" s="151">
        <v>82763</v>
      </c>
      <c r="D414" s="151">
        <v>98077</v>
      </c>
      <c r="E414" s="151">
        <v>116595</v>
      </c>
      <c r="F414" s="151">
        <v>133791</v>
      </c>
      <c r="G414" s="151">
        <v>145905</v>
      </c>
      <c r="H414" s="151">
        <v>155339</v>
      </c>
      <c r="I414" s="151">
        <v>162243</v>
      </c>
      <c r="J414" s="151">
        <v>168841</v>
      </c>
      <c r="K414" s="151">
        <v>169758</v>
      </c>
      <c r="L414" s="151">
        <v>165742</v>
      </c>
      <c r="M414" s="151">
        <v>162908</v>
      </c>
      <c r="N414" s="151">
        <v>162978</v>
      </c>
      <c r="O414" s="151">
        <v>151420</v>
      </c>
      <c r="P414" s="151">
        <v>149209</v>
      </c>
      <c r="Q414" s="187">
        <f t="shared" si="138"/>
        <v>2.2644871663068434E-2</v>
      </c>
      <c r="R414" s="187">
        <f t="shared" si="139"/>
        <v>-9.9751420883059216E-2</v>
      </c>
      <c r="S414" s="187">
        <f t="shared" si="140"/>
        <v>-1.4601769911504425E-2</v>
      </c>
      <c r="T414" s="187">
        <f t="shared" ref="T414:T419" si="141">P414/P$420</f>
        <v>0.39417178724460955</v>
      </c>
      <c r="U414" s="53"/>
    </row>
    <row r="415" spans="1:21" x14ac:dyDescent="0.25">
      <c r="A415" s="107" t="s">
        <v>41</v>
      </c>
      <c r="B415" s="151">
        <v>26787</v>
      </c>
      <c r="C415" s="151">
        <v>27381</v>
      </c>
      <c r="D415" s="151">
        <v>31654</v>
      </c>
      <c r="E415" s="151">
        <v>39014</v>
      </c>
      <c r="F415" s="151">
        <v>47848</v>
      </c>
      <c r="G415" s="151">
        <v>56041</v>
      </c>
      <c r="H415" s="151">
        <v>63951</v>
      </c>
      <c r="I415" s="151">
        <v>70935</v>
      </c>
      <c r="J415" s="151">
        <v>77221</v>
      </c>
      <c r="K415" s="151">
        <v>79440</v>
      </c>
      <c r="L415" s="151">
        <v>77341</v>
      </c>
      <c r="M415" s="151">
        <v>74577</v>
      </c>
      <c r="N415" s="151">
        <v>73710</v>
      </c>
      <c r="O415" s="151">
        <v>66943</v>
      </c>
      <c r="P415" s="151">
        <v>70312</v>
      </c>
      <c r="Q415" s="187">
        <f t="shared" si="138"/>
        <v>0.25465284345389982</v>
      </c>
      <c r="R415" s="187">
        <f t="shared" si="139"/>
        <v>-9.0883231403783252E-2</v>
      </c>
      <c r="S415" s="187">
        <f t="shared" si="140"/>
        <v>5.0326397084086462E-2</v>
      </c>
      <c r="T415" s="187">
        <f t="shared" si="141"/>
        <v>0.18574621306183264</v>
      </c>
      <c r="U415" s="53"/>
    </row>
    <row r="416" spans="1:21" x14ac:dyDescent="0.25">
      <c r="A416" s="107" t="s">
        <v>42</v>
      </c>
      <c r="B416" s="151">
        <v>8653</v>
      </c>
      <c r="C416" s="151">
        <v>9434</v>
      </c>
      <c r="D416" s="151">
        <v>11368</v>
      </c>
      <c r="E416" s="151">
        <v>14655</v>
      </c>
      <c r="F416" s="151">
        <v>18656</v>
      </c>
      <c r="G416" s="151">
        <v>23963</v>
      </c>
      <c r="H416" s="151">
        <v>28552</v>
      </c>
      <c r="I416" s="151">
        <v>33043</v>
      </c>
      <c r="J416" s="151">
        <v>37543</v>
      </c>
      <c r="K416" s="151">
        <v>38863</v>
      </c>
      <c r="L416" s="151">
        <v>37952</v>
      </c>
      <c r="M416" s="151">
        <v>38431</v>
      </c>
      <c r="N416" s="151">
        <v>40584</v>
      </c>
      <c r="O416" s="151">
        <v>40154</v>
      </c>
      <c r="P416" s="151">
        <v>47133</v>
      </c>
      <c r="Q416" s="187">
        <f t="shared" si="138"/>
        <v>0.96690731544464381</v>
      </c>
      <c r="R416" s="187">
        <f t="shared" si="139"/>
        <v>0.24191083473861721</v>
      </c>
      <c r="S416" s="187">
        <f t="shared" si="140"/>
        <v>0.17380584748717437</v>
      </c>
      <c r="T416" s="187">
        <f t="shared" si="141"/>
        <v>0.12451325890663553</v>
      </c>
      <c r="U416" s="53"/>
    </row>
    <row r="417" spans="1:21" x14ac:dyDescent="0.25">
      <c r="A417" s="107" t="s">
        <v>43</v>
      </c>
      <c r="B417" s="151">
        <v>3834</v>
      </c>
      <c r="C417" s="151">
        <v>4631</v>
      </c>
      <c r="D417" s="151">
        <v>5715</v>
      </c>
      <c r="E417" s="151">
        <v>7350</v>
      </c>
      <c r="F417" s="151">
        <v>9022</v>
      </c>
      <c r="G417" s="151">
        <v>11353</v>
      </c>
      <c r="H417" s="151">
        <v>13258</v>
      </c>
      <c r="I417" s="151">
        <v>16125</v>
      </c>
      <c r="J417" s="151">
        <v>18885</v>
      </c>
      <c r="K417" s="151">
        <v>20945</v>
      </c>
      <c r="L417" s="151">
        <v>21727</v>
      </c>
      <c r="M417" s="151">
        <v>22547</v>
      </c>
      <c r="N417" s="151">
        <v>24513</v>
      </c>
      <c r="O417" s="151">
        <v>24375</v>
      </c>
      <c r="P417" s="151">
        <v>30053</v>
      </c>
      <c r="Q417" s="187">
        <f t="shared" si="138"/>
        <v>1.6471417246542763</v>
      </c>
      <c r="R417" s="187">
        <f t="shared" si="139"/>
        <v>0.38320983108574586</v>
      </c>
      <c r="S417" s="187">
        <f t="shared" si="140"/>
        <v>0.23294358974358975</v>
      </c>
      <c r="T417" s="187">
        <f t="shared" si="141"/>
        <v>7.9392293508181472E-2</v>
      </c>
      <c r="U417" s="53"/>
    </row>
    <row r="418" spans="1:21" x14ac:dyDescent="0.25">
      <c r="A418" s="107" t="s">
        <v>1</v>
      </c>
      <c r="B418" s="151">
        <v>3735</v>
      </c>
      <c r="C418" s="151">
        <v>4914</v>
      </c>
      <c r="D418" s="151">
        <v>5430</v>
      </c>
      <c r="E418" s="151">
        <v>6209</v>
      </c>
      <c r="F418" s="151">
        <v>7445</v>
      </c>
      <c r="G418" s="151">
        <v>10516</v>
      </c>
      <c r="H418" s="151">
        <v>12011</v>
      </c>
      <c r="I418" s="151">
        <v>15436</v>
      </c>
      <c r="J418" s="151">
        <v>19076</v>
      </c>
      <c r="K418" s="151">
        <v>21385</v>
      </c>
      <c r="L418" s="151">
        <v>21932</v>
      </c>
      <c r="M418" s="151">
        <v>23910</v>
      </c>
      <c r="N418" s="151">
        <v>26774</v>
      </c>
      <c r="O418" s="151">
        <v>27317</v>
      </c>
      <c r="P418" s="151">
        <v>33857</v>
      </c>
      <c r="Q418" s="187">
        <f t="shared" si="138"/>
        <v>2.2195701787751996</v>
      </c>
      <c r="R418" s="187">
        <f t="shared" si="139"/>
        <v>0.54372606237461241</v>
      </c>
      <c r="S418" s="187">
        <f t="shared" si="140"/>
        <v>0.23941135556613097</v>
      </c>
      <c r="T418" s="187">
        <f t="shared" si="141"/>
        <v>8.944148275734537E-2</v>
      </c>
      <c r="U418" s="53"/>
    </row>
    <row r="419" spans="1:21" x14ac:dyDescent="0.25">
      <c r="A419" s="107" t="s">
        <v>77</v>
      </c>
      <c r="B419" s="151">
        <v>59</v>
      </c>
      <c r="C419" s="151">
        <v>71</v>
      </c>
      <c r="D419" s="151">
        <v>130</v>
      </c>
      <c r="E419" s="151">
        <v>23</v>
      </c>
      <c r="F419" s="151">
        <v>12</v>
      </c>
      <c r="G419" s="151">
        <v>15</v>
      </c>
      <c r="H419" s="151">
        <v>7</v>
      </c>
      <c r="I419" s="151">
        <v>2</v>
      </c>
      <c r="J419" s="151">
        <v>1</v>
      </c>
      <c r="K419" s="151">
        <v>2</v>
      </c>
      <c r="L419" s="151">
        <v>1</v>
      </c>
      <c r="M419" s="151">
        <v>116</v>
      </c>
      <c r="N419" s="151">
        <v>13</v>
      </c>
      <c r="O419" s="151">
        <v>2</v>
      </c>
      <c r="P419" s="151"/>
      <c r="Q419" s="187">
        <f t="shared" si="138"/>
        <v>-1</v>
      </c>
      <c r="R419" s="187">
        <f t="shared" si="139"/>
        <v>-1</v>
      </c>
      <c r="S419" s="187">
        <f t="shared" si="140"/>
        <v>-1</v>
      </c>
      <c r="T419" s="187">
        <f t="shared" si="141"/>
        <v>0</v>
      </c>
      <c r="U419" s="53"/>
    </row>
    <row r="420" spans="1:21" x14ac:dyDescent="0.25">
      <c r="A420" s="112" t="s">
        <v>0</v>
      </c>
      <c r="B420" s="2">
        <f>SUM(B413:B419)</f>
        <v>156124</v>
      </c>
      <c r="C420" s="2">
        <f t="shared" ref="C420:P420" si="142">SUM(C413:C419)</f>
        <v>162848</v>
      </c>
      <c r="D420" s="2">
        <f t="shared" si="142"/>
        <v>189597</v>
      </c>
      <c r="E420" s="2">
        <f t="shared" si="142"/>
        <v>224301</v>
      </c>
      <c r="F420" s="2">
        <f t="shared" si="142"/>
        <v>260692</v>
      </c>
      <c r="G420" s="2">
        <f t="shared" si="142"/>
        <v>293519</v>
      </c>
      <c r="H420" s="2">
        <f t="shared" si="142"/>
        <v>324579</v>
      </c>
      <c r="I420" s="2">
        <f t="shared" si="142"/>
        <v>351004</v>
      </c>
      <c r="J420" s="2">
        <f t="shared" si="142"/>
        <v>373171</v>
      </c>
      <c r="K420" s="2">
        <f t="shared" si="142"/>
        <v>380988</v>
      </c>
      <c r="L420" s="2">
        <f t="shared" si="142"/>
        <v>374709</v>
      </c>
      <c r="M420" s="2">
        <f t="shared" si="142"/>
        <v>373104</v>
      </c>
      <c r="N420" s="2">
        <f t="shared" si="142"/>
        <v>379456</v>
      </c>
      <c r="O420" s="2">
        <f t="shared" si="142"/>
        <v>361387</v>
      </c>
      <c r="P420" s="2">
        <f t="shared" si="142"/>
        <v>378538</v>
      </c>
      <c r="Q420" s="188">
        <f t="shared" si="138"/>
        <v>0.28965416208150069</v>
      </c>
      <c r="R420" s="188">
        <f t="shared" si="139"/>
        <v>1.0218596297393443E-2</v>
      </c>
      <c r="S420" s="188">
        <f t="shared" si="140"/>
        <v>4.7458818385830145E-2</v>
      </c>
      <c r="T420" s="188">
        <f t="shared" ref="T420" si="143">O420/O$6</f>
        <v>1</v>
      </c>
      <c r="U420" s="53"/>
    </row>
    <row r="421" spans="1:21" x14ac:dyDescent="0.25">
      <c r="A421" s="200" t="s">
        <v>127</v>
      </c>
      <c r="B421" s="197">
        <v>23.332918976067699</v>
      </c>
      <c r="C421" s="197">
        <v>23.5665603862954</v>
      </c>
      <c r="D421" s="197">
        <v>23.587004597106599</v>
      </c>
      <c r="E421" s="197">
        <v>23.7622415038479</v>
      </c>
      <c r="F421" s="197">
        <v>23.982123676538301</v>
      </c>
      <c r="G421" s="197">
        <v>24.422321331225501</v>
      </c>
      <c r="H421" s="197">
        <v>24.5707146642347</v>
      </c>
      <c r="I421" s="197">
        <v>24.929615785665</v>
      </c>
      <c r="J421" s="197">
        <v>25.296149208135699</v>
      </c>
      <c r="K421" s="197">
        <v>25.538749455360598</v>
      </c>
      <c r="L421" s="197">
        <v>25.62916457615</v>
      </c>
      <c r="M421" s="197">
        <v>25.786065503447801</v>
      </c>
      <c r="N421" s="197">
        <v>26.010391547610599</v>
      </c>
      <c r="O421" s="197">
        <v>26.140000276713199</v>
      </c>
      <c r="P421" s="197">
        <v>26.849116865413801</v>
      </c>
      <c r="Q421" s="202"/>
      <c r="R421" s="202"/>
      <c r="S421" s="202"/>
      <c r="T421" s="202"/>
      <c r="U421" s="53"/>
    </row>
    <row r="422" spans="1:21" x14ac:dyDescent="0.25">
      <c r="A422" s="110"/>
      <c r="B422" s="110"/>
      <c r="C422" s="110"/>
      <c r="D422" s="110"/>
      <c r="E422" s="110"/>
      <c r="F422" s="110"/>
      <c r="G422" s="110"/>
      <c r="H422" s="110"/>
      <c r="I422" s="110"/>
      <c r="J422" s="110"/>
      <c r="K422" s="110"/>
      <c r="L422" s="110"/>
      <c r="M422" s="110"/>
      <c r="N422" s="110"/>
      <c r="O422" s="110"/>
      <c r="P422" s="110"/>
      <c r="Q422" s="39"/>
      <c r="R422" s="39"/>
      <c r="S422" s="39"/>
      <c r="T422" s="39"/>
      <c r="U422" s="53"/>
    </row>
    <row r="423" spans="1:21" ht="18" x14ac:dyDescent="0.25">
      <c r="A423" s="27" t="s">
        <v>450</v>
      </c>
      <c r="B423" s="27"/>
      <c r="C423" s="27"/>
      <c r="D423" s="27"/>
      <c r="E423" s="27"/>
      <c r="F423" s="27"/>
      <c r="G423" s="27"/>
      <c r="H423" s="27"/>
      <c r="I423" s="110"/>
      <c r="J423" s="110"/>
      <c r="K423" s="110"/>
      <c r="L423" s="110"/>
      <c r="M423" s="110"/>
      <c r="N423" s="110"/>
      <c r="O423" s="110"/>
      <c r="P423" s="110"/>
      <c r="Q423" s="39"/>
      <c r="R423" s="39"/>
      <c r="S423" s="39"/>
      <c r="T423" s="39"/>
      <c r="U423" s="53"/>
    </row>
    <row r="424" spans="1:21" ht="25.5" x14ac:dyDescent="0.25">
      <c r="A424" s="148" t="s">
        <v>105</v>
      </c>
      <c r="B424" s="130">
        <v>2007</v>
      </c>
      <c r="C424" s="130">
        <v>2008</v>
      </c>
      <c r="D424" s="130">
        <v>2009</v>
      </c>
      <c r="E424" s="130">
        <v>2010</v>
      </c>
      <c r="F424" s="130">
        <v>2011</v>
      </c>
      <c r="G424" s="130">
        <v>2012</v>
      </c>
      <c r="H424" s="130">
        <v>2013</v>
      </c>
      <c r="I424" s="130">
        <v>2014</v>
      </c>
      <c r="J424" s="130">
        <v>2015</v>
      </c>
      <c r="K424" s="130">
        <v>2016</v>
      </c>
      <c r="L424" s="130">
        <v>2017</v>
      </c>
      <c r="M424" s="130">
        <v>2018</v>
      </c>
      <c r="N424" s="130">
        <v>2019</v>
      </c>
      <c r="O424" s="130">
        <v>2020</v>
      </c>
      <c r="P424" s="130">
        <v>2021</v>
      </c>
      <c r="Q424" s="131" t="s">
        <v>424</v>
      </c>
      <c r="R424" s="131" t="s">
        <v>425</v>
      </c>
      <c r="S424" s="131" t="s">
        <v>426</v>
      </c>
      <c r="T424" s="131" t="s">
        <v>427</v>
      </c>
      <c r="U424" s="53"/>
    </row>
    <row r="425" spans="1:21" x14ac:dyDescent="0.25">
      <c r="A425" s="107" t="s">
        <v>39</v>
      </c>
      <c r="B425" s="113">
        <v>25820</v>
      </c>
      <c r="C425" s="113">
        <v>25026</v>
      </c>
      <c r="D425" s="113">
        <v>28480</v>
      </c>
      <c r="E425" s="113">
        <v>29826</v>
      </c>
      <c r="F425" s="113">
        <v>32887</v>
      </c>
      <c r="G425" s="113">
        <v>33666</v>
      </c>
      <c r="H425" s="113">
        <v>38730</v>
      </c>
      <c r="I425" s="113">
        <v>37781</v>
      </c>
      <c r="J425" s="113">
        <v>36347</v>
      </c>
      <c r="K425" s="113">
        <v>36364</v>
      </c>
      <c r="L425" s="113">
        <v>36021</v>
      </c>
      <c r="M425" s="113">
        <v>35764</v>
      </c>
      <c r="N425" s="113">
        <v>36442</v>
      </c>
      <c r="O425" s="113">
        <v>36007</v>
      </c>
      <c r="P425" s="113">
        <v>34170</v>
      </c>
      <c r="Q425" s="187">
        <f t="shared" ref="Q425:Q432" si="144">(P425-G425)/G425</f>
        <v>1.4970593477098556E-2</v>
      </c>
      <c r="R425" s="187">
        <f t="shared" ref="R425:R432" si="145">(P425-L425)/L425</f>
        <v>-5.1386691096860164E-2</v>
      </c>
      <c r="S425" s="187">
        <f t="shared" ref="S425:S432" si="146">(P425-O425)/O425</f>
        <v>-5.1017857638792456E-2</v>
      </c>
      <c r="T425" s="187">
        <f>P425/P$432</f>
        <v>0.28238269176735037</v>
      </c>
      <c r="U425" s="53"/>
    </row>
    <row r="426" spans="1:21" x14ac:dyDescent="0.25">
      <c r="A426" s="107" t="s">
        <v>40</v>
      </c>
      <c r="B426" s="113">
        <v>27493</v>
      </c>
      <c r="C426" s="113">
        <v>27754</v>
      </c>
      <c r="D426" s="113">
        <v>32934</v>
      </c>
      <c r="E426" s="113">
        <v>39864</v>
      </c>
      <c r="F426" s="113">
        <v>42955</v>
      </c>
      <c r="G426" s="113">
        <v>44651</v>
      </c>
      <c r="H426" s="113">
        <v>48531</v>
      </c>
      <c r="I426" s="113">
        <v>48022</v>
      </c>
      <c r="J426" s="113">
        <v>44763</v>
      </c>
      <c r="K426" s="113">
        <v>43557</v>
      </c>
      <c r="L426" s="113">
        <v>41670</v>
      </c>
      <c r="M426" s="113">
        <v>40207</v>
      </c>
      <c r="N426" s="113">
        <v>39282</v>
      </c>
      <c r="O426" s="113">
        <v>33250</v>
      </c>
      <c r="P426" s="113">
        <v>33416</v>
      </c>
      <c r="Q426" s="187">
        <f t="shared" si="144"/>
        <v>-0.25161810485767394</v>
      </c>
      <c r="R426" s="187">
        <f t="shared" si="145"/>
        <v>-0.19808015358771297</v>
      </c>
      <c r="S426" s="187">
        <f t="shared" si="146"/>
        <v>4.9924812030075188E-3</v>
      </c>
      <c r="T426" s="187">
        <f t="shared" ref="T426:T431" si="147">P426/P$432</f>
        <v>0.27615159578863857</v>
      </c>
      <c r="U426" s="53"/>
    </row>
    <row r="427" spans="1:21" x14ac:dyDescent="0.25">
      <c r="A427" s="107" t="s">
        <v>41</v>
      </c>
      <c r="B427" s="113">
        <v>8284</v>
      </c>
      <c r="C427" s="113">
        <v>8794</v>
      </c>
      <c r="D427" s="113">
        <v>10731</v>
      </c>
      <c r="E427" s="113">
        <v>14198</v>
      </c>
      <c r="F427" s="113">
        <v>16508</v>
      </c>
      <c r="G427" s="113">
        <v>17504</v>
      </c>
      <c r="H427" s="113">
        <v>20416</v>
      </c>
      <c r="I427" s="113">
        <v>21502</v>
      </c>
      <c r="J427" s="113">
        <v>20740</v>
      </c>
      <c r="K427" s="113">
        <v>20798</v>
      </c>
      <c r="L427" s="113">
        <v>19521</v>
      </c>
      <c r="M427" s="113">
        <v>19676</v>
      </c>
      <c r="N427" s="113">
        <v>19032</v>
      </c>
      <c r="O427" s="113">
        <v>15797</v>
      </c>
      <c r="P427" s="113">
        <v>18496</v>
      </c>
      <c r="Q427" s="187">
        <f t="shared" si="144"/>
        <v>5.6672760511882997E-2</v>
      </c>
      <c r="R427" s="187">
        <f t="shared" si="145"/>
        <v>-5.2507555965370628E-2</v>
      </c>
      <c r="S427" s="187">
        <f t="shared" si="146"/>
        <v>0.17085522567576122</v>
      </c>
      <c r="T427" s="187">
        <f t="shared" si="147"/>
        <v>0.15285192469794887</v>
      </c>
      <c r="U427" s="53"/>
    </row>
    <row r="428" spans="1:21" x14ac:dyDescent="0.25">
      <c r="A428" s="107" t="s">
        <v>42</v>
      </c>
      <c r="B428" s="113">
        <v>3283</v>
      </c>
      <c r="C428" s="113">
        <v>3445</v>
      </c>
      <c r="D428" s="113">
        <v>4404</v>
      </c>
      <c r="E428" s="113">
        <v>5868</v>
      </c>
      <c r="F428" s="113">
        <v>6996</v>
      </c>
      <c r="G428" s="113">
        <v>8445</v>
      </c>
      <c r="H428" s="113">
        <v>9919</v>
      </c>
      <c r="I428" s="113">
        <v>10657</v>
      </c>
      <c r="J428" s="113">
        <v>11118</v>
      </c>
      <c r="K428" s="113">
        <v>10740</v>
      </c>
      <c r="L428" s="113">
        <v>10387</v>
      </c>
      <c r="M428" s="113">
        <v>11322</v>
      </c>
      <c r="N428" s="113">
        <v>11818</v>
      </c>
      <c r="O428" s="113">
        <v>10959</v>
      </c>
      <c r="P428" s="113">
        <v>14819</v>
      </c>
      <c r="Q428" s="187">
        <f t="shared" si="144"/>
        <v>0.75476613380698643</v>
      </c>
      <c r="R428" s="187">
        <f t="shared" si="145"/>
        <v>0.42668720516029651</v>
      </c>
      <c r="S428" s="187">
        <f t="shared" si="146"/>
        <v>0.35222191805821701</v>
      </c>
      <c r="T428" s="187">
        <f t="shared" si="147"/>
        <v>0.12246500173545113</v>
      </c>
      <c r="U428" s="53"/>
    </row>
    <row r="429" spans="1:21" x14ac:dyDescent="0.25">
      <c r="A429" s="107" t="s">
        <v>43</v>
      </c>
      <c r="B429" s="113">
        <v>1538</v>
      </c>
      <c r="C429" s="113">
        <v>1811</v>
      </c>
      <c r="D429" s="113">
        <v>2311</v>
      </c>
      <c r="E429" s="113">
        <v>2993</v>
      </c>
      <c r="F429" s="113">
        <v>3472</v>
      </c>
      <c r="G429" s="113">
        <v>3954</v>
      </c>
      <c r="H429" s="113">
        <v>4718</v>
      </c>
      <c r="I429" s="113">
        <v>5402</v>
      </c>
      <c r="J429" s="113">
        <v>5675</v>
      </c>
      <c r="K429" s="113">
        <v>5907</v>
      </c>
      <c r="L429" s="113">
        <v>5965</v>
      </c>
      <c r="M429" s="113">
        <v>6977</v>
      </c>
      <c r="N429" s="113">
        <v>7384</v>
      </c>
      <c r="O429" s="113">
        <v>6595</v>
      </c>
      <c r="P429" s="113">
        <v>9656</v>
      </c>
      <c r="Q429" s="187">
        <f t="shared" si="144"/>
        <v>1.4420839656044513</v>
      </c>
      <c r="R429" s="187">
        <f t="shared" si="145"/>
        <v>0.61877619446772847</v>
      </c>
      <c r="S429" s="187">
        <f t="shared" si="146"/>
        <v>0.46413949962092493</v>
      </c>
      <c r="T429" s="187">
        <f t="shared" si="147"/>
        <v>7.9797695982017428E-2</v>
      </c>
      <c r="U429" s="53"/>
    </row>
    <row r="430" spans="1:21" x14ac:dyDescent="0.25">
      <c r="A430" s="107" t="s">
        <v>1</v>
      </c>
      <c r="B430" s="113">
        <v>1663</v>
      </c>
      <c r="C430" s="113">
        <v>1869</v>
      </c>
      <c r="D430" s="113">
        <v>2257</v>
      </c>
      <c r="E430" s="113">
        <v>2418</v>
      </c>
      <c r="F430" s="113">
        <v>2739</v>
      </c>
      <c r="G430" s="113">
        <v>3560</v>
      </c>
      <c r="H430" s="113">
        <v>3950</v>
      </c>
      <c r="I430" s="113">
        <v>4978</v>
      </c>
      <c r="J430" s="113">
        <v>5736</v>
      </c>
      <c r="K430" s="113">
        <v>5853</v>
      </c>
      <c r="L430" s="113">
        <v>6093</v>
      </c>
      <c r="M430" s="113">
        <v>7465</v>
      </c>
      <c r="N430" s="113">
        <v>7933</v>
      </c>
      <c r="O430" s="113">
        <v>7007</v>
      </c>
      <c r="P430" s="113">
        <v>10449</v>
      </c>
      <c r="Q430" s="187">
        <f t="shared" si="144"/>
        <v>1.9351123595505617</v>
      </c>
      <c r="R430" s="187">
        <f t="shared" si="145"/>
        <v>0.71491875923190551</v>
      </c>
      <c r="S430" s="187">
        <f t="shared" si="146"/>
        <v>0.49122306265163407</v>
      </c>
      <c r="T430" s="187">
        <f t="shared" si="147"/>
        <v>8.6351090028593619E-2</v>
      </c>
      <c r="U430" s="53"/>
    </row>
    <row r="431" spans="1:21" x14ac:dyDescent="0.25">
      <c r="A431" s="107" t="s">
        <v>77</v>
      </c>
      <c r="B431" s="151">
        <f t="shared" ref="B431:P431" si="148">B432-B425-B426-B427-B428-B429-B430</f>
        <v>47</v>
      </c>
      <c r="C431" s="151">
        <f t="shared" si="148"/>
        <v>13</v>
      </c>
      <c r="D431" s="151">
        <f t="shared" si="148"/>
        <v>65</v>
      </c>
      <c r="E431" s="151">
        <f t="shared" si="148"/>
        <v>19</v>
      </c>
      <c r="F431" s="151">
        <f t="shared" si="148"/>
        <v>5</v>
      </c>
      <c r="G431" s="151">
        <f t="shared" si="148"/>
        <v>3</v>
      </c>
      <c r="H431" s="151">
        <f t="shared" si="148"/>
        <v>0</v>
      </c>
      <c r="I431" s="151">
        <f t="shared" si="148"/>
        <v>1</v>
      </c>
      <c r="J431" s="151">
        <f t="shared" si="148"/>
        <v>1</v>
      </c>
      <c r="K431" s="151">
        <f t="shared" si="148"/>
        <v>1</v>
      </c>
      <c r="L431" s="151">
        <f t="shared" si="148"/>
        <v>0</v>
      </c>
      <c r="M431" s="151">
        <f t="shared" si="148"/>
        <v>95</v>
      </c>
      <c r="N431" s="151">
        <f t="shared" si="148"/>
        <v>3</v>
      </c>
      <c r="O431" s="151">
        <f t="shared" si="148"/>
        <v>2</v>
      </c>
      <c r="P431" s="151">
        <f t="shared" si="148"/>
        <v>0</v>
      </c>
      <c r="Q431" s="187">
        <f t="shared" si="144"/>
        <v>-1</v>
      </c>
      <c r="R431" s="187" t="s">
        <v>155</v>
      </c>
      <c r="S431" s="187">
        <f t="shared" si="146"/>
        <v>-1</v>
      </c>
      <c r="T431" s="187">
        <f t="shared" si="147"/>
        <v>0</v>
      </c>
      <c r="U431" s="53"/>
    </row>
    <row r="432" spans="1:21" x14ac:dyDescent="0.25">
      <c r="A432" s="112" t="s">
        <v>0</v>
      </c>
      <c r="B432" s="2">
        <v>68128</v>
      </c>
      <c r="C432" s="2">
        <v>68712</v>
      </c>
      <c r="D432" s="2">
        <v>81182</v>
      </c>
      <c r="E432" s="2">
        <v>95186</v>
      </c>
      <c r="F432" s="2">
        <v>105562</v>
      </c>
      <c r="G432" s="2">
        <v>111783</v>
      </c>
      <c r="H432" s="2">
        <v>126264</v>
      </c>
      <c r="I432" s="2">
        <v>128343</v>
      </c>
      <c r="J432" s="2">
        <v>124380</v>
      </c>
      <c r="K432" s="2">
        <v>123220</v>
      </c>
      <c r="L432" s="2">
        <v>119657</v>
      </c>
      <c r="M432" s="2">
        <v>121506</v>
      </c>
      <c r="N432" s="2">
        <v>121894</v>
      </c>
      <c r="O432" s="2">
        <v>109617</v>
      </c>
      <c r="P432" s="2">
        <v>121006</v>
      </c>
      <c r="Q432" s="188">
        <f t="shared" si="144"/>
        <v>8.2508073678466312E-2</v>
      </c>
      <c r="R432" s="188">
        <f t="shared" si="145"/>
        <v>1.1273891205696282E-2</v>
      </c>
      <c r="S432" s="188">
        <f t="shared" si="146"/>
        <v>0.10389811799264713</v>
      </c>
      <c r="T432" s="188">
        <f t="shared" ref="T432" si="149">O432/O$432</f>
        <v>1</v>
      </c>
      <c r="U432" s="53"/>
    </row>
    <row r="433" spans="1:21" x14ac:dyDescent="0.25">
      <c r="A433" s="200" t="s">
        <v>449</v>
      </c>
      <c r="B433" s="197">
        <v>22.385364492295899</v>
      </c>
      <c r="C433" s="197">
        <v>22.613458711189399</v>
      </c>
      <c r="D433" s="197">
        <v>22.775275219744302</v>
      </c>
      <c r="E433" s="197">
        <v>23.054083873611699</v>
      </c>
      <c r="F433" s="197">
        <v>23.188050058262402</v>
      </c>
      <c r="G433" s="197">
        <v>23.494614421184501</v>
      </c>
      <c r="H433" s="197">
        <v>23.5653234492809</v>
      </c>
      <c r="I433" s="197">
        <v>23.941655888173798</v>
      </c>
      <c r="J433" s="197">
        <v>24.230400822860101</v>
      </c>
      <c r="K433" s="197">
        <v>24.3303178346358</v>
      </c>
      <c r="L433" s="197">
        <v>24.376673215237101</v>
      </c>
      <c r="M433" s="197">
        <v>24.839111774891101</v>
      </c>
      <c r="N433" s="197">
        <v>24.971944247347299</v>
      </c>
      <c r="O433" s="197">
        <v>24.787318985228499</v>
      </c>
      <c r="P433" s="197">
        <v>26.067480936081498</v>
      </c>
      <c r="Q433" s="202"/>
      <c r="R433" s="202"/>
      <c r="S433" s="202"/>
      <c r="T433" s="202"/>
      <c r="U433" s="53"/>
    </row>
    <row r="434" spans="1:21" x14ac:dyDescent="0.25">
      <c r="U434" s="53"/>
    </row>
    <row r="435" spans="1:21" ht="15.75" x14ac:dyDescent="0.25">
      <c r="A435" s="27" t="s">
        <v>90</v>
      </c>
      <c r="B435" s="27"/>
      <c r="C435" s="27"/>
      <c r="D435" s="27"/>
      <c r="E435" s="27"/>
      <c r="F435" s="27"/>
      <c r="G435" s="27"/>
      <c r="H435" s="27"/>
      <c r="I435" s="110"/>
      <c r="J435" s="110"/>
      <c r="K435" s="110"/>
      <c r="L435" s="110"/>
      <c r="M435" s="110"/>
      <c r="N435" s="110"/>
      <c r="O435" s="110"/>
      <c r="P435" s="110"/>
      <c r="Q435" s="39"/>
      <c r="R435" s="39"/>
      <c r="S435" s="39"/>
      <c r="T435" s="39"/>
      <c r="U435" s="53"/>
    </row>
    <row r="436" spans="1:21" ht="25.5" x14ac:dyDescent="0.25">
      <c r="A436" s="148" t="s">
        <v>105</v>
      </c>
      <c r="B436" s="130">
        <v>2007</v>
      </c>
      <c r="C436" s="130">
        <v>2008</v>
      </c>
      <c r="D436" s="130">
        <v>2009</v>
      </c>
      <c r="E436" s="130">
        <v>2010</v>
      </c>
      <c r="F436" s="130">
        <v>2011</v>
      </c>
      <c r="G436" s="130">
        <v>2012</v>
      </c>
      <c r="H436" s="130">
        <v>2013</v>
      </c>
      <c r="I436" s="130">
        <v>2014</v>
      </c>
      <c r="J436" s="130">
        <v>2015</v>
      </c>
      <c r="K436" s="130">
        <v>2016</v>
      </c>
      <c r="L436" s="130">
        <v>2017</v>
      </c>
      <c r="M436" s="130">
        <v>2018</v>
      </c>
      <c r="N436" s="130">
        <v>2019</v>
      </c>
      <c r="O436" s="130">
        <v>2020</v>
      </c>
      <c r="P436" s="130">
        <v>2021</v>
      </c>
      <c r="Q436" s="131" t="s">
        <v>424</v>
      </c>
      <c r="R436" s="131" t="s">
        <v>425</v>
      </c>
      <c r="S436" s="131" t="s">
        <v>426</v>
      </c>
      <c r="T436" s="131" t="s">
        <v>427</v>
      </c>
      <c r="U436" s="53"/>
    </row>
    <row r="437" spans="1:21" x14ac:dyDescent="0.25">
      <c r="A437" s="107" t="s">
        <v>39</v>
      </c>
      <c r="B437" s="113">
        <v>114093</v>
      </c>
      <c r="C437" s="113">
        <v>117111</v>
      </c>
      <c r="D437" s="113">
        <v>123269</v>
      </c>
      <c r="E437" s="113">
        <v>126652</v>
      </c>
      <c r="F437" s="113">
        <v>129500</v>
      </c>
      <c r="G437" s="113">
        <v>129603</v>
      </c>
      <c r="H437" s="113">
        <v>128078</v>
      </c>
      <c r="I437" s="113">
        <v>126087</v>
      </c>
      <c r="J437" s="113">
        <v>127508</v>
      </c>
      <c r="K437" s="113">
        <v>132596</v>
      </c>
      <c r="L437" s="113">
        <v>132531</v>
      </c>
      <c r="M437" s="113">
        <v>135440</v>
      </c>
      <c r="N437" s="113">
        <v>137105</v>
      </c>
      <c r="O437" s="113">
        <v>137341</v>
      </c>
      <c r="P437" s="113">
        <v>135456</v>
      </c>
      <c r="Q437" s="187">
        <f t="shared" ref="Q437:Q444" si="150">(P437-G437)/G437</f>
        <v>4.5160991643711949E-2</v>
      </c>
      <c r="R437" s="187">
        <f t="shared" ref="R437:R444" si="151">(P437-L437)/L437</f>
        <v>2.2070308078864568E-2</v>
      </c>
      <c r="S437" s="187">
        <f t="shared" ref="S437:S444" si="152">(P437-O437)/O437</f>
        <v>-1.3724961956007311E-2</v>
      </c>
      <c r="T437" s="187">
        <f>P437/P$444</f>
        <v>0.19592120107610866</v>
      </c>
      <c r="U437" s="53"/>
    </row>
    <row r="438" spans="1:21" x14ac:dyDescent="0.25">
      <c r="A438" s="107" t="s">
        <v>40</v>
      </c>
      <c r="B438" s="113">
        <v>268799</v>
      </c>
      <c r="C438" s="113">
        <v>281698</v>
      </c>
      <c r="D438" s="113">
        <v>297782</v>
      </c>
      <c r="E438" s="113">
        <v>321646</v>
      </c>
      <c r="F438" s="113">
        <v>343142</v>
      </c>
      <c r="G438" s="113">
        <v>353681</v>
      </c>
      <c r="H438" s="113">
        <v>358134</v>
      </c>
      <c r="I438" s="113">
        <v>354818</v>
      </c>
      <c r="J438" s="113">
        <v>350607</v>
      </c>
      <c r="K438" s="113">
        <v>351682</v>
      </c>
      <c r="L438" s="113">
        <v>358615</v>
      </c>
      <c r="M438" s="113">
        <v>367343</v>
      </c>
      <c r="N438" s="113">
        <v>370054</v>
      </c>
      <c r="O438" s="113">
        <v>366772</v>
      </c>
      <c r="P438" s="113">
        <v>380749</v>
      </c>
      <c r="Q438" s="187">
        <f t="shared" si="150"/>
        <v>7.6532242331366407E-2</v>
      </c>
      <c r="R438" s="187">
        <f t="shared" si="151"/>
        <v>6.1720786916330886E-2</v>
      </c>
      <c r="S438" s="187">
        <f t="shared" si="152"/>
        <v>3.8108143478782462E-2</v>
      </c>
      <c r="T438" s="187">
        <f t="shared" ref="T438:T443" si="153">P438/P$444</f>
        <v>0.55070872747259103</v>
      </c>
      <c r="U438" s="53"/>
    </row>
    <row r="439" spans="1:21" x14ac:dyDescent="0.25">
      <c r="A439" s="107" t="s">
        <v>41</v>
      </c>
      <c r="B439" s="113">
        <v>77275</v>
      </c>
      <c r="C439" s="113">
        <v>79909</v>
      </c>
      <c r="D439" s="113">
        <v>81314</v>
      </c>
      <c r="E439" s="113">
        <v>85853</v>
      </c>
      <c r="F439" s="113">
        <v>89774</v>
      </c>
      <c r="G439" s="113">
        <v>92354</v>
      </c>
      <c r="H439" s="113">
        <v>99200</v>
      </c>
      <c r="I439" s="113">
        <v>103490</v>
      </c>
      <c r="J439" s="113">
        <v>107080</v>
      </c>
      <c r="K439" s="113">
        <v>109398</v>
      </c>
      <c r="L439" s="113">
        <v>110888</v>
      </c>
      <c r="M439" s="113">
        <v>110519</v>
      </c>
      <c r="N439" s="113">
        <v>106669</v>
      </c>
      <c r="O439" s="113">
        <v>98414</v>
      </c>
      <c r="P439" s="113">
        <v>107460</v>
      </c>
      <c r="Q439" s="187">
        <f t="shared" si="150"/>
        <v>0.16356627758407866</v>
      </c>
      <c r="R439" s="187">
        <f t="shared" si="151"/>
        <v>-3.0914075463530769E-2</v>
      </c>
      <c r="S439" s="187">
        <f t="shared" si="152"/>
        <v>9.1917816570813091E-2</v>
      </c>
      <c r="T439" s="187">
        <f t="shared" si="153"/>
        <v>0.15542827388700858</v>
      </c>
      <c r="U439" s="53"/>
    </row>
    <row r="440" spans="1:21" x14ac:dyDescent="0.25">
      <c r="A440" s="107" t="s">
        <v>42</v>
      </c>
      <c r="B440" s="113">
        <v>22358</v>
      </c>
      <c r="C440" s="113">
        <v>22651</v>
      </c>
      <c r="D440" s="151">
        <v>23149</v>
      </c>
      <c r="E440" s="113">
        <v>25054</v>
      </c>
      <c r="F440" s="113">
        <v>26630</v>
      </c>
      <c r="G440" s="113">
        <v>28354</v>
      </c>
      <c r="H440" s="113">
        <v>30608</v>
      </c>
      <c r="I440" s="113">
        <v>31083</v>
      </c>
      <c r="J440" s="113">
        <v>31028</v>
      </c>
      <c r="K440" s="113">
        <v>31290</v>
      </c>
      <c r="L440" s="113">
        <v>31810</v>
      </c>
      <c r="M440" s="113">
        <v>32286</v>
      </c>
      <c r="N440" s="113">
        <v>31546</v>
      </c>
      <c r="O440" s="113">
        <v>28403</v>
      </c>
      <c r="P440" s="113">
        <v>33024</v>
      </c>
      <c r="Q440" s="187">
        <f t="shared" si="150"/>
        <v>0.16470339281935528</v>
      </c>
      <c r="R440" s="187">
        <f t="shared" si="151"/>
        <v>3.816409933983024E-2</v>
      </c>
      <c r="S440" s="187">
        <f t="shared" si="152"/>
        <v>0.16269408161109741</v>
      </c>
      <c r="T440" s="187">
        <f t="shared" si="153"/>
        <v>4.7765338887442506E-2</v>
      </c>
      <c r="U440" s="53"/>
    </row>
    <row r="441" spans="1:21" x14ac:dyDescent="0.25">
      <c r="A441" s="107" t="s">
        <v>43</v>
      </c>
      <c r="B441" s="113">
        <v>10497</v>
      </c>
      <c r="C441" s="113">
        <v>11302</v>
      </c>
      <c r="D441" s="113">
        <v>12187</v>
      </c>
      <c r="E441" s="113">
        <v>13341</v>
      </c>
      <c r="F441" s="113">
        <v>13869</v>
      </c>
      <c r="G441" s="113">
        <v>14116</v>
      </c>
      <c r="H441" s="113">
        <v>14909</v>
      </c>
      <c r="I441" s="113">
        <v>14816</v>
      </c>
      <c r="J441" s="113">
        <v>14749</v>
      </c>
      <c r="K441" s="113">
        <v>15047</v>
      </c>
      <c r="L441" s="113">
        <v>15781</v>
      </c>
      <c r="M441" s="113">
        <v>16178</v>
      </c>
      <c r="N441" s="113">
        <v>15567</v>
      </c>
      <c r="O441" s="113">
        <v>14084</v>
      </c>
      <c r="P441" s="113">
        <v>16662</v>
      </c>
      <c r="Q441" s="187">
        <f t="shared" si="150"/>
        <v>0.18036270898271464</v>
      </c>
      <c r="R441" s="187">
        <f t="shared" si="151"/>
        <v>5.5826626956466639E-2</v>
      </c>
      <c r="S441" s="187">
        <f t="shared" si="152"/>
        <v>0.18304458960522579</v>
      </c>
      <c r="T441" s="187">
        <f t="shared" si="153"/>
        <v>2.4099626833289943E-2</v>
      </c>
      <c r="U441" s="53"/>
    </row>
    <row r="442" spans="1:21" x14ac:dyDescent="0.25">
      <c r="A442" s="107" t="s">
        <v>1</v>
      </c>
      <c r="B442" s="113">
        <v>10649</v>
      </c>
      <c r="C442" s="113">
        <v>11254</v>
      </c>
      <c r="D442" s="113">
        <v>11860</v>
      </c>
      <c r="E442" s="113">
        <v>12535</v>
      </c>
      <c r="F442" s="113">
        <v>12563</v>
      </c>
      <c r="G442" s="113">
        <v>13038</v>
      </c>
      <c r="H442" s="113">
        <v>14340</v>
      </c>
      <c r="I442" s="113">
        <v>15029</v>
      </c>
      <c r="J442" s="113">
        <v>15151</v>
      </c>
      <c r="K442" s="113">
        <v>15733</v>
      </c>
      <c r="L442" s="113">
        <v>16162</v>
      </c>
      <c r="M442" s="113">
        <v>16346</v>
      </c>
      <c r="N442" s="113">
        <v>16118</v>
      </c>
      <c r="O442" s="113">
        <v>15155</v>
      </c>
      <c r="P442" s="113">
        <v>18018</v>
      </c>
      <c r="Q442" s="187">
        <f t="shared" si="150"/>
        <v>0.38196042337781866</v>
      </c>
      <c r="R442" s="187">
        <f t="shared" si="151"/>
        <v>0.1148372726147754</v>
      </c>
      <c r="S442" s="187">
        <f t="shared" si="152"/>
        <v>0.18891454965357968</v>
      </c>
      <c r="T442" s="187">
        <f t="shared" si="153"/>
        <v>2.6060921634990887E-2</v>
      </c>
      <c r="U442" s="53"/>
    </row>
    <row r="443" spans="1:21" x14ac:dyDescent="0.25">
      <c r="A443" s="107" t="s">
        <v>77</v>
      </c>
      <c r="B443" s="113">
        <v>1711</v>
      </c>
      <c r="C443" s="113">
        <v>685</v>
      </c>
      <c r="D443" s="113">
        <v>175</v>
      </c>
      <c r="E443" s="113">
        <v>310</v>
      </c>
      <c r="F443" s="113">
        <v>333</v>
      </c>
      <c r="G443" s="113">
        <v>120</v>
      </c>
      <c r="H443" s="113">
        <v>64</v>
      </c>
      <c r="I443" s="113">
        <v>44</v>
      </c>
      <c r="J443" s="113">
        <v>72</v>
      </c>
      <c r="K443" s="113">
        <v>35</v>
      </c>
      <c r="L443" s="113">
        <v>19</v>
      </c>
      <c r="M443" s="113">
        <v>101</v>
      </c>
      <c r="N443" s="113">
        <v>25</v>
      </c>
      <c r="O443" s="113">
        <v>21</v>
      </c>
      <c r="P443" s="113">
        <v>11</v>
      </c>
      <c r="Q443" s="187">
        <f t="shared" si="150"/>
        <v>-0.90833333333333333</v>
      </c>
      <c r="R443" s="187">
        <f t="shared" si="151"/>
        <v>-0.42105263157894735</v>
      </c>
      <c r="S443" s="187">
        <f t="shared" si="152"/>
        <v>-0.47619047619047616</v>
      </c>
      <c r="T443" s="187">
        <f t="shared" si="153"/>
        <v>1.5910208568370506E-5</v>
      </c>
      <c r="U443" s="53"/>
    </row>
    <row r="444" spans="1:21" x14ac:dyDescent="0.25">
      <c r="A444" s="112" t="s">
        <v>0</v>
      </c>
      <c r="B444" s="2">
        <f>SUM(B437:B443)</f>
        <v>505382</v>
      </c>
      <c r="C444" s="2">
        <f>SUM(C437:C443)</f>
        <v>524610</v>
      </c>
      <c r="D444" s="2">
        <f t="shared" ref="D444:P444" si="154">SUM(D437:D443)</f>
        <v>549736</v>
      </c>
      <c r="E444" s="2">
        <f t="shared" si="154"/>
        <v>585391</v>
      </c>
      <c r="F444" s="2">
        <f t="shared" si="154"/>
        <v>615811</v>
      </c>
      <c r="G444" s="2">
        <f t="shared" si="154"/>
        <v>631266</v>
      </c>
      <c r="H444" s="2">
        <f t="shared" si="154"/>
        <v>645333</v>
      </c>
      <c r="I444" s="2">
        <f t="shared" si="154"/>
        <v>645367</v>
      </c>
      <c r="J444" s="2">
        <f t="shared" si="154"/>
        <v>646195</v>
      </c>
      <c r="K444" s="2">
        <f t="shared" si="154"/>
        <v>655781</v>
      </c>
      <c r="L444" s="2">
        <f t="shared" si="154"/>
        <v>665806</v>
      </c>
      <c r="M444" s="2">
        <f t="shared" si="154"/>
        <v>678213</v>
      </c>
      <c r="N444" s="2">
        <f t="shared" si="154"/>
        <v>677084</v>
      </c>
      <c r="O444" s="2">
        <f t="shared" si="154"/>
        <v>660190</v>
      </c>
      <c r="P444" s="2">
        <f t="shared" si="154"/>
        <v>691380</v>
      </c>
      <c r="Q444" s="188">
        <f t="shared" si="150"/>
        <v>9.52276853180751E-2</v>
      </c>
      <c r="R444" s="188">
        <f t="shared" si="151"/>
        <v>3.8410588069197331E-2</v>
      </c>
      <c r="S444" s="188">
        <f t="shared" si="152"/>
        <v>4.7243975219255066E-2</v>
      </c>
      <c r="T444" s="188">
        <f t="shared" ref="T444" si="155">O444/O$444</f>
        <v>1</v>
      </c>
      <c r="U444" s="53"/>
    </row>
    <row r="445" spans="1:21" x14ac:dyDescent="0.25">
      <c r="A445" s="200" t="s">
        <v>127</v>
      </c>
      <c r="B445" s="197">
        <v>22.993966299429601</v>
      </c>
      <c r="C445" s="197">
        <v>23.0020098296512</v>
      </c>
      <c r="D445" s="197">
        <v>22.980853808767399</v>
      </c>
      <c r="E445" s="197">
        <v>23.0042601343462</v>
      </c>
      <c r="F445" s="197">
        <v>22.9944783734936</v>
      </c>
      <c r="G445" s="197">
        <v>23.0486664239044</v>
      </c>
      <c r="H445" s="197">
        <v>23.2032842117009</v>
      </c>
      <c r="I445" s="197">
        <v>23.284600114981199</v>
      </c>
      <c r="J445" s="197">
        <v>23.298698545013899</v>
      </c>
      <c r="K445" s="197">
        <v>23.2990319422459</v>
      </c>
      <c r="L445" s="197">
        <v>23.3181302728951</v>
      </c>
      <c r="M445" s="197">
        <v>23.297388926902901</v>
      </c>
      <c r="N445" s="197">
        <v>23.231031564457499</v>
      </c>
      <c r="O445" s="197">
        <v>23.088465226328399</v>
      </c>
      <c r="P445" s="197">
        <v>23.329213488021601</v>
      </c>
      <c r="Q445" s="202"/>
      <c r="R445" s="202"/>
      <c r="S445" s="202"/>
      <c r="T445" s="202"/>
      <c r="U445" s="53"/>
    </row>
    <row r="446" spans="1:21" x14ac:dyDescent="0.25">
      <c r="A446" s="110"/>
      <c r="B446" s="110"/>
      <c r="C446" s="110"/>
      <c r="D446" s="110"/>
      <c r="E446" s="110"/>
      <c r="F446" s="110"/>
      <c r="G446" s="110"/>
      <c r="H446" s="110"/>
      <c r="I446" s="110"/>
      <c r="J446" s="110"/>
      <c r="K446" s="110"/>
      <c r="L446" s="110"/>
      <c r="M446" s="110"/>
      <c r="N446" s="110"/>
      <c r="O446" s="110"/>
      <c r="P446" s="110"/>
      <c r="Q446" s="110"/>
      <c r="R446" s="110"/>
      <c r="S446" s="110"/>
      <c r="T446" s="110"/>
      <c r="U446" s="53"/>
    </row>
    <row r="447" spans="1:21" ht="15.75" customHeight="1" x14ac:dyDescent="0.25">
      <c r="A447" s="27" t="s">
        <v>451</v>
      </c>
      <c r="B447" s="27"/>
      <c r="C447" s="27"/>
      <c r="D447" s="27"/>
      <c r="E447" s="27"/>
      <c r="F447" s="27"/>
      <c r="G447" s="27"/>
      <c r="H447" s="27"/>
      <c r="I447" s="110"/>
      <c r="J447" s="110"/>
      <c r="K447" s="110"/>
      <c r="L447" s="110"/>
      <c r="M447" s="110"/>
      <c r="N447" s="110"/>
      <c r="O447" s="110"/>
      <c r="P447" s="110"/>
      <c r="Q447" s="39"/>
      <c r="R447" s="39"/>
      <c r="S447" s="39"/>
      <c r="T447" s="39"/>
    </row>
    <row r="448" spans="1:21" ht="30" customHeight="1" x14ac:dyDescent="0.25">
      <c r="A448" s="148" t="s">
        <v>105</v>
      </c>
      <c r="B448" s="130">
        <v>2007</v>
      </c>
      <c r="C448" s="130">
        <v>2008</v>
      </c>
      <c r="D448" s="130">
        <v>2009</v>
      </c>
      <c r="E448" s="130">
        <v>2010</v>
      </c>
      <c r="F448" s="130">
        <v>2011</v>
      </c>
      <c r="G448" s="130">
        <v>2012</v>
      </c>
      <c r="H448" s="130">
        <v>2013</v>
      </c>
      <c r="I448" s="130">
        <v>2014</v>
      </c>
      <c r="J448" s="130">
        <v>2015</v>
      </c>
      <c r="K448" s="130">
        <v>2016</v>
      </c>
      <c r="L448" s="130">
        <v>2017</v>
      </c>
      <c r="M448" s="130">
        <v>2018</v>
      </c>
      <c r="N448" s="130">
        <v>2019</v>
      </c>
      <c r="O448" s="130">
        <v>2020</v>
      </c>
      <c r="P448" s="130">
        <v>2021</v>
      </c>
      <c r="Q448" s="131" t="s">
        <v>424</v>
      </c>
      <c r="R448" s="131" t="s">
        <v>425</v>
      </c>
      <c r="S448" s="131" t="s">
        <v>426</v>
      </c>
      <c r="T448" s="131" t="s">
        <v>427</v>
      </c>
    </row>
    <row r="449" spans="1:21" ht="15" customHeight="1" x14ac:dyDescent="0.25">
      <c r="A449" s="107" t="s">
        <v>39</v>
      </c>
      <c r="B449" s="113">
        <v>76224</v>
      </c>
      <c r="C449" s="113">
        <v>78427</v>
      </c>
      <c r="D449" s="113">
        <v>83849</v>
      </c>
      <c r="E449" s="113">
        <v>85681</v>
      </c>
      <c r="F449" s="113">
        <v>87737</v>
      </c>
      <c r="G449" s="113">
        <v>87281</v>
      </c>
      <c r="H449" s="113">
        <v>86593</v>
      </c>
      <c r="I449" s="113">
        <v>84859</v>
      </c>
      <c r="J449" s="113">
        <v>86708</v>
      </c>
      <c r="K449" s="113">
        <v>90760</v>
      </c>
      <c r="L449" s="113">
        <v>89288</v>
      </c>
      <c r="M449" s="113">
        <v>92073</v>
      </c>
      <c r="N449" s="113">
        <v>93010</v>
      </c>
      <c r="O449" s="113">
        <v>91349</v>
      </c>
      <c r="P449" s="113">
        <v>88466</v>
      </c>
      <c r="Q449" s="187">
        <f t="shared" ref="Q449:Q456" si="156">(P449-G449)/G449</f>
        <v>1.3576838028895177E-2</v>
      </c>
      <c r="R449" s="187">
        <f t="shared" ref="R449:R456" si="157">(P449-L449)/L449</f>
        <v>-9.2061643221933512E-3</v>
      </c>
      <c r="S449" s="187">
        <f t="shared" ref="S449:S456" si="158">(P449-O449)/O449</f>
        <v>-3.1560279806018679E-2</v>
      </c>
      <c r="T449" s="187">
        <f>P449/P$456</f>
        <v>0.65424237718072165</v>
      </c>
    </row>
    <row r="450" spans="1:21" ht="15" customHeight="1" x14ac:dyDescent="0.25">
      <c r="A450" s="107" t="s">
        <v>40</v>
      </c>
      <c r="B450" s="113">
        <v>34546</v>
      </c>
      <c r="C450" s="113">
        <v>36777</v>
      </c>
      <c r="D450" s="113">
        <v>39857</v>
      </c>
      <c r="E450" s="113">
        <v>44831</v>
      </c>
      <c r="F450" s="113">
        <v>44215</v>
      </c>
      <c r="G450" s="113">
        <v>44414</v>
      </c>
      <c r="H450" s="113">
        <v>40439</v>
      </c>
      <c r="I450" s="113">
        <v>38760</v>
      </c>
      <c r="J450" s="113">
        <v>39108</v>
      </c>
      <c r="K450" s="113">
        <v>40537</v>
      </c>
      <c r="L450" s="113">
        <v>42055</v>
      </c>
      <c r="M450" s="113">
        <v>38917</v>
      </c>
      <c r="N450" s="113">
        <v>35284</v>
      </c>
      <c r="O450" s="113">
        <v>30531</v>
      </c>
      <c r="P450" s="113">
        <v>26480</v>
      </c>
      <c r="Q450" s="187">
        <f t="shared" si="156"/>
        <v>-0.40379159724411223</v>
      </c>
      <c r="R450" s="187">
        <f t="shared" si="157"/>
        <v>-0.37034835334680777</v>
      </c>
      <c r="S450" s="187">
        <f t="shared" si="158"/>
        <v>-0.13268481215813435</v>
      </c>
      <c r="T450" s="187">
        <f t="shared" ref="T450:T455" si="159">P450/P$456</f>
        <v>0.19583046761180012</v>
      </c>
    </row>
    <row r="451" spans="1:21" x14ac:dyDescent="0.25">
      <c r="A451" s="107" t="s">
        <v>41</v>
      </c>
      <c r="B451" s="113">
        <v>10036</v>
      </c>
      <c r="C451" s="113">
        <v>11047</v>
      </c>
      <c r="D451" s="113">
        <v>11642</v>
      </c>
      <c r="E451" s="113">
        <v>12824</v>
      </c>
      <c r="F451" s="113">
        <v>12869</v>
      </c>
      <c r="G451" s="113">
        <v>12710</v>
      </c>
      <c r="H451" s="113">
        <v>12107</v>
      </c>
      <c r="I451" s="113">
        <v>11614</v>
      </c>
      <c r="J451" s="113">
        <v>11951</v>
      </c>
      <c r="K451" s="113">
        <v>12252</v>
      </c>
      <c r="L451" s="113">
        <v>12436</v>
      </c>
      <c r="M451" s="113">
        <v>11495</v>
      </c>
      <c r="N451" s="113">
        <v>9293</v>
      </c>
      <c r="O451" s="113">
        <v>7010</v>
      </c>
      <c r="P451" s="113">
        <v>7906</v>
      </c>
      <c r="Q451" s="187">
        <f t="shared" si="156"/>
        <v>-0.377970102281668</v>
      </c>
      <c r="R451" s="187">
        <f t="shared" si="157"/>
        <v>-0.36426503698938567</v>
      </c>
      <c r="S451" s="187">
        <f t="shared" si="158"/>
        <v>0.12781740370898717</v>
      </c>
      <c r="T451" s="187">
        <f t="shared" si="159"/>
        <v>5.8468114688024611E-2</v>
      </c>
    </row>
    <row r="452" spans="1:21" x14ac:dyDescent="0.25">
      <c r="A452" s="107" t="s">
        <v>42</v>
      </c>
      <c r="B452" s="113">
        <v>4757</v>
      </c>
      <c r="C452" s="113">
        <v>5117</v>
      </c>
      <c r="D452" s="151">
        <v>5577</v>
      </c>
      <c r="E452" s="113">
        <v>6070</v>
      </c>
      <c r="F452" s="113">
        <v>6346</v>
      </c>
      <c r="G452" s="113">
        <v>6619</v>
      </c>
      <c r="H452" s="113">
        <v>6327</v>
      </c>
      <c r="I452" s="113">
        <v>5927</v>
      </c>
      <c r="J452" s="113">
        <v>5808</v>
      </c>
      <c r="K452" s="113">
        <v>5577</v>
      </c>
      <c r="L452" s="113">
        <v>5551</v>
      </c>
      <c r="M452" s="113">
        <v>5386</v>
      </c>
      <c r="N452" s="113">
        <v>4619</v>
      </c>
      <c r="O452" s="113">
        <v>3906</v>
      </c>
      <c r="P452" s="113">
        <v>5478</v>
      </c>
      <c r="Q452" s="187">
        <f t="shared" si="156"/>
        <v>-0.17238253512615198</v>
      </c>
      <c r="R452" s="187">
        <f t="shared" si="157"/>
        <v>-1.3150783642586922E-2</v>
      </c>
      <c r="S452" s="187">
        <f t="shared" si="158"/>
        <v>0.40245775729646699</v>
      </c>
      <c r="T452" s="187">
        <f t="shared" si="159"/>
        <v>4.0512058216670734E-2</v>
      </c>
    </row>
    <row r="453" spans="1:21" x14ac:dyDescent="0.25">
      <c r="A453" s="107" t="s">
        <v>43</v>
      </c>
      <c r="B453" s="113">
        <v>2471</v>
      </c>
      <c r="C453" s="113">
        <v>2805</v>
      </c>
      <c r="D453" s="113">
        <v>3207</v>
      </c>
      <c r="E453" s="113">
        <v>3457</v>
      </c>
      <c r="F453" s="113">
        <v>3677</v>
      </c>
      <c r="G453" s="113">
        <v>3557</v>
      </c>
      <c r="H453" s="113">
        <v>3435</v>
      </c>
      <c r="I453" s="113">
        <v>2964</v>
      </c>
      <c r="J453" s="113">
        <v>3015</v>
      </c>
      <c r="K453" s="113">
        <v>2986</v>
      </c>
      <c r="L453" s="113">
        <v>3066</v>
      </c>
      <c r="M453" s="113">
        <v>3072</v>
      </c>
      <c r="N453" s="113">
        <v>2777</v>
      </c>
      <c r="O453" s="113">
        <v>2314</v>
      </c>
      <c r="P453" s="113">
        <v>3285</v>
      </c>
      <c r="Q453" s="187">
        <f t="shared" si="156"/>
        <v>-7.6468934495361254E-2</v>
      </c>
      <c r="R453" s="187">
        <f t="shared" si="157"/>
        <v>7.1428571428571425E-2</v>
      </c>
      <c r="S453" s="187">
        <f t="shared" si="158"/>
        <v>0.41961970613656008</v>
      </c>
      <c r="T453" s="187">
        <f t="shared" si="159"/>
        <v>2.42939231912675E-2</v>
      </c>
    </row>
    <row r="454" spans="1:21" x14ac:dyDescent="0.25">
      <c r="A454" s="107" t="s">
        <v>1</v>
      </c>
      <c r="B454" s="113">
        <v>2599</v>
      </c>
      <c r="C454" s="113">
        <v>2845</v>
      </c>
      <c r="D454" s="113">
        <v>3068</v>
      </c>
      <c r="E454" s="113">
        <v>2949</v>
      </c>
      <c r="F454" s="113">
        <v>3070</v>
      </c>
      <c r="G454" s="113">
        <v>3194</v>
      </c>
      <c r="H454" s="113">
        <v>3097</v>
      </c>
      <c r="I454" s="113">
        <v>3034</v>
      </c>
      <c r="J454" s="113">
        <v>3201</v>
      </c>
      <c r="K454" s="113">
        <v>3146</v>
      </c>
      <c r="L454" s="113">
        <v>3178</v>
      </c>
      <c r="M454" s="113">
        <v>3169</v>
      </c>
      <c r="N454" s="113">
        <v>2857</v>
      </c>
      <c r="O454" s="113">
        <v>2532</v>
      </c>
      <c r="P454" s="113">
        <v>3601</v>
      </c>
      <c r="Q454" s="187">
        <f t="shared" si="156"/>
        <v>0.12742642454602379</v>
      </c>
      <c r="R454" s="187">
        <f t="shared" si="157"/>
        <v>0.13310258023914412</v>
      </c>
      <c r="S454" s="187">
        <f t="shared" si="158"/>
        <v>0.42219589257503948</v>
      </c>
      <c r="T454" s="187">
        <f t="shared" si="159"/>
        <v>2.6630872880290493E-2</v>
      </c>
    </row>
    <row r="455" spans="1:21" x14ac:dyDescent="0.25">
      <c r="A455" s="107" t="s">
        <v>77</v>
      </c>
      <c r="B455" s="151">
        <f t="shared" ref="B455:P455" si="160">B456-B449-B450-B451-B452-B453-B454</f>
        <v>706</v>
      </c>
      <c r="C455" s="151">
        <f t="shared" si="160"/>
        <v>178</v>
      </c>
      <c r="D455" s="151">
        <f t="shared" si="160"/>
        <v>63</v>
      </c>
      <c r="E455" s="151">
        <f t="shared" si="160"/>
        <v>945</v>
      </c>
      <c r="F455" s="151">
        <f t="shared" si="160"/>
        <v>812</v>
      </c>
      <c r="G455" s="151">
        <f t="shared" si="160"/>
        <v>686</v>
      </c>
      <c r="H455" s="151">
        <f t="shared" si="160"/>
        <v>14</v>
      </c>
      <c r="I455" s="151">
        <f t="shared" si="160"/>
        <v>18</v>
      </c>
      <c r="J455" s="151">
        <f t="shared" si="160"/>
        <v>37</v>
      </c>
      <c r="K455" s="151">
        <f t="shared" si="160"/>
        <v>5</v>
      </c>
      <c r="L455" s="151">
        <f t="shared" si="160"/>
        <v>6</v>
      </c>
      <c r="M455" s="151">
        <f t="shared" si="160"/>
        <v>69</v>
      </c>
      <c r="N455" s="151">
        <f t="shared" si="160"/>
        <v>13</v>
      </c>
      <c r="O455" s="151">
        <f t="shared" si="160"/>
        <v>7</v>
      </c>
      <c r="P455" s="151">
        <f t="shared" si="160"/>
        <v>3</v>
      </c>
      <c r="Q455" s="187">
        <f t="shared" si="156"/>
        <v>-0.99562682215743437</v>
      </c>
      <c r="R455" s="187">
        <f t="shared" si="157"/>
        <v>-0.5</v>
      </c>
      <c r="S455" s="187">
        <f t="shared" si="158"/>
        <v>-0.5714285714285714</v>
      </c>
      <c r="T455" s="187">
        <f t="shared" si="159"/>
        <v>2.2186231224901826E-5</v>
      </c>
    </row>
    <row r="456" spans="1:21" x14ac:dyDescent="0.25">
      <c r="A456" s="112" t="s">
        <v>0</v>
      </c>
      <c r="B456" s="2">
        <v>131339</v>
      </c>
      <c r="C456" s="2">
        <v>137196</v>
      </c>
      <c r="D456" s="2">
        <v>147263</v>
      </c>
      <c r="E456" s="2">
        <v>156757</v>
      </c>
      <c r="F456" s="2">
        <v>158726</v>
      </c>
      <c r="G456" s="2">
        <v>158461</v>
      </c>
      <c r="H456" s="2">
        <v>152012</v>
      </c>
      <c r="I456" s="2">
        <v>147176</v>
      </c>
      <c r="J456" s="2">
        <v>149828</v>
      </c>
      <c r="K456" s="2">
        <v>155263</v>
      </c>
      <c r="L456" s="2">
        <v>155580</v>
      </c>
      <c r="M456" s="2">
        <v>154181</v>
      </c>
      <c r="N456" s="2">
        <v>147853</v>
      </c>
      <c r="O456" s="2">
        <v>137649</v>
      </c>
      <c r="P456" s="2">
        <v>135219</v>
      </c>
      <c r="Q456" s="188">
        <f t="shared" si="156"/>
        <v>-0.14667331393844543</v>
      </c>
      <c r="R456" s="188">
        <f t="shared" si="157"/>
        <v>-0.13087157732356344</v>
      </c>
      <c r="S456" s="188">
        <f t="shared" si="158"/>
        <v>-1.7653597192860099E-2</v>
      </c>
      <c r="T456" s="188">
        <f t="shared" ref="T456" si="161">O456/O$456</f>
        <v>1</v>
      </c>
    </row>
    <row r="457" spans="1:21" x14ac:dyDescent="0.25">
      <c r="A457" s="200" t="s">
        <v>126</v>
      </c>
      <c r="B457" s="197">
        <v>21.198380194897201</v>
      </c>
      <c r="C457" s="197">
        <v>21.2994424090266</v>
      </c>
      <c r="D457" s="197">
        <v>21.335149456521702</v>
      </c>
      <c r="E457" s="197">
        <v>21.3796113264704</v>
      </c>
      <c r="F457" s="197">
        <v>21.386811808959301</v>
      </c>
      <c r="G457" s="197">
        <v>21.422468705435001</v>
      </c>
      <c r="H457" s="197">
        <v>21.3721562125817</v>
      </c>
      <c r="I457" s="197">
        <v>21.329939823871399</v>
      </c>
      <c r="J457" s="197">
        <v>21.346555018843901</v>
      </c>
      <c r="K457" s="197">
        <v>21.272573893593201</v>
      </c>
      <c r="L457" s="197">
        <v>21.4410627988965</v>
      </c>
      <c r="M457" s="197">
        <v>21.430431055133202</v>
      </c>
      <c r="N457" s="197">
        <v>21.182579212279698</v>
      </c>
      <c r="O457" s="197">
        <v>20.945129134891499</v>
      </c>
      <c r="P457" s="197">
        <v>21.704292505494699</v>
      </c>
      <c r="Q457" s="202"/>
      <c r="R457" s="202"/>
      <c r="S457" s="202"/>
      <c r="T457" s="202"/>
    </row>
    <row r="458" spans="1:21" x14ac:dyDescent="0.25">
      <c r="A458" s="110" t="s">
        <v>501</v>
      </c>
      <c r="B458" s="110"/>
      <c r="C458" s="110"/>
      <c r="D458" s="110"/>
      <c r="E458" s="110"/>
      <c r="F458" s="110"/>
      <c r="G458" s="110"/>
      <c r="H458" s="110"/>
      <c r="I458" s="110"/>
      <c r="J458" s="110"/>
      <c r="K458" s="110"/>
      <c r="L458" s="110"/>
      <c r="M458" s="110"/>
      <c r="N458" s="110"/>
      <c r="O458" s="110"/>
      <c r="P458" s="110"/>
      <c r="Q458" s="110"/>
      <c r="R458" s="110"/>
      <c r="S458" s="110"/>
      <c r="T458" s="110"/>
    </row>
    <row r="459" spans="1:21" x14ac:dyDescent="0.25">
      <c r="A459" s="110"/>
      <c r="B459" s="110"/>
      <c r="C459" s="110"/>
      <c r="D459" s="110"/>
      <c r="E459" s="110"/>
      <c r="F459" s="110"/>
      <c r="G459" s="110"/>
      <c r="H459" s="110"/>
      <c r="I459" s="110"/>
      <c r="J459" s="110"/>
      <c r="K459" s="110"/>
      <c r="L459" s="110"/>
      <c r="M459" s="110"/>
      <c r="N459" s="110"/>
      <c r="O459" s="110"/>
      <c r="P459" s="110"/>
      <c r="Q459" s="110"/>
      <c r="R459" s="110"/>
      <c r="S459" s="110"/>
      <c r="T459" s="110"/>
    </row>
    <row r="460" spans="1:21" ht="15.75" x14ac:dyDescent="0.25">
      <c r="A460" s="27" t="s">
        <v>338</v>
      </c>
      <c r="B460" s="27"/>
      <c r="C460" s="27"/>
      <c r="D460" s="27"/>
      <c r="E460" s="27"/>
      <c r="F460" s="27"/>
      <c r="G460" s="27"/>
      <c r="H460" s="27"/>
      <c r="I460" s="110"/>
      <c r="J460" s="110"/>
      <c r="K460" s="110"/>
      <c r="L460" s="110"/>
      <c r="M460" s="110"/>
      <c r="N460" s="110"/>
      <c r="O460" s="110"/>
      <c r="P460" s="110"/>
      <c r="Q460" s="39"/>
      <c r="R460" s="39"/>
      <c r="S460" s="39"/>
      <c r="T460" s="39"/>
      <c r="U460" s="53"/>
    </row>
    <row r="461" spans="1:21" ht="30" customHeight="1" x14ac:dyDescent="0.25">
      <c r="A461" s="148" t="s">
        <v>392</v>
      </c>
      <c r="B461" s="130">
        <v>2007</v>
      </c>
      <c r="C461" s="130">
        <v>2008</v>
      </c>
      <c r="D461" s="130">
        <v>2009</v>
      </c>
      <c r="E461" s="130">
        <v>2010</v>
      </c>
      <c r="F461" s="130">
        <v>2011</v>
      </c>
      <c r="G461" s="130">
        <v>2012</v>
      </c>
      <c r="H461" s="130">
        <v>2013</v>
      </c>
      <c r="I461" s="130">
        <v>2014</v>
      </c>
      <c r="J461" s="130">
        <v>2015</v>
      </c>
      <c r="K461" s="130">
        <v>2016</v>
      </c>
      <c r="L461" s="130">
        <v>2017</v>
      </c>
      <c r="M461" s="130">
        <v>2018</v>
      </c>
      <c r="N461" s="130">
        <v>2019</v>
      </c>
      <c r="O461" s="130">
        <v>2020</v>
      </c>
      <c r="P461" s="130">
        <v>2021</v>
      </c>
      <c r="Q461" s="131" t="s">
        <v>424</v>
      </c>
      <c r="R461" s="131" t="s">
        <v>425</v>
      </c>
      <c r="S461" s="131" t="s">
        <v>426</v>
      </c>
      <c r="T461" s="131" t="s">
        <v>427</v>
      </c>
      <c r="U461" s="53"/>
    </row>
    <row r="462" spans="1:21" x14ac:dyDescent="0.25">
      <c r="A462" s="107" t="s">
        <v>386</v>
      </c>
      <c r="B462" s="113">
        <v>344109</v>
      </c>
      <c r="C462" s="113">
        <v>409733</v>
      </c>
      <c r="D462" s="113">
        <v>479085</v>
      </c>
      <c r="E462" s="113">
        <v>547420</v>
      </c>
      <c r="F462" s="113">
        <v>604612</v>
      </c>
      <c r="G462" s="113">
        <v>643266</v>
      </c>
      <c r="H462" s="113">
        <v>681133</v>
      </c>
      <c r="I462" s="113">
        <v>704412</v>
      </c>
      <c r="J462" s="113">
        <v>727896</v>
      </c>
      <c r="K462" s="113">
        <v>744308</v>
      </c>
      <c r="L462" s="113">
        <v>753084</v>
      </c>
      <c r="M462" s="113">
        <v>768676</v>
      </c>
      <c r="N462" s="113">
        <v>780635</v>
      </c>
      <c r="O462" s="113">
        <v>766972</v>
      </c>
      <c r="P462" s="113">
        <v>804489</v>
      </c>
      <c r="Q462" s="103">
        <f t="shared" ref="Q462:Q464" si="162">(P462-G462)/G462</f>
        <v>0.25063193142494705</v>
      </c>
      <c r="R462" s="187">
        <f t="shared" ref="R462:R464" si="163">(P462-L462)/L462</f>
        <v>6.8259317685676502E-2</v>
      </c>
      <c r="S462" s="187">
        <f t="shared" ref="S462:S464" si="164">(P462-O462)/O462</f>
        <v>4.8915736167682786E-2</v>
      </c>
      <c r="T462" s="187">
        <f>P462/(P$465-P$464)</f>
        <v>0.73554154243661862</v>
      </c>
      <c r="U462" s="53"/>
    </row>
    <row r="463" spans="1:21" x14ac:dyDescent="0.25">
      <c r="A463" s="107" t="s">
        <v>360</v>
      </c>
      <c r="B463" s="113">
        <v>103078</v>
      </c>
      <c r="C463" s="113">
        <v>125963</v>
      </c>
      <c r="D463" s="113">
        <v>156782</v>
      </c>
      <c r="E463" s="113">
        <v>191236</v>
      </c>
      <c r="F463" s="113">
        <v>224422</v>
      </c>
      <c r="G463" s="113">
        <v>245500</v>
      </c>
      <c r="H463" s="113">
        <v>267679</v>
      </c>
      <c r="I463" s="113">
        <v>281683</v>
      </c>
      <c r="J463" s="113">
        <v>288077</v>
      </c>
      <c r="K463" s="113">
        <v>293552</v>
      </c>
      <c r="L463" s="113">
        <v>296600</v>
      </c>
      <c r="M463" s="113">
        <v>299361</v>
      </c>
      <c r="N463" s="113">
        <v>299419</v>
      </c>
      <c r="O463" s="113">
        <v>283238</v>
      </c>
      <c r="P463" s="113">
        <v>289248</v>
      </c>
      <c r="Q463" s="103">
        <f t="shared" si="162"/>
        <v>0.17819959266802443</v>
      </c>
      <c r="R463" s="187">
        <f t="shared" si="163"/>
        <v>-2.4787592717464599E-2</v>
      </c>
      <c r="S463" s="187">
        <f t="shared" si="164"/>
        <v>2.1218904243074727E-2</v>
      </c>
      <c r="T463" s="187">
        <f>P463/(P$465-P$464)</f>
        <v>0.26445845756338132</v>
      </c>
      <c r="U463" s="53"/>
    </row>
    <row r="464" spans="1:21" x14ac:dyDescent="0.25">
      <c r="A464" s="107" t="s">
        <v>77</v>
      </c>
      <c r="B464" s="113">
        <f t="shared" ref="B464:P464" si="165">B465-B462-B463</f>
        <v>301157</v>
      </c>
      <c r="C464" s="113">
        <f t="shared" si="165"/>
        <v>247653</v>
      </c>
      <c r="D464" s="113">
        <f t="shared" si="165"/>
        <v>213473</v>
      </c>
      <c r="E464" s="113">
        <f t="shared" si="165"/>
        <v>199602</v>
      </c>
      <c r="F464" s="113">
        <f t="shared" si="165"/>
        <v>186043</v>
      </c>
      <c r="G464" s="113">
        <f t="shared" si="165"/>
        <v>176050</v>
      </c>
      <c r="H464" s="113">
        <f t="shared" si="165"/>
        <v>165465</v>
      </c>
      <c r="I464" s="113">
        <f t="shared" si="165"/>
        <v>158286</v>
      </c>
      <c r="J464" s="113">
        <f t="shared" si="165"/>
        <v>149933</v>
      </c>
      <c r="K464" s="113">
        <f t="shared" si="165"/>
        <v>140620</v>
      </c>
      <c r="L464" s="113">
        <f t="shared" si="165"/>
        <v>127608</v>
      </c>
      <c r="M464" s="113">
        <f t="shared" si="165"/>
        <v>120010</v>
      </c>
      <c r="N464" s="113">
        <f t="shared" si="165"/>
        <v>114426</v>
      </c>
      <c r="O464" s="151">
        <f t="shared" si="165"/>
        <v>101712</v>
      </c>
      <c r="P464" s="151">
        <f t="shared" si="165"/>
        <v>110677</v>
      </c>
      <c r="Q464" s="103">
        <f t="shared" si="162"/>
        <v>-0.37133200795228627</v>
      </c>
      <c r="R464" s="103">
        <f t="shared" si="163"/>
        <v>-0.13267976929346123</v>
      </c>
      <c r="S464" s="103">
        <f t="shared" si="164"/>
        <v>8.8141025641025647E-2</v>
      </c>
      <c r="T464" s="202"/>
      <c r="U464" s="53"/>
    </row>
    <row r="465" spans="1:21" s="52" customFormat="1" x14ac:dyDescent="0.25">
      <c r="A465" s="112" t="s">
        <v>0</v>
      </c>
      <c r="B465" s="2">
        <v>748344</v>
      </c>
      <c r="C465" s="2">
        <v>783349</v>
      </c>
      <c r="D465" s="2">
        <v>849340</v>
      </c>
      <c r="E465" s="2">
        <v>938258</v>
      </c>
      <c r="F465" s="2">
        <v>1015077</v>
      </c>
      <c r="G465" s="2">
        <v>1064816</v>
      </c>
      <c r="H465" s="2">
        <v>1114277</v>
      </c>
      <c r="I465" s="2">
        <v>1144381</v>
      </c>
      <c r="J465" s="2">
        <v>1165906</v>
      </c>
      <c r="K465" s="2">
        <v>1178480</v>
      </c>
      <c r="L465" s="2">
        <v>1177292</v>
      </c>
      <c r="M465" s="2">
        <v>1188047</v>
      </c>
      <c r="N465" s="2">
        <v>1194480</v>
      </c>
      <c r="O465" s="2">
        <v>1151922</v>
      </c>
      <c r="P465" s="2">
        <v>1204414</v>
      </c>
      <c r="Q465" s="33">
        <f>(P465-G465)/G465</f>
        <v>0.13110058451413201</v>
      </c>
      <c r="R465" s="33">
        <f>(P465-L465)/L465</f>
        <v>2.3037615137111268E-2</v>
      </c>
      <c r="S465" s="33">
        <f>(P465-O465)/O465</f>
        <v>4.5569057627165725E-2</v>
      </c>
      <c r="T465" s="33">
        <f>SUM(T462:T463)</f>
        <v>1</v>
      </c>
      <c r="U465" s="53"/>
    </row>
    <row r="466" spans="1:21" x14ac:dyDescent="0.25">
      <c r="A466" s="110"/>
      <c r="B466" s="110"/>
      <c r="C466" s="110"/>
      <c r="D466" s="110"/>
      <c r="E466" s="110"/>
      <c r="F466" s="110"/>
      <c r="G466" s="110"/>
      <c r="H466" s="110"/>
      <c r="I466" s="110"/>
      <c r="J466" s="110"/>
      <c r="K466" s="110"/>
      <c r="L466" s="110"/>
      <c r="M466" s="110"/>
      <c r="N466" s="110"/>
      <c r="O466" s="110"/>
      <c r="P466" s="110"/>
      <c r="Q466" s="110"/>
      <c r="R466" s="39"/>
      <c r="S466" s="39"/>
      <c r="T466" s="39"/>
      <c r="U466" s="53"/>
    </row>
    <row r="467" spans="1:21" ht="15.75" x14ac:dyDescent="0.25">
      <c r="A467" s="203" t="s">
        <v>337</v>
      </c>
      <c r="B467" s="203"/>
      <c r="C467" s="203"/>
      <c r="D467" s="203"/>
      <c r="E467" s="203"/>
      <c r="F467" s="203"/>
      <c r="G467" s="203"/>
      <c r="H467" s="203"/>
      <c r="I467" s="204"/>
      <c r="J467" s="204"/>
      <c r="K467" s="204"/>
      <c r="L467" s="204"/>
      <c r="M467" s="204"/>
      <c r="N467" s="204"/>
      <c r="O467" s="204"/>
      <c r="P467" s="204"/>
      <c r="Q467" s="205"/>
      <c r="R467" s="205"/>
      <c r="S467" s="205"/>
      <c r="T467" s="205"/>
      <c r="U467" s="53"/>
    </row>
    <row r="468" spans="1:21" ht="30" customHeight="1" x14ac:dyDescent="0.25">
      <c r="A468" s="148" t="s">
        <v>2</v>
      </c>
      <c r="B468" s="130">
        <v>2007</v>
      </c>
      <c r="C468" s="130">
        <v>2008</v>
      </c>
      <c r="D468" s="130">
        <v>2009</v>
      </c>
      <c r="E468" s="130">
        <v>2010</v>
      </c>
      <c r="F468" s="130">
        <v>2011</v>
      </c>
      <c r="G468" s="130">
        <v>2012</v>
      </c>
      <c r="H468" s="130">
        <v>2013</v>
      </c>
      <c r="I468" s="130">
        <v>2014</v>
      </c>
      <c r="J468" s="130">
        <v>2015</v>
      </c>
      <c r="K468" s="130">
        <v>2016</v>
      </c>
      <c r="L468" s="130">
        <v>2017</v>
      </c>
      <c r="M468" s="130">
        <v>2018</v>
      </c>
      <c r="N468" s="130">
        <v>2019</v>
      </c>
      <c r="O468" s="130">
        <v>2020</v>
      </c>
      <c r="P468" s="130">
        <v>2021</v>
      </c>
      <c r="Q468" s="131" t="s">
        <v>424</v>
      </c>
      <c r="R468" s="131" t="s">
        <v>425</v>
      </c>
      <c r="S468" s="131" t="s">
        <v>426</v>
      </c>
      <c r="T468" s="131" t="s">
        <v>427</v>
      </c>
      <c r="U468" s="53"/>
    </row>
    <row r="469" spans="1:21" x14ac:dyDescent="0.25">
      <c r="A469" s="107" t="s">
        <v>386</v>
      </c>
      <c r="B469" s="113">
        <v>31130</v>
      </c>
      <c r="C469" s="113">
        <v>38067</v>
      </c>
      <c r="D469" s="113">
        <v>45987</v>
      </c>
      <c r="E469" s="113">
        <v>54613</v>
      </c>
      <c r="F469" s="113">
        <v>58917</v>
      </c>
      <c r="G469" s="113">
        <v>60201</v>
      </c>
      <c r="H469" s="113">
        <v>63369</v>
      </c>
      <c r="I469" s="113">
        <v>65855</v>
      </c>
      <c r="J469" s="113">
        <v>67442</v>
      </c>
      <c r="K469" s="113">
        <v>66207</v>
      </c>
      <c r="L469" s="113">
        <v>64530</v>
      </c>
      <c r="M469" s="113">
        <v>64749</v>
      </c>
      <c r="N469" s="113">
        <v>66361</v>
      </c>
      <c r="O469" s="113">
        <v>63957</v>
      </c>
      <c r="P469" s="113">
        <v>66662</v>
      </c>
      <c r="Q469" s="187">
        <f t="shared" ref="Q469:Q472" si="166">(P469-G469)/G469</f>
        <v>0.10732379860799654</v>
      </c>
      <c r="R469" s="187">
        <f t="shared" ref="R469:R472" si="167">(P469-L469)/L469</f>
        <v>3.3038896637222995E-2</v>
      </c>
      <c r="S469" s="187">
        <f t="shared" ref="S469:S472" si="168">(P469-O469)/O469</f>
        <v>4.2294041309004486E-2</v>
      </c>
      <c r="T469" s="187">
        <f>P469/(P$472-P$471)</f>
        <v>0.56598743419935471</v>
      </c>
      <c r="U469" s="53"/>
    </row>
    <row r="470" spans="1:21" x14ac:dyDescent="0.25">
      <c r="A470" s="107" t="s">
        <v>360</v>
      </c>
      <c r="B470" s="113">
        <v>21162</v>
      </c>
      <c r="C470" s="113">
        <v>27059</v>
      </c>
      <c r="D470" s="113">
        <v>34513</v>
      </c>
      <c r="E470" s="113">
        <v>43008</v>
      </c>
      <c r="F470" s="113">
        <v>49156</v>
      </c>
      <c r="G470" s="113">
        <v>50939</v>
      </c>
      <c r="H470" s="113">
        <v>54521</v>
      </c>
      <c r="I470" s="113">
        <v>56937</v>
      </c>
      <c r="J470" s="113">
        <v>56678</v>
      </c>
      <c r="K470" s="113">
        <v>54880</v>
      </c>
      <c r="L470" s="113">
        <v>54336</v>
      </c>
      <c r="M470" s="113">
        <v>54931</v>
      </c>
      <c r="N470" s="113">
        <v>55158</v>
      </c>
      <c r="O470" s="113">
        <v>51573</v>
      </c>
      <c r="P470" s="113">
        <v>51118</v>
      </c>
      <c r="Q470" s="187">
        <f t="shared" si="166"/>
        <v>3.5140069494886041E-3</v>
      </c>
      <c r="R470" s="187">
        <f t="shared" si="167"/>
        <v>-5.9224087161366311E-2</v>
      </c>
      <c r="S470" s="187">
        <f t="shared" si="168"/>
        <v>-8.8224458534504491E-3</v>
      </c>
      <c r="T470" s="187">
        <f>P470/(P$472-P$471)</f>
        <v>0.43401256580064529</v>
      </c>
      <c r="U470" s="53"/>
    </row>
    <row r="471" spans="1:21" x14ac:dyDescent="0.25">
      <c r="A471" s="107" t="s">
        <v>77</v>
      </c>
      <c r="B471" s="113">
        <f>B472-B469-B470</f>
        <v>34546</v>
      </c>
      <c r="C471" s="113">
        <f t="shared" ref="C471:P471" si="169">C472-C469-C470</f>
        <v>30765</v>
      </c>
      <c r="D471" s="113">
        <f t="shared" si="169"/>
        <v>29507</v>
      </c>
      <c r="E471" s="113">
        <f t="shared" si="169"/>
        <v>30945</v>
      </c>
      <c r="F471" s="113">
        <f t="shared" si="169"/>
        <v>30501</v>
      </c>
      <c r="G471" s="113">
        <f t="shared" si="169"/>
        <v>28891</v>
      </c>
      <c r="H471" s="113">
        <f t="shared" si="169"/>
        <v>26475</v>
      </c>
      <c r="I471" s="113">
        <f t="shared" si="169"/>
        <v>25218</v>
      </c>
      <c r="J471" s="113">
        <f t="shared" si="169"/>
        <v>22420</v>
      </c>
      <c r="K471" s="113">
        <f t="shared" si="169"/>
        <v>20624</v>
      </c>
      <c r="L471" s="113">
        <f t="shared" si="169"/>
        <v>17911</v>
      </c>
      <c r="M471" s="113">
        <f t="shared" si="169"/>
        <v>17050</v>
      </c>
      <c r="N471" s="113">
        <f t="shared" si="169"/>
        <v>16421</v>
      </c>
      <c r="O471" s="113">
        <f t="shared" si="169"/>
        <v>14815</v>
      </c>
      <c r="P471" s="113">
        <f t="shared" si="169"/>
        <v>16716</v>
      </c>
      <c r="Q471" s="103">
        <f t="shared" si="166"/>
        <v>-0.42141151223564433</v>
      </c>
      <c r="R471" s="103">
        <f t="shared" si="167"/>
        <v>-6.6718776171068056E-2</v>
      </c>
      <c r="S471" s="103">
        <f t="shared" si="168"/>
        <v>0.12831589605129937</v>
      </c>
      <c r="T471" s="202"/>
      <c r="U471" s="53"/>
    </row>
    <row r="472" spans="1:21" x14ac:dyDescent="0.25">
      <c r="A472" s="112" t="s">
        <v>0</v>
      </c>
      <c r="B472" s="2">
        <v>86838</v>
      </c>
      <c r="C472" s="2">
        <v>95891</v>
      </c>
      <c r="D472" s="2">
        <v>110007</v>
      </c>
      <c r="E472" s="2">
        <v>128566</v>
      </c>
      <c r="F472" s="2">
        <v>138574</v>
      </c>
      <c r="G472" s="2">
        <v>140031</v>
      </c>
      <c r="H472" s="2">
        <v>144365</v>
      </c>
      <c r="I472" s="2">
        <v>148010</v>
      </c>
      <c r="J472" s="2">
        <v>146540</v>
      </c>
      <c r="K472" s="2">
        <v>141711</v>
      </c>
      <c r="L472" s="2">
        <v>136777</v>
      </c>
      <c r="M472" s="2">
        <v>136730</v>
      </c>
      <c r="N472" s="2">
        <v>137940</v>
      </c>
      <c r="O472" s="2">
        <v>130345</v>
      </c>
      <c r="P472" s="2">
        <v>134496</v>
      </c>
      <c r="Q472" s="33">
        <f t="shared" si="166"/>
        <v>-3.9526961887010735E-2</v>
      </c>
      <c r="R472" s="33">
        <f t="shared" si="167"/>
        <v>-1.6676780452853916E-2</v>
      </c>
      <c r="S472" s="33">
        <f t="shared" si="168"/>
        <v>3.1846254171621464E-2</v>
      </c>
      <c r="T472" s="33">
        <f>SUM(T469:T470)</f>
        <v>1</v>
      </c>
      <c r="U472" s="53"/>
    </row>
    <row r="473" spans="1:21" x14ac:dyDescent="0.25">
      <c r="A473" s="110"/>
      <c r="B473" s="110"/>
      <c r="C473" s="110"/>
      <c r="D473" s="110"/>
      <c r="E473" s="110"/>
      <c r="F473" s="110"/>
      <c r="G473" s="110"/>
      <c r="H473" s="110"/>
      <c r="I473" s="110"/>
      <c r="J473" s="110"/>
      <c r="K473" s="110"/>
      <c r="L473" s="110"/>
      <c r="M473" s="110"/>
      <c r="N473" s="110"/>
      <c r="O473" s="110"/>
      <c r="P473" s="110"/>
      <c r="Q473" s="39"/>
      <c r="R473" s="39"/>
      <c r="S473" s="39"/>
      <c r="T473" s="39"/>
      <c r="U473" s="53"/>
    </row>
    <row r="474" spans="1:21" ht="15.75" x14ac:dyDescent="0.25">
      <c r="A474" s="27" t="s">
        <v>336</v>
      </c>
      <c r="B474" s="27"/>
      <c r="C474" s="27"/>
      <c r="D474" s="27"/>
      <c r="E474" s="27"/>
      <c r="F474" s="27"/>
      <c r="G474" s="27"/>
      <c r="H474" s="27"/>
      <c r="I474" s="110"/>
      <c r="J474" s="110"/>
      <c r="K474" s="110"/>
      <c r="L474" s="110"/>
      <c r="M474" s="110"/>
      <c r="N474" s="110"/>
      <c r="O474" s="110"/>
      <c r="P474" s="110"/>
      <c r="Q474" s="39"/>
      <c r="R474" s="39"/>
      <c r="S474" s="39"/>
      <c r="T474" s="39"/>
      <c r="U474" s="53"/>
    </row>
    <row r="475" spans="1:21" ht="30" customHeight="1" x14ac:dyDescent="0.25">
      <c r="A475" s="148" t="s">
        <v>3</v>
      </c>
      <c r="B475" s="130">
        <v>2007</v>
      </c>
      <c r="C475" s="130">
        <v>2008</v>
      </c>
      <c r="D475" s="130">
        <v>2009</v>
      </c>
      <c r="E475" s="130">
        <v>2010</v>
      </c>
      <c r="F475" s="130">
        <v>2011</v>
      </c>
      <c r="G475" s="130">
        <v>2012</v>
      </c>
      <c r="H475" s="130">
        <v>2013</v>
      </c>
      <c r="I475" s="130">
        <v>2014</v>
      </c>
      <c r="J475" s="130">
        <v>2015</v>
      </c>
      <c r="K475" s="130">
        <v>2016</v>
      </c>
      <c r="L475" s="130">
        <v>2017</v>
      </c>
      <c r="M475" s="130">
        <v>2018</v>
      </c>
      <c r="N475" s="130">
        <v>2019</v>
      </c>
      <c r="O475" s="130">
        <v>2020</v>
      </c>
      <c r="P475" s="130">
        <v>2021</v>
      </c>
      <c r="Q475" s="131" t="s">
        <v>424</v>
      </c>
      <c r="R475" s="131" t="s">
        <v>425</v>
      </c>
      <c r="S475" s="131" t="s">
        <v>426</v>
      </c>
      <c r="T475" s="131" t="s">
        <v>427</v>
      </c>
      <c r="U475" s="53"/>
    </row>
    <row r="476" spans="1:21" x14ac:dyDescent="0.25">
      <c r="A476" s="107" t="s">
        <v>386</v>
      </c>
      <c r="B476" s="113">
        <v>57969</v>
      </c>
      <c r="C476" s="113">
        <v>66560</v>
      </c>
      <c r="D476" s="113">
        <v>81364</v>
      </c>
      <c r="E476" s="113">
        <v>98199</v>
      </c>
      <c r="F476" s="113">
        <v>115093</v>
      </c>
      <c r="G476" s="113">
        <v>129654</v>
      </c>
      <c r="H476" s="113">
        <v>145961</v>
      </c>
      <c r="I476" s="113">
        <v>158841</v>
      </c>
      <c r="J476" s="113">
        <v>171647</v>
      </c>
      <c r="K476" s="113">
        <v>177724</v>
      </c>
      <c r="L476" s="113">
        <v>178254</v>
      </c>
      <c r="M476" s="113">
        <v>179911</v>
      </c>
      <c r="N476" s="113">
        <v>183789</v>
      </c>
      <c r="O476" s="113">
        <v>176893</v>
      </c>
      <c r="P476" s="113">
        <v>185698</v>
      </c>
      <c r="Q476" s="187">
        <f t="shared" ref="Q476:Q479" si="170">(P476-G476)/G476</f>
        <v>0.43225816403658968</v>
      </c>
      <c r="R476" s="187">
        <f t="shared" ref="R476:R479" si="171">(P476-L476)/L476</f>
        <v>4.1760633702469512E-2</v>
      </c>
      <c r="S476" s="187">
        <f t="shared" ref="S476:S479" si="172">(P476-O476)/O476</f>
        <v>4.977585319939172E-2</v>
      </c>
      <c r="T476" s="187">
        <f>P476/(P$479-P$478)</f>
        <v>0.5806564584264885</v>
      </c>
      <c r="U476" s="53"/>
    </row>
    <row r="477" spans="1:21" x14ac:dyDescent="0.25">
      <c r="A477" s="107" t="s">
        <v>360</v>
      </c>
      <c r="B477" s="113">
        <v>34539</v>
      </c>
      <c r="C477" s="113">
        <v>41551</v>
      </c>
      <c r="D477" s="113">
        <v>54787</v>
      </c>
      <c r="E477" s="113">
        <v>70201</v>
      </c>
      <c r="F477" s="113">
        <v>86724</v>
      </c>
      <c r="G477" s="113">
        <v>100483</v>
      </c>
      <c r="H477" s="113">
        <v>114895</v>
      </c>
      <c r="I477" s="113">
        <v>125726</v>
      </c>
      <c r="J477" s="113">
        <v>132617</v>
      </c>
      <c r="K477" s="113">
        <v>136425</v>
      </c>
      <c r="L477" s="113">
        <v>135495</v>
      </c>
      <c r="M477" s="113">
        <v>134873</v>
      </c>
      <c r="N477" s="113">
        <v>137356</v>
      </c>
      <c r="O477" s="113">
        <v>131091</v>
      </c>
      <c r="P477" s="113">
        <v>134109</v>
      </c>
      <c r="Q477" s="187">
        <f t="shared" si="170"/>
        <v>0.33464367106873799</v>
      </c>
      <c r="R477" s="187">
        <f t="shared" si="171"/>
        <v>-1.0229159747592162E-2</v>
      </c>
      <c r="S477" s="187">
        <f t="shared" si="172"/>
        <v>2.3022175435384581E-2</v>
      </c>
      <c r="T477" s="187">
        <f>P477/(P$479-P$478)</f>
        <v>0.4193435415735115</v>
      </c>
      <c r="U477" s="53"/>
    </row>
    <row r="478" spans="1:21" x14ac:dyDescent="0.25">
      <c r="A478" s="107" t="s">
        <v>77</v>
      </c>
      <c r="B478" s="113">
        <f>B479-B476-B477</f>
        <v>63616</v>
      </c>
      <c r="C478" s="113">
        <f t="shared" ref="C478:O478" si="173">C479-C476-C477</f>
        <v>54737</v>
      </c>
      <c r="D478" s="113">
        <f t="shared" si="173"/>
        <v>53446</v>
      </c>
      <c r="E478" s="113">
        <f t="shared" si="173"/>
        <v>55901</v>
      </c>
      <c r="F478" s="113">
        <f t="shared" si="173"/>
        <v>58875</v>
      </c>
      <c r="G478" s="113">
        <f t="shared" si="173"/>
        <v>63382</v>
      </c>
      <c r="H478" s="113">
        <f t="shared" si="173"/>
        <v>63723</v>
      </c>
      <c r="I478" s="113">
        <f t="shared" si="173"/>
        <v>66437</v>
      </c>
      <c r="J478" s="113">
        <f t="shared" si="173"/>
        <v>68907</v>
      </c>
      <c r="K478" s="113">
        <f t="shared" si="173"/>
        <v>66839</v>
      </c>
      <c r="L478" s="113">
        <f t="shared" si="173"/>
        <v>60960</v>
      </c>
      <c r="M478" s="113">
        <f t="shared" si="173"/>
        <v>58320</v>
      </c>
      <c r="N478" s="113">
        <f t="shared" si="173"/>
        <v>58311</v>
      </c>
      <c r="O478" s="113">
        <f t="shared" si="173"/>
        <v>53403</v>
      </c>
      <c r="P478" s="113">
        <f>P479-P476-P477</f>
        <v>58731</v>
      </c>
      <c r="Q478" s="103">
        <f t="shared" si="170"/>
        <v>-7.3380455018775048E-2</v>
      </c>
      <c r="R478" s="103">
        <f t="shared" si="171"/>
        <v>-3.6564960629921262E-2</v>
      </c>
      <c r="S478" s="103">
        <f t="shared" si="172"/>
        <v>9.9769675860906695E-2</v>
      </c>
      <c r="T478" s="202"/>
      <c r="U478" s="53"/>
    </row>
    <row r="479" spans="1:21" x14ac:dyDescent="0.25">
      <c r="A479" s="112" t="s">
        <v>0</v>
      </c>
      <c r="B479" s="2">
        <v>156124</v>
      </c>
      <c r="C479" s="2">
        <v>162848</v>
      </c>
      <c r="D479" s="2">
        <v>189597</v>
      </c>
      <c r="E479" s="2">
        <v>224301</v>
      </c>
      <c r="F479" s="2">
        <v>260692</v>
      </c>
      <c r="G479" s="2">
        <v>293519</v>
      </c>
      <c r="H479" s="2">
        <v>324579</v>
      </c>
      <c r="I479" s="2">
        <v>351004</v>
      </c>
      <c r="J479" s="2">
        <v>373171</v>
      </c>
      <c r="K479" s="2">
        <v>380988</v>
      </c>
      <c r="L479" s="2">
        <v>374709</v>
      </c>
      <c r="M479" s="2">
        <v>373104</v>
      </c>
      <c r="N479" s="2">
        <v>379456</v>
      </c>
      <c r="O479" s="2">
        <v>361387</v>
      </c>
      <c r="P479" s="2">
        <v>378538</v>
      </c>
      <c r="Q479" s="33">
        <f t="shared" si="170"/>
        <v>0.28965416208150069</v>
      </c>
      <c r="R479" s="33">
        <f t="shared" si="171"/>
        <v>1.0218596297393443E-2</v>
      </c>
      <c r="S479" s="33">
        <f t="shared" si="172"/>
        <v>4.7458818385830145E-2</v>
      </c>
      <c r="T479" s="33">
        <f>SUM(T476:T477)</f>
        <v>1</v>
      </c>
      <c r="U479" s="53"/>
    </row>
    <row r="480" spans="1:21" x14ac:dyDescent="0.25">
      <c r="A480" s="110"/>
      <c r="B480" s="110"/>
      <c r="C480" s="110"/>
      <c r="D480" s="110"/>
      <c r="E480" s="110"/>
      <c r="F480" s="110"/>
      <c r="G480" s="110"/>
      <c r="H480" s="110"/>
      <c r="I480" s="110"/>
      <c r="J480" s="110"/>
      <c r="K480" s="110"/>
      <c r="L480" s="110"/>
      <c r="M480" s="110"/>
      <c r="N480" s="110"/>
      <c r="O480" s="110"/>
      <c r="P480" s="110"/>
      <c r="Q480" s="39"/>
      <c r="R480" s="39"/>
      <c r="S480" s="39"/>
      <c r="T480" s="39"/>
      <c r="U480" s="53"/>
    </row>
    <row r="481" spans="1:21" ht="15.75" x14ac:dyDescent="0.25">
      <c r="A481" s="27" t="s">
        <v>335</v>
      </c>
      <c r="B481" s="27"/>
      <c r="C481" s="27"/>
      <c r="D481" s="27"/>
      <c r="E481" s="27"/>
      <c r="F481" s="27"/>
      <c r="G481" s="27"/>
      <c r="H481" s="27"/>
      <c r="I481" s="110"/>
      <c r="J481" s="110"/>
      <c r="K481" s="110"/>
      <c r="L481" s="110"/>
      <c r="M481" s="110"/>
      <c r="N481" s="110"/>
      <c r="O481" s="110"/>
      <c r="P481" s="110"/>
      <c r="Q481" s="39"/>
      <c r="R481" s="39"/>
      <c r="S481" s="39"/>
      <c r="T481" s="39"/>
      <c r="U481" s="53"/>
    </row>
    <row r="482" spans="1:21" ht="30" customHeight="1" x14ac:dyDescent="0.25">
      <c r="A482" s="148" t="s">
        <v>4</v>
      </c>
      <c r="B482" s="130">
        <v>2007</v>
      </c>
      <c r="C482" s="130">
        <v>2008</v>
      </c>
      <c r="D482" s="130">
        <v>2009</v>
      </c>
      <c r="E482" s="130">
        <v>2010</v>
      </c>
      <c r="F482" s="130">
        <v>2011</v>
      </c>
      <c r="G482" s="130">
        <v>2012</v>
      </c>
      <c r="H482" s="130">
        <v>2013</v>
      </c>
      <c r="I482" s="130">
        <v>2014</v>
      </c>
      <c r="J482" s="130">
        <v>2015</v>
      </c>
      <c r="K482" s="130">
        <v>2016</v>
      </c>
      <c r="L482" s="130">
        <v>2017</v>
      </c>
      <c r="M482" s="130">
        <v>2018</v>
      </c>
      <c r="N482" s="130">
        <v>2019</v>
      </c>
      <c r="O482" s="130">
        <v>2020</v>
      </c>
      <c r="P482" s="130">
        <v>2021</v>
      </c>
      <c r="Q482" s="131" t="s">
        <v>424</v>
      </c>
      <c r="R482" s="131" t="s">
        <v>425</v>
      </c>
      <c r="S482" s="131" t="s">
        <v>426</v>
      </c>
      <c r="T482" s="131" t="s">
        <v>427</v>
      </c>
      <c r="U482" s="53"/>
    </row>
    <row r="483" spans="1:21" x14ac:dyDescent="0.25">
      <c r="A483" s="107" t="s">
        <v>386</v>
      </c>
      <c r="B483" s="113">
        <v>255010</v>
      </c>
      <c r="C483" s="113">
        <v>305106</v>
      </c>
      <c r="D483" s="113">
        <v>351734</v>
      </c>
      <c r="E483" s="113">
        <v>394608</v>
      </c>
      <c r="F483" s="113">
        <v>430602</v>
      </c>
      <c r="G483" s="113">
        <v>453411</v>
      </c>
      <c r="H483" s="113">
        <v>471803</v>
      </c>
      <c r="I483" s="113">
        <v>479716</v>
      </c>
      <c r="J483" s="113">
        <v>488807</v>
      </c>
      <c r="K483" s="113">
        <v>500377</v>
      </c>
      <c r="L483" s="113">
        <v>510300</v>
      </c>
      <c r="M483" s="113">
        <v>524016</v>
      </c>
      <c r="N483" s="113">
        <v>530485</v>
      </c>
      <c r="O483" s="113">
        <v>526122</v>
      </c>
      <c r="P483" s="151">
        <v>552129</v>
      </c>
      <c r="Q483" s="187">
        <f t="shared" ref="Q483:Q486" si="174">(P483-G483)/G483</f>
        <v>0.21772299304604431</v>
      </c>
      <c r="R483" s="187">
        <f t="shared" ref="R483:R486" si="175">(P483-L483)/L483</f>
        <v>8.1969429747207528E-2</v>
      </c>
      <c r="S483" s="187">
        <f t="shared" ref="S483:S486" si="176">(P483-O483)/O483</f>
        <v>4.9431500678549845E-2</v>
      </c>
      <c r="T483" s="187">
        <f>P483/(P$486-P$485)</f>
        <v>0.8414676522136707</v>
      </c>
      <c r="U483" s="53"/>
    </row>
    <row r="484" spans="1:21" x14ac:dyDescent="0.25">
      <c r="A484" s="107" t="s">
        <v>360</v>
      </c>
      <c r="B484" s="113">
        <v>47377</v>
      </c>
      <c r="C484" s="113">
        <v>57353</v>
      </c>
      <c r="D484" s="113">
        <v>67482</v>
      </c>
      <c r="E484" s="113">
        <v>78027</v>
      </c>
      <c r="F484" s="113">
        <v>88542</v>
      </c>
      <c r="G484" s="113">
        <v>94078</v>
      </c>
      <c r="H484" s="113">
        <v>98263</v>
      </c>
      <c r="I484" s="113">
        <v>99020</v>
      </c>
      <c r="J484" s="113">
        <v>98782</v>
      </c>
      <c r="K484" s="113">
        <v>102247</v>
      </c>
      <c r="L484" s="113">
        <v>106769</v>
      </c>
      <c r="M484" s="113">
        <v>109557</v>
      </c>
      <c r="N484" s="113">
        <v>106905</v>
      </c>
      <c r="O484" s="113">
        <v>100574</v>
      </c>
      <c r="P484" s="113">
        <v>104021</v>
      </c>
      <c r="Q484" s="187">
        <f t="shared" si="174"/>
        <v>0.10568889644762856</v>
      </c>
      <c r="R484" s="187">
        <f t="shared" si="175"/>
        <v>-2.5737807790650845E-2</v>
      </c>
      <c r="S484" s="187">
        <f t="shared" si="176"/>
        <v>3.4273271422037503E-2</v>
      </c>
      <c r="T484" s="187">
        <f>P484/(P$486-P$485)</f>
        <v>0.15853234778632935</v>
      </c>
      <c r="U484" s="53"/>
    </row>
    <row r="485" spans="1:21" x14ac:dyDescent="0.25">
      <c r="A485" s="107" t="s">
        <v>77</v>
      </c>
      <c r="B485" s="113">
        <f>B486-B483-B484</f>
        <v>202995</v>
      </c>
      <c r="C485" s="113">
        <f t="shared" ref="C485:P485" si="177">C486-C483-C484</f>
        <v>162151</v>
      </c>
      <c r="D485" s="113">
        <f t="shared" si="177"/>
        <v>130520</v>
      </c>
      <c r="E485" s="113">
        <f t="shared" si="177"/>
        <v>112756</v>
      </c>
      <c r="F485" s="113">
        <f t="shared" si="177"/>
        <v>96667</v>
      </c>
      <c r="G485" s="113">
        <f t="shared" si="177"/>
        <v>83777</v>
      </c>
      <c r="H485" s="113">
        <f t="shared" si="177"/>
        <v>75267</v>
      </c>
      <c r="I485" s="113">
        <f t="shared" si="177"/>
        <v>66631</v>
      </c>
      <c r="J485" s="113">
        <f t="shared" si="177"/>
        <v>58606</v>
      </c>
      <c r="K485" s="113">
        <f t="shared" si="177"/>
        <v>53157</v>
      </c>
      <c r="L485" s="113">
        <f t="shared" si="177"/>
        <v>48737</v>
      </c>
      <c r="M485" s="113">
        <f t="shared" si="177"/>
        <v>44640</v>
      </c>
      <c r="N485" s="113">
        <f t="shared" si="177"/>
        <v>39694</v>
      </c>
      <c r="O485" s="113">
        <f t="shared" si="177"/>
        <v>33494</v>
      </c>
      <c r="P485" s="113">
        <f t="shared" si="177"/>
        <v>35230</v>
      </c>
      <c r="Q485" s="103">
        <f t="shared" si="174"/>
        <v>-0.57947885457822557</v>
      </c>
      <c r="R485" s="103">
        <f t="shared" si="175"/>
        <v>-0.27714057081888505</v>
      </c>
      <c r="S485" s="103">
        <f t="shared" si="176"/>
        <v>5.18301785394399E-2</v>
      </c>
      <c r="T485" s="202"/>
      <c r="U485" s="53"/>
    </row>
    <row r="486" spans="1:21" x14ac:dyDescent="0.25">
      <c r="A486" s="112" t="s">
        <v>0</v>
      </c>
      <c r="B486" s="2">
        <v>505382</v>
      </c>
      <c r="C486" s="2">
        <v>524610</v>
      </c>
      <c r="D486" s="2">
        <v>549736</v>
      </c>
      <c r="E486" s="2">
        <v>585391</v>
      </c>
      <c r="F486" s="2">
        <v>615811</v>
      </c>
      <c r="G486" s="2">
        <v>631266</v>
      </c>
      <c r="H486" s="2">
        <v>645333</v>
      </c>
      <c r="I486" s="2">
        <v>645367</v>
      </c>
      <c r="J486" s="2">
        <v>646195</v>
      </c>
      <c r="K486" s="2">
        <v>655781</v>
      </c>
      <c r="L486" s="2">
        <v>665806</v>
      </c>
      <c r="M486" s="2">
        <v>678213</v>
      </c>
      <c r="N486" s="2">
        <v>677084</v>
      </c>
      <c r="O486" s="2">
        <v>660190</v>
      </c>
      <c r="P486" s="2">
        <v>691380</v>
      </c>
      <c r="Q486" s="33">
        <f t="shared" si="174"/>
        <v>9.52276853180751E-2</v>
      </c>
      <c r="R486" s="33">
        <f t="shared" si="175"/>
        <v>3.8410588069197331E-2</v>
      </c>
      <c r="S486" s="33">
        <f t="shared" si="176"/>
        <v>4.7243975219255066E-2</v>
      </c>
      <c r="T486" s="33">
        <f>SUM(T483:T484)</f>
        <v>1</v>
      </c>
      <c r="U486" s="53"/>
    </row>
    <row r="487" spans="1:21" x14ac:dyDescent="0.25">
      <c r="A487" s="105"/>
      <c r="B487" s="106"/>
      <c r="C487" s="106"/>
      <c r="D487" s="106"/>
      <c r="E487" s="106"/>
      <c r="F487" s="106"/>
      <c r="G487" s="106"/>
      <c r="H487" s="106"/>
      <c r="I487" s="106"/>
      <c r="J487" s="106"/>
      <c r="K487" s="106"/>
      <c r="L487" s="106"/>
      <c r="M487" s="106"/>
      <c r="N487" s="106"/>
      <c r="O487" s="106"/>
      <c r="P487" s="106"/>
      <c r="Q487" s="61"/>
      <c r="R487" s="61"/>
      <c r="S487" s="61"/>
      <c r="T487" s="61"/>
      <c r="U487" s="53"/>
    </row>
    <row r="488" spans="1:21" ht="15.75" x14ac:dyDescent="0.25">
      <c r="A488" s="27" t="s">
        <v>89</v>
      </c>
      <c r="B488" s="27"/>
      <c r="C488" s="27"/>
      <c r="D488" s="27"/>
      <c r="E488" s="27"/>
      <c r="F488" s="27"/>
      <c r="G488" s="27"/>
      <c r="H488" s="27"/>
      <c r="I488" s="110"/>
      <c r="J488" s="110"/>
      <c r="K488" s="110"/>
      <c r="L488" s="110"/>
      <c r="M488" s="110"/>
      <c r="N488" s="110"/>
      <c r="O488" s="110"/>
      <c r="P488" s="110"/>
      <c r="Q488" s="39"/>
      <c r="R488" s="39"/>
      <c r="S488" s="39"/>
      <c r="T488" s="39"/>
      <c r="U488" s="53"/>
    </row>
    <row r="489" spans="1:21" ht="25.5" x14ac:dyDescent="0.25">
      <c r="A489" s="148" t="s">
        <v>106</v>
      </c>
      <c r="B489" s="130">
        <v>2007</v>
      </c>
      <c r="C489" s="130">
        <v>2008</v>
      </c>
      <c r="D489" s="130">
        <v>2009</v>
      </c>
      <c r="E489" s="130">
        <v>2010</v>
      </c>
      <c r="F489" s="130">
        <v>2011</v>
      </c>
      <c r="G489" s="130">
        <v>2012</v>
      </c>
      <c r="H489" s="130">
        <v>2013</v>
      </c>
      <c r="I489" s="130">
        <v>2014</v>
      </c>
      <c r="J489" s="130">
        <v>2015</v>
      </c>
      <c r="K489" s="130">
        <v>2016</v>
      </c>
      <c r="L489" s="130">
        <v>2017</v>
      </c>
      <c r="M489" s="130">
        <v>2018</v>
      </c>
      <c r="N489" s="130">
        <v>2019</v>
      </c>
      <c r="O489" s="130">
        <v>2020</v>
      </c>
      <c r="P489" s="130">
        <v>2021</v>
      </c>
      <c r="Q489" s="131" t="s">
        <v>424</v>
      </c>
      <c r="R489" s="131" t="s">
        <v>425</v>
      </c>
      <c r="S489" s="131" t="s">
        <v>426</v>
      </c>
      <c r="T489" s="131" t="s">
        <v>427</v>
      </c>
      <c r="U489" s="53"/>
    </row>
    <row r="490" spans="1:21" x14ac:dyDescent="0.25">
      <c r="A490" s="107" t="s">
        <v>61</v>
      </c>
      <c r="B490" s="113">
        <v>154571</v>
      </c>
      <c r="C490" s="113">
        <v>182470</v>
      </c>
      <c r="D490" s="113">
        <v>217220</v>
      </c>
      <c r="E490" s="113">
        <v>252741</v>
      </c>
      <c r="F490" s="113">
        <v>283023</v>
      </c>
      <c r="G490" s="113">
        <v>298976</v>
      </c>
      <c r="H490" s="113">
        <v>314714</v>
      </c>
      <c r="I490" s="113">
        <v>321862</v>
      </c>
      <c r="J490" s="113">
        <v>327404</v>
      </c>
      <c r="K490" s="113">
        <v>330856</v>
      </c>
      <c r="L490" s="113">
        <v>332424</v>
      </c>
      <c r="M490" s="151">
        <v>337716</v>
      </c>
      <c r="N490" s="151">
        <v>339084</v>
      </c>
      <c r="O490" s="151">
        <v>323099</v>
      </c>
      <c r="P490" s="151">
        <v>334650</v>
      </c>
      <c r="Q490" s="103">
        <f t="shared" ref="Q490:Q496" si="178">(P490-G490)/G490</f>
        <v>0.11932061436369475</v>
      </c>
      <c r="R490" s="103">
        <f t="shared" ref="R490:R496" si="179">(P490-L490)/L490</f>
        <v>6.6962674175149806E-3</v>
      </c>
      <c r="S490" s="103">
        <f t="shared" ref="S490:S496" si="180">(P490-O490)/O490</f>
        <v>3.5750652276856316E-2</v>
      </c>
      <c r="T490" s="103">
        <f>P490/(P$496-P$495)</f>
        <v>0.30596935094999989</v>
      </c>
      <c r="U490" s="53"/>
    </row>
    <row r="491" spans="1:21" x14ac:dyDescent="0.25">
      <c r="A491" s="107" t="s">
        <v>385</v>
      </c>
      <c r="B491" s="113"/>
      <c r="C491" s="113"/>
      <c r="D491" s="113"/>
      <c r="E491" s="113"/>
      <c r="F491" s="113"/>
      <c r="G491" s="113"/>
      <c r="H491" s="113"/>
      <c r="I491" s="113"/>
      <c r="J491" s="113"/>
      <c r="K491" s="113"/>
      <c r="L491" s="113"/>
      <c r="M491" s="151"/>
      <c r="N491" s="151">
        <v>1577</v>
      </c>
      <c r="O491" s="151">
        <v>4642</v>
      </c>
      <c r="P491" s="151">
        <v>7727</v>
      </c>
      <c r="Q491" s="187" t="s">
        <v>155</v>
      </c>
      <c r="R491" s="187" t="s">
        <v>155</v>
      </c>
      <c r="S491" s="187">
        <f t="shared" si="180"/>
        <v>0.66458423093494179</v>
      </c>
      <c r="T491" s="187">
        <f t="shared" ref="T491:T494" si="181">P491/(P$496-P$495)</f>
        <v>7.0647696841196744E-3</v>
      </c>
      <c r="U491" s="53"/>
    </row>
    <row r="492" spans="1:21" x14ac:dyDescent="0.25">
      <c r="A492" s="107" t="s">
        <v>62</v>
      </c>
      <c r="B492" s="113">
        <v>199029</v>
      </c>
      <c r="C492" s="113">
        <v>243214</v>
      </c>
      <c r="D492" s="113">
        <v>294371</v>
      </c>
      <c r="E492" s="113">
        <v>348551</v>
      </c>
      <c r="F492" s="113">
        <v>398692</v>
      </c>
      <c r="G492" s="113">
        <v>436180</v>
      </c>
      <c r="H492" s="113">
        <v>472966</v>
      </c>
      <c r="I492" s="113">
        <v>499902</v>
      </c>
      <c r="J492" s="113">
        <v>522152</v>
      </c>
      <c r="K492" s="113">
        <v>539639</v>
      </c>
      <c r="L492" s="113">
        <v>550562</v>
      </c>
      <c r="M492" s="151">
        <v>563207</v>
      </c>
      <c r="N492" s="151">
        <v>570815</v>
      </c>
      <c r="O492" s="151">
        <v>556198</v>
      </c>
      <c r="P492" s="151">
        <v>579696</v>
      </c>
      <c r="Q492" s="103">
        <f t="shared" si="178"/>
        <v>0.32902929983034529</v>
      </c>
      <c r="R492" s="103">
        <f t="shared" si="179"/>
        <v>5.2916837704018803E-2</v>
      </c>
      <c r="S492" s="103">
        <f t="shared" si="180"/>
        <v>4.2247544939032503E-2</v>
      </c>
      <c r="T492" s="103">
        <f t="shared" si="181"/>
        <v>0.53001407102438702</v>
      </c>
      <c r="U492" s="53"/>
    </row>
    <row r="493" spans="1:21" x14ac:dyDescent="0.25">
      <c r="A493" s="107" t="s">
        <v>63</v>
      </c>
      <c r="B493" s="113">
        <v>76064</v>
      </c>
      <c r="C493" s="113">
        <v>89022</v>
      </c>
      <c r="D493" s="113">
        <v>98788</v>
      </c>
      <c r="E493" s="113">
        <v>106917</v>
      </c>
      <c r="F493" s="113">
        <v>112180</v>
      </c>
      <c r="G493" s="113">
        <v>115845</v>
      </c>
      <c r="H493" s="113">
        <v>120384</v>
      </c>
      <c r="I493" s="113">
        <v>122274</v>
      </c>
      <c r="J493" s="113">
        <v>123738</v>
      </c>
      <c r="K493" s="113">
        <v>125014</v>
      </c>
      <c r="L493" s="113">
        <v>124525</v>
      </c>
      <c r="M493" s="151">
        <v>125426</v>
      </c>
      <c r="N493" s="151">
        <v>127416</v>
      </c>
      <c r="O493" s="151">
        <v>127596</v>
      </c>
      <c r="P493" s="151">
        <v>132815</v>
      </c>
      <c r="Q493" s="103">
        <f t="shared" si="178"/>
        <v>0.1464888428503604</v>
      </c>
      <c r="R493" s="103">
        <f t="shared" si="179"/>
        <v>6.6572977313792414E-2</v>
      </c>
      <c r="S493" s="103">
        <f t="shared" si="180"/>
        <v>4.0902536129659238E-2</v>
      </c>
      <c r="T493" s="103">
        <f t="shared" si="181"/>
        <v>0.12143230045248538</v>
      </c>
      <c r="U493" s="53"/>
    </row>
    <row r="494" spans="1:21" x14ac:dyDescent="0.25">
      <c r="A494" s="107" t="s">
        <v>295</v>
      </c>
      <c r="B494" s="113">
        <v>17523</v>
      </c>
      <c r="C494" s="113">
        <v>20990</v>
      </c>
      <c r="D494" s="113">
        <v>25488</v>
      </c>
      <c r="E494" s="113">
        <v>30419</v>
      </c>
      <c r="F494" s="113">
        <v>35122</v>
      </c>
      <c r="G494" s="113">
        <v>37736</v>
      </c>
      <c r="H494" s="113">
        <v>40727</v>
      </c>
      <c r="I494" s="113">
        <v>42032</v>
      </c>
      <c r="J494" s="113">
        <v>42679</v>
      </c>
      <c r="K494" s="113">
        <v>42351</v>
      </c>
      <c r="L494" s="113">
        <v>42173</v>
      </c>
      <c r="M494" s="113">
        <v>41688</v>
      </c>
      <c r="N494" s="113">
        <v>41162</v>
      </c>
      <c r="O494" s="113">
        <v>38675</v>
      </c>
      <c r="P494" s="113">
        <v>38849</v>
      </c>
      <c r="Q494" s="103">
        <f t="shared" si="178"/>
        <v>2.9494382022471909E-2</v>
      </c>
      <c r="R494" s="103">
        <f t="shared" si="179"/>
        <v>-7.8818201218789269E-2</v>
      </c>
      <c r="S494" s="103">
        <f t="shared" si="180"/>
        <v>4.4990303813833227E-3</v>
      </c>
      <c r="T494" s="103">
        <f t="shared" si="181"/>
        <v>3.5519507889008053E-2</v>
      </c>
      <c r="U494" s="53"/>
    </row>
    <row r="495" spans="1:21" x14ac:dyDescent="0.25">
      <c r="A495" s="107" t="s">
        <v>77</v>
      </c>
      <c r="B495" s="113">
        <f>B496-B490-B491-B492-B493-B494</f>
        <v>301157</v>
      </c>
      <c r="C495" s="113">
        <f t="shared" ref="C495:P495" si="182">C496-C490-C491-C492-C493-C494</f>
        <v>247653</v>
      </c>
      <c r="D495" s="113">
        <f t="shared" si="182"/>
        <v>213473</v>
      </c>
      <c r="E495" s="113">
        <f t="shared" si="182"/>
        <v>199630</v>
      </c>
      <c r="F495" s="113">
        <f t="shared" si="182"/>
        <v>186060</v>
      </c>
      <c r="G495" s="113">
        <f t="shared" si="182"/>
        <v>176079</v>
      </c>
      <c r="H495" s="113">
        <f t="shared" si="182"/>
        <v>165486</v>
      </c>
      <c r="I495" s="113">
        <f t="shared" si="182"/>
        <v>158311</v>
      </c>
      <c r="J495" s="113">
        <f t="shared" si="182"/>
        <v>149933</v>
      </c>
      <c r="K495" s="113">
        <f t="shared" si="182"/>
        <v>140620</v>
      </c>
      <c r="L495" s="113">
        <f t="shared" si="182"/>
        <v>127608</v>
      </c>
      <c r="M495" s="113">
        <f t="shared" si="182"/>
        <v>120010</v>
      </c>
      <c r="N495" s="113">
        <f t="shared" si="182"/>
        <v>114426</v>
      </c>
      <c r="O495" s="151">
        <f t="shared" si="182"/>
        <v>101712</v>
      </c>
      <c r="P495" s="151">
        <f t="shared" si="182"/>
        <v>110677</v>
      </c>
      <c r="Q495" s="103">
        <f t="shared" si="178"/>
        <v>-0.37143554881615637</v>
      </c>
      <c r="R495" s="103">
        <f t="shared" si="179"/>
        <v>-0.13267976929346123</v>
      </c>
      <c r="S495" s="103">
        <f t="shared" si="180"/>
        <v>8.8141025641025647E-2</v>
      </c>
      <c r="T495" s="202"/>
      <c r="U495" s="53"/>
    </row>
    <row r="496" spans="1:21" x14ac:dyDescent="0.25">
      <c r="A496" s="112" t="s">
        <v>0</v>
      </c>
      <c r="B496" s="2">
        <f t="shared" ref="B496:P496" si="183">B8</f>
        <v>748344</v>
      </c>
      <c r="C496" s="2">
        <f t="shared" si="183"/>
        <v>783349</v>
      </c>
      <c r="D496" s="2">
        <f t="shared" si="183"/>
        <v>849340</v>
      </c>
      <c r="E496" s="2">
        <f t="shared" si="183"/>
        <v>938258</v>
      </c>
      <c r="F496" s="2">
        <f t="shared" si="183"/>
        <v>1015077</v>
      </c>
      <c r="G496" s="2">
        <f t="shared" si="183"/>
        <v>1064816</v>
      </c>
      <c r="H496" s="2">
        <f t="shared" si="183"/>
        <v>1114277</v>
      </c>
      <c r="I496" s="2">
        <f t="shared" si="183"/>
        <v>1144381</v>
      </c>
      <c r="J496" s="2">
        <f t="shared" si="183"/>
        <v>1165906</v>
      </c>
      <c r="K496" s="2">
        <f t="shared" si="183"/>
        <v>1178480</v>
      </c>
      <c r="L496" s="2">
        <f t="shared" si="183"/>
        <v>1177292</v>
      </c>
      <c r="M496" s="2">
        <f t="shared" si="183"/>
        <v>1188047</v>
      </c>
      <c r="N496" s="2">
        <f t="shared" si="183"/>
        <v>1194480</v>
      </c>
      <c r="O496" s="2">
        <f t="shared" si="183"/>
        <v>1151922</v>
      </c>
      <c r="P496" s="2">
        <f t="shared" si="183"/>
        <v>1204414</v>
      </c>
      <c r="Q496" s="103">
        <f t="shared" si="178"/>
        <v>0.13110058451413201</v>
      </c>
      <c r="R496" s="103">
        <f t="shared" si="179"/>
        <v>2.3037615137111268E-2</v>
      </c>
      <c r="S496" s="103">
        <f t="shared" si="180"/>
        <v>4.5569057627165725E-2</v>
      </c>
      <c r="T496" s="33">
        <f>SUM(T490:T494)</f>
        <v>1</v>
      </c>
      <c r="U496" s="53"/>
    </row>
    <row r="497" spans="1:21" x14ac:dyDescent="0.25">
      <c r="A497" s="110"/>
      <c r="B497" s="110"/>
      <c r="C497" s="110"/>
      <c r="D497" s="110"/>
      <c r="E497" s="110"/>
      <c r="F497" s="110"/>
      <c r="G497" s="110"/>
      <c r="H497" s="110"/>
      <c r="I497" s="110"/>
      <c r="J497" s="110"/>
      <c r="K497" s="110"/>
      <c r="L497" s="110"/>
      <c r="M497" s="110"/>
      <c r="N497" s="110"/>
      <c r="O497" s="110"/>
      <c r="P497" s="110"/>
      <c r="Q497" s="110"/>
      <c r="R497" s="110"/>
      <c r="S497" s="39"/>
      <c r="T497" s="39"/>
      <c r="U497" s="53"/>
    </row>
    <row r="498" spans="1:21" ht="15.75" x14ac:dyDescent="0.25">
      <c r="A498" s="203" t="s">
        <v>120</v>
      </c>
      <c r="B498" s="203"/>
      <c r="C498" s="203"/>
      <c r="D498" s="203"/>
      <c r="E498" s="203"/>
      <c r="F498" s="203"/>
      <c r="G498" s="203"/>
      <c r="H498" s="203"/>
      <c r="I498" s="204"/>
      <c r="J498" s="204"/>
      <c r="K498" s="204"/>
      <c r="L498" s="204"/>
      <c r="M498" s="204"/>
      <c r="N498" s="204"/>
      <c r="O498" s="204"/>
      <c r="P498" s="204"/>
      <c r="Q498" s="205"/>
      <c r="R498" s="205"/>
      <c r="S498" s="205"/>
      <c r="T498" s="205"/>
      <c r="U498" s="53"/>
    </row>
    <row r="499" spans="1:21" ht="25.5" x14ac:dyDescent="0.25">
      <c r="A499" s="148" t="s">
        <v>2</v>
      </c>
      <c r="B499" s="130">
        <v>2007</v>
      </c>
      <c r="C499" s="130">
        <v>2008</v>
      </c>
      <c r="D499" s="130">
        <v>2009</v>
      </c>
      <c r="E499" s="130">
        <v>2010</v>
      </c>
      <c r="F499" s="130">
        <v>2011</v>
      </c>
      <c r="G499" s="130">
        <v>2012</v>
      </c>
      <c r="H499" s="130">
        <v>2013</v>
      </c>
      <c r="I499" s="130">
        <v>2014</v>
      </c>
      <c r="J499" s="130">
        <v>2015</v>
      </c>
      <c r="K499" s="130">
        <v>2016</v>
      </c>
      <c r="L499" s="130">
        <v>2017</v>
      </c>
      <c r="M499" s="130">
        <v>2018</v>
      </c>
      <c r="N499" s="130">
        <v>2019</v>
      </c>
      <c r="O499" s="130">
        <v>2020</v>
      </c>
      <c r="P499" s="130">
        <v>2021</v>
      </c>
      <c r="Q499" s="131" t="s">
        <v>424</v>
      </c>
      <c r="R499" s="131" t="s">
        <v>425</v>
      </c>
      <c r="S499" s="131" t="s">
        <v>426</v>
      </c>
      <c r="T499" s="131" t="s">
        <v>427</v>
      </c>
      <c r="U499" s="53"/>
    </row>
    <row r="500" spans="1:21" x14ac:dyDescent="0.25">
      <c r="A500" s="107" t="s">
        <v>61</v>
      </c>
      <c r="B500" s="113">
        <v>25611</v>
      </c>
      <c r="C500" s="113">
        <v>31352</v>
      </c>
      <c r="D500" s="113">
        <v>37810</v>
      </c>
      <c r="E500" s="113">
        <v>45205</v>
      </c>
      <c r="F500" s="113">
        <v>49677</v>
      </c>
      <c r="G500" s="113">
        <v>50619</v>
      </c>
      <c r="H500" s="113">
        <v>52824</v>
      </c>
      <c r="I500" s="113">
        <v>53618</v>
      </c>
      <c r="J500" s="113">
        <v>53616</v>
      </c>
      <c r="K500" s="113">
        <v>52031</v>
      </c>
      <c r="L500" s="113">
        <v>51536</v>
      </c>
      <c r="M500" s="151">
        <v>52822</v>
      </c>
      <c r="N500" s="151">
        <v>53208</v>
      </c>
      <c r="O500" s="151">
        <v>50005</v>
      </c>
      <c r="P500" s="151">
        <v>50499</v>
      </c>
      <c r="Q500" s="187">
        <f t="shared" ref="Q500:Q506" si="184">(P500-G500)/G500</f>
        <v>-2.370651336454691E-3</v>
      </c>
      <c r="R500" s="187">
        <f t="shared" ref="R500:R506" si="185">(P500-L500)/L500</f>
        <v>-2.0121856566283763E-2</v>
      </c>
      <c r="S500" s="187">
        <f t="shared" ref="S500:S506" si="186">(P500-O500)/O500</f>
        <v>9.8790120987901214E-3</v>
      </c>
      <c r="T500" s="187">
        <f>P500/(P$506-P$505)</f>
        <v>0.42875700458481913</v>
      </c>
      <c r="U500" s="53"/>
    </row>
    <row r="501" spans="1:21" x14ac:dyDescent="0.25">
      <c r="A501" s="107" t="s">
        <v>385</v>
      </c>
      <c r="B501" s="113"/>
      <c r="C501" s="113"/>
      <c r="D501" s="113"/>
      <c r="E501" s="113"/>
      <c r="F501" s="113"/>
      <c r="G501" s="113"/>
      <c r="H501" s="113"/>
      <c r="I501" s="113"/>
      <c r="J501" s="113"/>
      <c r="K501" s="113"/>
      <c r="L501" s="113"/>
      <c r="M501" s="151"/>
      <c r="N501" s="151">
        <v>455</v>
      </c>
      <c r="O501" s="151">
        <v>1214</v>
      </c>
      <c r="P501" s="151">
        <v>1818</v>
      </c>
      <c r="Q501" s="187" t="s">
        <v>155</v>
      </c>
      <c r="R501" s="187" t="s">
        <v>155</v>
      </c>
      <c r="S501" s="187">
        <f t="shared" si="186"/>
        <v>0.49752883031301481</v>
      </c>
      <c r="T501" s="187">
        <f t="shared" ref="T501:T504" si="187">P501/(P$506-P$505)</f>
        <v>1.543555781966378E-2</v>
      </c>
      <c r="U501" s="53"/>
    </row>
    <row r="502" spans="1:21" x14ac:dyDescent="0.25">
      <c r="A502" s="107" t="s">
        <v>62</v>
      </c>
      <c r="B502" s="113">
        <v>22151</v>
      </c>
      <c r="C502" s="113">
        <v>28100</v>
      </c>
      <c r="D502" s="113">
        <v>35803</v>
      </c>
      <c r="E502" s="113">
        <v>44312</v>
      </c>
      <c r="F502" s="113">
        <v>49446</v>
      </c>
      <c r="G502" s="113">
        <v>51400</v>
      </c>
      <c r="H502" s="113">
        <v>55267</v>
      </c>
      <c r="I502" s="113">
        <v>58991</v>
      </c>
      <c r="J502" s="113">
        <v>60185</v>
      </c>
      <c r="K502" s="113">
        <v>59017</v>
      </c>
      <c r="L502" s="113">
        <v>57691</v>
      </c>
      <c r="M502" s="151">
        <v>57439</v>
      </c>
      <c r="N502" s="151">
        <v>58435</v>
      </c>
      <c r="O502" s="151">
        <v>55668</v>
      </c>
      <c r="P502" s="151">
        <v>57086</v>
      </c>
      <c r="Q502" s="187">
        <f t="shared" si="184"/>
        <v>0.11062256809338522</v>
      </c>
      <c r="R502" s="187">
        <f t="shared" si="185"/>
        <v>-1.0486904369832383E-2</v>
      </c>
      <c r="S502" s="187">
        <f t="shared" si="186"/>
        <v>2.5472443773801826E-2</v>
      </c>
      <c r="T502" s="187">
        <f t="shared" si="187"/>
        <v>0.48468330786211583</v>
      </c>
      <c r="U502" s="53"/>
    </row>
    <row r="503" spans="1:21" x14ac:dyDescent="0.25">
      <c r="A503" s="107" t="s">
        <v>63</v>
      </c>
      <c r="B503" s="113">
        <v>1378</v>
      </c>
      <c r="C503" s="113">
        <v>1717</v>
      </c>
      <c r="D503" s="113">
        <v>2022</v>
      </c>
      <c r="E503" s="113">
        <v>2335</v>
      </c>
      <c r="F503" s="113">
        <v>2645</v>
      </c>
      <c r="G503" s="113">
        <v>2747</v>
      </c>
      <c r="H503" s="113">
        <v>3014</v>
      </c>
      <c r="I503" s="113">
        <v>3252</v>
      </c>
      <c r="J503" s="113">
        <v>3489</v>
      </c>
      <c r="K503" s="113">
        <v>3498</v>
      </c>
      <c r="L503" s="113">
        <v>3177</v>
      </c>
      <c r="M503" s="113">
        <v>3012</v>
      </c>
      <c r="N503" s="113">
        <v>3134</v>
      </c>
      <c r="O503" s="113">
        <v>2981</v>
      </c>
      <c r="P503" s="113">
        <v>2950</v>
      </c>
      <c r="Q503" s="187">
        <f t="shared" si="184"/>
        <v>7.3898798689479434E-2</v>
      </c>
      <c r="R503" s="187">
        <f t="shared" si="185"/>
        <v>-7.1451054453887317E-2</v>
      </c>
      <c r="S503" s="187">
        <f t="shared" si="186"/>
        <v>-1.039919490103992E-2</v>
      </c>
      <c r="T503" s="187">
        <f t="shared" si="187"/>
        <v>2.5046697232127695E-2</v>
      </c>
      <c r="U503" s="53"/>
    </row>
    <row r="504" spans="1:21" x14ac:dyDescent="0.25">
      <c r="A504" s="107" t="s">
        <v>295</v>
      </c>
      <c r="B504" s="113">
        <v>3152</v>
      </c>
      <c r="C504" s="113">
        <v>3957</v>
      </c>
      <c r="D504" s="113">
        <v>4865</v>
      </c>
      <c r="E504" s="113">
        <v>5769</v>
      </c>
      <c r="F504" s="113">
        <v>6305</v>
      </c>
      <c r="G504" s="113">
        <v>6374</v>
      </c>
      <c r="H504" s="113">
        <v>6785</v>
      </c>
      <c r="I504" s="113">
        <v>6931</v>
      </c>
      <c r="J504" s="113">
        <v>6830</v>
      </c>
      <c r="K504" s="113">
        <v>6541</v>
      </c>
      <c r="L504" s="113">
        <v>6462</v>
      </c>
      <c r="M504" s="113">
        <v>6407</v>
      </c>
      <c r="N504" s="113">
        <v>6287</v>
      </c>
      <c r="O504" s="113">
        <v>5662</v>
      </c>
      <c r="P504" s="113">
        <v>5427</v>
      </c>
      <c r="Q504" s="187">
        <f t="shared" si="184"/>
        <v>-0.14857232507059931</v>
      </c>
      <c r="R504" s="187">
        <f t="shared" si="185"/>
        <v>-0.16016713091922005</v>
      </c>
      <c r="S504" s="187">
        <f t="shared" si="186"/>
        <v>-4.1504768632991879E-2</v>
      </c>
      <c r="T504" s="187">
        <f t="shared" si="187"/>
        <v>4.6077432501273559E-2</v>
      </c>
      <c r="U504" s="53"/>
    </row>
    <row r="505" spans="1:21" x14ac:dyDescent="0.25">
      <c r="A505" s="107" t="s">
        <v>77</v>
      </c>
      <c r="B505" s="113">
        <f>B506-B503-B504-B502-B501-B500</f>
        <v>34546</v>
      </c>
      <c r="C505" s="113">
        <f t="shared" ref="C505:P505" si="188">C506-C503-C504-C502-C501-C500</f>
        <v>30765</v>
      </c>
      <c r="D505" s="113">
        <f t="shared" si="188"/>
        <v>29507</v>
      </c>
      <c r="E505" s="113">
        <f t="shared" si="188"/>
        <v>30945</v>
      </c>
      <c r="F505" s="113">
        <f t="shared" si="188"/>
        <v>30501</v>
      </c>
      <c r="G505" s="113">
        <f t="shared" si="188"/>
        <v>28891</v>
      </c>
      <c r="H505" s="113">
        <f t="shared" si="188"/>
        <v>26475</v>
      </c>
      <c r="I505" s="113">
        <f t="shared" si="188"/>
        <v>25218</v>
      </c>
      <c r="J505" s="113">
        <f t="shared" si="188"/>
        <v>22420</v>
      </c>
      <c r="K505" s="113">
        <f t="shared" si="188"/>
        <v>20624</v>
      </c>
      <c r="L505" s="113">
        <f t="shared" si="188"/>
        <v>17911</v>
      </c>
      <c r="M505" s="113">
        <f t="shared" si="188"/>
        <v>17050</v>
      </c>
      <c r="N505" s="113">
        <f t="shared" si="188"/>
        <v>16421</v>
      </c>
      <c r="O505" s="113">
        <f t="shared" si="188"/>
        <v>14815</v>
      </c>
      <c r="P505" s="113">
        <f t="shared" si="188"/>
        <v>16716</v>
      </c>
      <c r="Q505" s="103">
        <f t="shared" si="184"/>
        <v>-0.42141151223564433</v>
      </c>
      <c r="R505" s="103">
        <f t="shared" si="185"/>
        <v>-6.6718776171068056E-2</v>
      </c>
      <c r="S505" s="103">
        <f t="shared" si="186"/>
        <v>0.12831589605129937</v>
      </c>
      <c r="T505" s="202"/>
      <c r="U505" s="53"/>
    </row>
    <row r="506" spans="1:21" x14ac:dyDescent="0.25">
      <c r="A506" s="112" t="s">
        <v>0</v>
      </c>
      <c r="B506" s="2">
        <v>86838</v>
      </c>
      <c r="C506" s="2">
        <v>95891</v>
      </c>
      <c r="D506" s="2">
        <v>110007</v>
      </c>
      <c r="E506" s="2">
        <v>128566</v>
      </c>
      <c r="F506" s="2">
        <v>138574</v>
      </c>
      <c r="G506" s="2">
        <v>140031</v>
      </c>
      <c r="H506" s="2">
        <v>144365</v>
      </c>
      <c r="I506" s="2">
        <v>148010</v>
      </c>
      <c r="J506" s="2">
        <v>146540</v>
      </c>
      <c r="K506" s="2">
        <v>141711</v>
      </c>
      <c r="L506" s="2">
        <v>136777</v>
      </c>
      <c r="M506" s="2">
        <v>136730</v>
      </c>
      <c r="N506" s="2">
        <v>137940</v>
      </c>
      <c r="O506" s="2">
        <v>130345</v>
      </c>
      <c r="P506" s="2">
        <v>134496</v>
      </c>
      <c r="Q506" s="103">
        <f t="shared" si="184"/>
        <v>-3.9526961887010735E-2</v>
      </c>
      <c r="R506" s="103">
        <f t="shared" si="185"/>
        <v>-1.6676780452853916E-2</v>
      </c>
      <c r="S506" s="103">
        <f t="shared" si="186"/>
        <v>3.1846254171621464E-2</v>
      </c>
      <c r="T506" s="33">
        <f>SUM(T500:T504)</f>
        <v>1</v>
      </c>
      <c r="U506" s="53"/>
    </row>
    <row r="507" spans="1:21" x14ac:dyDescent="0.25">
      <c r="A507" s="110"/>
      <c r="B507" s="110"/>
      <c r="C507" s="110"/>
      <c r="D507" s="110"/>
      <c r="E507" s="110"/>
      <c r="F507" s="110"/>
      <c r="G507" s="110"/>
      <c r="H507" s="110"/>
      <c r="I507" s="110"/>
      <c r="J507" s="110"/>
      <c r="K507" s="110"/>
      <c r="L507" s="110"/>
      <c r="M507" s="110"/>
      <c r="N507" s="110"/>
      <c r="O507" s="110"/>
      <c r="P507" s="110"/>
      <c r="Q507" s="110"/>
      <c r="R507" s="39"/>
      <c r="S507" s="39"/>
      <c r="T507" s="39"/>
      <c r="U507" s="53"/>
    </row>
    <row r="508" spans="1:21" ht="15.75" x14ac:dyDescent="0.25">
      <c r="A508" s="27" t="s">
        <v>121</v>
      </c>
      <c r="B508" s="27"/>
      <c r="C508" s="27"/>
      <c r="D508" s="27"/>
      <c r="E508" s="27"/>
      <c r="F508" s="27"/>
      <c r="G508" s="27"/>
      <c r="H508" s="27"/>
      <c r="I508" s="110"/>
      <c r="J508" s="110"/>
      <c r="K508" s="110"/>
      <c r="L508" s="110"/>
      <c r="M508" s="110"/>
      <c r="N508" s="110"/>
      <c r="O508" s="110"/>
      <c r="P508" s="110"/>
      <c r="Q508" s="39"/>
      <c r="R508" s="39"/>
      <c r="S508" s="39"/>
      <c r="T508" s="39"/>
      <c r="U508" s="53"/>
    </row>
    <row r="509" spans="1:21" ht="25.5" x14ac:dyDescent="0.25">
      <c r="A509" s="148" t="s">
        <v>3</v>
      </c>
      <c r="B509" s="130">
        <v>2007</v>
      </c>
      <c r="C509" s="130">
        <v>2008</v>
      </c>
      <c r="D509" s="130">
        <v>2009</v>
      </c>
      <c r="E509" s="130">
        <v>2010</v>
      </c>
      <c r="F509" s="130">
        <v>2011</v>
      </c>
      <c r="G509" s="130">
        <v>2012</v>
      </c>
      <c r="H509" s="130">
        <v>2013</v>
      </c>
      <c r="I509" s="130">
        <v>2014</v>
      </c>
      <c r="J509" s="130">
        <v>2015</v>
      </c>
      <c r="K509" s="130">
        <v>2016</v>
      </c>
      <c r="L509" s="130">
        <v>2017</v>
      </c>
      <c r="M509" s="130">
        <v>2018</v>
      </c>
      <c r="N509" s="130">
        <v>2019</v>
      </c>
      <c r="O509" s="130">
        <v>2020</v>
      </c>
      <c r="P509" s="130">
        <v>2021</v>
      </c>
      <c r="Q509" s="131" t="s">
        <v>424</v>
      </c>
      <c r="R509" s="131" t="s">
        <v>425</v>
      </c>
      <c r="S509" s="131" t="s">
        <v>426</v>
      </c>
      <c r="T509" s="131" t="s">
        <v>427</v>
      </c>
      <c r="U509" s="53"/>
    </row>
    <row r="510" spans="1:21" x14ac:dyDescent="0.25">
      <c r="A510" s="107" t="s">
        <v>61</v>
      </c>
      <c r="B510" s="113">
        <v>36538</v>
      </c>
      <c r="C510" s="113">
        <v>42151</v>
      </c>
      <c r="D510" s="113">
        <v>53981</v>
      </c>
      <c r="E510" s="113">
        <v>66823</v>
      </c>
      <c r="F510" s="113">
        <v>80438</v>
      </c>
      <c r="G510" s="113">
        <v>91544</v>
      </c>
      <c r="H510" s="113">
        <v>102839</v>
      </c>
      <c r="I510" s="113">
        <v>110681</v>
      </c>
      <c r="J510" s="113">
        <v>117190</v>
      </c>
      <c r="K510" s="113">
        <v>120529</v>
      </c>
      <c r="L510" s="113">
        <v>119328</v>
      </c>
      <c r="M510" s="151">
        <v>119318</v>
      </c>
      <c r="N510" s="151">
        <v>121377</v>
      </c>
      <c r="O510" s="151">
        <v>115174</v>
      </c>
      <c r="P510" s="151">
        <v>119350</v>
      </c>
      <c r="Q510" s="187">
        <f t="shared" ref="Q510:Q516" si="189">(P510-G510)/G510</f>
        <v>0.30374464738267937</v>
      </c>
      <c r="R510" s="187">
        <f t="shared" ref="R510:R516" si="190">(P510-L510)/L510</f>
        <v>1.8436578171091445E-4</v>
      </c>
      <c r="S510" s="187">
        <f t="shared" ref="S510:S516" si="191">(P510-O510)/O510</f>
        <v>3.6258183270529806E-2</v>
      </c>
      <c r="T510" s="187">
        <f>P510/(P$516-P$515)</f>
        <v>0.3731938325302448</v>
      </c>
      <c r="U510" s="53"/>
    </row>
    <row r="511" spans="1:21" x14ac:dyDescent="0.25">
      <c r="A511" s="107" t="s">
        <v>385</v>
      </c>
      <c r="B511" s="113">
        <v>0</v>
      </c>
      <c r="C511" s="113">
        <v>0</v>
      </c>
      <c r="D511" s="113">
        <v>0</v>
      </c>
      <c r="E511" s="113">
        <v>0</v>
      </c>
      <c r="F511" s="113">
        <v>0</v>
      </c>
      <c r="G511" s="113">
        <v>0</v>
      </c>
      <c r="H511" s="113">
        <v>0</v>
      </c>
      <c r="I511" s="113">
        <v>0</v>
      </c>
      <c r="J511" s="113">
        <v>0</v>
      </c>
      <c r="K511" s="113">
        <v>0</v>
      </c>
      <c r="L511" s="113">
        <v>0</v>
      </c>
      <c r="M511" s="151">
        <v>0</v>
      </c>
      <c r="N511" s="151">
        <v>425</v>
      </c>
      <c r="O511" s="151">
        <v>1305</v>
      </c>
      <c r="P511" s="151">
        <v>2194</v>
      </c>
      <c r="Q511" s="187" t="s">
        <v>155</v>
      </c>
      <c r="R511" s="187" t="s">
        <v>155</v>
      </c>
      <c r="S511" s="187">
        <f t="shared" si="191"/>
        <v>0.68122605363984678</v>
      </c>
      <c r="T511" s="187">
        <f t="shared" ref="T511:T514" si="192">P511/(P$516-P$515)</f>
        <v>6.860387671314261E-3</v>
      </c>
      <c r="U511" s="53"/>
    </row>
    <row r="512" spans="1:21" x14ac:dyDescent="0.25">
      <c r="A512" s="107" t="s">
        <v>62</v>
      </c>
      <c r="B512" s="113">
        <v>43717</v>
      </c>
      <c r="C512" s="113">
        <v>52333</v>
      </c>
      <c r="D512" s="113">
        <v>65760</v>
      </c>
      <c r="E512" s="113">
        <v>82113</v>
      </c>
      <c r="F512" s="113">
        <v>98883</v>
      </c>
      <c r="G512" s="113">
        <v>113922</v>
      </c>
      <c r="H512" s="113">
        <v>130390</v>
      </c>
      <c r="I512" s="113">
        <v>144178</v>
      </c>
      <c r="J512" s="113">
        <v>155576</v>
      </c>
      <c r="K512" s="113">
        <v>161885</v>
      </c>
      <c r="L512" s="113">
        <v>163060</v>
      </c>
      <c r="M512" s="151">
        <v>164581</v>
      </c>
      <c r="N512" s="151">
        <v>167968</v>
      </c>
      <c r="O512" s="151">
        <v>161672</v>
      </c>
      <c r="P512" s="151">
        <v>167688</v>
      </c>
      <c r="Q512" s="187">
        <f t="shared" si="189"/>
        <v>0.47195449518091326</v>
      </c>
      <c r="R512" s="187">
        <f t="shared" si="190"/>
        <v>2.838219060468539E-2</v>
      </c>
      <c r="S512" s="187">
        <f t="shared" si="191"/>
        <v>3.7211143549903507E-2</v>
      </c>
      <c r="T512" s="187">
        <f t="shared" si="192"/>
        <v>0.52434124331237275</v>
      </c>
      <c r="U512" s="53"/>
    </row>
    <row r="513" spans="1:21" x14ac:dyDescent="0.25">
      <c r="A513" s="107" t="s">
        <v>63</v>
      </c>
      <c r="B513" s="113">
        <v>5970</v>
      </c>
      <c r="C513" s="113">
        <v>6271</v>
      </c>
      <c r="D513" s="113">
        <v>6967</v>
      </c>
      <c r="E513" s="113">
        <v>7724</v>
      </c>
      <c r="F513" s="113">
        <v>8266</v>
      </c>
      <c r="G513" s="113">
        <v>8709</v>
      </c>
      <c r="H513" s="113">
        <v>9609</v>
      </c>
      <c r="I513" s="113">
        <v>10359</v>
      </c>
      <c r="J513" s="113">
        <v>11184</v>
      </c>
      <c r="K513" s="113">
        <v>11531</v>
      </c>
      <c r="L513" s="113">
        <v>11645</v>
      </c>
      <c r="M513" s="113">
        <v>11567</v>
      </c>
      <c r="N513" s="113">
        <v>11903</v>
      </c>
      <c r="O513" s="113">
        <v>11253</v>
      </c>
      <c r="P513" s="113">
        <v>11795</v>
      </c>
      <c r="Q513" s="187">
        <f t="shared" si="189"/>
        <v>0.35434607876908947</v>
      </c>
      <c r="R513" s="187">
        <f t="shared" si="190"/>
        <v>1.2881064834693002E-2</v>
      </c>
      <c r="S513" s="187">
        <f t="shared" si="191"/>
        <v>4.8164933795432331E-2</v>
      </c>
      <c r="T513" s="187">
        <f t="shared" si="192"/>
        <v>3.6881619226596038E-2</v>
      </c>
      <c r="U513" s="53"/>
    </row>
    <row r="514" spans="1:21" x14ac:dyDescent="0.25">
      <c r="A514" s="107" t="s">
        <v>295</v>
      </c>
      <c r="B514" s="113">
        <v>6283</v>
      </c>
      <c r="C514" s="113">
        <v>7356</v>
      </c>
      <c r="D514" s="113">
        <v>9443</v>
      </c>
      <c r="E514" s="113">
        <v>11740</v>
      </c>
      <c r="F514" s="113">
        <v>14230</v>
      </c>
      <c r="G514" s="113">
        <v>15962</v>
      </c>
      <c r="H514" s="113">
        <v>18018</v>
      </c>
      <c r="I514" s="113">
        <v>19349</v>
      </c>
      <c r="J514" s="113">
        <v>20314</v>
      </c>
      <c r="K514" s="113">
        <v>20204</v>
      </c>
      <c r="L514" s="113">
        <v>19716</v>
      </c>
      <c r="M514" s="113">
        <v>19318</v>
      </c>
      <c r="N514" s="113">
        <v>19472</v>
      </c>
      <c r="O514" s="113">
        <v>18580</v>
      </c>
      <c r="P514" s="113">
        <v>18780</v>
      </c>
      <c r="Q514" s="187">
        <f t="shared" si="189"/>
        <v>0.17654429269515098</v>
      </c>
      <c r="R514" s="187">
        <f t="shared" si="190"/>
        <v>-4.7474132684114427E-2</v>
      </c>
      <c r="S514" s="187">
        <f t="shared" si="191"/>
        <v>1.0764262648008612E-2</v>
      </c>
      <c r="T514" s="187">
        <f t="shared" si="192"/>
        <v>5.8722917259472117E-2</v>
      </c>
      <c r="U514" s="53"/>
    </row>
    <row r="515" spans="1:21" x14ac:dyDescent="0.25">
      <c r="A515" s="107" t="s">
        <v>77</v>
      </c>
      <c r="B515" s="113">
        <f>B516-B513-B514-B512-B511-B510</f>
        <v>63616</v>
      </c>
      <c r="C515" s="113">
        <f t="shared" ref="C515:P515" si="193">C516-C513-C514-C512-C511-C510</f>
        <v>54737</v>
      </c>
      <c r="D515" s="113">
        <f t="shared" si="193"/>
        <v>53446</v>
      </c>
      <c r="E515" s="113">
        <f t="shared" si="193"/>
        <v>55901</v>
      </c>
      <c r="F515" s="113">
        <f t="shared" si="193"/>
        <v>58875</v>
      </c>
      <c r="G515" s="113">
        <f t="shared" si="193"/>
        <v>63382</v>
      </c>
      <c r="H515" s="113">
        <f t="shared" si="193"/>
        <v>63723</v>
      </c>
      <c r="I515" s="113">
        <f t="shared" si="193"/>
        <v>66437</v>
      </c>
      <c r="J515" s="113">
        <f t="shared" si="193"/>
        <v>68907</v>
      </c>
      <c r="K515" s="113">
        <f t="shared" si="193"/>
        <v>66839</v>
      </c>
      <c r="L515" s="113">
        <f t="shared" si="193"/>
        <v>60960</v>
      </c>
      <c r="M515" s="113">
        <f t="shared" si="193"/>
        <v>58320</v>
      </c>
      <c r="N515" s="113">
        <f t="shared" si="193"/>
        <v>58311</v>
      </c>
      <c r="O515" s="113">
        <f t="shared" si="193"/>
        <v>53403</v>
      </c>
      <c r="P515" s="113">
        <f t="shared" si="193"/>
        <v>58731</v>
      </c>
      <c r="Q515" s="103">
        <f t="shared" si="189"/>
        <v>-7.3380455018775048E-2</v>
      </c>
      <c r="R515" s="103">
        <f t="shared" si="190"/>
        <v>-3.6564960629921262E-2</v>
      </c>
      <c r="S515" s="103">
        <f t="shared" si="191"/>
        <v>9.9769675860906695E-2</v>
      </c>
      <c r="T515" s="202"/>
      <c r="U515" s="53"/>
    </row>
    <row r="516" spans="1:21" x14ac:dyDescent="0.25">
      <c r="A516" s="112" t="s">
        <v>0</v>
      </c>
      <c r="B516" s="2">
        <v>156124</v>
      </c>
      <c r="C516" s="2">
        <v>162848</v>
      </c>
      <c r="D516" s="2">
        <v>189597</v>
      </c>
      <c r="E516" s="2">
        <v>224301</v>
      </c>
      <c r="F516" s="2">
        <v>260692</v>
      </c>
      <c r="G516" s="2">
        <v>293519</v>
      </c>
      <c r="H516" s="2">
        <v>324579</v>
      </c>
      <c r="I516" s="2">
        <v>351004</v>
      </c>
      <c r="J516" s="2">
        <v>373171</v>
      </c>
      <c r="K516" s="2">
        <v>380988</v>
      </c>
      <c r="L516" s="2">
        <v>374709</v>
      </c>
      <c r="M516" s="2">
        <v>373104</v>
      </c>
      <c r="N516" s="2">
        <v>379456</v>
      </c>
      <c r="O516" s="2">
        <v>361387</v>
      </c>
      <c r="P516" s="2">
        <v>378538</v>
      </c>
      <c r="Q516" s="103">
        <f t="shared" si="189"/>
        <v>0.28965416208150069</v>
      </c>
      <c r="R516" s="103">
        <f t="shared" si="190"/>
        <v>1.0218596297393443E-2</v>
      </c>
      <c r="S516" s="103">
        <f t="shared" si="191"/>
        <v>4.7458818385830145E-2</v>
      </c>
      <c r="T516" s="33">
        <f>SUM(T510:T515)</f>
        <v>0.99999999999999989</v>
      </c>
      <c r="U516" s="53"/>
    </row>
    <row r="517" spans="1:21" x14ac:dyDescent="0.25">
      <c r="A517" s="39"/>
      <c r="B517" s="39"/>
      <c r="C517" s="39"/>
      <c r="D517" s="39"/>
      <c r="E517" s="39"/>
      <c r="F517" s="39"/>
      <c r="G517" s="39"/>
      <c r="H517" s="39"/>
      <c r="I517" s="39"/>
      <c r="J517" s="39"/>
      <c r="K517" s="39"/>
      <c r="L517" s="39"/>
      <c r="M517" s="39"/>
      <c r="N517" s="39"/>
      <c r="O517" s="39"/>
      <c r="P517" s="39"/>
      <c r="Q517" s="39"/>
      <c r="R517" s="39"/>
      <c r="S517" s="39"/>
      <c r="T517" s="39"/>
      <c r="U517" s="53"/>
    </row>
    <row r="518" spans="1:21" ht="15.75" x14ac:dyDescent="0.25">
      <c r="A518" s="27" t="s">
        <v>91</v>
      </c>
      <c r="B518" s="27"/>
      <c r="C518" s="27"/>
      <c r="D518" s="27"/>
      <c r="E518" s="27"/>
      <c r="F518" s="27"/>
      <c r="G518" s="27"/>
      <c r="H518" s="27"/>
      <c r="I518" s="110"/>
      <c r="J518" s="110"/>
      <c r="K518" s="110"/>
      <c r="L518" s="110"/>
      <c r="M518" s="110"/>
      <c r="N518" s="110"/>
      <c r="O518" s="110"/>
      <c r="P518" s="110"/>
      <c r="Q518" s="39"/>
      <c r="R518" s="39"/>
      <c r="S518" s="39"/>
      <c r="T518" s="39"/>
      <c r="U518" s="53"/>
    </row>
    <row r="519" spans="1:21" ht="25.5" x14ac:dyDescent="0.25">
      <c r="A519" s="148" t="s">
        <v>4</v>
      </c>
      <c r="B519" s="130">
        <v>2007</v>
      </c>
      <c r="C519" s="130">
        <v>2008</v>
      </c>
      <c r="D519" s="130">
        <v>2009</v>
      </c>
      <c r="E519" s="130">
        <v>2010</v>
      </c>
      <c r="F519" s="130">
        <v>2011</v>
      </c>
      <c r="G519" s="130">
        <v>2012</v>
      </c>
      <c r="H519" s="130">
        <v>2013</v>
      </c>
      <c r="I519" s="130">
        <v>2014</v>
      </c>
      <c r="J519" s="130">
        <v>2015</v>
      </c>
      <c r="K519" s="130">
        <v>2016</v>
      </c>
      <c r="L519" s="130">
        <v>2017</v>
      </c>
      <c r="M519" s="130">
        <v>2018</v>
      </c>
      <c r="N519" s="130">
        <v>2019</v>
      </c>
      <c r="O519" s="130">
        <v>2020</v>
      </c>
      <c r="P519" s="130">
        <v>2021</v>
      </c>
      <c r="Q519" s="131" t="s">
        <v>424</v>
      </c>
      <c r="R519" s="131" t="s">
        <v>425</v>
      </c>
      <c r="S519" s="131" t="s">
        <v>426</v>
      </c>
      <c r="T519" s="131" t="s">
        <v>427</v>
      </c>
      <c r="U519" s="53"/>
    </row>
    <row r="520" spans="1:21" x14ac:dyDescent="0.25">
      <c r="A520" s="107" t="s">
        <v>61</v>
      </c>
      <c r="B520" s="14">
        <v>92422</v>
      </c>
      <c r="C520" s="14">
        <v>108967</v>
      </c>
      <c r="D520" s="14">
        <v>125429</v>
      </c>
      <c r="E520" s="14">
        <v>140720</v>
      </c>
      <c r="F520" s="14">
        <v>152912</v>
      </c>
      <c r="G520" s="14">
        <v>156823</v>
      </c>
      <c r="H520" s="14">
        <v>159058</v>
      </c>
      <c r="I520" s="14">
        <v>157575</v>
      </c>
      <c r="J520" s="14">
        <v>156598</v>
      </c>
      <c r="K520" s="14">
        <v>158296</v>
      </c>
      <c r="L520" s="14">
        <v>161560</v>
      </c>
      <c r="M520" s="73">
        <v>165576</v>
      </c>
      <c r="N520" s="73">
        <v>164499</v>
      </c>
      <c r="O520" s="73">
        <v>157920</v>
      </c>
      <c r="P520" s="73">
        <v>164801</v>
      </c>
      <c r="Q520" s="187">
        <f t="shared" ref="Q520:Q526" si="194">(P520-G520)/G520</f>
        <v>5.0872639855123289E-2</v>
      </c>
      <c r="R520" s="187">
        <f t="shared" ref="R520:R526" si="195">(P520-L520)/L520</f>
        <v>2.0060658578856153E-2</v>
      </c>
      <c r="S520" s="187">
        <f>(P520-O520)/O520</f>
        <v>4.357269503546099E-2</v>
      </c>
      <c r="T520" s="187">
        <f>P520/(P$526-P$525)</f>
        <v>0.25116360588280118</v>
      </c>
      <c r="U520" s="53"/>
    </row>
    <row r="521" spans="1:21" x14ac:dyDescent="0.25">
      <c r="A521" s="107" t="s">
        <v>385</v>
      </c>
      <c r="B521" s="14">
        <v>0</v>
      </c>
      <c r="C521" s="14">
        <v>0</v>
      </c>
      <c r="D521" s="14">
        <v>0</v>
      </c>
      <c r="E521" s="14">
        <v>0</v>
      </c>
      <c r="F521" s="14">
        <v>0</v>
      </c>
      <c r="G521" s="14">
        <v>0</v>
      </c>
      <c r="H521" s="14">
        <v>0</v>
      </c>
      <c r="I521" s="14">
        <v>0</v>
      </c>
      <c r="J521" s="14">
        <v>0</v>
      </c>
      <c r="K521" s="14">
        <v>0</v>
      </c>
      <c r="L521" s="14">
        <v>0</v>
      </c>
      <c r="M521" s="73">
        <v>0</v>
      </c>
      <c r="N521" s="73">
        <v>697</v>
      </c>
      <c r="O521" s="73">
        <v>2123</v>
      </c>
      <c r="P521" s="73">
        <v>3715</v>
      </c>
      <c r="Q521" s="187" t="s">
        <v>155</v>
      </c>
      <c r="R521" s="187" t="s">
        <v>155</v>
      </c>
      <c r="S521" s="187">
        <f t="shared" ref="S521:S526" si="196">(P521-O521)/O521</f>
        <v>0.74988224211022136</v>
      </c>
      <c r="T521" s="187">
        <f t="shared" ref="T521:T524" si="197">P521/(P$526-P$525)</f>
        <v>5.6618151337346646E-3</v>
      </c>
      <c r="U521" s="53"/>
    </row>
    <row r="522" spans="1:21" x14ac:dyDescent="0.25">
      <c r="A522" s="107" t="s">
        <v>62</v>
      </c>
      <c r="B522" s="14">
        <v>133161</v>
      </c>
      <c r="C522" s="14">
        <v>162781</v>
      </c>
      <c r="D522" s="14">
        <v>192808</v>
      </c>
      <c r="E522" s="14">
        <v>222136</v>
      </c>
      <c r="F522" s="14">
        <v>250371</v>
      </c>
      <c r="G522" s="14">
        <v>270867</v>
      </c>
      <c r="H522" s="14">
        <v>287315</v>
      </c>
      <c r="I522" s="14">
        <v>296739</v>
      </c>
      <c r="J522" s="14">
        <v>306391</v>
      </c>
      <c r="K522" s="14">
        <v>318737</v>
      </c>
      <c r="L522" s="14">
        <v>329811</v>
      </c>
      <c r="M522" s="73">
        <v>341187</v>
      </c>
      <c r="N522" s="73">
        <v>344412</v>
      </c>
      <c r="O522" s="73">
        <v>338858</v>
      </c>
      <c r="P522" s="73">
        <v>354922</v>
      </c>
      <c r="Q522" s="187">
        <f t="shared" si="194"/>
        <v>0.31031834811918763</v>
      </c>
      <c r="R522" s="187">
        <f t="shared" si="195"/>
        <v>7.6137545442692939E-2</v>
      </c>
      <c r="S522" s="187">
        <f t="shared" si="196"/>
        <v>4.7406288179709495E-2</v>
      </c>
      <c r="T522" s="187">
        <f t="shared" si="197"/>
        <v>0.54091594909700524</v>
      </c>
      <c r="U522" s="53"/>
    </row>
    <row r="523" spans="1:21" x14ac:dyDescent="0.25">
      <c r="A523" s="107" t="s">
        <v>63</v>
      </c>
      <c r="B523" s="14">
        <v>68716</v>
      </c>
      <c r="C523" s="14">
        <v>81034</v>
      </c>
      <c r="D523" s="14">
        <v>89799</v>
      </c>
      <c r="E523" s="14">
        <v>96858</v>
      </c>
      <c r="F523" s="14">
        <v>101269</v>
      </c>
      <c r="G523" s="14">
        <v>104389</v>
      </c>
      <c r="H523" s="14">
        <v>107761</v>
      </c>
      <c r="I523" s="14">
        <v>108663</v>
      </c>
      <c r="J523" s="14">
        <v>109065</v>
      </c>
      <c r="K523" s="14">
        <v>109985</v>
      </c>
      <c r="L523" s="14">
        <v>109703</v>
      </c>
      <c r="M523" s="14">
        <v>110847</v>
      </c>
      <c r="N523" s="14">
        <v>112379</v>
      </c>
      <c r="O523" s="14">
        <v>113362</v>
      </c>
      <c r="P523" s="14">
        <v>118070</v>
      </c>
      <c r="Q523" s="187">
        <f t="shared" si="194"/>
        <v>0.13105787008209677</v>
      </c>
      <c r="R523" s="187">
        <f t="shared" si="195"/>
        <v>7.62695641869411E-2</v>
      </c>
      <c r="S523" s="187">
        <f t="shared" si="196"/>
        <v>4.153067165364055E-2</v>
      </c>
      <c r="T523" s="187">
        <f t="shared" si="197"/>
        <v>0.17994361045492646</v>
      </c>
      <c r="U523" s="53"/>
    </row>
    <row r="524" spans="1:21" x14ac:dyDescent="0.25">
      <c r="A524" s="107" t="s">
        <v>295</v>
      </c>
      <c r="B524" s="14">
        <v>8088</v>
      </c>
      <c r="C524" s="14">
        <v>9677</v>
      </c>
      <c r="D524" s="14">
        <v>11180</v>
      </c>
      <c r="E524" s="14">
        <v>12921</v>
      </c>
      <c r="F524" s="14">
        <v>14592</v>
      </c>
      <c r="G524" s="14">
        <v>15410</v>
      </c>
      <c r="H524" s="14">
        <v>15932</v>
      </c>
      <c r="I524" s="14">
        <v>15759</v>
      </c>
      <c r="J524" s="14">
        <v>15535</v>
      </c>
      <c r="K524" s="14">
        <v>15606</v>
      </c>
      <c r="L524" s="14">
        <v>15995</v>
      </c>
      <c r="M524" s="14">
        <v>15963</v>
      </c>
      <c r="N524" s="14">
        <v>15403</v>
      </c>
      <c r="O524" s="14">
        <v>14433</v>
      </c>
      <c r="P524" s="14">
        <v>14642</v>
      </c>
      <c r="Q524" s="187">
        <f t="shared" si="194"/>
        <v>-4.9837767683322515E-2</v>
      </c>
      <c r="R524" s="187">
        <f t="shared" si="195"/>
        <v>-8.4588934041888095E-2</v>
      </c>
      <c r="S524" s="187">
        <f t="shared" si="196"/>
        <v>1.4480703942354328E-2</v>
      </c>
      <c r="T524" s="187">
        <f t="shared" si="197"/>
        <v>2.2315019431532423E-2</v>
      </c>
      <c r="U524" s="53"/>
    </row>
    <row r="525" spans="1:21" x14ac:dyDescent="0.25">
      <c r="A525" s="107" t="s">
        <v>77</v>
      </c>
      <c r="B525" s="113">
        <f>B526-B520-B521-B522-B523-B524</f>
        <v>202995</v>
      </c>
      <c r="C525" s="113">
        <f t="shared" ref="C525:P525" si="198">C526-C520-C521-C522-C523-C524</f>
        <v>162151</v>
      </c>
      <c r="D525" s="113">
        <f t="shared" si="198"/>
        <v>130520</v>
      </c>
      <c r="E525" s="113">
        <f t="shared" si="198"/>
        <v>112756</v>
      </c>
      <c r="F525" s="113">
        <f t="shared" si="198"/>
        <v>96667</v>
      </c>
      <c r="G525" s="113">
        <f t="shared" si="198"/>
        <v>83777</v>
      </c>
      <c r="H525" s="113">
        <f t="shared" si="198"/>
        <v>75267</v>
      </c>
      <c r="I525" s="113">
        <f t="shared" si="198"/>
        <v>66631</v>
      </c>
      <c r="J525" s="113">
        <f t="shared" si="198"/>
        <v>58606</v>
      </c>
      <c r="K525" s="113">
        <f t="shared" si="198"/>
        <v>53157</v>
      </c>
      <c r="L525" s="113">
        <f t="shared" si="198"/>
        <v>48737</v>
      </c>
      <c r="M525" s="113">
        <f t="shared" si="198"/>
        <v>44640</v>
      </c>
      <c r="N525" s="113">
        <f t="shared" si="198"/>
        <v>39694</v>
      </c>
      <c r="O525" s="113">
        <f t="shared" si="198"/>
        <v>33494</v>
      </c>
      <c r="P525" s="113">
        <f t="shared" si="198"/>
        <v>35230</v>
      </c>
      <c r="Q525" s="103">
        <f t="shared" si="194"/>
        <v>-0.57947885457822557</v>
      </c>
      <c r="R525" s="103">
        <f t="shared" si="195"/>
        <v>-0.27714057081888505</v>
      </c>
      <c r="S525" s="103">
        <f t="shared" si="196"/>
        <v>5.18301785394399E-2</v>
      </c>
      <c r="T525" s="202"/>
      <c r="U525" s="53"/>
    </row>
    <row r="526" spans="1:21" x14ac:dyDescent="0.25">
      <c r="A526" s="112" t="s">
        <v>0</v>
      </c>
      <c r="B526" s="2">
        <v>505382</v>
      </c>
      <c r="C526" s="2">
        <v>524610</v>
      </c>
      <c r="D526" s="2">
        <v>549736</v>
      </c>
      <c r="E526" s="2">
        <v>585391</v>
      </c>
      <c r="F526" s="2">
        <v>615811</v>
      </c>
      <c r="G526" s="2">
        <v>631266</v>
      </c>
      <c r="H526" s="2">
        <v>645333</v>
      </c>
      <c r="I526" s="2">
        <v>645367</v>
      </c>
      <c r="J526" s="2">
        <v>646195</v>
      </c>
      <c r="K526" s="2">
        <v>655781</v>
      </c>
      <c r="L526" s="2">
        <v>665806</v>
      </c>
      <c r="M526" s="2">
        <v>678213</v>
      </c>
      <c r="N526" s="2">
        <v>677084</v>
      </c>
      <c r="O526" s="2">
        <v>660190</v>
      </c>
      <c r="P526" s="2">
        <v>691380</v>
      </c>
      <c r="Q526" s="103">
        <f t="shared" si="194"/>
        <v>9.52276853180751E-2</v>
      </c>
      <c r="R526" s="103">
        <f t="shared" si="195"/>
        <v>3.8410588069197331E-2</v>
      </c>
      <c r="S526" s="103">
        <f t="shared" si="196"/>
        <v>4.7243975219255066E-2</v>
      </c>
      <c r="T526" s="33">
        <f>SUM(T520:T524)</f>
        <v>1</v>
      </c>
      <c r="U526" s="53"/>
    </row>
    <row r="527" spans="1:21" x14ac:dyDescent="0.25">
      <c r="A527" s="110"/>
      <c r="B527" s="110"/>
      <c r="C527" s="110"/>
      <c r="D527" s="110"/>
      <c r="E527" s="110"/>
      <c r="F527" s="110"/>
      <c r="G527" s="110"/>
      <c r="H527" s="110"/>
      <c r="I527" s="110"/>
      <c r="J527" s="110"/>
      <c r="K527" s="110"/>
      <c r="L527" s="110"/>
      <c r="M527" s="110"/>
      <c r="N527" s="110"/>
      <c r="O527" s="110"/>
      <c r="P527" s="110"/>
      <c r="Q527" s="110"/>
      <c r="R527" s="110"/>
      <c r="S527" s="110"/>
      <c r="T527" s="39"/>
    </row>
    <row r="528" spans="1:21" ht="15.75" x14ac:dyDescent="0.25">
      <c r="A528" s="27" t="s">
        <v>408</v>
      </c>
    </row>
    <row r="529" spans="1:20" ht="25.5" x14ac:dyDescent="0.25">
      <c r="A529" s="148" t="s">
        <v>368</v>
      </c>
      <c r="B529" s="130">
        <v>2007</v>
      </c>
      <c r="C529" s="130">
        <v>2008</v>
      </c>
      <c r="D529" s="130">
        <v>2009</v>
      </c>
      <c r="E529" s="130">
        <v>2010</v>
      </c>
      <c r="F529" s="130">
        <v>2011</v>
      </c>
      <c r="G529" s="130">
        <v>2012</v>
      </c>
      <c r="H529" s="130">
        <v>2013</v>
      </c>
      <c r="I529" s="130">
        <v>2014</v>
      </c>
      <c r="J529" s="130">
        <v>2015</v>
      </c>
      <c r="K529" s="130">
        <v>2016</v>
      </c>
      <c r="L529" s="130">
        <v>2017</v>
      </c>
      <c r="M529" s="130">
        <v>2018</v>
      </c>
      <c r="N529" s="130">
        <v>2019</v>
      </c>
      <c r="O529" s="130">
        <v>2020</v>
      </c>
      <c r="P529" s="130">
        <v>2021</v>
      </c>
      <c r="Q529" s="131" t="s">
        <v>424</v>
      </c>
      <c r="R529" s="131" t="s">
        <v>425</v>
      </c>
      <c r="S529" s="131" t="s">
        <v>426</v>
      </c>
      <c r="T529" s="131" t="s">
        <v>427</v>
      </c>
    </row>
    <row r="530" spans="1:20" x14ac:dyDescent="0.25">
      <c r="A530" s="79" t="s">
        <v>356</v>
      </c>
      <c r="B530" s="206">
        <v>607459</v>
      </c>
      <c r="C530" s="206">
        <v>661901</v>
      </c>
      <c r="D530" s="206">
        <v>718732</v>
      </c>
      <c r="E530" s="206">
        <v>808264</v>
      </c>
      <c r="F530" s="206">
        <v>918315</v>
      </c>
      <c r="G530" s="206">
        <v>956917</v>
      </c>
      <c r="H530" s="206">
        <v>1006008</v>
      </c>
      <c r="I530" s="206">
        <v>1002126</v>
      </c>
      <c r="J530" s="206">
        <v>1036885</v>
      </c>
      <c r="K530" s="206">
        <v>1075491</v>
      </c>
      <c r="L530" s="206">
        <v>1063268</v>
      </c>
      <c r="M530" s="206">
        <v>1085649</v>
      </c>
      <c r="N530" s="206">
        <v>1101600</v>
      </c>
      <c r="O530" s="206">
        <v>1094147</v>
      </c>
      <c r="P530" s="206">
        <v>1140662</v>
      </c>
      <c r="Q530" s="188">
        <f>(P530-G530)/G530</f>
        <v>0.19201769850467701</v>
      </c>
      <c r="R530" s="188">
        <f>(P530-L530)/L530</f>
        <v>7.2788798308610805E-2</v>
      </c>
      <c r="S530" s="188">
        <f>(P530-O530)/O530</f>
        <v>4.2512569152042642E-2</v>
      </c>
      <c r="T530" s="207">
        <f>P530/P$538</f>
        <v>0.9470680347455277</v>
      </c>
    </row>
    <row r="531" spans="1:20" ht="15.75" customHeight="1" x14ac:dyDescent="0.25">
      <c r="A531" s="208" t="s">
        <v>2</v>
      </c>
      <c r="B531" s="73">
        <v>51249</v>
      </c>
      <c r="C531" s="73">
        <v>59385</v>
      </c>
      <c r="D531" s="73">
        <v>69847</v>
      </c>
      <c r="E531" s="73">
        <v>83548</v>
      </c>
      <c r="F531" s="73">
        <v>94236</v>
      </c>
      <c r="G531" s="73">
        <v>98091</v>
      </c>
      <c r="H531" s="73">
        <v>114109</v>
      </c>
      <c r="I531" s="73">
        <v>127311</v>
      </c>
      <c r="J531" s="73">
        <v>133753</v>
      </c>
      <c r="K531" s="73">
        <v>130906</v>
      </c>
      <c r="L531" s="73">
        <v>120218</v>
      </c>
      <c r="M531" s="73">
        <v>120251</v>
      </c>
      <c r="N531" s="73">
        <v>125977</v>
      </c>
      <c r="O531" s="73">
        <v>118139</v>
      </c>
      <c r="P531" s="73">
        <v>117452</v>
      </c>
      <c r="Q531" s="187">
        <f t="shared" ref="Q531:Q538" si="199">(P531-G531)/G531</f>
        <v>0.19737794496946712</v>
      </c>
      <c r="R531" s="187">
        <f t="shared" ref="R531:R538" si="200">(P531-L531)/L531</f>
        <v>-2.3008201766790332E-2</v>
      </c>
      <c r="S531" s="187">
        <f t="shared" ref="S531:S538" si="201">(P531-O531)/O531</f>
        <v>-5.8151838089030719E-3</v>
      </c>
      <c r="T531" s="209">
        <f t="shared" ref="T531:T538" si="202">P531/P$538</f>
        <v>9.7517963092425025E-2</v>
      </c>
    </row>
    <row r="532" spans="1:20" x14ac:dyDescent="0.25">
      <c r="A532" s="208" t="s">
        <v>3</v>
      </c>
      <c r="B532" s="73">
        <v>132473</v>
      </c>
      <c r="C532" s="73">
        <v>139209</v>
      </c>
      <c r="D532" s="73">
        <v>159600</v>
      </c>
      <c r="E532" s="73">
        <v>196132</v>
      </c>
      <c r="F532" s="73">
        <v>230481</v>
      </c>
      <c r="G532" s="73">
        <v>262305</v>
      </c>
      <c r="H532" s="73">
        <v>294847</v>
      </c>
      <c r="I532" s="73">
        <v>306148</v>
      </c>
      <c r="J532" s="73">
        <v>328664</v>
      </c>
      <c r="K532" s="73">
        <v>332411</v>
      </c>
      <c r="L532" s="73">
        <v>320670</v>
      </c>
      <c r="M532" s="73">
        <v>329624</v>
      </c>
      <c r="N532" s="73">
        <v>334035</v>
      </c>
      <c r="O532" s="73">
        <v>341729</v>
      </c>
      <c r="P532" s="73">
        <v>358034</v>
      </c>
      <c r="Q532" s="187">
        <f t="shared" si="199"/>
        <v>0.36495301271420677</v>
      </c>
      <c r="R532" s="187">
        <f t="shared" si="200"/>
        <v>0.1165185393083232</v>
      </c>
      <c r="S532" s="187">
        <f t="shared" si="201"/>
        <v>4.7713246461377291E-2</v>
      </c>
      <c r="T532" s="209">
        <f t="shared" si="202"/>
        <v>0.29726821508218937</v>
      </c>
    </row>
    <row r="533" spans="1:20" x14ac:dyDescent="0.25">
      <c r="A533" s="208" t="s">
        <v>4</v>
      </c>
      <c r="B533" s="73">
        <v>423737</v>
      </c>
      <c r="C533" s="73">
        <v>463307</v>
      </c>
      <c r="D533" s="73">
        <v>489285</v>
      </c>
      <c r="E533" s="73">
        <v>528584</v>
      </c>
      <c r="F533" s="73">
        <v>593598</v>
      </c>
      <c r="G533" s="73">
        <v>596521</v>
      </c>
      <c r="H533" s="73">
        <v>597052</v>
      </c>
      <c r="I533" s="73">
        <v>568667</v>
      </c>
      <c r="J533" s="73">
        <v>574468</v>
      </c>
      <c r="K533" s="73">
        <v>612174</v>
      </c>
      <c r="L533" s="73">
        <v>622380</v>
      </c>
      <c r="M533" s="73">
        <v>635774</v>
      </c>
      <c r="N533" s="73">
        <v>641588</v>
      </c>
      <c r="O533" s="73">
        <v>634279</v>
      </c>
      <c r="P533" s="73">
        <v>665176</v>
      </c>
      <c r="Q533" s="187">
        <f t="shared" si="199"/>
        <v>0.11509234377331226</v>
      </c>
      <c r="R533" s="187">
        <f t="shared" si="200"/>
        <v>6.8761849673832712E-2</v>
      </c>
      <c r="S533" s="187">
        <f t="shared" si="201"/>
        <v>4.8712002131554098E-2</v>
      </c>
      <c r="T533" s="209">
        <f t="shared" si="202"/>
        <v>0.55228185657091333</v>
      </c>
    </row>
    <row r="534" spans="1:20" x14ac:dyDescent="0.25">
      <c r="A534" s="79" t="s">
        <v>357</v>
      </c>
      <c r="B534" s="206">
        <v>140885</v>
      </c>
      <c r="C534" s="206">
        <v>121448</v>
      </c>
      <c r="D534" s="206">
        <v>130608</v>
      </c>
      <c r="E534" s="206">
        <v>129994</v>
      </c>
      <c r="F534" s="206">
        <v>96762</v>
      </c>
      <c r="G534" s="206">
        <v>107899</v>
      </c>
      <c r="H534" s="206">
        <v>108269</v>
      </c>
      <c r="I534" s="206">
        <v>142255</v>
      </c>
      <c r="J534" s="206">
        <v>129021</v>
      </c>
      <c r="K534" s="206">
        <v>102989</v>
      </c>
      <c r="L534" s="206">
        <v>114024</v>
      </c>
      <c r="M534" s="206">
        <v>102398</v>
      </c>
      <c r="N534" s="206">
        <v>92880</v>
      </c>
      <c r="O534" s="206">
        <v>57775</v>
      </c>
      <c r="P534" s="206">
        <v>63752</v>
      </c>
      <c r="Q534" s="188">
        <f t="shared" si="199"/>
        <v>-0.40915115061307333</v>
      </c>
      <c r="R534" s="188">
        <f t="shared" si="200"/>
        <v>-0.44088963726934682</v>
      </c>
      <c r="S534" s="188">
        <f t="shared" si="201"/>
        <v>0.10345305062743401</v>
      </c>
      <c r="T534" s="207">
        <f t="shared" si="202"/>
        <v>5.2931965254472302E-2</v>
      </c>
    </row>
    <row r="535" spans="1:20" x14ac:dyDescent="0.25">
      <c r="A535" s="208" t="s">
        <v>2</v>
      </c>
      <c r="B535" s="73">
        <v>35589</v>
      </c>
      <c r="C535" s="73">
        <v>36506</v>
      </c>
      <c r="D535" s="73">
        <v>40160</v>
      </c>
      <c r="E535" s="73">
        <v>45018</v>
      </c>
      <c r="F535" s="73">
        <v>44338</v>
      </c>
      <c r="G535" s="73">
        <v>41940</v>
      </c>
      <c r="H535" s="73">
        <v>30256</v>
      </c>
      <c r="I535" s="73">
        <v>20699</v>
      </c>
      <c r="J535" s="73">
        <v>12787</v>
      </c>
      <c r="K535" s="73">
        <v>10805</v>
      </c>
      <c r="L535" s="73">
        <v>16559</v>
      </c>
      <c r="M535" s="73">
        <v>16479</v>
      </c>
      <c r="N535" s="73">
        <v>11963</v>
      </c>
      <c r="O535" s="73">
        <v>12206</v>
      </c>
      <c r="P535" s="73">
        <v>17044</v>
      </c>
      <c r="Q535" s="187">
        <f t="shared" si="199"/>
        <v>-0.59360991893180737</v>
      </c>
      <c r="R535" s="187">
        <f t="shared" si="200"/>
        <v>2.9289208285524487E-2</v>
      </c>
      <c r="S535" s="187">
        <f t="shared" si="201"/>
        <v>0.39636244469932819</v>
      </c>
      <c r="T535" s="209">
        <f t="shared" si="202"/>
        <v>1.4151280207636245E-2</v>
      </c>
    </row>
    <row r="536" spans="1:20" x14ac:dyDescent="0.25">
      <c r="A536" s="208" t="s">
        <v>3</v>
      </c>
      <c r="B536" s="73">
        <v>23651</v>
      </c>
      <c r="C536" s="73">
        <v>23639</v>
      </c>
      <c r="D536" s="73">
        <v>29997</v>
      </c>
      <c r="E536" s="73">
        <v>28169</v>
      </c>
      <c r="F536" s="73">
        <v>30211</v>
      </c>
      <c r="G536" s="73">
        <v>31214</v>
      </c>
      <c r="H536" s="73">
        <v>29732</v>
      </c>
      <c r="I536" s="73">
        <v>44856</v>
      </c>
      <c r="J536" s="73">
        <v>44507</v>
      </c>
      <c r="K536" s="73">
        <v>48577</v>
      </c>
      <c r="L536" s="73">
        <v>54039</v>
      </c>
      <c r="M536" s="73">
        <v>43480</v>
      </c>
      <c r="N536" s="73">
        <v>45421</v>
      </c>
      <c r="O536" s="73">
        <v>19658</v>
      </c>
      <c r="P536" s="73">
        <v>20504</v>
      </c>
      <c r="Q536" s="187">
        <f t="shared" si="199"/>
        <v>-0.34311526878964566</v>
      </c>
      <c r="R536" s="187">
        <f t="shared" si="200"/>
        <v>-0.62057032883658103</v>
      </c>
      <c r="S536" s="187">
        <f t="shared" si="201"/>
        <v>4.3035914131651233E-2</v>
      </c>
      <c r="T536" s="209">
        <f t="shared" si="202"/>
        <v>1.702404654877808E-2</v>
      </c>
    </row>
    <row r="537" spans="1:20" x14ac:dyDescent="0.25">
      <c r="A537" s="208" t="s">
        <v>4</v>
      </c>
      <c r="B537" s="73">
        <v>81645</v>
      </c>
      <c r="C537" s="73">
        <v>61303</v>
      </c>
      <c r="D537" s="73">
        <v>60451</v>
      </c>
      <c r="E537" s="73">
        <v>56807</v>
      </c>
      <c r="F537" s="73">
        <v>22213</v>
      </c>
      <c r="G537" s="73">
        <v>34745</v>
      </c>
      <c r="H537" s="73">
        <v>48281</v>
      </c>
      <c r="I537" s="73">
        <v>76700</v>
      </c>
      <c r="J537" s="73">
        <v>71727</v>
      </c>
      <c r="K537" s="73">
        <v>43607</v>
      </c>
      <c r="L537" s="73">
        <v>43426</v>
      </c>
      <c r="M537" s="73">
        <v>42439</v>
      </c>
      <c r="N537" s="73">
        <v>35496</v>
      </c>
      <c r="O537" s="73">
        <v>25911</v>
      </c>
      <c r="P537" s="73">
        <v>26204</v>
      </c>
      <c r="Q537" s="187">
        <f t="shared" si="199"/>
        <v>-0.2458195423801986</v>
      </c>
      <c r="R537" s="187">
        <f t="shared" si="200"/>
        <v>-0.39658269239626032</v>
      </c>
      <c r="S537" s="187">
        <f t="shared" si="201"/>
        <v>1.1307938713287793E-2</v>
      </c>
      <c r="T537" s="209">
        <f t="shared" si="202"/>
        <v>2.1756638498057975E-2</v>
      </c>
    </row>
    <row r="538" spans="1:20" x14ac:dyDescent="0.25">
      <c r="A538" s="88" t="s">
        <v>0</v>
      </c>
      <c r="B538" s="206">
        <v>748344</v>
      </c>
      <c r="C538" s="206">
        <v>783349</v>
      </c>
      <c r="D538" s="206">
        <v>849340</v>
      </c>
      <c r="E538" s="206">
        <v>938258</v>
      </c>
      <c r="F538" s="206">
        <v>1015077</v>
      </c>
      <c r="G538" s="206">
        <v>1064816</v>
      </c>
      <c r="H538" s="206">
        <v>1114277</v>
      </c>
      <c r="I538" s="206">
        <v>1144381</v>
      </c>
      <c r="J538" s="206">
        <v>1165906</v>
      </c>
      <c r="K538" s="206">
        <v>1178480</v>
      </c>
      <c r="L538" s="206">
        <v>1177292</v>
      </c>
      <c r="M538" s="206">
        <v>1188047</v>
      </c>
      <c r="N538" s="206">
        <v>1194480</v>
      </c>
      <c r="O538" s="206">
        <v>1151922</v>
      </c>
      <c r="P538" s="206">
        <v>1204414</v>
      </c>
      <c r="Q538" s="188">
        <f t="shared" si="199"/>
        <v>0.13110058451413201</v>
      </c>
      <c r="R538" s="188">
        <f t="shared" si="200"/>
        <v>2.3037615137111268E-2</v>
      </c>
      <c r="S538" s="188">
        <f t="shared" si="201"/>
        <v>4.5569057627165725E-2</v>
      </c>
      <c r="T538" s="207">
        <f t="shared" si="202"/>
        <v>1</v>
      </c>
    </row>
    <row r="539" spans="1:20" x14ac:dyDescent="0.25">
      <c r="A539" s="118" t="s">
        <v>367</v>
      </c>
      <c r="B539" s="119">
        <f>B530/B538</f>
        <v>0.81173765006467613</v>
      </c>
      <c r="C539" s="119">
        <f t="shared" ref="C539:M539" si="203">C530/C538</f>
        <v>0.8449631007379852</v>
      </c>
      <c r="D539" s="119">
        <f t="shared" si="203"/>
        <v>0.84622412696917604</v>
      </c>
      <c r="E539" s="119">
        <f t="shared" si="203"/>
        <v>0.86145175420833076</v>
      </c>
      <c r="F539" s="119">
        <f t="shared" si="203"/>
        <v>0.90467521183122068</v>
      </c>
      <c r="G539" s="119">
        <f t="shared" si="203"/>
        <v>0.89866887800333584</v>
      </c>
      <c r="H539" s="119">
        <f t="shared" si="203"/>
        <v>0.9028347529384525</v>
      </c>
      <c r="I539" s="119">
        <f t="shared" si="203"/>
        <v>0.87569262334834286</v>
      </c>
      <c r="J539" s="119">
        <f t="shared" si="203"/>
        <v>0.88933842007846253</v>
      </c>
      <c r="K539" s="119">
        <f t="shared" si="203"/>
        <v>0.91260861448645714</v>
      </c>
      <c r="L539" s="119">
        <f t="shared" si="203"/>
        <v>0.90314722260917424</v>
      </c>
      <c r="M539" s="119">
        <f t="shared" si="203"/>
        <v>0.91380980718776272</v>
      </c>
      <c r="N539" s="119">
        <f>N530/N538</f>
        <v>0.92224231464737794</v>
      </c>
      <c r="O539" s="119">
        <f t="shared" ref="O539:P539" si="204">O530/O538</f>
        <v>0.94984469434562413</v>
      </c>
      <c r="P539" s="119">
        <f t="shared" si="204"/>
        <v>0.9470680347455277</v>
      </c>
      <c r="Q539" s="117"/>
      <c r="R539" s="117"/>
      <c r="S539" s="117"/>
      <c r="T539" s="117"/>
    </row>
    <row r="540" spans="1:20" x14ac:dyDescent="0.25">
      <c r="A540" s="49" t="s">
        <v>387</v>
      </c>
      <c r="B540" s="110"/>
      <c r="C540" s="110"/>
      <c r="D540" s="110"/>
      <c r="E540" s="110"/>
      <c r="F540" s="110"/>
      <c r="G540" s="110"/>
      <c r="H540" s="110"/>
      <c r="I540" s="110"/>
      <c r="J540" s="110"/>
      <c r="K540" s="110"/>
      <c r="L540" s="110"/>
      <c r="M540" s="110"/>
      <c r="N540" s="110"/>
      <c r="O540" s="110"/>
      <c r="P540" s="110"/>
      <c r="Q540" s="110"/>
      <c r="R540" s="110"/>
      <c r="S540" s="110"/>
      <c r="T540" s="39"/>
    </row>
    <row r="541" spans="1:20" x14ac:dyDescent="0.25">
      <c r="A541" s="110"/>
      <c r="B541" s="110"/>
      <c r="C541" s="110"/>
      <c r="D541" s="110"/>
      <c r="E541" s="110"/>
      <c r="F541" s="110"/>
      <c r="G541" s="110"/>
      <c r="H541" s="110"/>
      <c r="I541" s="110"/>
      <c r="J541" s="110"/>
      <c r="K541" s="110"/>
      <c r="L541" s="110"/>
      <c r="M541" s="110"/>
      <c r="N541" s="110"/>
      <c r="O541" s="110"/>
      <c r="P541" s="110"/>
      <c r="Q541" s="110"/>
      <c r="R541" s="110"/>
      <c r="S541" s="110"/>
      <c r="T541" s="39"/>
    </row>
    <row r="542" spans="1:20" ht="18" x14ac:dyDescent="0.25">
      <c r="A542" s="27" t="s">
        <v>409</v>
      </c>
    </row>
    <row r="543" spans="1:20" ht="25.5" x14ac:dyDescent="0.25">
      <c r="A543" s="148" t="s">
        <v>368</v>
      </c>
      <c r="B543" s="130">
        <v>2007</v>
      </c>
      <c r="C543" s="130">
        <v>2008</v>
      </c>
      <c r="D543" s="130">
        <v>2009</v>
      </c>
      <c r="E543" s="130">
        <v>2010</v>
      </c>
      <c r="F543" s="130">
        <v>2011</v>
      </c>
      <c r="G543" s="130">
        <v>2012</v>
      </c>
      <c r="H543" s="130">
        <v>2013</v>
      </c>
      <c r="I543" s="130">
        <v>2014</v>
      </c>
      <c r="J543" s="130">
        <v>2015</v>
      </c>
      <c r="K543" s="130">
        <v>2016</v>
      </c>
      <c r="L543" s="130">
        <v>2017</v>
      </c>
      <c r="M543" s="130">
        <v>2018</v>
      </c>
      <c r="N543" s="130">
        <v>2019</v>
      </c>
      <c r="O543" s="130">
        <v>2020</v>
      </c>
      <c r="P543" s="130">
        <v>2021</v>
      </c>
      <c r="Q543" s="131" t="s">
        <v>424</v>
      </c>
      <c r="R543" s="131" t="s">
        <v>425</v>
      </c>
      <c r="S543" s="131" t="s">
        <v>426</v>
      </c>
      <c r="T543" s="131" t="s">
        <v>427</v>
      </c>
    </row>
    <row r="544" spans="1:20" x14ac:dyDescent="0.25">
      <c r="A544" s="79" t="s">
        <v>356</v>
      </c>
      <c r="B544" s="206">
        <v>194237</v>
      </c>
      <c r="C544" s="206">
        <v>207978</v>
      </c>
      <c r="D544" s="206">
        <v>226870</v>
      </c>
      <c r="E544" s="206">
        <v>258587</v>
      </c>
      <c r="F544" s="206">
        <v>285261</v>
      </c>
      <c r="G544" s="206">
        <v>287955</v>
      </c>
      <c r="H544" s="206">
        <v>308639</v>
      </c>
      <c r="I544" s="206">
        <v>303783</v>
      </c>
      <c r="J544" s="206">
        <v>305098</v>
      </c>
      <c r="K544" s="206">
        <v>307727</v>
      </c>
      <c r="L544" s="206">
        <v>298912</v>
      </c>
      <c r="M544" s="206">
        <v>301175</v>
      </c>
      <c r="N544" s="206">
        <v>301471</v>
      </c>
      <c r="O544" s="206">
        <v>286661</v>
      </c>
      <c r="P544" s="206">
        <v>294300</v>
      </c>
      <c r="Q544" s="188">
        <f t="shared" ref="Q544:Q552" si="205">(P544-G544)/G544</f>
        <v>2.2034692920768869E-2</v>
      </c>
      <c r="R544" s="188">
        <f t="shared" ref="R544:R552" si="206">(P544-L544)/L544</f>
        <v>-1.5429290225885879E-2</v>
      </c>
      <c r="S544" s="188">
        <f t="shared" ref="S544:S552" si="207">(P544-O544)/O544</f>
        <v>2.6648201185372269E-2</v>
      </c>
      <c r="T544" s="207">
        <f>P544/P$552</f>
        <v>0.93565503800800531</v>
      </c>
    </row>
    <row r="545" spans="1:20" x14ac:dyDescent="0.25">
      <c r="A545" s="208" t="s">
        <v>2</v>
      </c>
      <c r="B545" s="73">
        <v>25925</v>
      </c>
      <c r="C545" s="73">
        <v>29315</v>
      </c>
      <c r="D545" s="73">
        <v>33133</v>
      </c>
      <c r="E545" s="73">
        <v>39576</v>
      </c>
      <c r="F545" s="73">
        <v>43216</v>
      </c>
      <c r="G545" s="73">
        <v>42827</v>
      </c>
      <c r="H545" s="73">
        <v>52428</v>
      </c>
      <c r="I545" s="73">
        <v>57448</v>
      </c>
      <c r="J545" s="73">
        <v>58580</v>
      </c>
      <c r="K545" s="73">
        <v>55664</v>
      </c>
      <c r="L545" s="73">
        <v>53542</v>
      </c>
      <c r="M545" s="73">
        <v>53613</v>
      </c>
      <c r="N545" s="73">
        <v>55863</v>
      </c>
      <c r="O545" s="73">
        <v>50212</v>
      </c>
      <c r="P545" s="73">
        <v>50591</v>
      </c>
      <c r="Q545" s="187">
        <f t="shared" si="205"/>
        <v>0.18128750554556705</v>
      </c>
      <c r="R545" s="187">
        <f t="shared" si="206"/>
        <v>-5.5115610175189574E-2</v>
      </c>
      <c r="S545" s="187">
        <f t="shared" si="207"/>
        <v>7.5479964948617856E-3</v>
      </c>
      <c r="T545" s="209">
        <f t="shared" ref="T545:T552" si="208">P545/P$552</f>
        <v>0.16084173981604824</v>
      </c>
    </row>
    <row r="546" spans="1:20" x14ac:dyDescent="0.25">
      <c r="A546" s="208" t="s">
        <v>3</v>
      </c>
      <c r="B546" s="73">
        <v>57099</v>
      </c>
      <c r="C546" s="73">
        <v>58351</v>
      </c>
      <c r="D546" s="73">
        <v>65561</v>
      </c>
      <c r="E546" s="73">
        <v>81407</v>
      </c>
      <c r="F546" s="73">
        <v>91313</v>
      </c>
      <c r="G546" s="73">
        <v>98729</v>
      </c>
      <c r="H546" s="73">
        <v>114915</v>
      </c>
      <c r="I546" s="73">
        <v>113834</v>
      </c>
      <c r="J546" s="73">
        <v>111550</v>
      </c>
      <c r="K546" s="73">
        <v>106941</v>
      </c>
      <c r="L546" s="73">
        <v>101351</v>
      </c>
      <c r="M546" s="73">
        <v>104468</v>
      </c>
      <c r="N546" s="73">
        <v>105320</v>
      </c>
      <c r="O546" s="73">
        <v>104575</v>
      </c>
      <c r="P546" s="73">
        <v>114952</v>
      </c>
      <c r="Q546" s="187">
        <f t="shared" si="205"/>
        <v>0.16431848798225446</v>
      </c>
      <c r="R546" s="187">
        <f t="shared" si="206"/>
        <v>0.13419699854959496</v>
      </c>
      <c r="S546" s="187">
        <f t="shared" si="207"/>
        <v>9.9230217547214922E-2</v>
      </c>
      <c r="T546" s="209">
        <f t="shared" si="208"/>
        <v>0.36546183462146187</v>
      </c>
    </row>
    <row r="547" spans="1:20" x14ac:dyDescent="0.25">
      <c r="A547" s="208" t="s">
        <v>4</v>
      </c>
      <c r="B547" s="73">
        <v>111213</v>
      </c>
      <c r="C547" s="73">
        <v>120312</v>
      </c>
      <c r="D547" s="73">
        <v>128176</v>
      </c>
      <c r="E547" s="73">
        <v>137604</v>
      </c>
      <c r="F547" s="73">
        <v>150732</v>
      </c>
      <c r="G547" s="73">
        <v>146399</v>
      </c>
      <c r="H547" s="73">
        <v>141296</v>
      </c>
      <c r="I547" s="73">
        <v>132501</v>
      </c>
      <c r="J547" s="73">
        <v>134968</v>
      </c>
      <c r="K547" s="73">
        <v>145122</v>
      </c>
      <c r="L547" s="73">
        <v>144019</v>
      </c>
      <c r="M547" s="73">
        <v>143094</v>
      </c>
      <c r="N547" s="73">
        <v>140288</v>
      </c>
      <c r="O547" s="73">
        <v>131874</v>
      </c>
      <c r="P547" s="73">
        <v>128757</v>
      </c>
      <c r="Q547" s="187">
        <f t="shared" si="205"/>
        <v>-0.12050628761125418</v>
      </c>
      <c r="R547" s="187">
        <f t="shared" si="206"/>
        <v>-0.10597212867746617</v>
      </c>
      <c r="S547" s="187">
        <f t="shared" si="207"/>
        <v>-2.3636198189180582E-2</v>
      </c>
      <c r="T547" s="209">
        <f t="shared" si="208"/>
        <v>0.40935146357049523</v>
      </c>
    </row>
    <row r="548" spans="1:20" x14ac:dyDescent="0.25">
      <c r="A548" s="79" t="s">
        <v>357</v>
      </c>
      <c r="B548" s="206">
        <v>49142</v>
      </c>
      <c r="C548" s="206">
        <v>44986</v>
      </c>
      <c r="D548" s="206">
        <v>54777</v>
      </c>
      <c r="E548" s="206">
        <v>56471</v>
      </c>
      <c r="F548" s="206">
        <v>43062</v>
      </c>
      <c r="G548" s="206">
        <v>44873</v>
      </c>
      <c r="H548" s="206">
        <v>34361</v>
      </c>
      <c r="I548" s="206">
        <v>37677</v>
      </c>
      <c r="J548" s="206">
        <v>32661</v>
      </c>
      <c r="K548" s="206">
        <v>30179</v>
      </c>
      <c r="L548" s="206">
        <v>36359</v>
      </c>
      <c r="M548" s="206">
        <v>33716</v>
      </c>
      <c r="N548" s="206">
        <v>29203</v>
      </c>
      <c r="O548" s="206">
        <v>16771</v>
      </c>
      <c r="P548" s="206">
        <v>20239</v>
      </c>
      <c r="Q548" s="188">
        <f t="shared" si="205"/>
        <v>-0.54897154190716024</v>
      </c>
      <c r="R548" s="188">
        <f t="shared" si="206"/>
        <v>-0.44335652795731456</v>
      </c>
      <c r="S548" s="188">
        <f t="shared" si="207"/>
        <v>0.20678552262834654</v>
      </c>
      <c r="T548" s="207">
        <f t="shared" si="208"/>
        <v>6.4344961991994631E-2</v>
      </c>
    </row>
    <row r="549" spans="1:20" x14ac:dyDescent="0.25">
      <c r="A549" s="208" t="s">
        <v>2</v>
      </c>
      <c r="B549" s="73">
        <v>17987</v>
      </c>
      <c r="C549" s="73">
        <v>17741</v>
      </c>
      <c r="D549" s="73">
        <v>20069</v>
      </c>
      <c r="E549" s="73">
        <v>23539</v>
      </c>
      <c r="F549" s="73">
        <v>20819</v>
      </c>
      <c r="G549" s="73">
        <v>19757</v>
      </c>
      <c r="H549" s="73">
        <v>12296</v>
      </c>
      <c r="I549" s="73">
        <v>8493</v>
      </c>
      <c r="J549" s="73">
        <v>4971</v>
      </c>
      <c r="K549" s="73">
        <v>3759</v>
      </c>
      <c r="L549" s="73">
        <v>6492</v>
      </c>
      <c r="M549" s="73">
        <v>5591</v>
      </c>
      <c r="N549" s="73">
        <v>5064</v>
      </c>
      <c r="O549" s="73">
        <v>5954</v>
      </c>
      <c r="P549" s="73">
        <v>7723</v>
      </c>
      <c r="Q549" s="187">
        <f t="shared" si="205"/>
        <v>-0.60910057194918255</v>
      </c>
      <c r="R549" s="187">
        <f t="shared" si="206"/>
        <v>0.18961799137399876</v>
      </c>
      <c r="S549" s="187">
        <f t="shared" si="207"/>
        <v>0.29711118575747397</v>
      </c>
      <c r="T549" s="209">
        <f t="shared" si="208"/>
        <v>2.4553394014732673E-2</v>
      </c>
    </row>
    <row r="550" spans="1:20" x14ac:dyDescent="0.25">
      <c r="A550" s="208" t="s">
        <v>3</v>
      </c>
      <c r="B550" s="73">
        <v>11029</v>
      </c>
      <c r="C550" s="73">
        <v>10361</v>
      </c>
      <c r="D550" s="73">
        <v>15621</v>
      </c>
      <c r="E550" s="73">
        <v>13779</v>
      </c>
      <c r="F550" s="73">
        <v>14249</v>
      </c>
      <c r="G550" s="73">
        <v>13054</v>
      </c>
      <c r="H550" s="73">
        <v>11349</v>
      </c>
      <c r="I550" s="73">
        <v>14509</v>
      </c>
      <c r="J550" s="73">
        <v>12830</v>
      </c>
      <c r="K550" s="73">
        <v>16279</v>
      </c>
      <c r="L550" s="73">
        <v>18306</v>
      </c>
      <c r="M550" s="73">
        <v>17038</v>
      </c>
      <c r="N550" s="73">
        <v>16574</v>
      </c>
      <c r="O550" s="73">
        <v>5042</v>
      </c>
      <c r="P550" s="73">
        <v>6054</v>
      </c>
      <c r="Q550" s="187">
        <f t="shared" si="205"/>
        <v>-0.53623410448904552</v>
      </c>
      <c r="R550" s="187">
        <f t="shared" si="206"/>
        <v>-0.66928875778433305</v>
      </c>
      <c r="S550" s="187">
        <f t="shared" si="207"/>
        <v>0.20071400238000794</v>
      </c>
      <c r="T550" s="209">
        <f t="shared" si="208"/>
        <v>1.9247215766566309E-2</v>
      </c>
    </row>
    <row r="551" spans="1:20" x14ac:dyDescent="0.25">
      <c r="A551" s="208" t="s">
        <v>4</v>
      </c>
      <c r="B551" s="73">
        <v>20126</v>
      </c>
      <c r="C551" s="73">
        <v>16884</v>
      </c>
      <c r="D551" s="73">
        <v>19087</v>
      </c>
      <c r="E551" s="73">
        <v>19153</v>
      </c>
      <c r="F551" s="73">
        <v>7994</v>
      </c>
      <c r="G551" s="73">
        <v>12062</v>
      </c>
      <c r="H551" s="73">
        <v>10716</v>
      </c>
      <c r="I551" s="73">
        <v>14675</v>
      </c>
      <c r="J551" s="73">
        <v>14860</v>
      </c>
      <c r="K551" s="73">
        <v>10141</v>
      </c>
      <c r="L551" s="73">
        <v>11561</v>
      </c>
      <c r="M551" s="73">
        <v>11087</v>
      </c>
      <c r="N551" s="73">
        <v>7565</v>
      </c>
      <c r="O551" s="73">
        <v>5775</v>
      </c>
      <c r="P551" s="73">
        <v>6462</v>
      </c>
      <c r="Q551" s="187">
        <f t="shared" si="205"/>
        <v>-0.46426794893052564</v>
      </c>
      <c r="R551" s="187">
        <f t="shared" si="206"/>
        <v>-0.44105181212697864</v>
      </c>
      <c r="S551" s="187">
        <f t="shared" si="207"/>
        <v>0.11896103896103896</v>
      </c>
      <c r="T551" s="209">
        <f t="shared" si="208"/>
        <v>2.0544352210695654E-2</v>
      </c>
    </row>
    <row r="552" spans="1:20" x14ac:dyDescent="0.25">
      <c r="A552" s="88" t="s">
        <v>0</v>
      </c>
      <c r="B552" s="206">
        <v>243379</v>
      </c>
      <c r="C552" s="206">
        <v>252964</v>
      </c>
      <c r="D552" s="206">
        <v>281647</v>
      </c>
      <c r="E552" s="206">
        <v>315058</v>
      </c>
      <c r="F552" s="206">
        <v>328323</v>
      </c>
      <c r="G552" s="206">
        <v>332828</v>
      </c>
      <c r="H552" s="206">
        <v>343000</v>
      </c>
      <c r="I552" s="206">
        <v>341460</v>
      </c>
      <c r="J552" s="206">
        <v>337759</v>
      </c>
      <c r="K552" s="206">
        <v>337906</v>
      </c>
      <c r="L552" s="206">
        <v>335271</v>
      </c>
      <c r="M552" s="206">
        <v>334891</v>
      </c>
      <c r="N552" s="206">
        <v>330674</v>
      </c>
      <c r="O552" s="206">
        <v>303432</v>
      </c>
      <c r="P552" s="206">
        <v>314539</v>
      </c>
      <c r="Q552" s="188">
        <f t="shared" si="205"/>
        <v>-5.4950304661867393E-2</v>
      </c>
      <c r="R552" s="188">
        <f t="shared" si="206"/>
        <v>-6.1836544168747072E-2</v>
      </c>
      <c r="S552" s="188">
        <f t="shared" si="207"/>
        <v>3.6604576972764903E-2</v>
      </c>
      <c r="T552" s="207">
        <f t="shared" si="208"/>
        <v>1</v>
      </c>
    </row>
    <row r="553" spans="1:20" x14ac:dyDescent="0.25">
      <c r="A553" s="118" t="s">
        <v>367</v>
      </c>
      <c r="B553" s="119">
        <f>B544/B552</f>
        <v>0.79808446907909059</v>
      </c>
      <c r="C553" s="119">
        <f t="shared" ref="C553:P553" si="209">C544/C552</f>
        <v>0.82216441865245649</v>
      </c>
      <c r="D553" s="119">
        <f t="shared" si="209"/>
        <v>0.80551186414199338</v>
      </c>
      <c r="E553" s="119">
        <f t="shared" si="209"/>
        <v>0.82075998705000353</v>
      </c>
      <c r="F553" s="119">
        <f t="shared" si="209"/>
        <v>0.86884257271041021</v>
      </c>
      <c r="G553" s="119">
        <f t="shared" si="209"/>
        <v>0.86517660773732974</v>
      </c>
      <c r="H553" s="119">
        <f t="shared" si="209"/>
        <v>0.8998221574344023</v>
      </c>
      <c r="I553" s="119">
        <f t="shared" si="209"/>
        <v>0.88965911087682303</v>
      </c>
      <c r="J553" s="119">
        <f t="shared" si="209"/>
        <v>0.90330087429202477</v>
      </c>
      <c r="K553" s="119">
        <f t="shared" si="209"/>
        <v>0.91068817955289338</v>
      </c>
      <c r="L553" s="119">
        <f t="shared" si="209"/>
        <v>0.89155340008530415</v>
      </c>
      <c r="M553" s="119">
        <f t="shared" si="209"/>
        <v>0.89932246611584066</v>
      </c>
      <c r="N553" s="119">
        <f t="shared" si="209"/>
        <v>0.91168643437343122</v>
      </c>
      <c r="O553" s="119">
        <f t="shared" si="209"/>
        <v>0.94472896728097233</v>
      </c>
      <c r="P553" s="119">
        <f t="shared" si="209"/>
        <v>0.93565503800800531</v>
      </c>
      <c r="Q553" s="117"/>
      <c r="R553" s="117"/>
      <c r="S553" s="117"/>
      <c r="T553" s="117"/>
    </row>
    <row r="554" spans="1:20" x14ac:dyDescent="0.25">
      <c r="A554" s="49" t="s">
        <v>387</v>
      </c>
      <c r="B554" s="110"/>
      <c r="C554" s="110"/>
      <c r="D554" s="110"/>
      <c r="E554" s="110"/>
      <c r="F554" s="110"/>
      <c r="G554" s="110"/>
      <c r="H554" s="110"/>
      <c r="I554" s="110"/>
      <c r="J554" s="110"/>
      <c r="K554" s="110"/>
      <c r="L554" s="110"/>
      <c r="M554" s="110"/>
      <c r="N554" s="110"/>
      <c r="O554" s="110"/>
      <c r="P554" s="110"/>
      <c r="Q554" s="110"/>
      <c r="R554" s="110"/>
      <c r="S554" s="110"/>
      <c r="T554" s="39"/>
    </row>
    <row r="555" spans="1:20" x14ac:dyDescent="0.25">
      <c r="A555" s="110"/>
      <c r="B555" s="110"/>
      <c r="C555" s="110"/>
      <c r="D555" s="110"/>
      <c r="E555" s="110"/>
      <c r="F555" s="110"/>
      <c r="G555" s="110"/>
      <c r="H555" s="110"/>
      <c r="I555" s="110"/>
      <c r="J555" s="110"/>
      <c r="K555" s="110"/>
      <c r="L555" s="110"/>
      <c r="M555" s="110"/>
      <c r="N555" s="110"/>
      <c r="O555" s="110"/>
      <c r="P555" s="110"/>
      <c r="Q555" s="110"/>
      <c r="R555" s="110"/>
      <c r="S555" s="110"/>
      <c r="T555" s="39"/>
    </row>
    <row r="556" spans="1:20" x14ac:dyDescent="0.25">
      <c r="A556" s="99" t="s">
        <v>307</v>
      </c>
      <c r="B556" s="110"/>
      <c r="C556" s="110"/>
      <c r="D556" s="110"/>
      <c r="E556" s="110"/>
      <c r="F556" s="110"/>
      <c r="G556" s="110"/>
      <c r="H556" s="110"/>
      <c r="I556" s="110"/>
      <c r="J556" s="110"/>
      <c r="K556" s="110"/>
      <c r="L556" s="110"/>
      <c r="M556" s="110"/>
      <c r="N556" s="110"/>
      <c r="O556" s="110"/>
      <c r="P556" s="110"/>
      <c r="Q556" s="39"/>
      <c r="R556" s="39"/>
      <c r="S556" s="39"/>
      <c r="T556" s="39"/>
    </row>
    <row r="557" spans="1:20" x14ac:dyDescent="0.25">
      <c r="A557" s="28" t="s">
        <v>294</v>
      </c>
      <c r="B557" s="183"/>
      <c r="C557" s="110"/>
      <c r="D557" s="110"/>
      <c r="E557" s="110"/>
      <c r="F557" s="110"/>
      <c r="G557" s="110"/>
      <c r="H557" s="110"/>
      <c r="I557" s="110"/>
      <c r="J557" s="110"/>
      <c r="K557" s="110"/>
      <c r="L557" s="110"/>
      <c r="M557" s="110"/>
      <c r="N557" s="110"/>
      <c r="O557" s="110"/>
      <c r="P557" s="110"/>
      <c r="Q557" s="39"/>
      <c r="R557" s="39"/>
      <c r="S557" s="39"/>
      <c r="T557" s="39"/>
    </row>
    <row r="558" spans="1:20" x14ac:dyDescent="0.25">
      <c r="A558" s="110"/>
      <c r="B558" s="110"/>
      <c r="C558" s="110"/>
      <c r="D558" s="110"/>
      <c r="E558" s="110"/>
      <c r="F558" s="110"/>
      <c r="G558" s="110"/>
      <c r="H558" s="110"/>
      <c r="I558" s="110"/>
      <c r="J558" s="110"/>
      <c r="K558" s="110"/>
      <c r="L558" s="110"/>
      <c r="M558" s="110"/>
      <c r="N558" s="110"/>
      <c r="O558" s="110"/>
      <c r="P558" s="110"/>
      <c r="Q558" s="39"/>
      <c r="R558" s="39"/>
      <c r="S558" s="39"/>
      <c r="T558" s="39"/>
    </row>
    <row r="559" spans="1:20" x14ac:dyDescent="0.25">
      <c r="A559" s="110"/>
      <c r="B559" s="110"/>
      <c r="C559" s="110"/>
      <c r="D559" s="110"/>
      <c r="E559" s="110"/>
      <c r="F559" s="110"/>
      <c r="G559" s="110"/>
      <c r="H559" s="110"/>
      <c r="I559" s="110"/>
      <c r="J559" s="110"/>
      <c r="K559" s="110"/>
      <c r="L559" s="110"/>
      <c r="M559" s="110"/>
      <c r="N559" s="110"/>
      <c r="O559" s="110"/>
      <c r="P559" s="110"/>
      <c r="Q559" s="39"/>
      <c r="R559" s="39"/>
      <c r="S559" s="39"/>
      <c r="T559" s="39"/>
    </row>
    <row r="560" spans="1:20" x14ac:dyDescent="0.25">
      <c r="A560" s="110"/>
      <c r="B560" s="110"/>
      <c r="C560" s="110"/>
      <c r="D560" s="110"/>
      <c r="E560" s="110"/>
      <c r="F560" s="110"/>
      <c r="G560" s="110"/>
      <c r="H560" s="110"/>
      <c r="I560" s="110"/>
      <c r="J560" s="110"/>
      <c r="K560" s="110"/>
      <c r="L560" s="110"/>
      <c r="M560" s="110"/>
      <c r="N560" s="110"/>
      <c r="O560" s="110"/>
      <c r="P560" s="110"/>
      <c r="Q560" s="39"/>
      <c r="R560" s="39"/>
      <c r="S560" s="39"/>
      <c r="T560" s="39"/>
    </row>
    <row r="561" spans="1:20" x14ac:dyDescent="0.25">
      <c r="A561" s="110"/>
      <c r="B561" s="110"/>
      <c r="C561" s="110"/>
      <c r="D561" s="110"/>
      <c r="E561" s="110"/>
      <c r="F561" s="110"/>
      <c r="G561" s="110"/>
      <c r="H561" s="110"/>
      <c r="I561" s="110"/>
      <c r="J561" s="110"/>
      <c r="K561" s="110"/>
      <c r="L561" s="110"/>
      <c r="M561" s="110"/>
      <c r="N561" s="110"/>
      <c r="O561" s="110"/>
      <c r="P561" s="110"/>
      <c r="Q561" s="39"/>
      <c r="R561" s="39"/>
      <c r="S561" s="39"/>
      <c r="T561" s="39"/>
    </row>
    <row r="562" spans="1:20" x14ac:dyDescent="0.25">
      <c r="A562" s="110"/>
      <c r="B562" s="110"/>
      <c r="C562" s="110"/>
      <c r="D562" s="110"/>
      <c r="E562" s="110"/>
      <c r="F562" s="110"/>
      <c r="G562" s="110"/>
      <c r="H562" s="110"/>
      <c r="I562" s="110"/>
      <c r="J562" s="110"/>
      <c r="K562" s="110"/>
      <c r="L562" s="110"/>
      <c r="M562" s="110"/>
      <c r="N562" s="110"/>
      <c r="O562" s="110"/>
      <c r="P562" s="110"/>
      <c r="Q562" s="39"/>
      <c r="R562" s="39"/>
      <c r="S562" s="39"/>
      <c r="T562" s="39"/>
    </row>
    <row r="563" spans="1:20" x14ac:dyDescent="0.25">
      <c r="A563" s="110"/>
      <c r="B563" s="110"/>
      <c r="C563" s="110"/>
      <c r="D563" s="110"/>
      <c r="E563" s="110"/>
      <c r="F563" s="110"/>
      <c r="G563" s="110"/>
      <c r="H563" s="110"/>
      <c r="I563" s="110"/>
      <c r="J563" s="110"/>
      <c r="K563" s="110"/>
      <c r="L563" s="110"/>
      <c r="M563" s="110"/>
      <c r="N563" s="110"/>
      <c r="O563" s="110"/>
      <c r="P563" s="110"/>
      <c r="Q563" s="39"/>
      <c r="R563" s="39"/>
      <c r="S563" s="39"/>
      <c r="T563" s="39"/>
    </row>
    <row r="564" spans="1:20" x14ac:dyDescent="0.25">
      <c r="A564" s="110"/>
      <c r="B564" s="110"/>
      <c r="C564" s="110"/>
      <c r="D564" s="110"/>
      <c r="E564" s="110"/>
      <c r="F564" s="110"/>
      <c r="G564" s="110"/>
      <c r="H564" s="110"/>
      <c r="I564" s="110"/>
      <c r="J564" s="110"/>
      <c r="K564" s="110"/>
      <c r="L564" s="110"/>
      <c r="M564" s="110"/>
      <c r="N564" s="110"/>
      <c r="O564" s="110"/>
      <c r="P564" s="110"/>
      <c r="Q564" s="39"/>
      <c r="R564" s="39"/>
      <c r="S564" s="39"/>
      <c r="T564" s="39"/>
    </row>
    <row r="565" spans="1:20" x14ac:dyDescent="0.25">
      <c r="A565" s="110"/>
      <c r="B565" s="110"/>
      <c r="C565" s="110"/>
      <c r="D565" s="110"/>
      <c r="E565" s="110"/>
      <c r="F565" s="110"/>
      <c r="G565" s="110"/>
      <c r="H565" s="110"/>
      <c r="I565" s="110"/>
      <c r="J565" s="110"/>
      <c r="K565" s="110"/>
      <c r="L565" s="110"/>
      <c r="M565" s="110"/>
      <c r="N565" s="110"/>
      <c r="O565" s="110"/>
      <c r="P565" s="110"/>
      <c r="Q565" s="39"/>
      <c r="R565" s="39"/>
      <c r="S565" s="39"/>
      <c r="T565" s="39"/>
    </row>
    <row r="566" spans="1:20" x14ac:dyDescent="0.25">
      <c r="A566" s="110"/>
      <c r="B566" s="110"/>
      <c r="C566" s="110"/>
      <c r="D566" s="110"/>
      <c r="E566" s="110"/>
      <c r="F566" s="110"/>
      <c r="G566" s="110"/>
      <c r="H566" s="110"/>
      <c r="I566" s="110"/>
      <c r="J566" s="110"/>
      <c r="K566" s="110"/>
      <c r="L566" s="110"/>
      <c r="M566" s="110"/>
      <c r="N566" s="110"/>
      <c r="O566" s="110"/>
      <c r="P566" s="110"/>
      <c r="Q566" s="39"/>
      <c r="R566" s="39"/>
      <c r="S566" s="39"/>
      <c r="T566" s="39"/>
    </row>
    <row r="567" spans="1:20" x14ac:dyDescent="0.25">
      <c r="A567" s="110"/>
      <c r="B567" s="110"/>
      <c r="C567" s="110"/>
      <c r="D567" s="110"/>
      <c r="E567" s="110"/>
      <c r="F567" s="110"/>
      <c r="G567" s="110"/>
      <c r="H567" s="110"/>
      <c r="I567" s="110"/>
      <c r="J567" s="110"/>
      <c r="K567" s="110"/>
      <c r="L567" s="110"/>
      <c r="M567" s="110"/>
      <c r="N567" s="110"/>
      <c r="O567" s="110"/>
      <c r="P567" s="110"/>
      <c r="Q567" s="39"/>
      <c r="R567" s="39"/>
      <c r="S567" s="39"/>
      <c r="T567" s="39"/>
    </row>
    <row r="568" spans="1:20" x14ac:dyDescent="0.25">
      <c r="A568" s="110"/>
      <c r="B568" s="110"/>
      <c r="C568" s="110"/>
      <c r="D568" s="110"/>
      <c r="E568" s="110"/>
      <c r="F568" s="110"/>
      <c r="G568" s="110"/>
      <c r="H568" s="110"/>
      <c r="I568" s="110"/>
      <c r="J568" s="110"/>
      <c r="K568" s="110"/>
      <c r="L568" s="110"/>
      <c r="M568" s="110"/>
      <c r="N568" s="110"/>
      <c r="O568" s="110"/>
      <c r="P568" s="110"/>
      <c r="Q568" s="39"/>
      <c r="R568" s="39"/>
      <c r="S568" s="39"/>
      <c r="T568" s="39"/>
    </row>
    <row r="569" spans="1:20" x14ac:dyDescent="0.25">
      <c r="A569" s="110"/>
      <c r="B569" s="110"/>
      <c r="C569" s="110"/>
      <c r="D569" s="110"/>
      <c r="E569" s="110"/>
      <c r="F569" s="110"/>
      <c r="G569" s="110"/>
      <c r="H569" s="110"/>
      <c r="I569" s="110"/>
      <c r="J569" s="110"/>
      <c r="K569" s="110"/>
      <c r="L569" s="110"/>
      <c r="M569" s="110"/>
      <c r="N569" s="110"/>
      <c r="O569" s="110"/>
      <c r="P569" s="110"/>
      <c r="Q569" s="39"/>
      <c r="R569" s="39"/>
      <c r="S569" s="39"/>
      <c r="T569" s="39"/>
    </row>
    <row r="570" spans="1:20" x14ac:dyDescent="0.25">
      <c r="A570" s="110"/>
      <c r="B570" s="110"/>
      <c r="C570" s="110"/>
      <c r="D570" s="110"/>
      <c r="E570" s="110"/>
      <c r="F570" s="110"/>
      <c r="G570" s="110"/>
      <c r="H570" s="110"/>
      <c r="I570" s="110"/>
      <c r="J570" s="110"/>
      <c r="K570" s="110"/>
      <c r="L570" s="110"/>
      <c r="M570" s="110"/>
      <c r="N570" s="110"/>
      <c r="O570" s="110"/>
      <c r="P570" s="110"/>
      <c r="Q570" s="39"/>
      <c r="R570" s="39"/>
      <c r="S570" s="39"/>
      <c r="T570" s="39"/>
    </row>
    <row r="571" spans="1:20" x14ac:dyDescent="0.25">
      <c r="A571" s="110"/>
      <c r="B571" s="110"/>
      <c r="C571" s="110"/>
      <c r="D571" s="110"/>
      <c r="E571" s="110"/>
      <c r="F571" s="110"/>
      <c r="G571" s="110"/>
      <c r="H571" s="110"/>
      <c r="I571" s="110"/>
      <c r="J571" s="110"/>
      <c r="K571" s="110"/>
      <c r="L571" s="110"/>
      <c r="M571" s="110"/>
      <c r="N571" s="110"/>
      <c r="O571" s="110"/>
      <c r="P571" s="110"/>
      <c r="Q571" s="39"/>
      <c r="R571" s="39"/>
      <c r="S571" s="39"/>
      <c r="T571" s="39"/>
    </row>
    <row r="572" spans="1:20" x14ac:dyDescent="0.25">
      <c r="A572" s="110"/>
      <c r="B572" s="110"/>
      <c r="C572" s="110"/>
      <c r="D572" s="110"/>
      <c r="E572" s="110"/>
      <c r="F572" s="110"/>
      <c r="G572" s="110"/>
      <c r="H572" s="110"/>
      <c r="I572" s="110"/>
      <c r="J572" s="110"/>
      <c r="K572" s="110"/>
      <c r="L572" s="110"/>
      <c r="M572" s="110"/>
      <c r="N572" s="110"/>
      <c r="O572" s="110"/>
      <c r="P572" s="110"/>
      <c r="Q572" s="39"/>
      <c r="R572" s="39"/>
      <c r="S572" s="39"/>
      <c r="T572" s="39"/>
    </row>
    <row r="573" spans="1:20" x14ac:dyDescent="0.25">
      <c r="A573" s="110"/>
      <c r="B573" s="110"/>
      <c r="C573" s="110"/>
      <c r="D573" s="110"/>
      <c r="E573" s="110"/>
      <c r="F573" s="110"/>
      <c r="G573" s="110"/>
      <c r="H573" s="110"/>
      <c r="I573" s="110"/>
      <c r="J573" s="110"/>
      <c r="K573" s="110"/>
      <c r="L573" s="110"/>
      <c r="M573" s="110"/>
      <c r="N573" s="110"/>
      <c r="O573" s="110"/>
      <c r="P573" s="110"/>
      <c r="Q573" s="39"/>
      <c r="R573" s="39"/>
      <c r="S573" s="39"/>
      <c r="T573" s="39"/>
    </row>
    <row r="574" spans="1:20" x14ac:dyDescent="0.25">
      <c r="A574" s="110"/>
      <c r="B574" s="110"/>
      <c r="C574" s="110"/>
      <c r="D574" s="110"/>
      <c r="E574" s="110"/>
      <c r="F574" s="110"/>
      <c r="G574" s="110"/>
      <c r="H574" s="110"/>
      <c r="I574" s="110"/>
      <c r="J574" s="110"/>
      <c r="K574" s="110"/>
      <c r="L574" s="110"/>
      <c r="M574" s="110"/>
      <c r="N574" s="110"/>
      <c r="O574" s="110"/>
      <c r="P574" s="110"/>
      <c r="Q574" s="39"/>
      <c r="R574" s="39"/>
      <c r="S574" s="39"/>
      <c r="T574" s="39"/>
    </row>
    <row r="575" spans="1:20" x14ac:dyDescent="0.25">
      <c r="A575" s="110"/>
      <c r="B575" s="110"/>
      <c r="C575" s="110"/>
      <c r="D575" s="110"/>
      <c r="E575" s="110"/>
      <c r="F575" s="110"/>
      <c r="G575" s="110"/>
      <c r="H575" s="110"/>
      <c r="I575" s="110"/>
      <c r="J575" s="110"/>
      <c r="K575" s="110"/>
      <c r="L575" s="110"/>
      <c r="M575" s="110"/>
      <c r="N575" s="110"/>
      <c r="O575" s="110"/>
      <c r="P575" s="110"/>
      <c r="Q575" s="39"/>
      <c r="R575" s="39"/>
      <c r="S575" s="39"/>
      <c r="T575" s="39"/>
    </row>
    <row r="576" spans="1:20" x14ac:dyDescent="0.25">
      <c r="A576" s="110"/>
      <c r="B576" s="110"/>
      <c r="C576" s="110"/>
      <c r="D576" s="110"/>
      <c r="E576" s="110"/>
      <c r="F576" s="110"/>
      <c r="G576" s="110"/>
      <c r="H576" s="110"/>
      <c r="I576" s="110"/>
      <c r="J576" s="110"/>
      <c r="K576" s="110"/>
      <c r="L576" s="110"/>
      <c r="M576" s="110"/>
      <c r="N576" s="110"/>
      <c r="O576" s="110"/>
      <c r="P576" s="110"/>
      <c r="Q576" s="39"/>
      <c r="R576" s="39"/>
      <c r="S576" s="39"/>
      <c r="T576" s="39"/>
    </row>
    <row r="577" spans="1:20" x14ac:dyDescent="0.25">
      <c r="A577" s="110"/>
      <c r="B577" s="110"/>
      <c r="C577" s="110"/>
      <c r="D577" s="110"/>
      <c r="E577" s="110"/>
      <c r="F577" s="110"/>
      <c r="G577" s="110"/>
      <c r="H577" s="110"/>
      <c r="I577" s="110"/>
      <c r="J577" s="110"/>
      <c r="K577" s="110"/>
      <c r="L577" s="110"/>
      <c r="M577" s="110"/>
      <c r="N577" s="110"/>
      <c r="O577" s="110"/>
      <c r="P577" s="110"/>
      <c r="Q577" s="39"/>
      <c r="R577" s="39"/>
      <c r="S577" s="39"/>
      <c r="T577" s="39"/>
    </row>
    <row r="578" spans="1:20" x14ac:dyDescent="0.25">
      <c r="A578" s="110"/>
      <c r="B578" s="110"/>
      <c r="C578" s="110"/>
      <c r="D578" s="110"/>
      <c r="E578" s="110"/>
      <c r="F578" s="110"/>
      <c r="G578" s="110"/>
      <c r="H578" s="110"/>
      <c r="I578" s="110"/>
      <c r="J578" s="110"/>
      <c r="K578" s="110"/>
      <c r="L578" s="110"/>
      <c r="M578" s="110"/>
      <c r="N578" s="110"/>
      <c r="O578" s="110"/>
      <c r="P578" s="110"/>
      <c r="Q578" s="39"/>
      <c r="R578" s="39"/>
      <c r="S578" s="39"/>
      <c r="T578" s="39"/>
    </row>
    <row r="579" spans="1:20" x14ac:dyDescent="0.25">
      <c r="A579" s="110"/>
      <c r="B579" s="110"/>
      <c r="C579" s="110"/>
      <c r="D579" s="110"/>
      <c r="E579" s="110"/>
      <c r="F579" s="110"/>
      <c r="G579" s="110"/>
      <c r="H579" s="110"/>
      <c r="I579" s="110"/>
      <c r="J579" s="110"/>
      <c r="K579" s="110"/>
      <c r="L579" s="110"/>
      <c r="M579" s="110"/>
      <c r="N579" s="110"/>
      <c r="O579" s="110"/>
      <c r="P579" s="110"/>
      <c r="Q579" s="39"/>
      <c r="R579" s="39"/>
      <c r="S579" s="39"/>
      <c r="T579" s="39"/>
    </row>
    <row r="580" spans="1:20" x14ac:dyDescent="0.25">
      <c r="A580" s="110"/>
      <c r="B580" s="110"/>
      <c r="C580" s="110"/>
      <c r="D580" s="110"/>
      <c r="E580" s="110"/>
      <c r="F580" s="110"/>
      <c r="G580" s="110"/>
      <c r="H580" s="110"/>
      <c r="I580" s="110"/>
      <c r="J580" s="110"/>
      <c r="K580" s="110"/>
      <c r="L580" s="110"/>
      <c r="M580" s="110"/>
      <c r="N580" s="110"/>
      <c r="O580" s="110"/>
      <c r="P580" s="110"/>
      <c r="Q580" s="39"/>
      <c r="R580" s="39"/>
      <c r="S580" s="39"/>
      <c r="T580" s="39"/>
    </row>
    <row r="581" spans="1:20" x14ac:dyDescent="0.25">
      <c r="A581" s="110"/>
      <c r="B581" s="110"/>
      <c r="C581" s="110"/>
      <c r="D581" s="110"/>
      <c r="E581" s="110"/>
      <c r="F581" s="110"/>
      <c r="G581" s="110"/>
      <c r="H581" s="110"/>
      <c r="I581" s="110"/>
      <c r="J581" s="110"/>
      <c r="K581" s="110"/>
      <c r="L581" s="110"/>
      <c r="M581" s="110"/>
      <c r="N581" s="110"/>
      <c r="O581" s="110"/>
      <c r="P581" s="110"/>
      <c r="Q581" s="39"/>
      <c r="R581" s="39"/>
      <c r="S581" s="39"/>
      <c r="T581" s="39"/>
    </row>
    <row r="582" spans="1:20" x14ac:dyDescent="0.25">
      <c r="A582" s="110"/>
      <c r="B582" s="110"/>
      <c r="C582" s="110"/>
      <c r="D582" s="110"/>
      <c r="E582" s="110"/>
      <c r="F582" s="110"/>
      <c r="G582" s="110"/>
      <c r="H582" s="110"/>
      <c r="I582" s="110"/>
      <c r="J582" s="110"/>
      <c r="K582" s="110"/>
      <c r="L582" s="110"/>
      <c r="M582" s="110"/>
      <c r="N582" s="110"/>
      <c r="O582" s="110"/>
      <c r="P582" s="110"/>
      <c r="Q582" s="39"/>
      <c r="R582" s="39"/>
      <c r="S582" s="39"/>
      <c r="T582" s="39"/>
    </row>
    <row r="583" spans="1:20" x14ac:dyDescent="0.25">
      <c r="A583" s="110"/>
      <c r="B583" s="110"/>
      <c r="C583" s="110"/>
      <c r="D583" s="110"/>
      <c r="E583" s="110"/>
      <c r="F583" s="110"/>
      <c r="G583" s="110"/>
      <c r="H583" s="110"/>
      <c r="I583" s="110"/>
      <c r="J583" s="110"/>
      <c r="K583" s="110"/>
      <c r="L583" s="110"/>
      <c r="M583" s="110"/>
      <c r="N583" s="110"/>
      <c r="O583" s="110"/>
      <c r="P583" s="110"/>
      <c r="Q583" s="39"/>
      <c r="R583" s="39"/>
      <c r="S583" s="39"/>
      <c r="T583" s="39"/>
    </row>
    <row r="584" spans="1:20" x14ac:dyDescent="0.25">
      <c r="A584" s="110"/>
      <c r="B584" s="110"/>
      <c r="C584" s="110"/>
      <c r="D584" s="110"/>
      <c r="E584" s="110"/>
      <c r="F584" s="110"/>
      <c r="G584" s="110"/>
      <c r="H584" s="110"/>
      <c r="I584" s="110"/>
      <c r="J584" s="110"/>
      <c r="K584" s="110"/>
      <c r="L584" s="110"/>
      <c r="M584" s="110"/>
      <c r="N584" s="110"/>
      <c r="O584" s="110"/>
      <c r="P584" s="110"/>
      <c r="Q584" s="39"/>
      <c r="R584" s="39"/>
      <c r="S584" s="39"/>
      <c r="T584" s="39"/>
    </row>
    <row r="585" spans="1:20" x14ac:dyDescent="0.25">
      <c r="A585" s="110"/>
      <c r="B585" s="110"/>
      <c r="C585" s="110"/>
      <c r="D585" s="110"/>
      <c r="E585" s="110"/>
      <c r="F585" s="110"/>
      <c r="G585" s="110"/>
      <c r="H585" s="110"/>
      <c r="I585" s="110"/>
      <c r="J585" s="110"/>
      <c r="K585" s="110"/>
      <c r="L585" s="110"/>
      <c r="M585" s="110"/>
      <c r="N585" s="110"/>
      <c r="O585" s="110"/>
      <c r="P585" s="110"/>
      <c r="Q585" s="39"/>
      <c r="R585" s="39"/>
      <c r="S585" s="39"/>
      <c r="T585" s="39"/>
    </row>
    <row r="586" spans="1:20" x14ac:dyDescent="0.25">
      <c r="A586" s="110"/>
      <c r="B586" s="110"/>
      <c r="C586" s="110"/>
      <c r="D586" s="110"/>
      <c r="E586" s="110"/>
      <c r="F586" s="110"/>
      <c r="G586" s="110"/>
      <c r="H586" s="110"/>
      <c r="I586" s="110"/>
      <c r="J586" s="110"/>
      <c r="K586" s="110"/>
      <c r="L586" s="110"/>
      <c r="M586" s="110"/>
      <c r="N586" s="110"/>
      <c r="O586" s="110"/>
      <c r="P586" s="110"/>
      <c r="Q586" s="39"/>
      <c r="R586" s="39"/>
      <c r="S586" s="39"/>
      <c r="T586" s="39"/>
    </row>
    <row r="587" spans="1:20" x14ac:dyDescent="0.25">
      <c r="A587" s="110"/>
      <c r="B587" s="110"/>
      <c r="C587" s="110"/>
      <c r="D587" s="110"/>
      <c r="E587" s="110"/>
      <c r="F587" s="110"/>
      <c r="G587" s="110"/>
      <c r="H587" s="110"/>
      <c r="I587" s="110"/>
      <c r="J587" s="110"/>
      <c r="K587" s="110"/>
      <c r="L587" s="110"/>
      <c r="M587" s="110"/>
      <c r="N587" s="110"/>
      <c r="O587" s="110"/>
      <c r="P587" s="110"/>
      <c r="Q587" s="39"/>
      <c r="R587" s="39"/>
      <c r="S587" s="39"/>
      <c r="T587" s="39"/>
    </row>
    <row r="588" spans="1:20" x14ac:dyDescent="0.25">
      <c r="A588" s="110"/>
      <c r="B588" s="110"/>
      <c r="C588" s="110"/>
      <c r="D588" s="110"/>
      <c r="E588" s="110"/>
      <c r="F588" s="110"/>
      <c r="G588" s="110"/>
      <c r="H588" s="110"/>
      <c r="I588" s="110"/>
      <c r="J588" s="110"/>
      <c r="K588" s="110"/>
      <c r="L588" s="110"/>
      <c r="M588" s="110"/>
      <c r="N588" s="110"/>
      <c r="O588" s="110"/>
      <c r="P588" s="110"/>
      <c r="Q588" s="39"/>
      <c r="R588" s="39"/>
      <c r="S588" s="39"/>
      <c r="T588" s="39"/>
    </row>
    <row r="589" spans="1:20" x14ac:dyDescent="0.25">
      <c r="A589" s="110"/>
      <c r="B589" s="110"/>
      <c r="C589" s="110"/>
      <c r="D589" s="110"/>
      <c r="E589" s="110"/>
      <c r="F589" s="110"/>
      <c r="G589" s="110"/>
      <c r="H589" s="110"/>
      <c r="I589" s="110"/>
      <c r="J589" s="110"/>
      <c r="K589" s="110"/>
      <c r="L589" s="110"/>
      <c r="M589" s="110"/>
      <c r="N589" s="110"/>
      <c r="O589" s="110"/>
      <c r="P589" s="110"/>
      <c r="Q589" s="39"/>
      <c r="R589" s="39"/>
      <c r="S589" s="39"/>
      <c r="T589" s="39"/>
    </row>
    <row r="590" spans="1:20" x14ac:dyDescent="0.25">
      <c r="A590" s="110"/>
      <c r="B590" s="110"/>
      <c r="C590" s="110"/>
      <c r="D590" s="110"/>
      <c r="E590" s="110"/>
      <c r="F590" s="110"/>
      <c r="G590" s="110"/>
      <c r="H590" s="110"/>
      <c r="I590" s="110"/>
      <c r="J590" s="110"/>
      <c r="K590" s="110"/>
      <c r="L590" s="110"/>
      <c r="M590" s="110"/>
      <c r="N590" s="110"/>
      <c r="O590" s="110"/>
      <c r="P590" s="110"/>
      <c r="Q590" s="39"/>
      <c r="R590" s="39"/>
      <c r="S590" s="39"/>
      <c r="T590" s="39"/>
    </row>
    <row r="591" spans="1:20" x14ac:dyDescent="0.25">
      <c r="A591" s="110"/>
      <c r="B591" s="110"/>
      <c r="C591" s="110"/>
      <c r="D591" s="110"/>
      <c r="E591" s="110"/>
      <c r="F591" s="110"/>
      <c r="G591" s="110"/>
      <c r="H591" s="110"/>
      <c r="I591" s="110"/>
      <c r="J591" s="110"/>
      <c r="K591" s="110"/>
      <c r="L591" s="110"/>
      <c r="M591" s="110"/>
      <c r="N591" s="110"/>
      <c r="O591" s="110"/>
      <c r="P591" s="110"/>
      <c r="Q591" s="39"/>
      <c r="R591" s="39"/>
      <c r="S591" s="39"/>
      <c r="T591" s="39"/>
    </row>
    <row r="592" spans="1:20" x14ac:dyDescent="0.25">
      <c r="A592" s="110"/>
      <c r="B592" s="110"/>
      <c r="C592" s="110"/>
      <c r="D592" s="110"/>
      <c r="E592" s="110"/>
      <c r="F592" s="110"/>
      <c r="G592" s="110"/>
      <c r="H592" s="110"/>
      <c r="I592" s="110"/>
      <c r="J592" s="110"/>
      <c r="K592" s="110"/>
      <c r="L592" s="110"/>
      <c r="M592" s="110"/>
      <c r="N592" s="110"/>
      <c r="O592" s="110"/>
      <c r="P592" s="110"/>
      <c r="Q592" s="39"/>
      <c r="R592" s="39"/>
      <c r="S592" s="39"/>
      <c r="T592" s="39"/>
    </row>
    <row r="593" spans="1:20" x14ac:dyDescent="0.25">
      <c r="A593" s="110"/>
      <c r="B593" s="110"/>
      <c r="C593" s="110"/>
      <c r="D593" s="110"/>
      <c r="E593" s="110"/>
      <c r="F593" s="110"/>
      <c r="G593" s="110"/>
      <c r="H593" s="110"/>
      <c r="I593" s="110"/>
      <c r="J593" s="110"/>
      <c r="K593" s="110"/>
      <c r="L593" s="110"/>
      <c r="M593" s="110"/>
      <c r="N593" s="110"/>
      <c r="O593" s="110"/>
      <c r="P593" s="110"/>
      <c r="Q593" s="39"/>
      <c r="R593" s="39"/>
      <c r="S593" s="39"/>
      <c r="T593" s="39"/>
    </row>
    <row r="594" spans="1:20" x14ac:dyDescent="0.25">
      <c r="A594" s="110"/>
      <c r="B594" s="110"/>
      <c r="C594" s="110"/>
      <c r="D594" s="110"/>
      <c r="E594" s="110"/>
      <c r="F594" s="110"/>
      <c r="G594" s="110"/>
      <c r="H594" s="110"/>
      <c r="I594" s="110"/>
      <c r="J594" s="110"/>
      <c r="K594" s="110"/>
      <c r="L594" s="110"/>
      <c r="M594" s="110"/>
      <c r="N594" s="110"/>
      <c r="O594" s="110"/>
      <c r="P594" s="110"/>
      <c r="Q594" s="39"/>
      <c r="R594" s="39"/>
      <c r="S594" s="39"/>
      <c r="T594" s="39"/>
    </row>
    <row r="595" spans="1:20" x14ac:dyDescent="0.25">
      <c r="A595" s="110"/>
      <c r="B595" s="110"/>
      <c r="C595" s="110"/>
      <c r="D595" s="110"/>
      <c r="E595" s="110"/>
      <c r="F595" s="110"/>
      <c r="G595" s="110"/>
      <c r="H595" s="110"/>
      <c r="I595" s="110"/>
      <c r="J595" s="110"/>
      <c r="K595" s="110"/>
      <c r="L595" s="110"/>
      <c r="M595" s="110"/>
      <c r="N595" s="110"/>
      <c r="O595" s="110"/>
      <c r="P595" s="110"/>
      <c r="Q595" s="39"/>
      <c r="R595" s="39"/>
      <c r="S595" s="39"/>
      <c r="T595" s="39"/>
    </row>
    <row r="596" spans="1:20" x14ac:dyDescent="0.25">
      <c r="A596" s="110"/>
      <c r="B596" s="110"/>
      <c r="C596" s="110"/>
      <c r="D596" s="110"/>
      <c r="E596" s="110"/>
      <c r="F596" s="110"/>
      <c r="G596" s="110"/>
      <c r="H596" s="110"/>
      <c r="I596" s="110"/>
      <c r="J596" s="110"/>
      <c r="K596" s="110"/>
      <c r="L596" s="110"/>
      <c r="M596" s="110"/>
      <c r="N596" s="110"/>
      <c r="O596" s="110"/>
      <c r="P596" s="110"/>
      <c r="Q596" s="39"/>
      <c r="R596" s="39"/>
      <c r="S596" s="39"/>
      <c r="T596" s="39"/>
    </row>
    <row r="597" spans="1:20" x14ac:dyDescent="0.25">
      <c r="A597" s="110"/>
      <c r="B597" s="110"/>
      <c r="C597" s="110"/>
      <c r="D597" s="110"/>
      <c r="E597" s="110"/>
      <c r="F597" s="110"/>
      <c r="G597" s="110"/>
      <c r="H597" s="110"/>
      <c r="I597" s="110"/>
      <c r="J597" s="110"/>
      <c r="K597" s="110"/>
      <c r="L597" s="110"/>
      <c r="M597" s="110"/>
      <c r="N597" s="110"/>
      <c r="O597" s="110"/>
      <c r="P597" s="110"/>
      <c r="Q597" s="39"/>
      <c r="R597" s="39"/>
      <c r="S597" s="39"/>
      <c r="T597" s="39"/>
    </row>
    <row r="598" spans="1:20" x14ac:dyDescent="0.25">
      <c r="A598" s="110"/>
      <c r="B598" s="110"/>
      <c r="C598" s="110"/>
      <c r="D598" s="110"/>
      <c r="E598" s="110"/>
      <c r="F598" s="110"/>
      <c r="G598" s="110"/>
      <c r="H598" s="110"/>
      <c r="I598" s="110"/>
      <c r="J598" s="110"/>
      <c r="K598" s="110"/>
      <c r="L598" s="110"/>
      <c r="M598" s="110"/>
      <c r="N598" s="110"/>
      <c r="O598" s="110"/>
      <c r="P598" s="110"/>
      <c r="Q598" s="39"/>
      <c r="R598" s="39"/>
      <c r="S598" s="39"/>
      <c r="T598" s="39"/>
    </row>
    <row r="599" spans="1:20" x14ac:dyDescent="0.25">
      <c r="A599" s="110"/>
      <c r="B599" s="110"/>
      <c r="C599" s="110"/>
      <c r="D599" s="110"/>
      <c r="E599" s="110"/>
      <c r="F599" s="110"/>
      <c r="G599" s="110"/>
      <c r="H599" s="110"/>
      <c r="I599" s="110"/>
      <c r="J599" s="110"/>
      <c r="K599" s="110"/>
      <c r="L599" s="110"/>
      <c r="M599" s="110"/>
      <c r="N599" s="110"/>
      <c r="O599" s="110"/>
      <c r="P599" s="110"/>
      <c r="Q599" s="39"/>
      <c r="R599" s="39"/>
      <c r="S599" s="39"/>
      <c r="T599" s="39"/>
    </row>
    <row r="600" spans="1:20" x14ac:dyDescent="0.25">
      <c r="A600" s="110"/>
      <c r="B600" s="110"/>
      <c r="C600" s="110"/>
      <c r="D600" s="110"/>
      <c r="E600" s="110"/>
      <c r="F600" s="110"/>
      <c r="G600" s="110"/>
      <c r="H600" s="110"/>
      <c r="I600" s="110"/>
      <c r="J600" s="110"/>
      <c r="K600" s="110"/>
      <c r="L600" s="110"/>
      <c r="M600" s="110"/>
      <c r="N600" s="110"/>
      <c r="O600" s="110"/>
      <c r="P600" s="110"/>
      <c r="Q600" s="39"/>
      <c r="R600" s="39"/>
      <c r="S600" s="39"/>
      <c r="T600" s="39"/>
    </row>
    <row r="601" spans="1:20" x14ac:dyDescent="0.25">
      <c r="A601" s="110"/>
      <c r="B601" s="110"/>
      <c r="C601" s="110"/>
      <c r="D601" s="110"/>
      <c r="E601" s="110"/>
      <c r="F601" s="110"/>
      <c r="G601" s="110"/>
      <c r="H601" s="110"/>
      <c r="I601" s="110"/>
      <c r="J601" s="110"/>
      <c r="K601" s="110"/>
      <c r="L601" s="110"/>
      <c r="M601" s="110"/>
      <c r="N601" s="110"/>
      <c r="O601" s="110"/>
      <c r="P601" s="110"/>
      <c r="Q601" s="39"/>
      <c r="R601" s="39"/>
      <c r="S601" s="39"/>
      <c r="T601" s="39"/>
    </row>
    <row r="602" spans="1:20" x14ac:dyDescent="0.25">
      <c r="A602" s="110"/>
      <c r="B602" s="110"/>
      <c r="C602" s="110"/>
      <c r="D602" s="110"/>
      <c r="E602" s="110"/>
      <c r="F602" s="110"/>
      <c r="G602" s="110"/>
      <c r="H602" s="110"/>
      <c r="I602" s="110"/>
      <c r="J602" s="110"/>
      <c r="K602" s="110"/>
      <c r="L602" s="110"/>
      <c r="M602" s="110"/>
      <c r="N602" s="110"/>
      <c r="O602" s="110"/>
      <c r="P602" s="110"/>
      <c r="Q602" s="39"/>
      <c r="R602" s="39"/>
      <c r="S602" s="39"/>
      <c r="T602" s="39"/>
    </row>
    <row r="603" spans="1:20" x14ac:dyDescent="0.25">
      <c r="A603" s="110"/>
      <c r="B603" s="110"/>
      <c r="C603" s="110"/>
      <c r="D603" s="110"/>
      <c r="E603" s="110"/>
      <c r="F603" s="110"/>
      <c r="G603" s="110"/>
      <c r="H603" s="110"/>
      <c r="I603" s="110"/>
      <c r="J603" s="110"/>
      <c r="K603" s="110"/>
      <c r="L603" s="110"/>
      <c r="M603" s="110"/>
      <c r="N603" s="110"/>
      <c r="O603" s="110"/>
      <c r="P603" s="110"/>
      <c r="Q603" s="39"/>
      <c r="R603" s="39"/>
      <c r="S603" s="39"/>
      <c r="T603" s="39"/>
    </row>
    <row r="604" spans="1:20" x14ac:dyDescent="0.25">
      <c r="A604" s="110"/>
      <c r="B604" s="110"/>
      <c r="C604" s="110"/>
      <c r="D604" s="110"/>
      <c r="E604" s="110"/>
      <c r="F604" s="110"/>
      <c r="G604" s="110"/>
      <c r="H604" s="110"/>
      <c r="I604" s="110"/>
      <c r="J604" s="110"/>
      <c r="K604" s="110"/>
      <c r="L604" s="110"/>
      <c r="M604" s="110"/>
      <c r="N604" s="110"/>
      <c r="O604" s="110"/>
      <c r="P604" s="110"/>
      <c r="Q604" s="39"/>
      <c r="R604" s="39"/>
      <c r="S604" s="39"/>
      <c r="T604" s="39"/>
    </row>
    <row r="605" spans="1:20" x14ac:dyDescent="0.25">
      <c r="A605" s="110"/>
      <c r="B605" s="110"/>
      <c r="C605" s="110"/>
      <c r="D605" s="110"/>
      <c r="E605" s="110"/>
      <c r="F605" s="110"/>
      <c r="G605" s="110"/>
      <c r="H605" s="110"/>
      <c r="I605" s="110"/>
      <c r="J605" s="110"/>
      <c r="K605" s="110"/>
      <c r="L605" s="110"/>
      <c r="M605" s="110"/>
      <c r="N605" s="110"/>
      <c r="O605" s="110"/>
      <c r="P605" s="110"/>
      <c r="Q605" s="39"/>
      <c r="R605" s="39"/>
      <c r="S605" s="39"/>
      <c r="T605" s="39"/>
    </row>
    <row r="606" spans="1:20" x14ac:dyDescent="0.25">
      <c r="A606" s="110"/>
      <c r="B606" s="110"/>
      <c r="C606" s="110"/>
      <c r="D606" s="110"/>
      <c r="E606" s="110"/>
      <c r="F606" s="110"/>
      <c r="G606" s="110"/>
      <c r="H606" s="110"/>
      <c r="I606" s="110"/>
      <c r="J606" s="110"/>
      <c r="K606" s="110"/>
      <c r="L606" s="110"/>
      <c r="M606" s="110"/>
      <c r="N606" s="110"/>
      <c r="O606" s="110"/>
      <c r="P606" s="110"/>
      <c r="Q606" s="39"/>
      <c r="R606" s="39"/>
      <c r="S606" s="39"/>
      <c r="T606" s="39"/>
    </row>
    <row r="607" spans="1:20" x14ac:dyDescent="0.25">
      <c r="A607" s="110"/>
      <c r="B607" s="110"/>
      <c r="C607" s="110"/>
      <c r="D607" s="110"/>
      <c r="E607" s="110"/>
      <c r="F607" s="110"/>
      <c r="G607" s="110"/>
      <c r="H607" s="110"/>
      <c r="I607" s="110"/>
      <c r="J607" s="110"/>
      <c r="K607" s="110"/>
      <c r="L607" s="110"/>
      <c r="M607" s="110"/>
      <c r="N607" s="110"/>
      <c r="O607" s="110"/>
      <c r="P607" s="110"/>
      <c r="Q607" s="39"/>
      <c r="R607" s="39"/>
      <c r="S607" s="39"/>
      <c r="T607" s="39"/>
    </row>
    <row r="608" spans="1:20" x14ac:dyDescent="0.25">
      <c r="A608" s="110"/>
      <c r="B608" s="110"/>
      <c r="C608" s="110"/>
      <c r="D608" s="110"/>
      <c r="E608" s="110"/>
      <c r="F608" s="110"/>
      <c r="G608" s="110"/>
      <c r="H608" s="110"/>
      <c r="I608" s="110"/>
      <c r="J608" s="110"/>
      <c r="K608" s="110"/>
      <c r="L608" s="110"/>
      <c r="M608" s="110"/>
      <c r="N608" s="110"/>
      <c r="O608" s="110"/>
      <c r="P608" s="110"/>
      <c r="Q608" s="39"/>
      <c r="R608" s="39"/>
      <c r="S608" s="39"/>
      <c r="T608" s="39"/>
    </row>
    <row r="609" spans="1:20" x14ac:dyDescent="0.25">
      <c r="A609" s="110"/>
      <c r="B609" s="110"/>
      <c r="C609" s="110"/>
      <c r="D609" s="110"/>
      <c r="E609" s="110"/>
      <c r="F609" s="110"/>
      <c r="G609" s="110"/>
      <c r="H609" s="110"/>
      <c r="I609" s="110"/>
      <c r="J609" s="110"/>
      <c r="K609" s="110"/>
      <c r="L609" s="110"/>
      <c r="M609" s="110"/>
      <c r="N609" s="110"/>
      <c r="O609" s="110"/>
      <c r="P609" s="110"/>
      <c r="Q609" s="39"/>
      <c r="R609" s="39"/>
      <c r="S609" s="39"/>
      <c r="T609" s="39"/>
    </row>
    <row r="610" spans="1:20" x14ac:dyDescent="0.25">
      <c r="A610" s="110"/>
      <c r="B610" s="110"/>
      <c r="C610" s="110"/>
      <c r="D610" s="110"/>
      <c r="E610" s="110"/>
      <c r="F610" s="110"/>
      <c r="G610" s="110"/>
      <c r="H610" s="110"/>
      <c r="I610" s="110"/>
      <c r="J610" s="110"/>
      <c r="K610" s="110"/>
      <c r="L610" s="110"/>
      <c r="M610" s="110"/>
      <c r="N610" s="110"/>
      <c r="O610" s="110"/>
      <c r="P610" s="110"/>
      <c r="Q610" s="39"/>
      <c r="R610" s="39"/>
      <c r="S610" s="39"/>
      <c r="T610" s="39"/>
    </row>
    <row r="611" spans="1:20" x14ac:dyDescent="0.25">
      <c r="A611" s="110"/>
      <c r="B611" s="110"/>
      <c r="C611" s="110"/>
      <c r="D611" s="110"/>
      <c r="E611" s="110"/>
      <c r="F611" s="110"/>
      <c r="G611" s="110"/>
      <c r="H611" s="110"/>
      <c r="I611" s="110"/>
      <c r="J611" s="110"/>
      <c r="K611" s="110"/>
      <c r="L611" s="110"/>
      <c r="M611" s="110"/>
      <c r="N611" s="110"/>
      <c r="O611" s="110"/>
      <c r="P611" s="110"/>
      <c r="Q611" s="39"/>
      <c r="R611" s="39"/>
      <c r="S611" s="39"/>
      <c r="T611" s="39"/>
    </row>
    <row r="612" spans="1:20" x14ac:dyDescent="0.25">
      <c r="A612" s="110"/>
      <c r="B612" s="110"/>
      <c r="C612" s="110"/>
      <c r="D612" s="110"/>
      <c r="E612" s="110"/>
      <c r="F612" s="110"/>
      <c r="G612" s="110"/>
      <c r="H612" s="110"/>
      <c r="I612" s="110"/>
      <c r="J612" s="110"/>
      <c r="K612" s="110"/>
      <c r="L612" s="110"/>
      <c r="M612" s="110"/>
      <c r="N612" s="110"/>
      <c r="O612" s="110"/>
      <c r="P612" s="110"/>
      <c r="Q612" s="39"/>
      <c r="R612" s="39"/>
      <c r="S612" s="39"/>
      <c r="T612" s="39"/>
    </row>
    <row r="613" spans="1:20" x14ac:dyDescent="0.25">
      <c r="A613" s="110"/>
      <c r="B613" s="110"/>
      <c r="C613" s="110"/>
      <c r="D613" s="110"/>
      <c r="E613" s="110"/>
      <c r="F613" s="110"/>
      <c r="G613" s="110"/>
      <c r="H613" s="110"/>
      <c r="I613" s="110"/>
      <c r="J613" s="110"/>
      <c r="K613" s="110"/>
      <c r="L613" s="110"/>
      <c r="M613" s="110"/>
      <c r="N613" s="110"/>
      <c r="O613" s="110"/>
      <c r="P613" s="110"/>
      <c r="Q613" s="39"/>
      <c r="R613" s="39"/>
      <c r="S613" s="39"/>
      <c r="T613" s="39"/>
    </row>
    <row r="614" spans="1:20" x14ac:dyDescent="0.25">
      <c r="A614" s="110"/>
      <c r="B614" s="110"/>
      <c r="C614" s="110"/>
      <c r="D614" s="110"/>
      <c r="E614" s="110"/>
      <c r="F614" s="110"/>
      <c r="G614" s="110"/>
      <c r="H614" s="110"/>
      <c r="I614" s="110"/>
      <c r="J614" s="110"/>
      <c r="K614" s="110"/>
      <c r="L614" s="110"/>
      <c r="M614" s="110"/>
      <c r="N614" s="110"/>
      <c r="O614" s="110"/>
      <c r="P614" s="110"/>
      <c r="Q614" s="39"/>
      <c r="R614" s="39"/>
      <c r="S614" s="39"/>
      <c r="T614" s="39"/>
    </row>
    <row r="615" spans="1:20" x14ac:dyDescent="0.25">
      <c r="A615" s="110"/>
      <c r="B615" s="110"/>
      <c r="C615" s="110"/>
      <c r="D615" s="110"/>
      <c r="E615" s="110"/>
      <c r="F615" s="110"/>
      <c r="G615" s="110"/>
      <c r="H615" s="110"/>
      <c r="I615" s="110"/>
      <c r="J615" s="110"/>
      <c r="K615" s="110"/>
      <c r="L615" s="110"/>
      <c r="M615" s="110"/>
      <c r="N615" s="110"/>
      <c r="O615" s="110"/>
      <c r="P615" s="110"/>
      <c r="Q615" s="39"/>
      <c r="R615" s="39"/>
      <c r="S615" s="39"/>
      <c r="T615" s="39"/>
    </row>
    <row r="616" spans="1:20" x14ac:dyDescent="0.25">
      <c r="A616" s="110"/>
      <c r="B616" s="110"/>
      <c r="C616" s="110"/>
      <c r="D616" s="110"/>
      <c r="E616" s="110"/>
      <c r="F616" s="110"/>
      <c r="G616" s="110"/>
      <c r="H616" s="110"/>
      <c r="I616" s="110"/>
      <c r="J616" s="110"/>
      <c r="K616" s="110"/>
      <c r="L616" s="110"/>
      <c r="M616" s="110"/>
      <c r="N616" s="110"/>
      <c r="O616" s="110"/>
      <c r="P616" s="110"/>
      <c r="Q616" s="39"/>
      <c r="R616" s="39"/>
      <c r="S616" s="39"/>
      <c r="T616" s="39"/>
    </row>
    <row r="617" spans="1:20" x14ac:dyDescent="0.25">
      <c r="A617" s="110"/>
      <c r="B617" s="110"/>
      <c r="C617" s="110"/>
      <c r="D617" s="110"/>
      <c r="E617" s="110"/>
      <c r="F617" s="110"/>
      <c r="G617" s="110"/>
      <c r="H617" s="110"/>
      <c r="I617" s="110"/>
      <c r="J617" s="110"/>
      <c r="K617" s="110"/>
      <c r="L617" s="110"/>
      <c r="M617" s="110"/>
      <c r="N617" s="110"/>
      <c r="O617" s="110"/>
      <c r="P617" s="110"/>
      <c r="Q617" s="39"/>
      <c r="R617" s="39"/>
      <c r="S617" s="39"/>
      <c r="T617" s="39"/>
    </row>
    <row r="618" spans="1:20" x14ac:dyDescent="0.25">
      <c r="A618" s="110"/>
      <c r="B618" s="110"/>
      <c r="C618" s="110"/>
      <c r="D618" s="110"/>
      <c r="E618" s="110"/>
      <c r="F618" s="110"/>
      <c r="G618" s="110"/>
      <c r="H618" s="110"/>
      <c r="I618" s="110"/>
      <c r="J618" s="110"/>
      <c r="K618" s="110"/>
      <c r="L618" s="110"/>
      <c r="M618" s="110"/>
      <c r="N618" s="110"/>
      <c r="O618" s="110"/>
      <c r="P618" s="110"/>
      <c r="Q618" s="39"/>
      <c r="R618" s="39"/>
      <c r="S618" s="39"/>
      <c r="T618" s="39"/>
    </row>
    <row r="619" spans="1:20" x14ac:dyDescent="0.25">
      <c r="A619" s="110"/>
      <c r="B619" s="110"/>
      <c r="C619" s="110"/>
      <c r="D619" s="110"/>
      <c r="E619" s="110"/>
      <c r="F619" s="110"/>
      <c r="G619" s="110"/>
      <c r="H619" s="110"/>
      <c r="I619" s="110"/>
      <c r="J619" s="110"/>
      <c r="K619" s="110"/>
      <c r="L619" s="110"/>
      <c r="M619" s="110"/>
      <c r="N619" s="110"/>
      <c r="O619" s="110"/>
      <c r="P619" s="110"/>
      <c r="Q619" s="39"/>
      <c r="R619" s="39"/>
      <c r="S619" s="39"/>
      <c r="T619" s="39"/>
    </row>
    <row r="620" spans="1:20" x14ac:dyDescent="0.25">
      <c r="A620" s="110"/>
      <c r="B620" s="110"/>
      <c r="C620" s="110"/>
      <c r="D620" s="110"/>
      <c r="E620" s="110"/>
      <c r="F620" s="110"/>
      <c r="G620" s="110"/>
      <c r="H620" s="110"/>
      <c r="I620" s="110"/>
      <c r="J620" s="110"/>
      <c r="K620" s="110"/>
      <c r="L620" s="110"/>
      <c r="M620" s="110"/>
      <c r="N620" s="110"/>
      <c r="O620" s="110"/>
      <c r="P620" s="110"/>
      <c r="Q620" s="39"/>
      <c r="R620" s="39"/>
      <c r="S620" s="39"/>
      <c r="T620" s="39"/>
    </row>
    <row r="621" spans="1:20" x14ac:dyDescent="0.25">
      <c r="A621" s="110"/>
      <c r="B621" s="110"/>
      <c r="C621" s="110"/>
      <c r="D621" s="110"/>
      <c r="E621" s="110"/>
      <c r="F621" s="110"/>
      <c r="G621" s="110"/>
      <c r="H621" s="110"/>
      <c r="I621" s="110"/>
      <c r="J621" s="110"/>
      <c r="K621" s="110"/>
      <c r="L621" s="110"/>
      <c r="M621" s="110"/>
      <c r="N621" s="110"/>
      <c r="O621" s="110"/>
      <c r="P621" s="110"/>
      <c r="Q621" s="39"/>
      <c r="R621" s="39"/>
      <c r="S621" s="39"/>
      <c r="T621" s="39"/>
    </row>
    <row r="622" spans="1:20" x14ac:dyDescent="0.25">
      <c r="A622" s="110"/>
      <c r="B622" s="110"/>
      <c r="C622" s="110"/>
      <c r="D622" s="110"/>
      <c r="E622" s="110"/>
      <c r="F622" s="110"/>
      <c r="G622" s="110"/>
      <c r="H622" s="110"/>
      <c r="I622" s="110"/>
      <c r="J622" s="110"/>
      <c r="K622" s="110"/>
      <c r="L622" s="110"/>
      <c r="M622" s="110"/>
      <c r="N622" s="110"/>
      <c r="O622" s="110"/>
      <c r="P622" s="110"/>
      <c r="Q622" s="39"/>
      <c r="R622" s="39"/>
      <c r="S622" s="39"/>
      <c r="T622" s="39"/>
    </row>
    <row r="623" spans="1:20" x14ac:dyDescent="0.25">
      <c r="A623" s="110"/>
      <c r="B623" s="110"/>
      <c r="C623" s="110"/>
      <c r="D623" s="110"/>
      <c r="E623" s="110"/>
      <c r="F623" s="110"/>
      <c r="G623" s="110"/>
      <c r="H623" s="110"/>
      <c r="I623" s="110"/>
      <c r="J623" s="110"/>
      <c r="K623" s="110"/>
      <c r="L623" s="110"/>
      <c r="M623" s="110"/>
      <c r="N623" s="110"/>
      <c r="O623" s="110"/>
      <c r="P623" s="110"/>
      <c r="Q623" s="39"/>
      <c r="R623" s="39"/>
      <c r="S623" s="39"/>
      <c r="T623" s="39"/>
    </row>
    <row r="624" spans="1:20" x14ac:dyDescent="0.25">
      <c r="A624" s="110"/>
      <c r="B624" s="110"/>
      <c r="C624" s="110"/>
      <c r="D624" s="110"/>
      <c r="E624" s="110"/>
      <c r="F624" s="110"/>
      <c r="G624" s="110"/>
      <c r="H624" s="110"/>
      <c r="I624" s="110"/>
      <c r="J624" s="110"/>
      <c r="K624" s="110"/>
      <c r="L624" s="110"/>
      <c r="M624" s="110"/>
      <c r="N624" s="110"/>
      <c r="O624" s="110"/>
      <c r="P624" s="110"/>
      <c r="Q624" s="39"/>
      <c r="R624" s="39"/>
      <c r="S624" s="39"/>
      <c r="T624" s="39"/>
    </row>
    <row r="625" spans="1:20" x14ac:dyDescent="0.25">
      <c r="A625" s="110"/>
      <c r="B625" s="110"/>
      <c r="C625" s="110"/>
      <c r="D625" s="110"/>
      <c r="E625" s="110"/>
      <c r="F625" s="110"/>
      <c r="G625" s="110"/>
      <c r="H625" s="110"/>
      <c r="I625" s="110"/>
      <c r="J625" s="110"/>
      <c r="K625" s="110"/>
      <c r="L625" s="110"/>
      <c r="M625" s="110"/>
      <c r="N625" s="110"/>
      <c r="O625" s="110"/>
      <c r="P625" s="110"/>
      <c r="Q625" s="39"/>
      <c r="R625" s="39"/>
      <c r="S625" s="39"/>
      <c r="T625" s="39"/>
    </row>
    <row r="626" spans="1:20" x14ac:dyDescent="0.25">
      <c r="A626" s="110"/>
      <c r="B626" s="110"/>
      <c r="C626" s="110"/>
      <c r="D626" s="110"/>
      <c r="E626" s="110"/>
      <c r="F626" s="110"/>
      <c r="G626" s="110"/>
      <c r="H626" s="110"/>
      <c r="I626" s="110"/>
      <c r="J626" s="110"/>
      <c r="K626" s="110"/>
      <c r="L626" s="110"/>
      <c r="M626" s="110"/>
      <c r="N626" s="110"/>
      <c r="O626" s="110"/>
      <c r="P626" s="110"/>
      <c r="Q626" s="39"/>
      <c r="R626" s="39"/>
      <c r="S626" s="39"/>
      <c r="T626" s="39"/>
    </row>
    <row r="627" spans="1:20" x14ac:dyDescent="0.25">
      <c r="A627" s="110"/>
      <c r="B627" s="110"/>
      <c r="C627" s="110"/>
      <c r="D627" s="110"/>
      <c r="E627" s="110"/>
      <c r="F627" s="110"/>
      <c r="G627" s="110"/>
      <c r="H627" s="110"/>
      <c r="I627" s="110"/>
      <c r="J627" s="110"/>
      <c r="K627" s="110"/>
      <c r="L627" s="110"/>
      <c r="M627" s="110"/>
      <c r="N627" s="110"/>
      <c r="O627" s="110"/>
      <c r="P627" s="110"/>
      <c r="Q627" s="39"/>
      <c r="R627" s="39"/>
      <c r="S627" s="39"/>
      <c r="T627" s="39"/>
    </row>
    <row r="628" spans="1:20" x14ac:dyDescent="0.25">
      <c r="A628" s="110"/>
      <c r="B628" s="110"/>
      <c r="C628" s="110"/>
      <c r="D628" s="110"/>
      <c r="E628" s="110"/>
      <c r="F628" s="110"/>
      <c r="G628" s="110"/>
      <c r="H628" s="110"/>
      <c r="I628" s="110"/>
      <c r="J628" s="110"/>
      <c r="K628" s="110"/>
      <c r="L628" s="110"/>
      <c r="M628" s="110"/>
      <c r="N628" s="110"/>
      <c r="O628" s="110"/>
      <c r="P628" s="110"/>
      <c r="Q628" s="39"/>
      <c r="R628" s="39"/>
      <c r="S628" s="39"/>
      <c r="T628" s="39"/>
    </row>
    <row r="629" spans="1:20" x14ac:dyDescent="0.25">
      <c r="A629" s="110"/>
      <c r="B629" s="110"/>
      <c r="C629" s="110"/>
      <c r="D629" s="110"/>
      <c r="E629" s="110"/>
      <c r="F629" s="110"/>
      <c r="G629" s="110"/>
      <c r="H629" s="110"/>
      <c r="I629" s="110"/>
      <c r="J629" s="110"/>
      <c r="K629" s="110"/>
      <c r="L629" s="110"/>
      <c r="M629" s="110"/>
      <c r="N629" s="110"/>
      <c r="O629" s="110"/>
      <c r="P629" s="110"/>
      <c r="Q629" s="39"/>
      <c r="R629" s="39"/>
      <c r="S629" s="39"/>
      <c r="T629" s="39"/>
    </row>
    <row r="630" spans="1:20" x14ac:dyDescent="0.25">
      <c r="A630" s="110"/>
      <c r="B630" s="110"/>
      <c r="C630" s="110"/>
      <c r="D630" s="110"/>
      <c r="E630" s="110"/>
      <c r="F630" s="110"/>
      <c r="G630" s="110"/>
      <c r="H630" s="110"/>
      <c r="I630" s="110"/>
      <c r="J630" s="110"/>
      <c r="K630" s="110"/>
      <c r="L630" s="110"/>
      <c r="M630" s="110"/>
      <c r="N630" s="110"/>
      <c r="O630" s="110"/>
      <c r="P630" s="110"/>
      <c r="Q630" s="39"/>
      <c r="R630" s="39"/>
      <c r="S630" s="39"/>
      <c r="T630" s="39"/>
    </row>
    <row r="631" spans="1:20" x14ac:dyDescent="0.25">
      <c r="A631" s="110"/>
      <c r="B631" s="110"/>
      <c r="C631" s="110"/>
      <c r="D631" s="110"/>
      <c r="E631" s="110"/>
      <c r="F631" s="110"/>
      <c r="G631" s="110"/>
      <c r="H631" s="110"/>
      <c r="I631" s="110"/>
      <c r="J631" s="110"/>
      <c r="K631" s="110"/>
      <c r="L631" s="110"/>
      <c r="M631" s="110"/>
      <c r="N631" s="110"/>
      <c r="O631" s="110"/>
      <c r="P631" s="110"/>
      <c r="Q631" s="39"/>
      <c r="R631" s="39"/>
      <c r="S631" s="39"/>
      <c r="T631" s="39"/>
    </row>
    <row r="632" spans="1:20" x14ac:dyDescent="0.25">
      <c r="A632" s="110"/>
      <c r="B632" s="110"/>
      <c r="C632" s="110"/>
      <c r="D632" s="110"/>
      <c r="E632" s="110"/>
      <c r="F632" s="110"/>
      <c r="G632" s="110"/>
      <c r="H632" s="110"/>
      <c r="I632" s="110"/>
      <c r="J632" s="110"/>
      <c r="K632" s="110"/>
      <c r="L632" s="110"/>
      <c r="M632" s="110"/>
      <c r="N632" s="110"/>
      <c r="O632" s="110"/>
      <c r="P632" s="110"/>
      <c r="Q632" s="39"/>
      <c r="R632" s="39"/>
      <c r="S632" s="39"/>
      <c r="T632" s="39"/>
    </row>
    <row r="633" spans="1:20" x14ac:dyDescent="0.25">
      <c r="A633" s="110"/>
      <c r="B633" s="110"/>
      <c r="C633" s="110"/>
      <c r="D633" s="110"/>
      <c r="E633" s="110"/>
      <c r="F633" s="110"/>
      <c r="G633" s="110"/>
      <c r="H633" s="110"/>
      <c r="I633" s="110"/>
      <c r="J633" s="110"/>
      <c r="K633" s="110"/>
      <c r="L633" s="110"/>
      <c r="M633" s="110"/>
      <c r="N633" s="110"/>
      <c r="O633" s="110"/>
      <c r="P633" s="110"/>
      <c r="Q633" s="39"/>
      <c r="R633" s="39"/>
      <c r="S633" s="39"/>
      <c r="T633" s="39"/>
    </row>
  </sheetData>
  <hyperlinks>
    <hyperlink ref="A557" location="Índice!C1" display="Volver al ïndice" xr:uid="{26FA600D-9D5D-4B31-9EE1-2BC590D1FAEE}"/>
  </hyperlink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E88"/>
  <sheetViews>
    <sheetView showGridLines="0" workbookViewId="0">
      <pane ySplit="2" topLeftCell="A82" activePane="bottomLeft" state="frozen"/>
      <selection pane="bottomLeft" activeCell="A88" sqref="A88"/>
    </sheetView>
  </sheetViews>
  <sheetFormatPr baseColWidth="10" defaultColWidth="11.42578125" defaultRowHeight="12.75" x14ac:dyDescent="0.25"/>
  <cols>
    <col min="1" max="1" width="35.28515625" style="5" customWidth="1"/>
    <col min="2" max="3" width="11.42578125" style="6" customWidth="1"/>
    <col min="4" max="4" width="13.85546875" style="6" customWidth="1"/>
    <col min="5" max="5" width="11.140625" style="6" customWidth="1"/>
    <col min="6" max="6" width="24" style="5" customWidth="1"/>
    <col min="7" max="16384" width="11.42578125" style="5"/>
  </cols>
  <sheetData>
    <row r="1" spans="1:4" ht="21" x14ac:dyDescent="0.25">
      <c r="A1" s="77" t="s">
        <v>468</v>
      </c>
    </row>
    <row r="2" spans="1:4" ht="37.5" customHeight="1" x14ac:dyDescent="0.25">
      <c r="A2" s="23"/>
    </row>
    <row r="3" spans="1:4" ht="15" customHeight="1" x14ac:dyDescent="0.25">
      <c r="A3" s="27" t="s">
        <v>469</v>
      </c>
    </row>
    <row r="4" spans="1:4" ht="16.5" customHeight="1" x14ac:dyDescent="0.25">
      <c r="A4" s="157" t="s">
        <v>111</v>
      </c>
      <c r="B4" s="161" t="s">
        <v>108</v>
      </c>
      <c r="C4" s="161" t="s">
        <v>109</v>
      </c>
      <c r="D4" s="162" t="s">
        <v>76</v>
      </c>
    </row>
    <row r="5" spans="1:4" ht="15" customHeight="1" x14ac:dyDescent="0.25">
      <c r="A5" s="107" t="s">
        <v>350</v>
      </c>
      <c r="B5" s="41">
        <v>2601</v>
      </c>
      <c r="C5" s="41">
        <v>9703</v>
      </c>
      <c r="D5" s="41">
        <v>12304</v>
      </c>
    </row>
    <row r="6" spans="1:4" ht="15" customHeight="1" x14ac:dyDescent="0.25">
      <c r="A6" s="107" t="s">
        <v>351</v>
      </c>
      <c r="B6" s="41">
        <v>3332</v>
      </c>
      <c r="C6" s="41">
        <v>11998</v>
      </c>
      <c r="D6" s="41">
        <v>15330</v>
      </c>
    </row>
    <row r="7" spans="1:4" ht="15" customHeight="1" x14ac:dyDescent="0.25">
      <c r="A7" s="91" t="s">
        <v>299</v>
      </c>
      <c r="B7" s="41">
        <v>679</v>
      </c>
      <c r="C7" s="41">
        <v>24647</v>
      </c>
      <c r="D7" s="41">
        <v>25326</v>
      </c>
    </row>
    <row r="8" spans="1:4" ht="15" customHeight="1" x14ac:dyDescent="0.25">
      <c r="A8" s="91" t="s">
        <v>365</v>
      </c>
      <c r="B8" s="41">
        <v>117</v>
      </c>
      <c r="C8" s="41">
        <v>170</v>
      </c>
      <c r="D8" s="41">
        <v>287</v>
      </c>
    </row>
    <row r="9" spans="1:4" ht="15" customHeight="1" x14ac:dyDescent="0.25">
      <c r="A9" s="112" t="s">
        <v>0</v>
      </c>
      <c r="B9" s="167">
        <v>6729</v>
      </c>
      <c r="C9" s="167">
        <v>46518</v>
      </c>
      <c r="D9" s="167">
        <v>53247</v>
      </c>
    </row>
    <row r="10" spans="1:4" ht="15" customHeight="1" x14ac:dyDescent="0.25">
      <c r="A10" s="139" t="s">
        <v>388</v>
      </c>
    </row>
    <row r="11" spans="1:4" ht="15" customHeight="1" x14ac:dyDescent="0.25">
      <c r="A11" s="139" t="s">
        <v>393</v>
      </c>
    </row>
    <row r="12" spans="1:4" ht="15" customHeight="1" x14ac:dyDescent="0.25">
      <c r="A12" s="139"/>
    </row>
    <row r="13" spans="1:4" ht="15" customHeight="1" x14ac:dyDescent="0.25">
      <c r="A13" s="27" t="s">
        <v>470</v>
      </c>
    </row>
    <row r="14" spans="1:4" ht="27.75" x14ac:dyDescent="0.25">
      <c r="A14" s="157" t="s">
        <v>111</v>
      </c>
      <c r="B14" s="161" t="s">
        <v>108</v>
      </c>
      <c r="C14" s="161" t="s">
        <v>109</v>
      </c>
      <c r="D14" s="161" t="s">
        <v>316</v>
      </c>
    </row>
    <row r="15" spans="1:4" ht="15" customHeight="1" x14ac:dyDescent="0.25">
      <c r="A15" s="107" t="s">
        <v>350</v>
      </c>
      <c r="B15" s="123">
        <v>567</v>
      </c>
      <c r="C15" s="123">
        <v>3254</v>
      </c>
      <c r="D15" s="115">
        <v>3821</v>
      </c>
    </row>
    <row r="16" spans="1:4" ht="15" customHeight="1" x14ac:dyDescent="0.25">
      <c r="A16" s="107" t="s">
        <v>351</v>
      </c>
      <c r="B16" s="123">
        <v>560</v>
      </c>
      <c r="C16" s="123">
        <v>4171</v>
      </c>
      <c r="D16" s="115">
        <v>4731</v>
      </c>
    </row>
    <row r="17" spans="1:5" ht="15" customHeight="1" x14ac:dyDescent="0.25">
      <c r="A17" s="91" t="s">
        <v>299</v>
      </c>
      <c r="B17" s="123">
        <v>161</v>
      </c>
      <c r="C17" s="168">
        <v>8589</v>
      </c>
      <c r="D17" s="149">
        <v>8750</v>
      </c>
    </row>
    <row r="18" spans="1:5" ht="15" customHeight="1" x14ac:dyDescent="0.25">
      <c r="A18" s="112" t="s">
        <v>0</v>
      </c>
      <c r="B18" s="9">
        <v>1288</v>
      </c>
      <c r="C18" s="167">
        <v>16014</v>
      </c>
      <c r="D18" s="109">
        <v>17302</v>
      </c>
    </row>
    <row r="19" spans="1:5" ht="15" customHeight="1" x14ac:dyDescent="0.25">
      <c r="A19" s="139" t="s">
        <v>388</v>
      </c>
    </row>
    <row r="20" spans="1:5" ht="15" customHeight="1" x14ac:dyDescent="0.25">
      <c r="A20" s="125"/>
    </row>
    <row r="21" spans="1:5" ht="15.75" x14ac:dyDescent="0.25">
      <c r="A21" s="27" t="s">
        <v>471</v>
      </c>
    </row>
    <row r="22" spans="1:5" ht="18.75" customHeight="1" x14ac:dyDescent="0.25">
      <c r="A22" s="157" t="s">
        <v>273</v>
      </c>
      <c r="B22" s="161" t="s">
        <v>108</v>
      </c>
      <c r="C22" s="161" t="s">
        <v>109</v>
      </c>
      <c r="D22" s="162" t="s">
        <v>76</v>
      </c>
    </row>
    <row r="23" spans="1:5" ht="15" customHeight="1" x14ac:dyDescent="0.25">
      <c r="A23" s="98" t="s">
        <v>309</v>
      </c>
      <c r="B23" s="25">
        <v>2870</v>
      </c>
      <c r="C23" s="25">
        <v>23601</v>
      </c>
      <c r="D23" s="25">
        <v>26471</v>
      </c>
    </row>
    <row r="24" spans="1:5" ht="15" customHeight="1" x14ac:dyDescent="0.25">
      <c r="A24" s="98" t="s">
        <v>310</v>
      </c>
      <c r="B24" s="25">
        <v>3859</v>
      </c>
      <c r="C24" s="25">
        <v>22917</v>
      </c>
      <c r="D24" s="25">
        <v>26776</v>
      </c>
    </row>
    <row r="25" spans="1:5" ht="15" customHeight="1" x14ac:dyDescent="0.25">
      <c r="A25" s="79" t="s">
        <v>472</v>
      </c>
      <c r="B25" s="26">
        <v>6729</v>
      </c>
      <c r="C25" s="26">
        <v>46518</v>
      </c>
      <c r="D25" s="26">
        <v>53247</v>
      </c>
    </row>
    <row r="26" spans="1:5" ht="15" customHeight="1" x14ac:dyDescent="0.25">
      <c r="B26" s="7"/>
      <c r="C26" s="7"/>
      <c r="D26" s="7"/>
      <c r="E26" s="7"/>
    </row>
    <row r="27" spans="1:5" ht="15" customHeight="1" x14ac:dyDescent="0.25">
      <c r="A27" s="27" t="s">
        <v>473</v>
      </c>
    </row>
    <row r="28" spans="1:5" ht="25.5" customHeight="1" x14ac:dyDescent="0.25">
      <c r="A28" s="157" t="s">
        <v>273</v>
      </c>
      <c r="B28" s="161" t="s">
        <v>108</v>
      </c>
      <c r="C28" s="161" t="s">
        <v>109</v>
      </c>
      <c r="D28" s="161" t="s">
        <v>316</v>
      </c>
    </row>
    <row r="29" spans="1:5" ht="15" customHeight="1" x14ac:dyDescent="0.25">
      <c r="A29" s="102" t="s">
        <v>170</v>
      </c>
      <c r="B29" s="48">
        <v>529</v>
      </c>
      <c r="C29" s="48">
        <v>8402</v>
      </c>
      <c r="D29" s="48">
        <v>8931</v>
      </c>
      <c r="E29" s="17"/>
    </row>
    <row r="30" spans="1:5" ht="15" customHeight="1" x14ac:dyDescent="0.25">
      <c r="A30" s="102" t="s">
        <v>361</v>
      </c>
      <c r="B30" s="48">
        <v>759</v>
      </c>
      <c r="C30" s="169">
        <v>7612</v>
      </c>
      <c r="D30" s="169">
        <v>8371</v>
      </c>
      <c r="E30" s="17"/>
    </row>
    <row r="31" spans="1:5" ht="15" customHeight="1" x14ac:dyDescent="0.25">
      <c r="A31" s="79" t="s">
        <v>112</v>
      </c>
      <c r="B31" s="37">
        <v>1288</v>
      </c>
      <c r="C31" s="170">
        <v>16014</v>
      </c>
      <c r="D31" s="170">
        <v>17302</v>
      </c>
      <c r="E31" s="17"/>
    </row>
    <row r="32" spans="1:5" ht="15" customHeight="1" x14ac:dyDescent="0.25">
      <c r="B32" s="7"/>
      <c r="C32" s="7"/>
      <c r="D32" s="7"/>
      <c r="E32" s="7"/>
    </row>
    <row r="33" spans="1:5" ht="15" customHeight="1" x14ac:dyDescent="0.25">
      <c r="A33" s="27" t="s">
        <v>474</v>
      </c>
    </row>
    <row r="34" spans="1:5" ht="25.5" customHeight="1" x14ac:dyDescent="0.25">
      <c r="A34" s="156" t="s">
        <v>105</v>
      </c>
      <c r="B34" s="161" t="s">
        <v>108</v>
      </c>
      <c r="C34" s="161" t="s">
        <v>109</v>
      </c>
      <c r="D34" s="162" t="s">
        <v>76</v>
      </c>
      <c r="E34" s="5"/>
    </row>
    <row r="35" spans="1:5" ht="15" customHeight="1" x14ac:dyDescent="0.25">
      <c r="A35" s="90" t="s">
        <v>40</v>
      </c>
      <c r="B35" s="56">
        <v>102</v>
      </c>
      <c r="C35" s="56">
        <v>2531</v>
      </c>
      <c r="D35" s="56">
        <v>2633</v>
      </c>
      <c r="E35" s="5"/>
    </row>
    <row r="36" spans="1:5" ht="15" customHeight="1" x14ac:dyDescent="0.25">
      <c r="A36" s="90" t="s">
        <v>41</v>
      </c>
      <c r="B36" s="56">
        <v>1738</v>
      </c>
      <c r="C36" s="56">
        <v>10144</v>
      </c>
      <c r="D36" s="56">
        <v>11882</v>
      </c>
      <c r="E36" s="5"/>
    </row>
    <row r="37" spans="1:5" ht="15" customHeight="1" x14ac:dyDescent="0.25">
      <c r="A37" s="90" t="s">
        <v>42</v>
      </c>
      <c r="B37" s="56">
        <v>2282</v>
      </c>
      <c r="C37" s="56">
        <v>12384</v>
      </c>
      <c r="D37" s="56">
        <v>14666</v>
      </c>
      <c r="E37" s="5"/>
    </row>
    <row r="38" spans="1:5" ht="15" customHeight="1" x14ac:dyDescent="0.25">
      <c r="A38" s="90" t="s">
        <v>43</v>
      </c>
      <c r="B38" s="56">
        <v>1307</v>
      </c>
      <c r="C38" s="56">
        <v>9284</v>
      </c>
      <c r="D38" s="56">
        <v>10591</v>
      </c>
      <c r="E38" s="5"/>
    </row>
    <row r="39" spans="1:5" ht="15" customHeight="1" x14ac:dyDescent="0.25">
      <c r="A39" s="90" t="s">
        <v>1</v>
      </c>
      <c r="B39" s="56">
        <v>1300</v>
      </c>
      <c r="C39" s="56">
        <v>11884</v>
      </c>
      <c r="D39" s="56">
        <v>13184</v>
      </c>
      <c r="E39" s="5"/>
    </row>
    <row r="40" spans="1:5" ht="15" customHeight="1" x14ac:dyDescent="0.25">
      <c r="A40" s="90" t="s">
        <v>77</v>
      </c>
      <c r="B40" s="56"/>
      <c r="C40" s="56">
        <v>291</v>
      </c>
      <c r="D40" s="56">
        <v>291</v>
      </c>
      <c r="E40" s="5"/>
    </row>
    <row r="41" spans="1:5" ht="15" customHeight="1" x14ac:dyDescent="0.25">
      <c r="A41" s="95" t="s">
        <v>0</v>
      </c>
      <c r="B41" s="167">
        <f>SUM(B35:B40)</f>
        <v>6729</v>
      </c>
      <c r="C41" s="167">
        <f t="shared" ref="C41:D41" si="0">SUM(C35:C40)</f>
        <v>46518</v>
      </c>
      <c r="D41" s="167">
        <f t="shared" si="0"/>
        <v>53247</v>
      </c>
      <c r="E41" s="5"/>
    </row>
    <row r="42" spans="1:5" ht="15" customHeight="1" x14ac:dyDescent="0.25">
      <c r="A42" s="200" t="s">
        <v>124</v>
      </c>
      <c r="B42" s="210">
        <v>34.460543914400354</v>
      </c>
      <c r="C42" s="210">
        <v>35.139117831570296</v>
      </c>
      <c r="D42" s="210">
        <v>35.0528929677468</v>
      </c>
      <c r="E42" s="5"/>
    </row>
    <row r="43" spans="1:5" ht="15" customHeight="1" x14ac:dyDescent="0.25">
      <c r="E43" s="5"/>
    </row>
    <row r="44" spans="1:5" ht="15" customHeight="1" x14ac:dyDescent="0.25">
      <c r="A44" s="27" t="s">
        <v>475</v>
      </c>
      <c r="E44" s="5"/>
    </row>
    <row r="45" spans="1:5" ht="25.5" customHeight="1" x14ac:dyDescent="0.25">
      <c r="A45" s="156" t="s">
        <v>58</v>
      </c>
      <c r="B45" s="161" t="s">
        <v>108</v>
      </c>
      <c r="C45" s="161" t="s">
        <v>109</v>
      </c>
      <c r="D45" s="162" t="s">
        <v>76</v>
      </c>
    </row>
    <row r="46" spans="1:5" ht="15" customHeight="1" x14ac:dyDescent="0.25">
      <c r="A46" s="89" t="s">
        <v>49</v>
      </c>
      <c r="B46" s="41">
        <v>102</v>
      </c>
      <c r="C46" s="41">
        <v>12261</v>
      </c>
      <c r="D46" s="41">
        <v>12363</v>
      </c>
      <c r="E46" s="17"/>
    </row>
    <row r="47" spans="1:5" ht="15" customHeight="1" x14ac:dyDescent="0.25">
      <c r="A47" s="89" t="s">
        <v>50</v>
      </c>
      <c r="B47" s="41">
        <v>343</v>
      </c>
      <c r="C47" s="41">
        <v>462</v>
      </c>
      <c r="D47" s="41">
        <v>805</v>
      </c>
      <c r="E47" s="17"/>
    </row>
    <row r="48" spans="1:5" ht="15" customHeight="1" x14ac:dyDescent="0.25">
      <c r="A48" s="89" t="s">
        <v>51</v>
      </c>
      <c r="B48" s="41">
        <v>132</v>
      </c>
      <c r="C48" s="41">
        <v>1097</v>
      </c>
      <c r="D48" s="41">
        <v>1229</v>
      </c>
      <c r="E48" s="17"/>
    </row>
    <row r="49" spans="1:5" ht="15" customHeight="1" x14ac:dyDescent="0.25">
      <c r="A49" s="89" t="s">
        <v>52</v>
      </c>
      <c r="B49" s="41">
        <v>2063</v>
      </c>
      <c r="C49" s="41">
        <v>1499</v>
      </c>
      <c r="D49" s="41">
        <v>3562</v>
      </c>
      <c r="E49" s="17"/>
    </row>
    <row r="50" spans="1:5" ht="15" customHeight="1" x14ac:dyDescent="0.25">
      <c r="A50" s="89" t="s">
        <v>53</v>
      </c>
      <c r="B50" s="41">
        <v>982</v>
      </c>
      <c r="C50" s="41">
        <v>6935</v>
      </c>
      <c r="D50" s="41">
        <v>7917</v>
      </c>
      <c r="E50" s="17"/>
    </row>
    <row r="51" spans="1:5" ht="15" customHeight="1" x14ac:dyDescent="0.25">
      <c r="A51" s="89" t="s">
        <v>7</v>
      </c>
      <c r="B51" s="41">
        <v>190</v>
      </c>
      <c r="C51" s="41">
        <v>3386</v>
      </c>
      <c r="D51" s="41">
        <v>3576</v>
      </c>
      <c r="E51" s="17"/>
    </row>
    <row r="52" spans="1:5" ht="15" customHeight="1" x14ac:dyDescent="0.25">
      <c r="A52" s="89" t="s">
        <v>54</v>
      </c>
      <c r="B52" s="41">
        <v>352</v>
      </c>
      <c r="C52" s="41">
        <v>10495</v>
      </c>
      <c r="D52" s="41">
        <v>10847</v>
      </c>
      <c r="E52" s="17"/>
    </row>
    <row r="53" spans="1:5" ht="15" customHeight="1" x14ac:dyDescent="0.25">
      <c r="A53" s="89" t="s">
        <v>55</v>
      </c>
      <c r="B53" s="41">
        <v>679</v>
      </c>
      <c r="C53" s="41">
        <v>1347</v>
      </c>
      <c r="D53" s="41">
        <v>2026</v>
      </c>
      <c r="E53" s="17"/>
    </row>
    <row r="54" spans="1:5" ht="15" customHeight="1" x14ac:dyDescent="0.25">
      <c r="A54" s="89" t="s">
        <v>56</v>
      </c>
      <c r="B54" s="41">
        <v>494</v>
      </c>
      <c r="C54" s="41">
        <v>3822</v>
      </c>
      <c r="D54" s="41">
        <v>4316</v>
      </c>
      <c r="E54" s="17"/>
    </row>
    <row r="55" spans="1:5" ht="15" customHeight="1" x14ac:dyDescent="0.25">
      <c r="A55" s="89" t="s">
        <v>57</v>
      </c>
      <c r="B55" s="41">
        <v>1392</v>
      </c>
      <c r="C55" s="41">
        <v>5214</v>
      </c>
      <c r="D55" s="41">
        <v>6606</v>
      </c>
      <c r="E55" s="17"/>
    </row>
    <row r="56" spans="1:5" ht="15" customHeight="1" x14ac:dyDescent="0.25">
      <c r="A56" s="112" t="s">
        <v>0</v>
      </c>
      <c r="B56" s="109">
        <v>6729</v>
      </c>
      <c r="C56" s="109">
        <v>46518</v>
      </c>
      <c r="D56" s="109">
        <v>53247</v>
      </c>
      <c r="E56" s="17"/>
    </row>
    <row r="57" spans="1:5" ht="15" customHeight="1" x14ac:dyDescent="0.25">
      <c r="B57" s="5"/>
      <c r="C57" s="5"/>
      <c r="D57" s="5"/>
      <c r="E57" s="5"/>
    </row>
    <row r="58" spans="1:5" ht="15" customHeight="1" x14ac:dyDescent="0.25">
      <c r="A58" s="27" t="s">
        <v>476</v>
      </c>
    </row>
    <row r="59" spans="1:5" ht="25.5" customHeight="1" x14ac:dyDescent="0.25">
      <c r="A59" s="156" t="s">
        <v>60</v>
      </c>
      <c r="B59" s="161" t="s">
        <v>108</v>
      </c>
      <c r="C59" s="161" t="s">
        <v>109</v>
      </c>
      <c r="D59" s="162" t="s">
        <v>76</v>
      </c>
    </row>
    <row r="60" spans="1:5" ht="15" customHeight="1" x14ac:dyDescent="0.25">
      <c r="A60" s="89" t="s">
        <v>99</v>
      </c>
      <c r="B60" s="48">
        <v>6025</v>
      </c>
      <c r="C60" s="48">
        <v>15373</v>
      </c>
      <c r="D60" s="48">
        <v>21398</v>
      </c>
    </row>
    <row r="61" spans="1:5" ht="15" customHeight="1" x14ac:dyDescent="0.25">
      <c r="A61" s="89" t="s">
        <v>100</v>
      </c>
      <c r="B61" s="48">
        <v>494</v>
      </c>
      <c r="C61" s="48">
        <v>14444</v>
      </c>
      <c r="D61" s="48">
        <v>14938</v>
      </c>
    </row>
    <row r="62" spans="1:5" ht="15" customHeight="1" x14ac:dyDescent="0.25">
      <c r="A62" s="89" t="s">
        <v>101</v>
      </c>
      <c r="B62" s="48">
        <v>48</v>
      </c>
      <c r="C62" s="48">
        <v>1679</v>
      </c>
      <c r="D62" s="48">
        <v>1727</v>
      </c>
    </row>
    <row r="63" spans="1:5" ht="15" customHeight="1" x14ac:dyDescent="0.25">
      <c r="A63" s="89" t="s">
        <v>102</v>
      </c>
      <c r="B63" s="48">
        <v>120</v>
      </c>
      <c r="C63" s="48">
        <v>9593</v>
      </c>
      <c r="D63" s="48">
        <v>9713</v>
      </c>
    </row>
    <row r="64" spans="1:5" ht="15" customHeight="1" x14ac:dyDescent="0.25">
      <c r="A64" s="89" t="s">
        <v>103</v>
      </c>
      <c r="B64" s="48">
        <v>42</v>
      </c>
      <c r="C64" s="48">
        <v>5429</v>
      </c>
      <c r="D64" s="48">
        <v>5471</v>
      </c>
    </row>
    <row r="65" spans="1:4" ht="15" customHeight="1" x14ac:dyDescent="0.25">
      <c r="A65" s="112" t="s">
        <v>0</v>
      </c>
      <c r="B65" s="9">
        <v>6729</v>
      </c>
      <c r="C65" s="9">
        <v>46518</v>
      </c>
      <c r="D65" s="37">
        <v>53247</v>
      </c>
    </row>
    <row r="66" spans="1:4" ht="15" customHeight="1" x14ac:dyDescent="0.25"/>
    <row r="67" spans="1:4" ht="15" customHeight="1" x14ac:dyDescent="0.25">
      <c r="A67" s="27" t="s">
        <v>477</v>
      </c>
    </row>
    <row r="68" spans="1:4" ht="25.5" customHeight="1" x14ac:dyDescent="0.25">
      <c r="A68" s="156" t="s">
        <v>48</v>
      </c>
      <c r="B68" s="163" t="s">
        <v>108</v>
      </c>
      <c r="C68" s="163" t="s">
        <v>109</v>
      </c>
      <c r="D68" s="162" t="s">
        <v>76</v>
      </c>
    </row>
    <row r="69" spans="1:4" ht="15" customHeight="1" x14ac:dyDescent="0.25">
      <c r="A69" s="93" t="s">
        <v>280</v>
      </c>
      <c r="B69" s="48">
        <v>27</v>
      </c>
      <c r="C69" s="48">
        <v>152</v>
      </c>
      <c r="D69" s="48">
        <v>179</v>
      </c>
    </row>
    <row r="70" spans="1:4" ht="15" customHeight="1" x14ac:dyDescent="0.25">
      <c r="A70" s="93" t="s">
        <v>281</v>
      </c>
      <c r="B70" s="48"/>
      <c r="C70" s="48">
        <v>288</v>
      </c>
      <c r="D70" s="48">
        <v>288</v>
      </c>
    </row>
    <row r="71" spans="1:4" ht="15" customHeight="1" x14ac:dyDescent="0.25">
      <c r="A71" s="93" t="s">
        <v>282</v>
      </c>
      <c r="B71" s="48">
        <v>110</v>
      </c>
      <c r="C71" s="48">
        <v>384</v>
      </c>
      <c r="D71" s="48">
        <v>494</v>
      </c>
    </row>
    <row r="72" spans="1:4" ht="15" customHeight="1" x14ac:dyDescent="0.25">
      <c r="A72" s="93" t="s">
        <v>283</v>
      </c>
      <c r="B72" s="29">
        <v>12</v>
      </c>
      <c r="C72" s="29">
        <v>18</v>
      </c>
      <c r="D72" s="29">
        <v>30</v>
      </c>
    </row>
    <row r="73" spans="1:4" ht="15" customHeight="1" x14ac:dyDescent="0.25">
      <c r="A73" s="93" t="s">
        <v>284</v>
      </c>
      <c r="B73" s="48">
        <v>82</v>
      </c>
      <c r="C73" s="48">
        <v>483</v>
      </c>
      <c r="D73" s="48">
        <v>565</v>
      </c>
    </row>
    <row r="74" spans="1:4" ht="15" customHeight="1" x14ac:dyDescent="0.25">
      <c r="A74" s="93" t="s">
        <v>285</v>
      </c>
      <c r="B74" s="48">
        <v>830</v>
      </c>
      <c r="C74" s="48">
        <v>3235</v>
      </c>
      <c r="D74" s="48">
        <v>4065</v>
      </c>
    </row>
    <row r="75" spans="1:4" ht="15" customHeight="1" x14ac:dyDescent="0.25">
      <c r="A75" s="93" t="s">
        <v>286</v>
      </c>
      <c r="B75" s="48">
        <v>4084</v>
      </c>
      <c r="C75" s="48">
        <v>33215</v>
      </c>
      <c r="D75" s="48">
        <v>37299</v>
      </c>
    </row>
    <row r="76" spans="1:4" ht="15" customHeight="1" x14ac:dyDescent="0.25">
      <c r="A76" s="107" t="s">
        <v>404</v>
      </c>
      <c r="B76" s="121"/>
      <c r="C76" s="121"/>
      <c r="D76" s="121"/>
    </row>
    <row r="77" spans="1:4" ht="15" customHeight="1" x14ac:dyDescent="0.25">
      <c r="A77" s="89" t="s">
        <v>287</v>
      </c>
      <c r="B77" s="29">
        <v>269</v>
      </c>
      <c r="C77" s="48">
        <v>903</v>
      </c>
      <c r="D77" s="48">
        <v>1172</v>
      </c>
    </row>
    <row r="78" spans="1:4" ht="15" customHeight="1" x14ac:dyDescent="0.25">
      <c r="A78" s="89" t="s">
        <v>363</v>
      </c>
      <c r="B78" s="48">
        <v>77</v>
      </c>
      <c r="C78" s="48">
        <v>263</v>
      </c>
      <c r="D78" s="48">
        <v>340</v>
      </c>
    </row>
    <row r="79" spans="1:4" ht="15" customHeight="1" x14ac:dyDescent="0.25">
      <c r="A79" s="89" t="s">
        <v>293</v>
      </c>
      <c r="B79" s="48">
        <v>734</v>
      </c>
      <c r="C79" s="48">
        <v>4142</v>
      </c>
      <c r="D79" s="48">
        <v>4876</v>
      </c>
    </row>
    <row r="80" spans="1:4" ht="15" customHeight="1" x14ac:dyDescent="0.25">
      <c r="A80" s="89" t="s">
        <v>288</v>
      </c>
      <c r="B80" s="48">
        <v>272</v>
      </c>
      <c r="C80" s="48">
        <v>1845</v>
      </c>
      <c r="D80" s="48">
        <v>2117</v>
      </c>
    </row>
    <row r="81" spans="1:4" ht="15" customHeight="1" x14ac:dyDescent="0.25">
      <c r="A81" s="89" t="s">
        <v>289</v>
      </c>
      <c r="B81" s="48">
        <v>192</v>
      </c>
      <c r="C81" s="48">
        <v>742</v>
      </c>
      <c r="D81" s="48">
        <v>934</v>
      </c>
    </row>
    <row r="82" spans="1:4" ht="15" customHeight="1" x14ac:dyDescent="0.25">
      <c r="A82" s="89" t="s">
        <v>290</v>
      </c>
      <c r="B82" s="48">
        <v>32</v>
      </c>
      <c r="C82" s="48">
        <v>788</v>
      </c>
      <c r="D82" s="48">
        <v>820</v>
      </c>
    </row>
    <row r="83" spans="1:4" ht="15" customHeight="1" x14ac:dyDescent="0.25">
      <c r="A83" s="89" t="s">
        <v>291</v>
      </c>
      <c r="B83" s="154"/>
      <c r="C83" s="154"/>
      <c r="D83" s="154"/>
    </row>
    <row r="84" spans="1:4" ht="15" customHeight="1" x14ac:dyDescent="0.25">
      <c r="A84" s="89" t="s">
        <v>292</v>
      </c>
      <c r="B84" s="48">
        <v>8</v>
      </c>
      <c r="C84" s="48">
        <v>60</v>
      </c>
      <c r="D84" s="48">
        <v>68</v>
      </c>
    </row>
    <row r="85" spans="1:4" ht="15" customHeight="1" x14ac:dyDescent="0.25">
      <c r="A85" s="94" t="s">
        <v>0</v>
      </c>
      <c r="B85" s="122">
        <v>6729</v>
      </c>
      <c r="C85" s="122">
        <v>46518</v>
      </c>
      <c r="D85" s="122">
        <v>53247</v>
      </c>
    </row>
    <row r="86" spans="1:4" ht="15" customHeight="1" x14ac:dyDescent="0.25">
      <c r="A86" s="6"/>
    </row>
    <row r="87" spans="1:4" ht="15" x14ac:dyDescent="0.25">
      <c r="A87" s="99" t="s">
        <v>307</v>
      </c>
    </row>
    <row r="88" spans="1:4" ht="15" x14ac:dyDescent="0.25">
      <c r="A88" s="51" t="s">
        <v>294</v>
      </c>
    </row>
  </sheetData>
  <hyperlinks>
    <hyperlink ref="A88" location="Índice!C1" display="Volver al ïndice" xr:uid="{00000000-0004-0000-0500-000000000000}"/>
  </hyperlinks>
  <pageMargins left="0.7" right="0.7" top="0.75" bottom="0.75" header="0.3" footer="0.3"/>
  <pageSetup orientation="portrait"/>
  <drawing r:id="rId1"/>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U97"/>
  <sheetViews>
    <sheetView showGridLines="0" workbookViewId="0">
      <pane ySplit="2" topLeftCell="A73" activePane="bottomLeft" state="frozen"/>
      <selection pane="bottomLeft" activeCell="Q85" sqref="Q85"/>
    </sheetView>
  </sheetViews>
  <sheetFormatPr baseColWidth="10" defaultColWidth="10.85546875" defaultRowHeight="15" x14ac:dyDescent="0.25"/>
  <cols>
    <col min="1" max="1" width="23" style="5" customWidth="1"/>
    <col min="2" max="12" width="8" style="5" customWidth="1"/>
    <col min="13" max="16" width="8" style="110" customWidth="1"/>
    <col min="17" max="20" width="12.42578125" style="39" customWidth="1"/>
    <col min="21" max="21" width="8.85546875" style="110" customWidth="1"/>
    <col min="22" max="16384" width="10.85546875" style="110"/>
  </cols>
  <sheetData>
    <row r="1" spans="1:21" ht="18.75" x14ac:dyDescent="0.25">
      <c r="A1" s="42" t="s">
        <v>464</v>
      </c>
      <c r="B1" s="42"/>
      <c r="C1" s="42"/>
    </row>
    <row r="2" spans="1:21" ht="37.5" customHeight="1" x14ac:dyDescent="0.25">
      <c r="A2" s="23"/>
      <c r="B2" s="23"/>
      <c r="C2" s="23"/>
    </row>
    <row r="3" spans="1:21" ht="15.75" x14ac:dyDescent="0.25">
      <c r="A3" s="27" t="s">
        <v>300</v>
      </c>
      <c r="B3" s="27"/>
      <c r="C3" s="27"/>
      <c r="Q3" s="57"/>
      <c r="R3" s="57"/>
      <c r="S3" s="57"/>
      <c r="T3" s="57"/>
      <c r="U3" s="10"/>
    </row>
    <row r="4" spans="1:21" ht="25.5" customHeight="1" x14ac:dyDescent="0.25">
      <c r="A4" s="129" t="s">
        <v>111</v>
      </c>
      <c r="B4" s="130">
        <v>2007</v>
      </c>
      <c r="C4" s="130">
        <v>2008</v>
      </c>
      <c r="D4" s="130">
        <v>2009</v>
      </c>
      <c r="E4" s="130">
        <v>2010</v>
      </c>
      <c r="F4" s="130">
        <v>2011</v>
      </c>
      <c r="G4" s="130">
        <v>2012</v>
      </c>
      <c r="H4" s="130">
        <v>2013</v>
      </c>
      <c r="I4" s="130">
        <v>2014</v>
      </c>
      <c r="J4" s="130">
        <v>2015</v>
      </c>
      <c r="K4" s="130">
        <v>2016</v>
      </c>
      <c r="L4" s="130">
        <v>2017</v>
      </c>
      <c r="M4" s="130">
        <v>2018</v>
      </c>
      <c r="N4" s="130">
        <v>2019</v>
      </c>
      <c r="O4" s="130">
        <v>2020</v>
      </c>
      <c r="P4" s="130">
        <v>2021</v>
      </c>
      <c r="Q4" s="131" t="s">
        <v>424</v>
      </c>
      <c r="R4" s="131" t="s">
        <v>425</v>
      </c>
      <c r="S4" s="131" t="s">
        <v>426</v>
      </c>
      <c r="T4" s="131" t="s">
        <v>427</v>
      </c>
      <c r="U4" s="11"/>
    </row>
    <row r="5" spans="1:21" x14ac:dyDescent="0.25">
      <c r="A5" s="107" t="s">
        <v>350</v>
      </c>
      <c r="B5" s="113">
        <v>8640</v>
      </c>
      <c r="C5" s="113">
        <v>10810</v>
      </c>
      <c r="D5" s="113">
        <v>10714</v>
      </c>
      <c r="E5" s="113">
        <v>12675</v>
      </c>
      <c r="F5" s="113">
        <v>11317</v>
      </c>
      <c r="G5" s="113">
        <v>14249</v>
      </c>
      <c r="H5" s="113">
        <v>14823</v>
      </c>
      <c r="I5" s="113">
        <v>14867</v>
      </c>
      <c r="J5" s="113">
        <v>13807</v>
      </c>
      <c r="K5" s="113">
        <v>13807</v>
      </c>
      <c r="L5" s="113">
        <v>13148</v>
      </c>
      <c r="M5" s="113">
        <v>12402</v>
      </c>
      <c r="N5" s="113">
        <v>12561</v>
      </c>
      <c r="O5" s="113">
        <v>10521</v>
      </c>
      <c r="P5" s="113">
        <v>12304</v>
      </c>
      <c r="Q5" s="187">
        <f>(P5-G5)/G5</f>
        <v>-0.13650080707418064</v>
      </c>
      <c r="R5" s="187">
        <f>(P5-L5)/L5</f>
        <v>-6.4192272588986923E-2</v>
      </c>
      <c r="S5" s="187">
        <f>(P5-O5)/O5</f>
        <v>0.16947058264423534</v>
      </c>
      <c r="T5" s="187">
        <f>P5/P$9</f>
        <v>0.2310740511202509</v>
      </c>
      <c r="U5" s="12"/>
    </row>
    <row r="6" spans="1:21" x14ac:dyDescent="0.25">
      <c r="A6" s="107" t="s">
        <v>351</v>
      </c>
      <c r="B6" s="113">
        <v>6602</v>
      </c>
      <c r="C6" s="113">
        <v>7183</v>
      </c>
      <c r="D6" s="113">
        <v>8183</v>
      </c>
      <c r="E6" s="113">
        <v>8838</v>
      </c>
      <c r="F6" s="113">
        <v>8715</v>
      </c>
      <c r="G6" s="113">
        <v>8944</v>
      </c>
      <c r="H6" s="113">
        <v>9359</v>
      </c>
      <c r="I6" s="113">
        <v>10327</v>
      </c>
      <c r="J6" s="113">
        <v>10571</v>
      </c>
      <c r="K6" s="113">
        <v>11832</v>
      </c>
      <c r="L6" s="113">
        <v>11114</v>
      </c>
      <c r="M6" s="113">
        <v>11016</v>
      </c>
      <c r="N6" s="113">
        <v>13457</v>
      </c>
      <c r="O6" s="113">
        <v>13937</v>
      </c>
      <c r="P6" s="113">
        <v>15330</v>
      </c>
      <c r="Q6" s="187">
        <f>(P6-G6)/G6</f>
        <v>0.71399821109123429</v>
      </c>
      <c r="R6" s="187">
        <f>(P6-L6)/L6</f>
        <v>0.37934137124347672</v>
      </c>
      <c r="S6" s="187">
        <f>(P6-O6)/O6</f>
        <v>9.9949773982923151E-2</v>
      </c>
      <c r="T6" s="187">
        <f>P6/P$9</f>
        <v>0.28790354386162603</v>
      </c>
      <c r="U6" s="12"/>
    </row>
    <row r="7" spans="1:21" x14ac:dyDescent="0.25">
      <c r="A7" s="91" t="s">
        <v>299</v>
      </c>
      <c r="B7" s="92">
        <v>5451</v>
      </c>
      <c r="C7" s="92">
        <v>8081</v>
      </c>
      <c r="D7" s="92">
        <v>9460</v>
      </c>
      <c r="E7" s="92">
        <v>11885</v>
      </c>
      <c r="F7" s="92">
        <v>14448</v>
      </c>
      <c r="G7" s="92">
        <v>18008</v>
      </c>
      <c r="H7" s="92">
        <v>22544</v>
      </c>
      <c r="I7" s="92">
        <v>21612</v>
      </c>
      <c r="J7" s="92">
        <v>20738</v>
      </c>
      <c r="K7" s="92">
        <v>21945</v>
      </c>
      <c r="L7" s="92">
        <v>24436</v>
      </c>
      <c r="M7" s="92">
        <v>23457</v>
      </c>
      <c r="N7" s="92">
        <v>22373</v>
      </c>
      <c r="O7" s="92">
        <v>21003</v>
      </c>
      <c r="P7" s="92">
        <v>25326</v>
      </c>
      <c r="Q7" s="187">
        <f>(P7-G7)/G7</f>
        <v>0.40637494446912481</v>
      </c>
      <c r="R7" s="187">
        <f>(P7-L7)/L7</f>
        <v>3.6421672941561629E-2</v>
      </c>
      <c r="S7" s="187">
        <f>(P7-O7)/O7</f>
        <v>0.20582773889444364</v>
      </c>
      <c r="T7" s="187">
        <f>P7/P$9</f>
        <v>0.47563242999605609</v>
      </c>
      <c r="U7" s="12"/>
    </row>
    <row r="8" spans="1:21" x14ac:dyDescent="0.25">
      <c r="A8" s="91" t="s">
        <v>365</v>
      </c>
      <c r="B8" s="92"/>
      <c r="C8" s="92"/>
      <c r="D8" s="92"/>
      <c r="E8" s="92"/>
      <c r="F8" s="92"/>
      <c r="G8" s="92"/>
      <c r="H8" s="92"/>
      <c r="I8" s="92"/>
      <c r="J8" s="92"/>
      <c r="K8" s="92"/>
      <c r="L8" s="92"/>
      <c r="M8" s="92"/>
      <c r="N8" s="92"/>
      <c r="O8" s="92">
        <v>22</v>
      </c>
      <c r="P8" s="92">
        <v>287</v>
      </c>
      <c r="Q8" s="187" t="s">
        <v>155</v>
      </c>
      <c r="R8" s="187" t="s">
        <v>155</v>
      </c>
      <c r="S8" s="187">
        <f>(P8-O8)/O8</f>
        <v>12.045454545454545</v>
      </c>
      <c r="T8" s="187">
        <f>P8/P$9</f>
        <v>5.3899750220669706E-3</v>
      </c>
      <c r="U8" s="12"/>
    </row>
    <row r="9" spans="1:21" s="4" customFormat="1" x14ac:dyDescent="0.25">
      <c r="A9" s="112" t="s">
        <v>0</v>
      </c>
      <c r="B9" s="2">
        <v>20693</v>
      </c>
      <c r="C9" s="2">
        <v>26074</v>
      </c>
      <c r="D9" s="2">
        <v>28357</v>
      </c>
      <c r="E9" s="2">
        <v>33398</v>
      </c>
      <c r="F9" s="2">
        <v>34480</v>
      </c>
      <c r="G9" s="2">
        <v>41201</v>
      </c>
      <c r="H9" s="2">
        <v>46726</v>
      </c>
      <c r="I9" s="2">
        <v>46806</v>
      </c>
      <c r="J9" s="2">
        <v>45116</v>
      </c>
      <c r="K9" s="2">
        <v>47584</v>
      </c>
      <c r="L9" s="2">
        <v>48698</v>
      </c>
      <c r="M9" s="2">
        <v>46875</v>
      </c>
      <c r="N9" s="2">
        <v>48391</v>
      </c>
      <c r="O9" s="2">
        <v>45483</v>
      </c>
      <c r="P9" s="2">
        <v>53247</v>
      </c>
      <c r="Q9" s="188">
        <f>(P9-G9)/G9</f>
        <v>0.2923715443799908</v>
      </c>
      <c r="R9" s="188">
        <f>(P9-L9)/L9</f>
        <v>9.3412460470655878E-2</v>
      </c>
      <c r="S9" s="188">
        <f>(P9-O9)/O9</f>
        <v>0.17070114108568035</v>
      </c>
      <c r="T9" s="188">
        <f>P9/P$9</f>
        <v>1</v>
      </c>
      <c r="U9" s="12"/>
    </row>
    <row r="10" spans="1:21" s="4" customFormat="1" x14ac:dyDescent="0.25">
      <c r="A10" s="139" t="s">
        <v>388</v>
      </c>
      <c r="B10" s="128"/>
      <c r="C10" s="128"/>
      <c r="D10" s="128"/>
      <c r="E10" s="128"/>
      <c r="F10" s="128"/>
      <c r="G10" s="128"/>
      <c r="H10" s="128"/>
      <c r="I10" s="128"/>
      <c r="J10" s="128"/>
      <c r="K10" s="128"/>
      <c r="L10" s="128"/>
      <c r="M10" s="128"/>
      <c r="N10" s="128"/>
      <c r="O10" s="128"/>
      <c r="P10" s="128"/>
      <c r="Q10" s="61"/>
      <c r="R10" s="61"/>
      <c r="S10" s="61"/>
      <c r="T10" s="61"/>
      <c r="U10" s="12"/>
    </row>
    <row r="11" spans="1:21" x14ac:dyDescent="0.25">
      <c r="A11" s="139" t="s">
        <v>393</v>
      </c>
      <c r="M11" s="15"/>
      <c r="N11" s="15"/>
      <c r="O11" s="15"/>
      <c r="P11" s="15"/>
      <c r="Q11" s="36"/>
      <c r="R11" s="58"/>
      <c r="S11" s="58"/>
      <c r="T11" s="58"/>
      <c r="U11" s="13"/>
    </row>
    <row r="12" spans="1:21" x14ac:dyDescent="0.25">
      <c r="A12" s="139"/>
      <c r="M12" s="15"/>
      <c r="N12" s="15"/>
      <c r="O12" s="15"/>
      <c r="P12" s="15"/>
      <c r="Q12" s="36"/>
      <c r="R12" s="58"/>
      <c r="S12" s="58"/>
      <c r="T12" s="58"/>
      <c r="U12" s="13"/>
    </row>
    <row r="13" spans="1:21" ht="18" x14ac:dyDescent="0.25">
      <c r="A13" s="27" t="s">
        <v>301</v>
      </c>
      <c r="B13" s="27"/>
      <c r="C13" s="27"/>
      <c r="M13" s="15"/>
      <c r="N13" s="15"/>
      <c r="O13" s="15"/>
      <c r="P13" s="15"/>
      <c r="Q13" s="36"/>
    </row>
    <row r="14" spans="1:21" ht="25.5" customHeight="1" x14ac:dyDescent="0.25">
      <c r="A14" s="129" t="s">
        <v>111</v>
      </c>
      <c r="B14" s="130">
        <v>2007</v>
      </c>
      <c r="C14" s="130">
        <v>2008</v>
      </c>
      <c r="D14" s="130">
        <v>2009</v>
      </c>
      <c r="E14" s="130">
        <v>2010</v>
      </c>
      <c r="F14" s="130">
        <v>2011</v>
      </c>
      <c r="G14" s="130">
        <v>2012</v>
      </c>
      <c r="H14" s="130">
        <v>2013</v>
      </c>
      <c r="I14" s="130">
        <v>2014</v>
      </c>
      <c r="J14" s="130">
        <v>2015</v>
      </c>
      <c r="K14" s="130">
        <v>2016</v>
      </c>
      <c r="L14" s="130">
        <v>2017</v>
      </c>
      <c r="M14" s="130">
        <v>2018</v>
      </c>
      <c r="N14" s="130">
        <v>2019</v>
      </c>
      <c r="O14" s="130">
        <v>2020</v>
      </c>
      <c r="P14" s="130">
        <v>2021</v>
      </c>
      <c r="Q14" s="131" t="s">
        <v>424</v>
      </c>
      <c r="R14" s="131" t="s">
        <v>425</v>
      </c>
      <c r="S14" s="131" t="s">
        <v>426</v>
      </c>
      <c r="T14" s="131" t="s">
        <v>427</v>
      </c>
    </row>
    <row r="15" spans="1:21" x14ac:dyDescent="0.25">
      <c r="A15" s="107" t="s">
        <v>350</v>
      </c>
      <c r="B15" s="151">
        <v>3108</v>
      </c>
      <c r="C15" s="151">
        <v>3781</v>
      </c>
      <c r="D15" s="41">
        <v>3398</v>
      </c>
      <c r="E15" s="41">
        <v>4110</v>
      </c>
      <c r="F15" s="41">
        <v>3228</v>
      </c>
      <c r="G15" s="41">
        <v>3389</v>
      </c>
      <c r="H15" s="41">
        <v>3362</v>
      </c>
      <c r="I15" s="41">
        <v>3347</v>
      </c>
      <c r="J15" s="41">
        <v>3311</v>
      </c>
      <c r="K15" s="41">
        <v>3549</v>
      </c>
      <c r="L15" s="41">
        <v>3156</v>
      </c>
      <c r="M15" s="41">
        <v>3440</v>
      </c>
      <c r="N15" s="41">
        <v>3240</v>
      </c>
      <c r="O15" s="41">
        <v>2658</v>
      </c>
      <c r="P15" s="41">
        <v>3821</v>
      </c>
      <c r="Q15" s="187">
        <f t="shared" ref="Q15:Q18" si="0">(P15-G15)/G15</f>
        <v>0.12747123045146061</v>
      </c>
      <c r="R15" s="187">
        <f t="shared" ref="R15:R18" si="1">(P15-L15)/L15</f>
        <v>0.21070975918884663</v>
      </c>
      <c r="S15" s="187">
        <f t="shared" ref="S15:S18" si="2">(P15-O15)/O15</f>
        <v>0.43754702784048155</v>
      </c>
      <c r="T15" s="187">
        <f>P15/P$18</f>
        <v>0.22084152121142064</v>
      </c>
    </row>
    <row r="16" spans="1:21" x14ac:dyDescent="0.25">
      <c r="A16" s="107" t="s">
        <v>351</v>
      </c>
      <c r="B16" s="151">
        <v>2455</v>
      </c>
      <c r="C16" s="151">
        <v>2324</v>
      </c>
      <c r="D16" s="41">
        <v>2948</v>
      </c>
      <c r="E16" s="41">
        <v>2563</v>
      </c>
      <c r="F16" s="41">
        <v>2738</v>
      </c>
      <c r="G16" s="41">
        <v>2487</v>
      </c>
      <c r="H16" s="41">
        <v>2737</v>
      </c>
      <c r="I16" s="41">
        <v>2716</v>
      </c>
      <c r="J16" s="41">
        <v>3099</v>
      </c>
      <c r="K16" s="41">
        <v>3420</v>
      </c>
      <c r="L16" s="41">
        <v>3385</v>
      </c>
      <c r="M16" s="41">
        <v>3165</v>
      </c>
      <c r="N16" s="41">
        <v>4071</v>
      </c>
      <c r="O16" s="41">
        <v>3423</v>
      </c>
      <c r="P16" s="41">
        <v>4731</v>
      </c>
      <c r="Q16" s="187">
        <f t="shared" si="0"/>
        <v>0.90229191797346198</v>
      </c>
      <c r="R16" s="187">
        <f t="shared" si="1"/>
        <v>0.39763663220088624</v>
      </c>
      <c r="S16" s="187">
        <f t="shared" si="2"/>
        <v>0.38212094653812445</v>
      </c>
      <c r="T16" s="187">
        <f t="shared" ref="T16:T18" si="3">P16/P$18</f>
        <v>0.27343659692521094</v>
      </c>
    </row>
    <row r="17" spans="1:20" x14ac:dyDescent="0.25">
      <c r="A17" s="91" t="s">
        <v>299</v>
      </c>
      <c r="B17" s="171">
        <v>2608</v>
      </c>
      <c r="C17" s="171">
        <v>4193</v>
      </c>
      <c r="D17" s="41">
        <v>4016</v>
      </c>
      <c r="E17" s="41">
        <v>5297</v>
      </c>
      <c r="F17" s="41">
        <v>5477</v>
      </c>
      <c r="G17" s="41">
        <v>5841</v>
      </c>
      <c r="H17" s="41">
        <v>7824</v>
      </c>
      <c r="I17" s="41">
        <v>7496</v>
      </c>
      <c r="J17" s="41">
        <v>6892</v>
      </c>
      <c r="K17" s="41">
        <v>6850</v>
      </c>
      <c r="L17" s="41">
        <v>7458</v>
      </c>
      <c r="M17" s="41">
        <v>7967</v>
      </c>
      <c r="N17" s="41">
        <v>6301</v>
      </c>
      <c r="O17" s="41">
        <v>5464</v>
      </c>
      <c r="P17" s="41">
        <v>8750</v>
      </c>
      <c r="Q17" s="187">
        <f t="shared" si="0"/>
        <v>0.49803115904810819</v>
      </c>
      <c r="R17" s="187">
        <f t="shared" si="1"/>
        <v>0.17323679270581926</v>
      </c>
      <c r="S17" s="187">
        <f t="shared" si="2"/>
        <v>0.60139092240117131</v>
      </c>
      <c r="T17" s="187">
        <f t="shared" si="3"/>
        <v>0.50572188186336842</v>
      </c>
    </row>
    <row r="18" spans="1:20" s="52" customFormat="1" x14ac:dyDescent="0.25">
      <c r="A18" s="112" t="s">
        <v>0</v>
      </c>
      <c r="B18" s="108">
        <v>8171</v>
      </c>
      <c r="C18" s="108">
        <v>10298</v>
      </c>
      <c r="D18" s="109">
        <v>10362</v>
      </c>
      <c r="E18" s="109">
        <v>11970</v>
      </c>
      <c r="F18" s="109">
        <v>11443</v>
      </c>
      <c r="G18" s="109">
        <v>11717</v>
      </c>
      <c r="H18" s="109">
        <v>13923</v>
      </c>
      <c r="I18" s="109">
        <v>13559</v>
      </c>
      <c r="J18" s="109">
        <v>13302</v>
      </c>
      <c r="K18" s="109">
        <v>13819</v>
      </c>
      <c r="L18" s="109">
        <v>13999</v>
      </c>
      <c r="M18" s="109">
        <v>14572</v>
      </c>
      <c r="N18" s="109">
        <v>13612</v>
      </c>
      <c r="O18" s="109">
        <v>11545</v>
      </c>
      <c r="P18" s="109">
        <v>17302</v>
      </c>
      <c r="Q18" s="188">
        <f t="shared" si="0"/>
        <v>0.47665784757190405</v>
      </c>
      <c r="R18" s="188">
        <f t="shared" si="1"/>
        <v>0.23594542467319093</v>
      </c>
      <c r="S18" s="188">
        <f t="shared" si="2"/>
        <v>0.49865742745777392</v>
      </c>
      <c r="T18" s="188">
        <f t="shared" si="3"/>
        <v>1</v>
      </c>
    </row>
    <row r="19" spans="1:20" s="52" customFormat="1" x14ac:dyDescent="0.25">
      <c r="A19" s="125" t="s">
        <v>366</v>
      </c>
      <c r="B19" s="128"/>
      <c r="C19" s="128"/>
      <c r="D19" s="60"/>
      <c r="E19" s="60"/>
      <c r="F19" s="60"/>
      <c r="G19" s="60"/>
      <c r="H19" s="60"/>
      <c r="I19" s="60"/>
      <c r="J19" s="60"/>
      <c r="K19" s="60"/>
      <c r="L19" s="60"/>
      <c r="M19" s="60"/>
      <c r="N19" s="60"/>
      <c r="O19" s="60"/>
      <c r="P19" s="60"/>
      <c r="Q19" s="61"/>
      <c r="R19" s="61"/>
      <c r="S19" s="61"/>
      <c r="T19" s="61"/>
    </row>
    <row r="20" spans="1:20" x14ac:dyDescent="0.25">
      <c r="H20" s="16"/>
      <c r="M20" s="15"/>
      <c r="N20" s="15"/>
      <c r="O20" s="15"/>
      <c r="P20" s="15"/>
      <c r="Q20" s="36"/>
    </row>
    <row r="21" spans="1:20" ht="15.75" x14ac:dyDescent="0.25">
      <c r="A21" s="27" t="s">
        <v>143</v>
      </c>
      <c r="B21" s="27"/>
      <c r="C21" s="27"/>
      <c r="M21" s="15"/>
      <c r="N21" s="15"/>
      <c r="O21" s="15"/>
      <c r="P21" s="15"/>
      <c r="Q21" s="36"/>
    </row>
    <row r="22" spans="1:20" ht="25.5" customHeight="1" x14ac:dyDescent="0.25">
      <c r="A22" s="129" t="s">
        <v>107</v>
      </c>
      <c r="B22" s="130">
        <v>2007</v>
      </c>
      <c r="C22" s="130">
        <v>2008</v>
      </c>
      <c r="D22" s="130">
        <v>2009</v>
      </c>
      <c r="E22" s="130">
        <v>2010</v>
      </c>
      <c r="F22" s="130">
        <v>2011</v>
      </c>
      <c r="G22" s="130">
        <v>2012</v>
      </c>
      <c r="H22" s="130">
        <v>2013</v>
      </c>
      <c r="I22" s="130">
        <v>2014</v>
      </c>
      <c r="J22" s="130">
        <v>2015</v>
      </c>
      <c r="K22" s="130">
        <v>2016</v>
      </c>
      <c r="L22" s="130">
        <v>2017</v>
      </c>
      <c r="M22" s="130">
        <v>2018</v>
      </c>
      <c r="N22" s="130">
        <v>2019</v>
      </c>
      <c r="O22" s="130">
        <v>2020</v>
      </c>
      <c r="P22" s="130">
        <v>2021</v>
      </c>
      <c r="Q22" s="131" t="s">
        <v>424</v>
      </c>
      <c r="R22" s="131" t="s">
        <v>425</v>
      </c>
      <c r="S22" s="131" t="s">
        <v>426</v>
      </c>
      <c r="T22" s="131" t="s">
        <v>427</v>
      </c>
    </row>
    <row r="23" spans="1:20" x14ac:dyDescent="0.25">
      <c r="A23" s="89" t="s">
        <v>108</v>
      </c>
      <c r="B23" s="1">
        <v>3029</v>
      </c>
      <c r="C23" s="1">
        <v>3629</v>
      </c>
      <c r="D23" s="25">
        <v>3738</v>
      </c>
      <c r="E23" s="25">
        <v>4055</v>
      </c>
      <c r="F23" s="25">
        <v>4052</v>
      </c>
      <c r="G23" s="25">
        <v>4471</v>
      </c>
      <c r="H23" s="25">
        <v>4653</v>
      </c>
      <c r="I23" s="25">
        <v>4925</v>
      </c>
      <c r="J23" s="25">
        <v>5172</v>
      </c>
      <c r="K23" s="25">
        <v>5545</v>
      </c>
      <c r="L23" s="25">
        <v>5536</v>
      </c>
      <c r="M23" s="25">
        <v>5939</v>
      </c>
      <c r="N23" s="25">
        <v>6046</v>
      </c>
      <c r="O23" s="25">
        <v>6024</v>
      </c>
      <c r="P23" s="25">
        <v>6729</v>
      </c>
      <c r="Q23" s="187">
        <f t="shared" ref="Q23:Q25" si="4">(P23-G23)/G23</f>
        <v>0.50503243122343999</v>
      </c>
      <c r="R23" s="187">
        <f t="shared" ref="R23:R25" si="5">(P23-L23)/L23</f>
        <v>0.21549855491329481</v>
      </c>
      <c r="S23" s="187">
        <f t="shared" ref="S23:S25" si="6">(P23-O23)/O23</f>
        <v>0.11703187250996015</v>
      </c>
      <c r="T23" s="187">
        <f>P23/P$25</f>
        <v>0.12637331680658065</v>
      </c>
    </row>
    <row r="24" spans="1:20" x14ac:dyDescent="0.25">
      <c r="A24" s="89" t="s">
        <v>109</v>
      </c>
      <c r="B24" s="1">
        <v>17664</v>
      </c>
      <c r="C24" s="1">
        <v>22445</v>
      </c>
      <c r="D24" s="25">
        <v>24619</v>
      </c>
      <c r="E24" s="25">
        <v>29343</v>
      </c>
      <c r="F24" s="25">
        <v>30428</v>
      </c>
      <c r="G24" s="25">
        <v>36730</v>
      </c>
      <c r="H24" s="25">
        <v>42073</v>
      </c>
      <c r="I24" s="25">
        <v>41881</v>
      </c>
      <c r="J24" s="25">
        <v>39944</v>
      </c>
      <c r="K24" s="25">
        <v>42039</v>
      </c>
      <c r="L24" s="25">
        <v>43162</v>
      </c>
      <c r="M24" s="25">
        <v>40936</v>
      </c>
      <c r="N24" s="25">
        <v>42345</v>
      </c>
      <c r="O24" s="25">
        <v>39459</v>
      </c>
      <c r="P24" s="25">
        <v>46518</v>
      </c>
      <c r="Q24" s="187">
        <f t="shared" si="4"/>
        <v>0.26648516199292133</v>
      </c>
      <c r="R24" s="187">
        <f t="shared" si="5"/>
        <v>7.7753579537556183E-2</v>
      </c>
      <c r="S24" s="187">
        <f t="shared" si="6"/>
        <v>0.17889454877214322</v>
      </c>
      <c r="T24" s="187">
        <f t="shared" ref="T24:T25" si="7">P24/P$25</f>
        <v>0.8736266831934193</v>
      </c>
    </row>
    <row r="25" spans="1:20" s="52" customFormat="1" x14ac:dyDescent="0.25">
      <c r="A25" s="112" t="s">
        <v>0</v>
      </c>
      <c r="B25" s="2">
        <v>20693</v>
      </c>
      <c r="C25" s="2">
        <v>26074</v>
      </c>
      <c r="D25" s="26">
        <v>28357</v>
      </c>
      <c r="E25" s="26">
        <v>33398</v>
      </c>
      <c r="F25" s="26">
        <v>34480</v>
      </c>
      <c r="G25" s="26">
        <v>41201</v>
      </c>
      <c r="H25" s="26">
        <v>46726</v>
      </c>
      <c r="I25" s="26">
        <v>46806</v>
      </c>
      <c r="J25" s="26">
        <v>45116</v>
      </c>
      <c r="K25" s="26">
        <v>47584</v>
      </c>
      <c r="L25" s="26">
        <v>48698</v>
      </c>
      <c r="M25" s="26">
        <v>46875</v>
      </c>
      <c r="N25" s="26">
        <v>48391</v>
      </c>
      <c r="O25" s="26">
        <v>45483</v>
      </c>
      <c r="P25" s="26">
        <v>53247</v>
      </c>
      <c r="Q25" s="188">
        <f t="shared" si="4"/>
        <v>0.2923715443799908</v>
      </c>
      <c r="R25" s="188">
        <f t="shared" si="5"/>
        <v>9.3412460470655878E-2</v>
      </c>
      <c r="S25" s="188">
        <f t="shared" si="6"/>
        <v>0.17070114108568035</v>
      </c>
      <c r="T25" s="188">
        <f t="shared" si="7"/>
        <v>1</v>
      </c>
    </row>
    <row r="26" spans="1:20" x14ac:dyDescent="0.25">
      <c r="D26" s="110"/>
      <c r="E26" s="110"/>
      <c r="F26" s="110"/>
      <c r="G26" s="110"/>
      <c r="H26" s="16"/>
      <c r="M26" s="15"/>
      <c r="N26" s="15"/>
      <c r="O26" s="15"/>
      <c r="P26" s="15"/>
      <c r="Q26" s="36"/>
    </row>
    <row r="27" spans="1:20" ht="18" x14ac:dyDescent="0.25">
      <c r="A27" s="27" t="s">
        <v>144</v>
      </c>
      <c r="B27" s="27"/>
      <c r="C27" s="27"/>
      <c r="M27" s="15"/>
      <c r="N27" s="15"/>
      <c r="O27" s="15"/>
      <c r="P27" s="15"/>
      <c r="Q27" s="36"/>
    </row>
    <row r="28" spans="1:20" ht="25.5" customHeight="1" x14ac:dyDescent="0.25">
      <c r="A28" s="129" t="s">
        <v>107</v>
      </c>
      <c r="B28" s="130">
        <v>2007</v>
      </c>
      <c r="C28" s="130">
        <v>2008</v>
      </c>
      <c r="D28" s="130">
        <v>2009</v>
      </c>
      <c r="E28" s="130">
        <v>2010</v>
      </c>
      <c r="F28" s="130">
        <v>2011</v>
      </c>
      <c r="G28" s="130">
        <v>2012</v>
      </c>
      <c r="H28" s="130">
        <v>2013</v>
      </c>
      <c r="I28" s="130">
        <v>2014</v>
      </c>
      <c r="J28" s="130">
        <v>2015</v>
      </c>
      <c r="K28" s="130">
        <v>2016</v>
      </c>
      <c r="L28" s="130">
        <v>2017</v>
      </c>
      <c r="M28" s="130">
        <v>2018</v>
      </c>
      <c r="N28" s="130">
        <v>2019</v>
      </c>
      <c r="O28" s="130">
        <v>2020</v>
      </c>
      <c r="P28" s="130">
        <v>2021</v>
      </c>
      <c r="Q28" s="131" t="s">
        <v>424</v>
      </c>
      <c r="R28" s="131" t="s">
        <v>425</v>
      </c>
      <c r="S28" s="131" t="s">
        <v>426</v>
      </c>
      <c r="T28" s="131" t="s">
        <v>427</v>
      </c>
    </row>
    <row r="29" spans="1:20" x14ac:dyDescent="0.25">
      <c r="A29" s="89" t="s">
        <v>108</v>
      </c>
      <c r="B29" s="31">
        <v>766</v>
      </c>
      <c r="C29" s="31">
        <v>892</v>
      </c>
      <c r="D29" s="41">
        <v>725</v>
      </c>
      <c r="E29" s="41">
        <v>841</v>
      </c>
      <c r="F29" s="41">
        <v>920</v>
      </c>
      <c r="G29" s="41">
        <v>870</v>
      </c>
      <c r="H29" s="41">
        <v>967</v>
      </c>
      <c r="I29" s="41">
        <v>944</v>
      </c>
      <c r="J29" s="41">
        <v>979</v>
      </c>
      <c r="K29" s="41">
        <v>1025</v>
      </c>
      <c r="L29" s="41">
        <v>1052</v>
      </c>
      <c r="M29" s="41">
        <v>1203</v>
      </c>
      <c r="N29" s="41">
        <v>1226</v>
      </c>
      <c r="O29" s="41">
        <v>1150</v>
      </c>
      <c r="P29" s="41">
        <v>1288</v>
      </c>
      <c r="Q29" s="187">
        <f t="shared" ref="Q29:Q31" si="8">(P29-G29)/G29</f>
        <v>0.48045977011494251</v>
      </c>
      <c r="R29" s="187">
        <f t="shared" ref="R29:R31" si="9">(P29-L29)/L29</f>
        <v>0.22433460076045628</v>
      </c>
      <c r="S29" s="187">
        <f t="shared" ref="S29:S31" si="10">(P29-O29)/O29</f>
        <v>0.12</v>
      </c>
      <c r="T29" s="187">
        <f>P29/P$31</f>
        <v>7.4442261010287822E-2</v>
      </c>
    </row>
    <row r="30" spans="1:20" x14ac:dyDescent="0.25">
      <c r="A30" s="89" t="s">
        <v>109</v>
      </c>
      <c r="B30" s="31">
        <v>7405</v>
      </c>
      <c r="C30" s="31">
        <v>9406</v>
      </c>
      <c r="D30" s="41">
        <v>9637</v>
      </c>
      <c r="E30" s="41">
        <v>11129</v>
      </c>
      <c r="F30" s="41">
        <v>10523</v>
      </c>
      <c r="G30" s="41">
        <v>10847</v>
      </c>
      <c r="H30" s="41">
        <v>12956</v>
      </c>
      <c r="I30" s="41">
        <v>12615</v>
      </c>
      <c r="J30" s="41">
        <v>12323</v>
      </c>
      <c r="K30" s="41">
        <v>12794</v>
      </c>
      <c r="L30" s="41">
        <v>12947</v>
      </c>
      <c r="M30" s="41">
        <v>13369</v>
      </c>
      <c r="N30" s="41">
        <v>12386</v>
      </c>
      <c r="O30" s="41">
        <v>10395</v>
      </c>
      <c r="P30" s="41">
        <v>16014</v>
      </c>
      <c r="Q30" s="187">
        <f t="shared" si="8"/>
        <v>0.47635290863833318</v>
      </c>
      <c r="R30" s="187">
        <f t="shared" si="9"/>
        <v>0.23688885456090214</v>
      </c>
      <c r="S30" s="187">
        <f t="shared" si="10"/>
        <v>0.54054834054834056</v>
      </c>
      <c r="T30" s="187">
        <f t="shared" ref="T30:T31" si="11">P30/P$31</f>
        <v>0.92555773898971216</v>
      </c>
    </row>
    <row r="31" spans="1:20" s="52" customFormat="1" x14ac:dyDescent="0.25">
      <c r="A31" s="112" t="s">
        <v>0</v>
      </c>
      <c r="B31" s="108">
        <v>8171</v>
      </c>
      <c r="C31" s="108">
        <v>10298</v>
      </c>
      <c r="D31" s="109">
        <v>10362</v>
      </c>
      <c r="E31" s="109">
        <v>11970</v>
      </c>
      <c r="F31" s="109">
        <v>11443</v>
      </c>
      <c r="G31" s="109">
        <v>11717</v>
      </c>
      <c r="H31" s="109">
        <v>13923</v>
      </c>
      <c r="I31" s="109">
        <v>13559</v>
      </c>
      <c r="J31" s="109">
        <v>13302</v>
      </c>
      <c r="K31" s="109">
        <v>13819</v>
      </c>
      <c r="L31" s="109">
        <v>13999</v>
      </c>
      <c r="M31" s="109">
        <v>14572</v>
      </c>
      <c r="N31" s="109">
        <v>13612</v>
      </c>
      <c r="O31" s="109">
        <v>11545</v>
      </c>
      <c r="P31" s="109">
        <v>17302</v>
      </c>
      <c r="Q31" s="188">
        <f t="shared" si="8"/>
        <v>0.47665784757190405</v>
      </c>
      <c r="R31" s="188">
        <f t="shared" si="9"/>
        <v>0.23594542467319093</v>
      </c>
      <c r="S31" s="188">
        <f t="shared" si="10"/>
        <v>0.49865742745777392</v>
      </c>
      <c r="T31" s="188">
        <f t="shared" si="11"/>
        <v>1</v>
      </c>
    </row>
    <row r="32" spans="1:20" x14ac:dyDescent="0.25">
      <c r="M32" s="15"/>
      <c r="N32" s="15"/>
      <c r="O32" s="15"/>
      <c r="P32" s="15"/>
      <c r="Q32" s="36"/>
    </row>
    <row r="33" spans="1:20" ht="15.75" x14ac:dyDescent="0.25">
      <c r="A33" s="27" t="s">
        <v>302</v>
      </c>
      <c r="B33" s="27"/>
      <c r="C33" s="27"/>
      <c r="M33" s="15"/>
      <c r="N33" s="15"/>
      <c r="O33" s="15"/>
      <c r="P33" s="15"/>
      <c r="Q33" s="36"/>
    </row>
    <row r="34" spans="1:20" ht="25.5" customHeight="1" x14ac:dyDescent="0.25">
      <c r="A34" s="129" t="s">
        <v>111</v>
      </c>
      <c r="B34" s="130">
        <v>2007</v>
      </c>
      <c r="C34" s="130">
        <v>2008</v>
      </c>
      <c r="D34" s="130">
        <v>2009</v>
      </c>
      <c r="E34" s="130">
        <v>2010</v>
      </c>
      <c r="F34" s="130">
        <v>2011</v>
      </c>
      <c r="G34" s="130">
        <v>2012</v>
      </c>
      <c r="H34" s="130">
        <v>2013</v>
      </c>
      <c r="I34" s="130">
        <v>2014</v>
      </c>
      <c r="J34" s="130">
        <v>2015</v>
      </c>
      <c r="K34" s="130">
        <v>2016</v>
      </c>
      <c r="L34" s="130">
        <v>2017</v>
      </c>
      <c r="M34" s="130">
        <v>2018</v>
      </c>
      <c r="N34" s="130">
        <v>2019</v>
      </c>
      <c r="O34" s="130">
        <v>2020</v>
      </c>
      <c r="P34" s="130">
        <v>2021</v>
      </c>
      <c r="Q34" s="131" t="s">
        <v>424</v>
      </c>
      <c r="R34" s="131" t="s">
        <v>425</v>
      </c>
      <c r="S34" s="131" t="s">
        <v>426</v>
      </c>
      <c r="T34" s="131" t="s">
        <v>427</v>
      </c>
    </row>
    <row r="35" spans="1:20" s="52" customFormat="1" x14ac:dyDescent="0.25">
      <c r="A35" s="86" t="s">
        <v>350</v>
      </c>
      <c r="B35" s="45">
        <v>8640</v>
      </c>
      <c r="C35" s="45">
        <v>10810</v>
      </c>
      <c r="D35" s="26">
        <v>10714</v>
      </c>
      <c r="E35" s="26">
        <v>12675</v>
      </c>
      <c r="F35" s="26">
        <v>11317</v>
      </c>
      <c r="G35" s="26">
        <v>14249</v>
      </c>
      <c r="H35" s="26">
        <v>14823</v>
      </c>
      <c r="I35" s="26">
        <v>14867</v>
      </c>
      <c r="J35" s="26">
        <v>13807</v>
      </c>
      <c r="K35" s="26">
        <v>13807</v>
      </c>
      <c r="L35" s="26">
        <v>13148</v>
      </c>
      <c r="M35" s="26">
        <v>12402</v>
      </c>
      <c r="N35" s="26">
        <v>12561</v>
      </c>
      <c r="O35" s="26">
        <v>10521</v>
      </c>
      <c r="P35" s="26">
        <v>12304</v>
      </c>
      <c r="Q35" s="188">
        <f t="shared" ref="Q35:Q47" si="12">(P35-G35)/G35</f>
        <v>-0.13650080707418064</v>
      </c>
      <c r="R35" s="188">
        <f t="shared" ref="R35:R47" si="13">(P35-L35)/L35</f>
        <v>-6.4192272588986923E-2</v>
      </c>
      <c r="S35" s="188">
        <f t="shared" ref="S35:S47" si="14">(P35-O35)/O35</f>
        <v>0.16947058264423534</v>
      </c>
      <c r="T35" s="188">
        <f>P35/P$47</f>
        <v>0.2310740511202509</v>
      </c>
    </row>
    <row r="36" spans="1:20" x14ac:dyDescent="0.25">
      <c r="A36" s="181" t="s">
        <v>108</v>
      </c>
      <c r="B36" s="1">
        <v>1303</v>
      </c>
      <c r="C36" s="1">
        <v>1527</v>
      </c>
      <c r="D36" s="25">
        <v>1568</v>
      </c>
      <c r="E36" s="25">
        <v>1756</v>
      </c>
      <c r="F36" s="25">
        <v>1764</v>
      </c>
      <c r="G36" s="25">
        <v>2028</v>
      </c>
      <c r="H36" s="25">
        <v>2029</v>
      </c>
      <c r="I36" s="25">
        <v>2163</v>
      </c>
      <c r="J36" s="25">
        <v>2223</v>
      </c>
      <c r="K36" s="25">
        <v>2372</v>
      </c>
      <c r="L36" s="25">
        <v>2343</v>
      </c>
      <c r="M36" s="25">
        <v>2464</v>
      </c>
      <c r="N36" s="25">
        <v>2490</v>
      </c>
      <c r="O36" s="25">
        <v>2371</v>
      </c>
      <c r="P36" s="25">
        <v>2601</v>
      </c>
      <c r="Q36" s="187">
        <f t="shared" si="12"/>
        <v>0.28254437869822485</v>
      </c>
      <c r="R36" s="187">
        <f t="shared" si="13"/>
        <v>0.11011523687580026</v>
      </c>
      <c r="S36" s="187">
        <f t="shared" si="14"/>
        <v>9.7005482918599742E-2</v>
      </c>
      <c r="T36" s="187">
        <f t="shared" ref="T36:T47" si="15">P36/P$47</f>
        <v>4.8847822412530287E-2</v>
      </c>
    </row>
    <row r="37" spans="1:20" x14ac:dyDescent="0.25">
      <c r="A37" s="181" t="s">
        <v>109</v>
      </c>
      <c r="B37" s="1">
        <v>7337</v>
      </c>
      <c r="C37" s="1">
        <v>9283</v>
      </c>
      <c r="D37" s="25">
        <v>9146</v>
      </c>
      <c r="E37" s="25">
        <v>10919</v>
      </c>
      <c r="F37" s="25">
        <v>9553</v>
      </c>
      <c r="G37" s="25">
        <v>12221</v>
      </c>
      <c r="H37" s="25">
        <v>12794</v>
      </c>
      <c r="I37" s="25">
        <v>12704</v>
      </c>
      <c r="J37" s="25">
        <v>11584</v>
      </c>
      <c r="K37" s="25">
        <v>11435</v>
      </c>
      <c r="L37" s="25">
        <v>10805</v>
      </c>
      <c r="M37" s="25">
        <v>9938</v>
      </c>
      <c r="N37" s="25">
        <v>10071</v>
      </c>
      <c r="O37" s="25">
        <v>8150</v>
      </c>
      <c r="P37" s="25">
        <v>9703</v>
      </c>
      <c r="Q37" s="187">
        <f t="shared" si="12"/>
        <v>-0.20603878569675149</v>
      </c>
      <c r="R37" s="187">
        <f t="shared" si="13"/>
        <v>-0.10198981952799629</v>
      </c>
      <c r="S37" s="187">
        <f t="shared" si="14"/>
        <v>0.19055214723926381</v>
      </c>
      <c r="T37" s="187">
        <f t="shared" si="15"/>
        <v>0.18222622870772062</v>
      </c>
    </row>
    <row r="38" spans="1:20" s="52" customFormat="1" x14ac:dyDescent="0.25">
      <c r="A38" s="86" t="s">
        <v>351</v>
      </c>
      <c r="B38" s="45">
        <v>6602</v>
      </c>
      <c r="C38" s="45">
        <v>7183</v>
      </c>
      <c r="D38" s="26">
        <v>8183</v>
      </c>
      <c r="E38" s="26">
        <v>8838</v>
      </c>
      <c r="F38" s="26">
        <v>8715</v>
      </c>
      <c r="G38" s="26">
        <v>8944</v>
      </c>
      <c r="H38" s="26">
        <v>9359</v>
      </c>
      <c r="I38" s="26">
        <v>10327</v>
      </c>
      <c r="J38" s="26">
        <v>10571</v>
      </c>
      <c r="K38" s="26">
        <v>11832</v>
      </c>
      <c r="L38" s="26">
        <v>11114</v>
      </c>
      <c r="M38" s="26">
        <v>11016</v>
      </c>
      <c r="N38" s="26">
        <v>13457</v>
      </c>
      <c r="O38" s="26">
        <v>13937</v>
      </c>
      <c r="P38" s="26">
        <v>15330</v>
      </c>
      <c r="Q38" s="188">
        <f t="shared" si="12"/>
        <v>0.71399821109123429</v>
      </c>
      <c r="R38" s="188">
        <f t="shared" si="13"/>
        <v>0.37934137124347672</v>
      </c>
      <c r="S38" s="188">
        <f t="shared" si="14"/>
        <v>9.9949773982923151E-2</v>
      </c>
      <c r="T38" s="188">
        <f t="shared" si="15"/>
        <v>0.28790354386162603</v>
      </c>
    </row>
    <row r="39" spans="1:20" x14ac:dyDescent="0.25">
      <c r="A39" s="181" t="s">
        <v>108</v>
      </c>
      <c r="B39" s="1">
        <v>1519</v>
      </c>
      <c r="C39" s="1">
        <v>1536</v>
      </c>
      <c r="D39" s="25">
        <v>1560</v>
      </c>
      <c r="E39" s="25">
        <v>1798</v>
      </c>
      <c r="F39" s="25">
        <v>1951</v>
      </c>
      <c r="G39" s="25">
        <v>1980</v>
      </c>
      <c r="H39" s="25">
        <v>2074</v>
      </c>
      <c r="I39" s="25">
        <v>2187</v>
      </c>
      <c r="J39" s="25">
        <v>2342</v>
      </c>
      <c r="K39" s="25">
        <v>2564</v>
      </c>
      <c r="L39" s="25">
        <v>2554</v>
      </c>
      <c r="M39" s="25">
        <v>2719</v>
      </c>
      <c r="N39" s="25">
        <v>2956</v>
      </c>
      <c r="O39" s="25">
        <v>3115</v>
      </c>
      <c r="P39" s="25">
        <v>3332</v>
      </c>
      <c r="Q39" s="187">
        <f t="shared" si="12"/>
        <v>0.68282828282828278</v>
      </c>
      <c r="R39" s="187">
        <f t="shared" si="13"/>
        <v>0.30462020360219266</v>
      </c>
      <c r="S39" s="187">
        <f t="shared" si="14"/>
        <v>6.9662921348314602E-2</v>
      </c>
      <c r="T39" s="187">
        <f t="shared" si="15"/>
        <v>6.2576295378143368E-2</v>
      </c>
    </row>
    <row r="40" spans="1:20" x14ac:dyDescent="0.25">
      <c r="A40" s="181" t="s">
        <v>109</v>
      </c>
      <c r="B40" s="1">
        <v>5083</v>
      </c>
      <c r="C40" s="1">
        <v>5647</v>
      </c>
      <c r="D40" s="25">
        <v>6623</v>
      </c>
      <c r="E40" s="25">
        <v>7040</v>
      </c>
      <c r="F40" s="25">
        <v>6764</v>
      </c>
      <c r="G40" s="25">
        <v>6964</v>
      </c>
      <c r="H40" s="25">
        <v>7285</v>
      </c>
      <c r="I40" s="25">
        <v>8140</v>
      </c>
      <c r="J40" s="25">
        <v>8229</v>
      </c>
      <c r="K40" s="25">
        <v>9268</v>
      </c>
      <c r="L40" s="25">
        <v>8560</v>
      </c>
      <c r="M40" s="25">
        <v>8297</v>
      </c>
      <c r="N40" s="25">
        <v>10501</v>
      </c>
      <c r="O40" s="25">
        <v>10822</v>
      </c>
      <c r="P40" s="25">
        <v>11998</v>
      </c>
      <c r="Q40" s="187">
        <f t="shared" si="12"/>
        <v>0.72286042504307868</v>
      </c>
      <c r="R40" s="187">
        <f t="shared" si="13"/>
        <v>0.40163551401869158</v>
      </c>
      <c r="S40" s="187">
        <f t="shared" si="14"/>
        <v>0.10866752910737387</v>
      </c>
      <c r="T40" s="187">
        <f t="shared" si="15"/>
        <v>0.22532724848348265</v>
      </c>
    </row>
    <row r="41" spans="1:20" s="52" customFormat="1" x14ac:dyDescent="0.25">
      <c r="A41" s="86" t="s">
        <v>299</v>
      </c>
      <c r="B41" s="45">
        <v>5451</v>
      </c>
      <c r="C41" s="45">
        <v>8081</v>
      </c>
      <c r="D41" s="26">
        <v>9460</v>
      </c>
      <c r="E41" s="26">
        <v>11885</v>
      </c>
      <c r="F41" s="26">
        <v>14448</v>
      </c>
      <c r="G41" s="26">
        <v>18008</v>
      </c>
      <c r="H41" s="26">
        <v>22544</v>
      </c>
      <c r="I41" s="26">
        <v>21612</v>
      </c>
      <c r="J41" s="26">
        <v>20738</v>
      </c>
      <c r="K41" s="26">
        <v>21945</v>
      </c>
      <c r="L41" s="26">
        <v>24436</v>
      </c>
      <c r="M41" s="26">
        <v>23457</v>
      </c>
      <c r="N41" s="26">
        <v>22373</v>
      </c>
      <c r="O41" s="26">
        <v>21003</v>
      </c>
      <c r="P41" s="26">
        <v>25326</v>
      </c>
      <c r="Q41" s="188">
        <f t="shared" si="12"/>
        <v>0.40637494446912481</v>
      </c>
      <c r="R41" s="188">
        <f t="shared" si="13"/>
        <v>3.6421672941561629E-2</v>
      </c>
      <c r="S41" s="188">
        <f t="shared" si="14"/>
        <v>0.20582773889444364</v>
      </c>
      <c r="T41" s="188">
        <f t="shared" si="15"/>
        <v>0.47563242999605609</v>
      </c>
    </row>
    <row r="42" spans="1:20" x14ac:dyDescent="0.25">
      <c r="A42" s="181" t="s">
        <v>108</v>
      </c>
      <c r="B42" s="1">
        <v>207</v>
      </c>
      <c r="C42" s="1">
        <v>566</v>
      </c>
      <c r="D42" s="25">
        <v>610</v>
      </c>
      <c r="E42" s="25">
        <v>501</v>
      </c>
      <c r="F42" s="25">
        <v>337</v>
      </c>
      <c r="G42" s="25">
        <v>463</v>
      </c>
      <c r="H42" s="25">
        <v>550</v>
      </c>
      <c r="I42" s="25">
        <v>575</v>
      </c>
      <c r="J42" s="25">
        <v>607</v>
      </c>
      <c r="K42" s="25">
        <v>609</v>
      </c>
      <c r="L42" s="25">
        <v>639</v>
      </c>
      <c r="M42" s="25">
        <v>756</v>
      </c>
      <c r="N42" s="25">
        <v>600</v>
      </c>
      <c r="O42" s="25">
        <v>538</v>
      </c>
      <c r="P42" s="25">
        <v>679</v>
      </c>
      <c r="Q42" s="187">
        <f t="shared" si="12"/>
        <v>0.46652267818574517</v>
      </c>
      <c r="R42" s="187">
        <f t="shared" si="13"/>
        <v>6.2597809076682318E-2</v>
      </c>
      <c r="S42" s="187">
        <f t="shared" si="14"/>
        <v>0.26208178438661711</v>
      </c>
      <c r="T42" s="187">
        <f t="shared" si="15"/>
        <v>1.2751892125377955E-2</v>
      </c>
    </row>
    <row r="43" spans="1:20" x14ac:dyDescent="0.25">
      <c r="A43" s="181" t="s">
        <v>109</v>
      </c>
      <c r="B43" s="1">
        <v>5244</v>
      </c>
      <c r="C43" s="1">
        <v>7515</v>
      </c>
      <c r="D43" s="25">
        <v>8850</v>
      </c>
      <c r="E43" s="25">
        <v>11384</v>
      </c>
      <c r="F43" s="25">
        <v>14111</v>
      </c>
      <c r="G43" s="25">
        <v>17545</v>
      </c>
      <c r="H43" s="25">
        <v>21994</v>
      </c>
      <c r="I43" s="25">
        <v>21037</v>
      </c>
      <c r="J43" s="25">
        <v>20131</v>
      </c>
      <c r="K43" s="25">
        <v>21336</v>
      </c>
      <c r="L43" s="25">
        <v>23797</v>
      </c>
      <c r="M43" s="25">
        <v>22701</v>
      </c>
      <c r="N43" s="25">
        <v>21773</v>
      </c>
      <c r="O43" s="25">
        <v>20465</v>
      </c>
      <c r="P43" s="25">
        <v>24647</v>
      </c>
      <c r="Q43" s="187">
        <f t="shared" si="12"/>
        <v>0.40478768880022797</v>
      </c>
      <c r="R43" s="187">
        <f t="shared" si="13"/>
        <v>3.5718788082531414E-2</v>
      </c>
      <c r="S43" s="187">
        <f t="shared" si="14"/>
        <v>0.20434888834595652</v>
      </c>
      <c r="T43" s="187">
        <f t="shared" si="15"/>
        <v>0.46288053787067818</v>
      </c>
    </row>
    <row r="44" spans="1:20" x14ac:dyDescent="0.25">
      <c r="A44" s="86" t="s">
        <v>365</v>
      </c>
      <c r="B44" s="2"/>
      <c r="C44" s="2"/>
      <c r="D44" s="26"/>
      <c r="E44" s="26"/>
      <c r="F44" s="26"/>
      <c r="G44" s="26"/>
      <c r="H44" s="26"/>
      <c r="I44" s="26"/>
      <c r="J44" s="26"/>
      <c r="K44" s="26"/>
      <c r="L44" s="26"/>
      <c r="M44" s="26"/>
      <c r="N44" s="26"/>
      <c r="O44" s="26">
        <v>22</v>
      </c>
      <c r="P44" s="26">
        <v>287</v>
      </c>
      <c r="Q44" s="188" t="s">
        <v>155</v>
      </c>
      <c r="R44" s="188" t="s">
        <v>155</v>
      </c>
      <c r="S44" s="188">
        <f t="shared" si="14"/>
        <v>12.045454545454545</v>
      </c>
      <c r="T44" s="188">
        <f t="shared" si="15"/>
        <v>5.3899750220669706E-3</v>
      </c>
    </row>
    <row r="45" spans="1:20" x14ac:dyDescent="0.25">
      <c r="A45" s="181" t="s">
        <v>108</v>
      </c>
      <c r="B45" s="2"/>
      <c r="C45" s="2"/>
      <c r="D45" s="26"/>
      <c r="E45" s="26"/>
      <c r="F45" s="26"/>
      <c r="G45" s="26"/>
      <c r="H45" s="26"/>
      <c r="I45" s="26"/>
      <c r="J45" s="26"/>
      <c r="K45" s="26"/>
      <c r="L45" s="26"/>
      <c r="M45" s="26"/>
      <c r="N45" s="26"/>
      <c r="O45" s="26"/>
      <c r="P45" s="26">
        <v>117</v>
      </c>
      <c r="Q45" s="187" t="s">
        <v>155</v>
      </c>
      <c r="R45" s="187" t="s">
        <v>155</v>
      </c>
      <c r="S45" s="187" t="s">
        <v>155</v>
      </c>
      <c r="T45" s="187">
        <f t="shared" ref="T45" si="16">P45/P$47</f>
        <v>2.1973068905290437E-3</v>
      </c>
    </row>
    <row r="46" spans="1:20" x14ac:dyDescent="0.25">
      <c r="A46" s="181" t="s">
        <v>109</v>
      </c>
      <c r="B46" s="1"/>
      <c r="C46" s="1"/>
      <c r="D46" s="25"/>
      <c r="E46" s="25"/>
      <c r="F46" s="25"/>
      <c r="G46" s="25"/>
      <c r="H46" s="25"/>
      <c r="I46" s="25"/>
      <c r="J46" s="25"/>
      <c r="K46" s="25"/>
      <c r="L46" s="25"/>
      <c r="M46" s="25"/>
      <c r="N46" s="25"/>
      <c r="O46" s="25">
        <v>22</v>
      </c>
      <c r="P46" s="25">
        <v>170</v>
      </c>
      <c r="Q46" s="187" t="s">
        <v>155</v>
      </c>
      <c r="R46" s="187" t="s">
        <v>155</v>
      </c>
      <c r="S46" s="187">
        <f t="shared" si="14"/>
        <v>6.7272727272727275</v>
      </c>
      <c r="T46" s="187">
        <f t="shared" si="15"/>
        <v>3.1926681315379269E-3</v>
      </c>
    </row>
    <row r="47" spans="1:20" s="52" customFormat="1" x14ac:dyDescent="0.25">
      <c r="A47" s="86" t="s">
        <v>0</v>
      </c>
      <c r="B47" s="45">
        <v>20693</v>
      </c>
      <c r="C47" s="45">
        <v>26074</v>
      </c>
      <c r="D47" s="26">
        <v>28357</v>
      </c>
      <c r="E47" s="26">
        <v>33398</v>
      </c>
      <c r="F47" s="26">
        <v>34480</v>
      </c>
      <c r="G47" s="26">
        <v>41201</v>
      </c>
      <c r="H47" s="26">
        <v>46726</v>
      </c>
      <c r="I47" s="26">
        <v>46806</v>
      </c>
      <c r="J47" s="26">
        <v>45116</v>
      </c>
      <c r="K47" s="26">
        <v>47584</v>
      </c>
      <c r="L47" s="26">
        <v>48698</v>
      </c>
      <c r="M47" s="26">
        <v>46875</v>
      </c>
      <c r="N47" s="26">
        <v>48391</v>
      </c>
      <c r="O47" s="26">
        <v>45483</v>
      </c>
      <c r="P47" s="26">
        <v>53247</v>
      </c>
      <c r="Q47" s="188">
        <f t="shared" si="12"/>
        <v>0.2923715443799908</v>
      </c>
      <c r="R47" s="188">
        <f t="shared" si="13"/>
        <v>9.3412460470655878E-2</v>
      </c>
      <c r="S47" s="188">
        <f t="shared" si="14"/>
        <v>0.17070114108568035</v>
      </c>
      <c r="T47" s="188">
        <f t="shared" si="15"/>
        <v>1</v>
      </c>
    </row>
    <row r="48" spans="1:20" x14ac:dyDescent="0.25">
      <c r="A48" s="125" t="s">
        <v>366</v>
      </c>
      <c r="B48" s="110"/>
      <c r="C48" s="110"/>
      <c r="D48" s="110"/>
      <c r="E48" s="110"/>
      <c r="F48" s="110"/>
      <c r="G48" s="110"/>
      <c r="H48" s="110"/>
      <c r="I48" s="110"/>
      <c r="J48" s="110"/>
      <c r="K48" s="110"/>
      <c r="L48" s="110"/>
      <c r="Q48" s="110"/>
      <c r="R48" s="110"/>
      <c r="S48" s="110"/>
      <c r="T48" s="110"/>
    </row>
    <row r="49" spans="1:20" x14ac:dyDescent="0.25">
      <c r="A49" s="120"/>
      <c r="B49" s="110"/>
      <c r="C49" s="110"/>
      <c r="D49" s="110"/>
      <c r="E49" s="110"/>
      <c r="F49" s="110"/>
      <c r="G49" s="110"/>
      <c r="H49" s="110"/>
      <c r="I49" s="110"/>
      <c r="J49" s="110"/>
      <c r="K49" s="110"/>
      <c r="L49" s="110"/>
      <c r="Q49" s="110"/>
      <c r="R49" s="110"/>
      <c r="S49" s="110"/>
      <c r="T49" s="110"/>
    </row>
    <row r="50" spans="1:20" ht="18" x14ac:dyDescent="0.25">
      <c r="A50" s="27" t="s">
        <v>303</v>
      </c>
      <c r="B50" s="27"/>
      <c r="C50" s="27"/>
      <c r="M50" s="5"/>
      <c r="N50" s="5"/>
      <c r="O50" s="5"/>
      <c r="P50" s="5"/>
      <c r="Q50" s="5"/>
      <c r="R50" s="5"/>
      <c r="S50" s="5"/>
    </row>
    <row r="51" spans="1:20" ht="25.5" customHeight="1" x14ac:dyDescent="0.25">
      <c r="A51" s="129" t="s">
        <v>110</v>
      </c>
      <c r="B51" s="130">
        <v>2007</v>
      </c>
      <c r="C51" s="130">
        <v>2008</v>
      </c>
      <c r="D51" s="130">
        <v>2009</v>
      </c>
      <c r="E51" s="130">
        <v>2010</v>
      </c>
      <c r="F51" s="130">
        <v>2011</v>
      </c>
      <c r="G51" s="130">
        <v>2012</v>
      </c>
      <c r="H51" s="130">
        <v>2013</v>
      </c>
      <c r="I51" s="130">
        <v>2014</v>
      </c>
      <c r="J51" s="130">
        <v>2015</v>
      </c>
      <c r="K51" s="130">
        <v>2016</v>
      </c>
      <c r="L51" s="130">
        <v>2017</v>
      </c>
      <c r="M51" s="130">
        <v>2018</v>
      </c>
      <c r="N51" s="130">
        <v>2019</v>
      </c>
      <c r="O51" s="130">
        <v>2020</v>
      </c>
      <c r="P51" s="130">
        <v>2021</v>
      </c>
      <c r="Q51" s="131" t="s">
        <v>424</v>
      </c>
      <c r="R51" s="131" t="s">
        <v>425</v>
      </c>
      <c r="S51" s="131" t="s">
        <v>426</v>
      </c>
      <c r="T51" s="131" t="s">
        <v>427</v>
      </c>
    </row>
    <row r="52" spans="1:20" s="52" customFormat="1" x14ac:dyDescent="0.25">
      <c r="A52" s="86" t="s">
        <v>350</v>
      </c>
      <c r="B52" s="108">
        <v>3108</v>
      </c>
      <c r="C52" s="108">
        <v>3781</v>
      </c>
      <c r="D52" s="109">
        <v>3398</v>
      </c>
      <c r="E52" s="109">
        <v>4110</v>
      </c>
      <c r="F52" s="109">
        <v>3228</v>
      </c>
      <c r="G52" s="109">
        <v>3389</v>
      </c>
      <c r="H52" s="109">
        <v>3362</v>
      </c>
      <c r="I52" s="109">
        <v>3347</v>
      </c>
      <c r="J52" s="109">
        <v>3311</v>
      </c>
      <c r="K52" s="109">
        <v>3549</v>
      </c>
      <c r="L52" s="109">
        <v>3156</v>
      </c>
      <c r="M52" s="109">
        <v>3440</v>
      </c>
      <c r="N52" s="109">
        <v>3240</v>
      </c>
      <c r="O52" s="109">
        <v>2658</v>
      </c>
      <c r="P52" s="109">
        <v>3821</v>
      </c>
      <c r="Q52" s="188">
        <f t="shared" ref="Q52:Q61" si="17">(P52-G52)/G52</f>
        <v>0.12747123045146061</v>
      </c>
      <c r="R52" s="188">
        <f t="shared" ref="R52:R61" si="18">(P52-L52)/L52</f>
        <v>0.21070975918884663</v>
      </c>
      <c r="S52" s="188">
        <f t="shared" ref="S52:S61" si="19">(P52-O52)/O52</f>
        <v>0.43754702784048155</v>
      </c>
      <c r="T52" s="188">
        <f>P52/P$61</f>
        <v>0.22084152121142064</v>
      </c>
    </row>
    <row r="53" spans="1:20" x14ac:dyDescent="0.25">
      <c r="A53" s="181" t="s">
        <v>108</v>
      </c>
      <c r="B53" s="31">
        <v>292</v>
      </c>
      <c r="C53" s="31">
        <v>389</v>
      </c>
      <c r="D53" s="41">
        <v>333</v>
      </c>
      <c r="E53" s="41">
        <v>396</v>
      </c>
      <c r="F53" s="41">
        <v>353</v>
      </c>
      <c r="G53" s="41">
        <v>376</v>
      </c>
      <c r="H53" s="41">
        <v>354</v>
      </c>
      <c r="I53" s="41">
        <v>366</v>
      </c>
      <c r="J53" s="41">
        <v>370</v>
      </c>
      <c r="K53" s="41">
        <v>384</v>
      </c>
      <c r="L53" s="41">
        <v>426</v>
      </c>
      <c r="M53" s="41">
        <v>513</v>
      </c>
      <c r="N53" s="41">
        <v>498</v>
      </c>
      <c r="O53" s="41">
        <v>464</v>
      </c>
      <c r="P53" s="41">
        <v>567</v>
      </c>
      <c r="Q53" s="187">
        <f t="shared" si="17"/>
        <v>0.50797872340425532</v>
      </c>
      <c r="R53" s="187">
        <f t="shared" si="18"/>
        <v>0.33098591549295775</v>
      </c>
      <c r="S53" s="187">
        <f t="shared" si="19"/>
        <v>0.22198275862068967</v>
      </c>
      <c r="T53" s="187">
        <f t="shared" ref="T53:T61" si="20">P53/P$61</f>
        <v>3.2770777944746275E-2</v>
      </c>
    </row>
    <row r="54" spans="1:20" x14ac:dyDescent="0.25">
      <c r="A54" s="181" t="s">
        <v>109</v>
      </c>
      <c r="B54" s="31">
        <v>2816</v>
      </c>
      <c r="C54" s="31">
        <v>3392</v>
      </c>
      <c r="D54" s="41">
        <v>3065</v>
      </c>
      <c r="E54" s="41">
        <v>3714</v>
      </c>
      <c r="F54" s="41">
        <v>2875</v>
      </c>
      <c r="G54" s="41">
        <v>3013</v>
      </c>
      <c r="H54" s="41">
        <v>3008</v>
      </c>
      <c r="I54" s="41">
        <v>2981</v>
      </c>
      <c r="J54" s="41">
        <v>2941</v>
      </c>
      <c r="K54" s="41">
        <v>3165</v>
      </c>
      <c r="L54" s="41">
        <v>2730</v>
      </c>
      <c r="M54" s="41">
        <v>2927</v>
      </c>
      <c r="N54" s="41">
        <v>2742</v>
      </c>
      <c r="O54" s="41">
        <v>2194</v>
      </c>
      <c r="P54" s="41">
        <v>3254</v>
      </c>
      <c r="Q54" s="187">
        <f t="shared" si="17"/>
        <v>7.9986724195154332E-2</v>
      </c>
      <c r="R54" s="187">
        <f t="shared" si="18"/>
        <v>0.19194139194139195</v>
      </c>
      <c r="S54" s="187">
        <f t="shared" si="19"/>
        <v>0.48313582497721058</v>
      </c>
      <c r="T54" s="187">
        <f t="shared" si="20"/>
        <v>0.18807074326667436</v>
      </c>
    </row>
    <row r="55" spans="1:20" s="52" customFormat="1" x14ac:dyDescent="0.25">
      <c r="A55" s="86" t="s">
        <v>351</v>
      </c>
      <c r="B55" s="108">
        <v>2455</v>
      </c>
      <c r="C55" s="108">
        <v>2324</v>
      </c>
      <c r="D55" s="109">
        <v>2948</v>
      </c>
      <c r="E55" s="109">
        <v>2563</v>
      </c>
      <c r="F55" s="109">
        <v>2738</v>
      </c>
      <c r="G55" s="109">
        <v>2487</v>
      </c>
      <c r="H55" s="109">
        <v>2737</v>
      </c>
      <c r="I55" s="109">
        <v>2716</v>
      </c>
      <c r="J55" s="109">
        <v>3099</v>
      </c>
      <c r="K55" s="109">
        <v>3420</v>
      </c>
      <c r="L55" s="109">
        <v>3385</v>
      </c>
      <c r="M55" s="109">
        <v>3165</v>
      </c>
      <c r="N55" s="109">
        <v>4071</v>
      </c>
      <c r="O55" s="109">
        <v>3423</v>
      </c>
      <c r="P55" s="109">
        <v>4731</v>
      </c>
      <c r="Q55" s="188">
        <f t="shared" si="17"/>
        <v>0.90229191797346198</v>
      </c>
      <c r="R55" s="188">
        <f t="shared" si="18"/>
        <v>0.39763663220088624</v>
      </c>
      <c r="S55" s="188">
        <f t="shared" si="19"/>
        <v>0.38212094653812445</v>
      </c>
      <c r="T55" s="188">
        <f t="shared" si="20"/>
        <v>0.27343659692521094</v>
      </c>
    </row>
    <row r="56" spans="1:20" x14ac:dyDescent="0.25">
      <c r="A56" s="181" t="s">
        <v>108</v>
      </c>
      <c r="B56" s="31">
        <v>346</v>
      </c>
      <c r="C56" s="31">
        <v>332</v>
      </c>
      <c r="D56" s="41">
        <v>311</v>
      </c>
      <c r="E56" s="41">
        <v>362</v>
      </c>
      <c r="F56" s="41">
        <v>436</v>
      </c>
      <c r="G56" s="41">
        <v>359</v>
      </c>
      <c r="H56" s="41">
        <v>380</v>
      </c>
      <c r="I56" s="41">
        <v>409</v>
      </c>
      <c r="J56" s="41">
        <v>479</v>
      </c>
      <c r="K56" s="41">
        <v>514</v>
      </c>
      <c r="L56" s="41">
        <v>514</v>
      </c>
      <c r="M56" s="41">
        <v>527</v>
      </c>
      <c r="N56" s="41">
        <v>580</v>
      </c>
      <c r="O56" s="41">
        <v>595</v>
      </c>
      <c r="P56" s="41">
        <v>560</v>
      </c>
      <c r="Q56" s="187">
        <f t="shared" si="17"/>
        <v>0.55988857938718661</v>
      </c>
      <c r="R56" s="187">
        <f t="shared" si="18"/>
        <v>8.9494163424124515E-2</v>
      </c>
      <c r="S56" s="187">
        <f t="shared" si="19"/>
        <v>-5.8823529411764705E-2</v>
      </c>
      <c r="T56" s="187">
        <f t="shared" si="20"/>
        <v>3.2366200439255574E-2</v>
      </c>
    </row>
    <row r="57" spans="1:20" x14ac:dyDescent="0.25">
      <c r="A57" s="181" t="s">
        <v>109</v>
      </c>
      <c r="B57" s="31">
        <v>2109</v>
      </c>
      <c r="C57" s="31">
        <v>1992</v>
      </c>
      <c r="D57" s="41">
        <v>2637</v>
      </c>
      <c r="E57" s="41">
        <v>2201</v>
      </c>
      <c r="F57" s="41">
        <v>2302</v>
      </c>
      <c r="G57" s="41">
        <v>2128</v>
      </c>
      <c r="H57" s="41">
        <v>2357</v>
      </c>
      <c r="I57" s="41">
        <v>2307</v>
      </c>
      <c r="J57" s="41">
        <v>2620</v>
      </c>
      <c r="K57" s="41">
        <v>2906</v>
      </c>
      <c r="L57" s="41">
        <v>2871</v>
      </c>
      <c r="M57" s="41">
        <v>2638</v>
      </c>
      <c r="N57" s="41">
        <v>3491</v>
      </c>
      <c r="O57" s="41">
        <v>2828</v>
      </c>
      <c r="P57" s="41">
        <v>4171</v>
      </c>
      <c r="Q57" s="187">
        <f t="shared" si="17"/>
        <v>0.96005639097744366</v>
      </c>
      <c r="R57" s="187">
        <f t="shared" si="18"/>
        <v>0.45280390107976315</v>
      </c>
      <c r="S57" s="187">
        <f t="shared" si="19"/>
        <v>0.47489391796322489</v>
      </c>
      <c r="T57" s="187">
        <f t="shared" si="20"/>
        <v>0.24107039648595538</v>
      </c>
    </row>
    <row r="58" spans="1:20" s="52" customFormat="1" x14ac:dyDescent="0.25">
      <c r="A58" s="86" t="s">
        <v>299</v>
      </c>
      <c r="B58" s="108">
        <v>2608</v>
      </c>
      <c r="C58" s="108">
        <v>4193</v>
      </c>
      <c r="D58" s="109">
        <v>4016</v>
      </c>
      <c r="E58" s="109">
        <v>5297</v>
      </c>
      <c r="F58" s="109">
        <v>5477</v>
      </c>
      <c r="G58" s="109">
        <v>5841</v>
      </c>
      <c r="H58" s="109">
        <v>7824</v>
      </c>
      <c r="I58" s="109">
        <v>7496</v>
      </c>
      <c r="J58" s="109">
        <v>6892</v>
      </c>
      <c r="K58" s="109">
        <v>6850</v>
      </c>
      <c r="L58" s="109">
        <v>7458</v>
      </c>
      <c r="M58" s="109">
        <v>7967</v>
      </c>
      <c r="N58" s="109">
        <v>6301</v>
      </c>
      <c r="O58" s="109">
        <v>5464</v>
      </c>
      <c r="P58" s="109">
        <v>8750</v>
      </c>
      <c r="Q58" s="188">
        <f t="shared" si="17"/>
        <v>0.49803115904810819</v>
      </c>
      <c r="R58" s="188">
        <f t="shared" si="18"/>
        <v>0.17323679270581926</v>
      </c>
      <c r="S58" s="188">
        <f t="shared" si="19"/>
        <v>0.60139092240117131</v>
      </c>
      <c r="T58" s="188">
        <f t="shared" si="20"/>
        <v>0.50572188186336842</v>
      </c>
    </row>
    <row r="59" spans="1:20" x14ac:dyDescent="0.25">
      <c r="A59" s="181" t="s">
        <v>108</v>
      </c>
      <c r="B59" s="31">
        <v>128</v>
      </c>
      <c r="C59" s="31">
        <v>171</v>
      </c>
      <c r="D59" s="41">
        <v>81</v>
      </c>
      <c r="E59" s="41">
        <v>83</v>
      </c>
      <c r="F59" s="41">
        <v>131</v>
      </c>
      <c r="G59" s="41">
        <v>135</v>
      </c>
      <c r="H59" s="41">
        <v>233</v>
      </c>
      <c r="I59" s="41">
        <v>169</v>
      </c>
      <c r="J59" s="41">
        <v>130</v>
      </c>
      <c r="K59" s="41">
        <v>127</v>
      </c>
      <c r="L59" s="41">
        <v>112</v>
      </c>
      <c r="M59" s="41">
        <v>163</v>
      </c>
      <c r="N59" s="41">
        <v>148</v>
      </c>
      <c r="O59" s="41">
        <v>91</v>
      </c>
      <c r="P59" s="41">
        <v>161</v>
      </c>
      <c r="Q59" s="187">
        <f t="shared" si="17"/>
        <v>0.19259259259259259</v>
      </c>
      <c r="R59" s="187">
        <f t="shared" si="18"/>
        <v>0.4375</v>
      </c>
      <c r="S59" s="187">
        <f t="shared" si="19"/>
        <v>0.76923076923076927</v>
      </c>
      <c r="T59" s="187">
        <f t="shared" si="20"/>
        <v>9.3052826262859777E-3</v>
      </c>
    </row>
    <row r="60" spans="1:20" x14ac:dyDescent="0.25">
      <c r="A60" s="181" t="s">
        <v>109</v>
      </c>
      <c r="B60" s="31">
        <v>2480</v>
      </c>
      <c r="C60" s="31">
        <v>4022</v>
      </c>
      <c r="D60" s="41">
        <v>3935</v>
      </c>
      <c r="E60" s="41">
        <v>5214</v>
      </c>
      <c r="F60" s="41">
        <v>5346</v>
      </c>
      <c r="G60" s="41">
        <v>5706</v>
      </c>
      <c r="H60" s="41">
        <v>7591</v>
      </c>
      <c r="I60" s="41">
        <v>7327</v>
      </c>
      <c r="J60" s="41">
        <v>6762</v>
      </c>
      <c r="K60" s="41">
        <v>6723</v>
      </c>
      <c r="L60" s="41">
        <v>7346</v>
      </c>
      <c r="M60" s="41">
        <v>7804</v>
      </c>
      <c r="N60" s="41">
        <v>6153</v>
      </c>
      <c r="O60" s="41">
        <v>5373</v>
      </c>
      <c r="P60" s="41">
        <v>8589</v>
      </c>
      <c r="Q60" s="187">
        <f t="shared" si="17"/>
        <v>0.50525762355415349</v>
      </c>
      <c r="R60" s="187">
        <f t="shared" si="18"/>
        <v>0.16920773209910156</v>
      </c>
      <c r="S60" s="187">
        <f t="shared" si="19"/>
        <v>0.5985482970407594</v>
      </c>
      <c r="T60" s="187">
        <f t="shared" si="20"/>
        <v>0.49641659923708242</v>
      </c>
    </row>
    <row r="61" spans="1:20" s="52" customFormat="1" x14ac:dyDescent="0.25">
      <c r="A61" s="86" t="s">
        <v>0</v>
      </c>
      <c r="B61" s="108">
        <v>8171</v>
      </c>
      <c r="C61" s="108">
        <v>10298</v>
      </c>
      <c r="D61" s="109">
        <v>10362</v>
      </c>
      <c r="E61" s="109">
        <v>11970</v>
      </c>
      <c r="F61" s="109">
        <v>11443</v>
      </c>
      <c r="G61" s="109">
        <v>11717</v>
      </c>
      <c r="H61" s="109">
        <v>13923</v>
      </c>
      <c r="I61" s="109">
        <v>13559</v>
      </c>
      <c r="J61" s="109">
        <v>13302</v>
      </c>
      <c r="K61" s="109">
        <v>13819</v>
      </c>
      <c r="L61" s="109">
        <v>13999</v>
      </c>
      <c r="M61" s="109">
        <v>14572</v>
      </c>
      <c r="N61" s="109">
        <v>13612</v>
      </c>
      <c r="O61" s="109">
        <v>11545</v>
      </c>
      <c r="P61" s="109">
        <v>17302</v>
      </c>
      <c r="Q61" s="188">
        <f t="shared" si="17"/>
        <v>0.47665784757190405</v>
      </c>
      <c r="R61" s="188">
        <f t="shared" si="18"/>
        <v>0.23594542467319093</v>
      </c>
      <c r="S61" s="188">
        <f t="shared" si="19"/>
        <v>0.49865742745777392</v>
      </c>
      <c r="T61" s="188">
        <f t="shared" si="20"/>
        <v>1</v>
      </c>
    </row>
    <row r="62" spans="1:20" x14ac:dyDescent="0.25">
      <c r="A62" s="125" t="s">
        <v>366</v>
      </c>
      <c r="B62" s="110"/>
      <c r="C62" s="110"/>
      <c r="D62" s="110"/>
      <c r="E62" s="110"/>
      <c r="F62" s="110"/>
      <c r="G62" s="110"/>
      <c r="H62" s="110"/>
    </row>
    <row r="64" spans="1:20" ht="15.75" x14ac:dyDescent="0.25">
      <c r="A64" s="27" t="s">
        <v>466</v>
      </c>
    </row>
    <row r="65" spans="1:20" ht="38.25" x14ac:dyDescent="0.25">
      <c r="A65" s="129" t="s">
        <v>480</v>
      </c>
      <c r="B65" s="130">
        <v>2007</v>
      </c>
      <c r="C65" s="130">
        <v>2008</v>
      </c>
      <c r="D65" s="130">
        <v>2009</v>
      </c>
      <c r="E65" s="130">
        <v>2010</v>
      </c>
      <c r="F65" s="130">
        <v>2011</v>
      </c>
      <c r="G65" s="130">
        <v>2012</v>
      </c>
      <c r="H65" s="130">
        <v>2013</v>
      </c>
      <c r="I65" s="130">
        <v>2014</v>
      </c>
      <c r="J65" s="130">
        <v>2015</v>
      </c>
      <c r="K65" s="130">
        <v>2016</v>
      </c>
      <c r="L65" s="130">
        <v>2017</v>
      </c>
      <c r="M65" s="130">
        <v>2018</v>
      </c>
      <c r="N65" s="130">
        <v>2019</v>
      </c>
      <c r="O65" s="130">
        <v>2020</v>
      </c>
      <c r="P65" s="130">
        <v>2021</v>
      </c>
      <c r="Q65" s="131" t="s">
        <v>424</v>
      </c>
      <c r="R65" s="131" t="s">
        <v>425</v>
      </c>
      <c r="S65" s="131" t="s">
        <v>426</v>
      </c>
      <c r="T65" s="131" t="s">
        <v>427</v>
      </c>
    </row>
    <row r="66" spans="1:20" x14ac:dyDescent="0.25">
      <c r="A66" s="86" t="s">
        <v>108</v>
      </c>
      <c r="B66" s="45">
        <v>3029</v>
      </c>
      <c r="C66" s="45">
        <v>3629</v>
      </c>
      <c r="D66" s="26">
        <v>3738</v>
      </c>
      <c r="E66" s="26">
        <v>4055</v>
      </c>
      <c r="F66" s="26">
        <v>4052</v>
      </c>
      <c r="G66" s="26">
        <v>4471</v>
      </c>
      <c r="H66" s="26">
        <v>4653</v>
      </c>
      <c r="I66" s="26">
        <v>4925</v>
      </c>
      <c r="J66" s="26">
        <v>5172</v>
      </c>
      <c r="K66" s="26">
        <v>5545</v>
      </c>
      <c r="L66" s="26">
        <v>5536</v>
      </c>
      <c r="M66" s="26">
        <v>5939</v>
      </c>
      <c r="N66" s="26">
        <v>6046</v>
      </c>
      <c r="O66" s="26">
        <v>6024</v>
      </c>
      <c r="P66" s="26">
        <v>6729</v>
      </c>
      <c r="Q66" s="188">
        <f t="shared" ref="Q66:Q68" si="21">(P66-G66)/G66</f>
        <v>0.50503243122343999</v>
      </c>
      <c r="R66" s="188">
        <f t="shared" ref="R66:R68" si="22">(P66-L66)/L66</f>
        <v>0.21549855491329481</v>
      </c>
      <c r="S66" s="188">
        <f t="shared" ref="S66:S68" si="23">(P66-O66)/O66</f>
        <v>0.11703187250996015</v>
      </c>
      <c r="T66" s="188">
        <f>P66/P$47</f>
        <v>0.12637331680658065</v>
      </c>
    </row>
    <row r="67" spans="1:20" s="52" customFormat="1" x14ac:dyDescent="0.25">
      <c r="A67" s="181" t="s">
        <v>99</v>
      </c>
      <c r="B67" s="1">
        <v>2514</v>
      </c>
      <c r="C67" s="1">
        <v>2780</v>
      </c>
      <c r="D67" s="25">
        <v>2839</v>
      </c>
      <c r="E67" s="25">
        <v>3307</v>
      </c>
      <c r="F67" s="25">
        <v>3768</v>
      </c>
      <c r="G67" s="25">
        <v>4021</v>
      </c>
      <c r="H67" s="25">
        <v>3986</v>
      </c>
      <c r="I67" s="25">
        <v>4274</v>
      </c>
      <c r="J67" s="25">
        <v>4608</v>
      </c>
      <c r="K67" s="25">
        <v>4931</v>
      </c>
      <c r="L67" s="25">
        <v>4969</v>
      </c>
      <c r="M67" s="25">
        <v>5325</v>
      </c>
      <c r="N67" s="25">
        <v>5490</v>
      </c>
      <c r="O67" s="25">
        <v>5556</v>
      </c>
      <c r="P67" s="25">
        <v>6025</v>
      </c>
      <c r="Q67" s="187">
        <f t="shared" si="21"/>
        <v>0.49838348669485205</v>
      </c>
      <c r="R67" s="187">
        <f t="shared" si="22"/>
        <v>0.21251760917689677</v>
      </c>
      <c r="S67" s="187">
        <f t="shared" si="23"/>
        <v>8.4413246940244782E-2</v>
      </c>
      <c r="T67" s="187">
        <f t="shared" ref="T67:T68" si="24">P67/P$47</f>
        <v>0.11315191466185888</v>
      </c>
    </row>
    <row r="68" spans="1:20" x14ac:dyDescent="0.25">
      <c r="A68" s="181" t="s">
        <v>100</v>
      </c>
      <c r="B68" s="1">
        <v>316</v>
      </c>
      <c r="C68" s="1">
        <v>382</v>
      </c>
      <c r="D68" s="25">
        <v>557</v>
      </c>
      <c r="E68" s="25">
        <v>519</v>
      </c>
      <c r="F68" s="25">
        <v>256</v>
      </c>
      <c r="G68" s="25">
        <v>290</v>
      </c>
      <c r="H68" s="25">
        <v>458</v>
      </c>
      <c r="I68" s="25">
        <v>487</v>
      </c>
      <c r="J68" s="25">
        <v>411</v>
      </c>
      <c r="K68" s="25">
        <v>515</v>
      </c>
      <c r="L68" s="25">
        <v>492</v>
      </c>
      <c r="M68" s="25">
        <v>489</v>
      </c>
      <c r="N68" s="25">
        <v>446</v>
      </c>
      <c r="O68" s="25">
        <v>377</v>
      </c>
      <c r="P68" s="25">
        <v>494</v>
      </c>
      <c r="Q68" s="187">
        <f t="shared" si="21"/>
        <v>0.70344827586206893</v>
      </c>
      <c r="R68" s="187">
        <f t="shared" si="22"/>
        <v>4.0650406504065045E-3</v>
      </c>
      <c r="S68" s="187">
        <f t="shared" si="23"/>
        <v>0.31034482758620691</v>
      </c>
      <c r="T68" s="187">
        <f t="shared" si="24"/>
        <v>9.2775179822337413E-3</v>
      </c>
    </row>
    <row r="69" spans="1:20" x14ac:dyDescent="0.25">
      <c r="A69" s="181" t="s">
        <v>101</v>
      </c>
      <c r="B69" s="1">
        <v>58</v>
      </c>
      <c r="C69" s="1">
        <v>15</v>
      </c>
      <c r="D69" s="25"/>
      <c r="E69" s="25"/>
      <c r="F69" s="25"/>
      <c r="G69" s="25">
        <v>97</v>
      </c>
      <c r="H69" s="25">
        <v>77</v>
      </c>
      <c r="I69" s="25">
        <v>72</v>
      </c>
      <c r="J69" s="25">
        <v>71</v>
      </c>
      <c r="K69" s="25">
        <v>28</v>
      </c>
      <c r="L69" s="25">
        <v>34</v>
      </c>
      <c r="M69" s="25">
        <v>69</v>
      </c>
      <c r="N69" s="25">
        <v>50</v>
      </c>
      <c r="O69" s="25">
        <v>32</v>
      </c>
      <c r="P69" s="25">
        <v>48</v>
      </c>
      <c r="Q69" s="187">
        <f t="shared" ref="Q69:Q78" si="25">(P69-G69)/G69</f>
        <v>-0.50515463917525771</v>
      </c>
      <c r="R69" s="187">
        <f t="shared" ref="R69:R78" si="26">(P69-L69)/L69</f>
        <v>0.41176470588235292</v>
      </c>
      <c r="S69" s="187">
        <f t="shared" ref="S69:S78" si="27">(P69-O69)/O69</f>
        <v>0.5</v>
      </c>
      <c r="T69" s="187">
        <f t="shared" ref="T69:T78" si="28">P69/P$47</f>
        <v>9.0145923714012055E-4</v>
      </c>
    </row>
    <row r="70" spans="1:20" s="52" customFormat="1" x14ac:dyDescent="0.25">
      <c r="A70" s="181" t="s">
        <v>102</v>
      </c>
      <c r="B70" s="1">
        <v>52</v>
      </c>
      <c r="C70" s="1">
        <v>386</v>
      </c>
      <c r="D70" s="25">
        <v>2</v>
      </c>
      <c r="E70" s="25">
        <v>22</v>
      </c>
      <c r="F70" s="25">
        <v>22</v>
      </c>
      <c r="G70" s="25">
        <v>32</v>
      </c>
      <c r="H70" s="25">
        <v>95</v>
      </c>
      <c r="I70" s="25">
        <v>64</v>
      </c>
      <c r="J70" s="25">
        <v>30</v>
      </c>
      <c r="K70" s="25">
        <v>16</v>
      </c>
      <c r="L70" s="25">
        <v>2</v>
      </c>
      <c r="M70" s="25">
        <v>6</v>
      </c>
      <c r="N70" s="25">
        <v>4</v>
      </c>
      <c r="O70" s="25"/>
      <c r="P70" s="25">
        <v>120</v>
      </c>
      <c r="Q70" s="187">
        <f t="shared" si="25"/>
        <v>2.75</v>
      </c>
      <c r="R70" s="187">
        <f t="shared" si="26"/>
        <v>59</v>
      </c>
      <c r="S70" s="187" t="s">
        <v>155</v>
      </c>
      <c r="T70" s="187">
        <f t="shared" si="28"/>
        <v>2.2536480928503013E-3</v>
      </c>
    </row>
    <row r="71" spans="1:20" x14ac:dyDescent="0.25">
      <c r="A71" s="181" t="s">
        <v>103</v>
      </c>
      <c r="B71" s="1">
        <v>89</v>
      </c>
      <c r="C71" s="1">
        <v>66</v>
      </c>
      <c r="D71" s="25">
        <v>340</v>
      </c>
      <c r="E71" s="25">
        <v>207</v>
      </c>
      <c r="F71" s="25">
        <v>6</v>
      </c>
      <c r="G71" s="25">
        <v>31</v>
      </c>
      <c r="H71" s="25">
        <v>37</v>
      </c>
      <c r="I71" s="25">
        <v>28</v>
      </c>
      <c r="J71" s="25">
        <v>52</v>
      </c>
      <c r="K71" s="25">
        <v>55</v>
      </c>
      <c r="L71" s="25">
        <v>39</v>
      </c>
      <c r="M71" s="25">
        <v>50</v>
      </c>
      <c r="N71" s="25">
        <v>56</v>
      </c>
      <c r="O71" s="25">
        <v>59</v>
      </c>
      <c r="P71" s="25">
        <v>42</v>
      </c>
      <c r="Q71" s="187">
        <f t="shared" si="25"/>
        <v>0.35483870967741937</v>
      </c>
      <c r="R71" s="187">
        <f t="shared" si="26"/>
        <v>7.6923076923076927E-2</v>
      </c>
      <c r="S71" s="187">
        <f t="shared" si="27"/>
        <v>-0.28813559322033899</v>
      </c>
      <c r="T71" s="187">
        <f t="shared" si="28"/>
        <v>7.887768324976055E-4</v>
      </c>
    </row>
    <row r="72" spans="1:20" x14ac:dyDescent="0.25">
      <c r="A72" s="86" t="s">
        <v>465</v>
      </c>
      <c r="B72" s="45">
        <v>17664</v>
      </c>
      <c r="C72" s="45">
        <v>22445</v>
      </c>
      <c r="D72" s="26">
        <v>24619</v>
      </c>
      <c r="E72" s="26">
        <v>29343</v>
      </c>
      <c r="F72" s="26">
        <v>30428</v>
      </c>
      <c r="G72" s="26">
        <v>36730</v>
      </c>
      <c r="H72" s="26">
        <v>42073</v>
      </c>
      <c r="I72" s="26">
        <v>41881</v>
      </c>
      <c r="J72" s="26">
        <v>39944</v>
      </c>
      <c r="K72" s="26">
        <v>42039</v>
      </c>
      <c r="L72" s="26">
        <v>43162</v>
      </c>
      <c r="M72" s="26">
        <v>40936</v>
      </c>
      <c r="N72" s="26">
        <v>42345</v>
      </c>
      <c r="O72" s="26">
        <v>39459</v>
      </c>
      <c r="P72" s="26">
        <v>46518</v>
      </c>
      <c r="Q72" s="188">
        <f t="shared" si="25"/>
        <v>0.26648516199292133</v>
      </c>
      <c r="R72" s="188">
        <f t="shared" si="26"/>
        <v>7.7753579537556183E-2</v>
      </c>
      <c r="S72" s="188">
        <f t="shared" si="27"/>
        <v>0.17889454877214322</v>
      </c>
      <c r="T72" s="188">
        <f t="shared" si="28"/>
        <v>0.8736266831934193</v>
      </c>
    </row>
    <row r="73" spans="1:20" x14ac:dyDescent="0.25">
      <c r="A73" s="181" t="s">
        <v>99</v>
      </c>
      <c r="B73" s="1">
        <v>9461</v>
      </c>
      <c r="C73" s="1">
        <v>10612</v>
      </c>
      <c r="D73" s="25">
        <v>10628</v>
      </c>
      <c r="E73" s="25">
        <v>13206</v>
      </c>
      <c r="F73" s="25">
        <v>13266</v>
      </c>
      <c r="G73" s="25">
        <v>15255</v>
      </c>
      <c r="H73" s="25">
        <v>15974</v>
      </c>
      <c r="I73" s="25">
        <v>16823</v>
      </c>
      <c r="J73" s="25">
        <v>14875</v>
      </c>
      <c r="K73" s="25">
        <v>16000</v>
      </c>
      <c r="L73" s="25">
        <v>16701</v>
      </c>
      <c r="M73" s="25">
        <v>13242</v>
      </c>
      <c r="N73" s="25">
        <v>15221</v>
      </c>
      <c r="O73" s="25">
        <v>14191</v>
      </c>
      <c r="P73" s="25">
        <v>15373</v>
      </c>
      <c r="Q73" s="187">
        <f t="shared" si="25"/>
        <v>7.7351687971156996E-3</v>
      </c>
      <c r="R73" s="187">
        <f t="shared" si="26"/>
        <v>-7.9516196634932035E-2</v>
      </c>
      <c r="S73" s="187">
        <f t="shared" si="27"/>
        <v>8.32922274681136E-2</v>
      </c>
      <c r="T73" s="187">
        <f t="shared" si="28"/>
        <v>0.28871110109489734</v>
      </c>
    </row>
    <row r="74" spans="1:20" s="52" customFormat="1" x14ac:dyDescent="0.25">
      <c r="A74" s="181" t="s">
        <v>100</v>
      </c>
      <c r="B74" s="1">
        <v>6388</v>
      </c>
      <c r="C74" s="1">
        <v>8085</v>
      </c>
      <c r="D74" s="25">
        <v>10051</v>
      </c>
      <c r="E74" s="25">
        <v>12270</v>
      </c>
      <c r="F74" s="25">
        <v>13088</v>
      </c>
      <c r="G74" s="25">
        <v>15289</v>
      </c>
      <c r="H74" s="25">
        <v>16295</v>
      </c>
      <c r="I74" s="25">
        <v>17785</v>
      </c>
      <c r="J74" s="25">
        <v>17123</v>
      </c>
      <c r="K74" s="25">
        <v>17836</v>
      </c>
      <c r="L74" s="25">
        <v>16129</v>
      </c>
      <c r="M74" s="25">
        <v>15434</v>
      </c>
      <c r="N74" s="25">
        <v>14751</v>
      </c>
      <c r="O74" s="25">
        <v>12858</v>
      </c>
      <c r="P74" s="25">
        <v>14444</v>
      </c>
      <c r="Q74" s="187">
        <f t="shared" si="25"/>
        <v>-5.5268493688272614E-2</v>
      </c>
      <c r="R74" s="187">
        <f t="shared" si="26"/>
        <v>-0.10447020894041788</v>
      </c>
      <c r="S74" s="187">
        <f t="shared" si="27"/>
        <v>0.12334733240006222</v>
      </c>
      <c r="T74" s="187">
        <f t="shared" si="28"/>
        <v>0.27126410877608126</v>
      </c>
    </row>
    <row r="75" spans="1:20" x14ac:dyDescent="0.25">
      <c r="A75" s="181" t="s">
        <v>101</v>
      </c>
      <c r="B75" s="1">
        <v>822</v>
      </c>
      <c r="C75" s="1">
        <v>1458</v>
      </c>
      <c r="D75" s="25">
        <v>1609</v>
      </c>
      <c r="E75" s="25">
        <v>720</v>
      </c>
      <c r="F75" s="25">
        <v>174</v>
      </c>
      <c r="G75" s="25">
        <v>667</v>
      </c>
      <c r="H75" s="25">
        <v>4281</v>
      </c>
      <c r="I75" s="25">
        <v>1367</v>
      </c>
      <c r="J75" s="25">
        <v>913</v>
      </c>
      <c r="K75" s="25">
        <v>1115</v>
      </c>
      <c r="L75" s="25">
        <v>1835</v>
      </c>
      <c r="M75" s="25">
        <v>1644</v>
      </c>
      <c r="N75" s="25">
        <v>1500</v>
      </c>
      <c r="O75" s="25">
        <v>1547</v>
      </c>
      <c r="P75" s="25">
        <v>1679</v>
      </c>
      <c r="Q75" s="187">
        <f t="shared" si="25"/>
        <v>1.5172413793103448</v>
      </c>
      <c r="R75" s="187">
        <f t="shared" si="26"/>
        <v>-8.5013623978201641E-2</v>
      </c>
      <c r="S75" s="187">
        <f t="shared" si="27"/>
        <v>8.532643826761474E-2</v>
      </c>
      <c r="T75" s="187">
        <f t="shared" si="28"/>
        <v>3.1532292899130468E-2</v>
      </c>
    </row>
    <row r="76" spans="1:20" x14ac:dyDescent="0.25">
      <c r="A76" s="181" t="s">
        <v>102</v>
      </c>
      <c r="B76" s="1">
        <v>97</v>
      </c>
      <c r="C76" s="1">
        <v>1155</v>
      </c>
      <c r="D76" s="25">
        <v>434</v>
      </c>
      <c r="E76" s="25">
        <v>957</v>
      </c>
      <c r="F76" s="25">
        <v>1477</v>
      </c>
      <c r="G76" s="25">
        <v>3114</v>
      </c>
      <c r="H76" s="25">
        <v>2947</v>
      </c>
      <c r="I76" s="25">
        <v>2593</v>
      </c>
      <c r="J76" s="25">
        <v>2503</v>
      </c>
      <c r="K76" s="25">
        <v>2855</v>
      </c>
      <c r="L76" s="25">
        <v>3747</v>
      </c>
      <c r="M76" s="25">
        <v>4725</v>
      </c>
      <c r="N76" s="25">
        <v>5878</v>
      </c>
      <c r="O76" s="25">
        <v>6234</v>
      </c>
      <c r="P76" s="25">
        <v>9593</v>
      </c>
      <c r="Q76" s="187">
        <f t="shared" si="25"/>
        <v>2.0806037251123954</v>
      </c>
      <c r="R76" s="187">
        <f t="shared" si="26"/>
        <v>1.5601814785161463</v>
      </c>
      <c r="S76" s="187">
        <f t="shared" si="27"/>
        <v>0.53881937760667309</v>
      </c>
      <c r="T76" s="187">
        <f t="shared" si="28"/>
        <v>0.18016038462260783</v>
      </c>
    </row>
    <row r="77" spans="1:20" x14ac:dyDescent="0.25">
      <c r="A77" s="181" t="s">
        <v>103</v>
      </c>
      <c r="B77" s="1">
        <v>896</v>
      </c>
      <c r="C77" s="1">
        <v>1135</v>
      </c>
      <c r="D77" s="25">
        <v>1897</v>
      </c>
      <c r="E77" s="25">
        <v>2190</v>
      </c>
      <c r="F77" s="25">
        <v>2423</v>
      </c>
      <c r="G77" s="25">
        <v>2405</v>
      </c>
      <c r="H77" s="25">
        <v>2576</v>
      </c>
      <c r="I77" s="25">
        <v>3313</v>
      </c>
      <c r="J77" s="25">
        <v>4530</v>
      </c>
      <c r="K77" s="25">
        <v>4233</v>
      </c>
      <c r="L77" s="25">
        <v>4750</v>
      </c>
      <c r="M77" s="25">
        <v>5891</v>
      </c>
      <c r="N77" s="25">
        <v>4995</v>
      </c>
      <c r="O77" s="25">
        <v>4629</v>
      </c>
      <c r="P77" s="25">
        <v>5429</v>
      </c>
      <c r="Q77" s="187">
        <f t="shared" si="25"/>
        <v>1.2573804573804575</v>
      </c>
      <c r="R77" s="187">
        <f t="shared" si="26"/>
        <v>0.14294736842105263</v>
      </c>
      <c r="S77" s="187">
        <f t="shared" si="27"/>
        <v>0.17282350399654353</v>
      </c>
      <c r="T77" s="187">
        <f t="shared" si="28"/>
        <v>0.10195879580070238</v>
      </c>
    </row>
    <row r="78" spans="1:20" x14ac:dyDescent="0.25">
      <c r="A78" s="86" t="s">
        <v>0</v>
      </c>
      <c r="B78" s="45">
        <v>20693</v>
      </c>
      <c r="C78" s="45">
        <v>26074</v>
      </c>
      <c r="D78" s="26">
        <v>28357</v>
      </c>
      <c r="E78" s="26">
        <v>33398</v>
      </c>
      <c r="F78" s="26">
        <v>34480</v>
      </c>
      <c r="G78" s="26">
        <v>41201</v>
      </c>
      <c r="H78" s="26">
        <v>46726</v>
      </c>
      <c r="I78" s="26">
        <v>46806</v>
      </c>
      <c r="J78" s="26">
        <v>45116</v>
      </c>
      <c r="K78" s="26">
        <v>47584</v>
      </c>
      <c r="L78" s="26">
        <v>48698</v>
      </c>
      <c r="M78" s="26">
        <v>46875</v>
      </c>
      <c r="N78" s="26">
        <v>48391</v>
      </c>
      <c r="O78" s="26">
        <v>45483</v>
      </c>
      <c r="P78" s="26">
        <v>53247</v>
      </c>
      <c r="Q78" s="188">
        <f t="shared" si="25"/>
        <v>0.2923715443799908</v>
      </c>
      <c r="R78" s="188">
        <f t="shared" si="26"/>
        <v>9.3412460470655878E-2</v>
      </c>
      <c r="S78" s="188">
        <f t="shared" si="27"/>
        <v>0.17070114108568035</v>
      </c>
      <c r="T78" s="188">
        <f t="shared" si="28"/>
        <v>1</v>
      </c>
    </row>
    <row r="80" spans="1:20" ht="18" x14ac:dyDescent="0.25">
      <c r="A80" s="27" t="s">
        <v>467</v>
      </c>
    </row>
    <row r="81" spans="1:20" ht="38.25" x14ac:dyDescent="0.25">
      <c r="A81" s="129" t="s">
        <v>480</v>
      </c>
      <c r="B81" s="130">
        <v>2007</v>
      </c>
      <c r="C81" s="130">
        <v>2008</v>
      </c>
      <c r="D81" s="130">
        <v>2009</v>
      </c>
      <c r="E81" s="130">
        <v>2010</v>
      </c>
      <c r="F81" s="130">
        <v>2011</v>
      </c>
      <c r="G81" s="130">
        <v>2012</v>
      </c>
      <c r="H81" s="130">
        <v>2013</v>
      </c>
      <c r="I81" s="130">
        <v>2014</v>
      </c>
      <c r="J81" s="130">
        <v>2015</v>
      </c>
      <c r="K81" s="130">
        <v>2016</v>
      </c>
      <c r="L81" s="130">
        <v>2017</v>
      </c>
      <c r="M81" s="130">
        <v>2018</v>
      </c>
      <c r="N81" s="130">
        <v>2019</v>
      </c>
      <c r="O81" s="130">
        <v>2020</v>
      </c>
      <c r="P81" s="130">
        <v>2021</v>
      </c>
      <c r="Q81" s="131" t="s">
        <v>424</v>
      </c>
      <c r="R81" s="131" t="s">
        <v>425</v>
      </c>
      <c r="S81" s="131" t="s">
        <v>426</v>
      </c>
      <c r="T81" s="131" t="s">
        <v>427</v>
      </c>
    </row>
    <row r="82" spans="1:20" x14ac:dyDescent="0.25">
      <c r="A82" s="86" t="s">
        <v>108</v>
      </c>
      <c r="B82" s="45">
        <v>766</v>
      </c>
      <c r="C82" s="45">
        <v>892</v>
      </c>
      <c r="D82" s="26">
        <v>725</v>
      </c>
      <c r="E82" s="26">
        <v>841</v>
      </c>
      <c r="F82" s="26">
        <v>920</v>
      </c>
      <c r="G82" s="26">
        <v>870</v>
      </c>
      <c r="H82" s="26">
        <v>967</v>
      </c>
      <c r="I82" s="26">
        <v>944</v>
      </c>
      <c r="J82" s="26">
        <v>979</v>
      </c>
      <c r="K82" s="26">
        <v>1025</v>
      </c>
      <c r="L82" s="26">
        <v>1052</v>
      </c>
      <c r="M82" s="26">
        <v>1203</v>
      </c>
      <c r="N82" s="26">
        <v>1226</v>
      </c>
      <c r="O82" s="26">
        <v>1150</v>
      </c>
      <c r="P82" s="26">
        <v>1288</v>
      </c>
      <c r="Q82" s="188">
        <f t="shared" ref="Q82:Q94" si="29">(P82-G82)/G82</f>
        <v>0.48045977011494251</v>
      </c>
      <c r="R82" s="188">
        <f t="shared" ref="R82:R94" si="30">(P82-L82)/L82</f>
        <v>0.22433460076045628</v>
      </c>
      <c r="S82" s="188">
        <f t="shared" ref="S82:S94" si="31">(P82-O82)/O82</f>
        <v>0.12</v>
      </c>
      <c r="T82" s="188">
        <f>P82/P$94</f>
        <v>7.4442261010287822E-2</v>
      </c>
    </row>
    <row r="83" spans="1:20" x14ac:dyDescent="0.25">
      <c r="A83" s="181" t="s">
        <v>99</v>
      </c>
      <c r="B83" s="1">
        <v>573</v>
      </c>
      <c r="C83" s="1">
        <v>584</v>
      </c>
      <c r="D83" s="25">
        <v>592</v>
      </c>
      <c r="E83" s="25">
        <v>715</v>
      </c>
      <c r="F83" s="25">
        <v>846</v>
      </c>
      <c r="G83" s="25">
        <v>781</v>
      </c>
      <c r="H83" s="25">
        <v>808</v>
      </c>
      <c r="I83" s="25">
        <v>874</v>
      </c>
      <c r="J83" s="25">
        <v>891</v>
      </c>
      <c r="K83" s="25">
        <v>939</v>
      </c>
      <c r="L83" s="25">
        <v>961</v>
      </c>
      <c r="M83" s="25">
        <v>1071</v>
      </c>
      <c r="N83" s="25">
        <v>1104</v>
      </c>
      <c r="O83" s="25">
        <v>1076</v>
      </c>
      <c r="P83" s="25">
        <v>1178</v>
      </c>
      <c r="Q83" s="187">
        <f t="shared" si="29"/>
        <v>0.50832266325224074</v>
      </c>
      <c r="R83" s="187">
        <f t="shared" si="30"/>
        <v>0.22580645161290322</v>
      </c>
      <c r="S83" s="187">
        <f t="shared" si="31"/>
        <v>9.4795539033457249E-2</v>
      </c>
      <c r="T83" s="187">
        <f t="shared" ref="T83:T94" si="32">P83/P$94</f>
        <v>6.8084614495434057E-2</v>
      </c>
    </row>
    <row r="84" spans="1:20" x14ac:dyDescent="0.25">
      <c r="A84" s="181" t="s">
        <v>100</v>
      </c>
      <c r="B84" s="1">
        <v>95</v>
      </c>
      <c r="C84" s="1">
        <v>125</v>
      </c>
      <c r="D84" s="25">
        <v>132</v>
      </c>
      <c r="E84" s="25">
        <v>116</v>
      </c>
      <c r="F84" s="25">
        <v>62</v>
      </c>
      <c r="G84" s="25">
        <v>46</v>
      </c>
      <c r="H84" s="25">
        <v>101</v>
      </c>
      <c r="I84" s="25">
        <v>55</v>
      </c>
      <c r="J84" s="25">
        <v>57</v>
      </c>
      <c r="K84" s="25">
        <v>74</v>
      </c>
      <c r="L84" s="25">
        <v>84</v>
      </c>
      <c r="M84" s="25">
        <v>111</v>
      </c>
      <c r="N84" s="25">
        <v>93</v>
      </c>
      <c r="O84" s="25">
        <v>66</v>
      </c>
      <c r="P84" s="25">
        <v>104</v>
      </c>
      <c r="Q84" s="187">
        <f t="shared" si="29"/>
        <v>1.2608695652173914</v>
      </c>
      <c r="R84" s="187">
        <f t="shared" si="30"/>
        <v>0.23809523809523808</v>
      </c>
      <c r="S84" s="187">
        <f t="shared" si="31"/>
        <v>0.5757575757575758</v>
      </c>
      <c r="T84" s="187">
        <f t="shared" si="32"/>
        <v>6.0108657958617504E-3</v>
      </c>
    </row>
    <row r="85" spans="1:20" x14ac:dyDescent="0.25">
      <c r="A85" s="181" t="s">
        <v>101</v>
      </c>
      <c r="B85" s="1">
        <v>35</v>
      </c>
      <c r="C85" s="1">
        <v>15</v>
      </c>
      <c r="D85" s="25"/>
      <c r="E85" s="25"/>
      <c r="F85" s="25"/>
      <c r="G85" s="25">
        <v>20</v>
      </c>
      <c r="H85" s="25">
        <v>23</v>
      </c>
      <c r="I85" s="25"/>
      <c r="J85" s="25">
        <v>10</v>
      </c>
      <c r="K85" s="25">
        <v>6</v>
      </c>
      <c r="L85" s="25">
        <v>7</v>
      </c>
      <c r="M85" s="25">
        <v>15</v>
      </c>
      <c r="N85" s="25">
        <v>18</v>
      </c>
      <c r="O85" s="25">
        <v>5</v>
      </c>
      <c r="P85" s="25">
        <v>4</v>
      </c>
      <c r="Q85" s="187">
        <f t="shared" si="29"/>
        <v>-0.8</v>
      </c>
      <c r="R85" s="187">
        <f t="shared" si="30"/>
        <v>-0.42857142857142855</v>
      </c>
      <c r="S85" s="187">
        <f t="shared" si="31"/>
        <v>-0.2</v>
      </c>
      <c r="T85" s="187">
        <f t="shared" si="32"/>
        <v>2.311871459946827E-4</v>
      </c>
    </row>
    <row r="86" spans="1:20" x14ac:dyDescent="0.25">
      <c r="A86" s="181" t="s">
        <v>102</v>
      </c>
      <c r="B86" s="1">
        <v>50</v>
      </c>
      <c r="C86" s="1">
        <v>119</v>
      </c>
      <c r="D86" s="25"/>
      <c r="E86" s="25">
        <v>5</v>
      </c>
      <c r="F86" s="25">
        <v>8</v>
      </c>
      <c r="G86" s="25">
        <v>13</v>
      </c>
      <c r="H86" s="25">
        <v>14</v>
      </c>
      <c r="I86" s="25">
        <v>11</v>
      </c>
      <c r="J86" s="25">
        <v>11</v>
      </c>
      <c r="K86" s="25"/>
      <c r="L86" s="25"/>
      <c r="M86" s="25">
        <v>2</v>
      </c>
      <c r="N86" s="25">
        <v>2</v>
      </c>
      <c r="O86" s="25"/>
      <c r="P86" s="25"/>
      <c r="Q86" s="187">
        <f t="shared" si="29"/>
        <v>-1</v>
      </c>
      <c r="R86" s="187" t="s">
        <v>155</v>
      </c>
      <c r="S86" s="187" t="s">
        <v>155</v>
      </c>
      <c r="T86" s="187">
        <f t="shared" si="32"/>
        <v>0</v>
      </c>
    </row>
    <row r="87" spans="1:20" x14ac:dyDescent="0.25">
      <c r="A87" s="181" t="s">
        <v>103</v>
      </c>
      <c r="B87" s="1">
        <v>13</v>
      </c>
      <c r="C87" s="1">
        <v>49</v>
      </c>
      <c r="D87" s="25">
        <v>1</v>
      </c>
      <c r="E87" s="25">
        <v>5</v>
      </c>
      <c r="F87" s="25">
        <v>4</v>
      </c>
      <c r="G87" s="25">
        <v>10</v>
      </c>
      <c r="H87" s="25">
        <v>21</v>
      </c>
      <c r="I87" s="25">
        <v>4</v>
      </c>
      <c r="J87" s="25">
        <v>10</v>
      </c>
      <c r="K87" s="25">
        <v>6</v>
      </c>
      <c r="L87" s="25"/>
      <c r="M87" s="25">
        <v>4</v>
      </c>
      <c r="N87" s="25">
        <v>9</v>
      </c>
      <c r="O87" s="25">
        <v>3</v>
      </c>
      <c r="P87" s="25">
        <v>2</v>
      </c>
      <c r="Q87" s="187">
        <f t="shared" si="29"/>
        <v>-0.8</v>
      </c>
      <c r="R87" s="187" t="s">
        <v>155</v>
      </c>
      <c r="S87" s="187">
        <f t="shared" si="31"/>
        <v>-0.33333333333333331</v>
      </c>
      <c r="T87" s="187">
        <f t="shared" si="32"/>
        <v>1.1559357299734135E-4</v>
      </c>
    </row>
    <row r="88" spans="1:20" x14ac:dyDescent="0.25">
      <c r="A88" s="86" t="s">
        <v>465</v>
      </c>
      <c r="B88" s="45">
        <v>7405</v>
      </c>
      <c r="C88" s="45">
        <v>9406</v>
      </c>
      <c r="D88" s="26">
        <v>9637</v>
      </c>
      <c r="E88" s="26">
        <v>11129</v>
      </c>
      <c r="F88" s="26">
        <v>10523</v>
      </c>
      <c r="G88" s="26">
        <v>10847</v>
      </c>
      <c r="H88" s="26">
        <v>12956</v>
      </c>
      <c r="I88" s="26">
        <v>12615</v>
      </c>
      <c r="J88" s="26">
        <v>12323</v>
      </c>
      <c r="K88" s="26">
        <v>12794</v>
      </c>
      <c r="L88" s="26">
        <v>12947</v>
      </c>
      <c r="M88" s="26">
        <v>13369</v>
      </c>
      <c r="N88" s="26">
        <v>12386</v>
      </c>
      <c r="O88" s="26">
        <v>10395</v>
      </c>
      <c r="P88" s="26">
        <v>16014</v>
      </c>
      <c r="Q88" s="188">
        <f t="shared" si="29"/>
        <v>0.47635290863833318</v>
      </c>
      <c r="R88" s="188">
        <f t="shared" si="30"/>
        <v>0.23688885456090214</v>
      </c>
      <c r="S88" s="188">
        <f t="shared" si="31"/>
        <v>0.54054834054834056</v>
      </c>
      <c r="T88" s="188">
        <f t="shared" si="32"/>
        <v>0.92555773898971216</v>
      </c>
    </row>
    <row r="89" spans="1:20" x14ac:dyDescent="0.25">
      <c r="A89" s="181" t="s">
        <v>99</v>
      </c>
      <c r="B89" s="1">
        <v>3684</v>
      </c>
      <c r="C89" s="1">
        <v>4076</v>
      </c>
      <c r="D89" s="25">
        <v>4268</v>
      </c>
      <c r="E89" s="25">
        <v>4816</v>
      </c>
      <c r="F89" s="25">
        <v>4673</v>
      </c>
      <c r="G89" s="25">
        <v>4697</v>
      </c>
      <c r="H89" s="25">
        <v>5196</v>
      </c>
      <c r="I89" s="25">
        <v>4966</v>
      </c>
      <c r="J89" s="25">
        <v>4866</v>
      </c>
      <c r="K89" s="25">
        <v>5213</v>
      </c>
      <c r="L89" s="25">
        <v>5521</v>
      </c>
      <c r="M89" s="25">
        <v>4278</v>
      </c>
      <c r="N89" s="25">
        <v>4730</v>
      </c>
      <c r="O89" s="25">
        <v>4033</v>
      </c>
      <c r="P89" s="25">
        <v>5387</v>
      </c>
      <c r="Q89" s="187">
        <f t="shared" si="29"/>
        <v>0.14690227804981904</v>
      </c>
      <c r="R89" s="187">
        <f t="shared" si="30"/>
        <v>-2.4270965404817969E-2</v>
      </c>
      <c r="S89" s="187">
        <f t="shared" si="31"/>
        <v>0.33573022563848254</v>
      </c>
      <c r="T89" s="187">
        <f t="shared" si="32"/>
        <v>0.3113512888683389</v>
      </c>
    </row>
    <row r="90" spans="1:20" x14ac:dyDescent="0.25">
      <c r="A90" s="181" t="s">
        <v>100</v>
      </c>
      <c r="B90" s="1">
        <v>2983</v>
      </c>
      <c r="C90" s="1">
        <v>3708</v>
      </c>
      <c r="D90" s="25">
        <v>4279</v>
      </c>
      <c r="E90" s="25">
        <v>5117</v>
      </c>
      <c r="F90" s="25">
        <v>4683</v>
      </c>
      <c r="G90" s="25">
        <v>4974</v>
      </c>
      <c r="H90" s="25">
        <v>5728</v>
      </c>
      <c r="I90" s="25">
        <v>5386</v>
      </c>
      <c r="J90" s="25">
        <v>5294</v>
      </c>
      <c r="K90" s="25">
        <v>5250</v>
      </c>
      <c r="L90" s="25">
        <v>4807</v>
      </c>
      <c r="M90" s="25">
        <v>5320</v>
      </c>
      <c r="N90" s="25">
        <v>4538</v>
      </c>
      <c r="O90" s="25">
        <v>3377</v>
      </c>
      <c r="P90" s="25">
        <v>5193</v>
      </c>
      <c r="Q90" s="187">
        <f t="shared" si="29"/>
        <v>4.402895054282268E-2</v>
      </c>
      <c r="R90" s="187">
        <f t="shared" si="30"/>
        <v>8.0299563137091745E-2</v>
      </c>
      <c r="S90" s="187">
        <f t="shared" si="31"/>
        <v>0.53775540420491563</v>
      </c>
      <c r="T90" s="187">
        <f t="shared" si="32"/>
        <v>0.30013871228759681</v>
      </c>
    </row>
    <row r="91" spans="1:20" x14ac:dyDescent="0.25">
      <c r="A91" s="181" t="s">
        <v>101</v>
      </c>
      <c r="B91" s="1">
        <v>187</v>
      </c>
      <c r="C91" s="1">
        <v>486</v>
      </c>
      <c r="D91" s="25">
        <v>424</v>
      </c>
      <c r="E91" s="25">
        <v>197</v>
      </c>
      <c r="F91" s="25">
        <v>92</v>
      </c>
      <c r="G91" s="25">
        <v>171</v>
      </c>
      <c r="H91" s="25">
        <v>161</v>
      </c>
      <c r="I91" s="25">
        <v>196</v>
      </c>
      <c r="J91" s="25">
        <v>274</v>
      </c>
      <c r="K91" s="25">
        <v>538</v>
      </c>
      <c r="L91" s="25">
        <v>636</v>
      </c>
      <c r="M91" s="25">
        <v>549</v>
      </c>
      <c r="N91" s="25">
        <v>629</v>
      </c>
      <c r="O91" s="25">
        <v>455</v>
      </c>
      <c r="P91" s="25">
        <v>589</v>
      </c>
      <c r="Q91" s="187">
        <f t="shared" si="29"/>
        <v>2.4444444444444446</v>
      </c>
      <c r="R91" s="187">
        <f t="shared" si="30"/>
        <v>-7.3899371069182387E-2</v>
      </c>
      <c r="S91" s="187">
        <f t="shared" si="31"/>
        <v>0.29450549450549451</v>
      </c>
      <c r="T91" s="187">
        <f t="shared" si="32"/>
        <v>3.4042307247717028E-2</v>
      </c>
    </row>
    <row r="92" spans="1:20" x14ac:dyDescent="0.25">
      <c r="A92" s="181" t="s">
        <v>102</v>
      </c>
      <c r="B92" s="1">
        <v>4</v>
      </c>
      <c r="C92" s="1">
        <v>648</v>
      </c>
      <c r="D92" s="25">
        <v>75</v>
      </c>
      <c r="E92" s="25">
        <v>171</v>
      </c>
      <c r="F92" s="25">
        <v>311</v>
      </c>
      <c r="G92" s="25">
        <v>440</v>
      </c>
      <c r="H92" s="25">
        <v>1028</v>
      </c>
      <c r="I92" s="25">
        <v>1161</v>
      </c>
      <c r="J92" s="25">
        <v>555</v>
      </c>
      <c r="K92" s="25">
        <v>668</v>
      </c>
      <c r="L92" s="25">
        <v>727</v>
      </c>
      <c r="M92" s="25">
        <v>1488</v>
      </c>
      <c r="N92" s="25">
        <v>1182</v>
      </c>
      <c r="O92" s="25">
        <v>1276</v>
      </c>
      <c r="P92" s="25">
        <v>3240</v>
      </c>
      <c r="Q92" s="187">
        <f t="shared" si="29"/>
        <v>6.3636363636363633</v>
      </c>
      <c r="R92" s="187">
        <f t="shared" si="30"/>
        <v>3.4566712517193947</v>
      </c>
      <c r="S92" s="187">
        <f t="shared" si="31"/>
        <v>1.5391849529780564</v>
      </c>
      <c r="T92" s="187">
        <f t="shared" si="32"/>
        <v>0.18726158825569297</v>
      </c>
    </row>
    <row r="93" spans="1:20" x14ac:dyDescent="0.25">
      <c r="A93" s="181" t="s">
        <v>103</v>
      </c>
      <c r="B93" s="1">
        <v>547</v>
      </c>
      <c r="C93" s="1">
        <v>488</v>
      </c>
      <c r="D93" s="25">
        <v>591</v>
      </c>
      <c r="E93" s="25">
        <v>828</v>
      </c>
      <c r="F93" s="25">
        <v>764</v>
      </c>
      <c r="G93" s="25">
        <v>565</v>
      </c>
      <c r="H93" s="25">
        <v>843</v>
      </c>
      <c r="I93" s="25">
        <v>906</v>
      </c>
      <c r="J93" s="25">
        <v>1334</v>
      </c>
      <c r="K93" s="25">
        <v>1125</v>
      </c>
      <c r="L93" s="25">
        <v>1256</v>
      </c>
      <c r="M93" s="25">
        <v>1734</v>
      </c>
      <c r="N93" s="25">
        <v>1307</v>
      </c>
      <c r="O93" s="25">
        <v>1254</v>
      </c>
      <c r="P93" s="25">
        <v>1605</v>
      </c>
      <c r="Q93" s="187">
        <f t="shared" si="29"/>
        <v>1.8407079646017699</v>
      </c>
      <c r="R93" s="187">
        <f t="shared" si="30"/>
        <v>0.27786624203821658</v>
      </c>
      <c r="S93" s="187">
        <f t="shared" si="31"/>
        <v>0.27990430622009571</v>
      </c>
      <c r="T93" s="187">
        <f t="shared" si="32"/>
        <v>9.2763842330366428E-2</v>
      </c>
    </row>
    <row r="94" spans="1:20" x14ac:dyDescent="0.25">
      <c r="A94" s="86" t="s">
        <v>0</v>
      </c>
      <c r="B94" s="45">
        <v>8171</v>
      </c>
      <c r="C94" s="45">
        <v>10298</v>
      </c>
      <c r="D94" s="26">
        <v>10362</v>
      </c>
      <c r="E94" s="26">
        <v>11970</v>
      </c>
      <c r="F94" s="26">
        <v>11443</v>
      </c>
      <c r="G94" s="26">
        <v>11717</v>
      </c>
      <c r="H94" s="26">
        <v>13923</v>
      </c>
      <c r="I94" s="26">
        <v>13559</v>
      </c>
      <c r="J94" s="26">
        <v>13302</v>
      </c>
      <c r="K94" s="26">
        <v>13819</v>
      </c>
      <c r="L94" s="26">
        <v>13999</v>
      </c>
      <c r="M94" s="26">
        <v>14572</v>
      </c>
      <c r="N94" s="26">
        <v>13612</v>
      </c>
      <c r="O94" s="26">
        <v>11545</v>
      </c>
      <c r="P94" s="26">
        <v>17302</v>
      </c>
      <c r="Q94" s="188">
        <f t="shared" si="29"/>
        <v>0.47665784757190405</v>
      </c>
      <c r="R94" s="188">
        <f t="shared" si="30"/>
        <v>0.23594542467319093</v>
      </c>
      <c r="S94" s="188">
        <f t="shared" si="31"/>
        <v>0.49865742745777392</v>
      </c>
      <c r="T94" s="188">
        <f t="shared" si="32"/>
        <v>1</v>
      </c>
    </row>
    <row r="96" spans="1:20" x14ac:dyDescent="0.25">
      <c r="A96" s="99" t="s">
        <v>307</v>
      </c>
      <c r="B96" s="99"/>
      <c r="C96" s="99"/>
      <c r="D96" s="110"/>
      <c r="E96" s="110"/>
      <c r="F96" s="110"/>
      <c r="G96" s="110"/>
      <c r="H96" s="110"/>
    </row>
    <row r="97" spans="1:3" x14ac:dyDescent="0.25">
      <c r="A97" s="51" t="s">
        <v>294</v>
      </c>
      <c r="B97" s="51"/>
      <c r="C97" s="51"/>
    </row>
  </sheetData>
  <hyperlinks>
    <hyperlink ref="A97" location="Índice!C1" display="Volver al ïndice" xr:uid="{00000000-0004-0000-0700-000000000000}"/>
  </hyperlinks>
  <pageMargins left="0.7" right="0.7" top="0.75" bottom="0.75" header="0.3" footer="0.3"/>
  <pageSetup orientation="portrait" r:id="rId1"/>
  <drawing r:id="rId2"/>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E72"/>
  <sheetViews>
    <sheetView showGridLines="0" workbookViewId="0">
      <pane ySplit="2" topLeftCell="A63" activePane="bottomLeft" state="frozen"/>
      <selection pane="bottomLeft" activeCell="A72" sqref="A72"/>
    </sheetView>
  </sheetViews>
  <sheetFormatPr baseColWidth="10" defaultColWidth="11.42578125" defaultRowHeight="12.75" x14ac:dyDescent="0.25"/>
  <cols>
    <col min="1" max="1" width="30.42578125" style="5" customWidth="1"/>
    <col min="2" max="2" width="16.85546875" style="7" customWidth="1"/>
    <col min="3" max="3" width="12.85546875" style="7" customWidth="1"/>
    <col min="4" max="4" width="17.85546875" style="7" customWidth="1"/>
    <col min="5" max="5" width="13.42578125" style="7" customWidth="1"/>
    <col min="6" max="16384" width="11.42578125" style="5"/>
  </cols>
  <sheetData>
    <row r="1" spans="1:5" ht="21" x14ac:dyDescent="0.25">
      <c r="A1" s="77" t="s">
        <v>482</v>
      </c>
    </row>
    <row r="2" spans="1:5" ht="33.75" customHeight="1" x14ac:dyDescent="0.25">
      <c r="A2" s="23"/>
    </row>
    <row r="3" spans="1:5" ht="15.75" x14ac:dyDescent="0.25">
      <c r="A3" s="27" t="s">
        <v>369</v>
      </c>
    </row>
    <row r="4" spans="1:5" ht="25.5" x14ac:dyDescent="0.25">
      <c r="A4" s="157" t="s">
        <v>304</v>
      </c>
      <c r="B4" s="158" t="s">
        <v>403</v>
      </c>
      <c r="C4" s="158" t="s">
        <v>37</v>
      </c>
      <c r="D4" s="164" t="s">
        <v>113</v>
      </c>
      <c r="E4" s="158" t="s">
        <v>0</v>
      </c>
    </row>
    <row r="5" spans="1:5" x14ac:dyDescent="0.25">
      <c r="A5" s="89" t="s">
        <v>2</v>
      </c>
      <c r="B5" s="25"/>
      <c r="C5" s="25"/>
      <c r="D5" s="25">
        <v>14</v>
      </c>
      <c r="E5" s="8">
        <v>14</v>
      </c>
    </row>
    <row r="6" spans="1:5" x14ac:dyDescent="0.25">
      <c r="A6" s="89" t="s">
        <v>3</v>
      </c>
      <c r="B6" s="25"/>
      <c r="C6" s="25">
        <v>1171</v>
      </c>
      <c r="D6" s="25">
        <v>129</v>
      </c>
      <c r="E6" s="8">
        <v>1300</v>
      </c>
    </row>
    <row r="7" spans="1:5" x14ac:dyDescent="0.25">
      <c r="A7" s="89" t="s">
        <v>4</v>
      </c>
      <c r="B7" s="25">
        <v>5173</v>
      </c>
      <c r="C7" s="25">
        <v>3792</v>
      </c>
      <c r="D7" s="25">
        <v>26799</v>
      </c>
      <c r="E7" s="8">
        <v>35764</v>
      </c>
    </row>
    <row r="8" spans="1:5" x14ac:dyDescent="0.25">
      <c r="A8" s="112" t="s">
        <v>0</v>
      </c>
      <c r="B8" s="9">
        <v>5173</v>
      </c>
      <c r="C8" s="9">
        <v>4963</v>
      </c>
      <c r="D8" s="9">
        <v>26942</v>
      </c>
      <c r="E8" s="9">
        <v>37078</v>
      </c>
    </row>
    <row r="10" spans="1:5" ht="15.75" x14ac:dyDescent="0.25">
      <c r="A10" s="27" t="s">
        <v>167</v>
      </c>
    </row>
    <row r="11" spans="1:5" ht="25.5" x14ac:dyDescent="0.25">
      <c r="A11" s="157" t="s">
        <v>273</v>
      </c>
      <c r="B11" s="158" t="s">
        <v>116</v>
      </c>
      <c r="C11" s="158" t="s">
        <v>37</v>
      </c>
      <c r="D11" s="164" t="s">
        <v>410</v>
      </c>
      <c r="E11" s="158" t="s">
        <v>76</v>
      </c>
    </row>
    <row r="12" spans="1:5" ht="15" customHeight="1" x14ac:dyDescent="0.25">
      <c r="A12" s="98" t="s">
        <v>311</v>
      </c>
      <c r="B12" s="41">
        <v>2698</v>
      </c>
      <c r="C12" s="41">
        <v>3939</v>
      </c>
      <c r="D12" s="41">
        <v>16851</v>
      </c>
      <c r="E12" s="56">
        <v>23488</v>
      </c>
    </row>
    <row r="13" spans="1:5" ht="15" customHeight="1" x14ac:dyDescent="0.25">
      <c r="A13" s="98" t="s">
        <v>312</v>
      </c>
      <c r="B13" s="41">
        <v>2475</v>
      </c>
      <c r="C13" s="41">
        <v>1024</v>
      </c>
      <c r="D13" s="41">
        <v>10091</v>
      </c>
      <c r="E13" s="56">
        <v>13590</v>
      </c>
    </row>
    <row r="14" spans="1:5" ht="15" customHeight="1" x14ac:dyDescent="0.25">
      <c r="A14" s="79" t="s">
        <v>65</v>
      </c>
      <c r="B14" s="109">
        <v>5173</v>
      </c>
      <c r="C14" s="109">
        <v>4963</v>
      </c>
      <c r="D14" s="109">
        <v>26942</v>
      </c>
      <c r="E14" s="109">
        <v>37078</v>
      </c>
    </row>
    <row r="15" spans="1:5" ht="15" customHeight="1" x14ac:dyDescent="0.25"/>
    <row r="16" spans="1:5" ht="15" customHeight="1" x14ac:dyDescent="0.25">
      <c r="A16" s="27" t="s">
        <v>150</v>
      </c>
    </row>
    <row r="17" spans="1:5" ht="25.5" x14ac:dyDescent="0.25">
      <c r="A17" s="156" t="s">
        <v>105</v>
      </c>
      <c r="B17" s="158" t="s">
        <v>116</v>
      </c>
      <c r="C17" s="158" t="s">
        <v>37</v>
      </c>
      <c r="D17" s="164" t="s">
        <v>410</v>
      </c>
      <c r="E17" s="158" t="s">
        <v>76</v>
      </c>
    </row>
    <row r="18" spans="1:5" ht="15" customHeight="1" x14ac:dyDescent="0.25">
      <c r="A18" s="90" t="s">
        <v>39</v>
      </c>
      <c r="B18" s="41"/>
      <c r="C18" s="41"/>
      <c r="D18" s="41">
        <v>26</v>
      </c>
      <c r="E18" s="41">
        <v>26</v>
      </c>
    </row>
    <row r="19" spans="1:5" ht="15" customHeight="1" x14ac:dyDescent="0.25">
      <c r="A19" s="90" t="s">
        <v>40</v>
      </c>
      <c r="B19" s="41">
        <v>9</v>
      </c>
      <c r="C19" s="41">
        <v>195</v>
      </c>
      <c r="D19" s="41">
        <v>962</v>
      </c>
      <c r="E19" s="41">
        <v>1166</v>
      </c>
    </row>
    <row r="20" spans="1:5" s="6" customFormat="1" ht="15" customHeight="1" x14ac:dyDescent="0.25">
      <c r="A20" s="90" t="s">
        <v>41</v>
      </c>
      <c r="B20" s="41">
        <v>1620</v>
      </c>
      <c r="C20" s="41">
        <v>1147</v>
      </c>
      <c r="D20" s="41">
        <v>7661</v>
      </c>
      <c r="E20" s="41">
        <v>10428</v>
      </c>
    </row>
    <row r="21" spans="1:5" s="6" customFormat="1" ht="15" customHeight="1" x14ac:dyDescent="0.25">
      <c r="A21" s="90" t="s">
        <v>42</v>
      </c>
      <c r="B21" s="41">
        <v>2614</v>
      </c>
      <c r="C21" s="41">
        <v>1283</v>
      </c>
      <c r="D21" s="41">
        <v>7253</v>
      </c>
      <c r="E21" s="41">
        <v>11150</v>
      </c>
    </row>
    <row r="22" spans="1:5" s="6" customFormat="1" ht="15" customHeight="1" x14ac:dyDescent="0.25">
      <c r="A22" s="90" t="s">
        <v>43</v>
      </c>
      <c r="B22" s="41">
        <v>733</v>
      </c>
      <c r="C22" s="41">
        <v>1010</v>
      </c>
      <c r="D22" s="41">
        <v>4611</v>
      </c>
      <c r="E22" s="41">
        <v>6354</v>
      </c>
    </row>
    <row r="23" spans="1:5" s="6" customFormat="1" ht="15" customHeight="1" x14ac:dyDescent="0.25">
      <c r="A23" s="90" t="s">
        <v>1</v>
      </c>
      <c r="B23" s="41">
        <v>193</v>
      </c>
      <c r="C23" s="41">
        <v>1327</v>
      </c>
      <c r="D23" s="41">
        <v>6426</v>
      </c>
      <c r="E23" s="41">
        <v>7946</v>
      </c>
    </row>
    <row r="24" spans="1:5" s="6" customFormat="1" ht="15" customHeight="1" x14ac:dyDescent="0.25">
      <c r="A24" s="90" t="s">
        <v>77</v>
      </c>
      <c r="B24" s="41">
        <v>4</v>
      </c>
      <c r="C24" s="41">
        <v>1</v>
      </c>
      <c r="D24" s="41">
        <v>3</v>
      </c>
      <c r="E24" s="41">
        <v>8</v>
      </c>
    </row>
    <row r="25" spans="1:5" s="6" customFormat="1" ht="15" customHeight="1" x14ac:dyDescent="0.25">
      <c r="A25" s="95" t="s">
        <v>0</v>
      </c>
      <c r="B25" s="167">
        <f>SUM(B18:B24)</f>
        <v>5173</v>
      </c>
      <c r="C25" s="167">
        <f t="shared" ref="C25:E25" si="0">SUM(C18:C24)</f>
        <v>4963</v>
      </c>
      <c r="D25" s="167">
        <f t="shared" si="0"/>
        <v>26942</v>
      </c>
      <c r="E25" s="167">
        <f t="shared" si="0"/>
        <v>37078</v>
      </c>
    </row>
    <row r="26" spans="1:5" s="6" customFormat="1" ht="15" customHeight="1" x14ac:dyDescent="0.25">
      <c r="A26" s="200" t="s">
        <v>124</v>
      </c>
      <c r="B26" s="211">
        <v>31.608241439349971</v>
      </c>
      <c r="C26" s="211">
        <v>35.498589278516725</v>
      </c>
      <c r="D26" s="211">
        <v>34.718437952411001</v>
      </c>
      <c r="E26" s="211">
        <v>34.389182627461601</v>
      </c>
    </row>
    <row r="27" spans="1:5" s="6" customFormat="1" ht="15" customHeight="1" x14ac:dyDescent="0.25">
      <c r="A27" s="5"/>
      <c r="B27" s="62"/>
      <c r="C27" s="62"/>
      <c r="D27" s="62"/>
      <c r="E27" s="7"/>
    </row>
    <row r="28" spans="1:5" s="6" customFormat="1" ht="15" customHeight="1" x14ac:dyDescent="0.25">
      <c r="A28" s="27" t="s">
        <v>149</v>
      </c>
      <c r="B28" s="7"/>
      <c r="C28" s="7"/>
      <c r="D28" s="7"/>
      <c r="E28" s="7"/>
    </row>
    <row r="29" spans="1:5" s="6" customFormat="1" ht="25.5" x14ac:dyDescent="0.25">
      <c r="A29" s="156" t="s">
        <v>58</v>
      </c>
      <c r="B29" s="158" t="s">
        <v>116</v>
      </c>
      <c r="C29" s="158" t="s">
        <v>37</v>
      </c>
      <c r="D29" s="164" t="s">
        <v>410</v>
      </c>
      <c r="E29" s="158" t="s">
        <v>76</v>
      </c>
    </row>
    <row r="30" spans="1:5" s="6" customFormat="1" ht="15" customHeight="1" x14ac:dyDescent="0.25">
      <c r="A30" s="89" t="s">
        <v>49</v>
      </c>
      <c r="B30" s="41"/>
      <c r="C30" s="41">
        <v>77</v>
      </c>
      <c r="D30" s="41">
        <v>5016</v>
      </c>
      <c r="E30" s="56">
        <v>5093</v>
      </c>
    </row>
    <row r="31" spans="1:5" s="6" customFormat="1" ht="15" customHeight="1" x14ac:dyDescent="0.25">
      <c r="A31" s="89" t="s">
        <v>50</v>
      </c>
      <c r="B31" s="41"/>
      <c r="C31" s="41">
        <v>53</v>
      </c>
      <c r="D31" s="41">
        <v>190</v>
      </c>
      <c r="E31" s="56">
        <v>243</v>
      </c>
    </row>
    <row r="32" spans="1:5" s="6" customFormat="1" ht="15" customHeight="1" x14ac:dyDescent="0.25">
      <c r="A32" s="89" t="s">
        <v>51</v>
      </c>
      <c r="B32" s="41"/>
      <c r="C32" s="41">
        <v>57</v>
      </c>
      <c r="D32" s="41">
        <v>399</v>
      </c>
      <c r="E32" s="56">
        <v>456</v>
      </c>
    </row>
    <row r="33" spans="1:5" s="6" customFormat="1" ht="15" customHeight="1" x14ac:dyDescent="0.25">
      <c r="A33" s="89" t="s">
        <v>52</v>
      </c>
      <c r="B33" s="41"/>
      <c r="C33" s="41"/>
      <c r="D33" s="41">
        <v>161</v>
      </c>
      <c r="E33" s="56">
        <v>161</v>
      </c>
    </row>
    <row r="34" spans="1:5" s="6" customFormat="1" ht="15" customHeight="1" x14ac:dyDescent="0.25">
      <c r="A34" s="89" t="s">
        <v>53</v>
      </c>
      <c r="B34" s="41"/>
      <c r="C34" s="41">
        <v>997</v>
      </c>
      <c r="D34" s="41">
        <v>3627</v>
      </c>
      <c r="E34" s="56">
        <v>4624</v>
      </c>
    </row>
    <row r="35" spans="1:5" s="6" customFormat="1" ht="15" customHeight="1" x14ac:dyDescent="0.25">
      <c r="A35" s="89" t="s">
        <v>7</v>
      </c>
      <c r="B35" s="41"/>
      <c r="C35" s="41">
        <v>104</v>
      </c>
      <c r="D35" s="41">
        <v>1851</v>
      </c>
      <c r="E35" s="56">
        <v>1955</v>
      </c>
    </row>
    <row r="36" spans="1:5" s="6" customFormat="1" ht="15" customHeight="1" x14ac:dyDescent="0.25">
      <c r="A36" s="89" t="s">
        <v>54</v>
      </c>
      <c r="B36" s="41"/>
      <c r="C36" s="41">
        <v>3040</v>
      </c>
      <c r="D36" s="41">
        <v>3894</v>
      </c>
      <c r="E36" s="56">
        <v>6934</v>
      </c>
    </row>
    <row r="37" spans="1:5" ht="15" customHeight="1" x14ac:dyDescent="0.25">
      <c r="A37" s="89" t="s">
        <v>55</v>
      </c>
      <c r="B37" s="41"/>
      <c r="C37" s="41">
        <v>2</v>
      </c>
      <c r="D37" s="41">
        <v>670</v>
      </c>
      <c r="E37" s="56">
        <v>672</v>
      </c>
    </row>
    <row r="38" spans="1:5" ht="15" customHeight="1" x14ac:dyDescent="0.25">
      <c r="A38" s="89" t="s">
        <v>56</v>
      </c>
      <c r="B38" s="41">
        <v>5173</v>
      </c>
      <c r="C38" s="41">
        <v>601</v>
      </c>
      <c r="D38" s="41">
        <v>8629</v>
      </c>
      <c r="E38" s="56">
        <v>14403</v>
      </c>
    </row>
    <row r="39" spans="1:5" ht="15" customHeight="1" x14ac:dyDescent="0.25">
      <c r="A39" s="89" t="s">
        <v>57</v>
      </c>
      <c r="B39" s="41"/>
      <c r="C39" s="41">
        <v>32</v>
      </c>
      <c r="D39" s="41">
        <v>2505</v>
      </c>
      <c r="E39" s="56">
        <v>2537</v>
      </c>
    </row>
    <row r="40" spans="1:5" ht="15" customHeight="1" x14ac:dyDescent="0.25">
      <c r="A40" s="112" t="s">
        <v>0</v>
      </c>
      <c r="B40" s="167">
        <v>5173</v>
      </c>
      <c r="C40" s="167">
        <v>4963</v>
      </c>
      <c r="D40" s="167">
        <v>26942</v>
      </c>
      <c r="E40" s="167">
        <v>37078</v>
      </c>
    </row>
    <row r="41" spans="1:5" ht="15" customHeight="1" x14ac:dyDescent="0.25"/>
    <row r="42" spans="1:5" ht="15" customHeight="1" x14ac:dyDescent="0.25">
      <c r="A42" s="27" t="s">
        <v>151</v>
      </c>
    </row>
    <row r="43" spans="1:5" ht="25.5" x14ac:dyDescent="0.25">
      <c r="A43" s="156" t="s">
        <v>60</v>
      </c>
      <c r="B43" s="158" t="s">
        <v>116</v>
      </c>
      <c r="C43" s="158" t="s">
        <v>37</v>
      </c>
      <c r="D43" s="164" t="s">
        <v>410</v>
      </c>
      <c r="E43" s="158" t="s">
        <v>76</v>
      </c>
    </row>
    <row r="44" spans="1:5" ht="15" customHeight="1" x14ac:dyDescent="0.25">
      <c r="A44" s="89" t="s">
        <v>99</v>
      </c>
      <c r="B44" s="25">
        <v>4694</v>
      </c>
      <c r="C44" s="25">
        <v>863</v>
      </c>
      <c r="D44" s="25">
        <v>5125</v>
      </c>
      <c r="E44" s="25">
        <v>10682</v>
      </c>
    </row>
    <row r="45" spans="1:5" ht="15" customHeight="1" x14ac:dyDescent="0.25">
      <c r="A45" s="89" t="s">
        <v>100</v>
      </c>
      <c r="B45" s="25">
        <v>209</v>
      </c>
      <c r="C45" s="25">
        <v>909</v>
      </c>
      <c r="D45" s="25">
        <v>7454</v>
      </c>
      <c r="E45" s="25">
        <v>8572</v>
      </c>
    </row>
    <row r="46" spans="1:5" ht="15" customHeight="1" x14ac:dyDescent="0.25">
      <c r="A46" s="89" t="s">
        <v>101</v>
      </c>
      <c r="B46" s="25"/>
      <c r="C46" s="25">
        <v>225</v>
      </c>
      <c r="D46" s="25">
        <v>5948</v>
      </c>
      <c r="E46" s="25">
        <v>6173</v>
      </c>
    </row>
    <row r="47" spans="1:5" ht="15" customHeight="1" x14ac:dyDescent="0.25">
      <c r="A47" s="89" t="s">
        <v>102</v>
      </c>
      <c r="B47" s="25"/>
      <c r="C47" s="25">
        <v>2619</v>
      </c>
      <c r="D47" s="25">
        <v>6996</v>
      </c>
      <c r="E47" s="25">
        <v>9615</v>
      </c>
    </row>
    <row r="48" spans="1:5" ht="15" customHeight="1" x14ac:dyDescent="0.25">
      <c r="A48" s="89" t="s">
        <v>103</v>
      </c>
      <c r="B48" s="25">
        <v>270</v>
      </c>
      <c r="C48" s="25">
        <v>347</v>
      </c>
      <c r="D48" s="25">
        <v>1419</v>
      </c>
      <c r="E48" s="25">
        <v>2036</v>
      </c>
    </row>
    <row r="49" spans="1:5" ht="15" customHeight="1" x14ac:dyDescent="0.25">
      <c r="A49" s="112" t="s">
        <v>0</v>
      </c>
      <c r="B49" s="9">
        <v>5173</v>
      </c>
      <c r="C49" s="9">
        <v>4963</v>
      </c>
      <c r="D49" s="9">
        <v>26942</v>
      </c>
      <c r="E49" s="9">
        <v>37078</v>
      </c>
    </row>
    <row r="50" spans="1:5" ht="15" customHeight="1" x14ac:dyDescent="0.25"/>
    <row r="51" spans="1:5" ht="15" customHeight="1" x14ac:dyDescent="0.25">
      <c r="A51" s="27" t="s">
        <v>152</v>
      </c>
    </row>
    <row r="52" spans="1:5" ht="25.5" x14ac:dyDescent="0.25">
      <c r="A52" s="156" t="s">
        <v>48</v>
      </c>
      <c r="B52" s="158" t="s">
        <v>116</v>
      </c>
      <c r="C52" s="158" t="s">
        <v>37</v>
      </c>
      <c r="D52" s="164" t="s">
        <v>410</v>
      </c>
      <c r="E52" s="158" t="s">
        <v>76</v>
      </c>
    </row>
    <row r="53" spans="1:5" s="6" customFormat="1" ht="15" customHeight="1" x14ac:dyDescent="0.25">
      <c r="A53" s="89" t="s">
        <v>280</v>
      </c>
      <c r="B53" s="25"/>
      <c r="C53" s="25"/>
      <c r="D53" s="25">
        <v>1</v>
      </c>
      <c r="E53" s="25">
        <v>1</v>
      </c>
    </row>
    <row r="54" spans="1:5" s="6" customFormat="1" ht="15" customHeight="1" x14ac:dyDescent="0.25">
      <c r="A54" s="89" t="s">
        <v>281</v>
      </c>
      <c r="B54" s="8"/>
      <c r="C54" s="8"/>
      <c r="D54" s="8">
        <v>18</v>
      </c>
      <c r="E54" s="8">
        <v>18</v>
      </c>
    </row>
    <row r="55" spans="1:5" s="6" customFormat="1" ht="15" customHeight="1" x14ac:dyDescent="0.25">
      <c r="A55" s="89" t="s">
        <v>282</v>
      </c>
      <c r="B55" s="8"/>
      <c r="C55" s="8"/>
      <c r="D55" s="8">
        <v>191</v>
      </c>
      <c r="E55" s="8">
        <v>191</v>
      </c>
    </row>
    <row r="56" spans="1:5" s="6" customFormat="1" ht="15" customHeight="1" x14ac:dyDescent="0.25">
      <c r="A56" s="89" t="s">
        <v>283</v>
      </c>
      <c r="B56" s="8"/>
      <c r="C56" s="8">
        <v>36</v>
      </c>
      <c r="D56" s="8">
        <v>28</v>
      </c>
      <c r="E56" s="8">
        <v>64</v>
      </c>
    </row>
    <row r="57" spans="1:5" s="6" customFormat="1" ht="15" customHeight="1" x14ac:dyDescent="0.25">
      <c r="A57" s="89" t="s">
        <v>284</v>
      </c>
      <c r="B57" s="8">
        <v>47</v>
      </c>
      <c r="C57" s="8"/>
      <c r="D57" s="8">
        <v>86</v>
      </c>
      <c r="E57" s="8">
        <v>133</v>
      </c>
    </row>
    <row r="58" spans="1:5" s="6" customFormat="1" ht="15" customHeight="1" x14ac:dyDescent="0.25">
      <c r="A58" s="89" t="s">
        <v>285</v>
      </c>
      <c r="B58" s="8">
        <v>310</v>
      </c>
      <c r="C58" s="8">
        <v>530</v>
      </c>
      <c r="D58" s="8">
        <v>406</v>
      </c>
      <c r="E58" s="8">
        <v>1246</v>
      </c>
    </row>
    <row r="59" spans="1:5" s="6" customFormat="1" ht="15" customHeight="1" x14ac:dyDescent="0.25">
      <c r="A59" s="89" t="s">
        <v>286</v>
      </c>
      <c r="B59" s="8">
        <v>3773</v>
      </c>
      <c r="C59" s="8">
        <v>3956</v>
      </c>
      <c r="D59" s="8">
        <v>22894</v>
      </c>
      <c r="E59" s="8">
        <v>30623</v>
      </c>
    </row>
    <row r="60" spans="1:5" s="6" customFormat="1" ht="15" customHeight="1" x14ac:dyDescent="0.25">
      <c r="A60" s="107" t="s">
        <v>404</v>
      </c>
      <c r="B60" s="25"/>
      <c r="C60" s="25"/>
      <c r="D60" s="25">
        <v>1</v>
      </c>
      <c r="E60" s="25">
        <v>1</v>
      </c>
    </row>
    <row r="61" spans="1:5" s="6" customFormat="1" ht="15" customHeight="1" x14ac:dyDescent="0.25">
      <c r="A61" s="89" t="s">
        <v>287</v>
      </c>
      <c r="B61" s="8">
        <v>152</v>
      </c>
      <c r="C61" s="8">
        <v>30</v>
      </c>
      <c r="D61" s="8">
        <v>316</v>
      </c>
      <c r="E61" s="8">
        <v>498</v>
      </c>
    </row>
    <row r="62" spans="1:5" s="6" customFormat="1" ht="15" customHeight="1" x14ac:dyDescent="0.25">
      <c r="A62" s="89" t="s">
        <v>363</v>
      </c>
      <c r="B62" s="8"/>
      <c r="C62" s="8">
        <v>6</v>
      </c>
      <c r="D62" s="8">
        <v>4</v>
      </c>
      <c r="E62" s="8">
        <v>10</v>
      </c>
    </row>
    <row r="63" spans="1:5" s="6" customFormat="1" ht="15" customHeight="1" x14ac:dyDescent="0.25">
      <c r="A63" s="89" t="s">
        <v>293</v>
      </c>
      <c r="B63" s="8">
        <v>620</v>
      </c>
      <c r="C63" s="8">
        <v>216</v>
      </c>
      <c r="D63" s="8">
        <v>1281</v>
      </c>
      <c r="E63" s="8">
        <v>2117</v>
      </c>
    </row>
    <row r="64" spans="1:5" s="6" customFormat="1" ht="15" customHeight="1" x14ac:dyDescent="0.25">
      <c r="A64" s="89" t="s">
        <v>288</v>
      </c>
      <c r="B64" s="8">
        <v>116</v>
      </c>
      <c r="C64" s="8">
        <v>103</v>
      </c>
      <c r="D64" s="8">
        <v>1342</v>
      </c>
      <c r="E64" s="8">
        <v>1561</v>
      </c>
    </row>
    <row r="65" spans="1:5" s="6" customFormat="1" ht="15" customHeight="1" x14ac:dyDescent="0.25">
      <c r="A65" s="89" t="s">
        <v>289</v>
      </c>
      <c r="B65" s="8">
        <v>107</v>
      </c>
      <c r="C65" s="8">
        <v>25</v>
      </c>
      <c r="D65" s="8">
        <v>170</v>
      </c>
      <c r="E65" s="8">
        <v>302</v>
      </c>
    </row>
    <row r="66" spans="1:5" s="6" customFormat="1" ht="15" customHeight="1" x14ac:dyDescent="0.25">
      <c r="A66" s="89" t="s">
        <v>290</v>
      </c>
      <c r="B66" s="8">
        <v>48</v>
      </c>
      <c r="C66" s="8">
        <v>61</v>
      </c>
      <c r="D66" s="8">
        <v>177</v>
      </c>
      <c r="E66" s="8">
        <v>286</v>
      </c>
    </row>
    <row r="67" spans="1:5" s="6" customFormat="1" ht="15" customHeight="1" x14ac:dyDescent="0.25">
      <c r="A67" s="89" t="s">
        <v>291</v>
      </c>
      <c r="B67" s="8"/>
      <c r="C67" s="8"/>
      <c r="D67" s="8"/>
      <c r="E67" s="8"/>
    </row>
    <row r="68" spans="1:5" s="6" customFormat="1" ht="15" customHeight="1" x14ac:dyDescent="0.25">
      <c r="A68" s="89" t="s">
        <v>292</v>
      </c>
      <c r="B68" s="25"/>
      <c r="C68" s="25"/>
      <c r="D68" s="25">
        <v>27</v>
      </c>
      <c r="E68" s="25">
        <v>27</v>
      </c>
    </row>
    <row r="69" spans="1:5" s="6" customFormat="1" ht="15" customHeight="1" x14ac:dyDescent="0.25">
      <c r="A69" s="112" t="s">
        <v>0</v>
      </c>
      <c r="B69" s="9">
        <v>5173</v>
      </c>
      <c r="C69" s="9">
        <v>4963</v>
      </c>
      <c r="D69" s="9">
        <v>26942</v>
      </c>
      <c r="E69" s="9">
        <v>37078</v>
      </c>
    </row>
    <row r="70" spans="1:5" ht="15" customHeight="1" x14ac:dyDescent="0.25"/>
    <row r="71" spans="1:5" ht="15" x14ac:dyDescent="0.25">
      <c r="A71" s="99" t="s">
        <v>307</v>
      </c>
    </row>
    <row r="72" spans="1:5" ht="15" x14ac:dyDescent="0.25">
      <c r="A72" s="51" t="s">
        <v>294</v>
      </c>
    </row>
  </sheetData>
  <hyperlinks>
    <hyperlink ref="A72" location="Índice!C1" display="Volver al ïndice" xr:uid="{00000000-0004-0000-0600-000000000000}"/>
  </hyperlinks>
  <pageMargins left="0.7" right="0.7" top="0.75" bottom="0.75" header="0.3" footer="0.3"/>
  <pageSetup orientation="portrait"/>
  <drawing r:id="rId1"/>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U65"/>
  <sheetViews>
    <sheetView showGridLines="0" zoomScale="96" zoomScaleNormal="96" zoomScalePageLayoutView="96" workbookViewId="0">
      <pane ySplit="2" topLeftCell="A53" activePane="bottomLeft" state="frozen"/>
      <selection pane="bottomLeft" activeCell="A65" sqref="A65"/>
    </sheetView>
  </sheetViews>
  <sheetFormatPr baseColWidth="10" defaultColWidth="10.85546875" defaultRowHeight="15" x14ac:dyDescent="0.25"/>
  <cols>
    <col min="1" max="1" width="28.5703125" style="5" customWidth="1"/>
    <col min="2" max="16" width="8.42578125" style="5" customWidth="1"/>
    <col min="17" max="19" width="11.85546875" style="6" customWidth="1"/>
    <col min="20" max="20" width="13.85546875" style="6" customWidth="1"/>
    <col min="21" max="21" width="10.28515625" style="110" customWidth="1"/>
    <col min="22" max="16384" width="10.85546875" style="110"/>
  </cols>
  <sheetData>
    <row r="1" spans="1:21" ht="21" x14ac:dyDescent="0.25">
      <c r="A1" s="85" t="s">
        <v>478</v>
      </c>
      <c r="B1" s="85"/>
      <c r="C1" s="85"/>
      <c r="D1" s="42"/>
      <c r="E1" s="42"/>
      <c r="F1" s="42"/>
      <c r="G1" s="42"/>
      <c r="H1" s="42"/>
    </row>
    <row r="2" spans="1:21" ht="36" customHeight="1" x14ac:dyDescent="0.25">
      <c r="A2" s="42"/>
      <c r="B2" s="42"/>
      <c r="C2" s="42"/>
      <c r="D2" s="42"/>
      <c r="E2" s="42"/>
      <c r="F2" s="42"/>
      <c r="G2" s="42"/>
      <c r="H2" s="42"/>
    </row>
    <row r="3" spans="1:21" ht="25.5" customHeight="1" x14ac:dyDescent="0.25">
      <c r="A3" s="27" t="s">
        <v>147</v>
      </c>
      <c r="B3" s="27"/>
      <c r="C3" s="27"/>
      <c r="D3" s="27"/>
      <c r="E3" s="27"/>
      <c r="F3" s="27"/>
      <c r="G3" s="27"/>
      <c r="H3" s="27"/>
    </row>
    <row r="4" spans="1:21" ht="25.5" x14ac:dyDescent="0.25">
      <c r="A4" s="129" t="s">
        <v>92</v>
      </c>
      <c r="B4" s="130">
        <v>2007</v>
      </c>
      <c r="C4" s="130">
        <v>2008</v>
      </c>
      <c r="D4" s="130">
        <v>2009</v>
      </c>
      <c r="E4" s="130">
        <v>2010</v>
      </c>
      <c r="F4" s="130">
        <v>2011</v>
      </c>
      <c r="G4" s="130">
        <v>2012</v>
      </c>
      <c r="H4" s="130">
        <v>2013</v>
      </c>
      <c r="I4" s="130">
        <v>2014</v>
      </c>
      <c r="J4" s="130">
        <v>2015</v>
      </c>
      <c r="K4" s="130">
        <v>2016</v>
      </c>
      <c r="L4" s="130">
        <v>2017</v>
      </c>
      <c r="M4" s="130">
        <v>2018</v>
      </c>
      <c r="N4" s="130">
        <v>2019</v>
      </c>
      <c r="O4" s="130">
        <v>2020</v>
      </c>
      <c r="P4" s="130">
        <v>2021</v>
      </c>
      <c r="Q4" s="131" t="s">
        <v>424</v>
      </c>
      <c r="R4" s="131" t="s">
        <v>425</v>
      </c>
      <c r="S4" s="131" t="s">
        <v>426</v>
      </c>
      <c r="T4" s="131" t="s">
        <v>427</v>
      </c>
    </row>
    <row r="5" spans="1:21" x14ac:dyDescent="0.25">
      <c r="A5" s="1" t="s">
        <v>2</v>
      </c>
      <c r="B5" s="1"/>
      <c r="C5" s="1">
        <v>12</v>
      </c>
      <c r="D5" s="1">
        <v>14</v>
      </c>
      <c r="E5" s="1">
        <v>5</v>
      </c>
      <c r="F5" s="1">
        <v>61</v>
      </c>
      <c r="G5" s="1">
        <v>17</v>
      </c>
      <c r="H5" s="1">
        <v>18</v>
      </c>
      <c r="I5" s="1">
        <v>2</v>
      </c>
      <c r="J5" s="1">
        <v>6</v>
      </c>
      <c r="K5" s="1">
        <v>9</v>
      </c>
      <c r="L5" s="1">
        <v>12</v>
      </c>
      <c r="M5" s="1">
        <v>11</v>
      </c>
      <c r="N5" s="1">
        <v>9</v>
      </c>
      <c r="O5" s="1">
        <v>8</v>
      </c>
      <c r="P5" s="1">
        <v>14</v>
      </c>
      <c r="Q5" s="187">
        <f>(P5-G5)/G5</f>
        <v>-0.17647058823529413</v>
      </c>
      <c r="R5" s="187">
        <f>(P5-L5)/L5</f>
        <v>0.16666666666666666</v>
      </c>
      <c r="S5" s="187">
        <f>(P5-O5)/O5</f>
        <v>0.75</v>
      </c>
      <c r="T5" s="187">
        <f>P5/P$8</f>
        <v>3.7758239387237715E-4</v>
      </c>
    </row>
    <row r="6" spans="1:21" x14ac:dyDescent="0.25">
      <c r="A6" s="1" t="s">
        <v>3</v>
      </c>
      <c r="B6" s="1"/>
      <c r="C6" s="1">
        <v>22</v>
      </c>
      <c r="D6" s="1">
        <v>25</v>
      </c>
      <c r="E6" s="1">
        <v>38</v>
      </c>
      <c r="F6" s="1">
        <v>7074</v>
      </c>
      <c r="G6" s="1">
        <v>7637</v>
      </c>
      <c r="H6" s="1">
        <v>7568</v>
      </c>
      <c r="I6" s="1">
        <v>6391</v>
      </c>
      <c r="J6" s="1">
        <v>5631</v>
      </c>
      <c r="K6" s="1">
        <v>3679</v>
      </c>
      <c r="L6" s="1">
        <v>2644</v>
      </c>
      <c r="M6" s="1">
        <v>1793</v>
      </c>
      <c r="N6" s="1">
        <v>1956</v>
      </c>
      <c r="O6" s="1">
        <v>643</v>
      </c>
      <c r="P6" s="1">
        <v>1300</v>
      </c>
      <c r="Q6" s="187">
        <f>(P6-G6)/G6</f>
        <v>-0.82977609008773079</v>
      </c>
      <c r="R6" s="187">
        <f>(P6-L6)/L6</f>
        <v>-0.50832072617246593</v>
      </c>
      <c r="S6" s="187">
        <f>(P6-O6)/O6</f>
        <v>1.0217729393468118</v>
      </c>
      <c r="T6" s="187">
        <f t="shared" ref="T6:T8" si="0">P6/P$8</f>
        <v>3.5061222288149306E-2</v>
      </c>
    </row>
    <row r="7" spans="1:21" x14ac:dyDescent="0.25">
      <c r="A7" s="1" t="s">
        <v>125</v>
      </c>
      <c r="B7" s="1">
        <v>7801</v>
      </c>
      <c r="C7" s="1">
        <v>10340</v>
      </c>
      <c r="D7" s="1">
        <v>13983</v>
      </c>
      <c r="E7" s="1">
        <v>13919</v>
      </c>
      <c r="F7" s="1">
        <v>12407</v>
      </c>
      <c r="G7" s="1">
        <v>13249</v>
      </c>
      <c r="H7" s="1">
        <v>15782</v>
      </c>
      <c r="I7" s="1">
        <v>17550</v>
      </c>
      <c r="J7" s="1">
        <v>16384</v>
      </c>
      <c r="K7" s="1">
        <v>17426</v>
      </c>
      <c r="L7" s="1">
        <v>19647</v>
      </c>
      <c r="M7" s="1">
        <v>25610</v>
      </c>
      <c r="N7" s="1">
        <v>23668</v>
      </c>
      <c r="O7" s="1">
        <v>22930</v>
      </c>
      <c r="P7" s="1">
        <v>35764</v>
      </c>
      <c r="Q7" s="187">
        <f>(P7-G7)/G7</f>
        <v>1.6993735376254813</v>
      </c>
      <c r="R7" s="187">
        <f>(P7-L7)/L7</f>
        <v>0.82032880337965086</v>
      </c>
      <c r="S7" s="187">
        <f>(P7-O7)/O7</f>
        <v>0.55970344526820759</v>
      </c>
      <c r="T7" s="187">
        <f t="shared" si="0"/>
        <v>0.96456119531797835</v>
      </c>
    </row>
    <row r="8" spans="1:21" x14ac:dyDescent="0.25">
      <c r="A8" s="2" t="s">
        <v>0</v>
      </c>
      <c r="B8" s="2">
        <v>7801</v>
      </c>
      <c r="C8" s="2">
        <v>10374</v>
      </c>
      <c r="D8" s="2">
        <v>14022</v>
      </c>
      <c r="E8" s="2">
        <v>13962</v>
      </c>
      <c r="F8" s="2">
        <v>19542</v>
      </c>
      <c r="G8" s="2">
        <v>20903</v>
      </c>
      <c r="H8" s="2">
        <v>23368</v>
      </c>
      <c r="I8" s="2">
        <v>23943</v>
      </c>
      <c r="J8" s="2">
        <v>22021</v>
      </c>
      <c r="K8" s="2">
        <v>21114</v>
      </c>
      <c r="L8" s="2">
        <v>22303</v>
      </c>
      <c r="M8" s="2">
        <v>27414</v>
      </c>
      <c r="N8" s="2">
        <v>25633</v>
      </c>
      <c r="O8" s="2">
        <v>23581</v>
      </c>
      <c r="P8" s="2">
        <v>37078</v>
      </c>
      <c r="Q8" s="188">
        <f>(P8-G8)/G8</f>
        <v>0.77381237142993831</v>
      </c>
      <c r="R8" s="188">
        <f>(P8-L8)/L8</f>
        <v>0.66246693269963686</v>
      </c>
      <c r="S8" s="188">
        <f>(P8-O8)/O8</f>
        <v>0.57236758407192234</v>
      </c>
      <c r="T8" s="188">
        <f t="shared" si="0"/>
        <v>1</v>
      </c>
    </row>
    <row r="10" spans="1:21" ht="15.75" x14ac:dyDescent="0.25">
      <c r="A10" s="27" t="s">
        <v>345</v>
      </c>
      <c r="B10" s="27"/>
      <c r="C10" s="27"/>
      <c r="D10" s="27"/>
      <c r="E10" s="27"/>
      <c r="F10" s="27"/>
      <c r="G10" s="27"/>
      <c r="H10" s="27"/>
    </row>
    <row r="11" spans="1:21" ht="25.5" x14ac:dyDescent="0.25">
      <c r="A11" s="129" t="s">
        <v>92</v>
      </c>
      <c r="B11" s="130">
        <v>2007</v>
      </c>
      <c r="C11" s="130">
        <v>2008</v>
      </c>
      <c r="D11" s="130">
        <v>2009</v>
      </c>
      <c r="E11" s="130">
        <v>2010</v>
      </c>
      <c r="F11" s="130">
        <v>2011</v>
      </c>
      <c r="G11" s="130">
        <v>2012</v>
      </c>
      <c r="H11" s="130">
        <v>2013</v>
      </c>
      <c r="I11" s="130">
        <v>2014</v>
      </c>
      <c r="J11" s="130">
        <v>2015</v>
      </c>
      <c r="K11" s="130">
        <v>2016</v>
      </c>
      <c r="L11" s="130">
        <v>2017</v>
      </c>
      <c r="M11" s="130">
        <v>2018</v>
      </c>
      <c r="N11" s="130">
        <v>2019</v>
      </c>
      <c r="O11" s="130">
        <v>2020</v>
      </c>
      <c r="P11" s="130">
        <v>2021</v>
      </c>
      <c r="Q11" s="131" t="s">
        <v>424</v>
      </c>
      <c r="R11" s="131" t="s">
        <v>425</v>
      </c>
      <c r="S11" s="131" t="s">
        <v>426</v>
      </c>
      <c r="T11" s="131" t="s">
        <v>427</v>
      </c>
    </row>
    <row r="12" spans="1:21" x14ac:dyDescent="0.25">
      <c r="A12" s="1" t="s">
        <v>2</v>
      </c>
      <c r="B12" s="1"/>
      <c r="C12" s="1">
        <v>12</v>
      </c>
      <c r="D12" s="1">
        <v>14</v>
      </c>
      <c r="E12" s="1">
        <v>5</v>
      </c>
      <c r="F12" s="1">
        <v>61</v>
      </c>
      <c r="G12" s="1">
        <v>17</v>
      </c>
      <c r="H12" s="1">
        <v>18</v>
      </c>
      <c r="I12" s="1">
        <v>2</v>
      </c>
      <c r="J12" s="1">
        <v>6</v>
      </c>
      <c r="K12" s="1">
        <v>9</v>
      </c>
      <c r="L12" s="1">
        <v>12</v>
      </c>
      <c r="M12" s="1">
        <v>11</v>
      </c>
      <c r="N12" s="1">
        <v>9</v>
      </c>
      <c r="O12" s="1">
        <v>8</v>
      </c>
      <c r="P12" s="1">
        <v>14</v>
      </c>
      <c r="Q12" s="187">
        <f t="shared" ref="Q12:Q18" si="1">(P12-G12)/G12</f>
        <v>-0.17647058823529413</v>
      </c>
      <c r="R12" s="187">
        <f t="shared" ref="R12:R18" si="2">(P12-L12)/L12</f>
        <v>0.16666666666666666</v>
      </c>
      <c r="S12" s="187">
        <f t="shared" ref="S12:S18" si="3">(P12-O12)/O12</f>
        <v>0.75</v>
      </c>
      <c r="T12" s="187">
        <f>P12/P$18</f>
        <v>3.7758239387237715E-4</v>
      </c>
      <c r="U12" s="15"/>
    </row>
    <row r="13" spans="1:21" x14ac:dyDescent="0.25">
      <c r="A13" s="1" t="s">
        <v>3</v>
      </c>
      <c r="B13" s="1"/>
      <c r="C13" s="1">
        <v>22</v>
      </c>
      <c r="D13" s="1">
        <v>25</v>
      </c>
      <c r="E13" s="1">
        <v>38</v>
      </c>
      <c r="F13" s="1">
        <v>7074</v>
      </c>
      <c r="G13" s="1">
        <v>7637</v>
      </c>
      <c r="H13" s="1">
        <v>7568</v>
      </c>
      <c r="I13" s="1">
        <v>6391</v>
      </c>
      <c r="J13" s="1">
        <v>5631</v>
      </c>
      <c r="K13" s="1">
        <v>3679</v>
      </c>
      <c r="L13" s="1">
        <v>2644</v>
      </c>
      <c r="M13" s="1">
        <v>1793</v>
      </c>
      <c r="N13" s="1">
        <v>1956</v>
      </c>
      <c r="O13" s="1">
        <v>643</v>
      </c>
      <c r="P13" s="1">
        <v>1300</v>
      </c>
      <c r="Q13" s="187">
        <f t="shared" si="1"/>
        <v>-0.82977609008773079</v>
      </c>
      <c r="R13" s="187">
        <f t="shared" si="2"/>
        <v>-0.50832072617246593</v>
      </c>
      <c r="S13" s="187">
        <f t="shared" si="3"/>
        <v>1.0217729393468118</v>
      </c>
      <c r="T13" s="187">
        <f t="shared" ref="T13:T18" si="4">P13/P$18</f>
        <v>3.5061222288149306E-2</v>
      </c>
      <c r="U13" s="15"/>
    </row>
    <row r="14" spans="1:21" x14ac:dyDescent="0.25">
      <c r="A14" s="113" t="s">
        <v>350</v>
      </c>
      <c r="B14" s="113">
        <v>1710</v>
      </c>
      <c r="C14" s="113">
        <v>2913</v>
      </c>
      <c r="D14" s="1">
        <v>3456</v>
      </c>
      <c r="E14" s="1">
        <v>3582</v>
      </c>
      <c r="F14" s="1">
        <v>2941</v>
      </c>
      <c r="G14" s="1">
        <v>3145</v>
      </c>
      <c r="H14" s="1">
        <v>3422</v>
      </c>
      <c r="I14" s="1">
        <v>4084</v>
      </c>
      <c r="J14" s="1">
        <v>3613</v>
      </c>
      <c r="K14" s="1">
        <v>3798</v>
      </c>
      <c r="L14" s="1">
        <v>3762</v>
      </c>
      <c r="M14" s="1">
        <v>3298</v>
      </c>
      <c r="N14" s="1">
        <v>3118</v>
      </c>
      <c r="O14" s="1">
        <v>2374</v>
      </c>
      <c r="P14" s="1">
        <v>3713</v>
      </c>
      <c r="Q14" s="187">
        <f t="shared" si="1"/>
        <v>0.18060413354531002</v>
      </c>
      <c r="R14" s="187">
        <f t="shared" si="2"/>
        <v>-1.3024986709197236E-2</v>
      </c>
      <c r="S14" s="187">
        <f t="shared" si="3"/>
        <v>0.56402695871946085</v>
      </c>
      <c r="T14" s="187">
        <f t="shared" si="4"/>
        <v>0.1001402448891526</v>
      </c>
      <c r="U14" s="15"/>
    </row>
    <row r="15" spans="1:21" x14ac:dyDescent="0.25">
      <c r="A15" s="113" t="s">
        <v>351</v>
      </c>
      <c r="B15" s="113">
        <v>3347</v>
      </c>
      <c r="C15" s="113">
        <v>3156</v>
      </c>
      <c r="D15" s="1">
        <v>3847</v>
      </c>
      <c r="E15" s="1">
        <v>3987</v>
      </c>
      <c r="F15" s="1">
        <v>3663</v>
      </c>
      <c r="G15" s="1">
        <v>2446</v>
      </c>
      <c r="H15" s="1">
        <v>2703</v>
      </c>
      <c r="I15" s="1">
        <v>2876</v>
      </c>
      <c r="J15" s="1">
        <v>3768</v>
      </c>
      <c r="K15" s="1">
        <v>3572</v>
      </c>
      <c r="L15" s="1">
        <v>3603</v>
      </c>
      <c r="M15" s="1">
        <v>9837</v>
      </c>
      <c r="N15" s="1">
        <v>9135</v>
      </c>
      <c r="O15" s="1">
        <v>12016</v>
      </c>
      <c r="P15" s="1">
        <v>19566</v>
      </c>
      <c r="Q15" s="187">
        <f t="shared" si="1"/>
        <v>6.9991823385118561</v>
      </c>
      <c r="R15" s="187">
        <f t="shared" si="2"/>
        <v>4.4304746044962533</v>
      </c>
      <c r="S15" s="187">
        <f t="shared" si="3"/>
        <v>0.62832889480692411</v>
      </c>
      <c r="T15" s="187">
        <f t="shared" si="4"/>
        <v>0.52769836560763794</v>
      </c>
      <c r="U15" s="15"/>
    </row>
    <row r="16" spans="1:21" x14ac:dyDescent="0.25">
      <c r="A16" s="92" t="s">
        <v>299</v>
      </c>
      <c r="B16" s="92">
        <v>2744</v>
      </c>
      <c r="C16" s="92">
        <v>4271</v>
      </c>
      <c r="D16" s="1">
        <v>6680</v>
      </c>
      <c r="E16" s="1">
        <v>6350</v>
      </c>
      <c r="F16" s="1">
        <v>5803</v>
      </c>
      <c r="G16" s="1">
        <v>7658</v>
      </c>
      <c r="H16" s="1">
        <v>9657</v>
      </c>
      <c r="I16" s="1">
        <v>10590</v>
      </c>
      <c r="J16" s="1">
        <v>9003</v>
      </c>
      <c r="K16" s="1">
        <v>10056</v>
      </c>
      <c r="L16" s="1">
        <v>12282</v>
      </c>
      <c r="M16" s="1">
        <v>12475</v>
      </c>
      <c r="N16" s="1">
        <v>11415</v>
      </c>
      <c r="O16" s="1">
        <v>8538</v>
      </c>
      <c r="P16" s="1">
        <v>12485</v>
      </c>
      <c r="Q16" s="187">
        <f t="shared" si="1"/>
        <v>0.63032123269783236</v>
      </c>
      <c r="R16" s="187">
        <f t="shared" si="2"/>
        <v>1.6528252727568801E-2</v>
      </c>
      <c r="S16" s="187">
        <f t="shared" si="3"/>
        <v>0.4622862497071914</v>
      </c>
      <c r="T16" s="187">
        <f t="shared" si="4"/>
        <v>0.33672258482118778</v>
      </c>
      <c r="U16" s="15"/>
    </row>
    <row r="17" spans="1:21" x14ac:dyDescent="0.25">
      <c r="A17" s="92" t="s">
        <v>365</v>
      </c>
      <c r="B17" s="92"/>
      <c r="C17" s="92"/>
      <c r="D17" s="1"/>
      <c r="E17" s="1"/>
      <c r="F17" s="1"/>
      <c r="G17" s="1"/>
      <c r="H17" s="1"/>
      <c r="I17" s="1"/>
      <c r="J17" s="1"/>
      <c r="K17" s="1"/>
      <c r="L17" s="1"/>
      <c r="M17" s="1"/>
      <c r="N17" s="1"/>
      <c r="O17" s="1">
        <v>2</v>
      </c>
      <c r="P17" s="1"/>
      <c r="Q17" s="187" t="s">
        <v>155</v>
      </c>
      <c r="R17" s="187" t="s">
        <v>155</v>
      </c>
      <c r="S17" s="187">
        <f t="shared" si="3"/>
        <v>-1</v>
      </c>
      <c r="T17" s="187">
        <f t="shared" si="4"/>
        <v>0</v>
      </c>
      <c r="U17" s="15"/>
    </row>
    <row r="18" spans="1:21" s="52" customFormat="1" x14ac:dyDescent="0.25">
      <c r="A18" s="2" t="s">
        <v>0</v>
      </c>
      <c r="B18" s="2">
        <v>7801</v>
      </c>
      <c r="C18" s="2">
        <v>10374</v>
      </c>
      <c r="D18" s="2">
        <v>14022</v>
      </c>
      <c r="E18" s="2">
        <v>13962</v>
      </c>
      <c r="F18" s="2">
        <v>19542</v>
      </c>
      <c r="G18" s="2">
        <v>20903</v>
      </c>
      <c r="H18" s="2">
        <v>23368</v>
      </c>
      <c r="I18" s="2">
        <v>23943</v>
      </c>
      <c r="J18" s="2">
        <v>22021</v>
      </c>
      <c r="K18" s="2">
        <v>21114</v>
      </c>
      <c r="L18" s="2">
        <v>22303</v>
      </c>
      <c r="M18" s="2">
        <v>27414</v>
      </c>
      <c r="N18" s="2">
        <v>25633</v>
      </c>
      <c r="O18" s="2">
        <v>23581</v>
      </c>
      <c r="P18" s="2">
        <v>37078</v>
      </c>
      <c r="Q18" s="188">
        <f t="shared" si="1"/>
        <v>0.77381237142993831</v>
      </c>
      <c r="R18" s="188">
        <f t="shared" si="2"/>
        <v>0.66246693269963686</v>
      </c>
      <c r="S18" s="188">
        <f t="shared" si="3"/>
        <v>0.57236758407192234</v>
      </c>
      <c r="T18" s="188">
        <f t="shared" si="4"/>
        <v>1</v>
      </c>
      <c r="U18" s="55"/>
    </row>
    <row r="19" spans="1:21" s="52" customFormat="1" x14ac:dyDescent="0.25">
      <c r="A19" s="139" t="s">
        <v>388</v>
      </c>
      <c r="B19" s="128"/>
      <c r="C19" s="128"/>
      <c r="D19" s="128"/>
      <c r="E19" s="128"/>
      <c r="F19" s="128"/>
      <c r="G19" s="128"/>
      <c r="H19" s="128"/>
      <c r="I19" s="128"/>
      <c r="J19" s="128"/>
      <c r="K19" s="128"/>
      <c r="L19" s="128"/>
      <c r="M19" s="128"/>
      <c r="N19" s="128"/>
      <c r="O19" s="128"/>
      <c r="P19" s="128"/>
      <c r="Q19" s="61"/>
      <c r="R19" s="61"/>
      <c r="S19" s="61"/>
      <c r="T19" s="61"/>
      <c r="U19" s="55"/>
    </row>
    <row r="20" spans="1:21" x14ac:dyDescent="0.25">
      <c r="A20" s="139" t="s">
        <v>393</v>
      </c>
      <c r="U20" s="15"/>
    </row>
    <row r="21" spans="1:21" x14ac:dyDescent="0.25">
      <c r="A21" s="139"/>
      <c r="U21" s="15"/>
    </row>
    <row r="22" spans="1:21" ht="15.75" x14ac:dyDescent="0.25">
      <c r="A22" s="27" t="s">
        <v>146</v>
      </c>
      <c r="B22" s="27"/>
      <c r="C22" s="27"/>
      <c r="D22" s="27"/>
      <c r="E22" s="27"/>
      <c r="F22" s="27"/>
      <c r="G22" s="27"/>
      <c r="H22" s="27"/>
      <c r="U22" s="15"/>
    </row>
    <row r="23" spans="1:21" ht="25.5" x14ac:dyDescent="0.25">
      <c r="A23" s="129" t="s">
        <v>107</v>
      </c>
      <c r="B23" s="130">
        <v>2007</v>
      </c>
      <c r="C23" s="130">
        <v>2008</v>
      </c>
      <c r="D23" s="130">
        <v>2009</v>
      </c>
      <c r="E23" s="130">
        <v>2010</v>
      </c>
      <c r="F23" s="130">
        <v>2011</v>
      </c>
      <c r="G23" s="130">
        <v>2012</v>
      </c>
      <c r="H23" s="130">
        <v>2013</v>
      </c>
      <c r="I23" s="130">
        <v>2014</v>
      </c>
      <c r="J23" s="130">
        <v>2015</v>
      </c>
      <c r="K23" s="130">
        <v>2016</v>
      </c>
      <c r="L23" s="130">
        <v>2017</v>
      </c>
      <c r="M23" s="130">
        <v>2018</v>
      </c>
      <c r="N23" s="130">
        <v>2019</v>
      </c>
      <c r="O23" s="130">
        <v>2020</v>
      </c>
      <c r="P23" s="130">
        <v>2021</v>
      </c>
      <c r="Q23" s="131" t="s">
        <v>424</v>
      </c>
      <c r="R23" s="131" t="s">
        <v>425</v>
      </c>
      <c r="S23" s="131" t="s">
        <v>426</v>
      </c>
      <c r="T23" s="131" t="s">
        <v>427</v>
      </c>
      <c r="U23" s="15"/>
    </row>
    <row r="24" spans="1:21" x14ac:dyDescent="0.25">
      <c r="A24" s="89" t="s">
        <v>116</v>
      </c>
      <c r="B24" s="1">
        <v>1793</v>
      </c>
      <c r="C24" s="1">
        <v>2180</v>
      </c>
      <c r="D24" s="1">
        <v>2536</v>
      </c>
      <c r="E24" s="1">
        <v>2695</v>
      </c>
      <c r="F24" s="1">
        <v>2650</v>
      </c>
      <c r="G24" s="1">
        <v>3144</v>
      </c>
      <c r="H24" s="1">
        <v>4017</v>
      </c>
      <c r="I24" s="1">
        <v>4297</v>
      </c>
      <c r="J24" s="1">
        <v>4365</v>
      </c>
      <c r="K24" s="1">
        <v>4513</v>
      </c>
      <c r="L24" s="1">
        <v>4958</v>
      </c>
      <c r="M24" s="1">
        <v>4796</v>
      </c>
      <c r="N24" s="1">
        <v>4637</v>
      </c>
      <c r="O24" s="1">
        <v>4918</v>
      </c>
      <c r="P24" s="1">
        <v>5173</v>
      </c>
      <c r="Q24" s="187">
        <f t="shared" ref="Q24:Q27" si="5">(P24-G24)/G24</f>
        <v>0.64535623409669207</v>
      </c>
      <c r="R24" s="187">
        <f t="shared" ref="R24:R27" si="6">(P24-L24)/L24</f>
        <v>4.3364259782170227E-2</v>
      </c>
      <c r="S24" s="187">
        <f t="shared" ref="S24:S27" si="7">(P24-O24)/O24</f>
        <v>5.1850345668971128E-2</v>
      </c>
      <c r="T24" s="187">
        <f>P24/P$27</f>
        <v>0.13951669453584337</v>
      </c>
      <c r="U24" s="15"/>
    </row>
    <row r="25" spans="1:21" x14ac:dyDescent="0.25">
      <c r="A25" s="89" t="s">
        <v>37</v>
      </c>
      <c r="B25" s="1">
        <v>4161</v>
      </c>
      <c r="C25" s="1">
        <v>5019</v>
      </c>
      <c r="D25" s="1">
        <v>5696</v>
      </c>
      <c r="E25" s="1">
        <v>6117</v>
      </c>
      <c r="F25" s="1">
        <v>11060</v>
      </c>
      <c r="G25" s="1">
        <v>11946</v>
      </c>
      <c r="H25" s="1">
        <v>12090</v>
      </c>
      <c r="I25" s="1">
        <v>11720</v>
      </c>
      <c r="J25" s="1">
        <v>9170</v>
      </c>
      <c r="K25" s="1">
        <v>7536</v>
      </c>
      <c r="L25" s="1">
        <v>6558</v>
      </c>
      <c r="M25" s="1">
        <v>5428</v>
      </c>
      <c r="N25" s="1">
        <v>4618</v>
      </c>
      <c r="O25" s="1">
        <v>3200</v>
      </c>
      <c r="P25" s="1">
        <v>4963</v>
      </c>
      <c r="Q25" s="187">
        <f t="shared" si="5"/>
        <v>-0.58454712874602377</v>
      </c>
      <c r="R25" s="187">
        <f t="shared" si="6"/>
        <v>-0.24321439463250991</v>
      </c>
      <c r="S25" s="187">
        <f t="shared" si="7"/>
        <v>0.55093749999999997</v>
      </c>
      <c r="T25" s="187">
        <f t="shared" ref="T25:T27" si="8">P25/P$27</f>
        <v>0.1338529586277577</v>
      </c>
      <c r="U25" s="15"/>
    </row>
    <row r="26" spans="1:21" x14ac:dyDescent="0.25">
      <c r="A26" s="91" t="s">
        <v>113</v>
      </c>
      <c r="B26" s="92">
        <v>1847</v>
      </c>
      <c r="C26" s="92">
        <v>3175</v>
      </c>
      <c r="D26" s="1">
        <v>5790</v>
      </c>
      <c r="E26" s="1">
        <v>5150</v>
      </c>
      <c r="F26" s="1">
        <v>5832</v>
      </c>
      <c r="G26" s="1">
        <v>5813</v>
      </c>
      <c r="H26" s="1">
        <v>7261</v>
      </c>
      <c r="I26" s="1">
        <v>7926</v>
      </c>
      <c r="J26" s="1">
        <v>8486</v>
      </c>
      <c r="K26" s="1">
        <v>9065</v>
      </c>
      <c r="L26" s="1">
        <v>10787</v>
      </c>
      <c r="M26" s="1">
        <v>17190</v>
      </c>
      <c r="N26" s="1">
        <v>16378</v>
      </c>
      <c r="O26" s="1">
        <v>15463</v>
      </c>
      <c r="P26" s="1">
        <v>26942</v>
      </c>
      <c r="Q26" s="187">
        <f t="shared" si="5"/>
        <v>3.6347841045931535</v>
      </c>
      <c r="R26" s="187">
        <f t="shared" si="6"/>
        <v>1.4976360433855567</v>
      </c>
      <c r="S26" s="187">
        <f t="shared" si="7"/>
        <v>0.74235271292763372</v>
      </c>
      <c r="T26" s="187">
        <f t="shared" si="8"/>
        <v>0.72663034683639893</v>
      </c>
      <c r="U26" s="15"/>
    </row>
    <row r="27" spans="1:21" x14ac:dyDescent="0.25">
      <c r="A27" s="112" t="s">
        <v>0</v>
      </c>
      <c r="B27" s="2">
        <v>7801</v>
      </c>
      <c r="C27" s="2">
        <v>10374</v>
      </c>
      <c r="D27" s="2">
        <v>14022</v>
      </c>
      <c r="E27" s="2">
        <v>13962</v>
      </c>
      <c r="F27" s="2">
        <v>19542</v>
      </c>
      <c r="G27" s="2">
        <v>20903</v>
      </c>
      <c r="H27" s="2">
        <v>23368</v>
      </c>
      <c r="I27" s="2">
        <v>23943</v>
      </c>
      <c r="J27" s="2">
        <v>22021</v>
      </c>
      <c r="K27" s="2">
        <v>21114</v>
      </c>
      <c r="L27" s="2">
        <v>22303</v>
      </c>
      <c r="M27" s="2">
        <v>27414</v>
      </c>
      <c r="N27" s="2">
        <v>25633</v>
      </c>
      <c r="O27" s="2">
        <v>23581</v>
      </c>
      <c r="P27" s="2">
        <v>37078</v>
      </c>
      <c r="Q27" s="188">
        <f t="shared" si="5"/>
        <v>0.77381237142993831</v>
      </c>
      <c r="R27" s="188">
        <f t="shared" si="6"/>
        <v>0.66246693269963686</v>
      </c>
      <c r="S27" s="188">
        <f t="shared" si="7"/>
        <v>0.57236758407192234</v>
      </c>
      <c r="T27" s="188">
        <f t="shared" si="8"/>
        <v>1</v>
      </c>
      <c r="U27" s="15"/>
    </row>
    <row r="28" spans="1:21" x14ac:dyDescent="0.25">
      <c r="U28" s="15"/>
    </row>
    <row r="29" spans="1:21" ht="15.75" x14ac:dyDescent="0.25">
      <c r="A29" s="27" t="s">
        <v>145</v>
      </c>
      <c r="B29" s="27"/>
      <c r="C29" s="27"/>
      <c r="D29" s="27"/>
      <c r="E29" s="27"/>
      <c r="F29" s="27"/>
      <c r="G29" s="27"/>
      <c r="H29" s="27"/>
      <c r="U29" s="15"/>
    </row>
    <row r="30" spans="1:21" ht="25.5" x14ac:dyDescent="0.25">
      <c r="A30" s="129" t="s">
        <v>122</v>
      </c>
      <c r="B30" s="130">
        <v>2007</v>
      </c>
      <c r="C30" s="130">
        <v>2008</v>
      </c>
      <c r="D30" s="130">
        <v>2009</v>
      </c>
      <c r="E30" s="130">
        <v>2010</v>
      </c>
      <c r="F30" s="130">
        <v>2011</v>
      </c>
      <c r="G30" s="130">
        <v>2012</v>
      </c>
      <c r="H30" s="130">
        <v>2013</v>
      </c>
      <c r="I30" s="130">
        <v>2014</v>
      </c>
      <c r="J30" s="130">
        <v>2015</v>
      </c>
      <c r="K30" s="130">
        <v>2016</v>
      </c>
      <c r="L30" s="130">
        <v>2017</v>
      </c>
      <c r="M30" s="130">
        <v>2018</v>
      </c>
      <c r="N30" s="130">
        <v>2019</v>
      </c>
      <c r="O30" s="130">
        <v>2020</v>
      </c>
      <c r="P30" s="130">
        <v>2021</v>
      </c>
      <c r="Q30" s="131" t="s">
        <v>424</v>
      </c>
      <c r="R30" s="131" t="s">
        <v>425</v>
      </c>
      <c r="S30" s="131" t="s">
        <v>426</v>
      </c>
      <c r="T30" s="131" t="s">
        <v>427</v>
      </c>
      <c r="U30" s="15"/>
    </row>
    <row r="31" spans="1:21" s="52" customFormat="1" x14ac:dyDescent="0.25">
      <c r="A31" s="86" t="s">
        <v>2</v>
      </c>
      <c r="B31" s="45"/>
      <c r="C31" s="45">
        <v>12</v>
      </c>
      <c r="D31" s="45">
        <v>14</v>
      </c>
      <c r="E31" s="45">
        <v>5</v>
      </c>
      <c r="F31" s="45">
        <v>61</v>
      </c>
      <c r="G31" s="45">
        <v>17</v>
      </c>
      <c r="H31" s="45">
        <v>18</v>
      </c>
      <c r="I31" s="45">
        <v>2</v>
      </c>
      <c r="J31" s="45">
        <v>6</v>
      </c>
      <c r="K31" s="45">
        <v>9</v>
      </c>
      <c r="L31" s="45">
        <v>12</v>
      </c>
      <c r="M31" s="45">
        <v>11</v>
      </c>
      <c r="N31" s="45">
        <v>9</v>
      </c>
      <c r="O31" s="45">
        <v>8</v>
      </c>
      <c r="P31" s="45">
        <v>14</v>
      </c>
      <c r="Q31" s="188">
        <f t="shared" ref="Q31:Q40" si="9">(P31-G31)/G31</f>
        <v>-0.17647058823529413</v>
      </c>
      <c r="R31" s="188">
        <f t="shared" ref="R31:R40" si="10">(P31-L31)/L31</f>
        <v>0.16666666666666666</v>
      </c>
      <c r="S31" s="188">
        <f t="shared" ref="S31:S40" si="11">(P31-O31)/O31</f>
        <v>0.75</v>
      </c>
      <c r="T31" s="188">
        <f>P31/P$40</f>
        <v>3.7758239387237715E-4</v>
      </c>
      <c r="U31" s="55"/>
    </row>
    <row r="32" spans="1:21" x14ac:dyDescent="0.25">
      <c r="A32" s="84" t="s">
        <v>113</v>
      </c>
      <c r="B32" s="153"/>
      <c r="C32" s="153">
        <v>12</v>
      </c>
      <c r="D32" s="38">
        <v>14</v>
      </c>
      <c r="E32" s="38">
        <v>5</v>
      </c>
      <c r="F32" s="38">
        <v>61</v>
      </c>
      <c r="G32" s="38">
        <v>17</v>
      </c>
      <c r="H32" s="38">
        <v>18</v>
      </c>
      <c r="I32" s="38">
        <v>2</v>
      </c>
      <c r="J32" s="38">
        <v>6</v>
      </c>
      <c r="K32" s="38">
        <v>9</v>
      </c>
      <c r="L32" s="38">
        <v>12</v>
      </c>
      <c r="M32" s="38">
        <v>11</v>
      </c>
      <c r="N32" s="38">
        <v>9</v>
      </c>
      <c r="O32" s="38">
        <v>8</v>
      </c>
      <c r="P32" s="38">
        <v>14</v>
      </c>
      <c r="Q32" s="187">
        <f t="shared" si="9"/>
        <v>-0.17647058823529413</v>
      </c>
      <c r="R32" s="187">
        <f t="shared" si="10"/>
        <v>0.16666666666666666</v>
      </c>
      <c r="S32" s="187">
        <f t="shared" si="11"/>
        <v>0.75</v>
      </c>
      <c r="T32" s="187">
        <f t="shared" ref="T32:T40" si="12">P32/P$27</f>
        <v>3.7758239387237715E-4</v>
      </c>
      <c r="U32" s="15"/>
    </row>
    <row r="33" spans="1:21" s="52" customFormat="1" x14ac:dyDescent="0.25">
      <c r="A33" s="86" t="s">
        <v>297</v>
      </c>
      <c r="B33" s="45"/>
      <c r="C33" s="45">
        <v>22</v>
      </c>
      <c r="D33" s="45">
        <v>25</v>
      </c>
      <c r="E33" s="45">
        <v>38</v>
      </c>
      <c r="F33" s="45">
        <v>7074</v>
      </c>
      <c r="G33" s="45">
        <v>7637</v>
      </c>
      <c r="H33" s="45">
        <v>7568</v>
      </c>
      <c r="I33" s="45">
        <v>6391</v>
      </c>
      <c r="J33" s="45">
        <v>5631</v>
      </c>
      <c r="K33" s="45">
        <v>3679</v>
      </c>
      <c r="L33" s="45">
        <v>2644</v>
      </c>
      <c r="M33" s="45">
        <v>1793</v>
      </c>
      <c r="N33" s="45">
        <v>1956</v>
      </c>
      <c r="O33" s="45">
        <v>643</v>
      </c>
      <c r="P33" s="45">
        <v>1300</v>
      </c>
      <c r="Q33" s="188">
        <f t="shared" si="9"/>
        <v>-0.82977609008773079</v>
      </c>
      <c r="R33" s="188">
        <f t="shared" si="10"/>
        <v>-0.50832072617246593</v>
      </c>
      <c r="S33" s="188">
        <f t="shared" si="11"/>
        <v>1.0217729393468118</v>
      </c>
      <c r="T33" s="188">
        <f t="shared" si="12"/>
        <v>3.5061222288149306E-2</v>
      </c>
      <c r="U33" s="55"/>
    </row>
    <row r="34" spans="1:21" x14ac:dyDescent="0.25">
      <c r="A34" s="180" t="s">
        <v>37</v>
      </c>
      <c r="B34" s="38"/>
      <c r="C34" s="38"/>
      <c r="D34" s="38"/>
      <c r="E34" s="38"/>
      <c r="F34" s="38">
        <v>5987</v>
      </c>
      <c r="G34" s="38">
        <v>6569</v>
      </c>
      <c r="H34" s="38">
        <v>6928</v>
      </c>
      <c r="I34" s="38">
        <v>5577</v>
      </c>
      <c r="J34" s="38">
        <v>4781</v>
      </c>
      <c r="K34" s="38">
        <v>3496</v>
      </c>
      <c r="L34" s="38">
        <v>2275</v>
      </c>
      <c r="M34" s="38">
        <v>1727</v>
      </c>
      <c r="N34" s="38">
        <v>1525</v>
      </c>
      <c r="O34" s="38">
        <v>462</v>
      </c>
      <c r="P34" s="38">
        <v>1171</v>
      </c>
      <c r="Q34" s="187">
        <f t="shared" si="9"/>
        <v>-0.82173846856446953</v>
      </c>
      <c r="R34" s="187">
        <f t="shared" si="10"/>
        <v>-0.48527472527472526</v>
      </c>
      <c r="S34" s="187">
        <f t="shared" si="11"/>
        <v>1.5346320346320346</v>
      </c>
      <c r="T34" s="187">
        <f t="shared" si="12"/>
        <v>3.1582070230325263E-2</v>
      </c>
      <c r="U34" s="15"/>
    </row>
    <row r="35" spans="1:21" x14ac:dyDescent="0.25">
      <c r="A35" s="84" t="s">
        <v>113</v>
      </c>
      <c r="B35" s="153"/>
      <c r="C35" s="153">
        <v>22</v>
      </c>
      <c r="D35" s="38">
        <v>25</v>
      </c>
      <c r="E35" s="38">
        <v>38</v>
      </c>
      <c r="F35" s="38">
        <v>1087</v>
      </c>
      <c r="G35" s="38">
        <v>1068</v>
      </c>
      <c r="H35" s="38">
        <v>640</v>
      </c>
      <c r="I35" s="38">
        <v>814</v>
      </c>
      <c r="J35" s="38">
        <v>850</v>
      </c>
      <c r="K35" s="38">
        <v>183</v>
      </c>
      <c r="L35" s="38">
        <v>369</v>
      </c>
      <c r="M35" s="38">
        <v>66</v>
      </c>
      <c r="N35" s="38">
        <v>431</v>
      </c>
      <c r="O35" s="38">
        <v>181</v>
      </c>
      <c r="P35" s="38">
        <v>129</v>
      </c>
      <c r="Q35" s="187">
        <f t="shared" si="9"/>
        <v>-0.8792134831460674</v>
      </c>
      <c r="R35" s="187">
        <f t="shared" si="10"/>
        <v>-0.65040650406504064</v>
      </c>
      <c r="S35" s="187">
        <f t="shared" si="11"/>
        <v>-0.287292817679558</v>
      </c>
      <c r="T35" s="187">
        <f t="shared" si="12"/>
        <v>3.4791520578240464E-3</v>
      </c>
      <c r="U35" s="15"/>
    </row>
    <row r="36" spans="1:21" s="52" customFormat="1" x14ac:dyDescent="0.25">
      <c r="A36" s="86" t="s">
        <v>4</v>
      </c>
      <c r="B36" s="45">
        <v>7801</v>
      </c>
      <c r="C36" s="45">
        <v>10340</v>
      </c>
      <c r="D36" s="45">
        <v>13983</v>
      </c>
      <c r="E36" s="45">
        <v>13919</v>
      </c>
      <c r="F36" s="45">
        <v>12407</v>
      </c>
      <c r="G36" s="45">
        <v>13249</v>
      </c>
      <c r="H36" s="45">
        <v>15782</v>
      </c>
      <c r="I36" s="45">
        <v>17550</v>
      </c>
      <c r="J36" s="45">
        <v>16384</v>
      </c>
      <c r="K36" s="45">
        <v>17426</v>
      </c>
      <c r="L36" s="45">
        <v>19647</v>
      </c>
      <c r="M36" s="45">
        <v>25610</v>
      </c>
      <c r="N36" s="45">
        <v>23668</v>
      </c>
      <c r="O36" s="45">
        <v>22930</v>
      </c>
      <c r="P36" s="45">
        <v>35764</v>
      </c>
      <c r="Q36" s="188">
        <f t="shared" si="9"/>
        <v>1.6993735376254813</v>
      </c>
      <c r="R36" s="188">
        <f t="shared" si="10"/>
        <v>0.82032880337965086</v>
      </c>
      <c r="S36" s="188">
        <f t="shared" si="11"/>
        <v>0.55970344526820759</v>
      </c>
      <c r="T36" s="188">
        <f t="shared" si="12"/>
        <v>0.96456119531797835</v>
      </c>
      <c r="U36" s="55"/>
    </row>
    <row r="37" spans="1:21" x14ac:dyDescent="0.25">
      <c r="A37" s="180" t="s">
        <v>116</v>
      </c>
      <c r="B37" s="38">
        <v>1793</v>
      </c>
      <c r="C37" s="38">
        <v>2180</v>
      </c>
      <c r="D37" s="38">
        <v>2536</v>
      </c>
      <c r="E37" s="38">
        <v>2695</v>
      </c>
      <c r="F37" s="38">
        <v>2650</v>
      </c>
      <c r="G37" s="38">
        <v>3144</v>
      </c>
      <c r="H37" s="38">
        <v>4017</v>
      </c>
      <c r="I37" s="38">
        <v>4297</v>
      </c>
      <c r="J37" s="38">
        <v>4365</v>
      </c>
      <c r="K37" s="38">
        <v>4513</v>
      </c>
      <c r="L37" s="38">
        <v>4958</v>
      </c>
      <c r="M37" s="38">
        <v>4796</v>
      </c>
      <c r="N37" s="38">
        <v>4637</v>
      </c>
      <c r="O37" s="38">
        <v>4918</v>
      </c>
      <c r="P37" s="38">
        <v>5173</v>
      </c>
      <c r="Q37" s="187">
        <f t="shared" si="9"/>
        <v>0.64535623409669207</v>
      </c>
      <c r="R37" s="187">
        <f t="shared" si="10"/>
        <v>4.3364259782170227E-2</v>
      </c>
      <c r="S37" s="187">
        <f t="shared" si="11"/>
        <v>5.1850345668971128E-2</v>
      </c>
      <c r="T37" s="187">
        <f t="shared" si="12"/>
        <v>0.13951669453584337</v>
      </c>
      <c r="U37" s="15"/>
    </row>
    <row r="38" spans="1:21" x14ac:dyDescent="0.25">
      <c r="A38" s="180" t="s">
        <v>37</v>
      </c>
      <c r="B38" s="38">
        <v>4161</v>
      </c>
      <c r="C38" s="38">
        <v>5019</v>
      </c>
      <c r="D38" s="38">
        <v>5696</v>
      </c>
      <c r="E38" s="38">
        <v>6117</v>
      </c>
      <c r="F38" s="38">
        <v>5073</v>
      </c>
      <c r="G38" s="38">
        <v>5377</v>
      </c>
      <c r="H38" s="38">
        <v>5162</v>
      </c>
      <c r="I38" s="38">
        <v>6143</v>
      </c>
      <c r="J38" s="38">
        <v>4389</v>
      </c>
      <c r="K38" s="38">
        <v>4040</v>
      </c>
      <c r="L38" s="38">
        <v>4283</v>
      </c>
      <c r="M38" s="38">
        <v>3701</v>
      </c>
      <c r="N38" s="38">
        <v>3093</v>
      </c>
      <c r="O38" s="38">
        <v>2738</v>
      </c>
      <c r="P38" s="38">
        <v>3792</v>
      </c>
      <c r="Q38" s="187">
        <f t="shared" si="9"/>
        <v>-0.29477403756741677</v>
      </c>
      <c r="R38" s="187">
        <f t="shared" si="10"/>
        <v>-0.11463927153864113</v>
      </c>
      <c r="S38" s="187">
        <f t="shared" si="11"/>
        <v>0.38495252008765524</v>
      </c>
      <c r="T38" s="187">
        <f t="shared" si="12"/>
        <v>0.10227088839743244</v>
      </c>
      <c r="U38" s="15"/>
    </row>
    <row r="39" spans="1:21" x14ac:dyDescent="0.25">
      <c r="A39" s="84" t="s">
        <v>113</v>
      </c>
      <c r="B39" s="153">
        <v>1847</v>
      </c>
      <c r="C39" s="153">
        <v>3141</v>
      </c>
      <c r="D39" s="38">
        <v>5751</v>
      </c>
      <c r="E39" s="38">
        <v>5107</v>
      </c>
      <c r="F39" s="38">
        <v>4684</v>
      </c>
      <c r="G39" s="38">
        <v>4728</v>
      </c>
      <c r="H39" s="38">
        <v>6603</v>
      </c>
      <c r="I39" s="38">
        <v>7110</v>
      </c>
      <c r="J39" s="38">
        <v>7630</v>
      </c>
      <c r="K39" s="38">
        <v>8873</v>
      </c>
      <c r="L39" s="38">
        <v>10406</v>
      </c>
      <c r="M39" s="38">
        <v>17113</v>
      </c>
      <c r="N39" s="38">
        <v>15938</v>
      </c>
      <c r="O39" s="38">
        <v>15274</v>
      </c>
      <c r="P39" s="38">
        <v>26799</v>
      </c>
      <c r="Q39" s="187">
        <f t="shared" si="9"/>
        <v>4.6681472081218276</v>
      </c>
      <c r="R39" s="187">
        <f t="shared" si="10"/>
        <v>1.5753411493369209</v>
      </c>
      <c r="S39" s="187">
        <f t="shared" si="11"/>
        <v>0.75455021605342409</v>
      </c>
      <c r="T39" s="187">
        <f t="shared" si="12"/>
        <v>0.7227736123847025</v>
      </c>
      <c r="U39" s="15"/>
    </row>
    <row r="40" spans="1:21" s="52" customFormat="1" x14ac:dyDescent="0.25">
      <c r="A40" s="112" t="s">
        <v>0</v>
      </c>
      <c r="B40" s="2">
        <v>7801</v>
      </c>
      <c r="C40" s="2">
        <v>10374</v>
      </c>
      <c r="D40" s="2">
        <v>14022</v>
      </c>
      <c r="E40" s="2">
        <v>13962</v>
      </c>
      <c r="F40" s="2">
        <v>19542</v>
      </c>
      <c r="G40" s="2">
        <v>20903</v>
      </c>
      <c r="H40" s="2">
        <v>23368</v>
      </c>
      <c r="I40" s="2">
        <v>23943</v>
      </c>
      <c r="J40" s="2">
        <v>22021</v>
      </c>
      <c r="K40" s="2">
        <v>21114</v>
      </c>
      <c r="L40" s="2">
        <v>22303</v>
      </c>
      <c r="M40" s="2">
        <v>27414</v>
      </c>
      <c r="N40" s="2">
        <v>25633</v>
      </c>
      <c r="O40" s="2">
        <v>23581</v>
      </c>
      <c r="P40" s="2">
        <v>37078</v>
      </c>
      <c r="Q40" s="188">
        <f t="shared" si="9"/>
        <v>0.77381237142993831</v>
      </c>
      <c r="R40" s="188">
        <f t="shared" si="10"/>
        <v>0.66246693269963686</v>
      </c>
      <c r="S40" s="188">
        <f t="shared" si="11"/>
        <v>0.57236758407192234</v>
      </c>
      <c r="T40" s="188">
        <f t="shared" si="12"/>
        <v>1</v>
      </c>
      <c r="U40" s="55"/>
    </row>
    <row r="41" spans="1:21" x14ac:dyDescent="0.25">
      <c r="I41" s="16"/>
      <c r="J41" s="16"/>
      <c r="K41" s="16"/>
      <c r="L41" s="16"/>
      <c r="M41" s="16"/>
      <c r="N41" s="16"/>
      <c r="O41" s="16"/>
      <c r="P41" s="16"/>
      <c r="Q41" s="30"/>
    </row>
    <row r="42" spans="1:21" ht="15.75" x14ac:dyDescent="0.25">
      <c r="A42" s="27" t="s">
        <v>481</v>
      </c>
    </row>
    <row r="43" spans="1:21" ht="25.5" x14ac:dyDescent="0.25">
      <c r="A43" s="129" t="s">
        <v>480</v>
      </c>
      <c r="B43" s="130">
        <v>2007</v>
      </c>
      <c r="C43" s="130">
        <v>2008</v>
      </c>
      <c r="D43" s="130">
        <v>2009</v>
      </c>
      <c r="E43" s="130">
        <v>2010</v>
      </c>
      <c r="F43" s="130">
        <v>2011</v>
      </c>
      <c r="G43" s="130">
        <v>2012</v>
      </c>
      <c r="H43" s="130">
        <v>2013</v>
      </c>
      <c r="I43" s="130">
        <v>2014</v>
      </c>
      <c r="J43" s="130">
        <v>2015</v>
      </c>
      <c r="K43" s="130">
        <v>2016</v>
      </c>
      <c r="L43" s="130">
        <v>2017</v>
      </c>
      <c r="M43" s="130">
        <v>2018</v>
      </c>
      <c r="N43" s="130">
        <v>2019</v>
      </c>
      <c r="O43" s="130">
        <v>2020</v>
      </c>
      <c r="P43" s="130">
        <v>2021</v>
      </c>
      <c r="Q43" s="131" t="s">
        <v>424</v>
      </c>
      <c r="R43" s="131" t="s">
        <v>425</v>
      </c>
      <c r="S43" s="131" t="s">
        <v>426</v>
      </c>
      <c r="T43" s="131" t="s">
        <v>427</v>
      </c>
    </row>
    <row r="44" spans="1:21" x14ac:dyDescent="0.25">
      <c r="A44" s="86" t="s">
        <v>479</v>
      </c>
      <c r="B44" s="45">
        <v>1793</v>
      </c>
      <c r="C44" s="45">
        <v>2180</v>
      </c>
      <c r="D44" s="45">
        <v>2536</v>
      </c>
      <c r="E44" s="45">
        <v>2695</v>
      </c>
      <c r="F44" s="45">
        <v>2650</v>
      </c>
      <c r="G44" s="45">
        <v>3144</v>
      </c>
      <c r="H44" s="45">
        <v>4017</v>
      </c>
      <c r="I44" s="45">
        <v>4297</v>
      </c>
      <c r="J44" s="45">
        <v>4365</v>
      </c>
      <c r="K44" s="45">
        <v>4513</v>
      </c>
      <c r="L44" s="45">
        <v>4958</v>
      </c>
      <c r="M44" s="45">
        <v>4796</v>
      </c>
      <c r="N44" s="45">
        <v>4637</v>
      </c>
      <c r="O44" s="45">
        <v>4918</v>
      </c>
      <c r="P44" s="45">
        <v>5173</v>
      </c>
      <c r="Q44" s="188">
        <f t="shared" ref="Q44" si="13">(P44-G44)/G44</f>
        <v>0.64535623409669207</v>
      </c>
      <c r="R44" s="188">
        <f t="shared" ref="R44" si="14">(P44-L44)/L44</f>
        <v>4.3364259782170227E-2</v>
      </c>
      <c r="S44" s="188">
        <f t="shared" ref="S44" si="15">(P44-O44)/O44</f>
        <v>5.1850345668971128E-2</v>
      </c>
      <c r="T44" s="188">
        <f>P44/P$40</f>
        <v>0.13951669453584337</v>
      </c>
    </row>
    <row r="45" spans="1:21" x14ac:dyDescent="0.25">
      <c r="A45" s="84" t="s">
        <v>99</v>
      </c>
      <c r="B45" s="153">
        <v>1649</v>
      </c>
      <c r="C45" s="153">
        <v>1953</v>
      </c>
      <c r="D45" s="38">
        <v>2231</v>
      </c>
      <c r="E45" s="38">
        <v>2427</v>
      </c>
      <c r="F45" s="38">
        <v>2409</v>
      </c>
      <c r="G45" s="38">
        <v>2908</v>
      </c>
      <c r="H45" s="38">
        <v>3659</v>
      </c>
      <c r="I45" s="38">
        <v>3670</v>
      </c>
      <c r="J45" s="38">
        <v>3698</v>
      </c>
      <c r="K45" s="38">
        <v>4108</v>
      </c>
      <c r="L45" s="38">
        <v>4487</v>
      </c>
      <c r="M45" s="38">
        <v>4093</v>
      </c>
      <c r="N45" s="38">
        <v>4036</v>
      </c>
      <c r="O45" s="38">
        <v>4470</v>
      </c>
      <c r="P45" s="38">
        <v>4694</v>
      </c>
      <c r="Q45" s="187">
        <f t="shared" ref="Q45:Q62" si="16">(P45-G45)/G45</f>
        <v>0.61416781292984868</v>
      </c>
      <c r="R45" s="187">
        <f t="shared" ref="R45:R62" si="17">(P45-L45)/L45</f>
        <v>4.6133273902384669E-2</v>
      </c>
      <c r="S45" s="187">
        <f t="shared" ref="S45:S62" si="18">(P45-O45)/O45</f>
        <v>5.0111856823266222E-2</v>
      </c>
      <c r="T45" s="187">
        <f t="shared" ref="T45:T62" si="19">P45/P$40</f>
        <v>0.12659798263120989</v>
      </c>
    </row>
    <row r="46" spans="1:21" x14ac:dyDescent="0.25">
      <c r="A46" s="84" t="s">
        <v>100</v>
      </c>
      <c r="B46" s="153">
        <v>113</v>
      </c>
      <c r="C46" s="153">
        <v>169</v>
      </c>
      <c r="D46" s="38">
        <v>160</v>
      </c>
      <c r="E46" s="38">
        <v>115</v>
      </c>
      <c r="F46" s="38">
        <v>100</v>
      </c>
      <c r="G46" s="38">
        <v>93</v>
      </c>
      <c r="H46" s="38">
        <v>203</v>
      </c>
      <c r="I46" s="38">
        <v>351</v>
      </c>
      <c r="J46" s="38">
        <v>171</v>
      </c>
      <c r="K46" s="38">
        <v>76</v>
      </c>
      <c r="L46" s="38">
        <v>141</v>
      </c>
      <c r="M46" s="38">
        <v>157</v>
      </c>
      <c r="N46" s="38">
        <v>172</v>
      </c>
      <c r="O46" s="38">
        <v>115</v>
      </c>
      <c r="P46" s="38">
        <v>209</v>
      </c>
      <c r="Q46" s="187">
        <f t="shared" si="16"/>
        <v>1.2473118279569892</v>
      </c>
      <c r="R46" s="187">
        <f t="shared" si="17"/>
        <v>0.48226950354609927</v>
      </c>
      <c r="S46" s="187">
        <f t="shared" si="18"/>
        <v>0.81739130434782614</v>
      </c>
      <c r="T46" s="187">
        <f t="shared" si="19"/>
        <v>5.6367657370947734E-3</v>
      </c>
    </row>
    <row r="47" spans="1:21" x14ac:dyDescent="0.25">
      <c r="A47" s="84" t="s">
        <v>101</v>
      </c>
      <c r="B47" s="153"/>
      <c r="C47" s="153">
        <v>33</v>
      </c>
      <c r="D47" s="38">
        <v>31</v>
      </c>
      <c r="E47" s="38"/>
      <c r="F47" s="38"/>
      <c r="G47" s="38"/>
      <c r="H47" s="38"/>
      <c r="I47" s="38">
        <v>95</v>
      </c>
      <c r="J47" s="38">
        <v>36</v>
      </c>
      <c r="K47" s="38">
        <v>41</v>
      </c>
      <c r="L47" s="38">
        <v>52</v>
      </c>
      <c r="M47" s="38">
        <v>32</v>
      </c>
      <c r="N47" s="38">
        <v>53</v>
      </c>
      <c r="O47" s="38"/>
      <c r="P47" s="38"/>
      <c r="Q47" s="187" t="s">
        <v>155</v>
      </c>
      <c r="R47" s="187">
        <f t="shared" si="17"/>
        <v>-1</v>
      </c>
      <c r="S47" s="187" t="s">
        <v>155</v>
      </c>
      <c r="T47" s="187">
        <f t="shared" si="19"/>
        <v>0</v>
      </c>
    </row>
    <row r="48" spans="1:21" x14ac:dyDescent="0.25">
      <c r="A48" s="84" t="s">
        <v>102</v>
      </c>
      <c r="B48" s="153"/>
      <c r="C48" s="153"/>
      <c r="D48" s="38"/>
      <c r="E48" s="38"/>
      <c r="F48" s="38"/>
      <c r="G48" s="38"/>
      <c r="H48" s="38"/>
      <c r="I48" s="38"/>
      <c r="J48" s="38"/>
      <c r="K48" s="38">
        <v>34</v>
      </c>
      <c r="L48" s="38">
        <v>31</v>
      </c>
      <c r="M48" s="38">
        <v>9</v>
      </c>
      <c r="N48" s="38"/>
      <c r="O48" s="38"/>
      <c r="P48" s="38"/>
      <c r="Q48" s="187" t="s">
        <v>155</v>
      </c>
      <c r="R48" s="187">
        <f t="shared" si="17"/>
        <v>-1</v>
      </c>
      <c r="S48" s="187" t="s">
        <v>155</v>
      </c>
      <c r="T48" s="187">
        <f t="shared" si="19"/>
        <v>0</v>
      </c>
    </row>
    <row r="49" spans="1:20" x14ac:dyDescent="0.25">
      <c r="A49" s="84" t="s">
        <v>103</v>
      </c>
      <c r="B49" s="153">
        <v>31</v>
      </c>
      <c r="C49" s="153">
        <v>25</v>
      </c>
      <c r="D49" s="38">
        <v>114</v>
      </c>
      <c r="E49" s="38">
        <v>153</v>
      </c>
      <c r="F49" s="38">
        <v>141</v>
      </c>
      <c r="G49" s="38">
        <v>143</v>
      </c>
      <c r="H49" s="38">
        <v>155</v>
      </c>
      <c r="I49" s="38">
        <v>181</v>
      </c>
      <c r="J49" s="38">
        <v>460</v>
      </c>
      <c r="K49" s="38">
        <v>254</v>
      </c>
      <c r="L49" s="38">
        <v>247</v>
      </c>
      <c r="M49" s="38">
        <v>505</v>
      </c>
      <c r="N49" s="38">
        <v>376</v>
      </c>
      <c r="O49" s="38">
        <v>333</v>
      </c>
      <c r="P49" s="38">
        <v>270</v>
      </c>
      <c r="Q49" s="187">
        <f t="shared" si="16"/>
        <v>0.88811188811188813</v>
      </c>
      <c r="R49" s="187">
        <f t="shared" si="17"/>
        <v>9.3117408906882596E-2</v>
      </c>
      <c r="S49" s="187">
        <f t="shared" si="18"/>
        <v>-0.1891891891891892</v>
      </c>
      <c r="T49" s="187">
        <f t="shared" si="19"/>
        <v>7.2819461675387026E-3</v>
      </c>
    </row>
    <row r="50" spans="1:20" x14ac:dyDescent="0.25">
      <c r="A50" s="86" t="s">
        <v>37</v>
      </c>
      <c r="B50" s="45">
        <v>4161</v>
      </c>
      <c r="C50" s="45">
        <v>5019</v>
      </c>
      <c r="D50" s="45">
        <v>5696</v>
      </c>
      <c r="E50" s="45">
        <v>6117</v>
      </c>
      <c r="F50" s="45">
        <v>11060</v>
      </c>
      <c r="G50" s="45">
        <v>11946</v>
      </c>
      <c r="H50" s="45">
        <v>12090</v>
      </c>
      <c r="I50" s="45">
        <v>11720</v>
      </c>
      <c r="J50" s="45">
        <v>9170</v>
      </c>
      <c r="K50" s="45">
        <v>7536</v>
      </c>
      <c r="L50" s="45">
        <v>6558</v>
      </c>
      <c r="M50" s="45">
        <v>5428</v>
      </c>
      <c r="N50" s="45">
        <v>4618</v>
      </c>
      <c r="O50" s="45">
        <v>3200</v>
      </c>
      <c r="P50" s="45">
        <v>4963</v>
      </c>
      <c r="Q50" s="188">
        <f t="shared" si="16"/>
        <v>-0.58454712874602377</v>
      </c>
      <c r="R50" s="188">
        <f t="shared" si="17"/>
        <v>-0.24321439463250991</v>
      </c>
      <c r="S50" s="188">
        <f t="shared" si="18"/>
        <v>0.55093749999999997</v>
      </c>
      <c r="T50" s="188">
        <f t="shared" si="19"/>
        <v>0.1338529586277577</v>
      </c>
    </row>
    <row r="51" spans="1:20" x14ac:dyDescent="0.25">
      <c r="A51" s="84" t="s">
        <v>99</v>
      </c>
      <c r="B51" s="153">
        <v>1517</v>
      </c>
      <c r="C51" s="153">
        <v>1830</v>
      </c>
      <c r="D51" s="38">
        <v>2202</v>
      </c>
      <c r="E51" s="38">
        <v>1657</v>
      </c>
      <c r="F51" s="38">
        <v>1360</v>
      </c>
      <c r="G51" s="38">
        <v>1511</v>
      </c>
      <c r="H51" s="38">
        <v>1804</v>
      </c>
      <c r="I51" s="38">
        <v>1453</v>
      </c>
      <c r="J51" s="38">
        <v>1245</v>
      </c>
      <c r="K51" s="38">
        <v>1808</v>
      </c>
      <c r="L51" s="38">
        <v>1368</v>
      </c>
      <c r="M51" s="38">
        <v>1114</v>
      </c>
      <c r="N51" s="38">
        <v>1028</v>
      </c>
      <c r="O51" s="38">
        <v>695</v>
      </c>
      <c r="P51" s="38">
        <v>863</v>
      </c>
      <c r="Q51" s="187">
        <f t="shared" si="16"/>
        <v>-0.42885506287227004</v>
      </c>
      <c r="R51" s="187">
        <f t="shared" si="17"/>
        <v>-0.36915204678362573</v>
      </c>
      <c r="S51" s="187">
        <f t="shared" si="18"/>
        <v>0.24172661870503598</v>
      </c>
      <c r="T51" s="187">
        <f t="shared" si="19"/>
        <v>2.3275257565132962E-2</v>
      </c>
    </row>
    <row r="52" spans="1:20" x14ac:dyDescent="0.25">
      <c r="A52" s="84" t="s">
        <v>100</v>
      </c>
      <c r="B52" s="153">
        <v>1225</v>
      </c>
      <c r="C52" s="153">
        <v>1555</v>
      </c>
      <c r="D52" s="38">
        <v>1541</v>
      </c>
      <c r="E52" s="38">
        <v>2164</v>
      </c>
      <c r="F52" s="38">
        <v>1637</v>
      </c>
      <c r="G52" s="38">
        <v>1795</v>
      </c>
      <c r="H52" s="38">
        <v>1685</v>
      </c>
      <c r="I52" s="38">
        <v>2143</v>
      </c>
      <c r="J52" s="38">
        <v>1966</v>
      </c>
      <c r="K52" s="38">
        <v>1487</v>
      </c>
      <c r="L52" s="38">
        <v>1105</v>
      </c>
      <c r="M52" s="38">
        <v>988</v>
      </c>
      <c r="N52" s="38">
        <v>779</v>
      </c>
      <c r="O52" s="38">
        <v>421</v>
      </c>
      <c r="P52" s="38">
        <v>909</v>
      </c>
      <c r="Q52" s="187">
        <f t="shared" si="16"/>
        <v>-0.49359331476323121</v>
      </c>
      <c r="R52" s="187">
        <f t="shared" si="17"/>
        <v>-0.17737556561085974</v>
      </c>
      <c r="S52" s="187">
        <f t="shared" si="18"/>
        <v>1.159144893111639</v>
      </c>
      <c r="T52" s="187">
        <f t="shared" si="19"/>
        <v>2.4515885430713629E-2</v>
      </c>
    </row>
    <row r="53" spans="1:20" x14ac:dyDescent="0.25">
      <c r="A53" s="84" t="s">
        <v>101</v>
      </c>
      <c r="B53" s="153">
        <v>284</v>
      </c>
      <c r="C53" s="153">
        <v>177</v>
      </c>
      <c r="D53" s="38">
        <v>561</v>
      </c>
      <c r="E53" s="38">
        <v>700</v>
      </c>
      <c r="F53" s="38">
        <v>798</v>
      </c>
      <c r="G53" s="38">
        <v>1119</v>
      </c>
      <c r="H53" s="38">
        <v>898</v>
      </c>
      <c r="I53" s="38">
        <v>231</v>
      </c>
      <c r="J53" s="38">
        <v>79</v>
      </c>
      <c r="K53" s="38">
        <v>55</v>
      </c>
      <c r="L53" s="38">
        <v>58</v>
      </c>
      <c r="M53" s="38">
        <v>45</v>
      </c>
      <c r="N53" s="38">
        <v>103</v>
      </c>
      <c r="O53" s="38">
        <v>64</v>
      </c>
      <c r="P53" s="38">
        <v>225</v>
      </c>
      <c r="Q53" s="187">
        <f t="shared" si="16"/>
        <v>-0.79892761394101874</v>
      </c>
      <c r="R53" s="187">
        <f t="shared" si="17"/>
        <v>2.8793103448275863</v>
      </c>
      <c r="S53" s="187">
        <f t="shared" si="18"/>
        <v>2.515625</v>
      </c>
      <c r="T53" s="187">
        <f t="shared" si="19"/>
        <v>6.0682884729489186E-3</v>
      </c>
    </row>
    <row r="54" spans="1:20" x14ac:dyDescent="0.25">
      <c r="A54" s="84" t="s">
        <v>102</v>
      </c>
      <c r="B54" s="153">
        <v>968</v>
      </c>
      <c r="C54" s="153">
        <v>1015</v>
      </c>
      <c r="D54" s="38">
        <v>955</v>
      </c>
      <c r="E54" s="38">
        <v>1186</v>
      </c>
      <c r="F54" s="38">
        <v>7083</v>
      </c>
      <c r="G54" s="38">
        <v>7263</v>
      </c>
      <c r="H54" s="38">
        <v>7425</v>
      </c>
      <c r="I54" s="38">
        <v>7306</v>
      </c>
      <c r="J54" s="38">
        <v>5702</v>
      </c>
      <c r="K54" s="38">
        <v>4026</v>
      </c>
      <c r="L54" s="38">
        <v>3905</v>
      </c>
      <c r="M54" s="38">
        <v>2872</v>
      </c>
      <c r="N54" s="38">
        <v>2336</v>
      </c>
      <c r="O54" s="38">
        <v>1688</v>
      </c>
      <c r="P54" s="38">
        <v>2619</v>
      </c>
      <c r="Q54" s="187">
        <f t="shared" si="16"/>
        <v>-0.63940520446096649</v>
      </c>
      <c r="R54" s="187">
        <f t="shared" si="17"/>
        <v>-0.32932138284250961</v>
      </c>
      <c r="S54" s="187">
        <f t="shared" si="18"/>
        <v>0.55154028436018954</v>
      </c>
      <c r="T54" s="187">
        <f t="shared" si="19"/>
        <v>7.0634877825125411E-2</v>
      </c>
    </row>
    <row r="55" spans="1:20" x14ac:dyDescent="0.25">
      <c r="A55" s="84" t="s">
        <v>103</v>
      </c>
      <c r="B55" s="153">
        <v>167</v>
      </c>
      <c r="C55" s="153">
        <v>442</v>
      </c>
      <c r="D55" s="38">
        <v>437</v>
      </c>
      <c r="E55" s="38">
        <v>410</v>
      </c>
      <c r="F55" s="38">
        <v>182</v>
      </c>
      <c r="G55" s="38">
        <v>258</v>
      </c>
      <c r="H55" s="38">
        <v>278</v>
      </c>
      <c r="I55" s="38">
        <v>587</v>
      </c>
      <c r="J55" s="38">
        <v>178</v>
      </c>
      <c r="K55" s="38">
        <v>160</v>
      </c>
      <c r="L55" s="38">
        <v>122</v>
      </c>
      <c r="M55" s="38">
        <v>409</v>
      </c>
      <c r="N55" s="38">
        <v>372</v>
      </c>
      <c r="O55" s="38">
        <v>332</v>
      </c>
      <c r="P55" s="38">
        <v>347</v>
      </c>
      <c r="Q55" s="187">
        <f t="shared" si="16"/>
        <v>0.34496124031007752</v>
      </c>
      <c r="R55" s="187">
        <f t="shared" si="17"/>
        <v>1.8442622950819672</v>
      </c>
      <c r="S55" s="187">
        <f t="shared" si="18"/>
        <v>4.5180722891566265E-2</v>
      </c>
      <c r="T55" s="187">
        <f t="shared" si="19"/>
        <v>9.3586493338367761E-3</v>
      </c>
    </row>
    <row r="56" spans="1:20" x14ac:dyDescent="0.25">
      <c r="A56" s="86" t="s">
        <v>113</v>
      </c>
      <c r="B56" s="45">
        <v>1847</v>
      </c>
      <c r="C56" s="45">
        <v>3175</v>
      </c>
      <c r="D56" s="45">
        <v>5790</v>
      </c>
      <c r="E56" s="45">
        <v>5150</v>
      </c>
      <c r="F56" s="45">
        <v>5832</v>
      </c>
      <c r="G56" s="45">
        <v>5813</v>
      </c>
      <c r="H56" s="45">
        <v>7261</v>
      </c>
      <c r="I56" s="45">
        <v>7926</v>
      </c>
      <c r="J56" s="45">
        <v>8486</v>
      </c>
      <c r="K56" s="45">
        <v>9065</v>
      </c>
      <c r="L56" s="45">
        <v>10787</v>
      </c>
      <c r="M56" s="45">
        <v>17190</v>
      </c>
      <c r="N56" s="45">
        <v>16378</v>
      </c>
      <c r="O56" s="45">
        <v>15463</v>
      </c>
      <c r="P56" s="45">
        <v>26942</v>
      </c>
      <c r="Q56" s="188">
        <f t="shared" si="16"/>
        <v>3.6347841045931535</v>
      </c>
      <c r="R56" s="188">
        <f t="shared" si="17"/>
        <v>1.4976360433855567</v>
      </c>
      <c r="S56" s="188">
        <f t="shared" si="18"/>
        <v>0.74235271292763372</v>
      </c>
      <c r="T56" s="188">
        <f t="shared" si="19"/>
        <v>0.72663034683639893</v>
      </c>
    </row>
    <row r="57" spans="1:20" x14ac:dyDescent="0.25">
      <c r="A57" s="84" t="s">
        <v>99</v>
      </c>
      <c r="B57" s="153">
        <v>675</v>
      </c>
      <c r="C57" s="153">
        <v>1280</v>
      </c>
      <c r="D57" s="38">
        <v>1366</v>
      </c>
      <c r="E57" s="38">
        <v>1319</v>
      </c>
      <c r="F57" s="38">
        <v>1412</v>
      </c>
      <c r="G57" s="38">
        <v>1269</v>
      </c>
      <c r="H57" s="38">
        <v>1692</v>
      </c>
      <c r="I57" s="38">
        <v>1919</v>
      </c>
      <c r="J57" s="38">
        <v>1467</v>
      </c>
      <c r="K57" s="38">
        <v>2794</v>
      </c>
      <c r="L57" s="38">
        <v>3705</v>
      </c>
      <c r="M57" s="38">
        <v>4364</v>
      </c>
      <c r="N57" s="38">
        <v>4872</v>
      </c>
      <c r="O57" s="38">
        <v>3175</v>
      </c>
      <c r="P57" s="38">
        <v>5125</v>
      </c>
      <c r="Q57" s="187">
        <f t="shared" si="16"/>
        <v>3.0386130811662726</v>
      </c>
      <c r="R57" s="187">
        <f t="shared" si="17"/>
        <v>0.38326585695006748</v>
      </c>
      <c r="S57" s="187">
        <f t="shared" si="18"/>
        <v>0.61417322834645671</v>
      </c>
      <c r="T57" s="187">
        <f t="shared" si="19"/>
        <v>0.13822212632828093</v>
      </c>
    </row>
    <row r="58" spans="1:20" x14ac:dyDescent="0.25">
      <c r="A58" s="84" t="s">
        <v>100</v>
      </c>
      <c r="B58" s="153">
        <v>783</v>
      </c>
      <c r="C58" s="153">
        <v>1418</v>
      </c>
      <c r="D58" s="38">
        <v>2284</v>
      </c>
      <c r="E58" s="38">
        <v>2660</v>
      </c>
      <c r="F58" s="38">
        <v>1874</v>
      </c>
      <c r="G58" s="38">
        <v>2406</v>
      </c>
      <c r="H58" s="38">
        <v>3536</v>
      </c>
      <c r="I58" s="38">
        <v>3491</v>
      </c>
      <c r="J58" s="38">
        <v>3461</v>
      </c>
      <c r="K58" s="38">
        <v>3371</v>
      </c>
      <c r="L58" s="38">
        <v>3375</v>
      </c>
      <c r="M58" s="38">
        <v>5737</v>
      </c>
      <c r="N58" s="38">
        <v>5369</v>
      </c>
      <c r="O58" s="38">
        <v>3421</v>
      </c>
      <c r="P58" s="38">
        <v>7454</v>
      </c>
      <c r="Q58" s="187">
        <f t="shared" si="16"/>
        <v>2.0980881130507067</v>
      </c>
      <c r="R58" s="187">
        <f t="shared" si="17"/>
        <v>1.2085925925925927</v>
      </c>
      <c r="S58" s="187">
        <f t="shared" si="18"/>
        <v>1.1788950599239989</v>
      </c>
      <c r="T58" s="187">
        <f t="shared" si="19"/>
        <v>0.20103565456604994</v>
      </c>
    </row>
    <row r="59" spans="1:20" x14ac:dyDescent="0.25">
      <c r="A59" s="84" t="s">
        <v>101</v>
      </c>
      <c r="B59" s="153">
        <v>18</v>
      </c>
      <c r="C59" s="153">
        <v>107</v>
      </c>
      <c r="D59" s="38">
        <v>1088</v>
      </c>
      <c r="E59" s="38">
        <v>19</v>
      </c>
      <c r="F59" s="38">
        <v>44</v>
      </c>
      <c r="G59" s="38">
        <v>103</v>
      </c>
      <c r="H59" s="38">
        <v>156</v>
      </c>
      <c r="I59" s="38">
        <v>205</v>
      </c>
      <c r="J59" s="38">
        <v>368</v>
      </c>
      <c r="K59" s="38">
        <v>404</v>
      </c>
      <c r="L59" s="38">
        <v>707</v>
      </c>
      <c r="M59" s="38">
        <v>2788</v>
      </c>
      <c r="N59" s="38">
        <v>2352</v>
      </c>
      <c r="O59" s="38">
        <v>4486</v>
      </c>
      <c r="P59" s="38">
        <v>5948</v>
      </c>
      <c r="Q59" s="187">
        <f t="shared" si="16"/>
        <v>56.747572815533978</v>
      </c>
      <c r="R59" s="187">
        <f t="shared" si="17"/>
        <v>7.4130127298444126</v>
      </c>
      <c r="S59" s="187">
        <f t="shared" si="18"/>
        <v>0.32590280873829691</v>
      </c>
      <c r="T59" s="187">
        <f t="shared" si="19"/>
        <v>0.16041857705377852</v>
      </c>
    </row>
    <row r="60" spans="1:20" x14ac:dyDescent="0.25">
      <c r="A60" s="84" t="s">
        <v>102</v>
      </c>
      <c r="B60" s="153"/>
      <c r="C60" s="153">
        <v>4</v>
      </c>
      <c r="D60" s="38">
        <v>678</v>
      </c>
      <c r="E60" s="38">
        <v>709</v>
      </c>
      <c r="F60" s="38">
        <v>1740</v>
      </c>
      <c r="G60" s="38">
        <v>1423</v>
      </c>
      <c r="H60" s="38">
        <v>928</v>
      </c>
      <c r="I60" s="38">
        <v>1160</v>
      </c>
      <c r="J60" s="38">
        <v>1677</v>
      </c>
      <c r="K60" s="38">
        <v>854</v>
      </c>
      <c r="L60" s="38">
        <v>1330</v>
      </c>
      <c r="M60" s="38">
        <v>2150</v>
      </c>
      <c r="N60" s="38">
        <v>2326</v>
      </c>
      <c r="O60" s="38">
        <v>3055</v>
      </c>
      <c r="P60" s="38">
        <v>6996</v>
      </c>
      <c r="Q60" s="187">
        <f t="shared" si="16"/>
        <v>3.9163738580463807</v>
      </c>
      <c r="R60" s="187">
        <f t="shared" si="17"/>
        <v>4.2601503759398494</v>
      </c>
      <c r="S60" s="187">
        <f t="shared" si="18"/>
        <v>1.2900163666121114</v>
      </c>
      <c r="T60" s="187">
        <f t="shared" si="19"/>
        <v>0.18868331625222504</v>
      </c>
    </row>
    <row r="61" spans="1:20" x14ac:dyDescent="0.25">
      <c r="A61" s="84" t="s">
        <v>103</v>
      </c>
      <c r="B61" s="153">
        <v>371</v>
      </c>
      <c r="C61" s="153">
        <v>366</v>
      </c>
      <c r="D61" s="38">
        <v>374</v>
      </c>
      <c r="E61" s="38">
        <v>443</v>
      </c>
      <c r="F61" s="38">
        <v>762</v>
      </c>
      <c r="G61" s="38">
        <v>612</v>
      </c>
      <c r="H61" s="38">
        <v>949</v>
      </c>
      <c r="I61" s="38">
        <v>1151</v>
      </c>
      <c r="J61" s="38">
        <v>1513</v>
      </c>
      <c r="K61" s="38">
        <v>1642</v>
      </c>
      <c r="L61" s="38">
        <v>1670</v>
      </c>
      <c r="M61" s="38">
        <v>2151</v>
      </c>
      <c r="N61" s="38">
        <v>1459</v>
      </c>
      <c r="O61" s="38">
        <v>1326</v>
      </c>
      <c r="P61" s="38">
        <v>1419</v>
      </c>
      <c r="Q61" s="187">
        <f t="shared" si="16"/>
        <v>1.3186274509803921</v>
      </c>
      <c r="R61" s="187">
        <f t="shared" si="17"/>
        <v>-0.15029940119760479</v>
      </c>
      <c r="S61" s="187">
        <f t="shared" si="18"/>
        <v>7.0135746606334842E-2</v>
      </c>
      <c r="T61" s="187">
        <f t="shared" si="19"/>
        <v>3.8270672636064512E-2</v>
      </c>
    </row>
    <row r="62" spans="1:20" x14ac:dyDescent="0.25">
      <c r="A62" s="112" t="s">
        <v>0</v>
      </c>
      <c r="B62" s="2">
        <v>7801</v>
      </c>
      <c r="C62" s="2">
        <v>10374</v>
      </c>
      <c r="D62" s="2">
        <v>14022</v>
      </c>
      <c r="E62" s="2">
        <v>13962</v>
      </c>
      <c r="F62" s="2">
        <v>19542</v>
      </c>
      <c r="G62" s="2">
        <v>20903</v>
      </c>
      <c r="H62" s="2">
        <v>23368</v>
      </c>
      <c r="I62" s="2">
        <v>23943</v>
      </c>
      <c r="J62" s="2">
        <v>22021</v>
      </c>
      <c r="K62" s="2">
        <v>21114</v>
      </c>
      <c r="L62" s="2">
        <v>22303</v>
      </c>
      <c r="M62" s="2">
        <v>27414</v>
      </c>
      <c r="N62" s="2">
        <v>25633</v>
      </c>
      <c r="O62" s="2">
        <v>23581</v>
      </c>
      <c r="P62" s="2">
        <v>37078</v>
      </c>
      <c r="Q62" s="188">
        <f t="shared" si="16"/>
        <v>0.77381237142993831</v>
      </c>
      <c r="R62" s="188">
        <f t="shared" si="17"/>
        <v>0.66246693269963686</v>
      </c>
      <c r="S62" s="188">
        <f t="shared" si="18"/>
        <v>0.57236758407192234</v>
      </c>
      <c r="T62" s="188">
        <f t="shared" si="19"/>
        <v>1</v>
      </c>
    </row>
    <row r="64" spans="1:20" x14ac:dyDescent="0.25">
      <c r="A64" s="99" t="s">
        <v>307</v>
      </c>
      <c r="B64" s="99"/>
      <c r="C64" s="99"/>
      <c r="D64" s="51"/>
      <c r="E64" s="51"/>
      <c r="F64" s="51"/>
      <c r="G64" s="51"/>
      <c r="H64" s="51"/>
    </row>
    <row r="65" spans="1:3" x14ac:dyDescent="0.25">
      <c r="A65" s="51" t="s">
        <v>294</v>
      </c>
      <c r="B65" s="51"/>
      <c r="C65" s="51"/>
    </row>
  </sheetData>
  <hyperlinks>
    <hyperlink ref="A65" location="Índice!C1" display="Volver al ïndice" xr:uid="{00000000-0004-0000-0800-000000000000}"/>
  </hyperlinks>
  <pageMargins left="0.7" right="0.7" top="0.75" bottom="0.75" header="0.3" footer="0.3"/>
  <pageSetup orientation="portrait"/>
  <drawing r:id="rId1"/>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E148"/>
  <sheetViews>
    <sheetView showGridLines="0" workbookViewId="0">
      <pane ySplit="3" topLeftCell="A148" activePane="bottomLeft" state="frozen"/>
      <selection pane="bottomLeft" activeCell="A148" sqref="A148"/>
    </sheetView>
  </sheetViews>
  <sheetFormatPr baseColWidth="10" defaultColWidth="10.85546875" defaultRowHeight="15" x14ac:dyDescent="0.25"/>
  <cols>
    <col min="1" max="1" width="55" style="71" customWidth="1"/>
    <col min="2" max="2" width="14.140625" style="71" customWidth="1"/>
    <col min="3" max="3" width="14" style="71" customWidth="1"/>
    <col min="4" max="4" width="14.85546875" style="71" customWidth="1"/>
    <col min="5" max="5" width="14" style="71" customWidth="1"/>
    <col min="6" max="6" width="11.85546875" style="71" bestFit="1" customWidth="1"/>
    <col min="7" max="16384" width="10.85546875" style="71"/>
  </cols>
  <sheetData>
    <row r="1" spans="1:5" ht="21" x14ac:dyDescent="0.25">
      <c r="A1" s="96" t="s">
        <v>483</v>
      </c>
    </row>
    <row r="2" spans="1:5" ht="18.75" x14ac:dyDescent="0.25">
      <c r="A2" s="72"/>
    </row>
    <row r="3" spans="1:5" ht="25.5" x14ac:dyDescent="0.25">
      <c r="A3" s="165" t="s">
        <v>123</v>
      </c>
      <c r="B3" s="166" t="s">
        <v>484</v>
      </c>
      <c r="C3" s="166" t="s">
        <v>485</v>
      </c>
      <c r="D3" s="166" t="s">
        <v>486</v>
      </c>
      <c r="E3" s="166" t="s">
        <v>487</v>
      </c>
    </row>
    <row r="4" spans="1:5" x14ac:dyDescent="0.25">
      <c r="A4" s="86" t="s">
        <v>2</v>
      </c>
      <c r="B4" s="124">
        <v>134496</v>
      </c>
      <c r="C4" s="124"/>
      <c r="D4" s="124">
        <v>14</v>
      </c>
      <c r="E4" s="124">
        <v>134510</v>
      </c>
    </row>
    <row r="5" spans="1:5" x14ac:dyDescent="0.25">
      <c r="A5" s="84" t="s">
        <v>370</v>
      </c>
      <c r="B5" s="70">
        <v>63</v>
      </c>
      <c r="C5" s="70"/>
      <c r="D5" s="70"/>
      <c r="E5" s="70">
        <v>63</v>
      </c>
    </row>
    <row r="6" spans="1:5" x14ac:dyDescent="0.25">
      <c r="A6" s="84" t="s">
        <v>171</v>
      </c>
      <c r="B6" s="70">
        <v>153</v>
      </c>
      <c r="C6" s="70"/>
      <c r="D6" s="70"/>
      <c r="E6" s="70">
        <v>153</v>
      </c>
    </row>
    <row r="7" spans="1:5" x14ac:dyDescent="0.25">
      <c r="A7" s="84" t="s">
        <v>452</v>
      </c>
      <c r="B7" s="70">
        <v>10</v>
      </c>
      <c r="C7" s="70"/>
      <c r="D7" s="70"/>
      <c r="E7" s="70">
        <v>10</v>
      </c>
    </row>
    <row r="8" spans="1:5" x14ac:dyDescent="0.25">
      <c r="A8" s="84" t="s">
        <v>172</v>
      </c>
      <c r="B8" s="70">
        <v>1535</v>
      </c>
      <c r="C8" s="70"/>
      <c r="D8" s="70"/>
      <c r="E8" s="70">
        <v>1535</v>
      </c>
    </row>
    <row r="9" spans="1:5" x14ac:dyDescent="0.25">
      <c r="A9" s="84" t="s">
        <v>173</v>
      </c>
      <c r="B9" s="70">
        <v>5473</v>
      </c>
      <c r="C9" s="70"/>
      <c r="D9" s="70"/>
      <c r="E9" s="70">
        <v>5473</v>
      </c>
    </row>
    <row r="10" spans="1:5" x14ac:dyDescent="0.25">
      <c r="A10" s="84" t="s">
        <v>453</v>
      </c>
      <c r="B10" s="70">
        <v>50</v>
      </c>
      <c r="C10" s="70"/>
      <c r="D10" s="70"/>
      <c r="E10" s="70">
        <v>50</v>
      </c>
    </row>
    <row r="11" spans="1:5" x14ac:dyDescent="0.25">
      <c r="A11" s="84" t="s">
        <v>174</v>
      </c>
      <c r="B11" s="70">
        <v>2672</v>
      </c>
      <c r="C11" s="70"/>
      <c r="D11" s="70"/>
      <c r="E11" s="70">
        <v>2672</v>
      </c>
    </row>
    <row r="12" spans="1:5" x14ac:dyDescent="0.25">
      <c r="A12" s="84" t="s">
        <v>371</v>
      </c>
      <c r="B12" s="70">
        <v>37</v>
      </c>
      <c r="C12" s="70"/>
      <c r="D12" s="70"/>
      <c r="E12" s="70">
        <v>37</v>
      </c>
    </row>
    <row r="13" spans="1:5" x14ac:dyDescent="0.25">
      <c r="A13" s="84" t="s">
        <v>175</v>
      </c>
      <c r="B13" s="70">
        <v>62</v>
      </c>
      <c r="C13" s="70"/>
      <c r="D13" s="70">
        <v>14</v>
      </c>
      <c r="E13" s="70">
        <v>76</v>
      </c>
    </row>
    <row r="14" spans="1:5" x14ac:dyDescent="0.25">
      <c r="A14" s="84" t="s">
        <v>176</v>
      </c>
      <c r="B14" s="70">
        <v>8939</v>
      </c>
      <c r="C14" s="70"/>
      <c r="D14" s="70"/>
      <c r="E14" s="70">
        <v>8939</v>
      </c>
    </row>
    <row r="15" spans="1:5" x14ac:dyDescent="0.25">
      <c r="A15" s="84" t="s">
        <v>372</v>
      </c>
      <c r="B15" s="70">
        <v>10</v>
      </c>
      <c r="C15" s="70"/>
      <c r="D15" s="70"/>
      <c r="E15" s="70">
        <v>10</v>
      </c>
    </row>
    <row r="16" spans="1:5" x14ac:dyDescent="0.25">
      <c r="A16" s="84" t="s">
        <v>395</v>
      </c>
      <c r="B16" s="70">
        <v>179</v>
      </c>
      <c r="C16" s="70"/>
      <c r="D16" s="70"/>
      <c r="E16" s="70">
        <v>179</v>
      </c>
    </row>
    <row r="17" spans="1:5" x14ac:dyDescent="0.25">
      <c r="A17" s="84" t="s">
        <v>454</v>
      </c>
      <c r="B17" s="70">
        <v>2357</v>
      </c>
      <c r="C17" s="70"/>
      <c r="D17" s="70"/>
      <c r="E17" s="70">
        <v>2357</v>
      </c>
    </row>
    <row r="18" spans="1:5" x14ac:dyDescent="0.25">
      <c r="A18" s="84" t="s">
        <v>455</v>
      </c>
      <c r="B18" s="70">
        <v>64</v>
      </c>
      <c r="C18" s="70"/>
      <c r="D18" s="70"/>
      <c r="E18" s="70">
        <v>64</v>
      </c>
    </row>
    <row r="19" spans="1:5" x14ac:dyDescent="0.25">
      <c r="A19" s="84" t="s">
        <v>373</v>
      </c>
      <c r="B19" s="70">
        <v>714</v>
      </c>
      <c r="C19" s="70"/>
      <c r="D19" s="70"/>
      <c r="E19" s="70">
        <v>714</v>
      </c>
    </row>
    <row r="20" spans="1:5" x14ac:dyDescent="0.25">
      <c r="A20" s="84" t="s">
        <v>330</v>
      </c>
      <c r="B20" s="70">
        <v>236</v>
      </c>
      <c r="C20" s="70"/>
      <c r="D20" s="70"/>
      <c r="E20" s="70">
        <v>236</v>
      </c>
    </row>
    <row r="21" spans="1:5" x14ac:dyDescent="0.25">
      <c r="A21" s="84" t="s">
        <v>374</v>
      </c>
      <c r="B21" s="70">
        <v>153</v>
      </c>
      <c r="C21" s="70"/>
      <c r="D21" s="70"/>
      <c r="E21" s="70">
        <v>153</v>
      </c>
    </row>
    <row r="22" spans="1:5" x14ac:dyDescent="0.25">
      <c r="A22" s="84" t="s">
        <v>396</v>
      </c>
      <c r="B22" s="70">
        <v>436</v>
      </c>
      <c r="C22" s="70"/>
      <c r="D22" s="70"/>
      <c r="E22" s="70">
        <v>436</v>
      </c>
    </row>
    <row r="23" spans="1:5" x14ac:dyDescent="0.25">
      <c r="A23" s="84" t="s">
        <v>397</v>
      </c>
      <c r="B23" s="70">
        <v>115</v>
      </c>
      <c r="C23" s="70"/>
      <c r="D23" s="70"/>
      <c r="E23" s="70">
        <v>115</v>
      </c>
    </row>
    <row r="24" spans="1:5" x14ac:dyDescent="0.25">
      <c r="A24" s="84" t="s">
        <v>375</v>
      </c>
      <c r="B24" s="70">
        <v>1214</v>
      </c>
      <c r="C24" s="70"/>
      <c r="D24" s="70"/>
      <c r="E24" s="70">
        <v>1214</v>
      </c>
    </row>
    <row r="25" spans="1:5" x14ac:dyDescent="0.25">
      <c r="A25" s="84" t="s">
        <v>398</v>
      </c>
      <c r="B25" s="70">
        <v>757</v>
      </c>
      <c r="C25" s="70"/>
      <c r="D25" s="70"/>
      <c r="E25" s="70">
        <v>757</v>
      </c>
    </row>
    <row r="26" spans="1:5" x14ac:dyDescent="0.25">
      <c r="A26" s="84" t="s">
        <v>331</v>
      </c>
      <c r="B26" s="70">
        <v>597</v>
      </c>
      <c r="C26" s="70"/>
      <c r="D26" s="70"/>
      <c r="E26" s="70">
        <v>597</v>
      </c>
    </row>
    <row r="27" spans="1:5" x14ac:dyDescent="0.25">
      <c r="A27" s="84" t="s">
        <v>399</v>
      </c>
      <c r="B27" s="70">
        <v>118</v>
      </c>
      <c r="C27" s="70"/>
      <c r="D27" s="70"/>
      <c r="E27" s="70">
        <v>118</v>
      </c>
    </row>
    <row r="28" spans="1:5" x14ac:dyDescent="0.25">
      <c r="A28" s="84" t="s">
        <v>177</v>
      </c>
      <c r="B28" s="70">
        <v>370</v>
      </c>
      <c r="C28" s="70"/>
      <c r="D28" s="70"/>
      <c r="E28" s="70">
        <v>370</v>
      </c>
    </row>
    <row r="29" spans="1:5" x14ac:dyDescent="0.25">
      <c r="A29" s="84" t="s">
        <v>178</v>
      </c>
      <c r="B29" s="70">
        <v>844</v>
      </c>
      <c r="C29" s="70"/>
      <c r="D29" s="70"/>
      <c r="E29" s="70">
        <v>844</v>
      </c>
    </row>
    <row r="30" spans="1:5" x14ac:dyDescent="0.25">
      <c r="A30" s="84" t="s">
        <v>68</v>
      </c>
      <c r="B30" s="70">
        <v>219</v>
      </c>
      <c r="C30" s="70"/>
      <c r="D30" s="70"/>
      <c r="E30" s="70">
        <v>219</v>
      </c>
    </row>
    <row r="31" spans="1:5" x14ac:dyDescent="0.25">
      <c r="A31" s="84" t="s">
        <v>376</v>
      </c>
      <c r="B31" s="70">
        <v>236</v>
      </c>
      <c r="C31" s="70"/>
      <c r="D31" s="70"/>
      <c r="E31" s="70">
        <v>236</v>
      </c>
    </row>
    <row r="32" spans="1:5" x14ac:dyDescent="0.25">
      <c r="A32" s="84" t="s">
        <v>377</v>
      </c>
      <c r="B32" s="70">
        <v>9</v>
      </c>
      <c r="C32" s="70"/>
      <c r="D32" s="70"/>
      <c r="E32" s="70">
        <v>9</v>
      </c>
    </row>
    <row r="33" spans="1:5" x14ac:dyDescent="0.25">
      <c r="A33" s="84" t="s">
        <v>69</v>
      </c>
      <c r="B33" s="70">
        <v>193</v>
      </c>
      <c r="C33" s="70"/>
      <c r="D33" s="70"/>
      <c r="E33" s="70">
        <v>193</v>
      </c>
    </row>
    <row r="34" spans="1:5" x14ac:dyDescent="0.25">
      <c r="A34" s="84" t="s">
        <v>70</v>
      </c>
      <c r="B34" s="70">
        <v>43087</v>
      </c>
      <c r="C34" s="70"/>
      <c r="D34" s="70"/>
      <c r="E34" s="70">
        <v>43087</v>
      </c>
    </row>
    <row r="35" spans="1:5" x14ac:dyDescent="0.25">
      <c r="A35" s="84" t="s">
        <v>179</v>
      </c>
      <c r="B35" s="70">
        <v>1992</v>
      </c>
      <c r="C35" s="70"/>
      <c r="D35" s="70"/>
      <c r="E35" s="70">
        <v>1992</v>
      </c>
    </row>
    <row r="36" spans="1:5" x14ac:dyDescent="0.25">
      <c r="A36" s="84" t="s">
        <v>180</v>
      </c>
      <c r="B36" s="70">
        <v>53</v>
      </c>
      <c r="C36" s="70"/>
      <c r="D36" s="70"/>
      <c r="E36" s="70">
        <v>53</v>
      </c>
    </row>
    <row r="37" spans="1:5" x14ac:dyDescent="0.25">
      <c r="A37" s="84" t="s">
        <v>181</v>
      </c>
      <c r="B37" s="70">
        <v>189</v>
      </c>
      <c r="C37" s="70"/>
      <c r="D37" s="70"/>
      <c r="E37" s="70">
        <v>189</v>
      </c>
    </row>
    <row r="38" spans="1:5" x14ac:dyDescent="0.25">
      <c r="A38" s="84" t="s">
        <v>182</v>
      </c>
      <c r="B38" s="70">
        <v>515</v>
      </c>
      <c r="C38" s="70"/>
      <c r="D38" s="70"/>
      <c r="E38" s="70">
        <v>515</v>
      </c>
    </row>
    <row r="39" spans="1:5" x14ac:dyDescent="0.25">
      <c r="A39" s="84" t="s">
        <v>183</v>
      </c>
      <c r="B39" s="70">
        <v>1421</v>
      </c>
      <c r="C39" s="70"/>
      <c r="D39" s="70"/>
      <c r="E39" s="70">
        <v>1421</v>
      </c>
    </row>
    <row r="40" spans="1:5" x14ac:dyDescent="0.25">
      <c r="A40" s="84" t="s">
        <v>184</v>
      </c>
      <c r="B40" s="70">
        <v>826</v>
      </c>
      <c r="C40" s="70"/>
      <c r="D40" s="70"/>
      <c r="E40" s="70">
        <v>826</v>
      </c>
    </row>
    <row r="41" spans="1:5" x14ac:dyDescent="0.25">
      <c r="A41" s="84" t="s">
        <v>185</v>
      </c>
      <c r="B41" s="70">
        <v>2325</v>
      </c>
      <c r="C41" s="70"/>
      <c r="D41" s="70"/>
      <c r="E41" s="70">
        <v>2325</v>
      </c>
    </row>
    <row r="42" spans="1:5" x14ac:dyDescent="0.25">
      <c r="A42" s="84" t="s">
        <v>186</v>
      </c>
      <c r="B42" s="70">
        <v>2149</v>
      </c>
      <c r="C42" s="70"/>
      <c r="D42" s="70"/>
      <c r="E42" s="70">
        <v>2149</v>
      </c>
    </row>
    <row r="43" spans="1:5" x14ac:dyDescent="0.25">
      <c r="A43" s="84" t="s">
        <v>187</v>
      </c>
      <c r="B43" s="70">
        <v>756</v>
      </c>
      <c r="C43" s="70"/>
      <c r="D43" s="70"/>
      <c r="E43" s="70">
        <v>756</v>
      </c>
    </row>
    <row r="44" spans="1:5" x14ac:dyDescent="0.25">
      <c r="A44" s="84" t="s">
        <v>188</v>
      </c>
      <c r="B44" s="70">
        <v>357</v>
      </c>
      <c r="C44" s="70"/>
      <c r="D44" s="70"/>
      <c r="E44" s="70">
        <v>357</v>
      </c>
    </row>
    <row r="45" spans="1:5" x14ac:dyDescent="0.25">
      <c r="A45" s="84" t="s">
        <v>189</v>
      </c>
      <c r="B45" s="70">
        <v>231</v>
      </c>
      <c r="C45" s="70"/>
      <c r="D45" s="70"/>
      <c r="E45" s="70">
        <v>231</v>
      </c>
    </row>
    <row r="46" spans="1:5" x14ac:dyDescent="0.25">
      <c r="A46" s="84" t="s">
        <v>190</v>
      </c>
      <c r="B46" s="70">
        <v>47</v>
      </c>
      <c r="C46" s="70"/>
      <c r="D46" s="70"/>
      <c r="E46" s="70">
        <v>47</v>
      </c>
    </row>
    <row r="47" spans="1:5" x14ac:dyDescent="0.25">
      <c r="A47" s="84" t="s">
        <v>378</v>
      </c>
      <c r="B47" s="70">
        <v>6328</v>
      </c>
      <c r="C47" s="70"/>
      <c r="D47" s="70"/>
      <c r="E47" s="70">
        <v>6328</v>
      </c>
    </row>
    <row r="48" spans="1:5" x14ac:dyDescent="0.25">
      <c r="A48" s="84" t="s">
        <v>379</v>
      </c>
      <c r="B48" s="70">
        <v>7479</v>
      </c>
      <c r="C48" s="70"/>
      <c r="D48" s="70"/>
      <c r="E48" s="70">
        <v>7479</v>
      </c>
    </row>
    <row r="49" spans="1:5" x14ac:dyDescent="0.25">
      <c r="A49" s="84" t="s">
        <v>191</v>
      </c>
      <c r="B49" s="70">
        <v>37268</v>
      </c>
      <c r="C49" s="70"/>
      <c r="D49" s="70"/>
      <c r="E49" s="70">
        <v>37268</v>
      </c>
    </row>
    <row r="50" spans="1:5" x14ac:dyDescent="0.25">
      <c r="A50" s="84" t="s">
        <v>192</v>
      </c>
      <c r="B50" s="70">
        <v>1658</v>
      </c>
      <c r="C50" s="70"/>
      <c r="D50" s="70"/>
      <c r="E50" s="70">
        <v>1658</v>
      </c>
    </row>
    <row r="51" spans="1:5" x14ac:dyDescent="0.25">
      <c r="A51" s="86" t="s">
        <v>3</v>
      </c>
      <c r="B51" s="124">
        <v>378538</v>
      </c>
      <c r="C51" s="124"/>
      <c r="D51" s="124">
        <v>1300</v>
      </c>
      <c r="E51" s="124">
        <v>379838</v>
      </c>
    </row>
    <row r="52" spans="1:5" x14ac:dyDescent="0.25">
      <c r="A52" s="84" t="s">
        <v>193</v>
      </c>
      <c r="B52" s="70">
        <v>666</v>
      </c>
      <c r="C52" s="70"/>
      <c r="D52" s="70"/>
      <c r="E52" s="70">
        <v>666</v>
      </c>
    </row>
    <row r="53" spans="1:5" x14ac:dyDescent="0.25">
      <c r="A53" s="84" t="s">
        <v>71</v>
      </c>
      <c r="B53" s="70">
        <v>89810</v>
      </c>
      <c r="C53" s="70"/>
      <c r="D53" s="70"/>
      <c r="E53" s="70">
        <v>89810</v>
      </c>
    </row>
    <row r="54" spans="1:5" x14ac:dyDescent="0.25">
      <c r="A54" s="84" t="s">
        <v>380</v>
      </c>
      <c r="B54" s="70">
        <v>469</v>
      </c>
      <c r="C54" s="70"/>
      <c r="D54" s="70"/>
      <c r="E54" s="70">
        <v>469</v>
      </c>
    </row>
    <row r="55" spans="1:5" x14ac:dyDescent="0.25">
      <c r="A55" s="84" t="s">
        <v>72</v>
      </c>
      <c r="B55" s="70">
        <v>1105</v>
      </c>
      <c r="C55" s="70"/>
      <c r="D55" s="70"/>
      <c r="E55" s="70">
        <v>1105</v>
      </c>
    </row>
    <row r="56" spans="1:5" x14ac:dyDescent="0.25">
      <c r="A56" s="84" t="s">
        <v>194</v>
      </c>
      <c r="B56" s="70">
        <v>4303</v>
      </c>
      <c r="C56" s="70"/>
      <c r="D56" s="70"/>
      <c r="E56" s="70">
        <v>4303</v>
      </c>
    </row>
    <row r="57" spans="1:5" x14ac:dyDescent="0.25">
      <c r="A57" s="84" t="s">
        <v>195</v>
      </c>
      <c r="B57" s="70">
        <v>6</v>
      </c>
      <c r="C57" s="70"/>
      <c r="D57" s="70"/>
      <c r="E57" s="70">
        <v>6</v>
      </c>
    </row>
    <row r="58" spans="1:5" x14ac:dyDescent="0.25">
      <c r="A58" s="84" t="s">
        <v>196</v>
      </c>
      <c r="B58" s="70">
        <v>17383</v>
      </c>
      <c r="C58" s="70"/>
      <c r="D58" s="70"/>
      <c r="E58" s="70">
        <v>17383</v>
      </c>
    </row>
    <row r="59" spans="1:5" x14ac:dyDescent="0.25">
      <c r="A59" s="84" t="s">
        <v>197</v>
      </c>
      <c r="B59" s="70">
        <v>101</v>
      </c>
      <c r="C59" s="70"/>
      <c r="D59" s="70"/>
      <c r="E59" s="70">
        <v>101</v>
      </c>
    </row>
    <row r="60" spans="1:5" x14ac:dyDescent="0.25">
      <c r="A60" s="84" t="s">
        <v>198</v>
      </c>
      <c r="B60" s="70">
        <v>1478</v>
      </c>
      <c r="C60" s="70"/>
      <c r="D60" s="70"/>
      <c r="E60" s="70">
        <v>1478</v>
      </c>
    </row>
    <row r="61" spans="1:5" x14ac:dyDescent="0.25">
      <c r="A61" s="84" t="s">
        <v>199</v>
      </c>
      <c r="B61" s="70">
        <v>3714</v>
      </c>
      <c r="C61" s="70"/>
      <c r="D61" s="70"/>
      <c r="E61" s="70">
        <v>3714</v>
      </c>
    </row>
    <row r="62" spans="1:5" x14ac:dyDescent="0.25">
      <c r="A62" s="84" t="s">
        <v>200</v>
      </c>
      <c r="B62" s="70">
        <v>2987</v>
      </c>
      <c r="C62" s="70"/>
      <c r="D62" s="70"/>
      <c r="E62" s="70">
        <v>2987</v>
      </c>
    </row>
    <row r="63" spans="1:5" x14ac:dyDescent="0.25">
      <c r="A63" s="84" t="s">
        <v>201</v>
      </c>
      <c r="B63" s="70">
        <v>7351</v>
      </c>
      <c r="C63" s="70"/>
      <c r="D63" s="70"/>
      <c r="E63" s="70">
        <v>7351</v>
      </c>
    </row>
    <row r="64" spans="1:5" x14ac:dyDescent="0.25">
      <c r="A64" s="84" t="s">
        <v>73</v>
      </c>
      <c r="B64" s="70">
        <v>99773</v>
      </c>
      <c r="C64" s="70"/>
      <c r="D64" s="70"/>
      <c r="E64" s="70">
        <v>99773</v>
      </c>
    </row>
    <row r="65" spans="1:5" x14ac:dyDescent="0.25">
      <c r="A65" s="84" t="s">
        <v>202</v>
      </c>
      <c r="B65" s="70">
        <v>586</v>
      </c>
      <c r="C65" s="70"/>
      <c r="D65" s="70"/>
      <c r="E65" s="70">
        <v>586</v>
      </c>
    </row>
    <row r="66" spans="1:5" x14ac:dyDescent="0.25">
      <c r="A66" s="84" t="s">
        <v>203</v>
      </c>
      <c r="B66" s="70">
        <v>103</v>
      </c>
      <c r="C66" s="70"/>
      <c r="D66" s="70"/>
      <c r="E66" s="70">
        <v>103</v>
      </c>
    </row>
    <row r="67" spans="1:5" x14ac:dyDescent="0.25">
      <c r="A67" s="84" t="s">
        <v>204</v>
      </c>
      <c r="B67" s="70">
        <v>1944</v>
      </c>
      <c r="C67" s="70"/>
      <c r="D67" s="70"/>
      <c r="E67" s="70">
        <v>1944</v>
      </c>
    </row>
    <row r="68" spans="1:5" x14ac:dyDescent="0.25">
      <c r="A68" s="84" t="s">
        <v>381</v>
      </c>
      <c r="B68" s="70">
        <v>104</v>
      </c>
      <c r="C68" s="70"/>
      <c r="D68" s="70"/>
      <c r="E68" s="70">
        <v>104</v>
      </c>
    </row>
    <row r="69" spans="1:5" x14ac:dyDescent="0.25">
      <c r="A69" s="84" t="s">
        <v>205</v>
      </c>
      <c r="B69" s="70">
        <v>833</v>
      </c>
      <c r="C69" s="70"/>
      <c r="D69" s="70"/>
      <c r="E69" s="70">
        <v>833</v>
      </c>
    </row>
    <row r="70" spans="1:5" x14ac:dyDescent="0.25">
      <c r="A70" s="84" t="s">
        <v>74</v>
      </c>
      <c r="B70" s="70">
        <v>4129</v>
      </c>
      <c r="C70" s="70"/>
      <c r="D70" s="70"/>
      <c r="E70" s="70">
        <v>4129</v>
      </c>
    </row>
    <row r="71" spans="1:5" x14ac:dyDescent="0.25">
      <c r="A71" s="84" t="s">
        <v>75</v>
      </c>
      <c r="B71" s="70">
        <v>43450</v>
      </c>
      <c r="C71" s="70"/>
      <c r="D71" s="70"/>
      <c r="E71" s="70">
        <v>43450</v>
      </c>
    </row>
    <row r="72" spans="1:5" x14ac:dyDescent="0.25">
      <c r="A72" s="84" t="s">
        <v>206</v>
      </c>
      <c r="B72" s="70">
        <v>5847</v>
      </c>
      <c r="C72" s="70"/>
      <c r="D72" s="70"/>
      <c r="E72" s="70">
        <v>5847</v>
      </c>
    </row>
    <row r="73" spans="1:5" x14ac:dyDescent="0.25">
      <c r="A73" s="84" t="s">
        <v>207</v>
      </c>
      <c r="B73" s="70">
        <v>755</v>
      </c>
      <c r="C73" s="70"/>
      <c r="D73" s="70"/>
      <c r="E73" s="70">
        <v>755</v>
      </c>
    </row>
    <row r="74" spans="1:5" x14ac:dyDescent="0.25">
      <c r="A74" s="84" t="s">
        <v>208</v>
      </c>
      <c r="B74" s="70">
        <v>881</v>
      </c>
      <c r="C74" s="70"/>
      <c r="D74" s="70">
        <v>22</v>
      </c>
      <c r="E74" s="70">
        <v>903</v>
      </c>
    </row>
    <row r="75" spans="1:5" x14ac:dyDescent="0.25">
      <c r="A75" s="84" t="s">
        <v>209</v>
      </c>
      <c r="B75" s="70">
        <v>22956</v>
      </c>
      <c r="C75" s="70"/>
      <c r="D75" s="70"/>
      <c r="E75" s="70">
        <v>22956</v>
      </c>
    </row>
    <row r="76" spans="1:5" x14ac:dyDescent="0.25">
      <c r="A76" s="84" t="s">
        <v>210</v>
      </c>
      <c r="B76" s="70">
        <v>5051</v>
      </c>
      <c r="C76" s="70"/>
      <c r="D76" s="70"/>
      <c r="E76" s="70">
        <v>5051</v>
      </c>
    </row>
    <row r="77" spans="1:5" x14ac:dyDescent="0.25">
      <c r="A77" s="84" t="s">
        <v>382</v>
      </c>
      <c r="B77" s="70">
        <v>21486</v>
      </c>
      <c r="C77" s="70"/>
      <c r="D77" s="70">
        <v>1278</v>
      </c>
      <c r="E77" s="70">
        <v>22764</v>
      </c>
    </row>
    <row r="78" spans="1:5" x14ac:dyDescent="0.25">
      <c r="A78" s="84" t="s">
        <v>211</v>
      </c>
      <c r="B78" s="70">
        <v>355</v>
      </c>
      <c r="C78" s="70"/>
      <c r="D78" s="70"/>
      <c r="E78" s="70">
        <v>355</v>
      </c>
    </row>
    <row r="79" spans="1:5" x14ac:dyDescent="0.25">
      <c r="A79" s="84" t="s">
        <v>212</v>
      </c>
      <c r="B79" s="70">
        <v>3343</v>
      </c>
      <c r="C79" s="70"/>
      <c r="D79" s="70"/>
      <c r="E79" s="70">
        <v>3343</v>
      </c>
    </row>
    <row r="80" spans="1:5" x14ac:dyDescent="0.25">
      <c r="A80" s="84" t="s">
        <v>213</v>
      </c>
      <c r="B80" s="70">
        <v>5677</v>
      </c>
      <c r="C80" s="70"/>
      <c r="D80" s="70"/>
      <c r="E80" s="70">
        <v>5677</v>
      </c>
    </row>
    <row r="81" spans="1:5" x14ac:dyDescent="0.25">
      <c r="A81" s="84" t="s">
        <v>214</v>
      </c>
      <c r="B81" s="70">
        <v>383</v>
      </c>
      <c r="C81" s="70"/>
      <c r="D81" s="70"/>
      <c r="E81" s="70">
        <v>383</v>
      </c>
    </row>
    <row r="82" spans="1:5" x14ac:dyDescent="0.25">
      <c r="A82" s="84" t="s">
        <v>215</v>
      </c>
      <c r="B82" s="70">
        <v>7437</v>
      </c>
      <c r="C82" s="70"/>
      <c r="D82" s="70"/>
      <c r="E82" s="70">
        <v>7437</v>
      </c>
    </row>
    <row r="83" spans="1:5" x14ac:dyDescent="0.25">
      <c r="A83" s="84" t="s">
        <v>216</v>
      </c>
      <c r="B83" s="70">
        <v>24048</v>
      </c>
      <c r="C83" s="70"/>
      <c r="D83" s="70"/>
      <c r="E83" s="70">
        <v>24048</v>
      </c>
    </row>
    <row r="84" spans="1:5" x14ac:dyDescent="0.25">
      <c r="A84" s="84" t="s">
        <v>217</v>
      </c>
      <c r="B84" s="70">
        <v>24</v>
      </c>
      <c r="C84" s="70"/>
      <c r="D84" s="70"/>
      <c r="E84" s="70">
        <v>24</v>
      </c>
    </row>
    <row r="85" spans="1:5" x14ac:dyDescent="0.25">
      <c r="A85" s="86" t="s">
        <v>4</v>
      </c>
      <c r="B85" s="124">
        <v>691380</v>
      </c>
      <c r="C85" s="124">
        <v>53247</v>
      </c>
      <c r="D85" s="124">
        <v>35764</v>
      </c>
      <c r="E85" s="124">
        <v>780391</v>
      </c>
    </row>
    <row r="86" spans="1:5" x14ac:dyDescent="0.25">
      <c r="A86" s="84" t="s">
        <v>218</v>
      </c>
      <c r="B86" s="70">
        <v>31180</v>
      </c>
      <c r="C86" s="70">
        <v>4993</v>
      </c>
      <c r="D86" s="70">
        <v>8714</v>
      </c>
      <c r="E86" s="70">
        <v>44887</v>
      </c>
    </row>
    <row r="87" spans="1:5" x14ac:dyDescent="0.25">
      <c r="A87" s="84" t="s">
        <v>219</v>
      </c>
      <c r="B87" s="70">
        <v>16936</v>
      </c>
      <c r="C87" s="70">
        <v>1415</v>
      </c>
      <c r="D87" s="70">
        <v>12</v>
      </c>
      <c r="E87" s="70">
        <v>18363</v>
      </c>
    </row>
    <row r="88" spans="1:5" x14ac:dyDescent="0.25">
      <c r="A88" s="84" t="s">
        <v>220</v>
      </c>
      <c r="B88" s="70">
        <v>3817</v>
      </c>
      <c r="C88" s="70">
        <v>52</v>
      </c>
      <c r="D88" s="70">
        <v>91</v>
      </c>
      <c r="E88" s="70">
        <v>3960</v>
      </c>
    </row>
    <row r="89" spans="1:5" x14ac:dyDescent="0.25">
      <c r="A89" s="84" t="s">
        <v>221</v>
      </c>
      <c r="B89" s="70">
        <v>9961</v>
      </c>
      <c r="C89" s="70">
        <v>1889</v>
      </c>
      <c r="D89" s="70">
        <v>963</v>
      </c>
      <c r="E89" s="70">
        <v>12813</v>
      </c>
    </row>
    <row r="90" spans="1:5" x14ac:dyDescent="0.25">
      <c r="A90" s="84" t="s">
        <v>222</v>
      </c>
      <c r="B90" s="70">
        <v>2460</v>
      </c>
      <c r="C90" s="70">
        <v>74</v>
      </c>
      <c r="D90" s="70"/>
      <c r="E90" s="70">
        <v>2534</v>
      </c>
    </row>
    <row r="91" spans="1:5" x14ac:dyDescent="0.25">
      <c r="A91" s="84" t="s">
        <v>223</v>
      </c>
      <c r="B91" s="70">
        <v>7060</v>
      </c>
      <c r="C91" s="70">
        <v>842</v>
      </c>
      <c r="D91" s="70">
        <v>723</v>
      </c>
      <c r="E91" s="70">
        <v>8625</v>
      </c>
    </row>
    <row r="92" spans="1:5" x14ac:dyDescent="0.25">
      <c r="A92" s="84" t="s">
        <v>224</v>
      </c>
      <c r="B92" s="70">
        <v>49103</v>
      </c>
      <c r="C92" s="70">
        <v>7061</v>
      </c>
      <c r="D92" s="70">
        <v>676</v>
      </c>
      <c r="E92" s="70">
        <v>56840</v>
      </c>
    </row>
    <row r="93" spans="1:5" x14ac:dyDescent="0.25">
      <c r="A93" s="84" t="s">
        <v>225</v>
      </c>
      <c r="B93" s="70">
        <v>10921</v>
      </c>
      <c r="C93" s="70">
        <v>611</v>
      </c>
      <c r="D93" s="70"/>
      <c r="E93" s="70">
        <v>11532</v>
      </c>
    </row>
    <row r="94" spans="1:5" x14ac:dyDescent="0.25">
      <c r="A94" s="84" t="s">
        <v>226</v>
      </c>
      <c r="B94" s="70">
        <v>17517</v>
      </c>
      <c r="C94" s="70">
        <v>538</v>
      </c>
      <c r="D94" s="70">
        <v>174</v>
      </c>
      <c r="E94" s="70">
        <v>18229</v>
      </c>
    </row>
    <row r="95" spans="1:5" x14ac:dyDescent="0.25">
      <c r="A95" s="84" t="s">
        <v>227</v>
      </c>
      <c r="B95" s="70">
        <v>29641</v>
      </c>
      <c r="C95" s="70">
        <v>546</v>
      </c>
      <c r="D95" s="70">
        <v>435</v>
      </c>
      <c r="E95" s="70">
        <v>30622</v>
      </c>
    </row>
    <row r="96" spans="1:5" x14ac:dyDescent="0.25">
      <c r="A96" s="84" t="s">
        <v>279</v>
      </c>
      <c r="B96" s="70">
        <v>7332</v>
      </c>
      <c r="C96" s="70">
        <v>1263</v>
      </c>
      <c r="D96" s="70">
        <v>77</v>
      </c>
      <c r="E96" s="70">
        <v>8672</v>
      </c>
    </row>
    <row r="97" spans="1:5" x14ac:dyDescent="0.25">
      <c r="A97" s="84" t="s">
        <v>228</v>
      </c>
      <c r="B97" s="70">
        <v>2431</v>
      </c>
      <c r="C97" s="70">
        <v>136</v>
      </c>
      <c r="D97" s="70">
        <v>7</v>
      </c>
      <c r="E97" s="70">
        <v>2574</v>
      </c>
    </row>
    <row r="98" spans="1:5" x14ac:dyDescent="0.25">
      <c r="A98" s="84" t="s">
        <v>383</v>
      </c>
      <c r="B98" s="70">
        <v>6795</v>
      </c>
      <c r="C98" s="70">
        <v>57</v>
      </c>
      <c r="D98" s="70">
        <v>5</v>
      </c>
      <c r="E98" s="70">
        <v>6857</v>
      </c>
    </row>
    <row r="99" spans="1:5" x14ac:dyDescent="0.25">
      <c r="A99" s="84" t="s">
        <v>229</v>
      </c>
      <c r="B99" s="70">
        <v>14062</v>
      </c>
      <c r="C99" s="70">
        <v>390</v>
      </c>
      <c r="D99" s="70">
        <v>193</v>
      </c>
      <c r="E99" s="70">
        <v>14645</v>
      </c>
    </row>
    <row r="100" spans="1:5" x14ac:dyDescent="0.25">
      <c r="A100" s="84" t="s">
        <v>230</v>
      </c>
      <c r="B100" s="70">
        <v>11496</v>
      </c>
      <c r="C100" s="70">
        <v>351</v>
      </c>
      <c r="D100" s="70">
        <v>837</v>
      </c>
      <c r="E100" s="70">
        <v>12684</v>
      </c>
    </row>
    <row r="101" spans="1:5" x14ac:dyDescent="0.25">
      <c r="A101" s="84" t="s">
        <v>231</v>
      </c>
      <c r="B101" s="70">
        <v>10727</v>
      </c>
      <c r="C101" s="70">
        <v>282</v>
      </c>
      <c r="D101" s="70">
        <v>303</v>
      </c>
      <c r="E101" s="70">
        <v>11312</v>
      </c>
    </row>
    <row r="102" spans="1:5" x14ac:dyDescent="0.25">
      <c r="A102" s="84" t="s">
        <v>400</v>
      </c>
      <c r="B102" s="70">
        <v>502</v>
      </c>
      <c r="C102" s="70">
        <v>286</v>
      </c>
      <c r="D102" s="70"/>
      <c r="E102" s="70">
        <v>788</v>
      </c>
    </row>
    <row r="103" spans="1:5" x14ac:dyDescent="0.25">
      <c r="A103" s="84" t="s">
        <v>232</v>
      </c>
      <c r="B103" s="70">
        <v>10903</v>
      </c>
      <c r="C103" s="70">
        <v>414</v>
      </c>
      <c r="D103" s="70">
        <v>159</v>
      </c>
      <c r="E103" s="70">
        <v>11476</v>
      </c>
    </row>
    <row r="104" spans="1:5" x14ac:dyDescent="0.25">
      <c r="A104" s="84" t="s">
        <v>233</v>
      </c>
      <c r="B104" s="70">
        <v>11827</v>
      </c>
      <c r="C104" s="70">
        <v>1929</v>
      </c>
      <c r="D104" s="70">
        <v>237</v>
      </c>
      <c r="E104" s="70">
        <v>13993</v>
      </c>
    </row>
    <row r="105" spans="1:5" x14ac:dyDescent="0.25">
      <c r="A105" s="84" t="s">
        <v>234</v>
      </c>
      <c r="B105" s="70">
        <v>50</v>
      </c>
      <c r="C105" s="70"/>
      <c r="D105" s="70"/>
      <c r="E105" s="70">
        <v>50</v>
      </c>
    </row>
    <row r="106" spans="1:5" x14ac:dyDescent="0.25">
      <c r="A106" s="84" t="s">
        <v>235</v>
      </c>
      <c r="B106" s="70">
        <v>5612</v>
      </c>
      <c r="C106" s="70">
        <v>12</v>
      </c>
      <c r="D106" s="70">
        <v>17</v>
      </c>
      <c r="E106" s="70">
        <v>5641</v>
      </c>
    </row>
    <row r="107" spans="1:5" x14ac:dyDescent="0.25">
      <c r="A107" s="84" t="s">
        <v>236</v>
      </c>
      <c r="B107" s="70">
        <v>7868</v>
      </c>
      <c r="C107" s="70">
        <v>123</v>
      </c>
      <c r="D107" s="70">
        <v>82</v>
      </c>
      <c r="E107" s="70">
        <v>8073</v>
      </c>
    </row>
    <row r="108" spans="1:5" x14ac:dyDescent="0.25">
      <c r="A108" s="84" t="s">
        <v>237</v>
      </c>
      <c r="B108" s="70">
        <v>5237</v>
      </c>
      <c r="C108" s="70">
        <v>440</v>
      </c>
      <c r="D108" s="70">
        <v>38</v>
      </c>
      <c r="E108" s="70">
        <v>5715</v>
      </c>
    </row>
    <row r="109" spans="1:5" x14ac:dyDescent="0.25">
      <c r="A109" s="84" t="s">
        <v>238</v>
      </c>
      <c r="B109" s="70">
        <v>7739</v>
      </c>
      <c r="C109" s="70">
        <v>30</v>
      </c>
      <c r="D109" s="70">
        <v>64</v>
      </c>
      <c r="E109" s="70">
        <v>7833</v>
      </c>
    </row>
    <row r="110" spans="1:5" x14ac:dyDescent="0.25">
      <c r="A110" s="84" t="s">
        <v>277</v>
      </c>
      <c r="B110" s="70">
        <v>571</v>
      </c>
      <c r="C110" s="70"/>
      <c r="D110" s="70"/>
      <c r="E110" s="70">
        <v>571</v>
      </c>
    </row>
    <row r="111" spans="1:5" x14ac:dyDescent="0.25">
      <c r="A111" s="84" t="s">
        <v>239</v>
      </c>
      <c r="B111" s="70">
        <v>35615</v>
      </c>
      <c r="C111" s="70">
        <v>6445</v>
      </c>
      <c r="D111" s="70">
        <v>1276</v>
      </c>
      <c r="E111" s="70">
        <v>43336</v>
      </c>
    </row>
    <row r="112" spans="1:5" x14ac:dyDescent="0.25">
      <c r="A112" s="84" t="s">
        <v>240</v>
      </c>
      <c r="B112" s="70">
        <v>26569</v>
      </c>
      <c r="C112" s="70">
        <v>2336</v>
      </c>
      <c r="D112" s="70">
        <v>775</v>
      </c>
      <c r="E112" s="70">
        <v>29680</v>
      </c>
    </row>
    <row r="113" spans="1:5" x14ac:dyDescent="0.25">
      <c r="A113" s="84" t="s">
        <v>241</v>
      </c>
      <c r="B113" s="70">
        <v>11546</v>
      </c>
      <c r="C113" s="70">
        <v>611</v>
      </c>
      <c r="D113" s="70">
        <v>26</v>
      </c>
      <c r="E113" s="70">
        <v>12183</v>
      </c>
    </row>
    <row r="114" spans="1:5" x14ac:dyDescent="0.25">
      <c r="A114" s="84" t="s">
        <v>242</v>
      </c>
      <c r="B114" s="70">
        <v>7973</v>
      </c>
      <c r="C114" s="70">
        <v>197</v>
      </c>
      <c r="D114" s="70">
        <v>24</v>
      </c>
      <c r="E114" s="70">
        <v>8194</v>
      </c>
    </row>
    <row r="115" spans="1:5" x14ac:dyDescent="0.25">
      <c r="A115" s="84" t="s">
        <v>243</v>
      </c>
      <c r="B115" s="70">
        <v>24770</v>
      </c>
      <c r="C115" s="70">
        <v>143</v>
      </c>
      <c r="D115" s="70">
        <v>758</v>
      </c>
      <c r="E115" s="70">
        <v>25671</v>
      </c>
    </row>
    <row r="116" spans="1:5" x14ac:dyDescent="0.25">
      <c r="A116" s="84" t="s">
        <v>244</v>
      </c>
      <c r="B116" s="70">
        <v>8825</v>
      </c>
      <c r="C116" s="70">
        <v>1329</v>
      </c>
      <c r="D116" s="70">
        <v>5589</v>
      </c>
      <c r="E116" s="70">
        <v>15743</v>
      </c>
    </row>
    <row r="117" spans="1:5" x14ac:dyDescent="0.25">
      <c r="A117" s="84" t="s">
        <v>245</v>
      </c>
      <c r="B117" s="70">
        <v>9385</v>
      </c>
      <c r="C117" s="70">
        <v>82</v>
      </c>
      <c r="D117" s="70"/>
      <c r="E117" s="70">
        <v>9467</v>
      </c>
    </row>
    <row r="118" spans="1:5" x14ac:dyDescent="0.25">
      <c r="A118" s="84" t="s">
        <v>246</v>
      </c>
      <c r="B118" s="70">
        <v>4074</v>
      </c>
      <c r="C118" s="70">
        <v>68</v>
      </c>
      <c r="D118" s="70">
        <v>27</v>
      </c>
      <c r="E118" s="70">
        <v>4169</v>
      </c>
    </row>
    <row r="119" spans="1:5" x14ac:dyDescent="0.25">
      <c r="A119" s="84" t="s">
        <v>278</v>
      </c>
      <c r="B119" s="70">
        <v>4104</v>
      </c>
      <c r="C119" s="70"/>
      <c r="D119" s="70"/>
      <c r="E119" s="70">
        <v>4104</v>
      </c>
    </row>
    <row r="120" spans="1:5" x14ac:dyDescent="0.25">
      <c r="A120" s="84" t="s">
        <v>247</v>
      </c>
      <c r="B120" s="70">
        <v>7221</v>
      </c>
      <c r="C120" s="70">
        <v>253</v>
      </c>
      <c r="D120" s="70">
        <v>42</v>
      </c>
      <c r="E120" s="70">
        <v>7516</v>
      </c>
    </row>
    <row r="121" spans="1:5" x14ac:dyDescent="0.25">
      <c r="A121" s="84" t="s">
        <v>248</v>
      </c>
      <c r="B121" s="70">
        <v>23055</v>
      </c>
      <c r="C121" s="70">
        <v>1341</v>
      </c>
      <c r="D121" s="70">
        <v>965</v>
      </c>
      <c r="E121" s="70">
        <v>25361</v>
      </c>
    </row>
    <row r="122" spans="1:5" x14ac:dyDescent="0.25">
      <c r="A122" s="84" t="s">
        <v>401</v>
      </c>
      <c r="B122" s="70">
        <v>816</v>
      </c>
      <c r="C122" s="70"/>
      <c r="D122" s="70"/>
      <c r="E122" s="70">
        <v>816</v>
      </c>
    </row>
    <row r="123" spans="1:5" x14ac:dyDescent="0.25">
      <c r="A123" s="84" t="s">
        <v>249</v>
      </c>
      <c r="B123" s="70">
        <v>11408</v>
      </c>
      <c r="C123" s="70">
        <v>1056</v>
      </c>
      <c r="D123" s="70">
        <v>215</v>
      </c>
      <c r="E123" s="70">
        <v>12679</v>
      </c>
    </row>
    <row r="124" spans="1:5" x14ac:dyDescent="0.25">
      <c r="A124" s="84" t="s">
        <v>250</v>
      </c>
      <c r="B124" s="70">
        <v>10209</v>
      </c>
      <c r="C124" s="70">
        <v>163</v>
      </c>
      <c r="D124" s="70"/>
      <c r="E124" s="70">
        <v>10372</v>
      </c>
    </row>
    <row r="125" spans="1:5" x14ac:dyDescent="0.25">
      <c r="A125" s="84" t="s">
        <v>251</v>
      </c>
      <c r="B125" s="70">
        <v>15624</v>
      </c>
      <c r="C125" s="70">
        <v>784</v>
      </c>
      <c r="D125" s="70">
        <v>857</v>
      </c>
      <c r="E125" s="70">
        <v>17265</v>
      </c>
    </row>
    <row r="126" spans="1:5" x14ac:dyDescent="0.25">
      <c r="A126" s="84" t="s">
        <v>252</v>
      </c>
      <c r="B126" s="70">
        <v>8814</v>
      </c>
      <c r="C126" s="70">
        <v>895</v>
      </c>
      <c r="D126" s="70"/>
      <c r="E126" s="70">
        <v>9709</v>
      </c>
    </row>
    <row r="127" spans="1:5" x14ac:dyDescent="0.25">
      <c r="A127" s="84" t="s">
        <v>253</v>
      </c>
      <c r="B127" s="70">
        <v>12154</v>
      </c>
      <c r="C127" s="70">
        <v>347</v>
      </c>
      <c r="D127" s="70">
        <v>21</v>
      </c>
      <c r="E127" s="70">
        <v>12522</v>
      </c>
    </row>
    <row r="128" spans="1:5" x14ac:dyDescent="0.25">
      <c r="A128" s="84" t="s">
        <v>254</v>
      </c>
      <c r="B128" s="70">
        <v>15393</v>
      </c>
      <c r="C128" s="70">
        <v>1163</v>
      </c>
      <c r="D128" s="70">
        <v>3335</v>
      </c>
      <c r="E128" s="70">
        <v>19891</v>
      </c>
    </row>
    <row r="129" spans="1:5" x14ac:dyDescent="0.25">
      <c r="A129" s="84" t="s">
        <v>255</v>
      </c>
      <c r="B129" s="70">
        <v>16759</v>
      </c>
      <c r="C129" s="70">
        <v>1272</v>
      </c>
      <c r="D129" s="70">
        <v>1854</v>
      </c>
      <c r="E129" s="70">
        <v>19885</v>
      </c>
    </row>
    <row r="130" spans="1:5" x14ac:dyDescent="0.25">
      <c r="A130" s="84" t="s">
        <v>256</v>
      </c>
      <c r="B130" s="70">
        <v>8475</v>
      </c>
      <c r="C130" s="70">
        <v>1006</v>
      </c>
      <c r="D130" s="70">
        <v>829</v>
      </c>
      <c r="E130" s="70">
        <v>10310</v>
      </c>
    </row>
    <row r="131" spans="1:5" x14ac:dyDescent="0.25">
      <c r="A131" s="84" t="s">
        <v>257</v>
      </c>
      <c r="B131" s="70">
        <v>1193</v>
      </c>
      <c r="C131" s="70">
        <v>72</v>
      </c>
      <c r="D131" s="70">
        <v>112</v>
      </c>
      <c r="E131" s="70">
        <v>1377</v>
      </c>
    </row>
    <row r="132" spans="1:5" x14ac:dyDescent="0.25">
      <c r="A132" s="84" t="s">
        <v>258</v>
      </c>
      <c r="B132" s="70">
        <v>3051</v>
      </c>
      <c r="C132" s="70">
        <v>5</v>
      </c>
      <c r="D132" s="70"/>
      <c r="E132" s="70">
        <v>3056</v>
      </c>
    </row>
    <row r="133" spans="1:5" x14ac:dyDescent="0.25">
      <c r="A133" s="84" t="s">
        <v>259</v>
      </c>
      <c r="B133" s="70">
        <v>827</v>
      </c>
      <c r="C133" s="70"/>
      <c r="D133" s="70"/>
      <c r="E133" s="70">
        <v>827</v>
      </c>
    </row>
    <row r="134" spans="1:5" x14ac:dyDescent="0.25">
      <c r="A134" s="84" t="s">
        <v>260</v>
      </c>
      <c r="B134" s="70">
        <v>19902</v>
      </c>
      <c r="C134" s="70">
        <v>2777</v>
      </c>
      <c r="D134" s="70">
        <v>1012</v>
      </c>
      <c r="E134" s="70">
        <v>23691</v>
      </c>
    </row>
    <row r="135" spans="1:5" x14ac:dyDescent="0.25">
      <c r="A135" s="84" t="s">
        <v>261</v>
      </c>
      <c r="B135" s="70">
        <v>4358</v>
      </c>
      <c r="C135" s="70">
        <v>124</v>
      </c>
      <c r="D135" s="70"/>
      <c r="E135" s="70">
        <v>4482</v>
      </c>
    </row>
    <row r="136" spans="1:5" x14ac:dyDescent="0.25">
      <c r="A136" s="84" t="s">
        <v>262</v>
      </c>
      <c r="B136" s="70">
        <v>1129</v>
      </c>
      <c r="C136" s="70">
        <v>1590</v>
      </c>
      <c r="D136" s="70">
        <v>1374</v>
      </c>
      <c r="E136" s="70">
        <v>4093</v>
      </c>
    </row>
    <row r="137" spans="1:5" x14ac:dyDescent="0.25">
      <c r="A137" s="84" t="s">
        <v>263</v>
      </c>
      <c r="B137" s="70">
        <v>6022</v>
      </c>
      <c r="C137" s="70">
        <v>38</v>
      </c>
      <c r="D137" s="70"/>
      <c r="E137" s="70">
        <v>6060</v>
      </c>
    </row>
    <row r="138" spans="1:5" x14ac:dyDescent="0.25">
      <c r="A138" s="84" t="s">
        <v>264</v>
      </c>
      <c r="B138" s="70">
        <v>34905</v>
      </c>
      <c r="C138" s="70">
        <v>3363</v>
      </c>
      <c r="D138" s="70">
        <v>1989</v>
      </c>
      <c r="E138" s="70">
        <v>40257</v>
      </c>
    </row>
    <row r="139" spans="1:5" x14ac:dyDescent="0.25">
      <c r="A139" s="84" t="s">
        <v>265</v>
      </c>
      <c r="B139" s="70">
        <v>26760</v>
      </c>
      <c r="C139" s="70">
        <v>622</v>
      </c>
      <c r="D139" s="70">
        <v>483</v>
      </c>
      <c r="E139" s="70">
        <v>27865</v>
      </c>
    </row>
    <row r="140" spans="1:5" x14ac:dyDescent="0.25">
      <c r="A140" s="84" t="s">
        <v>266</v>
      </c>
      <c r="B140" s="70">
        <v>2343</v>
      </c>
      <c r="C140" s="70">
        <v>193</v>
      </c>
      <c r="D140" s="70">
        <v>47</v>
      </c>
      <c r="E140" s="70">
        <v>2583</v>
      </c>
    </row>
    <row r="141" spans="1:5" x14ac:dyDescent="0.25">
      <c r="A141" s="84" t="s">
        <v>267</v>
      </c>
      <c r="B141" s="70">
        <v>21134</v>
      </c>
      <c r="C141" s="70">
        <v>1168</v>
      </c>
      <c r="D141" s="70">
        <v>233</v>
      </c>
      <c r="E141" s="70">
        <v>22535</v>
      </c>
    </row>
    <row r="142" spans="1:5" x14ac:dyDescent="0.25">
      <c r="A142" s="84" t="s">
        <v>268</v>
      </c>
      <c r="B142" s="70">
        <v>15807</v>
      </c>
      <c r="C142" s="70"/>
      <c r="D142" s="70"/>
      <c r="E142" s="70">
        <v>15807</v>
      </c>
    </row>
    <row r="143" spans="1:5" x14ac:dyDescent="0.25">
      <c r="A143" s="84" t="s">
        <v>269</v>
      </c>
      <c r="B143" s="70">
        <v>9136</v>
      </c>
      <c r="C143" s="70">
        <v>69</v>
      </c>
      <c r="D143" s="70">
        <v>114</v>
      </c>
      <c r="E143" s="70">
        <v>9319</v>
      </c>
    </row>
    <row r="144" spans="1:5" x14ac:dyDescent="0.25">
      <c r="A144" s="84" t="s">
        <v>402</v>
      </c>
      <c r="B144" s="70">
        <v>276</v>
      </c>
      <c r="C144" s="70">
        <v>1</v>
      </c>
      <c r="D144" s="70"/>
      <c r="E144" s="70">
        <v>277</v>
      </c>
    </row>
    <row r="145" spans="1:5" x14ac:dyDescent="0.25">
      <c r="A145" s="86" t="s">
        <v>0</v>
      </c>
      <c r="B145" s="124">
        <v>1204414</v>
      </c>
      <c r="C145" s="124">
        <v>53247</v>
      </c>
      <c r="D145" s="124">
        <v>37078</v>
      </c>
      <c r="E145" s="124">
        <v>1294739</v>
      </c>
    </row>
    <row r="147" spans="1:5" x14ac:dyDescent="0.25">
      <c r="A147" s="97" t="s">
        <v>307</v>
      </c>
    </row>
    <row r="148" spans="1:5" x14ac:dyDescent="0.25">
      <c r="A148" s="74" t="s">
        <v>294</v>
      </c>
    </row>
  </sheetData>
  <sortState xmlns:xlrd2="http://schemas.microsoft.com/office/spreadsheetml/2017/richdata2" ref="A3:A151">
    <sortCondition ref="A3:A151"/>
  </sortState>
  <hyperlinks>
    <hyperlink ref="A148" location="Índice!C1" display="Volver al ïndice" xr:uid="{00000000-0004-0000-0900-000001000000}"/>
  </hyperlinks>
  <pageMargins left="0.7" right="0.7" top="0.75" bottom="0.75" header="0.3" footer="0.3"/>
  <pageSetup paperSize="281" orientation="portrait"/>
  <drawing r:id="rId1"/>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D61B8470A32A674BA32B0F0843FD833D" ma:contentTypeVersion="13" ma:contentTypeDescription="Crear nuevo documento." ma:contentTypeScope="" ma:versionID="49ba5e8fcf27c43e696877a208ba16af">
  <xsd:schema xmlns:xsd="http://www.w3.org/2001/XMLSchema" xmlns:xs="http://www.w3.org/2001/XMLSchema" xmlns:p="http://schemas.microsoft.com/office/2006/metadata/properties" xmlns:ns3="9f4f5549-ab14-4416-aabc-6a2559eaf16c" xmlns:ns4="9034eac3-09e6-43ed-a7a7-3f7d0c8b832f" targetNamespace="http://schemas.microsoft.com/office/2006/metadata/properties" ma:root="true" ma:fieldsID="d2983ee26176b7ea893d1be23d514b8e" ns3:_="" ns4:_="">
    <xsd:import namespace="9f4f5549-ab14-4416-aabc-6a2559eaf16c"/>
    <xsd:import namespace="9034eac3-09e6-43ed-a7a7-3f7d0c8b832f"/>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4:SharedWithUsers" minOccurs="0"/>
                <xsd:element ref="ns4:SharedWithDetails" minOccurs="0"/>
                <xsd:element ref="ns4:SharingHintHash" minOccurs="0"/>
                <xsd:element ref="ns3:MediaServiceEventHashCode" minOccurs="0"/>
                <xsd:element ref="ns3:MediaServiceGenerationTime"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4f5549-ab14-4416-aabc-6a2559eaf16c"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MediaServiceLocation" ma:internalName="MediaServiceLocation"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034eac3-09e6-43ed-a7a7-3f7d0c8b832f" elementFormDefault="qualified">
    <xsd:import namespace="http://schemas.microsoft.com/office/2006/documentManagement/types"/>
    <xsd:import namespace="http://schemas.microsoft.com/office/infopath/2007/PartnerControls"/>
    <xsd:element name="SharedWithUsers" ma:index="14"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Detalles de uso compartido" ma:internalName="SharedWithDetails" ma:readOnly="true">
      <xsd:simpleType>
        <xsd:restriction base="dms:Note">
          <xsd:maxLength value="255"/>
        </xsd:restriction>
      </xsd:simpleType>
    </xsd:element>
    <xsd:element name="SharingHintHash" ma:index="16"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DAD83EB-91CB-4C8F-85E7-DA3B98D18F5D}">
  <ds:schemaRefs>
    <ds:schemaRef ds:uri="http://schemas.microsoft.com/office/2006/metadata/contentType"/>
    <ds:schemaRef ds:uri="http://schemas.microsoft.com/office/2006/metadata/properties/metaAttributes"/>
    <ds:schemaRef ds:uri="http://www.w3.org/2000/xmlns/"/>
    <ds:schemaRef ds:uri="http://www.w3.org/2001/XMLSchema"/>
    <ds:schemaRef ds:uri="9f4f5549-ab14-4416-aabc-6a2559eaf16c"/>
    <ds:schemaRef ds:uri="9034eac3-09e6-43ed-a7a7-3f7d0c8b832f"/>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5085572-974B-4AEC-8ABB-74323EC0171C}">
  <ds:schemaRefs>
    <ds:schemaRef ds:uri="http://schemas.microsoft.com/sharepoint/v3/contenttype/forms"/>
  </ds:schemaRefs>
</ds:datastoreItem>
</file>

<file path=customXml/itemProps3.xml><?xml version="1.0" encoding="utf-8"?>
<ds:datastoreItem xmlns:ds="http://schemas.openxmlformats.org/officeDocument/2006/customXml" ds:itemID="{766A91E3-A5DC-4376-9542-ACF62E6D200F}">
  <ds:schemaRefs>
    <ds:schemaRef ds:uri="http://schemas.microsoft.com/office/2006/metadata/properties"/>
    <ds:schemaRef ds:uri="http://www.w3.org/2000/xmln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1</vt:i4>
      </vt:variant>
    </vt:vector>
  </HeadingPairs>
  <TitlesOfParts>
    <vt:vector size="11" baseType="lpstr">
      <vt:lpstr>Índice</vt:lpstr>
      <vt:lpstr>Matrícula Total 2021</vt:lpstr>
      <vt:lpstr>Evolución Matrícula Total</vt:lpstr>
      <vt:lpstr>Matrícula Pregrado 2021</vt:lpstr>
      <vt:lpstr>Evolución Matrícula Pregrado</vt:lpstr>
      <vt:lpstr>Matrícula Posgrado 2021</vt:lpstr>
      <vt:lpstr>Evolución Matrícula Posgrado</vt:lpstr>
      <vt:lpstr>Matrícula Postitulo 2021</vt:lpstr>
      <vt:lpstr>Evolución Matrícula Postítulo</vt:lpstr>
      <vt:lpstr>Listado de instituciones 2021</vt:lpstr>
      <vt:lpstr>Matricula_Total_2019_por_tipo_de_institución_y_sexo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Rodrigo Rolando Meneses</dc:creator>
  <cp:lastModifiedBy>Rodrigo Rolando</cp:lastModifiedBy>
  <cp:lastPrinted>2013-08-26T19:15:47Z</cp:lastPrinted>
  <dcterms:created xsi:type="dcterms:W3CDTF">2012-05-11T20:13:46Z</dcterms:created>
  <dcterms:modified xsi:type="dcterms:W3CDTF">2021-07-05T15:02:10Z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0x010100D61B8470A32A674BA32B0F0843FD833D</vt:lpwstr>
  </property>
</Properties>
</file>