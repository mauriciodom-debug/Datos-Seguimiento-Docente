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CCEM\Desktop\SIES\Titulados 2020\"/>
    </mc:Choice>
  </mc:AlternateContent>
  <bookViews>
    <workbookView xWindow="0" yWindow="0" windowWidth="20490" windowHeight="7650" tabRatio="892"/>
  </bookViews>
  <sheets>
    <sheet name="Indice" sheetId="11" r:id="rId1"/>
    <sheet name="Titulación Total 2020" sheetId="2" r:id="rId2"/>
    <sheet name="Evolución Titulación Total" sheetId="3" r:id="rId3"/>
    <sheet name="Titulación Pregrado 2020" sheetId="4" r:id="rId4"/>
    <sheet name="Evolución Titulación Pregrado" sheetId="5" r:id="rId5"/>
    <sheet name="Titulación Posgrado 2020" sheetId="6" r:id="rId6"/>
    <sheet name="Evolución Titulación Posgrado" sheetId="7" r:id="rId7"/>
    <sheet name="Titulacion Postitulo 2020" sheetId="8" r:id="rId8"/>
    <sheet name="Evolucion Titulacion Postitulo" sheetId="9" r:id="rId9"/>
    <sheet name="Listado de Instituciones" sheetId="10" r:id="rId10"/>
  </sheets>
  <definedNames>
    <definedName name="_xlnm._FilterDatabase" localSheetId="4" hidden="1">'Evolución Titulación Pregrado'!$A$103:$Q$123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192" i="5" l="1"/>
  <c r="S193" i="5"/>
  <c r="S191" i="5"/>
  <c r="S186" i="5"/>
  <c r="S187" i="5"/>
  <c r="S185" i="5"/>
  <c r="S180" i="5"/>
  <c r="S181" i="5"/>
  <c r="S179" i="5"/>
  <c r="R56" i="5"/>
  <c r="S56" i="5"/>
  <c r="R57" i="5"/>
  <c r="S57" i="5"/>
  <c r="P25" i="9"/>
  <c r="P76" i="3"/>
  <c r="P77" i="3"/>
  <c r="P78" i="3"/>
  <c r="P79" i="3"/>
  <c r="P80" i="3"/>
  <c r="P81" i="3"/>
  <c r="P82" i="3"/>
  <c r="P83" i="3"/>
  <c r="R35" i="3" l="1"/>
  <c r="S35" i="3"/>
  <c r="C37" i="9"/>
  <c r="D37" i="9"/>
  <c r="E37" i="9"/>
  <c r="F37" i="9"/>
  <c r="G37" i="9"/>
  <c r="H37" i="9"/>
  <c r="I37" i="9"/>
  <c r="J37" i="9"/>
  <c r="K37" i="9"/>
  <c r="L37" i="9"/>
  <c r="M37" i="9"/>
  <c r="N37" i="9"/>
  <c r="O37" i="9"/>
  <c r="B37" i="9"/>
  <c r="C33" i="9"/>
  <c r="C41" i="9" s="1"/>
  <c r="D33" i="9"/>
  <c r="D41" i="9" s="1"/>
  <c r="E33" i="9"/>
  <c r="F33" i="9"/>
  <c r="G33" i="9"/>
  <c r="G41" i="9" s="1"/>
  <c r="H33" i="9"/>
  <c r="H41" i="9" s="1"/>
  <c r="I33" i="9"/>
  <c r="J33" i="9"/>
  <c r="K33" i="9"/>
  <c r="K41" i="9" s="1"/>
  <c r="L33" i="9"/>
  <c r="L41" i="9" s="1"/>
  <c r="M33" i="9"/>
  <c r="N33" i="9"/>
  <c r="O33" i="9"/>
  <c r="S33" i="9" s="1"/>
  <c r="B33" i="9"/>
  <c r="B41" i="9" s="1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B37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O40" i="7" s="1"/>
  <c r="B34" i="7"/>
  <c r="I40" i="7"/>
  <c r="J40" i="7"/>
  <c r="R14" i="5"/>
  <c r="S14" i="5"/>
  <c r="P15" i="5"/>
  <c r="Q15" i="5"/>
  <c r="R15" i="5"/>
  <c r="S15" i="5"/>
  <c r="P16" i="5"/>
  <c r="Q16" i="5"/>
  <c r="R16" i="5"/>
  <c r="S16" i="5"/>
  <c r="P17" i="5"/>
  <c r="Q17" i="5"/>
  <c r="R17" i="5"/>
  <c r="S17" i="5"/>
  <c r="P18" i="5"/>
  <c r="Q18" i="5"/>
  <c r="R18" i="5"/>
  <c r="S18" i="5"/>
  <c r="P19" i="5"/>
  <c r="Q19" i="5"/>
  <c r="R19" i="5"/>
  <c r="S19" i="5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B104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B72" i="3"/>
  <c r="R48" i="3"/>
  <c r="S48" i="3"/>
  <c r="R49" i="3"/>
  <c r="S49" i="3"/>
  <c r="R9" i="3"/>
  <c r="N41" i="9" l="1"/>
  <c r="J41" i="9"/>
  <c r="F41" i="9"/>
  <c r="M41" i="9"/>
  <c r="I41" i="9"/>
  <c r="E41" i="9"/>
  <c r="O41" i="9"/>
  <c r="K40" i="7"/>
  <c r="G40" i="7"/>
  <c r="C40" i="7"/>
  <c r="M40" i="7"/>
  <c r="E40" i="7"/>
  <c r="L40" i="7"/>
  <c r="H40" i="7"/>
  <c r="D40" i="7"/>
  <c r="N40" i="7"/>
  <c r="F40" i="7"/>
  <c r="P34" i="5"/>
  <c r="S41" i="9"/>
  <c r="S40" i="9"/>
  <c r="R40" i="9"/>
  <c r="Q40" i="9"/>
  <c r="P40" i="9"/>
  <c r="S39" i="9"/>
  <c r="R39" i="9"/>
  <c r="Q39" i="9"/>
  <c r="P39" i="9"/>
  <c r="S38" i="9"/>
  <c r="R38" i="9"/>
  <c r="Q38" i="9"/>
  <c r="P38" i="9"/>
  <c r="S37" i="9"/>
  <c r="R37" i="9"/>
  <c r="Q37" i="9"/>
  <c r="P37" i="9"/>
  <c r="S36" i="9"/>
  <c r="R36" i="9"/>
  <c r="Q36" i="9"/>
  <c r="P36" i="9"/>
  <c r="S35" i="9"/>
  <c r="R35" i="9"/>
  <c r="Q35" i="9"/>
  <c r="P35" i="9"/>
  <c r="S34" i="9"/>
  <c r="R34" i="9"/>
  <c r="Q34" i="9"/>
  <c r="P34" i="9"/>
  <c r="R33" i="9"/>
  <c r="Q33" i="9"/>
  <c r="P33" i="9"/>
  <c r="S29" i="9"/>
  <c r="R29" i="9"/>
  <c r="Q29" i="9"/>
  <c r="P29" i="9"/>
  <c r="S28" i="9"/>
  <c r="R28" i="9"/>
  <c r="Q28" i="9"/>
  <c r="P28" i="9"/>
  <c r="S27" i="9"/>
  <c r="R27" i="9"/>
  <c r="Q27" i="9"/>
  <c r="P27" i="9"/>
  <c r="S26" i="9"/>
  <c r="R26" i="9"/>
  <c r="Q26" i="9"/>
  <c r="P26" i="9"/>
  <c r="S25" i="9"/>
  <c r="R25" i="9"/>
  <c r="Q25" i="9"/>
  <c r="S24" i="9"/>
  <c r="R24" i="9"/>
  <c r="Q24" i="9"/>
  <c r="S23" i="9"/>
  <c r="R23" i="9"/>
  <c r="Q23" i="9"/>
  <c r="S22" i="9"/>
  <c r="R22" i="9"/>
  <c r="Q22" i="9"/>
  <c r="S21" i="9"/>
  <c r="R21" i="9"/>
  <c r="Q21" i="9"/>
  <c r="P21" i="9"/>
  <c r="S20" i="9"/>
  <c r="R20" i="9"/>
  <c r="Q20" i="9"/>
  <c r="P20" i="9"/>
  <c r="S16" i="9"/>
  <c r="R16" i="9"/>
  <c r="Q16" i="9"/>
  <c r="P16" i="9"/>
  <c r="S15" i="9"/>
  <c r="R15" i="9"/>
  <c r="Q15" i="9"/>
  <c r="P15" i="9"/>
  <c r="S14" i="9"/>
  <c r="R14" i="9"/>
  <c r="Q14" i="9"/>
  <c r="P14" i="9"/>
  <c r="S13" i="9"/>
  <c r="R13" i="9"/>
  <c r="Q13" i="9"/>
  <c r="P13" i="9"/>
  <c r="S9" i="9"/>
  <c r="R9" i="9"/>
  <c r="Q9" i="9"/>
  <c r="P9" i="9"/>
  <c r="S8" i="9"/>
  <c r="R8" i="9"/>
  <c r="Q8" i="9"/>
  <c r="P8" i="9"/>
  <c r="S7" i="9"/>
  <c r="R7" i="9"/>
  <c r="Q7" i="9"/>
  <c r="S6" i="9"/>
  <c r="R6" i="9"/>
  <c r="Q6" i="9"/>
  <c r="P6" i="9"/>
  <c r="S40" i="7"/>
  <c r="R40" i="7"/>
  <c r="Q40" i="7"/>
  <c r="P40" i="7"/>
  <c r="S39" i="7"/>
  <c r="R39" i="7"/>
  <c r="Q39" i="7"/>
  <c r="P39" i="7"/>
  <c r="S38" i="7"/>
  <c r="R38" i="7"/>
  <c r="Q38" i="7"/>
  <c r="P38" i="7"/>
  <c r="S37" i="7"/>
  <c r="R37" i="7"/>
  <c r="Q37" i="7"/>
  <c r="P37" i="7"/>
  <c r="S36" i="7"/>
  <c r="R36" i="7"/>
  <c r="Q36" i="7"/>
  <c r="P36" i="7"/>
  <c r="S35" i="7"/>
  <c r="R35" i="7"/>
  <c r="Q35" i="7"/>
  <c r="P35" i="7"/>
  <c r="S34" i="7"/>
  <c r="R34" i="7"/>
  <c r="Q34" i="7"/>
  <c r="P34" i="7"/>
  <c r="S29" i="7"/>
  <c r="R29" i="7"/>
  <c r="Q29" i="7"/>
  <c r="P29" i="7"/>
  <c r="S28" i="7"/>
  <c r="R28" i="7"/>
  <c r="Q28" i="7"/>
  <c r="P28" i="7"/>
  <c r="S27" i="7"/>
  <c r="R27" i="7"/>
  <c r="Q27" i="7"/>
  <c r="P27" i="7"/>
  <c r="S26" i="7"/>
  <c r="R26" i="7"/>
  <c r="Q26" i="7"/>
  <c r="P26" i="7"/>
  <c r="S25" i="7"/>
  <c r="R25" i="7"/>
  <c r="Q25" i="7"/>
  <c r="P25" i="7"/>
  <c r="S24" i="7"/>
  <c r="R24" i="7"/>
  <c r="Q24" i="7"/>
  <c r="P24" i="7"/>
  <c r="S23" i="7"/>
  <c r="R23" i="7"/>
  <c r="Q23" i="7"/>
  <c r="P23" i="7"/>
  <c r="S22" i="7"/>
  <c r="R22" i="7"/>
  <c r="Q22" i="7"/>
  <c r="P22" i="7"/>
  <c r="S21" i="7"/>
  <c r="R21" i="7"/>
  <c r="Q21" i="7"/>
  <c r="P21" i="7"/>
  <c r="S20" i="7"/>
  <c r="R20" i="7"/>
  <c r="Q20" i="7"/>
  <c r="P20" i="7"/>
  <c r="S16" i="7"/>
  <c r="R16" i="7"/>
  <c r="Q16" i="7"/>
  <c r="P16" i="7"/>
  <c r="S15" i="7"/>
  <c r="R15" i="7"/>
  <c r="Q15" i="7"/>
  <c r="P15" i="7"/>
  <c r="S14" i="7"/>
  <c r="R14" i="7"/>
  <c r="Q14" i="7"/>
  <c r="P14" i="7"/>
  <c r="R6" i="7"/>
  <c r="Q6" i="7"/>
  <c r="P6" i="7"/>
  <c r="S9" i="7"/>
  <c r="R9" i="7"/>
  <c r="Q9" i="7"/>
  <c r="P9" i="7"/>
  <c r="S8" i="7"/>
  <c r="R8" i="7"/>
  <c r="Q8" i="7"/>
  <c r="P8" i="7"/>
  <c r="S7" i="7"/>
  <c r="R7" i="7"/>
  <c r="Q7" i="7"/>
  <c r="P7" i="7"/>
  <c r="S6" i="7"/>
  <c r="S204" i="5"/>
  <c r="S203" i="5"/>
  <c r="R203" i="5"/>
  <c r="Q203" i="5"/>
  <c r="P203" i="5"/>
  <c r="S202" i="5"/>
  <c r="R202" i="5"/>
  <c r="Q202" i="5"/>
  <c r="P202" i="5"/>
  <c r="S201" i="5"/>
  <c r="R201" i="5"/>
  <c r="Q201" i="5"/>
  <c r="P201" i="5"/>
  <c r="S200" i="5"/>
  <c r="R200" i="5"/>
  <c r="Q200" i="5"/>
  <c r="P200" i="5"/>
  <c r="S199" i="5"/>
  <c r="R199" i="5"/>
  <c r="Q199" i="5"/>
  <c r="P199" i="5"/>
  <c r="S198" i="5"/>
  <c r="R198" i="5"/>
  <c r="Q198" i="5"/>
  <c r="P198" i="5"/>
  <c r="S197" i="5"/>
  <c r="R197" i="5"/>
  <c r="Q197" i="5"/>
  <c r="P197" i="5"/>
  <c r="R193" i="5"/>
  <c r="Q193" i="5"/>
  <c r="P193" i="5"/>
  <c r="R192" i="5"/>
  <c r="Q192" i="5"/>
  <c r="P192" i="5"/>
  <c r="R191" i="5"/>
  <c r="Q191" i="5"/>
  <c r="P191" i="5"/>
  <c r="R187" i="5"/>
  <c r="Q187" i="5"/>
  <c r="P187" i="5"/>
  <c r="R186" i="5"/>
  <c r="Q186" i="5"/>
  <c r="P186" i="5"/>
  <c r="R185" i="5"/>
  <c r="Q185" i="5"/>
  <c r="P185" i="5"/>
  <c r="R181" i="5"/>
  <c r="Q181" i="5"/>
  <c r="P181" i="5"/>
  <c r="R180" i="5"/>
  <c r="Q180" i="5"/>
  <c r="P180" i="5"/>
  <c r="R179" i="5"/>
  <c r="Q179" i="5"/>
  <c r="P179" i="5"/>
  <c r="S175" i="5"/>
  <c r="R175" i="5"/>
  <c r="Q175" i="5"/>
  <c r="P175" i="5"/>
  <c r="S174" i="5"/>
  <c r="R174" i="5"/>
  <c r="Q174" i="5"/>
  <c r="P174" i="5"/>
  <c r="S173" i="5"/>
  <c r="R173" i="5"/>
  <c r="Q173" i="5"/>
  <c r="P173" i="5"/>
  <c r="S169" i="5"/>
  <c r="R169" i="5"/>
  <c r="Q169" i="5"/>
  <c r="P169" i="5"/>
  <c r="S168" i="5"/>
  <c r="R168" i="5"/>
  <c r="Q168" i="5"/>
  <c r="P168" i="5"/>
  <c r="S167" i="5"/>
  <c r="R167" i="5"/>
  <c r="Q167" i="5"/>
  <c r="P167" i="5"/>
  <c r="S166" i="5"/>
  <c r="R166" i="5"/>
  <c r="Q166" i="5"/>
  <c r="P166" i="5"/>
  <c r="S165" i="5"/>
  <c r="R165" i="5"/>
  <c r="Q165" i="5"/>
  <c r="P165" i="5"/>
  <c r="S164" i="5"/>
  <c r="R164" i="5"/>
  <c r="Q164" i="5"/>
  <c r="P164" i="5"/>
  <c r="S163" i="5"/>
  <c r="R163" i="5"/>
  <c r="Q163" i="5"/>
  <c r="P163" i="5"/>
  <c r="S162" i="5"/>
  <c r="R162" i="5"/>
  <c r="Q162" i="5"/>
  <c r="P162" i="5"/>
  <c r="S161" i="5"/>
  <c r="R161" i="5"/>
  <c r="Q161" i="5"/>
  <c r="P161" i="5"/>
  <c r="S160" i="5"/>
  <c r="R160" i="5"/>
  <c r="Q160" i="5"/>
  <c r="P160" i="5"/>
  <c r="S159" i="5"/>
  <c r="R159" i="5"/>
  <c r="Q159" i="5"/>
  <c r="P159" i="5"/>
  <c r="S158" i="5"/>
  <c r="R158" i="5"/>
  <c r="Q158" i="5"/>
  <c r="P158" i="5"/>
  <c r="S157" i="5"/>
  <c r="R157" i="5"/>
  <c r="Q157" i="5"/>
  <c r="P157" i="5"/>
  <c r="S156" i="5"/>
  <c r="R156" i="5"/>
  <c r="Q156" i="5"/>
  <c r="P156" i="5"/>
  <c r="S155" i="5"/>
  <c r="R155" i="5"/>
  <c r="Q155" i="5"/>
  <c r="P155" i="5"/>
  <c r="S154" i="5"/>
  <c r="R154" i="5"/>
  <c r="Q154" i="5"/>
  <c r="P154" i="5"/>
  <c r="S153" i="5"/>
  <c r="R153" i="5"/>
  <c r="Q153" i="5"/>
  <c r="P153" i="5"/>
  <c r="S152" i="5"/>
  <c r="R152" i="5"/>
  <c r="Q152" i="5"/>
  <c r="P152" i="5"/>
  <c r="S151" i="5"/>
  <c r="R151" i="5"/>
  <c r="Q151" i="5"/>
  <c r="P151" i="5"/>
  <c r="S150" i="5"/>
  <c r="R150" i="5"/>
  <c r="Q150" i="5"/>
  <c r="P150" i="5"/>
  <c r="S146" i="5"/>
  <c r="R146" i="5"/>
  <c r="Q146" i="5"/>
  <c r="P146" i="5"/>
  <c r="S145" i="5"/>
  <c r="R145" i="5"/>
  <c r="Q145" i="5"/>
  <c r="P145" i="5"/>
  <c r="S144" i="5"/>
  <c r="R144" i="5"/>
  <c r="Q144" i="5"/>
  <c r="P144" i="5"/>
  <c r="S143" i="5"/>
  <c r="R143" i="5"/>
  <c r="Q143" i="5"/>
  <c r="P143" i="5"/>
  <c r="S142" i="5"/>
  <c r="R142" i="5"/>
  <c r="Q142" i="5"/>
  <c r="P142" i="5"/>
  <c r="S141" i="5"/>
  <c r="R141" i="5"/>
  <c r="Q141" i="5"/>
  <c r="P141" i="5"/>
  <c r="S140" i="5"/>
  <c r="R140" i="5"/>
  <c r="Q140" i="5"/>
  <c r="P140" i="5"/>
  <c r="S139" i="5"/>
  <c r="R139" i="5"/>
  <c r="Q139" i="5"/>
  <c r="P139" i="5"/>
  <c r="S138" i="5"/>
  <c r="R138" i="5"/>
  <c r="Q138" i="5"/>
  <c r="P138" i="5"/>
  <c r="S137" i="5"/>
  <c r="R137" i="5"/>
  <c r="Q137" i="5"/>
  <c r="P137" i="5"/>
  <c r="S136" i="5"/>
  <c r="R136" i="5"/>
  <c r="Q136" i="5"/>
  <c r="P136" i="5"/>
  <c r="S135" i="5"/>
  <c r="R135" i="5"/>
  <c r="Q135" i="5"/>
  <c r="P135" i="5"/>
  <c r="S134" i="5"/>
  <c r="R134" i="5"/>
  <c r="Q134" i="5"/>
  <c r="P134" i="5"/>
  <c r="S133" i="5"/>
  <c r="R133" i="5"/>
  <c r="Q133" i="5"/>
  <c r="P133" i="5"/>
  <c r="S132" i="5"/>
  <c r="R132" i="5"/>
  <c r="Q132" i="5"/>
  <c r="P132" i="5"/>
  <c r="S131" i="5"/>
  <c r="R131" i="5"/>
  <c r="Q131" i="5"/>
  <c r="P131" i="5"/>
  <c r="S130" i="5"/>
  <c r="R130" i="5"/>
  <c r="Q130" i="5"/>
  <c r="P130" i="5"/>
  <c r="S129" i="5"/>
  <c r="R129" i="5"/>
  <c r="Q129" i="5"/>
  <c r="P129" i="5"/>
  <c r="S128" i="5"/>
  <c r="R128" i="5"/>
  <c r="Q128" i="5"/>
  <c r="P128" i="5"/>
  <c r="S127" i="5"/>
  <c r="R127" i="5"/>
  <c r="Q127" i="5"/>
  <c r="P127" i="5"/>
  <c r="P105" i="5"/>
  <c r="Q105" i="5"/>
  <c r="R105" i="5"/>
  <c r="S105" i="5"/>
  <c r="P106" i="5"/>
  <c r="Q106" i="5"/>
  <c r="R106" i="5"/>
  <c r="S106" i="5"/>
  <c r="P107" i="5"/>
  <c r="Q107" i="5"/>
  <c r="R107" i="5"/>
  <c r="S107" i="5"/>
  <c r="P108" i="5"/>
  <c r="Q108" i="5"/>
  <c r="R108" i="5"/>
  <c r="S108" i="5"/>
  <c r="P109" i="5"/>
  <c r="Q109" i="5"/>
  <c r="R109" i="5"/>
  <c r="S109" i="5"/>
  <c r="P110" i="5"/>
  <c r="Q110" i="5"/>
  <c r="R110" i="5"/>
  <c r="S110" i="5"/>
  <c r="P111" i="5"/>
  <c r="Q111" i="5"/>
  <c r="R111" i="5"/>
  <c r="S111" i="5"/>
  <c r="P112" i="5"/>
  <c r="Q112" i="5"/>
  <c r="R112" i="5"/>
  <c r="S112" i="5"/>
  <c r="P113" i="5"/>
  <c r="Q113" i="5"/>
  <c r="R113" i="5"/>
  <c r="S113" i="5"/>
  <c r="P114" i="5"/>
  <c r="Q114" i="5"/>
  <c r="R114" i="5"/>
  <c r="S114" i="5"/>
  <c r="P115" i="5"/>
  <c r="Q115" i="5"/>
  <c r="R115" i="5"/>
  <c r="S115" i="5"/>
  <c r="P116" i="5"/>
  <c r="Q116" i="5"/>
  <c r="R116" i="5"/>
  <c r="S116" i="5"/>
  <c r="P117" i="5"/>
  <c r="Q117" i="5"/>
  <c r="R117" i="5"/>
  <c r="S117" i="5"/>
  <c r="P118" i="5"/>
  <c r="Q118" i="5"/>
  <c r="R118" i="5"/>
  <c r="S118" i="5"/>
  <c r="P119" i="5"/>
  <c r="Q119" i="5"/>
  <c r="R119" i="5"/>
  <c r="S119" i="5"/>
  <c r="P120" i="5"/>
  <c r="Q120" i="5"/>
  <c r="R120" i="5"/>
  <c r="S120" i="5"/>
  <c r="P121" i="5"/>
  <c r="Q121" i="5"/>
  <c r="R121" i="5"/>
  <c r="S121" i="5"/>
  <c r="P122" i="5"/>
  <c r="Q122" i="5"/>
  <c r="R122" i="5"/>
  <c r="S122" i="5"/>
  <c r="P123" i="5"/>
  <c r="Q123" i="5"/>
  <c r="R123" i="5"/>
  <c r="S123" i="5"/>
  <c r="S104" i="5"/>
  <c r="R104" i="5"/>
  <c r="Q104" i="5"/>
  <c r="P104" i="5"/>
  <c r="S100" i="5"/>
  <c r="R100" i="5"/>
  <c r="Q100" i="5"/>
  <c r="P100" i="5"/>
  <c r="S99" i="5"/>
  <c r="R99" i="5"/>
  <c r="Q99" i="5"/>
  <c r="P99" i="5"/>
  <c r="S98" i="5"/>
  <c r="R98" i="5"/>
  <c r="Q98" i="5"/>
  <c r="P98" i="5"/>
  <c r="S97" i="5"/>
  <c r="R97" i="5"/>
  <c r="Q97" i="5"/>
  <c r="P97" i="5"/>
  <c r="S96" i="5"/>
  <c r="R96" i="5"/>
  <c r="Q96" i="5"/>
  <c r="P96" i="5"/>
  <c r="S95" i="5"/>
  <c r="R95" i="5"/>
  <c r="Q95" i="5"/>
  <c r="P95" i="5"/>
  <c r="S94" i="5"/>
  <c r="R94" i="5"/>
  <c r="Q94" i="5"/>
  <c r="P94" i="5"/>
  <c r="S93" i="5"/>
  <c r="R93" i="5"/>
  <c r="Q93" i="5"/>
  <c r="P93" i="5"/>
  <c r="S92" i="5"/>
  <c r="R92" i="5"/>
  <c r="Q92" i="5"/>
  <c r="P92" i="5"/>
  <c r="S91" i="5"/>
  <c r="R91" i="5"/>
  <c r="Q91" i="5"/>
  <c r="P91" i="5"/>
  <c r="S90" i="5"/>
  <c r="R90" i="5"/>
  <c r="Q90" i="5"/>
  <c r="P90" i="5"/>
  <c r="S86" i="5"/>
  <c r="R86" i="5"/>
  <c r="Q86" i="5"/>
  <c r="P86" i="5"/>
  <c r="S85" i="5"/>
  <c r="R85" i="5"/>
  <c r="Q85" i="5"/>
  <c r="P85" i="5"/>
  <c r="S84" i="5"/>
  <c r="R84" i="5"/>
  <c r="Q84" i="5"/>
  <c r="P84" i="5"/>
  <c r="S83" i="5"/>
  <c r="R83" i="5"/>
  <c r="Q83" i="5"/>
  <c r="P83" i="5"/>
  <c r="S82" i="5"/>
  <c r="R82" i="5"/>
  <c r="Q82" i="5"/>
  <c r="P82" i="5"/>
  <c r="S81" i="5"/>
  <c r="R81" i="5"/>
  <c r="Q81" i="5"/>
  <c r="P81" i="5"/>
  <c r="S76" i="5"/>
  <c r="R76" i="5"/>
  <c r="Q76" i="5"/>
  <c r="P76" i="5"/>
  <c r="S75" i="5"/>
  <c r="R75" i="5"/>
  <c r="Q75" i="5"/>
  <c r="P75" i="5"/>
  <c r="S74" i="5"/>
  <c r="R74" i="5"/>
  <c r="Q74" i="5"/>
  <c r="P74" i="5"/>
  <c r="S73" i="5"/>
  <c r="R73" i="5"/>
  <c r="Q73" i="5"/>
  <c r="P73" i="5"/>
  <c r="S72" i="5"/>
  <c r="R72" i="5"/>
  <c r="Q72" i="5"/>
  <c r="P72" i="5"/>
  <c r="S71" i="5"/>
  <c r="R71" i="5"/>
  <c r="Q71" i="5"/>
  <c r="P71" i="5"/>
  <c r="S70" i="5"/>
  <c r="R70" i="5"/>
  <c r="Q70" i="5"/>
  <c r="P70" i="5"/>
  <c r="S69" i="5"/>
  <c r="R69" i="5"/>
  <c r="Q69" i="5"/>
  <c r="P69" i="5"/>
  <c r="S68" i="5"/>
  <c r="R68" i="5"/>
  <c r="Q68" i="5"/>
  <c r="P68" i="5"/>
  <c r="S67" i="5"/>
  <c r="R67" i="5"/>
  <c r="Q67" i="5"/>
  <c r="P67" i="5"/>
  <c r="S66" i="5"/>
  <c r="R66" i="5"/>
  <c r="Q66" i="5"/>
  <c r="P66" i="5"/>
  <c r="S65" i="5"/>
  <c r="R65" i="5"/>
  <c r="Q65" i="5"/>
  <c r="P65" i="5"/>
  <c r="S64" i="5"/>
  <c r="R64" i="5"/>
  <c r="Q64" i="5"/>
  <c r="P64" i="5"/>
  <c r="S63" i="5"/>
  <c r="R63" i="5"/>
  <c r="Q63" i="5"/>
  <c r="P63" i="5"/>
  <c r="S62" i="5"/>
  <c r="R62" i="5"/>
  <c r="Q62" i="5"/>
  <c r="P62" i="5"/>
  <c r="S61" i="5"/>
  <c r="R61" i="5"/>
  <c r="Q61" i="5"/>
  <c r="P61" i="5"/>
  <c r="S60" i="5"/>
  <c r="R60" i="5"/>
  <c r="Q60" i="5"/>
  <c r="P60" i="5"/>
  <c r="S59" i="5"/>
  <c r="R59" i="5"/>
  <c r="Q59" i="5"/>
  <c r="P59" i="5"/>
  <c r="S58" i="5"/>
  <c r="R58" i="5"/>
  <c r="Q58" i="5"/>
  <c r="P58" i="5"/>
  <c r="S55" i="5"/>
  <c r="R55" i="5"/>
  <c r="Q55" i="5"/>
  <c r="P55" i="5"/>
  <c r="S54" i="5"/>
  <c r="R54" i="5"/>
  <c r="Q54" i="5"/>
  <c r="P54" i="5"/>
  <c r="S50" i="5"/>
  <c r="R50" i="5"/>
  <c r="Q50" i="5"/>
  <c r="P50" i="5"/>
  <c r="S49" i="5"/>
  <c r="R49" i="5"/>
  <c r="Q49" i="5"/>
  <c r="P49" i="5"/>
  <c r="S48" i="5"/>
  <c r="R48" i="5"/>
  <c r="Q48" i="5"/>
  <c r="P48" i="5"/>
  <c r="S47" i="5"/>
  <c r="R47" i="5"/>
  <c r="Q47" i="5"/>
  <c r="P47" i="5"/>
  <c r="S46" i="5"/>
  <c r="R46" i="5"/>
  <c r="Q46" i="5"/>
  <c r="P46" i="5"/>
  <c r="S45" i="5"/>
  <c r="R45" i="5"/>
  <c r="Q45" i="5"/>
  <c r="P45" i="5"/>
  <c r="S44" i="5"/>
  <c r="R44" i="5"/>
  <c r="Q44" i="5"/>
  <c r="P44" i="5"/>
  <c r="S43" i="5"/>
  <c r="R43" i="5"/>
  <c r="Q43" i="5"/>
  <c r="P43" i="5"/>
  <c r="S42" i="5"/>
  <c r="R42" i="5"/>
  <c r="Q42" i="5"/>
  <c r="P42" i="5"/>
  <c r="S41" i="5"/>
  <c r="R41" i="5"/>
  <c r="Q41" i="5"/>
  <c r="P41" i="5"/>
  <c r="S40" i="5"/>
  <c r="R40" i="5"/>
  <c r="Q40" i="5"/>
  <c r="P40" i="5"/>
  <c r="S34" i="5"/>
  <c r="R34" i="5"/>
  <c r="Q34" i="5"/>
  <c r="S33" i="5"/>
  <c r="S32" i="5"/>
  <c r="S28" i="5"/>
  <c r="R28" i="5"/>
  <c r="Q28" i="5"/>
  <c r="P28" i="5"/>
  <c r="S27" i="5"/>
  <c r="R27" i="5"/>
  <c r="Q27" i="5"/>
  <c r="P27" i="5"/>
  <c r="S26" i="5"/>
  <c r="R26" i="5"/>
  <c r="Q26" i="5"/>
  <c r="P26" i="5"/>
  <c r="S25" i="5"/>
  <c r="R25" i="5"/>
  <c r="Q25" i="5"/>
  <c r="P25" i="5"/>
  <c r="S24" i="5"/>
  <c r="R24" i="5"/>
  <c r="Q24" i="5"/>
  <c r="P24" i="5"/>
  <c r="S13" i="5"/>
  <c r="R13" i="5"/>
  <c r="Q13" i="5"/>
  <c r="P13" i="5"/>
  <c r="P7" i="5"/>
  <c r="Q7" i="5"/>
  <c r="R7" i="5"/>
  <c r="S7" i="5"/>
  <c r="P8" i="5"/>
  <c r="Q8" i="5"/>
  <c r="R8" i="5"/>
  <c r="S8" i="5"/>
  <c r="P9" i="5"/>
  <c r="Q9" i="5"/>
  <c r="R9" i="5"/>
  <c r="S9" i="5"/>
  <c r="S6" i="5"/>
  <c r="R6" i="5"/>
  <c r="Q6" i="5"/>
  <c r="P6" i="5"/>
  <c r="S113" i="3"/>
  <c r="R113" i="3"/>
  <c r="Q113" i="3"/>
  <c r="P113" i="3"/>
  <c r="S112" i="3"/>
  <c r="R112" i="3"/>
  <c r="Q112" i="3"/>
  <c r="P112" i="3"/>
  <c r="S111" i="3"/>
  <c r="R111" i="3"/>
  <c r="Q111" i="3"/>
  <c r="P111" i="3"/>
  <c r="S110" i="3"/>
  <c r="R110" i="3"/>
  <c r="Q110" i="3"/>
  <c r="P110" i="3"/>
  <c r="S109" i="3"/>
  <c r="R109" i="3"/>
  <c r="Q109" i="3"/>
  <c r="P109" i="3"/>
  <c r="S108" i="3"/>
  <c r="R108" i="3"/>
  <c r="Q108" i="3"/>
  <c r="P108" i="3"/>
  <c r="S104" i="3"/>
  <c r="R104" i="3"/>
  <c r="Q104" i="3"/>
  <c r="P104" i="3"/>
  <c r="S103" i="3"/>
  <c r="R103" i="3"/>
  <c r="Q103" i="3"/>
  <c r="P103" i="3"/>
  <c r="S102" i="3"/>
  <c r="R102" i="3"/>
  <c r="Q102" i="3"/>
  <c r="P102" i="3"/>
  <c r="S101" i="3"/>
  <c r="R101" i="3"/>
  <c r="Q101" i="3"/>
  <c r="P101" i="3"/>
  <c r="S100" i="3"/>
  <c r="R100" i="3"/>
  <c r="Q100" i="3"/>
  <c r="P100" i="3"/>
  <c r="S99" i="3"/>
  <c r="R99" i="3"/>
  <c r="Q99" i="3"/>
  <c r="P99" i="3"/>
  <c r="S98" i="3"/>
  <c r="R98" i="3"/>
  <c r="Q98" i="3"/>
  <c r="P98" i="3"/>
  <c r="S97" i="3"/>
  <c r="R97" i="3"/>
  <c r="Q97" i="3"/>
  <c r="P97" i="3"/>
  <c r="S96" i="3"/>
  <c r="R96" i="3"/>
  <c r="Q96" i="3"/>
  <c r="P96" i="3"/>
  <c r="S95" i="3"/>
  <c r="R95" i="3"/>
  <c r="Q95" i="3"/>
  <c r="P95" i="3"/>
  <c r="S94" i="3"/>
  <c r="R94" i="3"/>
  <c r="Q94" i="3"/>
  <c r="P94" i="3"/>
  <c r="S93" i="3"/>
  <c r="R93" i="3"/>
  <c r="Q93" i="3"/>
  <c r="P93" i="3"/>
  <c r="S92" i="3"/>
  <c r="R92" i="3"/>
  <c r="Q92" i="3"/>
  <c r="P92" i="3"/>
  <c r="S91" i="3"/>
  <c r="R91" i="3"/>
  <c r="Q91" i="3"/>
  <c r="P91" i="3"/>
  <c r="S90" i="3"/>
  <c r="R90" i="3"/>
  <c r="Q90" i="3"/>
  <c r="P90" i="3"/>
  <c r="S89" i="3"/>
  <c r="R89" i="3"/>
  <c r="Q89" i="3"/>
  <c r="P89" i="3"/>
  <c r="S88" i="3"/>
  <c r="R88" i="3"/>
  <c r="Q88" i="3"/>
  <c r="P88" i="3"/>
  <c r="S83" i="3"/>
  <c r="R83" i="3"/>
  <c r="Q83" i="3"/>
  <c r="S82" i="3"/>
  <c r="R82" i="3"/>
  <c r="Q82" i="3"/>
  <c r="S81" i="3"/>
  <c r="R81" i="3"/>
  <c r="Q81" i="3"/>
  <c r="S80" i="3"/>
  <c r="R80" i="3"/>
  <c r="Q80" i="3"/>
  <c r="S79" i="3"/>
  <c r="R79" i="3"/>
  <c r="Q79" i="3"/>
  <c r="S78" i="3"/>
  <c r="R78" i="3"/>
  <c r="Q78" i="3"/>
  <c r="S77" i="3"/>
  <c r="R77" i="3"/>
  <c r="Q77" i="3"/>
  <c r="S76" i="3"/>
  <c r="R76" i="3"/>
  <c r="Q76" i="3"/>
  <c r="S72" i="3"/>
  <c r="R72" i="3"/>
  <c r="Q72" i="3"/>
  <c r="P72" i="3"/>
  <c r="S71" i="3"/>
  <c r="R71" i="3"/>
  <c r="Q71" i="3"/>
  <c r="P71" i="3"/>
  <c r="S70" i="3"/>
  <c r="R70" i="3"/>
  <c r="Q70" i="3"/>
  <c r="P70" i="3"/>
  <c r="S65" i="3"/>
  <c r="R65" i="3"/>
  <c r="Q65" i="3"/>
  <c r="P65" i="3"/>
  <c r="S64" i="3"/>
  <c r="R64" i="3"/>
  <c r="Q64" i="3"/>
  <c r="P64" i="3"/>
  <c r="S63" i="3"/>
  <c r="R63" i="3"/>
  <c r="Q63" i="3"/>
  <c r="P63" i="3"/>
  <c r="S62" i="3"/>
  <c r="R62" i="3"/>
  <c r="Q62" i="3"/>
  <c r="P62" i="3"/>
  <c r="S61" i="3"/>
  <c r="R61" i="3"/>
  <c r="Q61" i="3"/>
  <c r="P61" i="3"/>
  <c r="S60" i="3"/>
  <c r="R60" i="3"/>
  <c r="Q60" i="3"/>
  <c r="P60" i="3"/>
  <c r="S59" i="3"/>
  <c r="R59" i="3"/>
  <c r="Q59" i="3"/>
  <c r="P59" i="3"/>
  <c r="S58" i="3"/>
  <c r="R58" i="3"/>
  <c r="Q58" i="3"/>
  <c r="P58" i="3"/>
  <c r="S57" i="3"/>
  <c r="R57" i="3"/>
  <c r="Q57" i="3"/>
  <c r="P57" i="3"/>
  <c r="S56" i="3"/>
  <c r="R56" i="3"/>
  <c r="Q56" i="3"/>
  <c r="P56" i="3"/>
  <c r="S55" i="3"/>
  <c r="R55" i="3"/>
  <c r="Q55" i="3"/>
  <c r="P55" i="3"/>
  <c r="S54" i="3"/>
  <c r="R54" i="3"/>
  <c r="Q54" i="3"/>
  <c r="P54" i="3"/>
  <c r="S53" i="3"/>
  <c r="R53" i="3"/>
  <c r="Q53" i="3"/>
  <c r="P53" i="3"/>
  <c r="S52" i="3"/>
  <c r="R52" i="3"/>
  <c r="Q52" i="3"/>
  <c r="S51" i="3"/>
  <c r="R51" i="3"/>
  <c r="Q51" i="3"/>
  <c r="P51" i="3"/>
  <c r="S50" i="3"/>
  <c r="R50" i="3"/>
  <c r="Q50" i="3"/>
  <c r="P50" i="3"/>
  <c r="S47" i="3"/>
  <c r="R47" i="3"/>
  <c r="Q47" i="3"/>
  <c r="P47" i="3"/>
  <c r="S46" i="3"/>
  <c r="R46" i="3"/>
  <c r="Q46" i="3"/>
  <c r="P46" i="3"/>
  <c r="S45" i="3"/>
  <c r="R45" i="3"/>
  <c r="Q45" i="3"/>
  <c r="P45" i="3"/>
  <c r="S40" i="3"/>
  <c r="R40" i="3"/>
  <c r="Q40" i="3"/>
  <c r="P40" i="3"/>
  <c r="S39" i="3"/>
  <c r="R39" i="3"/>
  <c r="Q39" i="3"/>
  <c r="P39" i="3"/>
  <c r="S38" i="3"/>
  <c r="R38" i="3"/>
  <c r="Q38" i="3"/>
  <c r="P38" i="3"/>
  <c r="S37" i="3"/>
  <c r="R37" i="3"/>
  <c r="Q37" i="3"/>
  <c r="P37" i="3"/>
  <c r="S36" i="3"/>
  <c r="R36" i="3"/>
  <c r="Q36" i="3"/>
  <c r="P36" i="3"/>
  <c r="S34" i="3"/>
  <c r="R34" i="3"/>
  <c r="Q34" i="3"/>
  <c r="P34" i="3"/>
  <c r="S30" i="3"/>
  <c r="R30" i="3"/>
  <c r="Q30" i="3"/>
  <c r="P30" i="3"/>
  <c r="S29" i="3"/>
  <c r="R29" i="3"/>
  <c r="Q29" i="3"/>
  <c r="P29" i="3"/>
  <c r="S28" i="3"/>
  <c r="R28" i="3"/>
  <c r="Q28" i="3"/>
  <c r="P28" i="3"/>
  <c r="S27" i="3"/>
  <c r="R27" i="3"/>
  <c r="Q27" i="3"/>
  <c r="P27" i="3"/>
  <c r="S26" i="3"/>
  <c r="R26" i="3"/>
  <c r="Q26" i="3"/>
  <c r="P26" i="3"/>
  <c r="S25" i="3"/>
  <c r="R25" i="3"/>
  <c r="Q25" i="3"/>
  <c r="S24" i="3"/>
  <c r="R24" i="3"/>
  <c r="Q24" i="3"/>
  <c r="P24" i="3"/>
  <c r="S23" i="3"/>
  <c r="R23" i="3"/>
  <c r="Q23" i="3"/>
  <c r="P23" i="3"/>
  <c r="S22" i="3"/>
  <c r="R22" i="3"/>
  <c r="Q22" i="3"/>
  <c r="P22" i="3"/>
  <c r="S21" i="3"/>
  <c r="R21" i="3"/>
  <c r="Q21" i="3"/>
  <c r="P21" i="3"/>
  <c r="S20" i="3"/>
  <c r="R20" i="3"/>
  <c r="Q20" i="3"/>
  <c r="P20" i="3"/>
  <c r="S16" i="3"/>
  <c r="R16" i="3"/>
  <c r="Q16" i="3"/>
  <c r="P16" i="3"/>
  <c r="S15" i="3"/>
  <c r="R15" i="3"/>
  <c r="Q15" i="3"/>
  <c r="P15" i="3"/>
  <c r="S14" i="3"/>
  <c r="R14" i="3"/>
  <c r="Q14" i="3"/>
  <c r="P14" i="3"/>
  <c r="S13" i="3"/>
  <c r="R13" i="3"/>
  <c r="Q13" i="3"/>
  <c r="P13" i="3"/>
  <c r="P7" i="3"/>
  <c r="P8" i="3"/>
  <c r="P9" i="3"/>
  <c r="P6" i="3"/>
  <c r="Q7" i="3"/>
  <c r="Q8" i="3"/>
  <c r="Q9" i="3"/>
  <c r="Q6" i="3"/>
  <c r="R6" i="3"/>
  <c r="S6" i="3"/>
  <c r="R7" i="3"/>
  <c r="R8" i="3"/>
  <c r="S7" i="3"/>
  <c r="S8" i="3"/>
  <c r="S9" i="3"/>
  <c r="R41" i="9" l="1"/>
  <c r="P204" i="5" l="1"/>
  <c r="Q204" i="5"/>
  <c r="R204" i="5"/>
  <c r="P33" i="5" l="1"/>
  <c r="Q33" i="5"/>
  <c r="R33" i="5"/>
  <c r="R32" i="5"/>
  <c r="P32" i="5"/>
  <c r="Q32" i="5"/>
  <c r="P41" i="9" l="1"/>
  <c r="Q41" i="9"/>
</calcChain>
</file>

<file path=xl/connections.xml><?xml version="1.0" encoding="utf-8"?>
<connections xmlns="http://schemas.openxmlformats.org/spreadsheetml/2006/main">
  <connection id="1" sourceFile="C:\Users\andres.leal\Desktop\Titulados\Copia de TIT_WEB_2019(TITULADOS 2007 - 2018)_03-06-2019.xlsx" keepAlive="1" name="Copia de TIT_WEB_2019(TITULADOS 2007 - 2018)_03-06-2019" type="5" refreshedVersion="6" background="1">
    <dbPr connection="Provider=Microsoft.ACE.OLEDB.12.0;User ID=Admin;Data Source=C:\Users\andres.leal\Desktop\Titulados\Copia de TIT_WEB_2019(TITULADOS 2007 - 2018)_03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$" commandType="3"/>
  </connection>
  <connection id="2" sourceFile="C:\Users\andres.leal\Desktop\Titulados\TIT_2019_TITULADOS 2007-2018_21-06-2019.xlsx" keepAlive="1" name="TIT_2019_TITULADOS 2007-2018_21-06-2019" type="5" refreshedVersion="6" background="1">
    <dbPr connection="Provider=Microsoft.ACE.OLEDB.12.0;User ID=Admin;Data Source=C:\Users\andres.leal\Desktop\Titulados\TIT_2019_TITULADOS 2007-2018_21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" commandType="3"/>
  </connection>
  <connection id="3" sourceFile="C:\Users\andres.leal\Desktop\Titulados\TIT_2019_TITULADOS 2007-2018_21-06-2019.xlsx" keepAlive="1" name="TIT_2019_TITULADOS 2007-2018_21-06-20191" type="5" refreshedVersion="6" background="1">
    <dbPr connection="Provider=Microsoft.ACE.OLEDB.12.0;User ID=Admin;Data Source=C:\Users\andres.leal\Desktop\Titulados\TIT_2019_TITULADOS 2007-2018_21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$" commandType="3"/>
  </connection>
  <connection id="4" sourceFile="C:\Users\andres.leal\Desktop\Titulados\TIT_WEB_2019 (TITULADOS 2007 - 2018)_04-06-2019_2020.xlsx" keepAlive="1" name="TIT_WEB_2019 (TITULADOS 2007 - 2018)_04-06-2019_2020" type="5" refreshedVersion="6" background="1">
    <dbPr connection="Provider=Microsoft.ACE.OLEDB.12.0;User ID=Admin;Data Source=C:\Users\andres.leal\Desktop\Titulados\TIT_WEB_2019 (TITULADOS 2007 - 2018)_04-06-2019_2020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Titulados Web 2009$'" commandType="3"/>
  </connection>
  <connection id="5" sourceFile="C:\Users\andres.leal\Desktop\Titulados\TIT_WEB_2019(TITULADOS 2007 - 2018)_03-06-2019.xlsx" keepAlive="1" name="TIT_WEB_2019(TITULADOS 2007 - 2018)_03-06-2019" type="5" refreshedVersion="6" background="1">
    <dbPr connection="Provider=Microsoft.ACE.OLEDB.12.0;User ID=Admin;Data Source=C:\Users\andres.leal\Desktop\Titulados\TIT_WEB_2019(TITULADOS 2007 - 2018)_03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_TITULADOS_2007___2018_" commandType="3"/>
  </connection>
  <connection id="6" sourceFile="C:\Users\andres.leal\Desktop\Titulados\TIT_WEB_2019(TITULADOS 2007 - 2018)_03-06-2019_final.xlsx" keepAlive="1" name="TIT_WEB_2019(TITULADOS 2007 - 2018)_03-06-2019_final" type="5" refreshedVersion="6" background="1">
    <dbPr connection="Provider=Microsoft.ACE.OLEDB.12.0;User ID=Admin;Data Source=C:\Users\andres.leal\Desktop\Titulados\TIT_WEB_2019(TITULADOS 2007 - 2018)_03-06-2019_final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$" commandType="3"/>
  </connection>
  <connection id="7" sourceFile="C:\Users\andres.leal\Desktop\Titulados\TIT_WEB_2019(TITULADOS 2007- 2018).xlsx" keepAlive="1" name="TIT_WEB_2019(TITULADOS 2007- 2018)" type="5" refreshedVersion="6" background="1">
    <dbPr connection="Provider=Microsoft.ACE.OLEDB.12.0;User ID=Admin;Data Source=C:\Users\andres.leal\Desktop\Titulados\TIT_WEB_2019(TITULADOS 2007- 2018)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uladosweb$" commandType="3"/>
  </connection>
</connections>
</file>

<file path=xl/sharedStrings.xml><?xml version="1.0" encoding="utf-8"?>
<sst xmlns="http://schemas.openxmlformats.org/spreadsheetml/2006/main" count="1229" uniqueCount="431">
  <si>
    <t>Tipo de institución</t>
  </si>
  <si>
    <t>Pregrado</t>
  </si>
  <si>
    <t>Posgrado</t>
  </si>
  <si>
    <t>Postítulo</t>
  </si>
  <si>
    <t>Total general</t>
  </si>
  <si>
    <t>Centros de Formación Técnica</t>
  </si>
  <si>
    <t>Institutos Profesionales</t>
  </si>
  <si>
    <t>Universidades</t>
  </si>
  <si>
    <t>Titulación Total</t>
  </si>
  <si>
    <t>Región</t>
  </si>
  <si>
    <t>Área</t>
  </si>
  <si>
    <t>Administración y Comercio</t>
  </si>
  <si>
    <t>Agropecuaria</t>
  </si>
  <si>
    <t>Arte y Arquitectura</t>
  </si>
  <si>
    <t>Ciencias Básicas</t>
  </si>
  <si>
    <t>Ciencias Sociales</t>
  </si>
  <si>
    <t>Derecho</t>
  </si>
  <si>
    <t>Educación</t>
  </si>
  <si>
    <t>Humanidades</t>
  </si>
  <si>
    <t>Salud</t>
  </si>
  <si>
    <t>Tecnología</t>
  </si>
  <si>
    <t>Volver al índice</t>
  </si>
  <si>
    <t xml:space="preserve">Evolución de Titulación Total por tipo de institución </t>
  </si>
  <si>
    <t>Tipo de institución y grado</t>
  </si>
  <si>
    <t>n/a</t>
  </si>
  <si>
    <t>Evolución de Titulación Total por rango de edad y/o promedio de edad</t>
  </si>
  <si>
    <t>Rango de edad</t>
  </si>
  <si>
    <t>15 a 19 años</t>
  </si>
  <si>
    <t>20 a 24 años</t>
  </si>
  <si>
    <t>25 a 29 años</t>
  </si>
  <si>
    <t>30 a 34 años</t>
  </si>
  <si>
    <t>35 a 39 años</t>
  </si>
  <si>
    <t>40 y más años</t>
  </si>
  <si>
    <t>Sin información</t>
  </si>
  <si>
    <t>Evolución de Titulación Total por región</t>
  </si>
  <si>
    <t>Promedio de Edad</t>
  </si>
  <si>
    <t>Tipo de carrera</t>
  </si>
  <si>
    <t>Técnico de Nivel Superior</t>
  </si>
  <si>
    <t>Profesional sin licenciatura previa</t>
  </si>
  <si>
    <t>Licenciatura no conducente a título</t>
  </si>
  <si>
    <t>Profesional con licenciatura previa</t>
  </si>
  <si>
    <t>Jornada</t>
  </si>
  <si>
    <t>Diurno</t>
  </si>
  <si>
    <t>Vespertino</t>
  </si>
  <si>
    <t>Otro</t>
  </si>
  <si>
    <t>Evolución de Titulación Total de Pregrado por tipo de institución</t>
  </si>
  <si>
    <t>Evolución de Titulación Total de Pregrado por tipo de carrera</t>
  </si>
  <si>
    <t>Carreras Profesionales Universitarias**</t>
  </si>
  <si>
    <t>Tipo de institución y carrera</t>
  </si>
  <si>
    <t>Evolución de Titulación Total de Pregrado por jornada</t>
  </si>
  <si>
    <t>Evolución de Titulación Total de Pregrado por área</t>
  </si>
  <si>
    <t>Carreras</t>
  </si>
  <si>
    <t>Técnico en Enfermería</t>
  </si>
  <si>
    <t>Técnico en Prevención de Riesgos</t>
  </si>
  <si>
    <t>Técnico en Administración de Empresas</t>
  </si>
  <si>
    <t>Técnico Asistente del Educador de Párvulos</t>
  </si>
  <si>
    <t>Técnico en Gastronomía y Cocina</t>
  </si>
  <si>
    <t>Técnico en Mecánica Automotriz</t>
  </si>
  <si>
    <t>Técnico en Turismo y Hotelería</t>
  </si>
  <si>
    <t>Técnico Asistente del Educador Diferencial</t>
  </si>
  <si>
    <t>Técnico en Mantenimiento Industrial</t>
  </si>
  <si>
    <t>Técnico Dental y Asistente de Odontología</t>
  </si>
  <si>
    <t>Técnico en Electricidad y Electricidad Industrial</t>
  </si>
  <si>
    <t>Técnico Agropecuario</t>
  </si>
  <si>
    <t>Técnico en Construcción y Obras Civiles</t>
  </si>
  <si>
    <t>Técnico en Administración de Recursos Humanos y Personal</t>
  </si>
  <si>
    <t>Técnico en Contabilidad General</t>
  </si>
  <si>
    <t>Técnico en Instrumentación, Automatización y Control Industrial</t>
  </si>
  <si>
    <t>Ingeniería en Prevención de Riesgos</t>
  </si>
  <si>
    <t>Administración de Empresas e Ing. Asociadas</t>
  </si>
  <si>
    <t>Trabajo Social</t>
  </si>
  <si>
    <t>Contador Auditor</t>
  </si>
  <si>
    <t>Psicopedagogía</t>
  </si>
  <si>
    <t>Ingeniería en Computación e Informática</t>
  </si>
  <si>
    <t>Ingeniería en Mecánica Automotriz</t>
  </si>
  <si>
    <t>Pedagogía en Educación de Párvulos</t>
  </si>
  <si>
    <t>Técnico en Servicio Social</t>
  </si>
  <si>
    <t>Construcción Civil</t>
  </si>
  <si>
    <t>Ingeniería Comercial</t>
  </si>
  <si>
    <t>Ingeniería Civil Industrial</t>
  </si>
  <si>
    <t>Enfermería</t>
  </si>
  <si>
    <t>Psicología</t>
  </si>
  <si>
    <t>Pedagogía en Educación Básica</t>
  </si>
  <si>
    <t>Pedagogía en Educación Física</t>
  </si>
  <si>
    <t>Pedagogía en Educación Diferencial</t>
  </si>
  <si>
    <t>Nutrición y Dietética</t>
  </si>
  <si>
    <t>Evolución de Titulación Total de Pregrado por rango de edad</t>
  </si>
  <si>
    <t>Doctorado</t>
  </si>
  <si>
    <t>Magíster</t>
  </si>
  <si>
    <t>Tipo de programa</t>
  </si>
  <si>
    <t>Tipo de institución y programa</t>
  </si>
  <si>
    <t>Especialidad médica u odontológica</t>
  </si>
  <si>
    <t>Diplomado (superior a un semestre)</t>
  </si>
  <si>
    <t xml:space="preserve">Sin información </t>
  </si>
  <si>
    <t>Evolución de Titulación Total de Postítulo por tipo de institución</t>
  </si>
  <si>
    <t>Evolución de Titulación Total de Postítulo por tipo de programa</t>
  </si>
  <si>
    <t>Nombre de la institución</t>
  </si>
  <si>
    <t>CFT ALPES</t>
  </si>
  <si>
    <t>CFT CAMARA DE COMERCIO DE SANTIAGO</t>
  </si>
  <si>
    <t>CFT CEDUC - UCN</t>
  </si>
  <si>
    <t>CFT CEITEC</t>
  </si>
  <si>
    <t>CFT CENCO</t>
  </si>
  <si>
    <t>CFT CENTRO TECNOLOGICO SUPERIOR INFOMED</t>
  </si>
  <si>
    <t>CFT DE ENAC</t>
  </si>
  <si>
    <t>CFT DE TARAPACA</t>
  </si>
  <si>
    <t>CFT DEL MEDIO AMBIENTE</t>
  </si>
  <si>
    <t>CFT DUOC UC</t>
  </si>
  <si>
    <t>CFT EDUCAP</t>
  </si>
  <si>
    <t>CFT INACAP</t>
  </si>
  <si>
    <t>CFT INSTITUTO CENTRAL DE CAPACITACION EDUCACIONAL ICCE</t>
  </si>
  <si>
    <t>CFT INSTITUTO SUPERIOR DE ESTUDIOS JURIDICOS CANON</t>
  </si>
  <si>
    <t>CFT INSTITUTO TECNOLOGICO DE CHILE - I.T.C.</t>
  </si>
  <si>
    <t>CFT IPROSEC</t>
  </si>
  <si>
    <t>CFT JUAN BOHON</t>
  </si>
  <si>
    <t>CFT LAPLACE</t>
  </si>
  <si>
    <t>CFT LOS LAGOS</t>
  </si>
  <si>
    <t>CFT LOTA-ARAUCO</t>
  </si>
  <si>
    <t>CFT MANPOWER</t>
  </si>
  <si>
    <t>CFT MASSACHUSETTS</t>
  </si>
  <si>
    <t>CFT PROANDES</t>
  </si>
  <si>
    <t>CFT PRODATA</t>
  </si>
  <si>
    <t>CFT PROFASOC</t>
  </si>
  <si>
    <t>CFT SANTO TOMAS</t>
  </si>
  <si>
    <t>CFT TEODORO WICKEL KLUWEN</t>
  </si>
  <si>
    <t>IP AGRARIO ADOLFO MATTHEI</t>
  </si>
  <si>
    <t>IP AIEP</t>
  </si>
  <si>
    <t>IP CARLOS CASANUEVA</t>
  </si>
  <si>
    <t>IP CIISA</t>
  </si>
  <si>
    <t>IP DE ARTE Y COMUNICACION ARCOS</t>
  </si>
  <si>
    <t>IP DE CHILE</t>
  </si>
  <si>
    <t>IP DE CIENCIAS DE LA COMPUTACION ACUARIO DATA</t>
  </si>
  <si>
    <t>IP DEL COMERCIO</t>
  </si>
  <si>
    <t>IP DEL VALLE CENTRAL</t>
  </si>
  <si>
    <t>IP DIEGO PORTALES</t>
  </si>
  <si>
    <t>IP DR. VIRGINIO GOMEZ G.</t>
  </si>
  <si>
    <t>IP DUOC UC</t>
  </si>
  <si>
    <t>IP EATRI INSTITUTO PROFESIONAL</t>
  </si>
  <si>
    <t>IP ESCUELA DE CONTADORES AUDITORES DE SANTIAGO</t>
  </si>
  <si>
    <t>IP ESCUELA MODERNA DE MUSICA</t>
  </si>
  <si>
    <t>IP ESUCOMEX</t>
  </si>
  <si>
    <t>IP INACAP</t>
  </si>
  <si>
    <t>IP INSTITUTO DE ESTUDIOS BANCARIOS GUILLERMO SUBERCASEAUX</t>
  </si>
  <si>
    <t>IP INSTITUTO INTERNACIONAL DE ARTES CULINARIAS Y SERVICIOS</t>
  </si>
  <si>
    <t>IP INSTITUTO NACIONAL DEL FUTBOL</t>
  </si>
  <si>
    <t>IP INSTITUTO SUPERIOR DE ARTES Y CIENCIAS DE LA COMUNICACION</t>
  </si>
  <si>
    <t>IP IPG</t>
  </si>
  <si>
    <t>IP LIBERTADOR DE LOS ANDES</t>
  </si>
  <si>
    <t>IP LOS LAGOS</t>
  </si>
  <si>
    <t>IP LOS LEONES</t>
  </si>
  <si>
    <t>IP PROVIDENCIA</t>
  </si>
  <si>
    <t>IP SANTO TOMAS</t>
  </si>
  <si>
    <t>IP VERTICAL</t>
  </si>
  <si>
    <t>PONTIFICIA UNIVERSIDAD CATOLICA DE CHILE</t>
  </si>
  <si>
    <t>PONTIFICIA UNIVERSIDAD CATOLICA DE VALPARAISO</t>
  </si>
  <si>
    <t>UNIVERSIDAD ACADEMIA DE HUMANISMO CRISTIANO</t>
  </si>
  <si>
    <t>UNIVERSIDAD ADOLFO IBAÑEZ</t>
  </si>
  <si>
    <t>UNIVERSIDAD ADVENTISTA DE CHILE</t>
  </si>
  <si>
    <t>UNIVERSIDAD ALBERTO HURTADO</t>
  </si>
  <si>
    <t>UNIVERSIDAD ANDRES BELLO</t>
  </si>
  <si>
    <t>UNIVERSIDAD ARTURO PRAT</t>
  </si>
  <si>
    <t>UNIVERSIDAD AUSTRAL DE CHILE</t>
  </si>
  <si>
    <t>UNIVERSIDAD AUTONOMA DE CHILE</t>
  </si>
  <si>
    <t>UNIVERSIDAD BERNARDO O'HIGGINS</t>
  </si>
  <si>
    <t>UNIVERSIDAD BOLIVARIANA</t>
  </si>
  <si>
    <t>UNIVERSIDAD CATOLICA DE LA SANTISIMA CONCEPCION</t>
  </si>
  <si>
    <t>UNIVERSIDAD CATOLICA DE TEMUCO</t>
  </si>
  <si>
    <t>UNIVERSIDAD CATOLICA DEL MAULE</t>
  </si>
  <si>
    <t>UNIVERSIDAD CATOLICA DEL NORTE</t>
  </si>
  <si>
    <t>UNIVERSIDAD CENTRAL DE CHILE</t>
  </si>
  <si>
    <t>UNIVERSIDAD CHILENO BRITANICA DE CULTURA</t>
  </si>
  <si>
    <t>UNIVERSIDAD DE ACONCAGUA</t>
  </si>
  <si>
    <t>UNIVERSIDAD DE ANTOFAGASTA</t>
  </si>
  <si>
    <t>UNIVERSIDAD DE ARTES, CIENCIAS Y COMUNICACION - UNIACC</t>
  </si>
  <si>
    <t>UNIVERSIDAD DE ATACAMA</t>
  </si>
  <si>
    <t>UNIVERSIDAD DE CHILE</t>
  </si>
  <si>
    <t>UNIVERSIDAD DE CONCEPCION</t>
  </si>
  <si>
    <t>UNIVERSIDAD DE LA FRONTERA</t>
  </si>
  <si>
    <t>UNIVERSIDAD DE LA SERENA</t>
  </si>
  <si>
    <t>UNIVERSIDAD DE LAS AMERICAS</t>
  </si>
  <si>
    <t>UNIVERSIDAD DE LOS ANDES</t>
  </si>
  <si>
    <t>UNIVERSIDAD DE LOS LAGOS</t>
  </si>
  <si>
    <t>UNIVERSIDAD DE MAGALLANES</t>
  </si>
  <si>
    <t>UNIVERSIDAD DE PLAYA ANCHA DE CIENCIAS DE LA EDUCACION</t>
  </si>
  <si>
    <t>UNIVERSIDAD DE SANTIAGO DE CHILE</t>
  </si>
  <si>
    <t>UNIVERSIDAD DE TALCA</t>
  </si>
  <si>
    <t>UNIVERSIDAD DE TARAPACA</t>
  </si>
  <si>
    <t>UNIVERSIDAD DE VALPARAISO</t>
  </si>
  <si>
    <t>UNIVERSIDAD DE VIÑA DEL MAR</t>
  </si>
  <si>
    <t>UNIVERSIDAD DEL BIO-BIO</t>
  </si>
  <si>
    <t>UNIVERSIDAD DEL DESARROLLO</t>
  </si>
  <si>
    <t>UNIVERSIDAD DIEGO PORTALES</t>
  </si>
  <si>
    <t>UNIVERSIDAD FINIS TERRAE</t>
  </si>
  <si>
    <t>UNIVERSIDAD GABRIELA MISTRAL</t>
  </si>
  <si>
    <t>UNIVERSIDAD LOS LEONES</t>
  </si>
  <si>
    <t>UNIVERSIDAD MAYOR</t>
  </si>
  <si>
    <t>UNIVERSIDAD METROPOLITANA DE CIENCIAS DE LA EDUCACION</t>
  </si>
  <si>
    <t>UNIVERSIDAD MIGUEL DE CERVANTES</t>
  </si>
  <si>
    <t>UNIVERSIDAD PEDRO DE VALDIVIA</t>
  </si>
  <si>
    <t>UNIVERSIDAD SAN SEBASTIAN</t>
  </si>
  <si>
    <t>UNIVERSIDAD SANTO TOMAS</t>
  </si>
  <si>
    <t>UNIVERSIDAD SEK</t>
  </si>
  <si>
    <t>UNIVERSIDAD TECNICA FEDERICO SANTA MARIA</t>
  </si>
  <si>
    <t>UNIVERSIDAD TECNOLOGICA DE CHILE INACAP</t>
  </si>
  <si>
    <t>UNIVERSIDAD TECNOLOGICA METROPOLITANA</t>
  </si>
  <si>
    <t xml:space="preserve">Hoja </t>
  </si>
  <si>
    <t>Tabla</t>
  </si>
  <si>
    <t>Contenido</t>
  </si>
  <si>
    <t>Indice de Tablas</t>
  </si>
  <si>
    <t>Evolución de Titulación Total de Pregrado por tipo de institución 2</t>
  </si>
  <si>
    <t>Evolución de Titulación Total de Pregrado por tipo de carrera (técnico y profesional)</t>
  </si>
  <si>
    <t>Evolución de Titulación Total de Pregrado en carreras de mayor titulación - CFT</t>
  </si>
  <si>
    <t>Evolución de Titulación Total de Pregrado en carreras de mayor titulación - IP</t>
  </si>
  <si>
    <t>Evolución de Titulación Total de Pregrado en carreras de mayor titulación - Universidades</t>
  </si>
  <si>
    <t xml:space="preserve">Evolución de Titulación Total de Posgrado por tipo de programa </t>
  </si>
  <si>
    <t>Mujeres</t>
  </si>
  <si>
    <t>Hombres</t>
  </si>
  <si>
    <t>Evolución de Titulación Total por sexo</t>
  </si>
  <si>
    <t>Evolución de Titulación Total por tipo de institución 2</t>
  </si>
  <si>
    <t xml:space="preserve">Evolución de Titulación Total por tipo de institución 2 </t>
  </si>
  <si>
    <t>Profesional sin licenciatura</t>
  </si>
  <si>
    <t>Profesional con licenciatura</t>
  </si>
  <si>
    <t>Evolución de Titulación Total de Pregrado por tipo de institución y tipo de carrera</t>
  </si>
  <si>
    <t>Evolución de Titulación Total de Pregrado por tipo de institución 2 y tipo de carrera</t>
  </si>
  <si>
    <t>Evolución de Titulación Total por nivel de formación</t>
  </si>
  <si>
    <t>Evolución de Titulación Total por tipo de institución y nivel de formación</t>
  </si>
  <si>
    <t>Evolución de Titulación Total por tipo de institución 2 y nivel de formación</t>
  </si>
  <si>
    <t>Evolución de Titulación Total de Posgrado por tipo de universidad</t>
  </si>
  <si>
    <t xml:space="preserve">Evolución de Titulación Total de Posgrado por tipo de universidad y tipo de programa </t>
  </si>
  <si>
    <t>Evolución de Titulación Total de Postítulo por tipo de institución y tipo de programa</t>
  </si>
  <si>
    <t>Evolución de Titulación Total de Pregrado por sexo</t>
  </si>
  <si>
    <t>Evolución de Titulación Total de Pregrado por sexo - CFT</t>
  </si>
  <si>
    <t>Evolución de Titulación Total de Pregrado por sexo - IP</t>
  </si>
  <si>
    <t>Evolución de Titulación Total de Pregrado por sexo - Universidades</t>
  </si>
  <si>
    <t>Sexo</t>
  </si>
  <si>
    <t>Nivel de formación</t>
  </si>
  <si>
    <t>Semipresencial</t>
  </si>
  <si>
    <t>A Distancia</t>
  </si>
  <si>
    <t>Técnico en Computación e Informática</t>
  </si>
  <si>
    <t>A distancia</t>
  </si>
  <si>
    <t>Evolución de Titulación Total de Pregrado por sexo y tipo de programa</t>
  </si>
  <si>
    <t>Evolución de Titulación Total de Postítulo por sexo y tipo de programa</t>
  </si>
  <si>
    <t>Tipo de Institución</t>
  </si>
  <si>
    <t>Ingeniería en Recursos Humanos</t>
  </si>
  <si>
    <t>U. Cruch Estatal</t>
  </si>
  <si>
    <t>U. Cruch Privada</t>
  </si>
  <si>
    <t>U. Privada</t>
  </si>
  <si>
    <t>Fuente: Servicio de Información de Educación Superior (SIES), de Mineduc.</t>
  </si>
  <si>
    <t xml:space="preserve">U. Cruch Estatal </t>
  </si>
  <si>
    <t>** Incluye solo Carreras Profesionales con licenciatura y Licenciaturas no conducentes a título.</t>
  </si>
  <si>
    <t>Tipo de universidad</t>
  </si>
  <si>
    <t>Sexo y tipo de programa</t>
  </si>
  <si>
    <t>Tipo de universidad y programa</t>
  </si>
  <si>
    <r>
      <t xml:space="preserve">Diplomado 
</t>
    </r>
    <r>
      <rPr>
        <sz val="10"/>
        <color theme="1"/>
        <rFont val="Calibri"/>
        <family val="2"/>
        <scheme val="minor"/>
      </rPr>
      <t>(superior a un semestre)</t>
    </r>
  </si>
  <si>
    <t>NOTA: En caso de utilizar datos de esta base para notas periodísticas o estudios, se debe citar como fuente de los datos al Servicio de Información de Educación Superior (SIES), de Mineduc</t>
  </si>
  <si>
    <t>Arica y Parinacota</t>
  </si>
  <si>
    <t>Tarapacá</t>
  </si>
  <si>
    <t>Antofagasta</t>
  </si>
  <si>
    <t>Atacama</t>
  </si>
  <si>
    <t>Coquimbo</t>
  </si>
  <si>
    <t>Valparaíso</t>
  </si>
  <si>
    <t>Maule</t>
  </si>
  <si>
    <t>Biobío</t>
  </si>
  <si>
    <t>La Araucanía</t>
  </si>
  <si>
    <t>Los Ríos</t>
  </si>
  <si>
    <t>Los Lagos</t>
  </si>
  <si>
    <t>Aysén</t>
  </si>
  <si>
    <t>Magallanes</t>
  </si>
  <si>
    <t xml:space="preserve">Magallanes </t>
  </si>
  <si>
    <t xml:space="preserve">Total general </t>
  </si>
  <si>
    <t>Diplomado 
(superior a un semestre)</t>
  </si>
  <si>
    <t>Metropolitana</t>
  </si>
  <si>
    <t>Técnico en Logística</t>
  </si>
  <si>
    <t>IP DE ARTES ESCENICAS KAREN CONNOLLY</t>
  </si>
  <si>
    <t>IP ESCUELA DE CINE DE CHILE</t>
  </si>
  <si>
    <t>Ñuble</t>
  </si>
  <si>
    <t>Ingeniería Industrial</t>
  </si>
  <si>
    <t>IP LATINOAMERICANO DE COMERCIO EXTERIOR - IPLACEX</t>
  </si>
  <si>
    <t>UNIVERSIDAD CATOLICA CARDENAL RAUL SILVA HENRIQUEZ</t>
  </si>
  <si>
    <t>CFT ACCIOMA</t>
  </si>
  <si>
    <t>CFT CENTRO DE ENSEÑANZA DE ALTA COSTURA PAULINA DIARD</t>
  </si>
  <si>
    <t>CFT ESCUELA SUPERIOR DE ADMINISTRACION DE NEGOCIOS DEL NORTE - ESANE DEL NORTE</t>
  </si>
  <si>
    <t>CFT PUCV</t>
  </si>
  <si>
    <t>CFT SAN AGUSTIN</t>
  </si>
  <si>
    <t>CFT UV</t>
  </si>
  <si>
    <t>IP CHILENO BRITANICO DE CULTURA</t>
  </si>
  <si>
    <t>Titulación Total 2018 de Posgrado</t>
  </si>
  <si>
    <t>Titulación Total 2018 de Postítulo</t>
  </si>
  <si>
    <t>CFT DE LA REGION DE LOS LAGOS</t>
  </si>
  <si>
    <t>CFT INSTITUTO SUPERIOR ALEMAN DE COMERCIO INSALCO</t>
  </si>
  <si>
    <t>IP ESCUELA DE MARINA MERCANTE PILOTO PARDO</t>
  </si>
  <si>
    <t>UNIVERSIDAD DEL PACIFICO</t>
  </si>
  <si>
    <t>UNIVERSIDAD IBEROAMERICANA DE CIENCIAS Y TECNOLOGIA, UNICYT (*CARRERA EN CONVENIO USACH)</t>
  </si>
  <si>
    <t>Evolución de la Titulación Total por jornada de estudios de la carrera</t>
  </si>
  <si>
    <t>* Incluye Carreras Técnicas de Nivel Superior y Profesionales sin licenciatura.</t>
  </si>
  <si>
    <t>EVOLUCIÓN TITULACIÓN TOTAL 2007 - 2020</t>
  </si>
  <si>
    <t>TITULACIÓN TOTAL 2020</t>
  </si>
  <si>
    <t>Titulación Total 2020 por tipo de institución y nivel de formación</t>
  </si>
  <si>
    <t>Titulación Total 2020 por tipo de institución y sexo</t>
  </si>
  <si>
    <t>Titulación Total 2020 por tipo de institución 2 y nivel de formación</t>
  </si>
  <si>
    <t>Titulación Total 2020 por tipo de institución 2 y sexo</t>
  </si>
  <si>
    <t>Titulación Total 2020 por región y sexo</t>
  </si>
  <si>
    <t>Titulación Total 2020  por área del conocimiento y sexo</t>
  </si>
  <si>
    <t>TITULACIÓN DE PREGRADO 2020</t>
  </si>
  <si>
    <t>Titulación Total 2020 de Pregrado por sexo y tipo de institución</t>
  </si>
  <si>
    <t>Titulación 2020 de Pregrado Mujeres</t>
  </si>
  <si>
    <t>Titulación 2020 de Pregrado Hombres</t>
  </si>
  <si>
    <t>Titulación Total 2020 de Pregrado</t>
  </si>
  <si>
    <t xml:space="preserve">Titulación Total 2020 de Pregrado por rango de edad y tipo de institución </t>
  </si>
  <si>
    <t>Titulación Total 2020 de Pregrado por tipo de carrera y tipo de institución</t>
  </si>
  <si>
    <t>Titulación Total 2020 de Pregrado por área y tipo de institución</t>
  </si>
  <si>
    <t>Titulación Total 2020 de Pregrado por área y sexo</t>
  </si>
  <si>
    <t>Titulación Total 2020 de Pregrado por jornada y tipo de institución</t>
  </si>
  <si>
    <t>Titulación Total 2020 de Pregrado por región y tipo de institución</t>
  </si>
  <si>
    <t>Titulación Total 2020 de Pregrado por región y sexo</t>
  </si>
  <si>
    <t>TITULACIÓN DE POSGRADO 2020</t>
  </si>
  <si>
    <t>Titulación Total 2020 de Posgrado por tipo de universidad y tipo de programa</t>
  </si>
  <si>
    <t>Titulación Total 2020 de Posgrado por sexo y tipo de programa</t>
  </si>
  <si>
    <t>Titulación 2020 de Posgrado Mujeres</t>
  </si>
  <si>
    <t>Titulación 2020 de Posgrado Hombres</t>
  </si>
  <si>
    <t>Titulación Total 2020 de Posgrado por rango de edad y tipo de programa</t>
  </si>
  <si>
    <t>Titulación Total 2020 de Posgrado por área y tipo de programa</t>
  </si>
  <si>
    <t>Titulación Total 2020 de Posgrado por jornada y tipo de programa</t>
  </si>
  <si>
    <t>Titulación Total 2020 de Posgrado por región y tipo de programa</t>
  </si>
  <si>
    <t>Titulación Total 2020 de Posgrado por área y sexo</t>
  </si>
  <si>
    <t>Titulación Total 2020 de Posgrado por región y sexo</t>
  </si>
  <si>
    <t>EVOLUCIÓN TITULACIÓN DE POSGRADO 2007 - 2020</t>
  </si>
  <si>
    <t>TITULACIÓN DE POSTÍTULO 2020</t>
  </si>
  <si>
    <t>Titulación Total 2020 de Postítulo por sexo y tipo de programa</t>
  </si>
  <si>
    <t>Titulación 2020 de Postìtulo Mujeres</t>
  </si>
  <si>
    <t>Titulación 2020 de Postítulo Hombres</t>
  </si>
  <si>
    <t>Titulación Total 2020 de Postítulo por rango de edad y tipo de programa</t>
  </si>
  <si>
    <t>Titulación Total 2020 de Postítulo por área y tipo de programa</t>
  </si>
  <si>
    <t>Titulación Total 2020 de Postítulo por jornada y tipo de programa</t>
  </si>
  <si>
    <t>Titulación Total 2020 de Postítulo por región y tipo de programa</t>
  </si>
  <si>
    <t>Titulación Total 2020 de Postítulo por área y sexo</t>
  </si>
  <si>
    <t>Titulación Total 2020 de Postítulo por región y sexo</t>
  </si>
  <si>
    <t>Instituciones participantes en proceso Titulación 2020</t>
  </si>
  <si>
    <t>INFORME TITULACIÓN 2020</t>
  </si>
  <si>
    <t>1. TITULACIÓN TOTAL 2020</t>
  </si>
  <si>
    <t>Titulación Total 2020  por área y sexo</t>
  </si>
  <si>
    <t>2. EVOLUCIÓN TITULACIÓN TOTAL 2007 - 2020</t>
  </si>
  <si>
    <t>3. TITULACIÓN DE PREGRADO 2020</t>
  </si>
  <si>
    <t>4. EVOLUCIÓN TITULACIÓN DE PREGRADO 2007 - 2020</t>
  </si>
  <si>
    <t>5. TITULACIÓN DE POSGRADO 2020</t>
  </si>
  <si>
    <t>6. EVOLUCIÓN TITULACIÓN DE POSGRADO 2007 - 2020</t>
  </si>
  <si>
    <t>7. TITULACIÓN DE POSTÍTULO 2020</t>
  </si>
  <si>
    <t>Titulación Total 2020 de Postítulo por tipo de universidad y tipo de programa</t>
  </si>
  <si>
    <t>8. EVOLUCIÓN TITULACIÓN DE POSTÍTULO 2007 - 2020</t>
  </si>
  <si>
    <t>Listado de instituciones participantes 2020</t>
  </si>
  <si>
    <t>CFT</t>
  </si>
  <si>
    <t>CFT Estatal</t>
  </si>
  <si>
    <t>Técnico en Administración Pública o Municipal</t>
  </si>
  <si>
    <t>Ingeniería en Construcción</t>
  </si>
  <si>
    <t>Arquitectura</t>
  </si>
  <si>
    <t>Pedagogía en Idiomas</t>
  </si>
  <si>
    <t>Periodismo</t>
  </si>
  <si>
    <t>EVOLUCIÓN TITULACIÓN DE POSTÍTULO 2007 - 2020</t>
  </si>
  <si>
    <t>CFT BARROS ARANA</t>
  </si>
  <si>
    <t>CFT DE LA INDUSTRIA GRAFICA</t>
  </si>
  <si>
    <t>CFT DE LA REGION DE LA ARAUCANIA</t>
  </si>
  <si>
    <t>CFT DE LA REGION DEL MAULE</t>
  </si>
  <si>
    <t>CFT ICEL</t>
  </si>
  <si>
    <t>IP PROJAZZ</t>
  </si>
  <si>
    <t>UNIVERSIDAD DE ARTE Y CIENCIAS SOCIALES ARCIS (* CARRERA EN CONVENIO U. CATOLICA DEL MAULE)</t>
  </si>
  <si>
    <t>UNIVERSIDAD DEL PACIFICO (*CARRERA EN CONVENIO UTEM)</t>
  </si>
  <si>
    <t>Centros de Formación Técnica Estatal</t>
  </si>
  <si>
    <t xml:space="preserve">                   -    </t>
  </si>
  <si>
    <t xml:space="preserve">                  -    </t>
  </si>
  <si>
    <t>Titulados Pregrado 2020</t>
  </si>
  <si>
    <t>Graduados Posgrado 2020</t>
  </si>
  <si>
    <t>Titulados Postítulo 2020</t>
  </si>
  <si>
    <t>Total Titulados y/o Graduados 2020</t>
  </si>
  <si>
    <t>*Incluye programas de Pregrado, Posgrado y Postítulo</t>
  </si>
  <si>
    <t>A partir de 2019 las universidades Alberto Hurtado y Diego Portales, y desde 2020 la Univeridad de los Andes se integraron al Consejo de Rectores (Cruch).</t>
  </si>
  <si>
    <t>O'Higgins</t>
  </si>
  <si>
    <t>Tipo de institución y formación</t>
  </si>
  <si>
    <t xml:space="preserve">Evolución de la Titulación Total por jornada </t>
  </si>
  <si>
    <t>Titulación de Pregrado 2020 por sexo y tipo de institución</t>
  </si>
  <si>
    <t xml:space="preserve">Titulación de Pregrado 2020 por rango de edad y tipo de institución </t>
  </si>
  <si>
    <t>Titulación de Pregrado 2020 por tipo de carrera y de institución</t>
  </si>
  <si>
    <t>Titulación de Pregrado 2020 por área y tipo de institución</t>
  </si>
  <si>
    <t>Titulación de Pregrado 2020 por área y sexo</t>
  </si>
  <si>
    <t>Titulación de Pregrado 2020 por jornada y tipo de institución</t>
  </si>
  <si>
    <t>Titulación de Pregrado 2020 por región y sexo</t>
  </si>
  <si>
    <t>EVOLUCIÓN TITULACIÓN DE PREGRADO 2007 - 2020</t>
  </si>
  <si>
    <t>Carreras Técnico Profesionales*</t>
  </si>
  <si>
    <t xml:space="preserve">Promedio de Edad </t>
  </si>
  <si>
    <t>Titulación de Posgrado 2020 por tipo de universidad y de programa</t>
  </si>
  <si>
    <t>Titulación de Posgrado 2020 por sexo y tipo de programa</t>
  </si>
  <si>
    <t>Titulación de Posgrado 2020 por rango de edad y tipo de programa</t>
  </si>
  <si>
    <t>Titulación de Posgrado 2020 por área y tipo de programa</t>
  </si>
  <si>
    <t>Titulación de Posgrado 2020 por jornada y tipo de programa</t>
  </si>
  <si>
    <t>Titulación de Posgrado 2020 por región y tipo de programa</t>
  </si>
  <si>
    <t>Titulación de Posgrado 2020 por área y sexo</t>
  </si>
  <si>
    <t>Titulación de Posgrado 2020 por región y sexo</t>
  </si>
  <si>
    <t>Evolución de Titulación de Pregrado por tipo de institución</t>
  </si>
  <si>
    <t>Evolución de Titulación de Pregrado por tipo de institución 2</t>
  </si>
  <si>
    <t>Evolución de Titulación de Pregrado por tipo de carrera</t>
  </si>
  <si>
    <t xml:space="preserve">Evolución de Titulación de Pregrado por tipo de carrera agrupada </t>
  </si>
  <si>
    <t>Evolución de Titulación de Pregrado por tipo de institución y de carrera</t>
  </si>
  <si>
    <t>Evolución de Titulación de Pregrado por tipo de institución 2 y tipo de carrera</t>
  </si>
  <si>
    <t>Evolución de Titulación de Pregrado por jornada</t>
  </si>
  <si>
    <t>Evolución de Titulación de Pregrado por área</t>
  </si>
  <si>
    <t>Evolución de Titulación de Pregrado en carreras con mayor titulación - CFT</t>
  </si>
  <si>
    <t>Evolución de Titulación de Pregrado en carreras con mayor titulación - IP</t>
  </si>
  <si>
    <t>Evolución de Titulación de Pregrado en carreras con mayor titulación - Universidades</t>
  </si>
  <si>
    <t>Evolución de Titulación de Pregrado por sexo</t>
  </si>
  <si>
    <t>Evolución de Titulación de Pregrado por sexo - CFT</t>
  </si>
  <si>
    <t>Evolución de Titulación de Pregrado por sexo - IP</t>
  </si>
  <si>
    <t>Evolución de Titulación de Pregrado por sexo - Universidades</t>
  </si>
  <si>
    <t>Evolución de Titulación de Pregrado por rango de edad</t>
  </si>
  <si>
    <t>Evolución de Titulación de Posgrado por tipo de universidad</t>
  </si>
  <si>
    <t xml:space="preserve">Evolución de Titulación de Posgrado por tipo de programa </t>
  </si>
  <si>
    <t xml:space="preserve">Evolución de Titulación de Posgrado por tipo de universidad y de programa </t>
  </si>
  <si>
    <t>Evolución de Titulación de Pregrado por sexo y tipo de programa</t>
  </si>
  <si>
    <t>Titulación de Postítulo 2020 por tipo de institución y de programa</t>
  </si>
  <si>
    <t>Titulación de Postítulo 2020 por sexo y tipo de programa</t>
  </si>
  <si>
    <t>Titulación de Postítulo 2020 por rango de edad y tipo de programa</t>
  </si>
  <si>
    <t>Titulación de Postítulo 2020 por área y tipo de programa</t>
  </si>
  <si>
    <t>Titulación de Postítulo 2020 por jornada y tipo de programa</t>
  </si>
  <si>
    <t>Titulación de Postítulo 2020 por región y tipo de programa</t>
  </si>
  <si>
    <t>Titulación de Postítulo 2020 por área y sexo</t>
  </si>
  <si>
    <t>Titulación de Postítulo 2020 por región y sexo</t>
  </si>
  <si>
    <t>Evolución de Titulación de Postítulo por tipo de institución</t>
  </si>
  <si>
    <t>Evolución de Titulación de Postítulo por tipo de programa</t>
  </si>
  <si>
    <t>Evolución de Titulación de Postítulo por tipo de institución y programa</t>
  </si>
  <si>
    <t>Evolución de Titulación de Postítulo por sexo y tipo de programa</t>
  </si>
  <si>
    <t>% Variación 2011 - 2020</t>
  </si>
  <si>
    <t>% Variación 2016  - 2020</t>
  </si>
  <si>
    <t>% Variación 2019 - 2020</t>
  </si>
  <si>
    <t>Distribución Titulación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</si>
</sst>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-* #,##0.00\ _€_-;\-* #,##0.00\ _€_-;_-* &quot;-&quot;??\ _€_-;_-@_-"/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_-* #,##0.0_-;\-* #,##0.0_-;_-* &quot;-&quot;??_-;_-@_-"/>
    <numFmt numFmtId="168" formatCode="_-* #,##0\ _€_-;\-* #,##0\ _€_-;_-* &quot;-&quot;??\ _€_-;_-@_-"/>
    <numFmt numFmtId="169" formatCode="_-* #,##0.0\ _€_-;\-* #,##0.0\ _€_-;_-* &quot;-&quot;??\ _€_-;_-@_-"/>
    <numFmt numFmtId="170" formatCode="_ * #,##0_ ;_ * \-#,##0_ ;_ * &quot;-&quot;_ ;_ @_ "/>
  </numFmts>
  <fonts count="25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26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5">
    <xf numFmtId="0" fontId="0" fillId="0" borderId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9" fontId="19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</cellStyleXfs>
  <cellXfs count="132">
    <xf numFmtId="0" fontId="0" fillId="0" borderId="0" xfId="0"/>
    <xf numFmtId="0" fontId="6" fillId="0" borderId="0" xfId="1" applyAlignment="1">
      <alignment vertical="center"/>
    </xf>
    <xf numFmtId="0" fontId="6" fillId="0" borderId="0" xfId="1"/>
    <xf numFmtId="0" fontId="5" fillId="2" borderId="1" xfId="1" applyFont="1" applyFill="1" applyBorder="1" applyAlignment="1">
      <alignment horizontal="center" vertical="center"/>
    </xf>
    <xf numFmtId="165" fontId="4" fillId="3" borderId="1" xfId="2" applyNumberFormat="1" applyFont="1" applyFill="1" applyBorder="1" applyAlignment="1">
      <alignment horizontal="left" vertical="center"/>
    </xf>
    <xf numFmtId="165" fontId="5" fillId="3" borderId="1" xfId="2" applyNumberFormat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 wrapText="1"/>
    </xf>
    <xf numFmtId="165" fontId="4" fillId="3" borderId="1" xfId="4" applyNumberFormat="1" applyFont="1" applyFill="1" applyBorder="1" applyAlignment="1">
      <alignment horizontal="left" vertical="center"/>
    </xf>
    <xf numFmtId="165" fontId="4" fillId="0" borderId="1" xfId="4" applyNumberFormat="1" applyFont="1" applyBorder="1" applyAlignment="1">
      <alignment horizontal="center" vertical="center"/>
    </xf>
    <xf numFmtId="165" fontId="5" fillId="3" borderId="1" xfId="4" applyNumberFormat="1" applyFont="1" applyFill="1" applyBorder="1" applyAlignment="1">
      <alignment horizontal="left" vertical="center"/>
    </xf>
    <xf numFmtId="165" fontId="5" fillId="0" borderId="1" xfId="4" applyNumberFormat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166" fontId="4" fillId="3" borderId="1" xfId="3" applyNumberFormat="1" applyFont="1" applyFill="1" applyBorder="1" applyAlignment="1">
      <alignment horizontal="center" vertical="center"/>
    </xf>
    <xf numFmtId="166" fontId="0" fillId="0" borderId="0" xfId="3" applyNumberFormat="1" applyFont="1"/>
    <xf numFmtId="166" fontId="5" fillId="3" borderId="1" xfId="3" applyNumberFormat="1" applyFont="1" applyFill="1" applyBorder="1" applyAlignment="1">
      <alignment horizontal="center" vertical="center"/>
    </xf>
    <xf numFmtId="165" fontId="5" fillId="0" borderId="1" xfId="1" applyNumberFormat="1" applyFont="1" applyBorder="1" applyAlignment="1">
      <alignment vertical="center"/>
    </xf>
    <xf numFmtId="165" fontId="4" fillId="0" borderId="1" xfId="1" applyNumberFormat="1" applyFont="1" applyBorder="1" applyAlignment="1">
      <alignment vertical="center"/>
    </xf>
    <xf numFmtId="165" fontId="4" fillId="0" borderId="1" xfId="4" applyNumberFormat="1" applyFont="1" applyFill="1" applyBorder="1" applyAlignment="1">
      <alignment horizontal="left" vertical="center"/>
    </xf>
    <xf numFmtId="165" fontId="5" fillId="0" borderId="1" xfId="4" applyNumberFormat="1" applyFont="1" applyFill="1" applyBorder="1" applyAlignment="1">
      <alignment horizontal="left" vertical="center"/>
    </xf>
    <xf numFmtId="165" fontId="4" fillId="3" borderId="1" xfId="2" applyNumberFormat="1" applyFont="1" applyFill="1" applyBorder="1" applyAlignment="1">
      <alignment horizontal="center" vertical="center"/>
    </xf>
    <xf numFmtId="165" fontId="5" fillId="3" borderId="1" xfId="2" applyNumberFormat="1" applyFont="1" applyFill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8" fillId="3" borderId="0" xfId="1" applyFont="1" applyFill="1" applyAlignment="1">
      <alignment vertical="center"/>
    </xf>
    <xf numFmtId="0" fontId="16" fillId="0" borderId="0" xfId="1" applyFont="1" applyFill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Fill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0" xfId="1" applyFill="1" applyAlignment="1">
      <alignment vertical="center"/>
    </xf>
    <xf numFmtId="0" fontId="7" fillId="0" borderId="0" xfId="1" applyFont="1" applyFill="1" applyAlignment="1">
      <alignment vertical="center"/>
    </xf>
    <xf numFmtId="165" fontId="0" fillId="3" borderId="1" xfId="2" applyNumberFormat="1" applyFont="1" applyFill="1" applyBorder="1" applyAlignment="1">
      <alignment horizontal="left" vertical="center"/>
    </xf>
    <xf numFmtId="0" fontId="6" fillId="0" borderId="0" xfId="1" applyAlignment="1">
      <alignment horizontal="left" vertical="center"/>
    </xf>
    <xf numFmtId="165" fontId="4" fillId="3" borderId="1" xfId="7" applyNumberFormat="1" applyFont="1" applyFill="1" applyBorder="1" applyAlignment="1">
      <alignment horizontal="left" vertical="center"/>
    </xf>
    <xf numFmtId="0" fontId="10" fillId="0" borderId="0" xfId="5" applyAlignment="1">
      <alignment vertical="center"/>
    </xf>
    <xf numFmtId="0" fontId="7" fillId="3" borderId="0" xfId="1" applyFont="1" applyFill="1" applyAlignment="1">
      <alignment vertical="center"/>
    </xf>
    <xf numFmtId="0" fontId="9" fillId="3" borderId="0" xfId="0" applyFont="1" applyFill="1"/>
    <xf numFmtId="0" fontId="6" fillId="3" borderId="0" xfId="1" applyFill="1" applyAlignment="1">
      <alignment vertical="center"/>
    </xf>
    <xf numFmtId="0" fontId="8" fillId="3" borderId="0" xfId="1" applyFont="1" applyFill="1" applyAlignment="1">
      <alignment horizontal="left" vertical="center"/>
    </xf>
    <xf numFmtId="168" fontId="4" fillId="0" borderId="1" xfId="22" applyNumberFormat="1" applyFont="1" applyBorder="1" applyAlignment="1">
      <alignment horizontal="center" vertical="center"/>
    </xf>
    <xf numFmtId="168" fontId="5" fillId="0" borderId="1" xfId="22" applyNumberFormat="1" applyFont="1" applyBorder="1" applyAlignment="1">
      <alignment horizontal="center" vertical="center"/>
    </xf>
    <xf numFmtId="168" fontId="6" fillId="0" borderId="0" xfId="22" applyNumberFormat="1" applyFont="1" applyAlignment="1">
      <alignment vertical="center"/>
    </xf>
    <xf numFmtId="168" fontId="6" fillId="3" borderId="0" xfId="22" applyNumberFormat="1" applyFont="1" applyFill="1" applyAlignment="1">
      <alignment vertical="center"/>
    </xf>
    <xf numFmtId="168" fontId="5" fillId="4" borderId="1" xfId="22" applyNumberFormat="1" applyFont="1" applyFill="1" applyBorder="1" applyAlignment="1">
      <alignment horizontal="center" vertical="center" wrapText="1"/>
    </xf>
    <xf numFmtId="168" fontId="13" fillId="0" borderId="1" xfId="22" applyNumberFormat="1" applyFont="1" applyFill="1" applyBorder="1" applyAlignment="1">
      <alignment horizontal="right" vertical="center"/>
    </xf>
    <xf numFmtId="168" fontId="14" fillId="0" borderId="1" xfId="22" applyNumberFormat="1" applyFont="1" applyFill="1" applyBorder="1" applyAlignment="1">
      <alignment horizontal="right" vertical="center"/>
    </xf>
    <xf numFmtId="168" fontId="15" fillId="0" borderId="1" xfId="22" applyNumberFormat="1" applyFont="1" applyFill="1" applyBorder="1" applyAlignment="1">
      <alignment horizontal="right" vertical="center"/>
    </xf>
    <xf numFmtId="168" fontId="6" fillId="0" borderId="0" xfId="22" applyNumberFormat="1" applyFont="1"/>
    <xf numFmtId="168" fontId="21" fillId="2" borderId="1" xfId="22" applyNumberFormat="1" applyFont="1" applyFill="1" applyBorder="1" applyAlignment="1">
      <alignment horizontal="center" vertical="center" wrapText="1"/>
    </xf>
    <xf numFmtId="168" fontId="8" fillId="3" borderId="0" xfId="22" applyNumberFormat="1" applyFont="1" applyFill="1" applyAlignment="1">
      <alignment vertical="center"/>
    </xf>
    <xf numFmtId="168" fontId="5" fillId="4" borderId="1" xfId="22" applyNumberFormat="1" applyFont="1" applyFill="1" applyBorder="1" applyAlignment="1">
      <alignment vertical="center"/>
    </xf>
    <xf numFmtId="168" fontId="0" fillId="0" borderId="1" xfId="22" applyNumberFormat="1" applyFont="1" applyBorder="1" applyAlignment="1">
      <alignment vertical="center"/>
    </xf>
    <xf numFmtId="168" fontId="5" fillId="0" borderId="1" xfId="22" applyNumberFormat="1" applyFont="1" applyBorder="1" applyAlignment="1">
      <alignment vertical="center"/>
    </xf>
    <xf numFmtId="168" fontId="5" fillId="2" borderId="1" xfId="22" applyNumberFormat="1" applyFont="1" applyFill="1" applyBorder="1" applyAlignment="1">
      <alignment horizontal="left" vertical="center"/>
    </xf>
    <xf numFmtId="168" fontId="4" fillId="3" borderId="1" xfId="22" applyNumberFormat="1" applyFont="1" applyFill="1" applyBorder="1" applyAlignment="1">
      <alignment horizontal="left" vertical="center"/>
    </xf>
    <xf numFmtId="168" fontId="5" fillId="3" borderId="1" xfId="22" applyNumberFormat="1" applyFont="1" applyFill="1" applyBorder="1" applyAlignment="1">
      <alignment horizontal="left" vertical="center"/>
    </xf>
    <xf numFmtId="168" fontId="5" fillId="4" borderId="1" xfId="22" applyNumberFormat="1" applyFont="1" applyFill="1" applyBorder="1" applyAlignment="1">
      <alignment horizontal="left" vertical="center"/>
    </xf>
    <xf numFmtId="168" fontId="5" fillId="3" borderId="0" xfId="22" applyNumberFormat="1" applyFont="1" applyFill="1" applyBorder="1" applyAlignment="1">
      <alignment vertical="center"/>
    </xf>
    <xf numFmtId="168" fontId="5" fillId="3" borderId="0" xfId="22" applyNumberFormat="1" applyFont="1" applyFill="1" applyBorder="1" applyAlignment="1">
      <alignment horizontal="center" vertical="center"/>
    </xf>
    <xf numFmtId="168" fontId="7" fillId="3" borderId="0" xfId="22" applyNumberFormat="1" applyFont="1" applyFill="1" applyAlignment="1">
      <alignment vertical="center"/>
    </xf>
    <xf numFmtId="168" fontId="4" fillId="0" borderId="1" xfId="22" applyNumberFormat="1" applyFont="1" applyFill="1" applyBorder="1" applyAlignment="1">
      <alignment horizontal="center" vertical="center"/>
    </xf>
    <xf numFmtId="168" fontId="5" fillId="0" borderId="1" xfId="22" applyNumberFormat="1" applyFont="1" applyFill="1" applyBorder="1" applyAlignment="1">
      <alignment horizontal="center" vertical="center"/>
    </xf>
    <xf numFmtId="0" fontId="22" fillId="3" borderId="0" xfId="1" applyFont="1" applyFill="1" applyAlignment="1">
      <alignment vertical="center"/>
    </xf>
    <xf numFmtId="166" fontId="0" fillId="3" borderId="0" xfId="3" applyNumberFormat="1" applyFont="1" applyFill="1" applyAlignment="1">
      <alignment vertical="center"/>
    </xf>
    <xf numFmtId="9" fontId="0" fillId="3" borderId="0" xfId="3" applyFont="1" applyFill="1" applyAlignment="1">
      <alignment vertical="center"/>
    </xf>
    <xf numFmtId="0" fontId="9" fillId="3" borderId="0" xfId="1" applyFont="1" applyFill="1" applyAlignment="1">
      <alignment horizontal="left" vertical="center"/>
    </xf>
    <xf numFmtId="0" fontId="10" fillId="3" borderId="0" xfId="5" applyFill="1" applyAlignment="1">
      <alignment vertical="center"/>
    </xf>
    <xf numFmtId="0" fontId="11" fillId="3" borderId="0" xfId="1" applyFont="1" applyFill="1" applyAlignment="1">
      <alignment vertical="center"/>
    </xf>
    <xf numFmtId="168" fontId="6" fillId="3" borderId="0" xfId="22" applyNumberFormat="1" applyFont="1" applyFill="1"/>
    <xf numFmtId="168" fontId="10" fillId="3" borderId="0" xfId="22" applyNumberFormat="1" applyFont="1" applyFill="1"/>
    <xf numFmtId="0" fontId="12" fillId="3" borderId="0" xfId="1" applyFont="1" applyFill="1" applyAlignment="1">
      <alignment horizontal="left" vertical="center"/>
    </xf>
    <xf numFmtId="0" fontId="6" fillId="3" borderId="0" xfId="1" applyFill="1" applyAlignment="1">
      <alignment horizontal="left" vertical="center"/>
    </xf>
    <xf numFmtId="0" fontId="7" fillId="3" borderId="0" xfId="1" applyFont="1" applyFill="1" applyAlignment="1">
      <alignment horizontal="left" vertical="center"/>
    </xf>
    <xf numFmtId="0" fontId="10" fillId="3" borderId="0" xfId="5" applyFill="1" applyAlignment="1">
      <alignment horizontal="left" vertical="center"/>
    </xf>
    <xf numFmtId="165" fontId="5" fillId="0" borderId="1" xfId="2" applyNumberFormat="1" applyFont="1" applyFill="1" applyBorder="1" applyAlignment="1">
      <alignment horizontal="left" vertical="center"/>
    </xf>
    <xf numFmtId="165" fontId="5" fillId="0" borderId="1" xfId="2" applyNumberFormat="1" applyFont="1" applyFill="1" applyBorder="1" applyAlignment="1">
      <alignment horizontal="center" vertical="center"/>
    </xf>
    <xf numFmtId="168" fontId="5" fillId="0" borderId="1" xfId="22" applyNumberFormat="1" applyFont="1" applyFill="1" applyBorder="1" applyAlignment="1">
      <alignment horizontal="left" vertical="center"/>
    </xf>
    <xf numFmtId="166" fontId="5" fillId="3" borderId="1" xfId="23" applyNumberFormat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165" fontId="4" fillId="3" borderId="1" xfId="2" applyNumberFormat="1" applyFont="1" applyFill="1" applyBorder="1" applyAlignment="1">
      <alignment horizontal="left" vertical="center" indent="1"/>
    </xf>
    <xf numFmtId="0" fontId="22" fillId="3" borderId="0" xfId="1" applyFont="1" applyFill="1" applyAlignment="1">
      <alignment horizontal="left" vertical="center"/>
    </xf>
    <xf numFmtId="168" fontId="22" fillId="3" borderId="0" xfId="22" applyNumberFormat="1" applyFont="1" applyFill="1" applyAlignment="1">
      <alignment vertical="center"/>
    </xf>
    <xf numFmtId="165" fontId="5" fillId="4" borderId="1" xfId="2" applyNumberFormat="1" applyFont="1" applyFill="1" applyBorder="1" applyAlignment="1">
      <alignment horizontal="left" vertical="center"/>
    </xf>
    <xf numFmtId="168" fontId="5" fillId="4" borderId="1" xfId="22" applyNumberFormat="1" applyFont="1" applyFill="1" applyBorder="1" applyAlignment="1">
      <alignment horizontal="left" vertical="center" wrapText="1"/>
    </xf>
    <xf numFmtId="165" fontId="0" fillId="3" borderId="1" xfId="4" applyNumberFormat="1" applyFont="1" applyFill="1" applyBorder="1" applyAlignment="1">
      <alignment horizontal="left" vertical="center"/>
    </xf>
    <xf numFmtId="168" fontId="0" fillId="3" borderId="1" xfId="22" applyNumberFormat="1" applyFont="1" applyFill="1" applyBorder="1" applyAlignment="1">
      <alignment horizontal="left" vertical="center"/>
    </xf>
    <xf numFmtId="166" fontId="4" fillId="4" borderId="1" xfId="3" applyNumberFormat="1" applyFont="1" applyFill="1" applyBorder="1" applyAlignment="1">
      <alignment horizontal="center" vertical="center"/>
    </xf>
    <xf numFmtId="167" fontId="5" fillId="4" borderId="1" xfId="2" applyNumberFormat="1" applyFont="1" applyFill="1" applyBorder="1" applyAlignment="1">
      <alignment horizontal="left" vertical="center"/>
    </xf>
    <xf numFmtId="169" fontId="5" fillId="4" borderId="1" xfId="22" applyNumberFormat="1" applyFont="1" applyFill="1" applyBorder="1" applyAlignment="1">
      <alignment horizontal="center" vertical="center"/>
    </xf>
    <xf numFmtId="165" fontId="0" fillId="0" borderId="1" xfId="4" applyNumberFormat="1" applyFont="1" applyFill="1" applyBorder="1" applyAlignment="1">
      <alignment horizontal="left" vertical="center"/>
    </xf>
    <xf numFmtId="168" fontId="0" fillId="0" borderId="1" xfId="22" applyNumberFormat="1" applyFont="1" applyFill="1" applyBorder="1" applyAlignment="1">
      <alignment horizontal="left" vertical="center"/>
    </xf>
    <xf numFmtId="165" fontId="4" fillId="3" borderId="1" xfId="4" applyNumberFormat="1" applyFont="1" applyFill="1" applyBorder="1" applyAlignment="1">
      <alignment horizontal="center" vertical="center"/>
    </xf>
    <xf numFmtId="165" fontId="5" fillId="3" borderId="1" xfId="4" applyNumberFormat="1" applyFont="1" applyFill="1" applyBorder="1" applyAlignment="1">
      <alignment horizontal="center" vertical="center"/>
    </xf>
    <xf numFmtId="166" fontId="4" fillId="3" borderId="1" xfId="23" applyNumberFormat="1" applyFont="1" applyFill="1" applyBorder="1" applyAlignment="1">
      <alignment horizontal="center" vertical="center"/>
    </xf>
    <xf numFmtId="169" fontId="5" fillId="4" borderId="1" xfId="22" applyNumberFormat="1" applyFont="1" applyFill="1" applyBorder="1" applyAlignment="1">
      <alignment horizontal="left" vertical="center"/>
    </xf>
    <xf numFmtId="0" fontId="10" fillId="0" borderId="0" xfId="5" applyFill="1"/>
    <xf numFmtId="165" fontId="5" fillId="3" borderId="1" xfId="1" applyNumberFormat="1" applyFont="1" applyFill="1" applyBorder="1" applyAlignment="1">
      <alignment horizontal="center" vertical="center"/>
    </xf>
    <xf numFmtId="166" fontId="4" fillId="3" borderId="0" xfId="3" applyNumberFormat="1" applyFont="1" applyFill="1" applyBorder="1" applyAlignment="1">
      <alignment horizontal="center" vertical="center"/>
    </xf>
    <xf numFmtId="166" fontId="6" fillId="0" borderId="0" xfId="23" applyNumberFormat="1" applyFont="1" applyAlignment="1">
      <alignment horizontal="right" vertical="center"/>
    </xf>
    <xf numFmtId="166" fontId="6" fillId="0" borderId="0" xfId="23" applyNumberFormat="1" applyFont="1" applyAlignment="1">
      <alignment vertical="center"/>
    </xf>
    <xf numFmtId="166" fontId="4" fillId="0" borderId="1" xfId="23" applyNumberFormat="1" applyFont="1" applyFill="1" applyBorder="1" applyAlignment="1">
      <alignment horizontal="center" vertical="center"/>
    </xf>
    <xf numFmtId="166" fontId="5" fillId="0" borderId="1" xfId="23" applyNumberFormat="1" applyFont="1" applyFill="1" applyBorder="1" applyAlignment="1">
      <alignment horizontal="center" vertical="center"/>
    </xf>
    <xf numFmtId="166" fontId="4" fillId="0" borderId="1" xfId="3" applyNumberFormat="1" applyFont="1" applyFill="1" applyBorder="1" applyAlignment="1">
      <alignment horizontal="center" vertical="center"/>
    </xf>
    <xf numFmtId="166" fontId="5" fillId="0" borderId="1" xfId="3" applyNumberFormat="1" applyFont="1" applyFill="1" applyBorder="1" applyAlignment="1">
      <alignment horizontal="center" vertical="center"/>
    </xf>
    <xf numFmtId="165" fontId="4" fillId="0" borderId="1" xfId="2" applyNumberFormat="1" applyFont="1" applyFill="1" applyBorder="1" applyAlignment="1">
      <alignment horizontal="left" vertical="center"/>
    </xf>
    <xf numFmtId="165" fontId="4" fillId="0" borderId="1" xfId="2" applyNumberFormat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165" fontId="4" fillId="0" borderId="1" xfId="2" applyNumberFormat="1" applyFont="1" applyFill="1" applyBorder="1" applyAlignment="1">
      <alignment horizontal="left" vertical="center" indent="1"/>
    </xf>
    <xf numFmtId="165" fontId="4" fillId="0" borderId="1" xfId="1" applyNumberFormat="1" applyFont="1" applyFill="1" applyBorder="1" applyAlignment="1">
      <alignment horizontal="center" vertical="center"/>
    </xf>
    <xf numFmtId="166" fontId="6" fillId="3" borderId="0" xfId="23" applyNumberFormat="1" applyFont="1" applyFill="1" applyAlignment="1">
      <alignment horizontal="center" vertical="center"/>
    </xf>
    <xf numFmtId="166" fontId="23" fillId="0" borderId="0" xfId="23" applyNumberFormat="1" applyFont="1" applyAlignment="1">
      <alignment vertical="center"/>
    </xf>
    <xf numFmtId="0" fontId="12" fillId="3" borderId="0" xfId="1" applyFont="1" applyFill="1" applyAlignment="1">
      <alignment vertical="center"/>
    </xf>
    <xf numFmtId="166" fontId="5" fillId="3" borderId="0" xfId="23" applyNumberFormat="1" applyFont="1" applyFill="1" applyBorder="1" applyAlignment="1">
      <alignment horizontal="right" vertical="center"/>
    </xf>
    <xf numFmtId="165" fontId="6" fillId="3" borderId="0" xfId="1" applyNumberFormat="1" applyFill="1" applyAlignment="1">
      <alignment vertical="center"/>
    </xf>
    <xf numFmtId="166" fontId="6" fillId="3" borderId="0" xfId="23" applyNumberFormat="1" applyFont="1" applyFill="1" applyAlignment="1">
      <alignment vertical="center"/>
    </xf>
    <xf numFmtId="165" fontId="6" fillId="0" borderId="0" xfId="1" applyNumberFormat="1" applyAlignment="1">
      <alignment horizontal="left" vertical="center"/>
    </xf>
    <xf numFmtId="166" fontId="6" fillId="0" borderId="0" xfId="23" applyNumberFormat="1" applyFont="1" applyAlignment="1">
      <alignment horizontal="center" vertical="center"/>
    </xf>
    <xf numFmtId="166" fontId="9" fillId="3" borderId="0" xfId="23" applyNumberFormat="1" applyFont="1" applyFill="1" applyAlignment="1">
      <alignment horizontal="right" vertical="center"/>
    </xf>
    <xf numFmtId="166" fontId="6" fillId="3" borderId="0" xfId="1" applyNumberFormat="1" applyFill="1" applyAlignment="1">
      <alignment vertical="center"/>
    </xf>
    <xf numFmtId="170" fontId="24" fillId="0" borderId="0" xfId="0" applyNumberFormat="1" applyFont="1"/>
    <xf numFmtId="168" fontId="4" fillId="3" borderId="1" xfId="22" applyNumberFormat="1" applyFont="1" applyFill="1" applyBorder="1" applyAlignment="1">
      <alignment horizontal="center" vertical="center"/>
    </xf>
    <xf numFmtId="168" fontId="5" fillId="3" borderId="1" xfId="22" applyNumberFormat="1" applyFont="1" applyFill="1" applyBorder="1" applyAlignment="1">
      <alignment horizontal="center" vertical="center"/>
    </xf>
    <xf numFmtId="168" fontId="0" fillId="0" borderId="0" xfId="22" applyNumberFormat="1" applyFont="1"/>
    <xf numFmtId="0" fontId="8" fillId="0" borderId="0" xfId="1" applyFont="1" applyFill="1" applyAlignment="1">
      <alignment horizontal="left" vertical="center"/>
    </xf>
    <xf numFmtId="169" fontId="5" fillId="5" borderId="1" xfId="22" applyNumberFormat="1" applyFont="1" applyFill="1" applyBorder="1" applyAlignment="1">
      <alignment horizontal="left" vertical="center"/>
    </xf>
    <xf numFmtId="166" fontId="5" fillId="5" borderId="1" xfId="3" applyNumberFormat="1" applyFont="1" applyFill="1" applyBorder="1" applyAlignment="1">
      <alignment horizontal="center" vertical="center"/>
    </xf>
    <xf numFmtId="166" fontId="4" fillId="5" borderId="1" xfId="3" applyNumberFormat="1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>
      <alignment vertical="center"/>
    </xf>
    <xf numFmtId="0" fontId="21" fillId="2" borderId="1" xfId="0" applyFont="1" applyFill="1" applyBorder="1" applyAlignment="1">
      <alignment horizontal="left" vertical="center"/>
    </xf>
    <xf numFmtId="0" fontId="1" fillId="3" borderId="0" xfId="6" applyFont="1" applyFill="1" applyAlignment="1">
      <alignment vertical="center"/>
    </xf>
    <xf numFmtId="0" fontId="0" fillId="3" borderId="0" xfId="1" applyFont="1" applyFill="1" applyAlignment="1">
      <alignment vertical="center"/>
    </xf>
    <xf numFmtId="165" fontId="0" fillId="3" borderId="1" xfId="2" applyNumberFormat="1" applyFont="1" applyFill="1" applyBorder="1" applyAlignment="1">
      <alignment horizontal="left" vertical="center" indent="1"/>
    </xf>
  </cellXfs>
  <cellStyles count="25">
    <cellStyle name="Hipervínculo" xfId="5" builtinId="8"/>
    <cellStyle name="Millares" xfId="22" builtinId="3"/>
    <cellStyle name="Millares 2" xfId="2"/>
    <cellStyle name="Millares 2 2" xfId="8"/>
    <cellStyle name="Millares 3" xfId="13"/>
    <cellStyle name="Millares 4" xfId="4"/>
    <cellStyle name="Millares 4 2" xfId="21"/>
    <cellStyle name="Millares 5" xfId="7"/>
    <cellStyle name="Normal" xfId="0" builtinId="0"/>
    <cellStyle name="Normal 2" xfId="1"/>
    <cellStyle name="Normal 2 2" xfId="14"/>
    <cellStyle name="Normal 2 3" xfId="10"/>
    <cellStyle name="Normal 3" xfId="12"/>
    <cellStyle name="Normal 3 2" xfId="15"/>
    <cellStyle name="Normal 3 3" xfId="16"/>
    <cellStyle name="Normal 3 4" xfId="17"/>
    <cellStyle name="Normal 4" xfId="18"/>
    <cellStyle name="Normal 5" xfId="6"/>
    <cellStyle name="Normal 5 2" xfId="19"/>
    <cellStyle name="Normal 6" xfId="24"/>
    <cellStyle name="Porcentaje" xfId="23" builtinId="5"/>
    <cellStyle name="Porcentaje 2" xfId="3"/>
    <cellStyle name="Porcentaje 2 2" xfId="9"/>
    <cellStyle name="Porcentaje 3" xfId="20"/>
    <cellStyle name="Porcentual 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4810124</xdr:colOff>
      <xdr:row>0</xdr:row>
      <xdr:rowOff>0</xdr:rowOff>
    </xdr:from>
    <xdr:to>
      <xdr:col>3</xdr:col>
      <xdr:colOff>19050</xdr:colOff>
      <xdr:row>1</xdr:row>
      <xdr:rowOff>15131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7924" y="0"/>
          <a:ext cx="971551" cy="777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819150</xdr:colOff>
      <xdr:row>0</xdr:row>
      <xdr:rowOff>0</xdr:rowOff>
    </xdr:from>
    <xdr:to>
      <xdr:col>6</xdr:col>
      <xdr:colOff>66675</xdr:colOff>
      <xdr:row>2</xdr:row>
      <xdr:rowOff>17828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0375" y="0"/>
          <a:ext cx="885825" cy="6083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676275</xdr:colOff>
      <xdr:row>0</xdr:row>
      <xdr:rowOff>0</xdr:rowOff>
    </xdr:from>
    <xdr:to>
      <xdr:col>12</xdr:col>
      <xdr:colOff>107373</xdr:colOff>
      <xdr:row>2</xdr:row>
      <xdr:rowOff>2242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0"/>
          <a:ext cx="878898" cy="6023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0</xdr:row>
      <xdr:rowOff>0</xdr:rowOff>
    </xdr:from>
    <xdr:to>
      <xdr:col>5</xdr:col>
      <xdr:colOff>56285</xdr:colOff>
      <xdr:row>2</xdr:row>
      <xdr:rowOff>19560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0" y="0"/>
          <a:ext cx="875435" cy="6005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14</xdr:col>
      <xdr:colOff>151535</xdr:colOff>
      <xdr:row>2</xdr:row>
      <xdr:rowOff>29085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5075" y="0"/>
          <a:ext cx="875435" cy="6005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5</xdr:col>
      <xdr:colOff>148072</xdr:colOff>
      <xdr:row>1</xdr:row>
      <xdr:rowOff>332153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4114" y="0"/>
          <a:ext cx="875435" cy="6005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0</xdr:row>
      <xdr:rowOff>0</xdr:rowOff>
    </xdr:from>
    <xdr:to>
      <xdr:col>16</xdr:col>
      <xdr:colOff>24247</xdr:colOff>
      <xdr:row>1</xdr:row>
      <xdr:rowOff>332153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4100" y="0"/>
          <a:ext cx="871972" cy="59885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0</xdr:row>
      <xdr:rowOff>0</xdr:rowOff>
    </xdr:from>
    <xdr:to>
      <xdr:col>5</xdr:col>
      <xdr:colOff>62347</xdr:colOff>
      <xdr:row>2</xdr:row>
      <xdr:rowOff>27353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0"/>
          <a:ext cx="871972" cy="5988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19050</xdr:colOff>
      <xdr:row>0</xdr:row>
      <xdr:rowOff>28575</xdr:rowOff>
    </xdr:from>
    <xdr:to>
      <xdr:col>16</xdr:col>
      <xdr:colOff>39833</xdr:colOff>
      <xdr:row>2</xdr:row>
      <xdr:rowOff>30817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8900" y="28575"/>
          <a:ext cx="868508" cy="59279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200025</xdr:colOff>
      <xdr:row>0</xdr:row>
      <xdr:rowOff>0</xdr:rowOff>
    </xdr:from>
    <xdr:to>
      <xdr:col>4</xdr:col>
      <xdr:colOff>1071997</xdr:colOff>
      <xdr:row>1</xdr:row>
      <xdr:rowOff>332153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0" y="0"/>
          <a:ext cx="871972" cy="598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tabSelected="1" zoomScaleNormal="100" workbookViewId="0">
      <pane ySplit="1" topLeftCell="A58" activePane="bottomLeft" state="frozen"/>
      <selection pane="bottomLeft"/>
    </sheetView>
  </sheetViews>
  <sheetFormatPr baseColWidth="10" defaultColWidth="10.85546875" defaultRowHeight="15" x14ac:dyDescent="0.2"/>
  <cols>
    <col min="1" max="2" width="10.85546875" style="1"/>
    <col min="3" max="3" width="86.42578125" style="1" customWidth="1"/>
    <col min="4" max="16384" width="10.85546875" style="1"/>
  </cols>
  <sheetData>
    <row r="1" spans="1:3" ht="60" customHeight="1" x14ac:dyDescent="0.2">
      <c r="B1" s="25" t="s">
        <v>337</v>
      </c>
    </row>
    <row r="4" spans="1:3" x14ac:dyDescent="0.2">
      <c r="A4" s="26" t="s">
        <v>204</v>
      </c>
      <c r="B4" s="26" t="s">
        <v>205</v>
      </c>
      <c r="C4" s="27" t="s">
        <v>206</v>
      </c>
    </row>
    <row r="5" spans="1:3" x14ac:dyDescent="0.2">
      <c r="A5" s="28">
        <v>1</v>
      </c>
      <c r="B5" s="28">
        <v>1</v>
      </c>
      <c r="C5" s="29" t="s">
        <v>207</v>
      </c>
    </row>
    <row r="6" spans="1:3" x14ac:dyDescent="0.2">
      <c r="A6" s="28"/>
      <c r="B6" s="28"/>
    </row>
    <row r="7" spans="1:3" ht="18.75" x14ac:dyDescent="0.2">
      <c r="A7" s="26" t="s">
        <v>204</v>
      </c>
      <c r="B7" s="26" t="s">
        <v>205</v>
      </c>
      <c r="C7" s="30" t="s">
        <v>338</v>
      </c>
    </row>
    <row r="8" spans="1:3" x14ac:dyDescent="0.25">
      <c r="A8" s="28">
        <v>2</v>
      </c>
      <c r="B8" s="28">
        <v>1</v>
      </c>
      <c r="C8" s="95" t="s">
        <v>296</v>
      </c>
    </row>
    <row r="9" spans="1:3" x14ac:dyDescent="0.25">
      <c r="A9" s="28">
        <v>2</v>
      </c>
      <c r="B9" s="28">
        <v>2</v>
      </c>
      <c r="C9" s="95" t="s">
        <v>297</v>
      </c>
    </row>
    <row r="10" spans="1:3" x14ac:dyDescent="0.25">
      <c r="A10" s="28">
        <v>2</v>
      </c>
      <c r="B10" s="28">
        <v>3</v>
      </c>
      <c r="C10" s="95" t="s">
        <v>298</v>
      </c>
    </row>
    <row r="11" spans="1:3" x14ac:dyDescent="0.25">
      <c r="A11" s="28">
        <v>2</v>
      </c>
      <c r="B11" s="28">
        <v>4</v>
      </c>
      <c r="C11" s="95" t="s">
        <v>299</v>
      </c>
    </row>
    <row r="12" spans="1:3" x14ac:dyDescent="0.25">
      <c r="A12" s="28">
        <v>2</v>
      </c>
      <c r="B12" s="28">
        <v>5</v>
      </c>
      <c r="C12" s="95" t="s">
        <v>300</v>
      </c>
    </row>
    <row r="13" spans="1:3" x14ac:dyDescent="0.25">
      <c r="A13" s="28">
        <v>2</v>
      </c>
      <c r="B13" s="28">
        <v>6</v>
      </c>
      <c r="C13" s="95" t="s">
        <v>339</v>
      </c>
    </row>
    <row r="15" spans="1:3" ht="18.75" x14ac:dyDescent="0.2">
      <c r="A15" s="26" t="s">
        <v>204</v>
      </c>
      <c r="B15" s="26" t="s">
        <v>205</v>
      </c>
      <c r="C15" s="30" t="s">
        <v>340</v>
      </c>
    </row>
    <row r="16" spans="1:3" x14ac:dyDescent="0.25">
      <c r="A16" s="28">
        <v>3</v>
      </c>
      <c r="B16" s="28">
        <v>1</v>
      </c>
      <c r="C16" s="95" t="s">
        <v>223</v>
      </c>
    </row>
    <row r="17" spans="1:3" x14ac:dyDescent="0.25">
      <c r="A17" s="28">
        <v>3</v>
      </c>
      <c r="B17" s="28">
        <v>2</v>
      </c>
      <c r="C17" s="95" t="s">
        <v>22</v>
      </c>
    </row>
    <row r="18" spans="1:3" x14ac:dyDescent="0.25">
      <c r="A18" s="28">
        <v>3</v>
      </c>
      <c r="B18" s="28">
        <v>3</v>
      </c>
      <c r="C18" s="95" t="s">
        <v>224</v>
      </c>
    </row>
    <row r="19" spans="1:3" x14ac:dyDescent="0.25">
      <c r="A19" s="28">
        <v>3</v>
      </c>
      <c r="B19" s="28">
        <v>4</v>
      </c>
      <c r="C19" s="95" t="s">
        <v>218</v>
      </c>
    </row>
    <row r="20" spans="1:3" x14ac:dyDescent="0.25">
      <c r="A20" s="28">
        <v>3</v>
      </c>
      <c r="B20" s="28">
        <v>5</v>
      </c>
      <c r="C20" s="95" t="s">
        <v>225</v>
      </c>
    </row>
    <row r="21" spans="1:3" x14ac:dyDescent="0.25">
      <c r="A21" s="28">
        <v>3</v>
      </c>
      <c r="B21" s="28">
        <v>6</v>
      </c>
      <c r="C21" s="95" t="s">
        <v>216</v>
      </c>
    </row>
    <row r="22" spans="1:3" x14ac:dyDescent="0.25">
      <c r="A22" s="28">
        <v>3</v>
      </c>
      <c r="B22" s="28">
        <v>7</v>
      </c>
      <c r="C22" s="95" t="s">
        <v>25</v>
      </c>
    </row>
    <row r="23" spans="1:3" x14ac:dyDescent="0.25">
      <c r="A23" s="28">
        <v>3</v>
      </c>
      <c r="B23" s="28">
        <v>8</v>
      </c>
      <c r="C23" s="95" t="s">
        <v>34</v>
      </c>
    </row>
    <row r="24" spans="1:3" x14ac:dyDescent="0.25">
      <c r="A24" s="28">
        <v>3</v>
      </c>
      <c r="B24" s="28">
        <v>9</v>
      </c>
      <c r="C24" s="95" t="s">
        <v>292</v>
      </c>
    </row>
    <row r="27" spans="1:3" ht="18.75" x14ac:dyDescent="0.2">
      <c r="A27" s="26" t="s">
        <v>204</v>
      </c>
      <c r="B27" s="26" t="s">
        <v>205</v>
      </c>
      <c r="C27" s="35" t="s">
        <v>341</v>
      </c>
    </row>
    <row r="28" spans="1:3" x14ac:dyDescent="0.25">
      <c r="A28" s="28">
        <v>4</v>
      </c>
      <c r="B28" s="28">
        <v>1</v>
      </c>
      <c r="C28" s="95" t="s">
        <v>303</v>
      </c>
    </row>
    <row r="29" spans="1:3" x14ac:dyDescent="0.25">
      <c r="A29" s="28">
        <v>4</v>
      </c>
      <c r="B29" s="28">
        <v>2</v>
      </c>
      <c r="C29" s="95" t="s">
        <v>307</v>
      </c>
    </row>
    <row r="30" spans="1:3" x14ac:dyDescent="0.25">
      <c r="A30" s="28">
        <v>4</v>
      </c>
      <c r="B30" s="28">
        <v>3</v>
      </c>
      <c r="C30" s="95" t="s">
        <v>308</v>
      </c>
    </row>
    <row r="31" spans="1:3" x14ac:dyDescent="0.25">
      <c r="A31" s="28">
        <v>4</v>
      </c>
      <c r="B31" s="28">
        <v>4</v>
      </c>
      <c r="C31" s="95" t="s">
        <v>309</v>
      </c>
    </row>
    <row r="32" spans="1:3" x14ac:dyDescent="0.25">
      <c r="A32" s="28">
        <v>4</v>
      </c>
      <c r="B32" s="28">
        <v>5</v>
      </c>
      <c r="C32" s="95" t="s">
        <v>310</v>
      </c>
    </row>
    <row r="33" spans="1:3" x14ac:dyDescent="0.25">
      <c r="A33" s="28">
        <v>4</v>
      </c>
      <c r="B33" s="28">
        <v>6</v>
      </c>
      <c r="C33" s="95" t="s">
        <v>311</v>
      </c>
    </row>
    <row r="34" spans="1:3" x14ac:dyDescent="0.25">
      <c r="A34" s="28">
        <v>4</v>
      </c>
      <c r="B34" s="28">
        <v>7</v>
      </c>
      <c r="C34" s="95" t="s">
        <v>312</v>
      </c>
    </row>
    <row r="35" spans="1:3" x14ac:dyDescent="0.25">
      <c r="A35" s="28">
        <v>4</v>
      </c>
      <c r="B35" s="28">
        <v>8</v>
      </c>
      <c r="C35" s="95" t="s">
        <v>313</v>
      </c>
    </row>
    <row r="38" spans="1:3" ht="18.75" x14ac:dyDescent="0.2">
      <c r="A38" s="26" t="s">
        <v>204</v>
      </c>
      <c r="B38" s="26" t="s">
        <v>205</v>
      </c>
      <c r="C38" s="30" t="s">
        <v>342</v>
      </c>
    </row>
    <row r="39" spans="1:3" x14ac:dyDescent="0.25">
      <c r="A39" s="28">
        <v>5</v>
      </c>
      <c r="B39" s="28">
        <v>1</v>
      </c>
      <c r="C39" s="95" t="s">
        <v>45</v>
      </c>
    </row>
    <row r="40" spans="1:3" x14ac:dyDescent="0.25">
      <c r="A40" s="28">
        <v>5</v>
      </c>
      <c r="B40" s="28">
        <v>2</v>
      </c>
      <c r="C40" s="95" t="s">
        <v>208</v>
      </c>
    </row>
    <row r="41" spans="1:3" x14ac:dyDescent="0.25">
      <c r="A41" s="28">
        <v>5</v>
      </c>
      <c r="B41" s="28">
        <v>3</v>
      </c>
      <c r="C41" s="95" t="s">
        <v>46</v>
      </c>
    </row>
    <row r="42" spans="1:3" x14ac:dyDescent="0.25">
      <c r="A42" s="28">
        <v>5</v>
      </c>
      <c r="B42" s="28">
        <v>4</v>
      </c>
      <c r="C42" s="95" t="s">
        <v>209</v>
      </c>
    </row>
    <row r="43" spans="1:3" x14ac:dyDescent="0.25">
      <c r="A43" s="28">
        <v>5</v>
      </c>
      <c r="B43" s="28">
        <v>5</v>
      </c>
      <c r="C43" s="95" t="s">
        <v>221</v>
      </c>
    </row>
    <row r="44" spans="1:3" x14ac:dyDescent="0.25">
      <c r="A44" s="28">
        <v>5</v>
      </c>
      <c r="B44" s="28">
        <v>6</v>
      </c>
      <c r="C44" s="95" t="s">
        <v>222</v>
      </c>
    </row>
    <row r="45" spans="1:3" x14ac:dyDescent="0.25">
      <c r="A45" s="28">
        <v>5</v>
      </c>
      <c r="B45" s="28">
        <v>7</v>
      </c>
      <c r="C45" s="95" t="s">
        <v>49</v>
      </c>
    </row>
    <row r="46" spans="1:3" x14ac:dyDescent="0.25">
      <c r="A46" s="28">
        <v>5</v>
      </c>
      <c r="B46" s="28">
        <v>8</v>
      </c>
      <c r="C46" s="95" t="s">
        <v>50</v>
      </c>
    </row>
    <row r="47" spans="1:3" x14ac:dyDescent="0.25">
      <c r="A47" s="28">
        <v>5</v>
      </c>
      <c r="B47" s="28">
        <v>9</v>
      </c>
      <c r="C47" s="95" t="s">
        <v>210</v>
      </c>
    </row>
    <row r="48" spans="1:3" x14ac:dyDescent="0.25">
      <c r="A48" s="28">
        <v>5</v>
      </c>
      <c r="B48" s="28">
        <v>10</v>
      </c>
      <c r="C48" s="95" t="s">
        <v>211</v>
      </c>
    </row>
    <row r="49" spans="1:3" x14ac:dyDescent="0.25">
      <c r="A49" s="28">
        <v>5</v>
      </c>
      <c r="B49" s="28">
        <v>11</v>
      </c>
      <c r="C49" s="95" t="s">
        <v>212</v>
      </c>
    </row>
    <row r="50" spans="1:3" x14ac:dyDescent="0.25">
      <c r="A50" s="28">
        <v>5</v>
      </c>
      <c r="B50" s="28">
        <v>12</v>
      </c>
      <c r="C50" s="95" t="s">
        <v>229</v>
      </c>
    </row>
    <row r="51" spans="1:3" x14ac:dyDescent="0.25">
      <c r="A51" s="28">
        <v>5</v>
      </c>
      <c r="B51" s="28">
        <v>13</v>
      </c>
      <c r="C51" s="95" t="s">
        <v>230</v>
      </c>
    </row>
    <row r="52" spans="1:3" x14ac:dyDescent="0.25">
      <c r="A52" s="28">
        <v>5</v>
      </c>
      <c r="B52" s="28">
        <v>14</v>
      </c>
      <c r="C52" s="95" t="s">
        <v>231</v>
      </c>
    </row>
    <row r="53" spans="1:3" x14ac:dyDescent="0.25">
      <c r="A53" s="28">
        <v>5</v>
      </c>
      <c r="B53" s="28">
        <v>15</v>
      </c>
      <c r="C53" s="95" t="s">
        <v>232</v>
      </c>
    </row>
    <row r="54" spans="1:3" x14ac:dyDescent="0.25">
      <c r="A54" s="28">
        <v>5</v>
      </c>
      <c r="B54" s="28">
        <v>16</v>
      </c>
      <c r="C54" s="95" t="s">
        <v>86</v>
      </c>
    </row>
    <row r="57" spans="1:3" ht="18.75" x14ac:dyDescent="0.2">
      <c r="A57" s="26" t="s">
        <v>204</v>
      </c>
      <c r="B57" s="26" t="s">
        <v>205</v>
      </c>
      <c r="C57" s="35" t="s">
        <v>343</v>
      </c>
    </row>
    <row r="58" spans="1:3" x14ac:dyDescent="0.25">
      <c r="A58" s="28">
        <v>6</v>
      </c>
      <c r="B58" s="28">
        <v>1</v>
      </c>
      <c r="C58" s="95" t="s">
        <v>315</v>
      </c>
    </row>
    <row r="59" spans="1:3" x14ac:dyDescent="0.25">
      <c r="A59" s="28">
        <v>6</v>
      </c>
      <c r="B59" s="28">
        <v>2</v>
      </c>
      <c r="C59" s="95" t="s">
        <v>316</v>
      </c>
    </row>
    <row r="60" spans="1:3" x14ac:dyDescent="0.25">
      <c r="A60" s="28">
        <v>6</v>
      </c>
      <c r="B60" s="28">
        <v>3</v>
      </c>
      <c r="C60" s="95" t="s">
        <v>319</v>
      </c>
    </row>
    <row r="61" spans="1:3" x14ac:dyDescent="0.25">
      <c r="A61" s="28">
        <v>6</v>
      </c>
      <c r="B61" s="28">
        <v>4</v>
      </c>
      <c r="C61" s="95" t="s">
        <v>320</v>
      </c>
    </row>
    <row r="62" spans="1:3" x14ac:dyDescent="0.25">
      <c r="A62" s="28">
        <v>6</v>
      </c>
      <c r="B62" s="28">
        <v>5</v>
      </c>
      <c r="C62" s="95" t="s">
        <v>321</v>
      </c>
    </row>
    <row r="63" spans="1:3" x14ac:dyDescent="0.25">
      <c r="A63" s="28">
        <v>6</v>
      </c>
      <c r="B63" s="28">
        <v>6</v>
      </c>
      <c r="C63" s="95" t="s">
        <v>322</v>
      </c>
    </row>
    <row r="64" spans="1:3" x14ac:dyDescent="0.25">
      <c r="A64" s="28">
        <v>6</v>
      </c>
      <c r="B64" s="28">
        <v>7</v>
      </c>
      <c r="C64" s="95" t="s">
        <v>323</v>
      </c>
    </row>
    <row r="65" spans="1:3" x14ac:dyDescent="0.25">
      <c r="A65" s="28">
        <v>6</v>
      </c>
      <c r="B65" s="28">
        <v>8</v>
      </c>
      <c r="C65" s="95" t="s">
        <v>324</v>
      </c>
    </row>
    <row r="68" spans="1:3" ht="18.75" x14ac:dyDescent="0.2">
      <c r="A68" s="26" t="s">
        <v>204</v>
      </c>
      <c r="B68" s="26" t="s">
        <v>205</v>
      </c>
      <c r="C68" s="35" t="s">
        <v>344</v>
      </c>
    </row>
    <row r="69" spans="1:3" x14ac:dyDescent="0.25">
      <c r="A69" s="28">
        <v>7</v>
      </c>
      <c r="B69" s="28">
        <v>1</v>
      </c>
      <c r="C69" s="95" t="s">
        <v>226</v>
      </c>
    </row>
    <row r="70" spans="1:3" x14ac:dyDescent="0.25">
      <c r="A70" s="28">
        <v>7</v>
      </c>
      <c r="B70" s="28">
        <v>2</v>
      </c>
      <c r="C70" s="95" t="s">
        <v>213</v>
      </c>
    </row>
    <row r="71" spans="1:3" x14ac:dyDescent="0.25">
      <c r="A71" s="28">
        <v>7</v>
      </c>
      <c r="B71" s="28">
        <v>3</v>
      </c>
      <c r="C71" s="95" t="s">
        <v>227</v>
      </c>
    </row>
    <row r="72" spans="1:3" x14ac:dyDescent="0.25">
      <c r="A72" s="28">
        <v>7</v>
      </c>
      <c r="B72" s="28">
        <v>4</v>
      </c>
      <c r="C72" s="95" t="s">
        <v>239</v>
      </c>
    </row>
    <row r="75" spans="1:3" ht="18.75" x14ac:dyDescent="0.2">
      <c r="A75" s="26" t="s">
        <v>204</v>
      </c>
      <c r="B75" s="26" t="s">
        <v>205</v>
      </c>
      <c r="C75" s="35" t="s">
        <v>345</v>
      </c>
    </row>
    <row r="76" spans="1:3" x14ac:dyDescent="0.25">
      <c r="A76" s="28">
        <v>8</v>
      </c>
      <c r="B76" s="28">
        <v>1</v>
      </c>
      <c r="C76" s="95" t="s">
        <v>346</v>
      </c>
    </row>
    <row r="77" spans="1:3" x14ac:dyDescent="0.25">
      <c r="A77" s="28">
        <v>8</v>
      </c>
      <c r="B77" s="28">
        <v>2</v>
      </c>
      <c r="C77" s="95" t="s">
        <v>327</v>
      </c>
    </row>
    <row r="78" spans="1:3" x14ac:dyDescent="0.25">
      <c r="A78" s="28">
        <v>8</v>
      </c>
      <c r="B78" s="28">
        <v>3</v>
      </c>
      <c r="C78" s="95" t="s">
        <v>330</v>
      </c>
    </row>
    <row r="79" spans="1:3" x14ac:dyDescent="0.25">
      <c r="A79" s="28">
        <v>8</v>
      </c>
      <c r="B79" s="28">
        <v>4</v>
      </c>
      <c r="C79" s="95" t="s">
        <v>331</v>
      </c>
    </row>
    <row r="80" spans="1:3" x14ac:dyDescent="0.25">
      <c r="A80" s="28">
        <v>8</v>
      </c>
      <c r="B80" s="28">
        <v>5</v>
      </c>
      <c r="C80" s="95" t="s">
        <v>332</v>
      </c>
    </row>
    <row r="81" spans="1:3" x14ac:dyDescent="0.25">
      <c r="A81" s="28">
        <v>8</v>
      </c>
      <c r="B81" s="28">
        <v>6</v>
      </c>
      <c r="C81" s="95" t="s">
        <v>333</v>
      </c>
    </row>
    <row r="82" spans="1:3" x14ac:dyDescent="0.25">
      <c r="A82" s="28">
        <v>8</v>
      </c>
      <c r="B82" s="28">
        <v>7</v>
      </c>
      <c r="C82" s="95" t="s">
        <v>334</v>
      </c>
    </row>
    <row r="83" spans="1:3" x14ac:dyDescent="0.25">
      <c r="A83" s="28">
        <v>8</v>
      </c>
      <c r="B83" s="28">
        <v>8</v>
      </c>
      <c r="C83" s="95" t="s">
        <v>335</v>
      </c>
    </row>
    <row r="86" spans="1:3" ht="18.75" x14ac:dyDescent="0.2">
      <c r="A86" s="26" t="s">
        <v>204</v>
      </c>
      <c r="B86" s="26" t="s">
        <v>205</v>
      </c>
      <c r="C86" s="35" t="s">
        <v>347</v>
      </c>
    </row>
    <row r="87" spans="1:3" x14ac:dyDescent="0.25">
      <c r="A87" s="28">
        <v>9</v>
      </c>
      <c r="B87" s="28">
        <v>1</v>
      </c>
      <c r="C87" s="95" t="s">
        <v>94</v>
      </c>
    </row>
    <row r="88" spans="1:3" x14ac:dyDescent="0.25">
      <c r="A88" s="28">
        <v>9</v>
      </c>
      <c r="B88" s="28">
        <v>2</v>
      </c>
      <c r="C88" s="95" t="s">
        <v>95</v>
      </c>
    </row>
    <row r="89" spans="1:3" x14ac:dyDescent="0.25">
      <c r="A89" s="28">
        <v>9</v>
      </c>
      <c r="B89" s="28">
        <v>3</v>
      </c>
      <c r="C89" s="95" t="s">
        <v>228</v>
      </c>
    </row>
    <row r="90" spans="1:3" x14ac:dyDescent="0.25">
      <c r="A90" s="28">
        <v>9</v>
      </c>
      <c r="B90" s="28">
        <v>4</v>
      </c>
      <c r="C90" s="95" t="s">
        <v>240</v>
      </c>
    </row>
    <row r="92" spans="1:3" x14ac:dyDescent="0.2">
      <c r="A92" s="26" t="s">
        <v>204</v>
      </c>
      <c r="B92" s="26" t="s">
        <v>205</v>
      </c>
      <c r="C92" s="27" t="s">
        <v>206</v>
      </c>
    </row>
    <row r="93" spans="1:3" x14ac:dyDescent="0.2">
      <c r="A93" s="28">
        <v>10</v>
      </c>
      <c r="B93" s="28">
        <v>1</v>
      </c>
      <c r="C93" s="34" t="s">
        <v>348</v>
      </c>
    </row>
    <row r="96" spans="1:3" x14ac:dyDescent="0.25">
      <c r="B96" s="36" t="s">
        <v>253</v>
      </c>
    </row>
  </sheetData>
  <hyperlinks>
    <hyperlink ref="C38" location="'Evolución Tituación Pregrado'!A1" display="Evolución titulación Pregrado 2008-2012"/>
    <hyperlink ref="C68" location="'Evolución Titulados Posgrado'!A1" display="Evolución titulación Posgrado 2008-2012"/>
    <hyperlink ref="C86" location="'Evolución Titulados Postítulo'!A1" display="Evolución titulación Postítulo 2008-2012"/>
    <hyperlink ref="C93" location="'Listado de Instituciones'!A4" display="Listado de instituciones participantes 2020"/>
    <hyperlink ref="C8:C13" location="'Titulación Total 2017'!A1" display="Titulación Total 2017 por tipo de institución y nivel de formación"/>
    <hyperlink ref="C8" location="'Titulación Total 2020'!A4" display="Titulación Total 2020 por tipo de institución y nivel de formación"/>
    <hyperlink ref="C9" location="'Titulación Total 2020'!A11" display="Titulación Total 2020 por tipo de institución y sexo"/>
    <hyperlink ref="C10" location="'Titulación Total 2020'!A18" display="Titulación Total 2020 por tipo de institución 2 y nivel de formación"/>
    <hyperlink ref="C11" location="'Titulación Total 2020'!A29" display="Titulación Total 2020 por tipo de institución 2 y sexo"/>
    <hyperlink ref="C12" location="'Titulación Total 2020'!A40" display="Titulación Total 2020 por región y sexo"/>
    <hyperlink ref="C13" location="'Titulación Total 2020'!A60" display="Titulación Total 2020  por área y sexo"/>
    <hyperlink ref="C16:C24" location="'Evolución Titulación Total'!A1" display="Evolución de Titulación Total por nivel de formación"/>
    <hyperlink ref="C16" location="'Evolución Titulación Total'!A4" display="Evolución de Titulación Total por nivel de formación"/>
    <hyperlink ref="C17" location="'Evolución Titulación Total'!A11" display="Evolución de Titulación Total por tipo de institución "/>
    <hyperlink ref="C18" location="'Evolución Titulación Total'!A18" display="Evolución de Titulación Total por tipo de institución y nivel de formación"/>
    <hyperlink ref="C19" location="'Evolución Titulación Total'!A32" display="Evolución de Titulación Total por tipo de institución 2 "/>
    <hyperlink ref="C20" location="'Evolución Titulación Total'!A43" display="Evolución de Titulación Total por tipo de institución 2 y nivel de formación"/>
    <hyperlink ref="C21" location="'Evolución Titulación Total'!A68" display="Evolución de Titulación Total por sexo"/>
    <hyperlink ref="C22" location="'Evolución Titulación Total'!A74" display="Evolución de Titulación Total por rango de edad y/o promedio de edad"/>
    <hyperlink ref="C23" location="'Evolución Titulación Total'!A86" display="Evolución de Titulación Total por región"/>
    <hyperlink ref="C24" location="'Evolución Titulación Total'!A106" display="Evolución de la Titulación Total por jornada de estudios de la carrera"/>
    <hyperlink ref="C28:C35" location="'Titulación Pregrado 2020'!A1" display="Titulación Total 2020 de Pregrado por sexo y tipo de institución"/>
    <hyperlink ref="C39:C54" location="'Evolución Titulación Pregrado'!A1" display="Evolución de Titulación Total de Pregrado por tipo de institución"/>
    <hyperlink ref="C58:C65" location="'Titulación Posgrado 2020'!A1" display="Titulación Total 2020 de Posgrado por tipo de universidad y tipo de programa"/>
    <hyperlink ref="C69:C72" location="'Evolución Titulación Posgrado'!A1" display="Evolución de Titulación Total de Posgrado por tipo de universidad"/>
    <hyperlink ref="C76:C83" location="'Titulacion Postitulo 2020'!A1" display="Titulación Total 2020 de Postítulo por tipo de universidad y tipo de programa"/>
    <hyperlink ref="C87:C90" location="'Evolucion Titulacion Postitulo'!A1" display="Evolución de Titulación Total de Postítulo por tipo de institución"/>
    <hyperlink ref="C90" location="'Evolucion Titulacion Postitulo'!A31" display="Evolución de Titulación Total de Postítulo por sexo y tipo de programa"/>
    <hyperlink ref="C89" location="'Evolucion Titulacion Postitulo'!A18" display="Evolución de Titulación Total de Postítulo por tipo de institución y tipo de programa"/>
    <hyperlink ref="C88" location="'Evolucion Titulacion Postitulo'!A11" display="Evolución de Titulación Total de Postítulo por tipo de programa"/>
    <hyperlink ref="C87" location="'Evolucion Titulacion Postitulo'!A4" display="Evolución de Titulación Total de Postítulo por tipo de institución"/>
    <hyperlink ref="C83" location="'Titulacion Postitulo 2020'!A86" display="Titulación Total 2020 de Postítulo por región y sexo"/>
    <hyperlink ref="C82" location="'Titulacion Postitulo 2020'!A72" display="Titulación Total 2020 de Postítulo por área y sexo"/>
    <hyperlink ref="C81" location="'Titulacion Postitulo 2020'!A52" display="Titulación Total 2020 de Postítulo por región y tipo de programa"/>
    <hyperlink ref="C80" location="'Titulacion Postitulo 2020'!A43" display="Titulación Total 2020 de Postítulo por jornada y tipo de programa"/>
    <hyperlink ref="C79" location="'Titulacion Postitulo 2020'!A29" display="Titulación Total 2020 de Postítulo por área y tipo de programa"/>
    <hyperlink ref="C78" location="'Titulacion Postitulo 2020'!A17" display="Titulación Total 2020 de Postítulo por rango de edad y tipo de programa"/>
    <hyperlink ref="C77" location="'Titulacion Postitulo 2020'!A11" display="Titulación Total 2020 de Postítulo por sexo y tipo de programa"/>
    <hyperlink ref="C76" location="'Titulacion Postitulo 2020'!A4" display="Titulación Total 2020 de Postítulo por tipo de universidad y tipo de programa"/>
    <hyperlink ref="C28" location="'Titulación Pregrado 2020'!A4" display="Titulación Total 2020 de Pregrado por sexo y tipo de institución"/>
    <hyperlink ref="C29" location="'Titulación Pregrado 2020'!A10" display="Titulación Total 2020 de Pregrado por rango de edad y tipo de institución "/>
    <hyperlink ref="C30" location="'Titulación Pregrado 2020'!A22" display="Titulación Total 2020 de Pregrado por tipo de carrera y tipo de institución"/>
    <hyperlink ref="C31" location="'Titulación Pregrado 2020'!A30" display="Titulación Total 2020 de Pregrado por área y tipo de institución"/>
    <hyperlink ref="C32" location="'Titulación Pregrado 2020'!A44" display="Titulación Total 2020 de Pregrado por área y sexo"/>
    <hyperlink ref="C33" location="'Titulación Pregrado 2020'!A58" display="Titulación Total 2020 de Pregrado por jornada y tipo de institución"/>
    <hyperlink ref="C34" location="'Titulación Pregrado 2020'!A67" display="Titulación Total 2020 de Pregrado por región y tipo de institución"/>
    <hyperlink ref="C35" location="'Titulación Pregrado 2020'!A87" display="Titulación Total 2020 de Pregrado por región y sexo"/>
    <hyperlink ref="C54" location="'Evolución Titulación Pregrado'!A195" display="Evolución de Titulación Total de Pregrado por rango de edad"/>
    <hyperlink ref="C53" location="'Evolución Titulación Pregrado'!A189" display="Evolución de Titulación Total de Pregrado por sexo - Universidades"/>
    <hyperlink ref="C52" location="'Evolución Titulación Pregrado'!A183" display="Evolución de Titulación Total de Pregrado por sexo - IP"/>
    <hyperlink ref="C51" location="'Evolución Titulación Pregrado'!A177" display="Evolución de Titulación Total de Pregrado por sexo - CFT"/>
    <hyperlink ref="C50" location="'Evolución Titulación Pregrado'!A171" display="Evolución de Titulación Total de Pregrado por sexo"/>
    <hyperlink ref="C49" location="'Evolución Titulación Pregrado'!A148" display="Evolución de Titulación Total de Pregrado en carreras de mayor titulación - Universidades"/>
    <hyperlink ref="C48" location="'Evolución Titulación Pregrado'!A125" display="Evolución de Titulación Total de Pregrado en carreras de mayor titulación - IP"/>
    <hyperlink ref="C47" location="'Evolución Titulación Pregrado'!A102" display="Evolución de Titulación Total de Pregrado en carreras de mayor titulación - CFT"/>
    <hyperlink ref="C46" location="'Evolución Titulación Pregrado'!A88" display="Evolución de Titulación Total de Pregrado por área"/>
    <hyperlink ref="C45" location="'Evolución Titulación Pregrado'!A79" display="Evolución de Titulación Total de Pregrado por jornada"/>
    <hyperlink ref="C44" location="'Evolución Titulación Pregrado'!A52" display="Evolución de Titulación Total de Pregrado por tipo de institución 2 y tipo de carrera"/>
    <hyperlink ref="C43" location="'Evolución Titulación Pregrado'!A38" display="Evolución de Titulación Total de Pregrado por tipo de institución y tipo de carrera"/>
    <hyperlink ref="C42" location="'Evolución Titulación Pregrado'!A30" display="Evolución de Titulación Total de Pregrado por tipo de carrera (técnico y profesional)"/>
    <hyperlink ref="C41" location="'Evolución Titulación Pregrado'!A22" display="Evolución de Titulación Total de Pregrado por tipo de carrera"/>
    <hyperlink ref="C40" location="'Evolución Titulación Pregrado'!A11" display="Evolución de Titulación Total de Pregrado por tipo de institución 2"/>
    <hyperlink ref="C39" location="'Evolución Titulación Pregrado'!A4" display="Evolución de Titulación Total de Pregrado por tipo de institución"/>
    <hyperlink ref="C58" location="'Titulación Posgrado 2020'!A4" display="Titulación Total 2020 de Posgrado por tipo de universidad y tipo de programa"/>
    <hyperlink ref="C59" location="'Titulación Posgrado 2020'!A12" display="Titulación Total 2020 de Posgrado por sexo y tipo de programa"/>
    <hyperlink ref="C60" location="'Titulación Posgrado 2020'!A18" display="Titulación Total 2020 de Posgrado por rango de edad y tipo de programa"/>
    <hyperlink ref="C61" location="'Titulación Posgrado 2020'!A29" display="Titulación Total 2020 de Posgrado por área y tipo de programa"/>
    <hyperlink ref="C62" location="'Titulación Posgrado 2020'!A43" display="Titulación Total 2020 de Posgrado por jornada y tipo de programa"/>
    <hyperlink ref="C63" location="'Titulación Posgrado 2020'!A52" display="Titulación Total 2020 de Posgrado por región y tipo de programa"/>
    <hyperlink ref="C64" location="'Titulación Posgrado 2020'!A72" display="Titulación Total 2020 de Posgrado por área y sexo"/>
    <hyperlink ref="C65" location="'Titulación Posgrado 2020'!A86" display="Titulación Total 2020 de Posgrado por región y sexo"/>
    <hyperlink ref="C69" location="'Evolución Titulación Posgrado'!A4" display="Evolución de Titulación Total de Posgrado por tipo de universidad"/>
    <hyperlink ref="C70" location="'Evolución Titulación Posgrado'!A12" display="Evolución de Titulación Total de Posgrado por tipo de programa "/>
    <hyperlink ref="C71" location="'Evolución Titulación Posgrado'!A18" display="Evolución de Titulación Total de Posgrado por tipo de universidad y tipo de programa "/>
    <hyperlink ref="C72" location="'Evolución Titulación Posgrado'!A32" display="Evolución de Titulación Total de Pregrado por sexo y tipo de programa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showGridLines="0" zoomScaleNormal="100" workbookViewId="0">
      <pane ySplit="2" topLeftCell="A46" activePane="bottomLeft" state="frozen"/>
      <selection pane="bottomLeft"/>
    </sheetView>
  </sheetViews>
  <sheetFormatPr baseColWidth="10" defaultColWidth="10.85546875" defaultRowHeight="15" x14ac:dyDescent="0.2"/>
  <cols>
    <col min="1" max="1" width="48.7109375" style="1" customWidth="1"/>
    <col min="2" max="5" width="13.7109375" style="1" customWidth="1"/>
    <col min="6" max="16384" width="10.85546875" style="1"/>
  </cols>
  <sheetData>
    <row r="1" spans="1:5" ht="21" x14ac:dyDescent="0.2">
      <c r="A1" s="62" t="s">
        <v>295</v>
      </c>
      <c r="B1" s="37"/>
      <c r="C1" s="37"/>
      <c r="D1" s="37"/>
      <c r="E1" s="37"/>
    </row>
    <row r="2" spans="1:5" ht="25.5" customHeight="1" x14ac:dyDescent="0.2">
      <c r="A2" s="129" t="s">
        <v>372</v>
      </c>
      <c r="B2" s="37"/>
      <c r="C2" s="37"/>
      <c r="D2" s="37"/>
      <c r="E2" s="37"/>
    </row>
    <row r="3" spans="1:5" ht="15" customHeight="1" x14ac:dyDescent="0.2">
      <c r="A3" s="35"/>
      <c r="B3" s="37"/>
      <c r="C3" s="37"/>
      <c r="D3" s="37"/>
      <c r="E3" s="37"/>
    </row>
    <row r="4" spans="1:5" ht="15.75" x14ac:dyDescent="0.2">
      <c r="A4" s="24" t="s">
        <v>296</v>
      </c>
      <c r="B4" s="37"/>
      <c r="C4" s="37"/>
      <c r="D4" s="37"/>
      <c r="E4" s="37"/>
    </row>
    <row r="5" spans="1:5" x14ac:dyDescent="0.2">
      <c r="A5" s="82" t="s">
        <v>0</v>
      </c>
      <c r="B5" s="3" t="s">
        <v>1</v>
      </c>
      <c r="C5" s="3" t="s">
        <v>2</v>
      </c>
      <c r="D5" s="3" t="s">
        <v>3</v>
      </c>
      <c r="E5" s="78" t="s">
        <v>8</v>
      </c>
    </row>
    <row r="6" spans="1:5" x14ac:dyDescent="0.2">
      <c r="A6" s="4" t="s">
        <v>5</v>
      </c>
      <c r="B6" s="4">
        <v>22709</v>
      </c>
      <c r="C6" s="4"/>
      <c r="D6" s="4">
        <v>3</v>
      </c>
      <c r="E6" s="4">
        <v>22712</v>
      </c>
    </row>
    <row r="7" spans="1:5" x14ac:dyDescent="0.2">
      <c r="A7" s="4" t="s">
        <v>6</v>
      </c>
      <c r="B7" s="4">
        <v>62759</v>
      </c>
      <c r="C7" s="4"/>
      <c r="D7" s="4">
        <v>1067</v>
      </c>
      <c r="E7" s="4">
        <v>63826</v>
      </c>
    </row>
    <row r="8" spans="1:5" x14ac:dyDescent="0.2">
      <c r="A8" s="4" t="s">
        <v>7</v>
      </c>
      <c r="B8" s="4">
        <v>71197</v>
      </c>
      <c r="C8" s="4">
        <v>15168</v>
      </c>
      <c r="D8" s="4">
        <v>26131</v>
      </c>
      <c r="E8" s="4">
        <v>112496</v>
      </c>
    </row>
    <row r="9" spans="1:5" x14ac:dyDescent="0.2">
      <c r="A9" s="5" t="s">
        <v>4</v>
      </c>
      <c r="B9" s="5">
        <v>156665</v>
      </c>
      <c r="C9" s="5">
        <v>15168</v>
      </c>
      <c r="D9" s="5">
        <v>27201</v>
      </c>
      <c r="E9" s="5">
        <v>199034</v>
      </c>
    </row>
    <row r="10" spans="1:5" x14ac:dyDescent="0.2">
      <c r="A10" s="37"/>
      <c r="B10" s="63"/>
      <c r="C10" s="63"/>
      <c r="D10" s="63"/>
      <c r="E10" s="63"/>
    </row>
    <row r="11" spans="1:5" ht="15.75" x14ac:dyDescent="0.2">
      <c r="A11" s="24" t="s">
        <v>297</v>
      </c>
      <c r="B11" s="37"/>
      <c r="C11" s="37"/>
      <c r="D11" s="37"/>
      <c r="E11" s="37"/>
    </row>
    <row r="12" spans="1:5" x14ac:dyDescent="0.2">
      <c r="A12" s="82" t="s">
        <v>0</v>
      </c>
      <c r="B12" s="6" t="s">
        <v>214</v>
      </c>
      <c r="C12" s="6" t="s">
        <v>215</v>
      </c>
      <c r="D12" s="78" t="s">
        <v>8</v>
      </c>
      <c r="E12" s="37"/>
    </row>
    <row r="13" spans="1:5" x14ac:dyDescent="0.2">
      <c r="A13" s="4" t="s">
        <v>5</v>
      </c>
      <c r="B13" s="4">
        <v>13535</v>
      </c>
      <c r="C13" s="4">
        <v>9177</v>
      </c>
      <c r="D13" s="4">
        <v>22712</v>
      </c>
      <c r="E13" s="37"/>
    </row>
    <row r="14" spans="1:5" x14ac:dyDescent="0.2">
      <c r="A14" s="4" t="s">
        <v>6</v>
      </c>
      <c r="B14" s="4">
        <v>36969</v>
      </c>
      <c r="C14" s="4">
        <v>26857</v>
      </c>
      <c r="D14" s="4">
        <v>63826</v>
      </c>
      <c r="E14" s="37"/>
    </row>
    <row r="15" spans="1:5" x14ac:dyDescent="0.2">
      <c r="A15" s="4" t="s">
        <v>7</v>
      </c>
      <c r="B15" s="4">
        <v>62629</v>
      </c>
      <c r="C15" s="4">
        <v>49867</v>
      </c>
      <c r="D15" s="4">
        <v>112496</v>
      </c>
      <c r="E15" s="37"/>
    </row>
    <row r="16" spans="1:5" x14ac:dyDescent="0.2">
      <c r="A16" s="5" t="s">
        <v>4</v>
      </c>
      <c r="B16" s="5">
        <v>113133</v>
      </c>
      <c r="C16" s="5">
        <v>85901</v>
      </c>
      <c r="D16" s="5">
        <v>199034</v>
      </c>
      <c r="E16" s="37"/>
    </row>
    <row r="17" spans="1:5" x14ac:dyDescent="0.2">
      <c r="A17" s="37"/>
      <c r="B17" s="63"/>
      <c r="C17" s="63"/>
      <c r="D17" s="63"/>
      <c r="E17" s="37"/>
    </row>
    <row r="18" spans="1:5" ht="15.75" x14ac:dyDescent="0.2">
      <c r="A18" s="24" t="s">
        <v>298</v>
      </c>
      <c r="B18" s="37"/>
      <c r="C18" s="37"/>
      <c r="D18" s="37"/>
      <c r="E18" s="37"/>
    </row>
    <row r="19" spans="1:5" x14ac:dyDescent="0.2">
      <c r="A19" s="82" t="s">
        <v>0</v>
      </c>
      <c r="B19" s="3" t="s">
        <v>1</v>
      </c>
      <c r="C19" s="3" t="s">
        <v>2</v>
      </c>
      <c r="D19" s="3" t="s">
        <v>3</v>
      </c>
      <c r="E19" s="6" t="s">
        <v>8</v>
      </c>
    </row>
    <row r="20" spans="1:5" x14ac:dyDescent="0.2">
      <c r="A20" s="4" t="s">
        <v>5</v>
      </c>
      <c r="B20" s="4">
        <v>22627</v>
      </c>
      <c r="C20" s="4"/>
      <c r="D20" s="4">
        <v>3</v>
      </c>
      <c r="E20" s="4">
        <v>22630</v>
      </c>
    </row>
    <row r="21" spans="1:5" x14ac:dyDescent="0.2">
      <c r="A21" s="4" t="s">
        <v>365</v>
      </c>
      <c r="B21" s="4">
        <v>82</v>
      </c>
      <c r="C21" s="4"/>
      <c r="D21" s="4"/>
      <c r="E21" s="4">
        <v>82</v>
      </c>
    </row>
    <row r="22" spans="1:5" x14ac:dyDescent="0.2">
      <c r="A22" s="4" t="s">
        <v>6</v>
      </c>
      <c r="B22" s="4">
        <v>62759</v>
      </c>
      <c r="C22" s="4"/>
      <c r="D22" s="4">
        <v>1067</v>
      </c>
      <c r="E22" s="4">
        <v>63826</v>
      </c>
    </row>
    <row r="23" spans="1:5" x14ac:dyDescent="0.2">
      <c r="A23" s="31" t="s">
        <v>243</v>
      </c>
      <c r="B23" s="4">
        <v>18841</v>
      </c>
      <c r="C23" s="4">
        <v>2833</v>
      </c>
      <c r="D23" s="4">
        <v>1476</v>
      </c>
      <c r="E23" s="4">
        <v>23150</v>
      </c>
    </row>
    <row r="24" spans="1:5" x14ac:dyDescent="0.2">
      <c r="A24" s="31" t="s">
        <v>244</v>
      </c>
      <c r="B24" s="4">
        <v>17316</v>
      </c>
      <c r="C24" s="4">
        <v>3479</v>
      </c>
      <c r="D24" s="4">
        <v>10897</v>
      </c>
      <c r="E24" s="4">
        <v>31692</v>
      </c>
    </row>
    <row r="25" spans="1:5" x14ac:dyDescent="0.2">
      <c r="A25" s="31" t="s">
        <v>245</v>
      </c>
      <c r="B25" s="4">
        <v>35040</v>
      </c>
      <c r="C25" s="4">
        <v>8856</v>
      </c>
      <c r="D25" s="4">
        <v>13758</v>
      </c>
      <c r="E25" s="4">
        <v>57654</v>
      </c>
    </row>
    <row r="26" spans="1:5" x14ac:dyDescent="0.2">
      <c r="A26" s="5" t="s">
        <v>4</v>
      </c>
      <c r="B26" s="5">
        <v>156665</v>
      </c>
      <c r="C26" s="5">
        <v>15168</v>
      </c>
      <c r="D26" s="5">
        <v>27201</v>
      </c>
      <c r="E26" s="5">
        <v>199034</v>
      </c>
    </row>
    <row r="27" spans="1:5" x14ac:dyDescent="0.2">
      <c r="A27" s="130" t="s">
        <v>373</v>
      </c>
      <c r="B27" s="63"/>
      <c r="C27" s="63"/>
      <c r="D27" s="63"/>
      <c r="E27" s="63"/>
    </row>
    <row r="28" spans="1:5" x14ac:dyDescent="0.2">
      <c r="A28" s="37"/>
      <c r="B28" s="63"/>
      <c r="C28" s="63"/>
      <c r="D28" s="63"/>
      <c r="E28" s="63"/>
    </row>
    <row r="29" spans="1:5" ht="15.75" x14ac:dyDescent="0.2">
      <c r="A29" s="24" t="s">
        <v>299</v>
      </c>
      <c r="B29" s="37"/>
      <c r="C29" s="37"/>
      <c r="D29" s="37"/>
      <c r="E29" s="37"/>
    </row>
    <row r="30" spans="1:5" x14ac:dyDescent="0.2">
      <c r="A30" s="82" t="s">
        <v>0</v>
      </c>
      <c r="B30" s="6" t="s">
        <v>214</v>
      </c>
      <c r="C30" s="6" t="s">
        <v>215</v>
      </c>
      <c r="D30" s="6" t="s">
        <v>8</v>
      </c>
      <c r="E30" s="37"/>
    </row>
    <row r="31" spans="1:5" x14ac:dyDescent="0.2">
      <c r="A31" s="4" t="s">
        <v>5</v>
      </c>
      <c r="B31" s="4">
        <v>13510</v>
      </c>
      <c r="C31" s="4">
        <v>9120</v>
      </c>
      <c r="D31" s="4">
        <v>22630</v>
      </c>
      <c r="E31" s="37"/>
    </row>
    <row r="32" spans="1:5" x14ac:dyDescent="0.2">
      <c r="A32" s="4" t="s">
        <v>365</v>
      </c>
      <c r="B32" s="4">
        <v>25</v>
      </c>
      <c r="C32" s="4">
        <v>57</v>
      </c>
      <c r="D32" s="4">
        <v>82</v>
      </c>
      <c r="E32" s="37"/>
    </row>
    <row r="33" spans="1:5" x14ac:dyDescent="0.2">
      <c r="A33" s="4" t="s">
        <v>6</v>
      </c>
      <c r="B33" s="4">
        <v>36969</v>
      </c>
      <c r="C33" s="4">
        <v>26857</v>
      </c>
      <c r="D33" s="4">
        <v>63826</v>
      </c>
      <c r="E33" s="37"/>
    </row>
    <row r="34" spans="1:5" x14ac:dyDescent="0.2">
      <c r="A34" s="31" t="s">
        <v>243</v>
      </c>
      <c r="B34" s="4">
        <v>11945</v>
      </c>
      <c r="C34" s="4">
        <v>11205</v>
      </c>
      <c r="D34" s="4">
        <v>23150</v>
      </c>
      <c r="E34" s="37"/>
    </row>
    <row r="35" spans="1:5" x14ac:dyDescent="0.2">
      <c r="A35" s="31" t="s">
        <v>244</v>
      </c>
      <c r="B35" s="4">
        <v>16799</v>
      </c>
      <c r="C35" s="4">
        <v>14893</v>
      </c>
      <c r="D35" s="4">
        <v>31692</v>
      </c>
      <c r="E35" s="37"/>
    </row>
    <row r="36" spans="1:5" x14ac:dyDescent="0.2">
      <c r="A36" s="31" t="s">
        <v>245</v>
      </c>
      <c r="B36" s="4">
        <v>33885</v>
      </c>
      <c r="C36" s="4">
        <v>23769</v>
      </c>
      <c r="D36" s="4">
        <v>57654</v>
      </c>
      <c r="E36" s="37"/>
    </row>
    <row r="37" spans="1:5" x14ac:dyDescent="0.2">
      <c r="A37" s="5" t="s">
        <v>4</v>
      </c>
      <c r="B37" s="5">
        <v>113133</v>
      </c>
      <c r="C37" s="5">
        <v>85901</v>
      </c>
      <c r="D37" s="5">
        <v>199034</v>
      </c>
      <c r="E37" s="37"/>
    </row>
    <row r="38" spans="1:5" x14ac:dyDescent="0.2">
      <c r="A38" s="130" t="s">
        <v>373</v>
      </c>
      <c r="B38" s="63"/>
      <c r="C38" s="63"/>
      <c r="D38" s="63"/>
      <c r="E38" s="37"/>
    </row>
    <row r="39" spans="1:5" x14ac:dyDescent="0.2">
      <c r="A39" s="37"/>
      <c r="B39" s="63"/>
      <c r="C39" s="63"/>
      <c r="D39" s="63"/>
      <c r="E39" s="37"/>
    </row>
    <row r="40" spans="1:5" ht="15.75" x14ac:dyDescent="0.2">
      <c r="A40" s="24" t="s">
        <v>300</v>
      </c>
      <c r="B40" s="37"/>
      <c r="C40" s="37"/>
      <c r="D40" s="37"/>
      <c r="E40" s="37"/>
    </row>
    <row r="41" spans="1:5" ht="15" customHeight="1" x14ac:dyDescent="0.2">
      <c r="A41" s="82" t="s">
        <v>9</v>
      </c>
      <c r="B41" s="6" t="s">
        <v>214</v>
      </c>
      <c r="C41" s="6" t="s">
        <v>215</v>
      </c>
      <c r="D41" s="6" t="s">
        <v>8</v>
      </c>
      <c r="E41" s="37"/>
    </row>
    <row r="42" spans="1:5" x14ac:dyDescent="0.2">
      <c r="A42" s="7" t="s">
        <v>254</v>
      </c>
      <c r="B42" s="8">
        <v>1508</v>
      </c>
      <c r="C42" s="8">
        <v>940</v>
      </c>
      <c r="D42" s="8">
        <v>2448</v>
      </c>
      <c r="E42" s="37"/>
    </row>
    <row r="43" spans="1:5" x14ac:dyDescent="0.2">
      <c r="A43" s="7" t="s">
        <v>255</v>
      </c>
      <c r="B43" s="8">
        <v>1464</v>
      </c>
      <c r="C43" s="8">
        <v>1031</v>
      </c>
      <c r="D43" s="8">
        <v>2495</v>
      </c>
      <c r="E43" s="37"/>
    </row>
    <row r="44" spans="1:5" x14ac:dyDescent="0.2">
      <c r="A44" s="7" t="s">
        <v>256</v>
      </c>
      <c r="B44" s="8">
        <v>3061</v>
      </c>
      <c r="C44" s="8">
        <v>2612</v>
      </c>
      <c r="D44" s="8">
        <v>5673</v>
      </c>
      <c r="E44" s="37"/>
    </row>
    <row r="45" spans="1:5" x14ac:dyDescent="0.2">
      <c r="A45" s="7" t="s">
        <v>257</v>
      </c>
      <c r="B45" s="8">
        <v>999</v>
      </c>
      <c r="C45" s="8">
        <v>858</v>
      </c>
      <c r="D45" s="8">
        <v>1857</v>
      </c>
      <c r="E45" s="37"/>
    </row>
    <row r="46" spans="1:5" x14ac:dyDescent="0.2">
      <c r="A46" s="7" t="s">
        <v>258</v>
      </c>
      <c r="B46" s="8">
        <v>3485</v>
      </c>
      <c r="C46" s="8">
        <v>2269</v>
      </c>
      <c r="D46" s="8">
        <v>5754</v>
      </c>
      <c r="E46" s="37"/>
    </row>
    <row r="47" spans="1:5" x14ac:dyDescent="0.2">
      <c r="A47" s="84" t="s">
        <v>259</v>
      </c>
      <c r="B47" s="8">
        <v>10321</v>
      </c>
      <c r="C47" s="8">
        <v>8409</v>
      </c>
      <c r="D47" s="8">
        <v>18730</v>
      </c>
      <c r="E47" s="37"/>
    </row>
    <row r="48" spans="1:5" x14ac:dyDescent="0.2">
      <c r="A48" s="84" t="s">
        <v>270</v>
      </c>
      <c r="B48" s="8">
        <v>60233</v>
      </c>
      <c r="C48" s="8">
        <v>48234</v>
      </c>
      <c r="D48" s="8">
        <v>108467</v>
      </c>
      <c r="E48" s="37"/>
    </row>
    <row r="49" spans="1:5" x14ac:dyDescent="0.2">
      <c r="A49" s="84" t="s">
        <v>374</v>
      </c>
      <c r="B49" s="8">
        <v>2672</v>
      </c>
      <c r="C49" s="8">
        <v>2025</v>
      </c>
      <c r="D49" s="8">
        <v>4697</v>
      </c>
      <c r="E49" s="37"/>
    </row>
    <row r="50" spans="1:5" x14ac:dyDescent="0.2">
      <c r="A50" s="7" t="s">
        <v>260</v>
      </c>
      <c r="B50" s="8">
        <v>5037</v>
      </c>
      <c r="C50" s="8">
        <v>3072</v>
      </c>
      <c r="D50" s="8">
        <v>8109</v>
      </c>
      <c r="E50" s="37"/>
    </row>
    <row r="51" spans="1:5" x14ac:dyDescent="0.2">
      <c r="A51" s="7" t="s">
        <v>274</v>
      </c>
      <c r="B51" s="8">
        <v>2018</v>
      </c>
      <c r="C51" s="8">
        <v>1209</v>
      </c>
      <c r="D51" s="8">
        <v>3227</v>
      </c>
      <c r="E51" s="37"/>
    </row>
    <row r="52" spans="1:5" x14ac:dyDescent="0.2">
      <c r="A52" s="7" t="s">
        <v>261</v>
      </c>
      <c r="B52" s="8">
        <v>11303</v>
      </c>
      <c r="C52" s="8">
        <v>8367</v>
      </c>
      <c r="D52" s="8">
        <v>19670</v>
      </c>
      <c r="E52" s="37"/>
    </row>
    <row r="53" spans="1:5" x14ac:dyDescent="0.2">
      <c r="A53" s="7" t="s">
        <v>262</v>
      </c>
      <c r="B53" s="8">
        <v>4680</v>
      </c>
      <c r="C53" s="8">
        <v>2799</v>
      </c>
      <c r="D53" s="8">
        <v>7479</v>
      </c>
      <c r="E53" s="37"/>
    </row>
    <row r="54" spans="1:5" x14ac:dyDescent="0.2">
      <c r="A54" s="7" t="s">
        <v>263</v>
      </c>
      <c r="B54" s="8">
        <v>1656</v>
      </c>
      <c r="C54" s="8">
        <v>1297</v>
      </c>
      <c r="D54" s="8">
        <v>2953</v>
      </c>
      <c r="E54" s="37"/>
    </row>
    <row r="55" spans="1:5" x14ac:dyDescent="0.2">
      <c r="A55" s="84" t="s">
        <v>264</v>
      </c>
      <c r="B55" s="8">
        <v>3945</v>
      </c>
      <c r="C55" s="8">
        <v>2341</v>
      </c>
      <c r="D55" s="8">
        <v>6286</v>
      </c>
      <c r="E55" s="37"/>
    </row>
    <row r="56" spans="1:5" x14ac:dyDescent="0.2">
      <c r="A56" s="84" t="s">
        <v>265</v>
      </c>
      <c r="B56" s="8">
        <v>320</v>
      </c>
      <c r="C56" s="8">
        <v>134</v>
      </c>
      <c r="D56" s="8">
        <v>454</v>
      </c>
      <c r="E56" s="37"/>
    </row>
    <row r="57" spans="1:5" x14ac:dyDescent="0.2">
      <c r="A57" s="84" t="s">
        <v>266</v>
      </c>
      <c r="B57" s="8">
        <v>431</v>
      </c>
      <c r="C57" s="8">
        <v>304</v>
      </c>
      <c r="D57" s="8">
        <v>735</v>
      </c>
      <c r="E57" s="37"/>
    </row>
    <row r="58" spans="1:5" x14ac:dyDescent="0.2">
      <c r="A58" s="9" t="s">
        <v>4</v>
      </c>
      <c r="B58" s="10">
        <v>113133</v>
      </c>
      <c r="C58" s="10">
        <v>85901</v>
      </c>
      <c r="D58" s="10">
        <v>199034</v>
      </c>
      <c r="E58" s="37"/>
    </row>
    <row r="59" spans="1:5" x14ac:dyDescent="0.2">
      <c r="A59" s="37"/>
      <c r="B59" s="37"/>
      <c r="C59" s="37"/>
      <c r="D59" s="37"/>
      <c r="E59" s="64"/>
    </row>
    <row r="60" spans="1:5" ht="15.75" x14ac:dyDescent="0.2">
      <c r="A60" s="24" t="s">
        <v>301</v>
      </c>
      <c r="B60" s="37"/>
      <c r="C60" s="37"/>
      <c r="D60" s="37"/>
      <c r="E60" s="37"/>
    </row>
    <row r="61" spans="1:5" x14ac:dyDescent="0.2">
      <c r="A61" s="82" t="s">
        <v>10</v>
      </c>
      <c r="B61" s="6" t="s">
        <v>214</v>
      </c>
      <c r="C61" s="6" t="s">
        <v>215</v>
      </c>
      <c r="D61" s="6" t="s">
        <v>8</v>
      </c>
      <c r="E61" s="37"/>
    </row>
    <row r="62" spans="1:5" x14ac:dyDescent="0.2">
      <c r="A62" s="7" t="s">
        <v>11</v>
      </c>
      <c r="B62" s="91">
        <v>29373</v>
      </c>
      <c r="C62" s="91">
        <v>22679</v>
      </c>
      <c r="D62" s="91">
        <v>52052</v>
      </c>
      <c r="E62" s="63"/>
    </row>
    <row r="63" spans="1:5" x14ac:dyDescent="0.2">
      <c r="A63" s="7" t="s">
        <v>12</v>
      </c>
      <c r="B63" s="91">
        <v>1613</v>
      </c>
      <c r="C63" s="91">
        <v>1664</v>
      </c>
      <c r="D63" s="91">
        <v>3277</v>
      </c>
      <c r="E63" s="63"/>
    </row>
    <row r="64" spans="1:5" x14ac:dyDescent="0.2">
      <c r="A64" s="7" t="s">
        <v>13</v>
      </c>
      <c r="B64" s="91">
        <v>3906</v>
      </c>
      <c r="C64" s="91">
        <v>2652</v>
      </c>
      <c r="D64" s="91">
        <v>6558</v>
      </c>
      <c r="E64" s="63"/>
    </row>
    <row r="65" spans="1:5" x14ac:dyDescent="0.2">
      <c r="A65" s="7" t="s">
        <v>14</v>
      </c>
      <c r="B65" s="91">
        <v>864</v>
      </c>
      <c r="C65" s="91">
        <v>1202</v>
      </c>
      <c r="D65" s="91">
        <v>2066</v>
      </c>
      <c r="E65" s="63"/>
    </row>
    <row r="66" spans="1:5" x14ac:dyDescent="0.2">
      <c r="A66" s="7" t="s">
        <v>15</v>
      </c>
      <c r="B66" s="91">
        <v>15835</v>
      </c>
      <c r="C66" s="91">
        <v>6594</v>
      </c>
      <c r="D66" s="91">
        <v>22429</v>
      </c>
      <c r="E66" s="63"/>
    </row>
    <row r="67" spans="1:5" x14ac:dyDescent="0.2">
      <c r="A67" s="7" t="s">
        <v>16</v>
      </c>
      <c r="B67" s="91">
        <v>2936</v>
      </c>
      <c r="C67" s="91">
        <v>2655</v>
      </c>
      <c r="D67" s="91">
        <v>5591</v>
      </c>
      <c r="E67" s="63"/>
    </row>
    <row r="68" spans="1:5" x14ac:dyDescent="0.2">
      <c r="A68" s="7" t="s">
        <v>17</v>
      </c>
      <c r="B68" s="91">
        <v>27488</v>
      </c>
      <c r="C68" s="91">
        <v>6545</v>
      </c>
      <c r="D68" s="91">
        <v>34033</v>
      </c>
      <c r="E68" s="63"/>
    </row>
    <row r="69" spans="1:5" x14ac:dyDescent="0.2">
      <c r="A69" s="7" t="s">
        <v>18</v>
      </c>
      <c r="B69" s="91">
        <v>1186</v>
      </c>
      <c r="C69" s="91">
        <v>652</v>
      </c>
      <c r="D69" s="91">
        <v>1838</v>
      </c>
      <c r="E69" s="63"/>
    </row>
    <row r="70" spans="1:5" x14ac:dyDescent="0.2">
      <c r="A70" s="7" t="s">
        <v>19</v>
      </c>
      <c r="B70" s="91">
        <v>20561</v>
      </c>
      <c r="C70" s="91">
        <v>6277</v>
      </c>
      <c r="D70" s="91">
        <v>26838</v>
      </c>
      <c r="E70" s="63"/>
    </row>
    <row r="71" spans="1:5" x14ac:dyDescent="0.2">
      <c r="A71" s="7" t="s">
        <v>20</v>
      </c>
      <c r="B71" s="91">
        <v>9371</v>
      </c>
      <c r="C71" s="91">
        <v>34981</v>
      </c>
      <c r="D71" s="91">
        <v>44352</v>
      </c>
      <c r="E71" s="63"/>
    </row>
    <row r="72" spans="1:5" x14ac:dyDescent="0.2">
      <c r="A72" s="9" t="s">
        <v>4</v>
      </c>
      <c r="B72" s="92">
        <v>113133</v>
      </c>
      <c r="C72" s="92">
        <v>85901</v>
      </c>
      <c r="D72" s="92">
        <v>199034</v>
      </c>
      <c r="E72" s="63"/>
    </row>
    <row r="73" spans="1:5" x14ac:dyDescent="0.2">
      <c r="A73" s="37"/>
      <c r="B73" s="37"/>
      <c r="C73" s="37"/>
      <c r="D73" s="37"/>
      <c r="E73" s="37"/>
    </row>
    <row r="74" spans="1:5" x14ac:dyDescent="0.2">
      <c r="A74" s="37"/>
      <c r="B74" s="37"/>
      <c r="C74" s="37"/>
      <c r="D74" s="37"/>
      <c r="E74" s="37"/>
    </row>
    <row r="75" spans="1:5" x14ac:dyDescent="0.2">
      <c r="A75" s="65" t="s">
        <v>246</v>
      </c>
      <c r="B75" s="37"/>
      <c r="C75" s="37"/>
      <c r="D75" s="37"/>
      <c r="E75" s="37"/>
    </row>
    <row r="76" spans="1:5" x14ac:dyDescent="0.2">
      <c r="A76" s="37"/>
      <c r="B76" s="37"/>
      <c r="C76" s="37"/>
      <c r="D76" s="37"/>
      <c r="E76" s="37"/>
    </row>
    <row r="77" spans="1:5" x14ac:dyDescent="0.2">
      <c r="A77" s="66" t="s">
        <v>21</v>
      </c>
      <c r="B77" s="37"/>
      <c r="C77" s="37"/>
      <c r="D77" s="37"/>
      <c r="E77" s="37"/>
    </row>
    <row r="78" spans="1:5" x14ac:dyDescent="0.2">
      <c r="A78" s="37"/>
      <c r="B78" s="37"/>
      <c r="C78" s="37"/>
      <c r="D78" s="37"/>
      <c r="E78" s="37"/>
    </row>
  </sheetData>
  <conditionalFormatting sqref="E62:E7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{3752770A-D42D-4B5B-969E-ABBA84E8E5A5}</x14:id>
        </ext>
      </extLst>
    </cfRule>
  </conditionalFormatting>
  <hyperlinks>
    <hyperlink ref="A77" location="Indice!A5" display="Volver al índice"/>
  </hyperlinks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52770A-D42D-4B5B-969E-ABBA84E8E5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E62:E71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8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"/>
  <cols>
    <col min="1" max="1" width="26.42578125" style="1" customWidth="1"/>
    <col min="2" max="15" width="10.85546875" style="1" customWidth="1"/>
    <col min="16" max="16" width="12.5703125" style="1" customWidth="1"/>
    <col min="17" max="17" width="12.85546875" style="1" customWidth="1"/>
    <col min="18" max="18" width="11.85546875" style="1" customWidth="1"/>
    <col min="19" max="19" width="14.5703125" style="1" customWidth="1"/>
    <col min="20" max="16384" width="10.85546875" style="1"/>
  </cols>
  <sheetData>
    <row r="1" spans="1:19" ht="21" x14ac:dyDescent="0.2">
      <c r="A1" s="62" t="s">
        <v>294</v>
      </c>
      <c r="B1" s="62"/>
      <c r="C1" s="62"/>
      <c r="D1" s="62"/>
      <c r="E1" s="62"/>
      <c r="F1" s="62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ht="26.25" customHeight="1" x14ac:dyDescent="0.2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x14ac:dyDescent="0.2">
      <c r="A3" s="67"/>
      <c r="B3" s="67"/>
      <c r="C3" s="67"/>
      <c r="D3" s="67"/>
      <c r="E3" s="67"/>
      <c r="F3" s="6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19" ht="15.75" x14ac:dyDescent="0.2">
      <c r="A4" s="24" t="s">
        <v>223</v>
      </c>
      <c r="B4" s="24"/>
      <c r="C4" s="24"/>
      <c r="D4" s="24"/>
      <c r="E4" s="24"/>
      <c r="F4" s="24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</row>
    <row r="5" spans="1:19" ht="28.5" customHeight="1" x14ac:dyDescent="0.2">
      <c r="A5" s="82" t="s">
        <v>234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3">
        <v>2020</v>
      </c>
      <c r="P5" s="12" t="s">
        <v>427</v>
      </c>
      <c r="Q5" s="12" t="s">
        <v>428</v>
      </c>
      <c r="R5" s="12" t="s">
        <v>429</v>
      </c>
      <c r="S5" s="12" t="s">
        <v>430</v>
      </c>
    </row>
    <row r="6" spans="1:19" x14ac:dyDescent="0.2">
      <c r="A6" s="4" t="s">
        <v>1</v>
      </c>
      <c r="B6" s="4">
        <v>84794</v>
      </c>
      <c r="C6" s="4">
        <v>96399</v>
      </c>
      <c r="D6" s="4">
        <v>105513</v>
      </c>
      <c r="E6" s="4">
        <v>101649</v>
      </c>
      <c r="F6" s="4">
        <v>117838</v>
      </c>
      <c r="G6" s="4">
        <v>135144</v>
      </c>
      <c r="H6" s="4">
        <v>156232</v>
      </c>
      <c r="I6" s="4">
        <v>170651</v>
      </c>
      <c r="J6" s="4">
        <v>187762</v>
      </c>
      <c r="K6" s="4">
        <v>195953</v>
      </c>
      <c r="L6" s="4">
        <v>204361</v>
      </c>
      <c r="M6" s="4">
        <v>208016</v>
      </c>
      <c r="N6" s="4">
        <v>199839</v>
      </c>
      <c r="O6" s="4">
        <v>156665</v>
      </c>
      <c r="P6" s="93">
        <f>(O6-F6)/F6</f>
        <v>0.3294947300531238</v>
      </c>
      <c r="Q6" s="100">
        <f>(O6-K6)/K6</f>
        <v>-0.20049705796798212</v>
      </c>
      <c r="R6" s="100">
        <f>(O6-N6)/N6</f>
        <v>-0.21604391535185824</v>
      </c>
      <c r="S6" s="102">
        <f>O6/O$9</f>
        <v>0.78712682255293065</v>
      </c>
    </row>
    <row r="7" spans="1:19" x14ac:dyDescent="0.2">
      <c r="A7" s="4" t="s">
        <v>2</v>
      </c>
      <c r="B7" s="4">
        <v>5481</v>
      </c>
      <c r="C7" s="4">
        <v>6239</v>
      </c>
      <c r="D7" s="4">
        <v>8605</v>
      </c>
      <c r="E7" s="4">
        <v>8089</v>
      </c>
      <c r="F7" s="4">
        <v>10011</v>
      </c>
      <c r="G7" s="4">
        <v>10589</v>
      </c>
      <c r="H7" s="4">
        <v>12609</v>
      </c>
      <c r="I7" s="4">
        <v>13002</v>
      </c>
      <c r="J7" s="4">
        <v>13985</v>
      </c>
      <c r="K7" s="4">
        <v>13977</v>
      </c>
      <c r="L7" s="4">
        <v>14818</v>
      </c>
      <c r="M7" s="4">
        <v>16334</v>
      </c>
      <c r="N7" s="4">
        <v>16302</v>
      </c>
      <c r="O7" s="4">
        <v>15168</v>
      </c>
      <c r="P7" s="93">
        <f t="shared" ref="P7:P9" si="0">(O7-F7)/F7</f>
        <v>0.51513335331135746</v>
      </c>
      <c r="Q7" s="100">
        <f t="shared" ref="Q7:Q9" si="1">(O7-K7)/K7</f>
        <v>8.5211418759390423E-2</v>
      </c>
      <c r="R7" s="100">
        <f t="shared" ref="R7:R8" si="2">(O7-N7)/N7</f>
        <v>-6.9562016930437981E-2</v>
      </c>
      <c r="S7" s="102">
        <f t="shared" ref="S7:S9" si="3">O7/O$9</f>
        <v>7.6208085050795335E-2</v>
      </c>
    </row>
    <row r="8" spans="1:19" x14ac:dyDescent="0.2">
      <c r="A8" s="4" t="s">
        <v>3</v>
      </c>
      <c r="B8" s="4">
        <v>5016</v>
      </c>
      <c r="C8" s="4">
        <v>7654</v>
      </c>
      <c r="D8" s="4">
        <v>8783</v>
      </c>
      <c r="E8" s="4">
        <v>8853</v>
      </c>
      <c r="F8" s="4">
        <v>8730</v>
      </c>
      <c r="G8" s="4">
        <v>9690</v>
      </c>
      <c r="H8" s="4">
        <v>12575</v>
      </c>
      <c r="I8" s="4">
        <v>12895</v>
      </c>
      <c r="J8" s="4">
        <v>13515</v>
      </c>
      <c r="K8" s="4">
        <v>18951</v>
      </c>
      <c r="L8" s="4">
        <v>22612</v>
      </c>
      <c r="M8" s="4">
        <v>24940</v>
      </c>
      <c r="N8" s="4">
        <v>29341</v>
      </c>
      <c r="O8" s="4">
        <v>27201</v>
      </c>
      <c r="P8" s="93">
        <f t="shared" si="0"/>
        <v>2.1158075601374571</v>
      </c>
      <c r="Q8" s="100">
        <f t="shared" si="1"/>
        <v>0.43533322779800537</v>
      </c>
      <c r="R8" s="100">
        <f t="shared" si="2"/>
        <v>-7.2935482771548349E-2</v>
      </c>
      <c r="S8" s="102">
        <f t="shared" si="3"/>
        <v>0.136665092396274</v>
      </c>
    </row>
    <row r="9" spans="1:19" x14ac:dyDescent="0.2">
      <c r="A9" s="5" t="s">
        <v>4</v>
      </c>
      <c r="B9" s="5">
        <v>95291</v>
      </c>
      <c r="C9" s="5">
        <v>110292</v>
      </c>
      <c r="D9" s="5">
        <v>122901</v>
      </c>
      <c r="E9" s="5">
        <v>118591</v>
      </c>
      <c r="F9" s="5">
        <v>136579</v>
      </c>
      <c r="G9" s="5">
        <v>155423</v>
      </c>
      <c r="H9" s="5">
        <v>181416</v>
      </c>
      <c r="I9" s="5">
        <v>196548</v>
      </c>
      <c r="J9" s="5">
        <v>215262</v>
      </c>
      <c r="K9" s="5">
        <v>228881</v>
      </c>
      <c r="L9" s="5">
        <v>241791</v>
      </c>
      <c r="M9" s="5">
        <v>249290</v>
      </c>
      <c r="N9" s="5">
        <v>245482</v>
      </c>
      <c r="O9" s="5">
        <v>199034</v>
      </c>
      <c r="P9" s="77">
        <f t="shared" si="0"/>
        <v>0.45728113399570947</v>
      </c>
      <c r="Q9" s="77">
        <f t="shared" si="1"/>
        <v>-0.13040400907021552</v>
      </c>
      <c r="R9" s="101">
        <f>(O9-N9)/N9</f>
        <v>-0.18921142894387369</v>
      </c>
      <c r="S9" s="15">
        <f t="shared" si="3"/>
        <v>1</v>
      </c>
    </row>
    <row r="10" spans="1:19" x14ac:dyDescent="0.2">
      <c r="A10" s="112"/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97"/>
    </row>
    <row r="11" spans="1:19" ht="15.75" x14ac:dyDescent="0.2">
      <c r="A11" s="24" t="s">
        <v>22</v>
      </c>
      <c r="B11" s="24"/>
      <c r="C11" s="24"/>
      <c r="D11" s="24"/>
      <c r="E11" s="24"/>
      <c r="F11" s="24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</row>
    <row r="12" spans="1:19" ht="25.5" x14ac:dyDescent="0.2">
      <c r="A12" s="82" t="s">
        <v>0</v>
      </c>
      <c r="B12" s="3">
        <v>2007</v>
      </c>
      <c r="C12" s="3">
        <v>2008</v>
      </c>
      <c r="D12" s="3">
        <v>2009</v>
      </c>
      <c r="E12" s="3">
        <v>2010</v>
      </c>
      <c r="F12" s="3">
        <v>2011</v>
      </c>
      <c r="G12" s="3">
        <v>2012</v>
      </c>
      <c r="H12" s="3">
        <v>2013</v>
      </c>
      <c r="I12" s="3">
        <v>2014</v>
      </c>
      <c r="J12" s="3">
        <v>2015</v>
      </c>
      <c r="K12" s="3">
        <v>2016</v>
      </c>
      <c r="L12" s="3">
        <v>2017</v>
      </c>
      <c r="M12" s="3">
        <v>2018</v>
      </c>
      <c r="N12" s="3">
        <v>2019</v>
      </c>
      <c r="O12" s="3">
        <v>2020</v>
      </c>
      <c r="P12" s="12" t="s">
        <v>427</v>
      </c>
      <c r="Q12" s="12" t="s">
        <v>428</v>
      </c>
      <c r="R12" s="12" t="s">
        <v>429</v>
      </c>
      <c r="S12" s="12" t="s">
        <v>430</v>
      </c>
    </row>
    <row r="13" spans="1:19" x14ac:dyDescent="0.2">
      <c r="A13" s="4" t="s">
        <v>5</v>
      </c>
      <c r="B13" s="4">
        <v>12654</v>
      </c>
      <c r="C13" s="4">
        <v>19200</v>
      </c>
      <c r="D13" s="4">
        <v>16556</v>
      </c>
      <c r="E13" s="4">
        <v>14055</v>
      </c>
      <c r="F13" s="4">
        <v>22326</v>
      </c>
      <c r="G13" s="4">
        <v>25501</v>
      </c>
      <c r="H13" s="4">
        <v>28192</v>
      </c>
      <c r="I13" s="4">
        <v>27674</v>
      </c>
      <c r="J13" s="4">
        <v>30552</v>
      </c>
      <c r="K13" s="4">
        <v>33778</v>
      </c>
      <c r="L13" s="4">
        <v>32658</v>
      </c>
      <c r="M13" s="4">
        <v>35128</v>
      </c>
      <c r="N13" s="4">
        <v>33397</v>
      </c>
      <c r="O13" s="4">
        <v>22712</v>
      </c>
      <c r="P13" s="93">
        <f t="shared" ref="P13:P16" si="4">(O13-F13)/F13</f>
        <v>1.7289259159724089E-2</v>
      </c>
      <c r="Q13" s="100">
        <f t="shared" ref="Q13:Q16" si="5">(O13-K13)/K13</f>
        <v>-0.32760968677837649</v>
      </c>
      <c r="R13" s="100">
        <f t="shared" ref="R13:R16" si="6">(O13-N13)/N13</f>
        <v>-0.31993891666916191</v>
      </c>
      <c r="S13" s="102">
        <f t="shared" ref="S13:S16" si="7">O13/O$9</f>
        <v>0.11411115688776792</v>
      </c>
    </row>
    <row r="14" spans="1:19" x14ac:dyDescent="0.2">
      <c r="A14" s="4" t="s">
        <v>6</v>
      </c>
      <c r="B14" s="4">
        <v>17185</v>
      </c>
      <c r="C14" s="4">
        <v>18672</v>
      </c>
      <c r="D14" s="4">
        <v>23664</v>
      </c>
      <c r="E14" s="4">
        <v>23669</v>
      </c>
      <c r="F14" s="4">
        <v>30688</v>
      </c>
      <c r="G14" s="4">
        <v>37944</v>
      </c>
      <c r="H14" s="4">
        <v>47076</v>
      </c>
      <c r="I14" s="4">
        <v>55845</v>
      </c>
      <c r="J14" s="4">
        <v>67565</v>
      </c>
      <c r="K14" s="4">
        <v>75457</v>
      </c>
      <c r="L14" s="4">
        <v>79299</v>
      </c>
      <c r="M14" s="4">
        <v>79968</v>
      </c>
      <c r="N14" s="4">
        <v>75545</v>
      </c>
      <c r="O14" s="4">
        <v>63826</v>
      </c>
      <c r="P14" s="93">
        <f t="shared" si="4"/>
        <v>1.0798357664233578</v>
      </c>
      <c r="Q14" s="100">
        <f t="shared" si="5"/>
        <v>-0.15414076891474615</v>
      </c>
      <c r="R14" s="100">
        <f t="shared" si="6"/>
        <v>-0.15512608379111786</v>
      </c>
      <c r="S14" s="102">
        <f t="shared" si="7"/>
        <v>0.32067887898549996</v>
      </c>
    </row>
    <row r="15" spans="1:19" x14ac:dyDescent="0.2">
      <c r="A15" s="4" t="s">
        <v>7</v>
      </c>
      <c r="B15" s="4">
        <v>65452</v>
      </c>
      <c r="C15" s="4">
        <v>72420</v>
      </c>
      <c r="D15" s="4">
        <v>82681</v>
      </c>
      <c r="E15" s="4">
        <v>80867</v>
      </c>
      <c r="F15" s="4">
        <v>83565</v>
      </c>
      <c r="G15" s="4">
        <v>91978</v>
      </c>
      <c r="H15" s="4">
        <v>106148</v>
      </c>
      <c r="I15" s="4">
        <v>113029</v>
      </c>
      <c r="J15" s="4">
        <v>117145</v>
      </c>
      <c r="K15" s="4">
        <v>119646</v>
      </c>
      <c r="L15" s="4">
        <v>129834</v>
      </c>
      <c r="M15" s="4">
        <v>134194</v>
      </c>
      <c r="N15" s="4">
        <v>136540</v>
      </c>
      <c r="O15" s="4">
        <v>112496</v>
      </c>
      <c r="P15" s="93">
        <f t="shared" si="4"/>
        <v>0.34620953748578953</v>
      </c>
      <c r="Q15" s="100">
        <f t="shared" si="5"/>
        <v>-5.9759624224796484E-2</v>
      </c>
      <c r="R15" s="100">
        <f t="shared" si="6"/>
        <v>-0.17609491724036913</v>
      </c>
      <c r="S15" s="102">
        <f t="shared" si="7"/>
        <v>0.56520996412673208</v>
      </c>
    </row>
    <row r="16" spans="1:19" x14ac:dyDescent="0.2">
      <c r="A16" s="5" t="s">
        <v>4</v>
      </c>
      <c r="B16" s="5">
        <v>95291</v>
      </c>
      <c r="C16" s="5">
        <v>110292</v>
      </c>
      <c r="D16" s="5">
        <v>122901</v>
      </c>
      <c r="E16" s="5">
        <v>118591</v>
      </c>
      <c r="F16" s="5">
        <v>136579</v>
      </c>
      <c r="G16" s="5">
        <v>155423</v>
      </c>
      <c r="H16" s="5">
        <v>181416</v>
      </c>
      <c r="I16" s="5">
        <v>196548</v>
      </c>
      <c r="J16" s="5">
        <v>215262</v>
      </c>
      <c r="K16" s="5">
        <v>228881</v>
      </c>
      <c r="L16" s="5">
        <v>241791</v>
      </c>
      <c r="M16" s="5">
        <v>249290</v>
      </c>
      <c r="N16" s="5">
        <v>245482</v>
      </c>
      <c r="O16" s="5">
        <v>199034</v>
      </c>
      <c r="P16" s="77">
        <f t="shared" si="4"/>
        <v>0.45728113399570947</v>
      </c>
      <c r="Q16" s="101">
        <f t="shared" si="5"/>
        <v>-0.13040400907021552</v>
      </c>
      <c r="R16" s="101">
        <f t="shared" si="6"/>
        <v>-0.18921142894387369</v>
      </c>
      <c r="S16" s="103">
        <f t="shared" si="7"/>
        <v>1</v>
      </c>
    </row>
    <row r="17" spans="1:19" x14ac:dyDescent="0.2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</row>
    <row r="18" spans="1:19" ht="15.75" x14ac:dyDescent="0.2">
      <c r="A18" s="24" t="s">
        <v>224</v>
      </c>
      <c r="B18" s="24"/>
      <c r="C18" s="24"/>
      <c r="D18" s="24"/>
      <c r="E18" s="24"/>
      <c r="F18" s="24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</row>
    <row r="19" spans="1:19" ht="25.5" x14ac:dyDescent="0.2">
      <c r="A19" s="82" t="s">
        <v>375</v>
      </c>
      <c r="B19" s="3">
        <v>2007</v>
      </c>
      <c r="C19" s="3">
        <v>2008</v>
      </c>
      <c r="D19" s="3">
        <v>2009</v>
      </c>
      <c r="E19" s="3">
        <v>2010</v>
      </c>
      <c r="F19" s="3">
        <v>2011</v>
      </c>
      <c r="G19" s="3">
        <v>2012</v>
      </c>
      <c r="H19" s="3">
        <v>2013</v>
      </c>
      <c r="I19" s="3">
        <v>2014</v>
      </c>
      <c r="J19" s="3">
        <v>2015</v>
      </c>
      <c r="K19" s="3">
        <v>2016</v>
      </c>
      <c r="L19" s="3">
        <v>2017</v>
      </c>
      <c r="M19" s="3">
        <v>2018</v>
      </c>
      <c r="N19" s="3">
        <v>2019</v>
      </c>
      <c r="O19" s="3">
        <v>2020</v>
      </c>
      <c r="P19" s="12" t="s">
        <v>427</v>
      </c>
      <c r="Q19" s="12" t="s">
        <v>428</v>
      </c>
      <c r="R19" s="12" t="s">
        <v>429</v>
      </c>
      <c r="S19" s="12" t="s">
        <v>430</v>
      </c>
    </row>
    <row r="20" spans="1:19" x14ac:dyDescent="0.2">
      <c r="A20" s="5" t="s">
        <v>5</v>
      </c>
      <c r="B20" s="5">
        <v>12654</v>
      </c>
      <c r="C20" s="5">
        <v>19200</v>
      </c>
      <c r="D20" s="5">
        <v>16556</v>
      </c>
      <c r="E20" s="5">
        <v>14055</v>
      </c>
      <c r="F20" s="5">
        <v>22326</v>
      </c>
      <c r="G20" s="22">
        <v>25501</v>
      </c>
      <c r="H20" s="22">
        <v>28192</v>
      </c>
      <c r="I20" s="22">
        <v>27674</v>
      </c>
      <c r="J20" s="22">
        <v>30552</v>
      </c>
      <c r="K20" s="22">
        <v>33778</v>
      </c>
      <c r="L20" s="22">
        <v>32658</v>
      </c>
      <c r="M20" s="22">
        <v>35128</v>
      </c>
      <c r="N20" s="22">
        <v>33397</v>
      </c>
      <c r="O20" s="22">
        <v>22712</v>
      </c>
      <c r="P20" s="77">
        <f t="shared" ref="P20:P30" si="8">(O20-F20)/F20</f>
        <v>1.7289259159724089E-2</v>
      </c>
      <c r="Q20" s="101">
        <f t="shared" ref="Q20:Q30" si="9">(O20-K20)/K20</f>
        <v>-0.32760968677837649</v>
      </c>
      <c r="R20" s="101">
        <f t="shared" ref="R20:R30" si="10">(O20-N20)/N20</f>
        <v>-0.31993891666916191</v>
      </c>
      <c r="S20" s="103">
        <f t="shared" ref="S20:S30" si="11">O20/O$9</f>
        <v>0.11411115688776792</v>
      </c>
    </row>
    <row r="21" spans="1:19" x14ac:dyDescent="0.2">
      <c r="A21" s="79" t="s">
        <v>1</v>
      </c>
      <c r="B21" s="79">
        <v>12654</v>
      </c>
      <c r="C21" s="79">
        <v>19200</v>
      </c>
      <c r="D21" s="79">
        <v>16546</v>
      </c>
      <c r="E21" s="79">
        <v>14044</v>
      </c>
      <c r="F21" s="79">
        <v>22313</v>
      </c>
      <c r="G21" s="4">
        <v>25493</v>
      </c>
      <c r="H21" s="4">
        <v>28182</v>
      </c>
      <c r="I21" s="4">
        <v>27674</v>
      </c>
      <c r="J21" s="4">
        <v>30552</v>
      </c>
      <c r="K21" s="4">
        <v>33769</v>
      </c>
      <c r="L21" s="4">
        <v>32648</v>
      </c>
      <c r="M21" s="4">
        <v>35123</v>
      </c>
      <c r="N21" s="4">
        <v>33394</v>
      </c>
      <c r="O21" s="4">
        <v>22709</v>
      </c>
      <c r="P21" s="93">
        <f t="shared" si="8"/>
        <v>1.7747501456549995E-2</v>
      </c>
      <c r="Q21" s="100">
        <f t="shared" si="9"/>
        <v>-0.32751932245550652</v>
      </c>
      <c r="R21" s="100">
        <f t="shared" si="10"/>
        <v>-0.31996765886087319</v>
      </c>
      <c r="S21" s="102">
        <f t="shared" si="11"/>
        <v>0.11409608408613604</v>
      </c>
    </row>
    <row r="22" spans="1:19" x14ac:dyDescent="0.2">
      <c r="A22" s="79" t="s">
        <v>3</v>
      </c>
      <c r="B22" s="79"/>
      <c r="C22" s="79"/>
      <c r="D22" s="79">
        <v>10</v>
      </c>
      <c r="E22" s="79">
        <v>11</v>
      </c>
      <c r="F22" s="79">
        <v>13</v>
      </c>
      <c r="G22" s="4">
        <v>8</v>
      </c>
      <c r="H22" s="4">
        <v>10</v>
      </c>
      <c r="I22" s="4"/>
      <c r="J22" s="4"/>
      <c r="K22" s="4">
        <v>9</v>
      </c>
      <c r="L22" s="4">
        <v>10</v>
      </c>
      <c r="M22" s="4">
        <v>5</v>
      </c>
      <c r="N22" s="4">
        <v>3</v>
      </c>
      <c r="O22" s="4">
        <v>3</v>
      </c>
      <c r="P22" s="93">
        <f t="shared" si="8"/>
        <v>-0.76923076923076927</v>
      </c>
      <c r="Q22" s="100">
        <f t="shared" si="9"/>
        <v>-0.66666666666666663</v>
      </c>
      <c r="R22" s="100">
        <f t="shared" si="10"/>
        <v>0</v>
      </c>
      <c r="S22" s="102">
        <f t="shared" si="11"/>
        <v>1.507280163188199E-5</v>
      </c>
    </row>
    <row r="23" spans="1:19" x14ac:dyDescent="0.2">
      <c r="A23" s="5" t="s">
        <v>6</v>
      </c>
      <c r="B23" s="5">
        <v>17185</v>
      </c>
      <c r="C23" s="5">
        <v>18672</v>
      </c>
      <c r="D23" s="5">
        <v>23664</v>
      </c>
      <c r="E23" s="5">
        <v>23669</v>
      </c>
      <c r="F23" s="5">
        <v>30688</v>
      </c>
      <c r="G23" s="22">
        <v>37944</v>
      </c>
      <c r="H23" s="22">
        <v>47076</v>
      </c>
      <c r="I23" s="22">
        <v>55845</v>
      </c>
      <c r="J23" s="22">
        <v>67565</v>
      </c>
      <c r="K23" s="22">
        <v>75457</v>
      </c>
      <c r="L23" s="22">
        <v>79299</v>
      </c>
      <c r="M23" s="22">
        <v>79968</v>
      </c>
      <c r="N23" s="22">
        <v>75545</v>
      </c>
      <c r="O23" s="22">
        <v>63826</v>
      </c>
      <c r="P23" s="77">
        <f t="shared" si="8"/>
        <v>1.0798357664233578</v>
      </c>
      <c r="Q23" s="101">
        <f t="shared" si="9"/>
        <v>-0.15414076891474615</v>
      </c>
      <c r="R23" s="101">
        <f t="shared" si="10"/>
        <v>-0.15512608379111786</v>
      </c>
      <c r="S23" s="103">
        <f t="shared" si="11"/>
        <v>0.32067887898549996</v>
      </c>
    </row>
    <row r="24" spans="1:19" x14ac:dyDescent="0.2">
      <c r="A24" s="79" t="s">
        <v>1</v>
      </c>
      <c r="B24" s="79">
        <v>17185</v>
      </c>
      <c r="C24" s="79">
        <v>18672</v>
      </c>
      <c r="D24" s="79">
        <v>23636</v>
      </c>
      <c r="E24" s="79">
        <v>23669</v>
      </c>
      <c r="F24" s="79">
        <v>30688</v>
      </c>
      <c r="G24" s="4">
        <v>37944</v>
      </c>
      <c r="H24" s="4">
        <v>47071</v>
      </c>
      <c r="I24" s="4">
        <v>55824</v>
      </c>
      <c r="J24" s="4">
        <v>67309</v>
      </c>
      <c r="K24" s="4">
        <v>72816</v>
      </c>
      <c r="L24" s="4">
        <v>78136</v>
      </c>
      <c r="M24" s="4">
        <v>79090</v>
      </c>
      <c r="N24" s="4">
        <v>74128</v>
      </c>
      <c r="O24" s="4">
        <v>62759</v>
      </c>
      <c r="P24" s="93">
        <f t="shared" si="8"/>
        <v>1.0450664754953076</v>
      </c>
      <c r="Q24" s="100">
        <f t="shared" si="9"/>
        <v>-0.13811524939573719</v>
      </c>
      <c r="R24" s="100">
        <f t="shared" si="10"/>
        <v>-0.15336984675156487</v>
      </c>
      <c r="S24" s="102">
        <f t="shared" si="11"/>
        <v>0.31531798587176063</v>
      </c>
    </row>
    <row r="25" spans="1:19" x14ac:dyDescent="0.2">
      <c r="A25" s="79" t="s">
        <v>3</v>
      </c>
      <c r="B25" s="79"/>
      <c r="C25" s="79"/>
      <c r="D25" s="79">
        <v>28</v>
      </c>
      <c r="E25" s="79"/>
      <c r="F25" s="79"/>
      <c r="G25" s="4"/>
      <c r="H25" s="4">
        <v>5</v>
      </c>
      <c r="I25" s="4">
        <v>21</v>
      </c>
      <c r="J25" s="4">
        <v>256</v>
      </c>
      <c r="K25" s="4">
        <v>2641</v>
      </c>
      <c r="L25" s="4">
        <v>1163</v>
      </c>
      <c r="M25" s="4">
        <v>878</v>
      </c>
      <c r="N25" s="4">
        <v>1417</v>
      </c>
      <c r="O25" s="4">
        <v>1067</v>
      </c>
      <c r="P25" s="93" t="s">
        <v>24</v>
      </c>
      <c r="Q25" s="100">
        <f t="shared" si="9"/>
        <v>-0.59598636879969713</v>
      </c>
      <c r="R25" s="100">
        <f t="shared" si="10"/>
        <v>-0.24700070571630206</v>
      </c>
      <c r="S25" s="102">
        <f t="shared" si="11"/>
        <v>5.3608931137393611E-3</v>
      </c>
    </row>
    <row r="26" spans="1:19" x14ac:dyDescent="0.2">
      <c r="A26" s="5" t="s">
        <v>7</v>
      </c>
      <c r="B26" s="5">
        <v>65452</v>
      </c>
      <c r="C26" s="5">
        <v>72420</v>
      </c>
      <c r="D26" s="5">
        <v>82681</v>
      </c>
      <c r="E26" s="5">
        <v>80867</v>
      </c>
      <c r="F26" s="5">
        <v>83565</v>
      </c>
      <c r="G26" s="22">
        <v>91978</v>
      </c>
      <c r="H26" s="22">
        <v>106148</v>
      </c>
      <c r="I26" s="22">
        <v>113029</v>
      </c>
      <c r="J26" s="22">
        <v>117145</v>
      </c>
      <c r="K26" s="22">
        <v>119646</v>
      </c>
      <c r="L26" s="22">
        <v>129834</v>
      </c>
      <c r="M26" s="22">
        <v>134194</v>
      </c>
      <c r="N26" s="22">
        <v>136540</v>
      </c>
      <c r="O26" s="22">
        <v>112496</v>
      </c>
      <c r="P26" s="77">
        <f t="shared" si="8"/>
        <v>0.34620953748578953</v>
      </c>
      <c r="Q26" s="101">
        <f t="shared" si="9"/>
        <v>-5.9759624224796484E-2</v>
      </c>
      <c r="R26" s="101">
        <f t="shared" si="10"/>
        <v>-0.17609491724036913</v>
      </c>
      <c r="S26" s="103">
        <f t="shared" si="11"/>
        <v>0.56520996412673208</v>
      </c>
    </row>
    <row r="27" spans="1:19" x14ac:dyDescent="0.2">
      <c r="A27" s="79" t="s">
        <v>1</v>
      </c>
      <c r="B27" s="79">
        <v>54955</v>
      </c>
      <c r="C27" s="79">
        <v>58527</v>
      </c>
      <c r="D27" s="79">
        <v>65331</v>
      </c>
      <c r="E27" s="79">
        <v>63936</v>
      </c>
      <c r="F27" s="79">
        <v>64837</v>
      </c>
      <c r="G27" s="4">
        <v>71707</v>
      </c>
      <c r="H27" s="4">
        <v>80979</v>
      </c>
      <c r="I27" s="4">
        <v>87153</v>
      </c>
      <c r="J27" s="4">
        <v>89901</v>
      </c>
      <c r="K27" s="4">
        <v>89368</v>
      </c>
      <c r="L27" s="4">
        <v>93577</v>
      </c>
      <c r="M27" s="4">
        <v>93803</v>
      </c>
      <c r="N27" s="4">
        <v>92317</v>
      </c>
      <c r="O27" s="4">
        <v>71197</v>
      </c>
      <c r="P27" s="93">
        <f t="shared" si="8"/>
        <v>9.8092138747937138E-2</v>
      </c>
      <c r="Q27" s="100">
        <f t="shared" si="9"/>
        <v>-0.20332781308745859</v>
      </c>
      <c r="R27" s="100">
        <f t="shared" si="10"/>
        <v>-0.228776931659391</v>
      </c>
      <c r="S27" s="102">
        <f t="shared" si="11"/>
        <v>0.35771275259503399</v>
      </c>
    </row>
    <row r="28" spans="1:19" x14ac:dyDescent="0.2">
      <c r="A28" s="131" t="s">
        <v>2</v>
      </c>
      <c r="B28" s="79">
        <v>5481</v>
      </c>
      <c r="C28" s="79">
        <v>6239</v>
      </c>
      <c r="D28" s="79">
        <v>8605</v>
      </c>
      <c r="E28" s="79">
        <v>8089</v>
      </c>
      <c r="F28" s="79">
        <v>10011</v>
      </c>
      <c r="G28" s="4">
        <v>10589</v>
      </c>
      <c r="H28" s="4">
        <v>12609</v>
      </c>
      <c r="I28" s="4">
        <v>13002</v>
      </c>
      <c r="J28" s="4">
        <v>13985</v>
      </c>
      <c r="K28" s="4">
        <v>13977</v>
      </c>
      <c r="L28" s="4">
        <v>14818</v>
      </c>
      <c r="M28" s="4">
        <v>16334</v>
      </c>
      <c r="N28" s="4">
        <v>16302</v>
      </c>
      <c r="O28" s="4">
        <v>15168</v>
      </c>
      <c r="P28" s="93">
        <f t="shared" si="8"/>
        <v>0.51513335331135746</v>
      </c>
      <c r="Q28" s="100">
        <f t="shared" si="9"/>
        <v>8.5211418759390423E-2</v>
      </c>
      <c r="R28" s="100">
        <f t="shared" si="10"/>
        <v>-6.9562016930437981E-2</v>
      </c>
      <c r="S28" s="102">
        <f t="shared" si="11"/>
        <v>7.6208085050795335E-2</v>
      </c>
    </row>
    <row r="29" spans="1:19" x14ac:dyDescent="0.2">
      <c r="A29" s="79" t="s">
        <v>3</v>
      </c>
      <c r="B29" s="79">
        <v>5016</v>
      </c>
      <c r="C29" s="79">
        <v>7654</v>
      </c>
      <c r="D29" s="79">
        <v>8745</v>
      </c>
      <c r="E29" s="79">
        <v>8842</v>
      </c>
      <c r="F29" s="79">
        <v>8717</v>
      </c>
      <c r="G29" s="4">
        <v>9682</v>
      </c>
      <c r="H29" s="4">
        <v>12560</v>
      </c>
      <c r="I29" s="4">
        <v>12874</v>
      </c>
      <c r="J29" s="4">
        <v>13259</v>
      </c>
      <c r="K29" s="4">
        <v>16301</v>
      </c>
      <c r="L29" s="4">
        <v>21439</v>
      </c>
      <c r="M29" s="4">
        <v>24057</v>
      </c>
      <c r="N29" s="4">
        <v>27921</v>
      </c>
      <c r="O29" s="4">
        <v>26131</v>
      </c>
      <c r="P29" s="93">
        <f t="shared" si="8"/>
        <v>1.9977056326717908</v>
      </c>
      <c r="Q29" s="100">
        <f t="shared" si="9"/>
        <v>0.60303048892705968</v>
      </c>
      <c r="R29" s="100">
        <f t="shared" si="10"/>
        <v>-6.4109451667203901E-2</v>
      </c>
      <c r="S29" s="102">
        <f t="shared" si="11"/>
        <v>0.13128912648090277</v>
      </c>
    </row>
    <row r="30" spans="1:19" x14ac:dyDescent="0.2">
      <c r="A30" s="5" t="s">
        <v>4</v>
      </c>
      <c r="B30" s="5">
        <v>95291</v>
      </c>
      <c r="C30" s="5">
        <v>110292</v>
      </c>
      <c r="D30" s="5">
        <v>122901</v>
      </c>
      <c r="E30" s="5">
        <v>118591</v>
      </c>
      <c r="F30" s="5">
        <v>136579</v>
      </c>
      <c r="G30" s="5">
        <v>155423</v>
      </c>
      <c r="H30" s="5">
        <v>181416</v>
      </c>
      <c r="I30" s="5">
        <v>196548</v>
      </c>
      <c r="J30" s="5">
        <v>215262</v>
      </c>
      <c r="K30" s="5">
        <v>228881</v>
      </c>
      <c r="L30" s="5">
        <v>241791</v>
      </c>
      <c r="M30" s="5">
        <v>249290</v>
      </c>
      <c r="N30" s="5">
        <v>245482</v>
      </c>
      <c r="O30" s="5">
        <v>199034</v>
      </c>
      <c r="P30" s="77">
        <f t="shared" si="8"/>
        <v>0.45728113399570947</v>
      </c>
      <c r="Q30" s="101">
        <f t="shared" si="9"/>
        <v>-0.13040400907021552</v>
      </c>
      <c r="R30" s="101">
        <f t="shared" si="10"/>
        <v>-0.18921142894387369</v>
      </c>
      <c r="S30" s="103">
        <f t="shared" si="11"/>
        <v>1</v>
      </c>
    </row>
    <row r="31" spans="1:19" x14ac:dyDescent="0.2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</row>
    <row r="32" spans="1:19" ht="15.75" x14ac:dyDescent="0.2">
      <c r="A32" s="24" t="s">
        <v>217</v>
      </c>
      <c r="B32" s="24"/>
      <c r="C32" s="24"/>
      <c r="D32" s="24"/>
      <c r="E32" s="24"/>
      <c r="F32" s="24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</row>
    <row r="33" spans="1:19" ht="25.5" x14ac:dyDescent="0.2">
      <c r="A33" s="82" t="s">
        <v>0</v>
      </c>
      <c r="B33" s="3">
        <v>2007</v>
      </c>
      <c r="C33" s="3">
        <v>2008</v>
      </c>
      <c r="D33" s="3">
        <v>2009</v>
      </c>
      <c r="E33" s="3">
        <v>2010</v>
      </c>
      <c r="F33" s="3">
        <v>2011</v>
      </c>
      <c r="G33" s="3">
        <v>2012</v>
      </c>
      <c r="H33" s="3">
        <v>2013</v>
      </c>
      <c r="I33" s="3">
        <v>2014</v>
      </c>
      <c r="J33" s="3">
        <v>2015</v>
      </c>
      <c r="K33" s="3">
        <v>2016</v>
      </c>
      <c r="L33" s="3">
        <v>2017</v>
      </c>
      <c r="M33" s="3">
        <v>2018</v>
      </c>
      <c r="N33" s="3">
        <v>2019</v>
      </c>
      <c r="O33" s="3">
        <v>2020</v>
      </c>
      <c r="P33" s="12" t="s">
        <v>427</v>
      </c>
      <c r="Q33" s="12" t="s">
        <v>428</v>
      </c>
      <c r="R33" s="12" t="s">
        <v>429</v>
      </c>
      <c r="S33" s="12" t="s">
        <v>430</v>
      </c>
    </row>
    <row r="34" spans="1:19" x14ac:dyDescent="0.2">
      <c r="A34" s="4" t="s">
        <v>349</v>
      </c>
      <c r="B34" s="4">
        <v>12654</v>
      </c>
      <c r="C34" s="4">
        <v>19200</v>
      </c>
      <c r="D34" s="4">
        <v>16556</v>
      </c>
      <c r="E34" s="4">
        <v>14055</v>
      </c>
      <c r="F34" s="4">
        <v>22326</v>
      </c>
      <c r="G34" s="4">
        <v>25501</v>
      </c>
      <c r="H34" s="4">
        <v>28192</v>
      </c>
      <c r="I34" s="4">
        <v>27674</v>
      </c>
      <c r="J34" s="4">
        <v>30552</v>
      </c>
      <c r="K34" s="4">
        <v>33778</v>
      </c>
      <c r="L34" s="4">
        <v>32658</v>
      </c>
      <c r="M34" s="4">
        <v>35128</v>
      </c>
      <c r="N34" s="4">
        <v>33380</v>
      </c>
      <c r="O34" s="4">
        <v>22630</v>
      </c>
      <c r="P34" s="93">
        <f t="shared" ref="P34:P40" si="12">(O34-F34)/F34</f>
        <v>1.3616411358953686E-2</v>
      </c>
      <c r="Q34" s="100">
        <f t="shared" ref="Q34:Q40" si="13">(O34-K34)/K34</f>
        <v>-0.33003730238616852</v>
      </c>
      <c r="R34" s="100">
        <f t="shared" ref="R34:R40" si="14">(O34-N34)/N34</f>
        <v>-0.32204913121629719</v>
      </c>
      <c r="S34" s="102">
        <f t="shared" ref="S34:S40" si="15">O34/O$9</f>
        <v>0.11369916697649647</v>
      </c>
    </row>
    <row r="35" spans="1:19" x14ac:dyDescent="0.2">
      <c r="A35" s="4" t="s">
        <v>350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>
        <v>17</v>
      </c>
      <c r="O35" s="4">
        <v>82</v>
      </c>
      <c r="P35" s="93"/>
      <c r="Q35" s="100" t="s">
        <v>24</v>
      </c>
      <c r="R35" s="100">
        <f t="shared" si="14"/>
        <v>3.8235294117647061</v>
      </c>
      <c r="S35" s="102">
        <f t="shared" si="15"/>
        <v>4.1198991127144104E-4</v>
      </c>
    </row>
    <row r="36" spans="1:19" x14ac:dyDescent="0.2">
      <c r="A36" s="4" t="s">
        <v>6</v>
      </c>
      <c r="B36" s="4">
        <v>17185</v>
      </c>
      <c r="C36" s="4">
        <v>18672</v>
      </c>
      <c r="D36" s="4">
        <v>23664</v>
      </c>
      <c r="E36" s="4">
        <v>23669</v>
      </c>
      <c r="F36" s="4">
        <v>30688</v>
      </c>
      <c r="G36" s="4">
        <v>37944</v>
      </c>
      <c r="H36" s="4">
        <v>47076</v>
      </c>
      <c r="I36" s="4">
        <v>55845</v>
      </c>
      <c r="J36" s="4">
        <v>67565</v>
      </c>
      <c r="K36" s="4">
        <v>75457</v>
      </c>
      <c r="L36" s="4">
        <v>79299</v>
      </c>
      <c r="M36" s="4">
        <v>79968</v>
      </c>
      <c r="N36" s="4">
        <v>75545</v>
      </c>
      <c r="O36" s="4">
        <v>63826</v>
      </c>
      <c r="P36" s="93">
        <f t="shared" si="12"/>
        <v>1.0798357664233578</v>
      </c>
      <c r="Q36" s="100">
        <f t="shared" si="13"/>
        <v>-0.15414076891474615</v>
      </c>
      <c r="R36" s="100">
        <f t="shared" si="14"/>
        <v>-0.15512608379111786</v>
      </c>
      <c r="S36" s="102">
        <f t="shared" si="15"/>
        <v>0.32067887898549996</v>
      </c>
    </row>
    <row r="37" spans="1:19" x14ac:dyDescent="0.2">
      <c r="A37" s="31" t="s">
        <v>243</v>
      </c>
      <c r="B37" s="31">
        <v>23857</v>
      </c>
      <c r="C37" s="31">
        <v>24349</v>
      </c>
      <c r="D37" s="31">
        <v>27334</v>
      </c>
      <c r="E37" s="31">
        <v>27401</v>
      </c>
      <c r="F37" s="31">
        <v>25957</v>
      </c>
      <c r="G37" s="4">
        <v>26574</v>
      </c>
      <c r="H37" s="4">
        <v>27591</v>
      </c>
      <c r="I37" s="4">
        <v>28231</v>
      </c>
      <c r="J37" s="4">
        <v>29200</v>
      </c>
      <c r="K37" s="4">
        <v>28429</v>
      </c>
      <c r="L37" s="4">
        <v>30239</v>
      </c>
      <c r="M37" s="4">
        <v>29741</v>
      </c>
      <c r="N37" s="4">
        <v>29824</v>
      </c>
      <c r="O37" s="4">
        <v>23150</v>
      </c>
      <c r="P37" s="93">
        <f t="shared" si="12"/>
        <v>-0.1081403860230381</v>
      </c>
      <c r="Q37" s="100">
        <f t="shared" si="13"/>
        <v>-0.18569066797987971</v>
      </c>
      <c r="R37" s="100">
        <f t="shared" si="14"/>
        <v>-0.22377950643776823</v>
      </c>
      <c r="S37" s="102">
        <f t="shared" si="15"/>
        <v>0.11631178592602269</v>
      </c>
    </row>
    <row r="38" spans="1:19" x14ac:dyDescent="0.2">
      <c r="A38" s="31" t="s">
        <v>244</v>
      </c>
      <c r="B38" s="31">
        <v>14220</v>
      </c>
      <c r="C38" s="31">
        <v>15140</v>
      </c>
      <c r="D38" s="31">
        <v>17517</v>
      </c>
      <c r="E38" s="31">
        <v>17191</v>
      </c>
      <c r="F38" s="31">
        <v>17394</v>
      </c>
      <c r="G38" s="4">
        <v>18934</v>
      </c>
      <c r="H38" s="4">
        <v>20599</v>
      </c>
      <c r="I38" s="4">
        <v>21722</v>
      </c>
      <c r="J38" s="4">
        <v>22652</v>
      </c>
      <c r="K38" s="4">
        <v>22398</v>
      </c>
      <c r="L38" s="4">
        <v>30254</v>
      </c>
      <c r="M38" s="4">
        <v>29320</v>
      </c>
      <c r="N38" s="4">
        <v>33590</v>
      </c>
      <c r="O38" s="4">
        <v>31692</v>
      </c>
      <c r="P38" s="93">
        <f t="shared" si="12"/>
        <v>0.82200758882373237</v>
      </c>
      <c r="Q38" s="100">
        <f t="shared" si="13"/>
        <v>0.41494776319314225</v>
      </c>
      <c r="R38" s="100">
        <f t="shared" si="14"/>
        <v>-5.6504912176242927E-2</v>
      </c>
      <c r="S38" s="102">
        <f t="shared" si="15"/>
        <v>0.15922907643920134</v>
      </c>
    </row>
    <row r="39" spans="1:19" x14ac:dyDescent="0.2">
      <c r="A39" s="31" t="s">
        <v>245</v>
      </c>
      <c r="B39" s="31">
        <v>27375</v>
      </c>
      <c r="C39" s="31">
        <v>32931</v>
      </c>
      <c r="D39" s="31">
        <v>37830</v>
      </c>
      <c r="E39" s="31">
        <v>36275</v>
      </c>
      <c r="F39" s="31">
        <v>40214</v>
      </c>
      <c r="G39" s="4">
        <v>46470</v>
      </c>
      <c r="H39" s="4">
        <v>57958</v>
      </c>
      <c r="I39" s="4">
        <v>63076</v>
      </c>
      <c r="J39" s="4">
        <v>65293</v>
      </c>
      <c r="K39" s="4">
        <v>68819</v>
      </c>
      <c r="L39" s="4">
        <v>69341</v>
      </c>
      <c r="M39" s="4">
        <v>75133</v>
      </c>
      <c r="N39" s="4">
        <v>73126</v>
      </c>
      <c r="O39" s="4">
        <v>57654</v>
      </c>
      <c r="P39" s="93">
        <f t="shared" si="12"/>
        <v>0.43367981300044761</v>
      </c>
      <c r="Q39" s="100">
        <f t="shared" si="13"/>
        <v>-0.16223717287377032</v>
      </c>
      <c r="R39" s="100">
        <f t="shared" si="14"/>
        <v>-0.21158001258102455</v>
      </c>
      <c r="S39" s="102">
        <f t="shared" si="15"/>
        <v>0.28966910176150806</v>
      </c>
    </row>
    <row r="40" spans="1:19" x14ac:dyDescent="0.2">
      <c r="A40" s="5" t="s">
        <v>4</v>
      </c>
      <c r="B40" s="5">
        <v>95291</v>
      </c>
      <c r="C40" s="5">
        <v>110292</v>
      </c>
      <c r="D40" s="5">
        <v>122901</v>
      </c>
      <c r="E40" s="5">
        <v>118591</v>
      </c>
      <c r="F40" s="5">
        <v>136579</v>
      </c>
      <c r="G40" s="5">
        <v>155423</v>
      </c>
      <c r="H40" s="5">
        <v>181416</v>
      </c>
      <c r="I40" s="5">
        <v>196548</v>
      </c>
      <c r="J40" s="5">
        <v>215262</v>
      </c>
      <c r="K40" s="5">
        <v>228881</v>
      </c>
      <c r="L40" s="5">
        <v>241791</v>
      </c>
      <c r="M40" s="5">
        <v>249290</v>
      </c>
      <c r="N40" s="5">
        <v>245482</v>
      </c>
      <c r="O40" s="5">
        <v>199034</v>
      </c>
      <c r="P40" s="77">
        <f t="shared" si="12"/>
        <v>0.45728113399570947</v>
      </c>
      <c r="Q40" s="101">
        <f t="shared" si="13"/>
        <v>-0.13040400907021552</v>
      </c>
      <c r="R40" s="101">
        <f t="shared" si="14"/>
        <v>-0.18921142894387369</v>
      </c>
      <c r="S40" s="103">
        <f t="shared" si="15"/>
        <v>1</v>
      </c>
    </row>
    <row r="41" spans="1:19" x14ac:dyDescent="0.2">
      <c r="A41" s="130" t="s">
        <v>373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</row>
    <row r="42" spans="1:19" x14ac:dyDescent="0.2">
      <c r="A42" s="110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</row>
    <row r="43" spans="1:19" ht="15.75" x14ac:dyDescent="0.2">
      <c r="A43" s="24" t="s">
        <v>225</v>
      </c>
      <c r="B43" s="24"/>
      <c r="C43" s="24"/>
      <c r="D43" s="24"/>
      <c r="E43" s="24"/>
      <c r="F43" s="24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</row>
    <row r="44" spans="1:19" ht="25.5" x14ac:dyDescent="0.2">
      <c r="A44" s="82" t="s">
        <v>23</v>
      </c>
      <c r="B44" s="3">
        <v>2007</v>
      </c>
      <c r="C44" s="3">
        <v>2008</v>
      </c>
      <c r="D44" s="3">
        <v>2009</v>
      </c>
      <c r="E44" s="3">
        <v>2010</v>
      </c>
      <c r="F44" s="3">
        <v>2011</v>
      </c>
      <c r="G44" s="3">
        <v>2012</v>
      </c>
      <c r="H44" s="3">
        <v>2013</v>
      </c>
      <c r="I44" s="3">
        <v>2014</v>
      </c>
      <c r="J44" s="3">
        <v>2015</v>
      </c>
      <c r="K44" s="3">
        <v>2016</v>
      </c>
      <c r="L44" s="3">
        <v>2017</v>
      </c>
      <c r="M44" s="3">
        <v>2018</v>
      </c>
      <c r="N44" s="3">
        <v>2019</v>
      </c>
      <c r="O44" s="3">
        <v>2020</v>
      </c>
      <c r="P44" s="12" t="s">
        <v>427</v>
      </c>
      <c r="Q44" s="12" t="s">
        <v>428</v>
      </c>
      <c r="R44" s="12" t="s">
        <v>429</v>
      </c>
      <c r="S44" s="12" t="s">
        <v>430</v>
      </c>
    </row>
    <row r="45" spans="1:19" x14ac:dyDescent="0.2">
      <c r="A45" s="5" t="s">
        <v>349</v>
      </c>
      <c r="B45" s="5">
        <v>12654</v>
      </c>
      <c r="C45" s="5">
        <v>19200</v>
      </c>
      <c r="D45" s="5">
        <v>16556</v>
      </c>
      <c r="E45" s="5">
        <v>14055</v>
      </c>
      <c r="F45" s="5">
        <v>22326</v>
      </c>
      <c r="G45" s="22">
        <v>25501</v>
      </c>
      <c r="H45" s="22">
        <v>28192</v>
      </c>
      <c r="I45" s="22">
        <v>27674</v>
      </c>
      <c r="J45" s="22">
        <v>30552</v>
      </c>
      <c r="K45" s="22">
        <v>33778</v>
      </c>
      <c r="L45" s="22">
        <v>32658</v>
      </c>
      <c r="M45" s="22">
        <v>35128</v>
      </c>
      <c r="N45" s="22">
        <v>33380</v>
      </c>
      <c r="O45" s="22">
        <v>22630</v>
      </c>
      <c r="P45" s="77">
        <f t="shared" ref="P45:P65" si="16">(O45-F45)/F45</f>
        <v>1.3616411358953686E-2</v>
      </c>
      <c r="Q45" s="77">
        <f t="shared" ref="Q45:Q65" si="17">(O45-K45)/K45</f>
        <v>-0.33003730238616852</v>
      </c>
      <c r="R45" s="101">
        <f t="shared" ref="R45:R65" si="18">(O45-N45)/N45</f>
        <v>-0.32204913121629719</v>
      </c>
      <c r="S45" s="15">
        <f t="shared" ref="S45:S65" si="19">O45/O$9</f>
        <v>0.11369916697649647</v>
      </c>
    </row>
    <row r="46" spans="1:19" x14ac:dyDescent="0.2">
      <c r="A46" s="79" t="s">
        <v>1</v>
      </c>
      <c r="B46" s="79">
        <v>12654</v>
      </c>
      <c r="C46" s="79">
        <v>19200</v>
      </c>
      <c r="D46" s="79">
        <v>16546</v>
      </c>
      <c r="E46" s="79">
        <v>14044</v>
      </c>
      <c r="F46" s="79">
        <v>22313</v>
      </c>
      <c r="G46" s="4">
        <v>25493</v>
      </c>
      <c r="H46" s="4">
        <v>28182</v>
      </c>
      <c r="I46" s="4">
        <v>27674</v>
      </c>
      <c r="J46" s="4">
        <v>30552</v>
      </c>
      <c r="K46" s="4">
        <v>33769</v>
      </c>
      <c r="L46" s="4">
        <v>32648</v>
      </c>
      <c r="M46" s="4">
        <v>35123</v>
      </c>
      <c r="N46" s="4">
        <v>33377</v>
      </c>
      <c r="O46" s="4">
        <v>22627</v>
      </c>
      <c r="P46" s="93">
        <f t="shared" si="16"/>
        <v>1.4072513781203782E-2</v>
      </c>
      <c r="Q46" s="93">
        <f t="shared" si="17"/>
        <v>-0.32994758506322369</v>
      </c>
      <c r="R46" s="100">
        <f t="shared" si="18"/>
        <v>-0.32207807771818919</v>
      </c>
      <c r="S46" s="13">
        <f t="shared" si="19"/>
        <v>0.11368409417486459</v>
      </c>
    </row>
    <row r="47" spans="1:19" x14ac:dyDescent="0.2">
      <c r="A47" s="79" t="s">
        <v>3</v>
      </c>
      <c r="B47" s="79"/>
      <c r="C47" s="79"/>
      <c r="D47" s="79">
        <v>10</v>
      </c>
      <c r="E47" s="79">
        <v>11</v>
      </c>
      <c r="F47" s="79">
        <v>13</v>
      </c>
      <c r="G47" s="4">
        <v>8</v>
      </c>
      <c r="H47" s="4">
        <v>10</v>
      </c>
      <c r="I47" s="4"/>
      <c r="J47" s="4"/>
      <c r="K47" s="4">
        <v>9</v>
      </c>
      <c r="L47" s="4">
        <v>10</v>
      </c>
      <c r="M47" s="4">
        <v>5</v>
      </c>
      <c r="N47" s="4">
        <v>3</v>
      </c>
      <c r="O47" s="4">
        <v>3</v>
      </c>
      <c r="P47" s="93">
        <f t="shared" si="16"/>
        <v>-0.76923076923076927</v>
      </c>
      <c r="Q47" s="93">
        <f t="shared" si="17"/>
        <v>-0.66666666666666663</v>
      </c>
      <c r="R47" s="100">
        <f t="shared" si="18"/>
        <v>0</v>
      </c>
      <c r="S47" s="13">
        <f t="shared" si="19"/>
        <v>1.507280163188199E-5</v>
      </c>
    </row>
    <row r="48" spans="1:19" x14ac:dyDescent="0.2">
      <c r="A48" s="5" t="s">
        <v>350</v>
      </c>
      <c r="B48" s="79"/>
      <c r="C48" s="79"/>
      <c r="D48" s="79"/>
      <c r="E48" s="79"/>
      <c r="F48" s="79"/>
      <c r="G48" s="4"/>
      <c r="H48" s="4"/>
      <c r="I48" s="4"/>
      <c r="J48" s="4"/>
      <c r="K48" s="4"/>
      <c r="L48" s="4"/>
      <c r="M48" s="4"/>
      <c r="N48" s="4">
        <v>17</v>
      </c>
      <c r="O48" s="4">
        <v>82</v>
      </c>
      <c r="P48" s="77" t="s">
        <v>24</v>
      </c>
      <c r="Q48" s="77" t="s">
        <v>24</v>
      </c>
      <c r="R48" s="101">
        <f t="shared" ref="R48:R49" si="20">(O48-N48)/N48</f>
        <v>3.8235294117647061</v>
      </c>
      <c r="S48" s="15">
        <f t="shared" ref="S48:S49" si="21">O48/O$9</f>
        <v>4.1198991127144104E-4</v>
      </c>
    </row>
    <row r="49" spans="1:19" x14ac:dyDescent="0.2">
      <c r="A49" s="79" t="s">
        <v>1</v>
      </c>
      <c r="B49" s="79"/>
      <c r="C49" s="79"/>
      <c r="D49" s="79"/>
      <c r="E49" s="79"/>
      <c r="F49" s="79"/>
      <c r="G49" s="4"/>
      <c r="H49" s="4"/>
      <c r="I49" s="4"/>
      <c r="J49" s="4"/>
      <c r="K49" s="4"/>
      <c r="L49" s="4"/>
      <c r="M49" s="4"/>
      <c r="N49" s="4">
        <v>17</v>
      </c>
      <c r="O49" s="4">
        <v>82</v>
      </c>
      <c r="P49" s="93" t="s">
        <v>24</v>
      </c>
      <c r="Q49" s="93" t="s">
        <v>24</v>
      </c>
      <c r="R49" s="100">
        <f t="shared" si="20"/>
        <v>3.8235294117647061</v>
      </c>
      <c r="S49" s="13">
        <f t="shared" si="21"/>
        <v>4.1198991127144104E-4</v>
      </c>
    </row>
    <row r="50" spans="1:19" x14ac:dyDescent="0.2">
      <c r="A50" s="5" t="s">
        <v>6</v>
      </c>
      <c r="B50" s="5">
        <v>17185</v>
      </c>
      <c r="C50" s="5">
        <v>18672</v>
      </c>
      <c r="D50" s="5">
        <v>23664</v>
      </c>
      <c r="E50" s="5">
        <v>23669</v>
      </c>
      <c r="F50" s="5">
        <v>30688</v>
      </c>
      <c r="G50" s="22">
        <v>37944</v>
      </c>
      <c r="H50" s="22">
        <v>47076</v>
      </c>
      <c r="I50" s="22">
        <v>55845</v>
      </c>
      <c r="J50" s="22">
        <v>67565</v>
      </c>
      <c r="K50" s="22">
        <v>75457</v>
      </c>
      <c r="L50" s="22">
        <v>79299</v>
      </c>
      <c r="M50" s="22">
        <v>79968</v>
      </c>
      <c r="N50" s="22">
        <v>75545</v>
      </c>
      <c r="O50" s="22">
        <v>63826</v>
      </c>
      <c r="P50" s="93">
        <f t="shared" si="16"/>
        <v>1.0798357664233578</v>
      </c>
      <c r="Q50" s="93">
        <f t="shared" si="17"/>
        <v>-0.15414076891474615</v>
      </c>
      <c r="R50" s="100">
        <f t="shared" si="18"/>
        <v>-0.15512608379111786</v>
      </c>
      <c r="S50" s="13">
        <f t="shared" si="19"/>
        <v>0.32067887898549996</v>
      </c>
    </row>
    <row r="51" spans="1:19" x14ac:dyDescent="0.2">
      <c r="A51" s="79" t="s">
        <v>1</v>
      </c>
      <c r="B51" s="79">
        <v>17185</v>
      </c>
      <c r="C51" s="79">
        <v>18672</v>
      </c>
      <c r="D51" s="79">
        <v>23636</v>
      </c>
      <c r="E51" s="79">
        <v>23669</v>
      </c>
      <c r="F51" s="79">
        <v>30688</v>
      </c>
      <c r="G51" s="4">
        <v>37944</v>
      </c>
      <c r="H51" s="4">
        <v>47071</v>
      </c>
      <c r="I51" s="4">
        <v>55824</v>
      </c>
      <c r="J51" s="4">
        <v>67309</v>
      </c>
      <c r="K51" s="4">
        <v>72816</v>
      </c>
      <c r="L51" s="4">
        <v>78136</v>
      </c>
      <c r="M51" s="4">
        <v>79090</v>
      </c>
      <c r="N51" s="4">
        <v>74128</v>
      </c>
      <c r="O51" s="4">
        <v>62759</v>
      </c>
      <c r="P51" s="93">
        <f t="shared" si="16"/>
        <v>1.0450664754953076</v>
      </c>
      <c r="Q51" s="93">
        <f t="shared" si="17"/>
        <v>-0.13811524939573719</v>
      </c>
      <c r="R51" s="100">
        <f t="shared" si="18"/>
        <v>-0.15336984675156487</v>
      </c>
      <c r="S51" s="13">
        <f t="shared" si="19"/>
        <v>0.31531798587176063</v>
      </c>
    </row>
    <row r="52" spans="1:19" x14ac:dyDescent="0.2">
      <c r="A52" s="79" t="s">
        <v>3</v>
      </c>
      <c r="B52" s="79"/>
      <c r="C52" s="79"/>
      <c r="D52" s="79">
        <v>28</v>
      </c>
      <c r="E52" s="79"/>
      <c r="F52" s="79"/>
      <c r="G52" s="4"/>
      <c r="H52" s="4">
        <v>5</v>
      </c>
      <c r="I52" s="4">
        <v>21</v>
      </c>
      <c r="J52" s="4">
        <v>256</v>
      </c>
      <c r="K52" s="4">
        <v>2641</v>
      </c>
      <c r="L52" s="4">
        <v>1163</v>
      </c>
      <c r="M52" s="4">
        <v>878</v>
      </c>
      <c r="N52" s="4">
        <v>1417</v>
      </c>
      <c r="O52" s="4">
        <v>1067</v>
      </c>
      <c r="P52" s="93" t="s">
        <v>24</v>
      </c>
      <c r="Q52" s="93">
        <f t="shared" si="17"/>
        <v>-0.59598636879969713</v>
      </c>
      <c r="R52" s="100">
        <f t="shared" si="18"/>
        <v>-0.24700070571630206</v>
      </c>
      <c r="S52" s="13">
        <f t="shared" si="19"/>
        <v>5.3608931137393611E-3</v>
      </c>
    </row>
    <row r="53" spans="1:19" x14ac:dyDescent="0.2">
      <c r="A53" s="5" t="s">
        <v>247</v>
      </c>
      <c r="B53" s="5">
        <v>23857</v>
      </c>
      <c r="C53" s="5">
        <v>24349</v>
      </c>
      <c r="D53" s="5">
        <v>27334</v>
      </c>
      <c r="E53" s="5">
        <v>27401</v>
      </c>
      <c r="F53" s="5">
        <v>25957</v>
      </c>
      <c r="G53" s="22">
        <v>26574</v>
      </c>
      <c r="H53" s="22">
        <v>27591</v>
      </c>
      <c r="I53" s="22">
        <v>28231</v>
      </c>
      <c r="J53" s="22">
        <v>29200</v>
      </c>
      <c r="K53" s="22">
        <v>28429</v>
      </c>
      <c r="L53" s="22">
        <v>30239</v>
      </c>
      <c r="M53" s="22">
        <v>29741</v>
      </c>
      <c r="N53" s="22">
        <v>29824</v>
      </c>
      <c r="O53" s="22">
        <v>23150</v>
      </c>
      <c r="P53" s="77">
        <f t="shared" si="16"/>
        <v>-0.1081403860230381</v>
      </c>
      <c r="Q53" s="77">
        <f t="shared" si="17"/>
        <v>-0.18569066797987971</v>
      </c>
      <c r="R53" s="101">
        <f t="shared" si="18"/>
        <v>-0.22377950643776823</v>
      </c>
      <c r="S53" s="15">
        <f t="shared" si="19"/>
        <v>0.11631178592602269</v>
      </c>
    </row>
    <row r="54" spans="1:19" x14ac:dyDescent="0.2">
      <c r="A54" s="79" t="s">
        <v>1</v>
      </c>
      <c r="B54" s="79">
        <v>20835</v>
      </c>
      <c r="C54" s="79">
        <v>20848</v>
      </c>
      <c r="D54" s="79">
        <v>23501</v>
      </c>
      <c r="E54" s="79">
        <v>23147</v>
      </c>
      <c r="F54" s="79">
        <v>21624</v>
      </c>
      <c r="G54" s="4">
        <v>21617</v>
      </c>
      <c r="H54" s="4">
        <v>21806</v>
      </c>
      <c r="I54" s="4">
        <v>22310</v>
      </c>
      <c r="J54" s="4">
        <v>23261</v>
      </c>
      <c r="K54" s="4">
        <v>22450</v>
      </c>
      <c r="L54" s="4">
        <v>24277</v>
      </c>
      <c r="M54" s="4">
        <v>23376</v>
      </c>
      <c r="N54" s="4">
        <v>23608</v>
      </c>
      <c r="O54" s="4">
        <v>18841</v>
      </c>
      <c r="P54" s="93">
        <f t="shared" si="16"/>
        <v>-0.12869959304476508</v>
      </c>
      <c r="Q54" s="93">
        <f t="shared" si="17"/>
        <v>-0.16075723830734967</v>
      </c>
      <c r="R54" s="100">
        <f t="shared" si="18"/>
        <v>-0.20192307692307693</v>
      </c>
      <c r="S54" s="13">
        <f t="shared" si="19"/>
        <v>9.4662218515429525E-2</v>
      </c>
    </row>
    <row r="55" spans="1:19" x14ac:dyDescent="0.2">
      <c r="A55" s="131" t="s">
        <v>2</v>
      </c>
      <c r="B55" s="79">
        <v>1648</v>
      </c>
      <c r="C55" s="79">
        <v>1920</v>
      </c>
      <c r="D55" s="79">
        <v>2327</v>
      </c>
      <c r="E55" s="79">
        <v>2421</v>
      </c>
      <c r="F55" s="79">
        <v>2696</v>
      </c>
      <c r="G55" s="4">
        <v>2990</v>
      </c>
      <c r="H55" s="4">
        <v>3331</v>
      </c>
      <c r="I55" s="4">
        <v>3547</v>
      </c>
      <c r="J55" s="4">
        <v>3711</v>
      </c>
      <c r="K55" s="4">
        <v>3532</v>
      </c>
      <c r="L55" s="4">
        <v>4054</v>
      </c>
      <c r="M55" s="4">
        <v>4196</v>
      </c>
      <c r="N55" s="4">
        <v>3988</v>
      </c>
      <c r="O55" s="4">
        <v>2833</v>
      </c>
      <c r="P55" s="93">
        <f t="shared" si="16"/>
        <v>5.0816023738872403E-2</v>
      </c>
      <c r="Q55" s="93">
        <f t="shared" si="17"/>
        <v>-0.19790486976217442</v>
      </c>
      <c r="R55" s="100">
        <f t="shared" si="18"/>
        <v>-0.28961885656970915</v>
      </c>
      <c r="S55" s="13">
        <f t="shared" si="19"/>
        <v>1.4233749007707226E-2</v>
      </c>
    </row>
    <row r="56" spans="1:19" x14ac:dyDescent="0.2">
      <c r="A56" s="79" t="s">
        <v>3</v>
      </c>
      <c r="B56" s="79">
        <v>1374</v>
      </c>
      <c r="C56" s="79">
        <v>1581</v>
      </c>
      <c r="D56" s="79">
        <v>1506</v>
      </c>
      <c r="E56" s="79">
        <v>1833</v>
      </c>
      <c r="F56" s="79">
        <v>1637</v>
      </c>
      <c r="G56" s="4">
        <v>1967</v>
      </c>
      <c r="H56" s="4">
        <v>2454</v>
      </c>
      <c r="I56" s="4">
        <v>2374</v>
      </c>
      <c r="J56" s="4">
        <v>2228</v>
      </c>
      <c r="K56" s="4">
        <v>2447</v>
      </c>
      <c r="L56" s="4">
        <v>1908</v>
      </c>
      <c r="M56" s="4">
        <v>2169</v>
      </c>
      <c r="N56" s="4">
        <v>2228</v>
      </c>
      <c r="O56" s="4">
        <v>1476</v>
      </c>
      <c r="P56" s="93">
        <f t="shared" si="16"/>
        <v>-9.8350641417226631E-2</v>
      </c>
      <c r="Q56" s="93">
        <f t="shared" si="17"/>
        <v>-0.39681242337556194</v>
      </c>
      <c r="R56" s="100">
        <f t="shared" si="18"/>
        <v>-0.33752244165170558</v>
      </c>
      <c r="S56" s="13">
        <f t="shared" si="19"/>
        <v>7.4158184028859393E-3</v>
      </c>
    </row>
    <row r="57" spans="1:19" x14ac:dyDescent="0.2">
      <c r="A57" s="5" t="s">
        <v>244</v>
      </c>
      <c r="B57" s="5">
        <v>14220</v>
      </c>
      <c r="C57" s="5">
        <v>15140</v>
      </c>
      <c r="D57" s="5">
        <v>17517</v>
      </c>
      <c r="E57" s="5">
        <v>17191</v>
      </c>
      <c r="F57" s="5">
        <v>17394</v>
      </c>
      <c r="G57" s="22">
        <v>18934</v>
      </c>
      <c r="H57" s="22">
        <v>20599</v>
      </c>
      <c r="I57" s="22">
        <v>21722</v>
      </c>
      <c r="J57" s="22">
        <v>22652</v>
      </c>
      <c r="K57" s="96">
        <v>22398</v>
      </c>
      <c r="L57" s="96">
        <v>30254</v>
      </c>
      <c r="M57" s="96">
        <v>29320</v>
      </c>
      <c r="N57" s="96">
        <v>33590</v>
      </c>
      <c r="O57" s="96">
        <v>31692</v>
      </c>
      <c r="P57" s="77">
        <f t="shared" si="16"/>
        <v>0.82200758882373237</v>
      </c>
      <c r="Q57" s="77">
        <f t="shared" si="17"/>
        <v>0.41494776319314225</v>
      </c>
      <c r="R57" s="101">
        <f t="shared" si="18"/>
        <v>-5.6504912176242927E-2</v>
      </c>
      <c r="S57" s="15">
        <f t="shared" si="19"/>
        <v>0.15922907643920134</v>
      </c>
    </row>
    <row r="58" spans="1:19" x14ac:dyDescent="0.2">
      <c r="A58" s="79" t="s">
        <v>1</v>
      </c>
      <c r="B58" s="79">
        <v>11378</v>
      </c>
      <c r="C58" s="79">
        <v>11877</v>
      </c>
      <c r="D58" s="79">
        <v>13533</v>
      </c>
      <c r="E58" s="79">
        <v>13044</v>
      </c>
      <c r="F58" s="79">
        <v>12982</v>
      </c>
      <c r="G58" s="4">
        <v>14598</v>
      </c>
      <c r="H58" s="4">
        <v>15840</v>
      </c>
      <c r="I58" s="4">
        <v>16357</v>
      </c>
      <c r="J58" s="4">
        <v>16894</v>
      </c>
      <c r="K58" s="4">
        <v>16300</v>
      </c>
      <c r="L58" s="4">
        <v>18304</v>
      </c>
      <c r="M58" s="4">
        <v>17118</v>
      </c>
      <c r="N58" s="4">
        <v>19143</v>
      </c>
      <c r="O58" s="4">
        <v>17316</v>
      </c>
      <c r="P58" s="93">
        <f t="shared" si="16"/>
        <v>0.33384686488984749</v>
      </c>
      <c r="Q58" s="93">
        <f t="shared" si="17"/>
        <v>6.2331288343558285E-2</v>
      </c>
      <c r="R58" s="100">
        <f t="shared" si="18"/>
        <v>-9.5439586271744245E-2</v>
      </c>
      <c r="S58" s="13">
        <f t="shared" si="19"/>
        <v>8.700021101922284E-2</v>
      </c>
    </row>
    <row r="59" spans="1:19" x14ac:dyDescent="0.2">
      <c r="A59" s="131" t="s">
        <v>2</v>
      </c>
      <c r="B59" s="79">
        <v>1565</v>
      </c>
      <c r="C59" s="79">
        <v>1478</v>
      </c>
      <c r="D59" s="79">
        <v>1909</v>
      </c>
      <c r="E59" s="79">
        <v>1865</v>
      </c>
      <c r="F59" s="79">
        <v>2099</v>
      </c>
      <c r="G59" s="4">
        <v>2085</v>
      </c>
      <c r="H59" s="4">
        <v>2814</v>
      </c>
      <c r="I59" s="4">
        <v>3018</v>
      </c>
      <c r="J59" s="4">
        <v>2931</v>
      </c>
      <c r="K59" s="4">
        <v>3106</v>
      </c>
      <c r="L59" s="4">
        <v>3417</v>
      </c>
      <c r="M59" s="4">
        <v>3493</v>
      </c>
      <c r="N59" s="4">
        <v>3787</v>
      </c>
      <c r="O59" s="4">
        <v>3479</v>
      </c>
      <c r="P59" s="93">
        <f t="shared" si="16"/>
        <v>0.65745593139590286</v>
      </c>
      <c r="Q59" s="93">
        <f t="shared" si="17"/>
        <v>0.12009014810045074</v>
      </c>
      <c r="R59" s="100">
        <f t="shared" si="18"/>
        <v>-8.1330868761552683E-2</v>
      </c>
      <c r="S59" s="13">
        <f t="shared" si="19"/>
        <v>1.7479425625772482E-2</v>
      </c>
    </row>
    <row r="60" spans="1:19" x14ac:dyDescent="0.2">
      <c r="A60" s="79" t="s">
        <v>3</v>
      </c>
      <c r="B60" s="79">
        <v>1277</v>
      </c>
      <c r="C60" s="79">
        <v>1785</v>
      </c>
      <c r="D60" s="79">
        <v>2075</v>
      </c>
      <c r="E60" s="79">
        <v>2282</v>
      </c>
      <c r="F60" s="79">
        <v>2313</v>
      </c>
      <c r="G60" s="4">
        <v>2251</v>
      </c>
      <c r="H60" s="4">
        <v>1945</v>
      </c>
      <c r="I60" s="4">
        <v>2347</v>
      </c>
      <c r="J60" s="4">
        <v>2827</v>
      </c>
      <c r="K60" s="4">
        <v>2992</v>
      </c>
      <c r="L60" s="4">
        <v>8533</v>
      </c>
      <c r="M60" s="4">
        <v>8709</v>
      </c>
      <c r="N60" s="4">
        <v>10660</v>
      </c>
      <c r="O60" s="4">
        <v>10897</v>
      </c>
      <c r="P60" s="93">
        <f t="shared" si="16"/>
        <v>3.7111975789018592</v>
      </c>
      <c r="Q60" s="93">
        <f t="shared" si="17"/>
        <v>2.6420454545454546</v>
      </c>
      <c r="R60" s="100">
        <f t="shared" si="18"/>
        <v>2.2232645403377112E-2</v>
      </c>
      <c r="S60" s="13">
        <f t="shared" si="19"/>
        <v>5.4749439794206017E-2</v>
      </c>
    </row>
    <row r="61" spans="1:19" x14ac:dyDescent="0.2">
      <c r="A61" s="5" t="s">
        <v>245</v>
      </c>
      <c r="B61" s="5">
        <v>27375</v>
      </c>
      <c r="C61" s="5">
        <v>32931</v>
      </c>
      <c r="D61" s="5">
        <v>37830</v>
      </c>
      <c r="E61" s="5">
        <v>36275</v>
      </c>
      <c r="F61" s="5">
        <v>40214</v>
      </c>
      <c r="G61" s="22">
        <v>46470</v>
      </c>
      <c r="H61" s="22">
        <v>57958</v>
      </c>
      <c r="I61" s="22">
        <v>63076</v>
      </c>
      <c r="J61" s="22">
        <v>65293</v>
      </c>
      <c r="K61" s="22">
        <v>68819</v>
      </c>
      <c r="L61" s="22">
        <v>69341</v>
      </c>
      <c r="M61" s="22">
        <v>75133</v>
      </c>
      <c r="N61" s="22">
        <v>73126</v>
      </c>
      <c r="O61" s="22">
        <v>57654</v>
      </c>
      <c r="P61" s="77">
        <f t="shared" si="16"/>
        <v>0.43367981300044761</v>
      </c>
      <c r="Q61" s="77">
        <f t="shared" si="17"/>
        <v>-0.16223717287377032</v>
      </c>
      <c r="R61" s="101">
        <f t="shared" si="18"/>
        <v>-0.21158001258102455</v>
      </c>
      <c r="S61" s="15">
        <f t="shared" si="19"/>
        <v>0.28966910176150806</v>
      </c>
    </row>
    <row r="62" spans="1:19" x14ac:dyDescent="0.2">
      <c r="A62" s="79" t="s">
        <v>1</v>
      </c>
      <c r="B62" s="79">
        <v>22742</v>
      </c>
      <c r="C62" s="79">
        <v>25802</v>
      </c>
      <c r="D62" s="79">
        <v>28297</v>
      </c>
      <c r="E62" s="79">
        <v>27745</v>
      </c>
      <c r="F62" s="79">
        <v>30231</v>
      </c>
      <c r="G62" s="4">
        <v>35492</v>
      </c>
      <c r="H62" s="4">
        <v>43333</v>
      </c>
      <c r="I62" s="4">
        <v>48486</v>
      </c>
      <c r="J62" s="4">
        <v>49746</v>
      </c>
      <c r="K62" s="4">
        <v>50618</v>
      </c>
      <c r="L62" s="4">
        <v>50996</v>
      </c>
      <c r="M62" s="4">
        <v>53309</v>
      </c>
      <c r="N62" s="4">
        <v>49566</v>
      </c>
      <c r="O62" s="4">
        <v>35040</v>
      </c>
      <c r="P62" s="93">
        <f t="shared" si="16"/>
        <v>0.15907512156395753</v>
      </c>
      <c r="Q62" s="93">
        <f t="shared" si="17"/>
        <v>-0.30775613418151648</v>
      </c>
      <c r="R62" s="100">
        <f t="shared" si="18"/>
        <v>-0.2930637937295727</v>
      </c>
      <c r="S62" s="13">
        <f t="shared" si="19"/>
        <v>0.17605032306038165</v>
      </c>
    </row>
    <row r="63" spans="1:19" x14ac:dyDescent="0.2">
      <c r="A63" s="131" t="s">
        <v>2</v>
      </c>
      <c r="B63" s="79">
        <v>2268</v>
      </c>
      <c r="C63" s="79">
        <v>2841</v>
      </c>
      <c r="D63" s="79">
        <v>4369</v>
      </c>
      <c r="E63" s="79">
        <v>3803</v>
      </c>
      <c r="F63" s="79">
        <v>5216</v>
      </c>
      <c r="G63" s="4">
        <v>5514</v>
      </c>
      <c r="H63" s="4">
        <v>6464</v>
      </c>
      <c r="I63" s="4">
        <v>6437</v>
      </c>
      <c r="J63" s="4">
        <v>7343</v>
      </c>
      <c r="K63" s="4">
        <v>7339</v>
      </c>
      <c r="L63" s="4">
        <v>7347</v>
      </c>
      <c r="M63" s="4">
        <v>8645</v>
      </c>
      <c r="N63" s="4">
        <v>8527</v>
      </c>
      <c r="O63" s="4">
        <v>8856</v>
      </c>
      <c r="P63" s="93">
        <f t="shared" si="16"/>
        <v>0.69785276073619629</v>
      </c>
      <c r="Q63" s="93">
        <f t="shared" si="17"/>
        <v>0.20670391061452514</v>
      </c>
      <c r="R63" s="100">
        <f t="shared" si="18"/>
        <v>3.8583323560455025E-2</v>
      </c>
      <c r="S63" s="13">
        <f t="shared" si="19"/>
        <v>4.4494910417315632E-2</v>
      </c>
    </row>
    <row r="64" spans="1:19" x14ac:dyDescent="0.2">
      <c r="A64" s="79" t="s">
        <v>3</v>
      </c>
      <c r="B64" s="79">
        <v>2365</v>
      </c>
      <c r="C64" s="79">
        <v>4288</v>
      </c>
      <c r="D64" s="79">
        <v>5164</v>
      </c>
      <c r="E64" s="79">
        <v>4727</v>
      </c>
      <c r="F64" s="79">
        <v>4767</v>
      </c>
      <c r="G64" s="4">
        <v>5464</v>
      </c>
      <c r="H64" s="4">
        <v>8161</v>
      </c>
      <c r="I64" s="4">
        <v>8153</v>
      </c>
      <c r="J64" s="4">
        <v>8204</v>
      </c>
      <c r="K64" s="4">
        <v>10862</v>
      </c>
      <c r="L64" s="4">
        <v>10998</v>
      </c>
      <c r="M64" s="4">
        <v>13179</v>
      </c>
      <c r="N64" s="4">
        <v>15033</v>
      </c>
      <c r="O64" s="4">
        <v>13758</v>
      </c>
      <c r="P64" s="93">
        <f t="shared" si="16"/>
        <v>1.8860918816865953</v>
      </c>
      <c r="Q64" s="93">
        <f t="shared" si="17"/>
        <v>0.26661756582581475</v>
      </c>
      <c r="R64" s="100">
        <f t="shared" si="18"/>
        <v>-8.4813410496906799E-2</v>
      </c>
      <c r="S64" s="13">
        <f t="shared" si="19"/>
        <v>6.9123868283810799E-2</v>
      </c>
    </row>
    <row r="65" spans="1:19" x14ac:dyDescent="0.2">
      <c r="A65" s="5" t="s">
        <v>4</v>
      </c>
      <c r="B65" s="5">
        <v>95291</v>
      </c>
      <c r="C65" s="5">
        <v>110292</v>
      </c>
      <c r="D65" s="5">
        <v>122901</v>
      </c>
      <c r="E65" s="5">
        <v>118591</v>
      </c>
      <c r="F65" s="5">
        <v>136579</v>
      </c>
      <c r="G65" s="5">
        <v>155423</v>
      </c>
      <c r="H65" s="5">
        <v>181416</v>
      </c>
      <c r="I65" s="5">
        <v>196548</v>
      </c>
      <c r="J65" s="5">
        <v>215262</v>
      </c>
      <c r="K65" s="5">
        <v>228881</v>
      </c>
      <c r="L65" s="5">
        <v>241791</v>
      </c>
      <c r="M65" s="5">
        <v>249290</v>
      </c>
      <c r="N65" s="5">
        <v>245482</v>
      </c>
      <c r="O65" s="5">
        <v>199034</v>
      </c>
      <c r="P65" s="77">
        <f t="shared" si="16"/>
        <v>0.45728113399570947</v>
      </c>
      <c r="Q65" s="77">
        <f t="shared" si="17"/>
        <v>-0.13040400907021552</v>
      </c>
      <c r="R65" s="101">
        <f t="shared" si="18"/>
        <v>-0.18921142894387369</v>
      </c>
      <c r="S65" s="15">
        <f t="shared" si="19"/>
        <v>1</v>
      </c>
    </row>
    <row r="66" spans="1:19" x14ac:dyDescent="0.2">
      <c r="A66" s="130" t="s">
        <v>373</v>
      </c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</row>
    <row r="67" spans="1:19" x14ac:dyDescent="0.2">
      <c r="A67" s="110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</row>
    <row r="68" spans="1:19" ht="15.75" x14ac:dyDescent="0.2">
      <c r="A68" s="24" t="s">
        <v>216</v>
      </c>
      <c r="B68" s="24"/>
      <c r="C68" s="24"/>
      <c r="D68" s="24"/>
      <c r="E68" s="24"/>
      <c r="F68" s="24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</row>
    <row r="69" spans="1:19" ht="25.5" x14ac:dyDescent="0.2">
      <c r="A69" s="82" t="s">
        <v>233</v>
      </c>
      <c r="B69" s="3">
        <v>2007</v>
      </c>
      <c r="C69" s="3">
        <v>2008</v>
      </c>
      <c r="D69" s="3">
        <v>2009</v>
      </c>
      <c r="E69" s="3">
        <v>2010</v>
      </c>
      <c r="F69" s="3">
        <v>2011</v>
      </c>
      <c r="G69" s="3">
        <v>2012</v>
      </c>
      <c r="H69" s="3">
        <v>2013</v>
      </c>
      <c r="I69" s="3">
        <v>2014</v>
      </c>
      <c r="J69" s="3">
        <v>2015</v>
      </c>
      <c r="K69" s="3">
        <v>2016</v>
      </c>
      <c r="L69" s="3">
        <v>2017</v>
      </c>
      <c r="M69" s="3">
        <v>2018</v>
      </c>
      <c r="N69" s="3">
        <v>2019</v>
      </c>
      <c r="O69" s="3">
        <v>2020</v>
      </c>
      <c r="P69" s="12" t="s">
        <v>427</v>
      </c>
      <c r="Q69" s="12" t="s">
        <v>428</v>
      </c>
      <c r="R69" s="12" t="s">
        <v>429</v>
      </c>
      <c r="S69" s="12" t="s">
        <v>430</v>
      </c>
    </row>
    <row r="70" spans="1:19" x14ac:dyDescent="0.2">
      <c r="A70" s="31" t="s">
        <v>214</v>
      </c>
      <c r="B70" s="31">
        <v>51566</v>
      </c>
      <c r="C70" s="31">
        <v>61828</v>
      </c>
      <c r="D70" s="31">
        <v>67613</v>
      </c>
      <c r="E70" s="31">
        <v>64503</v>
      </c>
      <c r="F70" s="31">
        <v>76212</v>
      </c>
      <c r="G70" s="4">
        <v>87447</v>
      </c>
      <c r="H70" s="4">
        <v>102433</v>
      </c>
      <c r="I70" s="4">
        <v>109830</v>
      </c>
      <c r="J70" s="4">
        <v>119764</v>
      </c>
      <c r="K70" s="4">
        <v>129532</v>
      </c>
      <c r="L70" s="4">
        <v>137219</v>
      </c>
      <c r="M70" s="4">
        <v>141173</v>
      </c>
      <c r="N70" s="4">
        <v>139672</v>
      </c>
      <c r="O70" s="4">
        <v>113133</v>
      </c>
      <c r="P70" s="93">
        <f t="shared" ref="P70:P72" si="22">(O70-F70)/F70</f>
        <v>0.48445126751692646</v>
      </c>
      <c r="Q70" s="93">
        <f t="shared" ref="Q70:Q72" si="23">(O70-K70)/K70</f>
        <v>-0.12660192076089305</v>
      </c>
      <c r="R70" s="100">
        <f t="shared" ref="R70:R72" si="24">(O70-N70)/N70</f>
        <v>-0.19000945071309927</v>
      </c>
      <c r="S70" s="13">
        <f t="shared" ref="S70:S72" si="25">O70/O$9</f>
        <v>0.56841042233990169</v>
      </c>
    </row>
    <row r="71" spans="1:19" x14ac:dyDescent="0.2">
      <c r="A71" s="31" t="s">
        <v>215</v>
      </c>
      <c r="B71" s="31">
        <v>43725</v>
      </c>
      <c r="C71" s="31">
        <v>48464</v>
      </c>
      <c r="D71" s="31">
        <v>55288</v>
      </c>
      <c r="E71" s="31">
        <v>54088</v>
      </c>
      <c r="F71" s="31">
        <v>60367</v>
      </c>
      <c r="G71" s="4">
        <v>67976</v>
      </c>
      <c r="H71" s="4">
        <v>78983</v>
      </c>
      <c r="I71" s="4">
        <v>86718</v>
      </c>
      <c r="J71" s="4">
        <v>95498</v>
      </c>
      <c r="K71" s="4">
        <v>99349</v>
      </c>
      <c r="L71" s="4">
        <v>104572</v>
      </c>
      <c r="M71" s="4">
        <v>108117</v>
      </c>
      <c r="N71" s="4">
        <v>105810</v>
      </c>
      <c r="O71" s="4">
        <v>85901</v>
      </c>
      <c r="P71" s="93">
        <f t="shared" si="22"/>
        <v>0.42297944241058855</v>
      </c>
      <c r="Q71" s="93">
        <f t="shared" si="23"/>
        <v>-0.13536120142125235</v>
      </c>
      <c r="R71" s="100">
        <f t="shared" si="24"/>
        <v>-0.18815801909082316</v>
      </c>
      <c r="S71" s="13">
        <f t="shared" si="25"/>
        <v>0.43158957766009826</v>
      </c>
    </row>
    <row r="72" spans="1:19" x14ac:dyDescent="0.2">
      <c r="A72" s="5" t="s">
        <v>4</v>
      </c>
      <c r="B72" s="5">
        <f>SUM(B70:B71)</f>
        <v>95291</v>
      </c>
      <c r="C72" s="5">
        <f t="shared" ref="C72:O72" si="26">SUM(C70:C71)</f>
        <v>110292</v>
      </c>
      <c r="D72" s="5">
        <f t="shared" si="26"/>
        <v>122901</v>
      </c>
      <c r="E72" s="5">
        <f t="shared" si="26"/>
        <v>118591</v>
      </c>
      <c r="F72" s="5">
        <f t="shared" si="26"/>
        <v>136579</v>
      </c>
      <c r="G72" s="5">
        <f t="shared" si="26"/>
        <v>155423</v>
      </c>
      <c r="H72" s="5">
        <f t="shared" si="26"/>
        <v>181416</v>
      </c>
      <c r="I72" s="5">
        <f t="shared" si="26"/>
        <v>196548</v>
      </c>
      <c r="J72" s="5">
        <f t="shared" si="26"/>
        <v>215262</v>
      </c>
      <c r="K72" s="5">
        <f t="shared" si="26"/>
        <v>228881</v>
      </c>
      <c r="L72" s="5">
        <f t="shared" si="26"/>
        <v>241791</v>
      </c>
      <c r="M72" s="5">
        <f t="shared" si="26"/>
        <v>249290</v>
      </c>
      <c r="N72" s="5">
        <f t="shared" si="26"/>
        <v>245482</v>
      </c>
      <c r="O72" s="5">
        <f t="shared" si="26"/>
        <v>199034</v>
      </c>
      <c r="P72" s="77">
        <f t="shared" si="22"/>
        <v>0.45728113399570947</v>
      </c>
      <c r="Q72" s="77">
        <f t="shared" si="23"/>
        <v>-0.13040400907021552</v>
      </c>
      <c r="R72" s="101">
        <f t="shared" si="24"/>
        <v>-0.18921142894387369</v>
      </c>
      <c r="S72" s="15">
        <f t="shared" si="25"/>
        <v>1</v>
      </c>
    </row>
    <row r="73" spans="1:19" x14ac:dyDescent="0.2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</row>
    <row r="74" spans="1:19" ht="15.75" x14ac:dyDescent="0.2">
      <c r="A74" s="24" t="s">
        <v>25</v>
      </c>
      <c r="B74" s="24"/>
      <c r="C74" s="24"/>
      <c r="D74" s="24"/>
      <c r="E74" s="24"/>
      <c r="F74" s="24"/>
      <c r="G74" s="37"/>
    </row>
    <row r="75" spans="1:19" ht="25.5" x14ac:dyDescent="0.2">
      <c r="A75" s="82" t="s">
        <v>26</v>
      </c>
      <c r="B75" s="3">
        <v>2007</v>
      </c>
      <c r="C75" s="3">
        <v>2008</v>
      </c>
      <c r="D75" s="3">
        <v>2009</v>
      </c>
      <c r="E75" s="3">
        <v>2010</v>
      </c>
      <c r="F75" s="3">
        <v>2011</v>
      </c>
      <c r="G75" s="3">
        <v>2012</v>
      </c>
      <c r="H75" s="3">
        <v>2013</v>
      </c>
      <c r="I75" s="3">
        <v>2014</v>
      </c>
      <c r="J75" s="3">
        <v>2015</v>
      </c>
      <c r="K75" s="3">
        <v>2016</v>
      </c>
      <c r="L75" s="3">
        <v>2017</v>
      </c>
      <c r="M75" s="3">
        <v>2018</v>
      </c>
      <c r="N75" s="3">
        <v>2019</v>
      </c>
      <c r="O75" s="3">
        <v>2020</v>
      </c>
      <c r="P75" s="12" t="s">
        <v>427</v>
      </c>
      <c r="Q75" s="12" t="s">
        <v>428</v>
      </c>
      <c r="R75" s="12" t="s">
        <v>429</v>
      </c>
      <c r="S75" s="12" t="s">
        <v>430</v>
      </c>
    </row>
    <row r="76" spans="1:19" x14ac:dyDescent="0.2">
      <c r="A76" s="4" t="s">
        <v>27</v>
      </c>
      <c r="B76" s="4">
        <v>69</v>
      </c>
      <c r="C76" s="4">
        <v>821</v>
      </c>
      <c r="D76" s="4">
        <v>678</v>
      </c>
      <c r="E76" s="4">
        <v>81</v>
      </c>
      <c r="F76" s="4">
        <v>133</v>
      </c>
      <c r="G76" s="4">
        <v>169</v>
      </c>
      <c r="H76" s="4">
        <v>226</v>
      </c>
      <c r="I76" s="4">
        <v>318</v>
      </c>
      <c r="J76" s="4">
        <v>425</v>
      </c>
      <c r="K76" s="4">
        <v>500</v>
      </c>
      <c r="L76" s="4">
        <v>621</v>
      </c>
      <c r="M76" s="4">
        <v>537</v>
      </c>
      <c r="N76" s="4">
        <v>406</v>
      </c>
      <c r="O76" s="4">
        <v>288</v>
      </c>
      <c r="P76" s="93">
        <f t="shared" ref="P76:P83" si="27">(O76-F76)/F76</f>
        <v>1.1654135338345866</v>
      </c>
      <c r="Q76" s="100">
        <f t="shared" ref="Q76:Q83" si="28">(O76-K76)/K76</f>
        <v>-0.42399999999999999</v>
      </c>
      <c r="R76" s="100">
        <f t="shared" ref="R76:R83" si="29">(O76-N76)/N76</f>
        <v>-0.29064039408866993</v>
      </c>
      <c r="S76" s="102">
        <f t="shared" ref="S76:S83" si="30">O76/O$9</f>
        <v>1.446988956660671E-3</v>
      </c>
    </row>
    <row r="77" spans="1:19" x14ac:dyDescent="0.2">
      <c r="A77" s="4" t="s">
        <v>28</v>
      </c>
      <c r="B77" s="4">
        <v>36190</v>
      </c>
      <c r="C77" s="4">
        <v>41321</v>
      </c>
      <c r="D77" s="4">
        <v>44573</v>
      </c>
      <c r="E77" s="4">
        <v>43519</v>
      </c>
      <c r="F77" s="4">
        <v>54191</v>
      </c>
      <c r="G77" s="4">
        <v>62833</v>
      </c>
      <c r="H77" s="4">
        <v>71442</v>
      </c>
      <c r="I77" s="4">
        <v>76091</v>
      </c>
      <c r="J77" s="4">
        <v>82423</v>
      </c>
      <c r="K77" s="4">
        <v>85326</v>
      </c>
      <c r="L77" s="4">
        <v>89362</v>
      </c>
      <c r="M77" s="4">
        <v>88864</v>
      </c>
      <c r="N77" s="4">
        <v>86914</v>
      </c>
      <c r="O77" s="4">
        <v>64098</v>
      </c>
      <c r="P77" s="93">
        <f t="shared" si="27"/>
        <v>0.1828163348157443</v>
      </c>
      <c r="Q77" s="100">
        <f t="shared" si="28"/>
        <v>-0.24878700513325364</v>
      </c>
      <c r="R77" s="100">
        <f t="shared" si="29"/>
        <v>-0.26251236854822008</v>
      </c>
      <c r="S77" s="102">
        <f t="shared" si="30"/>
        <v>0.32204547966679059</v>
      </c>
    </row>
    <row r="78" spans="1:19" x14ac:dyDescent="0.2">
      <c r="A78" s="4" t="s">
        <v>29</v>
      </c>
      <c r="B78" s="4">
        <v>34242</v>
      </c>
      <c r="C78" s="4">
        <v>37459</v>
      </c>
      <c r="D78" s="4">
        <v>41377</v>
      </c>
      <c r="E78" s="4">
        <v>40639</v>
      </c>
      <c r="F78" s="4">
        <v>44089</v>
      </c>
      <c r="G78" s="4">
        <v>49294</v>
      </c>
      <c r="H78" s="4">
        <v>57982</v>
      </c>
      <c r="I78" s="4">
        <v>63638</v>
      </c>
      <c r="J78" s="4">
        <v>69164</v>
      </c>
      <c r="K78" s="4">
        <v>72486</v>
      </c>
      <c r="L78" s="4">
        <v>76899</v>
      </c>
      <c r="M78" s="4">
        <v>78179</v>
      </c>
      <c r="N78" s="4">
        <v>74835</v>
      </c>
      <c r="O78" s="4">
        <v>58675</v>
      </c>
      <c r="P78" s="93">
        <f t="shared" si="27"/>
        <v>0.33083081947878157</v>
      </c>
      <c r="Q78" s="100">
        <f t="shared" si="28"/>
        <v>-0.19053334436994729</v>
      </c>
      <c r="R78" s="100">
        <f t="shared" si="29"/>
        <v>-0.21594173849134762</v>
      </c>
      <c r="S78" s="102">
        <f t="shared" si="30"/>
        <v>0.29479887858355858</v>
      </c>
    </row>
    <row r="79" spans="1:19" x14ac:dyDescent="0.2">
      <c r="A79" s="4" t="s">
        <v>30</v>
      </c>
      <c r="B79" s="4">
        <v>11457</v>
      </c>
      <c r="C79" s="4">
        <v>13257</v>
      </c>
      <c r="D79" s="4">
        <v>15183</v>
      </c>
      <c r="E79" s="4">
        <v>14683</v>
      </c>
      <c r="F79" s="4">
        <v>16572</v>
      </c>
      <c r="G79" s="4">
        <v>19087</v>
      </c>
      <c r="H79" s="4">
        <v>23465</v>
      </c>
      <c r="I79" s="4">
        <v>26080</v>
      </c>
      <c r="J79" s="4">
        <v>28690</v>
      </c>
      <c r="K79" s="4">
        <v>31697</v>
      </c>
      <c r="L79" s="4">
        <v>33187</v>
      </c>
      <c r="M79" s="4">
        <v>36126</v>
      </c>
      <c r="N79" s="4">
        <v>36035</v>
      </c>
      <c r="O79" s="4">
        <v>32212</v>
      </c>
      <c r="P79" s="93">
        <f t="shared" si="27"/>
        <v>0.94376055998069031</v>
      </c>
      <c r="Q79" s="100">
        <f t="shared" si="28"/>
        <v>1.6247594409565573E-2</v>
      </c>
      <c r="R79" s="100">
        <f t="shared" si="29"/>
        <v>-0.10609130012487859</v>
      </c>
      <c r="S79" s="102">
        <f t="shared" si="30"/>
        <v>0.16184169538872756</v>
      </c>
    </row>
    <row r="80" spans="1:19" x14ac:dyDescent="0.2">
      <c r="A80" s="4" t="s">
        <v>31</v>
      </c>
      <c r="B80" s="4">
        <v>5594</v>
      </c>
      <c r="C80" s="4">
        <v>7062</v>
      </c>
      <c r="D80" s="4">
        <v>8680</v>
      </c>
      <c r="E80" s="4">
        <v>8399</v>
      </c>
      <c r="F80" s="4">
        <v>9215</v>
      </c>
      <c r="G80" s="4">
        <v>10469</v>
      </c>
      <c r="H80" s="4">
        <v>12453</v>
      </c>
      <c r="I80" s="4">
        <v>13606</v>
      </c>
      <c r="J80" s="4">
        <v>15199</v>
      </c>
      <c r="K80" s="4">
        <v>17206</v>
      </c>
      <c r="L80" s="4">
        <v>18793</v>
      </c>
      <c r="M80" s="4">
        <v>20858</v>
      </c>
      <c r="N80" s="4">
        <v>21278</v>
      </c>
      <c r="O80" s="4">
        <v>19499</v>
      </c>
      <c r="P80" s="93">
        <f t="shared" si="27"/>
        <v>1.1160065111231687</v>
      </c>
      <c r="Q80" s="100">
        <f t="shared" si="28"/>
        <v>0.13326746483784727</v>
      </c>
      <c r="R80" s="100">
        <f t="shared" si="29"/>
        <v>-8.3607481906194187E-2</v>
      </c>
      <c r="S80" s="102">
        <f t="shared" si="30"/>
        <v>9.7968186340022315E-2</v>
      </c>
    </row>
    <row r="81" spans="1:19" x14ac:dyDescent="0.2">
      <c r="A81" s="4" t="s">
        <v>32</v>
      </c>
      <c r="B81" s="4">
        <v>7407</v>
      </c>
      <c r="C81" s="4">
        <v>10144</v>
      </c>
      <c r="D81" s="4">
        <v>12352</v>
      </c>
      <c r="E81" s="4">
        <v>11189</v>
      </c>
      <c r="F81" s="4">
        <v>12294</v>
      </c>
      <c r="G81" s="4">
        <v>13456</v>
      </c>
      <c r="H81" s="4">
        <v>15727</v>
      </c>
      <c r="I81" s="4">
        <v>16426</v>
      </c>
      <c r="J81" s="4">
        <v>19222</v>
      </c>
      <c r="K81" s="4">
        <v>21661</v>
      </c>
      <c r="L81" s="4">
        <v>22919</v>
      </c>
      <c r="M81" s="4">
        <v>24717</v>
      </c>
      <c r="N81" s="4">
        <v>26005</v>
      </c>
      <c r="O81" s="4">
        <v>24261</v>
      </c>
      <c r="P81" s="93">
        <f t="shared" si="27"/>
        <v>0.97340165934602241</v>
      </c>
      <c r="Q81" s="100">
        <f t="shared" si="28"/>
        <v>0.12003139282581599</v>
      </c>
      <c r="R81" s="100">
        <f t="shared" si="29"/>
        <v>-6.706402614881754E-2</v>
      </c>
      <c r="S81" s="102">
        <f t="shared" si="30"/>
        <v>0.12189374679702965</v>
      </c>
    </row>
    <row r="82" spans="1:19" x14ac:dyDescent="0.2">
      <c r="A82" s="4" t="s">
        <v>33</v>
      </c>
      <c r="B82" s="4">
        <v>332</v>
      </c>
      <c r="C82" s="4">
        <v>228</v>
      </c>
      <c r="D82" s="4">
        <v>58</v>
      </c>
      <c r="E82" s="4">
        <v>81</v>
      </c>
      <c r="F82" s="4">
        <v>85</v>
      </c>
      <c r="G82" s="4">
        <v>115</v>
      </c>
      <c r="H82" s="4">
        <v>121</v>
      </c>
      <c r="I82" s="4">
        <v>389</v>
      </c>
      <c r="J82" s="4">
        <v>139</v>
      </c>
      <c r="K82" s="4">
        <v>5</v>
      </c>
      <c r="L82" s="4">
        <v>10</v>
      </c>
      <c r="M82" s="4">
        <v>9</v>
      </c>
      <c r="N82" s="4">
        <v>9</v>
      </c>
      <c r="O82" s="4">
        <v>1</v>
      </c>
      <c r="P82" s="93">
        <f t="shared" si="27"/>
        <v>-0.9882352941176471</v>
      </c>
      <c r="Q82" s="100">
        <f t="shared" si="28"/>
        <v>-0.8</v>
      </c>
      <c r="R82" s="100">
        <f t="shared" si="29"/>
        <v>-0.88888888888888884</v>
      </c>
      <c r="S82" s="102">
        <f t="shared" si="30"/>
        <v>5.0242672106273301E-6</v>
      </c>
    </row>
    <row r="83" spans="1:19" x14ac:dyDescent="0.2">
      <c r="A83" s="5" t="s">
        <v>4</v>
      </c>
      <c r="B83" s="5">
        <v>95291</v>
      </c>
      <c r="C83" s="5">
        <v>110292</v>
      </c>
      <c r="D83" s="5">
        <v>122901</v>
      </c>
      <c r="E83" s="5">
        <v>118591</v>
      </c>
      <c r="F83" s="5">
        <v>136579</v>
      </c>
      <c r="G83" s="5">
        <v>155423</v>
      </c>
      <c r="H83" s="5">
        <v>181416</v>
      </c>
      <c r="I83" s="5">
        <v>196548</v>
      </c>
      <c r="J83" s="5">
        <v>215262</v>
      </c>
      <c r="K83" s="5">
        <v>228881</v>
      </c>
      <c r="L83" s="5">
        <v>241791</v>
      </c>
      <c r="M83" s="5">
        <v>249290</v>
      </c>
      <c r="N83" s="5">
        <v>245482</v>
      </c>
      <c r="O83" s="5">
        <v>199034</v>
      </c>
      <c r="P83" s="77">
        <f t="shared" si="27"/>
        <v>0.45728113399570947</v>
      </c>
      <c r="Q83" s="77">
        <f t="shared" si="28"/>
        <v>-0.13040400907021552</v>
      </c>
      <c r="R83" s="101">
        <f t="shared" si="29"/>
        <v>-0.18921142894387369</v>
      </c>
      <c r="S83" s="15">
        <f t="shared" si="30"/>
        <v>1</v>
      </c>
    </row>
    <row r="84" spans="1:19" s="29" customFormat="1" x14ac:dyDescent="0.2">
      <c r="A84" s="82" t="s">
        <v>35</v>
      </c>
      <c r="B84" s="82">
        <v>27.8</v>
      </c>
      <c r="C84" s="94">
        <v>28.2</v>
      </c>
      <c r="D84" s="94">
        <v>28.5</v>
      </c>
      <c r="E84" s="94">
        <v>28.4</v>
      </c>
      <c r="F84" s="94">
        <v>28.1</v>
      </c>
      <c r="G84" s="94">
        <v>28</v>
      </c>
      <c r="H84" s="94">
        <v>28.1</v>
      </c>
      <c r="I84" s="94">
        <v>28.1</v>
      </c>
      <c r="J84" s="94">
        <v>28.2</v>
      </c>
      <c r="K84" s="94">
        <v>28.4</v>
      </c>
      <c r="L84" s="94">
        <v>28.5</v>
      </c>
      <c r="M84" s="94">
        <v>28.7</v>
      </c>
      <c r="N84" s="94">
        <v>28.9</v>
      </c>
      <c r="O84" s="94">
        <v>29.6</v>
      </c>
      <c r="P84" s="124"/>
      <c r="Q84" s="125"/>
      <c r="R84" s="125"/>
      <c r="S84" s="126"/>
    </row>
    <row r="85" spans="1:19" x14ac:dyDescent="0.2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9" ht="15.75" x14ac:dyDescent="0.2">
      <c r="A86" s="24" t="s">
        <v>34</v>
      </c>
      <c r="B86" s="24"/>
      <c r="C86" s="24"/>
      <c r="D86" s="24"/>
      <c r="E86" s="24"/>
      <c r="F86" s="24"/>
      <c r="G86" s="37"/>
      <c r="H86" s="37"/>
      <c r="I86" s="37"/>
      <c r="J86" s="37"/>
      <c r="K86" s="37"/>
    </row>
    <row r="87" spans="1:19" ht="25.5" x14ac:dyDescent="0.2">
      <c r="A87" s="82" t="s">
        <v>9</v>
      </c>
      <c r="B87" s="3">
        <v>2007</v>
      </c>
      <c r="C87" s="3">
        <v>2008</v>
      </c>
      <c r="D87" s="3">
        <v>2009</v>
      </c>
      <c r="E87" s="3">
        <v>2010</v>
      </c>
      <c r="F87" s="3">
        <v>2011</v>
      </c>
      <c r="G87" s="3">
        <v>2012</v>
      </c>
      <c r="H87" s="3">
        <v>2013</v>
      </c>
      <c r="I87" s="3">
        <v>2014</v>
      </c>
      <c r="J87" s="3">
        <v>2015</v>
      </c>
      <c r="K87" s="3">
        <v>2016</v>
      </c>
      <c r="L87" s="3">
        <v>2017</v>
      </c>
      <c r="M87" s="3">
        <v>2018</v>
      </c>
      <c r="N87" s="3">
        <v>2019</v>
      </c>
      <c r="O87" s="3">
        <v>2020</v>
      </c>
      <c r="P87" s="12" t="s">
        <v>427</v>
      </c>
      <c r="Q87" s="12" t="s">
        <v>428</v>
      </c>
      <c r="R87" s="12" t="s">
        <v>429</v>
      </c>
      <c r="S87" s="12" t="s">
        <v>430</v>
      </c>
    </row>
    <row r="88" spans="1:19" x14ac:dyDescent="0.2">
      <c r="A88" s="4" t="s">
        <v>254</v>
      </c>
      <c r="B88" s="4">
        <v>1715</v>
      </c>
      <c r="C88" s="4">
        <v>1793</v>
      </c>
      <c r="D88" s="4">
        <v>1933</v>
      </c>
      <c r="E88" s="4">
        <v>1866</v>
      </c>
      <c r="F88" s="4">
        <v>2076</v>
      </c>
      <c r="G88" s="17">
        <v>2070</v>
      </c>
      <c r="H88" s="17">
        <v>2354</v>
      </c>
      <c r="I88" s="17">
        <v>2760</v>
      </c>
      <c r="J88" s="17">
        <v>2566</v>
      </c>
      <c r="K88" s="17">
        <v>2512</v>
      </c>
      <c r="L88" s="17">
        <v>2756</v>
      </c>
      <c r="M88" s="4">
        <v>3110</v>
      </c>
      <c r="N88" s="4">
        <v>3018</v>
      </c>
      <c r="O88" s="4">
        <v>2448</v>
      </c>
      <c r="P88" s="93">
        <f t="shared" ref="P88:P104" si="31">(O88-F88)/F88</f>
        <v>0.1791907514450867</v>
      </c>
      <c r="Q88" s="93">
        <f t="shared" ref="Q88:Q104" si="32">(O88-K88)/K88</f>
        <v>-2.5477707006369428E-2</v>
      </c>
      <c r="R88" s="100">
        <f t="shared" ref="R88:R104" si="33">(O88-N88)/N88</f>
        <v>-0.18886679920477137</v>
      </c>
      <c r="S88" s="13">
        <f t="shared" ref="S88:S104" si="34">O88/O$9</f>
        <v>1.2299406131615703E-2</v>
      </c>
    </row>
    <row r="89" spans="1:19" x14ac:dyDescent="0.2">
      <c r="A89" s="4" t="s">
        <v>255</v>
      </c>
      <c r="B89" s="4">
        <v>1114</v>
      </c>
      <c r="C89" s="4">
        <v>1475</v>
      </c>
      <c r="D89" s="4">
        <v>1411</v>
      </c>
      <c r="E89" s="4">
        <v>1311</v>
      </c>
      <c r="F89" s="4">
        <v>1535</v>
      </c>
      <c r="G89" s="17">
        <v>1593</v>
      </c>
      <c r="H89" s="17">
        <v>1911</v>
      </c>
      <c r="I89" s="17">
        <v>2206</v>
      </c>
      <c r="J89" s="17">
        <v>2548</v>
      </c>
      <c r="K89" s="17">
        <v>2542</v>
      </c>
      <c r="L89" s="17">
        <v>2878</v>
      </c>
      <c r="M89" s="4">
        <v>3389</v>
      </c>
      <c r="N89" s="4">
        <v>2960</v>
      </c>
      <c r="O89" s="4">
        <v>2495</v>
      </c>
      <c r="P89" s="93">
        <f t="shared" si="31"/>
        <v>0.62540716612377845</v>
      </c>
      <c r="Q89" s="93">
        <f t="shared" si="32"/>
        <v>-1.8489378442171519E-2</v>
      </c>
      <c r="R89" s="100">
        <f t="shared" si="33"/>
        <v>-0.1570945945945946</v>
      </c>
      <c r="S89" s="13">
        <f t="shared" si="34"/>
        <v>1.2535546690515188E-2</v>
      </c>
    </row>
    <row r="90" spans="1:19" x14ac:dyDescent="0.2">
      <c r="A90" s="4" t="s">
        <v>256</v>
      </c>
      <c r="B90" s="4">
        <v>3412</v>
      </c>
      <c r="C90" s="4">
        <v>3544</v>
      </c>
      <c r="D90" s="4">
        <v>4211</v>
      </c>
      <c r="E90" s="4">
        <v>4051</v>
      </c>
      <c r="F90" s="4">
        <v>4368</v>
      </c>
      <c r="G90" s="17">
        <v>5183</v>
      </c>
      <c r="H90" s="17">
        <v>6106</v>
      </c>
      <c r="I90" s="17">
        <v>6595</v>
      </c>
      <c r="J90" s="17">
        <v>8258</v>
      </c>
      <c r="K90" s="17">
        <v>7555</v>
      </c>
      <c r="L90" s="17">
        <v>7134</v>
      </c>
      <c r="M90" s="4">
        <v>7541</v>
      </c>
      <c r="N90" s="4">
        <v>7054</v>
      </c>
      <c r="O90" s="4">
        <v>5673</v>
      </c>
      <c r="P90" s="93">
        <f t="shared" si="31"/>
        <v>0.29876373626373626</v>
      </c>
      <c r="Q90" s="93">
        <f t="shared" si="32"/>
        <v>-0.24910655195234943</v>
      </c>
      <c r="R90" s="100">
        <f t="shared" si="33"/>
        <v>-0.195775446555146</v>
      </c>
      <c r="S90" s="13">
        <f t="shared" si="34"/>
        <v>2.8502667885888844E-2</v>
      </c>
    </row>
    <row r="91" spans="1:19" x14ac:dyDescent="0.2">
      <c r="A91" s="4" t="s">
        <v>257</v>
      </c>
      <c r="B91" s="4">
        <v>640</v>
      </c>
      <c r="C91" s="4">
        <v>736</v>
      </c>
      <c r="D91" s="4">
        <v>941</v>
      </c>
      <c r="E91" s="4">
        <v>1074</v>
      </c>
      <c r="F91" s="4">
        <v>831</v>
      </c>
      <c r="G91" s="17">
        <v>1061</v>
      </c>
      <c r="H91" s="17">
        <v>1173</v>
      </c>
      <c r="I91" s="17">
        <v>1357</v>
      </c>
      <c r="J91" s="17">
        <v>1586</v>
      </c>
      <c r="K91" s="17">
        <v>1924</v>
      </c>
      <c r="L91" s="17">
        <v>1983</v>
      </c>
      <c r="M91" s="4">
        <v>1876</v>
      </c>
      <c r="N91" s="4">
        <v>2110</v>
      </c>
      <c r="O91" s="4">
        <v>1857</v>
      </c>
      <c r="P91" s="93">
        <f t="shared" si="31"/>
        <v>1.2346570397111913</v>
      </c>
      <c r="Q91" s="100">
        <f t="shared" si="32"/>
        <v>-3.4823284823284825E-2</v>
      </c>
      <c r="R91" s="100">
        <f t="shared" si="33"/>
        <v>-0.11990521327014218</v>
      </c>
      <c r="S91" s="102">
        <f t="shared" si="34"/>
        <v>9.3300642101349519E-3</v>
      </c>
    </row>
    <row r="92" spans="1:19" x14ac:dyDescent="0.2">
      <c r="A92" s="4" t="s">
        <v>258</v>
      </c>
      <c r="B92" s="4">
        <v>2931</v>
      </c>
      <c r="C92" s="4">
        <v>4101</v>
      </c>
      <c r="D92" s="4">
        <v>3732</v>
      </c>
      <c r="E92" s="4">
        <v>3374</v>
      </c>
      <c r="F92" s="4">
        <v>3634</v>
      </c>
      <c r="G92" s="17">
        <v>4448</v>
      </c>
      <c r="H92" s="17">
        <v>6012</v>
      </c>
      <c r="I92" s="17">
        <v>5966</v>
      </c>
      <c r="J92" s="17">
        <v>6370</v>
      </c>
      <c r="K92" s="17">
        <v>6990</v>
      </c>
      <c r="L92" s="17">
        <v>7501</v>
      </c>
      <c r="M92" s="4">
        <v>8258</v>
      </c>
      <c r="N92" s="4">
        <v>8456</v>
      </c>
      <c r="O92" s="4">
        <v>5754</v>
      </c>
      <c r="P92" s="93">
        <f t="shared" si="31"/>
        <v>0.58337919647771053</v>
      </c>
      <c r="Q92" s="100">
        <f t="shared" si="32"/>
        <v>-0.17682403433476396</v>
      </c>
      <c r="R92" s="100">
        <f t="shared" si="33"/>
        <v>-0.31953642384105962</v>
      </c>
      <c r="S92" s="102">
        <f t="shared" si="34"/>
        <v>2.8909633529949658E-2</v>
      </c>
    </row>
    <row r="93" spans="1:19" x14ac:dyDescent="0.2">
      <c r="A93" s="4" t="s">
        <v>259</v>
      </c>
      <c r="B93" s="4">
        <v>11066</v>
      </c>
      <c r="C93" s="4">
        <v>12303</v>
      </c>
      <c r="D93" s="4">
        <v>13907</v>
      </c>
      <c r="E93" s="4">
        <v>12554</v>
      </c>
      <c r="F93" s="4">
        <v>14057</v>
      </c>
      <c r="G93" s="17">
        <v>17565</v>
      </c>
      <c r="H93" s="17">
        <v>18986</v>
      </c>
      <c r="I93" s="17">
        <v>21071</v>
      </c>
      <c r="J93" s="17">
        <v>22729</v>
      </c>
      <c r="K93" s="17">
        <v>23603</v>
      </c>
      <c r="L93" s="17">
        <v>24888</v>
      </c>
      <c r="M93" s="4">
        <v>24068</v>
      </c>
      <c r="N93" s="4">
        <v>23125</v>
      </c>
      <c r="O93" s="4">
        <v>18730</v>
      </c>
      <c r="P93" s="93">
        <f t="shared" si="31"/>
        <v>0.3324322401650423</v>
      </c>
      <c r="Q93" s="100">
        <f t="shared" si="32"/>
        <v>-0.20645680633817734</v>
      </c>
      <c r="R93" s="100">
        <f t="shared" si="33"/>
        <v>-0.19005405405405407</v>
      </c>
      <c r="S93" s="102">
        <f t="shared" si="34"/>
        <v>9.4104524855049887E-2</v>
      </c>
    </row>
    <row r="94" spans="1:19" x14ac:dyDescent="0.2">
      <c r="A94" s="31" t="s">
        <v>270</v>
      </c>
      <c r="B94" s="31">
        <v>47477</v>
      </c>
      <c r="C94" s="31">
        <v>53455</v>
      </c>
      <c r="D94" s="31">
        <v>59878</v>
      </c>
      <c r="E94" s="31">
        <v>61091</v>
      </c>
      <c r="F94" s="31">
        <v>70186</v>
      </c>
      <c r="G94" s="17">
        <v>77772</v>
      </c>
      <c r="H94" s="17">
        <v>91063</v>
      </c>
      <c r="I94" s="17">
        <v>96813</v>
      </c>
      <c r="J94" s="17">
        <v>104577</v>
      </c>
      <c r="K94" s="17">
        <v>112217</v>
      </c>
      <c r="L94" s="17">
        <v>121194</v>
      </c>
      <c r="M94" s="31">
        <v>125551</v>
      </c>
      <c r="N94" s="31">
        <v>127197</v>
      </c>
      <c r="O94" s="31">
        <v>108467</v>
      </c>
      <c r="P94" s="93">
        <f t="shared" si="31"/>
        <v>0.54542216396432341</v>
      </c>
      <c r="Q94" s="100">
        <f t="shared" si="32"/>
        <v>-3.341739665113129E-2</v>
      </c>
      <c r="R94" s="100">
        <f t="shared" si="33"/>
        <v>-0.14725190059513982</v>
      </c>
      <c r="S94" s="102">
        <f t="shared" si="34"/>
        <v>0.54496719153511464</v>
      </c>
    </row>
    <row r="95" spans="1:19" x14ac:dyDescent="0.2">
      <c r="A95" s="31" t="s">
        <v>374</v>
      </c>
      <c r="B95" s="4">
        <v>1673</v>
      </c>
      <c r="C95" s="4">
        <v>2256</v>
      </c>
      <c r="D95" s="4">
        <v>2390</v>
      </c>
      <c r="E95" s="4">
        <v>2332</v>
      </c>
      <c r="F95" s="4">
        <v>3384</v>
      </c>
      <c r="G95" s="17">
        <v>3822</v>
      </c>
      <c r="H95" s="17">
        <v>4631</v>
      </c>
      <c r="I95" s="17">
        <v>5228</v>
      </c>
      <c r="J95" s="17">
        <v>6356</v>
      </c>
      <c r="K95" s="17">
        <v>7107</v>
      </c>
      <c r="L95" s="17">
        <v>6715</v>
      </c>
      <c r="M95" s="4">
        <v>6519</v>
      </c>
      <c r="N95" s="4">
        <v>6305</v>
      </c>
      <c r="O95" s="4">
        <v>4697</v>
      </c>
      <c r="P95" s="93">
        <f t="shared" si="31"/>
        <v>0.38800236406619387</v>
      </c>
      <c r="Q95" s="100">
        <f t="shared" si="32"/>
        <v>-0.33910229351343746</v>
      </c>
      <c r="R95" s="100">
        <f t="shared" si="33"/>
        <v>-0.255035685963521</v>
      </c>
      <c r="S95" s="102">
        <f t="shared" si="34"/>
        <v>2.359898308831657E-2</v>
      </c>
    </row>
    <row r="96" spans="1:19" x14ac:dyDescent="0.2">
      <c r="A96" s="4" t="s">
        <v>260</v>
      </c>
      <c r="B96" s="4">
        <v>3159</v>
      </c>
      <c r="C96" s="4">
        <v>4430</v>
      </c>
      <c r="D96" s="4">
        <v>6241</v>
      </c>
      <c r="E96" s="4">
        <v>4354</v>
      </c>
      <c r="F96" s="4">
        <v>5147</v>
      </c>
      <c r="G96" s="17">
        <v>6664</v>
      </c>
      <c r="H96" s="17">
        <v>7547</v>
      </c>
      <c r="I96" s="17">
        <v>8306</v>
      </c>
      <c r="J96" s="17">
        <v>9210</v>
      </c>
      <c r="K96" s="17">
        <v>9936</v>
      </c>
      <c r="L96" s="17">
        <v>10087</v>
      </c>
      <c r="M96" s="4">
        <v>10469</v>
      </c>
      <c r="N96" s="4">
        <v>10082</v>
      </c>
      <c r="O96" s="4">
        <v>8109</v>
      </c>
      <c r="P96" s="93">
        <f t="shared" si="31"/>
        <v>0.57548086263843012</v>
      </c>
      <c r="Q96" s="100">
        <f t="shared" si="32"/>
        <v>-0.18387681159420291</v>
      </c>
      <c r="R96" s="100">
        <f t="shared" si="33"/>
        <v>-0.19569529855187462</v>
      </c>
      <c r="S96" s="102">
        <f t="shared" si="34"/>
        <v>4.0741782810977019E-2</v>
      </c>
    </row>
    <row r="97" spans="1:19" x14ac:dyDescent="0.2">
      <c r="A97" s="4" t="s">
        <v>274</v>
      </c>
      <c r="B97" s="4">
        <v>1878</v>
      </c>
      <c r="C97" s="4">
        <v>2046</v>
      </c>
      <c r="D97" s="4">
        <v>2519</v>
      </c>
      <c r="E97" s="4">
        <v>2195</v>
      </c>
      <c r="F97" s="4">
        <v>3085</v>
      </c>
      <c r="G97" s="17">
        <v>3369</v>
      </c>
      <c r="H97" s="17">
        <v>4214</v>
      </c>
      <c r="I97" s="17">
        <v>4400</v>
      </c>
      <c r="J97" s="17">
        <v>4849</v>
      </c>
      <c r="K97" s="17">
        <v>5102</v>
      </c>
      <c r="L97" s="17">
        <v>5249</v>
      </c>
      <c r="M97" s="4">
        <v>5724</v>
      </c>
      <c r="N97" s="4">
        <v>4843</v>
      </c>
      <c r="O97" s="4">
        <v>3227</v>
      </c>
      <c r="P97" s="93">
        <f t="shared" si="31"/>
        <v>4.6029173419773098E-2</v>
      </c>
      <c r="Q97" s="100">
        <f t="shared" si="32"/>
        <v>-0.36750294002352019</v>
      </c>
      <c r="R97" s="100">
        <f t="shared" si="33"/>
        <v>-0.33367747264092507</v>
      </c>
      <c r="S97" s="102">
        <f t="shared" si="34"/>
        <v>1.6213310288694393E-2</v>
      </c>
    </row>
    <row r="98" spans="1:19" x14ac:dyDescent="0.2">
      <c r="A98" s="4" t="s">
        <v>261</v>
      </c>
      <c r="B98" s="4">
        <v>10801</v>
      </c>
      <c r="C98" s="4">
        <v>12939</v>
      </c>
      <c r="D98" s="4">
        <v>12853</v>
      </c>
      <c r="E98" s="4">
        <v>12303</v>
      </c>
      <c r="F98" s="4">
        <v>14464</v>
      </c>
      <c r="G98" s="17">
        <v>16791</v>
      </c>
      <c r="H98" s="17">
        <v>20404</v>
      </c>
      <c r="I98" s="17">
        <v>22167</v>
      </c>
      <c r="J98" s="17">
        <v>24406</v>
      </c>
      <c r="K98" s="17">
        <v>25109</v>
      </c>
      <c r="L98" s="17">
        <v>26094</v>
      </c>
      <c r="M98" s="4">
        <v>26822</v>
      </c>
      <c r="N98" s="4">
        <v>25707</v>
      </c>
      <c r="O98" s="4">
        <v>19670</v>
      </c>
      <c r="P98" s="93">
        <f t="shared" si="31"/>
        <v>0.35992809734513276</v>
      </c>
      <c r="Q98" s="100">
        <f t="shared" si="32"/>
        <v>-0.21661555617507666</v>
      </c>
      <c r="R98" s="100">
        <f t="shared" si="33"/>
        <v>-0.23483875987085229</v>
      </c>
      <c r="S98" s="102">
        <f t="shared" si="34"/>
        <v>9.8827336033039587E-2</v>
      </c>
    </row>
    <row r="99" spans="1:19" x14ac:dyDescent="0.2">
      <c r="A99" s="4" t="s">
        <v>262</v>
      </c>
      <c r="B99" s="4">
        <v>4746</v>
      </c>
      <c r="C99" s="4">
        <v>5806</v>
      </c>
      <c r="D99" s="4">
        <v>5892</v>
      </c>
      <c r="E99" s="4">
        <v>5913</v>
      </c>
      <c r="F99" s="4">
        <v>6354</v>
      </c>
      <c r="G99" s="17">
        <v>6814</v>
      </c>
      <c r="H99" s="17">
        <v>7749</v>
      </c>
      <c r="I99" s="17">
        <v>9352</v>
      </c>
      <c r="J99" s="17">
        <v>10214</v>
      </c>
      <c r="K99" s="17">
        <v>11351</v>
      </c>
      <c r="L99" s="17">
        <v>10833</v>
      </c>
      <c r="M99" s="4">
        <v>11188</v>
      </c>
      <c r="N99" s="4">
        <v>11033</v>
      </c>
      <c r="O99" s="4">
        <v>7479</v>
      </c>
      <c r="P99" s="93">
        <f t="shared" si="31"/>
        <v>0.17705382436260622</v>
      </c>
      <c r="Q99" s="100">
        <f t="shared" si="32"/>
        <v>-0.34111532023610253</v>
      </c>
      <c r="R99" s="100">
        <f t="shared" si="33"/>
        <v>-0.32212453548445574</v>
      </c>
      <c r="S99" s="102">
        <f t="shared" si="34"/>
        <v>3.7576494468281804E-2</v>
      </c>
    </row>
    <row r="100" spans="1:19" x14ac:dyDescent="0.2">
      <c r="A100" s="4" t="s">
        <v>263</v>
      </c>
      <c r="B100" s="4">
        <v>1634</v>
      </c>
      <c r="C100" s="4">
        <v>1758</v>
      </c>
      <c r="D100" s="4">
        <v>2303</v>
      </c>
      <c r="E100" s="4">
        <v>1832</v>
      </c>
      <c r="F100" s="4">
        <v>2311</v>
      </c>
      <c r="G100" s="17">
        <v>2256</v>
      </c>
      <c r="H100" s="17">
        <v>2754</v>
      </c>
      <c r="I100" s="17">
        <v>3063</v>
      </c>
      <c r="J100" s="17">
        <v>3308</v>
      </c>
      <c r="K100" s="17">
        <v>3487</v>
      </c>
      <c r="L100" s="17">
        <v>3828</v>
      </c>
      <c r="M100" s="4">
        <v>3765</v>
      </c>
      <c r="N100" s="4">
        <v>4097</v>
      </c>
      <c r="O100" s="4">
        <v>2953</v>
      </c>
      <c r="P100" s="93">
        <f t="shared" si="31"/>
        <v>0.2778018173950671</v>
      </c>
      <c r="Q100" s="100">
        <f t="shared" si="32"/>
        <v>-0.15314023515916261</v>
      </c>
      <c r="R100" s="100">
        <f t="shared" si="33"/>
        <v>-0.27922870392970467</v>
      </c>
      <c r="S100" s="102">
        <f t="shared" si="34"/>
        <v>1.4836661072982505E-2</v>
      </c>
    </row>
    <row r="101" spans="1:19" x14ac:dyDescent="0.2">
      <c r="A101" s="4" t="s">
        <v>264</v>
      </c>
      <c r="B101" s="4">
        <v>2155</v>
      </c>
      <c r="C101" s="4">
        <v>2744</v>
      </c>
      <c r="D101" s="4">
        <v>3462</v>
      </c>
      <c r="E101" s="4">
        <v>3324</v>
      </c>
      <c r="F101" s="4">
        <v>3839</v>
      </c>
      <c r="G101" s="17">
        <v>4840</v>
      </c>
      <c r="H101" s="17">
        <v>5087</v>
      </c>
      <c r="I101" s="17">
        <v>5618</v>
      </c>
      <c r="J101" s="17">
        <v>6474</v>
      </c>
      <c r="K101" s="17">
        <v>7799</v>
      </c>
      <c r="L101" s="17">
        <v>8592</v>
      </c>
      <c r="M101" s="4">
        <v>8857</v>
      </c>
      <c r="N101" s="4">
        <v>7828</v>
      </c>
      <c r="O101" s="4">
        <v>6286</v>
      </c>
      <c r="P101" s="93">
        <f t="shared" si="31"/>
        <v>0.63740557436832512</v>
      </c>
      <c r="Q101" s="100">
        <f t="shared" si="32"/>
        <v>-0.19399923067059879</v>
      </c>
      <c r="R101" s="100">
        <f t="shared" si="33"/>
        <v>-0.19698518140010221</v>
      </c>
      <c r="S101" s="102">
        <f t="shared" si="34"/>
        <v>3.1582543686003398E-2</v>
      </c>
    </row>
    <row r="102" spans="1:19" x14ac:dyDescent="0.2">
      <c r="A102" s="4" t="s">
        <v>265</v>
      </c>
      <c r="B102" s="4">
        <v>157</v>
      </c>
      <c r="C102" s="4">
        <v>133</v>
      </c>
      <c r="D102" s="4">
        <v>199</v>
      </c>
      <c r="E102" s="4">
        <v>265</v>
      </c>
      <c r="F102" s="4">
        <v>223</v>
      </c>
      <c r="G102" s="17">
        <v>173</v>
      </c>
      <c r="H102" s="17">
        <v>211</v>
      </c>
      <c r="I102" s="17">
        <v>408</v>
      </c>
      <c r="J102" s="17">
        <v>402</v>
      </c>
      <c r="K102" s="17">
        <v>446</v>
      </c>
      <c r="L102" s="17">
        <v>553</v>
      </c>
      <c r="M102" s="4">
        <v>580</v>
      </c>
      <c r="N102" s="4">
        <v>507</v>
      </c>
      <c r="O102" s="4">
        <v>454</v>
      </c>
      <c r="P102" s="93">
        <f t="shared" si="31"/>
        <v>1.0358744394618835</v>
      </c>
      <c r="Q102" s="100">
        <f t="shared" si="32"/>
        <v>1.7937219730941704E-2</v>
      </c>
      <c r="R102" s="100">
        <f t="shared" si="33"/>
        <v>-0.10453648915187377</v>
      </c>
      <c r="S102" s="102">
        <f t="shared" si="34"/>
        <v>2.2810173136248077E-3</v>
      </c>
    </row>
    <row r="103" spans="1:19" x14ac:dyDescent="0.2">
      <c r="A103" s="4" t="s">
        <v>266</v>
      </c>
      <c r="B103" s="4">
        <v>733</v>
      </c>
      <c r="C103" s="4">
        <v>773</v>
      </c>
      <c r="D103" s="4">
        <v>1029</v>
      </c>
      <c r="E103" s="4">
        <v>752</v>
      </c>
      <c r="F103" s="4">
        <v>1085</v>
      </c>
      <c r="G103" s="17">
        <v>1002</v>
      </c>
      <c r="H103" s="17">
        <v>1214</v>
      </c>
      <c r="I103" s="17">
        <v>1238</v>
      </c>
      <c r="J103" s="17">
        <v>1409</v>
      </c>
      <c r="K103" s="17">
        <v>1201</v>
      </c>
      <c r="L103" s="17">
        <v>1506</v>
      </c>
      <c r="M103" s="4">
        <v>1573</v>
      </c>
      <c r="N103" s="4">
        <v>1160</v>
      </c>
      <c r="O103" s="4">
        <v>735</v>
      </c>
      <c r="P103" s="93">
        <f t="shared" si="31"/>
        <v>-0.32258064516129031</v>
      </c>
      <c r="Q103" s="100">
        <f t="shared" si="32"/>
        <v>-0.38800999167360534</v>
      </c>
      <c r="R103" s="100">
        <f t="shared" si="33"/>
        <v>-0.36637931034482757</v>
      </c>
      <c r="S103" s="102">
        <f t="shared" si="34"/>
        <v>3.6928363998110876E-3</v>
      </c>
    </row>
    <row r="104" spans="1:19" x14ac:dyDescent="0.2">
      <c r="A104" s="5" t="s">
        <v>4</v>
      </c>
      <c r="B104" s="5">
        <f>SUM(B88:B103)</f>
        <v>95291</v>
      </c>
      <c r="C104" s="5">
        <f t="shared" ref="C104:O104" si="35">SUM(C88:C103)</f>
        <v>110292</v>
      </c>
      <c r="D104" s="5">
        <f t="shared" si="35"/>
        <v>122901</v>
      </c>
      <c r="E104" s="5">
        <f t="shared" si="35"/>
        <v>118591</v>
      </c>
      <c r="F104" s="5">
        <f t="shared" si="35"/>
        <v>136579</v>
      </c>
      <c r="G104" s="5">
        <f t="shared" si="35"/>
        <v>155423</v>
      </c>
      <c r="H104" s="5">
        <f t="shared" si="35"/>
        <v>181416</v>
      </c>
      <c r="I104" s="5">
        <f t="shared" si="35"/>
        <v>196548</v>
      </c>
      <c r="J104" s="5">
        <f t="shared" si="35"/>
        <v>215262</v>
      </c>
      <c r="K104" s="5">
        <f t="shared" si="35"/>
        <v>228881</v>
      </c>
      <c r="L104" s="5">
        <f t="shared" si="35"/>
        <v>241791</v>
      </c>
      <c r="M104" s="5">
        <f t="shared" si="35"/>
        <v>249290</v>
      </c>
      <c r="N104" s="5">
        <f t="shared" si="35"/>
        <v>245482</v>
      </c>
      <c r="O104" s="5">
        <f t="shared" si="35"/>
        <v>199034</v>
      </c>
      <c r="P104" s="93">
        <f t="shared" si="31"/>
        <v>0.45728113399570947</v>
      </c>
      <c r="Q104" s="77">
        <f t="shared" si="32"/>
        <v>-0.13040400907021552</v>
      </c>
      <c r="R104" s="101">
        <f t="shared" si="33"/>
        <v>-0.18921142894387369</v>
      </c>
      <c r="S104" s="15">
        <f t="shared" si="34"/>
        <v>1</v>
      </c>
    </row>
    <row r="105" spans="1:19" x14ac:dyDescent="0.2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</row>
    <row r="106" spans="1:19" ht="15.75" x14ac:dyDescent="0.2">
      <c r="A106" s="24" t="s">
        <v>376</v>
      </c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</row>
    <row r="107" spans="1:19" ht="25.5" x14ac:dyDescent="0.2">
      <c r="A107" s="82" t="s">
        <v>41</v>
      </c>
      <c r="B107" s="3">
        <v>2007</v>
      </c>
      <c r="C107" s="3">
        <v>2008</v>
      </c>
      <c r="D107" s="3">
        <v>2009</v>
      </c>
      <c r="E107" s="3">
        <v>2010</v>
      </c>
      <c r="F107" s="3">
        <v>2011</v>
      </c>
      <c r="G107" s="3">
        <v>2012</v>
      </c>
      <c r="H107" s="3">
        <v>2013</v>
      </c>
      <c r="I107" s="3">
        <v>2014</v>
      </c>
      <c r="J107" s="3">
        <v>2015</v>
      </c>
      <c r="K107" s="3">
        <v>2016</v>
      </c>
      <c r="L107" s="3">
        <v>2017</v>
      </c>
      <c r="M107" s="3">
        <v>2018</v>
      </c>
      <c r="N107" s="3">
        <v>2019</v>
      </c>
      <c r="O107" s="3">
        <v>2020</v>
      </c>
      <c r="P107" s="12" t="s">
        <v>427</v>
      </c>
      <c r="Q107" s="12" t="s">
        <v>428</v>
      </c>
      <c r="R107" s="12" t="s">
        <v>429</v>
      </c>
      <c r="S107" s="12" t="s">
        <v>430</v>
      </c>
    </row>
    <row r="108" spans="1:19" x14ac:dyDescent="0.2">
      <c r="A108" s="4" t="s">
        <v>42</v>
      </c>
      <c r="B108" s="4">
        <v>69694</v>
      </c>
      <c r="C108" s="4">
        <v>81332</v>
      </c>
      <c r="D108" s="4">
        <v>84707</v>
      </c>
      <c r="E108" s="4">
        <v>81313</v>
      </c>
      <c r="F108" s="4">
        <v>90541</v>
      </c>
      <c r="G108" s="4">
        <v>102810</v>
      </c>
      <c r="H108" s="4">
        <v>114492</v>
      </c>
      <c r="I108" s="4">
        <v>121354</v>
      </c>
      <c r="J108" s="4">
        <v>129044</v>
      </c>
      <c r="K108" s="4">
        <v>135769</v>
      </c>
      <c r="L108" s="4">
        <v>144007</v>
      </c>
      <c r="M108" s="4">
        <v>142869</v>
      </c>
      <c r="N108" s="4">
        <v>142847</v>
      </c>
      <c r="O108" s="4">
        <v>105157</v>
      </c>
      <c r="P108" s="93">
        <f t="shared" ref="P108:P113" si="36">(O108-F108)/F108</f>
        <v>0.16142962856606399</v>
      </c>
      <c r="Q108" s="100">
        <f t="shared" ref="Q108:Q113" si="37">(O108-K108)/K108</f>
        <v>-0.22547120476692029</v>
      </c>
      <c r="R108" s="100">
        <f t="shared" ref="R108:R113" si="38">(O108-N108)/N108</f>
        <v>-0.26384873326006147</v>
      </c>
      <c r="S108" s="102">
        <f t="shared" ref="S108:S113" si="39">O108/O$9</f>
        <v>0.52833686706793814</v>
      </c>
    </row>
    <row r="109" spans="1:19" x14ac:dyDescent="0.2">
      <c r="A109" s="4" t="s">
        <v>43</v>
      </c>
      <c r="B109" s="4">
        <v>23332</v>
      </c>
      <c r="C109" s="4">
        <v>26044</v>
      </c>
      <c r="D109" s="4">
        <v>33293</v>
      </c>
      <c r="E109" s="4">
        <v>32911</v>
      </c>
      <c r="F109" s="4">
        <v>39761</v>
      </c>
      <c r="G109" s="4">
        <v>47170</v>
      </c>
      <c r="H109" s="4">
        <v>57804</v>
      </c>
      <c r="I109" s="4">
        <v>64908</v>
      </c>
      <c r="J109" s="4">
        <v>72450</v>
      </c>
      <c r="K109" s="4">
        <v>74079</v>
      </c>
      <c r="L109" s="4">
        <v>79015</v>
      </c>
      <c r="M109" s="4">
        <v>82362</v>
      </c>
      <c r="N109" s="4">
        <v>74147</v>
      </c>
      <c r="O109" s="4">
        <v>63215</v>
      </c>
      <c r="P109" s="93">
        <f t="shared" si="36"/>
        <v>0.58987450013832654</v>
      </c>
      <c r="Q109" s="100">
        <f t="shared" si="37"/>
        <v>-0.14665424749254174</v>
      </c>
      <c r="R109" s="100">
        <f t="shared" si="38"/>
        <v>-0.14743684842272783</v>
      </c>
      <c r="S109" s="102">
        <f t="shared" si="39"/>
        <v>0.31760905171980669</v>
      </c>
    </row>
    <row r="110" spans="1:19" x14ac:dyDescent="0.2">
      <c r="A110" s="4" t="s">
        <v>235</v>
      </c>
      <c r="B110" s="4">
        <v>296</v>
      </c>
      <c r="C110" s="4">
        <v>340</v>
      </c>
      <c r="D110" s="4">
        <v>252</v>
      </c>
      <c r="E110" s="4">
        <v>416</v>
      </c>
      <c r="F110" s="4">
        <v>1466</v>
      </c>
      <c r="G110" s="4">
        <v>882</v>
      </c>
      <c r="H110" s="4">
        <v>1233</v>
      </c>
      <c r="I110" s="4">
        <v>1542</v>
      </c>
      <c r="J110" s="4">
        <v>2136</v>
      </c>
      <c r="K110" s="4">
        <v>3371</v>
      </c>
      <c r="L110" s="4">
        <v>3563</v>
      </c>
      <c r="M110" s="4">
        <v>7604</v>
      </c>
      <c r="N110" s="4">
        <v>7639</v>
      </c>
      <c r="O110" s="4">
        <v>5785</v>
      </c>
      <c r="P110" s="93">
        <f t="shared" si="36"/>
        <v>2.9461118690313781</v>
      </c>
      <c r="Q110" s="100">
        <f t="shared" si="37"/>
        <v>0.71610797982794427</v>
      </c>
      <c r="R110" s="100">
        <f t="shared" si="38"/>
        <v>-0.24270192433564602</v>
      </c>
      <c r="S110" s="102">
        <f t="shared" si="39"/>
        <v>2.9065385813479103E-2</v>
      </c>
    </row>
    <row r="111" spans="1:19" x14ac:dyDescent="0.2">
      <c r="A111" s="4" t="s">
        <v>236</v>
      </c>
      <c r="B111" s="4">
        <v>887</v>
      </c>
      <c r="C111" s="4">
        <v>1037</v>
      </c>
      <c r="D111" s="4">
        <v>2210</v>
      </c>
      <c r="E111" s="4">
        <v>1317</v>
      </c>
      <c r="F111" s="4">
        <v>1301</v>
      </c>
      <c r="G111" s="4">
        <v>2337</v>
      </c>
      <c r="H111" s="4">
        <v>4722</v>
      </c>
      <c r="I111" s="4">
        <v>4612</v>
      </c>
      <c r="J111" s="4">
        <v>6355</v>
      </c>
      <c r="K111" s="4">
        <v>9694</v>
      </c>
      <c r="L111" s="4">
        <v>9194</v>
      </c>
      <c r="M111" s="4">
        <v>10309</v>
      </c>
      <c r="N111" s="4">
        <v>13067</v>
      </c>
      <c r="O111" s="4">
        <v>19339</v>
      </c>
      <c r="P111" s="93">
        <f t="shared" si="36"/>
        <v>13.864719446579555</v>
      </c>
      <c r="Q111" s="100">
        <f t="shared" si="37"/>
        <v>0.99494532700639571</v>
      </c>
      <c r="R111" s="100">
        <f t="shared" si="38"/>
        <v>0.47998775541440269</v>
      </c>
      <c r="S111" s="102">
        <f t="shared" si="39"/>
        <v>9.7164303586321929E-2</v>
      </c>
    </row>
    <row r="112" spans="1:19" x14ac:dyDescent="0.2">
      <c r="A112" s="4" t="s">
        <v>44</v>
      </c>
      <c r="B112" s="4">
        <v>1082</v>
      </c>
      <c r="C112" s="4">
        <v>1539</v>
      </c>
      <c r="D112" s="4">
        <v>2439</v>
      </c>
      <c r="E112" s="4">
        <v>2634</v>
      </c>
      <c r="F112" s="4">
        <v>3510</v>
      </c>
      <c r="G112" s="4">
        <v>2224</v>
      </c>
      <c r="H112" s="4">
        <v>3165</v>
      </c>
      <c r="I112" s="4">
        <v>4132</v>
      </c>
      <c r="J112" s="4">
        <v>5277</v>
      </c>
      <c r="K112" s="4">
        <v>5968</v>
      </c>
      <c r="L112" s="4">
        <v>6012</v>
      </c>
      <c r="M112" s="4">
        <v>6146</v>
      </c>
      <c r="N112" s="4">
        <v>7782</v>
      </c>
      <c r="O112" s="4">
        <v>5538</v>
      </c>
      <c r="P112" s="93">
        <f t="shared" si="36"/>
        <v>0.57777777777777772</v>
      </c>
      <c r="Q112" s="100">
        <f t="shared" si="37"/>
        <v>-7.2050938337801615E-2</v>
      </c>
      <c r="R112" s="100">
        <f t="shared" si="38"/>
        <v>-0.28835774865073244</v>
      </c>
      <c r="S112" s="102">
        <f t="shared" si="39"/>
        <v>2.7824391812454153E-2</v>
      </c>
    </row>
    <row r="113" spans="1:19" x14ac:dyDescent="0.2">
      <c r="A113" s="5" t="s">
        <v>4</v>
      </c>
      <c r="B113" s="5">
        <v>95291</v>
      </c>
      <c r="C113" s="5">
        <v>110292</v>
      </c>
      <c r="D113" s="5">
        <v>122901</v>
      </c>
      <c r="E113" s="5">
        <v>118591</v>
      </c>
      <c r="F113" s="5">
        <v>136579</v>
      </c>
      <c r="G113" s="5">
        <v>155423</v>
      </c>
      <c r="H113" s="5">
        <v>181416</v>
      </c>
      <c r="I113" s="5">
        <v>196548</v>
      </c>
      <c r="J113" s="5">
        <v>215262</v>
      </c>
      <c r="K113" s="5">
        <v>228881</v>
      </c>
      <c r="L113" s="5">
        <v>241791</v>
      </c>
      <c r="M113" s="5">
        <v>249290</v>
      </c>
      <c r="N113" s="5">
        <v>245482</v>
      </c>
      <c r="O113" s="5">
        <v>199034</v>
      </c>
      <c r="P113" s="77">
        <f t="shared" si="36"/>
        <v>0.45728113399570947</v>
      </c>
      <c r="Q113" s="77">
        <f t="shared" si="37"/>
        <v>-0.13040400907021552</v>
      </c>
      <c r="R113" s="101">
        <f t="shared" si="38"/>
        <v>-0.18921142894387369</v>
      </c>
      <c r="S113" s="15">
        <f t="shared" si="39"/>
        <v>1</v>
      </c>
    </row>
    <row r="114" spans="1:19" x14ac:dyDescent="0.2">
      <c r="A114" s="37"/>
      <c r="B114" s="37"/>
      <c r="C114" s="37"/>
      <c r="D114" s="37"/>
      <c r="E114" s="37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37"/>
      <c r="Q114" s="37"/>
      <c r="R114" s="37"/>
      <c r="S114" s="37"/>
    </row>
    <row r="115" spans="1:19" x14ac:dyDescent="0.2">
      <c r="A115" s="65" t="s">
        <v>246</v>
      </c>
      <c r="B115" s="65"/>
      <c r="C115" s="65"/>
      <c r="D115" s="65"/>
      <c r="E115" s="65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37"/>
      <c r="Q115" s="37"/>
      <c r="R115" s="37"/>
      <c r="S115" s="37"/>
    </row>
    <row r="116" spans="1:19" x14ac:dyDescent="0.2">
      <c r="A116" s="37"/>
      <c r="B116" s="37"/>
      <c r="C116" s="37"/>
      <c r="D116" s="37"/>
      <c r="E116" s="37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37"/>
      <c r="R116" s="37"/>
      <c r="S116" s="37"/>
    </row>
    <row r="117" spans="1:19" x14ac:dyDescent="0.2">
      <c r="A117" s="66" t="s">
        <v>21</v>
      </c>
      <c r="B117" s="66"/>
      <c r="C117" s="66"/>
      <c r="D117" s="66"/>
      <c r="E117" s="66"/>
      <c r="F117" s="66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</row>
    <row r="118" spans="1:19" x14ac:dyDescent="0.2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</row>
  </sheetData>
  <hyperlinks>
    <hyperlink ref="A117" location="Indice!A5" display="Volver al índice"/>
  </hyperlinks>
  <pageMargins left="0.7" right="0.7" top="0.75" bottom="0.75" header="0.3" footer="0.3"/>
  <pageSetup orientation="portrait" verticalDpi="300" r:id="rId1"/>
  <ignoredErrors>
    <ignoredError sqref="B104:O104" formulaRange="1"/>
  </ignoredError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Views>
    <sheetView showGridLines="0" zoomScaleNormal="100" workbookViewId="0">
      <pane ySplit="2" topLeftCell="A3" activePane="bottomLeft" state="frozen"/>
      <selection pane="bottomLeft" activeCell="D1" sqref="D1"/>
    </sheetView>
  </sheetViews>
  <sheetFormatPr baseColWidth="10" defaultColWidth="10.85546875" defaultRowHeight="15" x14ac:dyDescent="0.2"/>
  <cols>
    <col min="1" max="1" width="37.140625" style="1" customWidth="1"/>
    <col min="2" max="5" width="17" style="41" customWidth="1"/>
    <col min="6" max="16384" width="10.85546875" style="1"/>
  </cols>
  <sheetData>
    <row r="1" spans="1:5" ht="21" x14ac:dyDescent="0.2">
      <c r="A1" s="62" t="s">
        <v>302</v>
      </c>
      <c r="B1" s="42"/>
      <c r="C1" s="42"/>
      <c r="D1" s="42"/>
      <c r="E1" s="42"/>
    </row>
    <row r="2" spans="1:5" ht="24.75" customHeight="1" x14ac:dyDescent="0.2">
      <c r="A2" s="37"/>
      <c r="B2" s="42"/>
      <c r="C2" s="42"/>
      <c r="D2" s="42"/>
      <c r="E2" s="42"/>
    </row>
    <row r="3" spans="1:5" x14ac:dyDescent="0.2">
      <c r="A3" s="37"/>
      <c r="B3" s="42"/>
      <c r="C3" s="42"/>
      <c r="D3" s="42"/>
      <c r="E3" s="42"/>
    </row>
    <row r="4" spans="1:5" ht="15.75" x14ac:dyDescent="0.2">
      <c r="A4" s="24" t="s">
        <v>377</v>
      </c>
      <c r="B4" s="42"/>
      <c r="C4" s="42"/>
      <c r="D4" s="42"/>
      <c r="E4" s="42"/>
    </row>
    <row r="5" spans="1:5" ht="25.5" x14ac:dyDescent="0.2">
      <c r="A5" s="83" t="s">
        <v>233</v>
      </c>
      <c r="B5" s="43" t="s">
        <v>5</v>
      </c>
      <c r="C5" s="43" t="s">
        <v>6</v>
      </c>
      <c r="D5" s="43" t="s">
        <v>7</v>
      </c>
      <c r="E5" s="43" t="s">
        <v>8</v>
      </c>
    </row>
    <row r="6" spans="1:5" x14ac:dyDescent="0.2">
      <c r="A6" s="4" t="s">
        <v>304</v>
      </c>
      <c r="B6" s="39">
        <v>13534</v>
      </c>
      <c r="C6" s="39">
        <v>36086</v>
      </c>
      <c r="D6" s="39">
        <v>39754</v>
      </c>
      <c r="E6" s="39">
        <v>89374</v>
      </c>
    </row>
    <row r="7" spans="1:5" x14ac:dyDescent="0.2">
      <c r="A7" s="4" t="s">
        <v>305</v>
      </c>
      <c r="B7" s="39">
        <v>9175</v>
      </c>
      <c r="C7" s="39">
        <v>26673</v>
      </c>
      <c r="D7" s="39">
        <v>31443</v>
      </c>
      <c r="E7" s="39">
        <v>67291</v>
      </c>
    </row>
    <row r="8" spans="1:5" x14ac:dyDescent="0.2">
      <c r="A8" s="5" t="s">
        <v>306</v>
      </c>
      <c r="B8" s="40">
        <v>22709</v>
      </c>
      <c r="C8" s="40">
        <v>62759</v>
      </c>
      <c r="D8" s="40">
        <v>71197</v>
      </c>
      <c r="E8" s="40">
        <v>156665</v>
      </c>
    </row>
    <row r="9" spans="1:5" x14ac:dyDescent="0.2">
      <c r="A9" s="37"/>
      <c r="B9" s="42"/>
      <c r="C9" s="42"/>
      <c r="D9" s="42"/>
      <c r="E9" s="42"/>
    </row>
    <row r="10" spans="1:5" ht="15.75" x14ac:dyDescent="0.2">
      <c r="A10" s="24" t="s">
        <v>378</v>
      </c>
      <c r="B10" s="42"/>
      <c r="C10" s="42"/>
      <c r="D10" s="42"/>
      <c r="E10" s="42"/>
    </row>
    <row r="11" spans="1:5" ht="25.5" x14ac:dyDescent="0.2">
      <c r="A11" s="83" t="s">
        <v>26</v>
      </c>
      <c r="B11" s="43" t="s">
        <v>5</v>
      </c>
      <c r="C11" s="43" t="s">
        <v>6</v>
      </c>
      <c r="D11" s="43" t="s">
        <v>7</v>
      </c>
      <c r="E11" s="43" t="s">
        <v>8</v>
      </c>
    </row>
    <row r="12" spans="1:5" x14ac:dyDescent="0.2">
      <c r="A12" s="4" t="s">
        <v>27</v>
      </c>
      <c r="B12" s="120">
        <v>56</v>
      </c>
      <c r="C12" s="120">
        <v>68</v>
      </c>
      <c r="D12" s="120">
        <v>161</v>
      </c>
      <c r="E12" s="120">
        <v>285</v>
      </c>
    </row>
    <row r="13" spans="1:5" x14ac:dyDescent="0.2">
      <c r="A13" s="4" t="s">
        <v>28</v>
      </c>
      <c r="B13" s="120">
        <v>10673</v>
      </c>
      <c r="C13" s="120">
        <v>24444</v>
      </c>
      <c r="D13" s="120">
        <v>27210</v>
      </c>
      <c r="E13" s="120">
        <v>62327</v>
      </c>
    </row>
    <row r="14" spans="1:5" x14ac:dyDescent="0.2">
      <c r="A14" s="4" t="s">
        <v>29</v>
      </c>
      <c r="B14" s="120">
        <v>5299</v>
      </c>
      <c r="C14" s="120">
        <v>16054</v>
      </c>
      <c r="D14" s="120">
        <v>27540</v>
      </c>
      <c r="E14" s="120">
        <v>48893</v>
      </c>
    </row>
    <row r="15" spans="1:5" x14ac:dyDescent="0.2">
      <c r="A15" s="4" t="s">
        <v>30</v>
      </c>
      <c r="B15" s="120">
        <v>2884</v>
      </c>
      <c r="C15" s="120">
        <v>9437</v>
      </c>
      <c r="D15" s="120">
        <v>8213</v>
      </c>
      <c r="E15" s="120">
        <v>20534</v>
      </c>
    </row>
    <row r="16" spans="1:5" x14ac:dyDescent="0.2">
      <c r="A16" s="4" t="s">
        <v>31</v>
      </c>
      <c r="B16" s="120">
        <v>1646</v>
      </c>
      <c r="C16" s="120">
        <v>5754</v>
      </c>
      <c r="D16" s="120">
        <v>4004</v>
      </c>
      <c r="E16" s="120">
        <v>11404</v>
      </c>
    </row>
    <row r="17" spans="1:5" x14ac:dyDescent="0.2">
      <c r="A17" s="4" t="s">
        <v>32</v>
      </c>
      <c r="B17" s="120">
        <v>2151</v>
      </c>
      <c r="C17" s="120">
        <v>7002</v>
      </c>
      <c r="D17" s="120">
        <v>4069</v>
      </c>
      <c r="E17" s="120">
        <v>13222</v>
      </c>
    </row>
    <row r="18" spans="1:5" x14ac:dyDescent="0.2">
      <c r="A18" s="4" t="s">
        <v>33</v>
      </c>
      <c r="B18" s="120" t="s">
        <v>366</v>
      </c>
      <c r="C18" s="120" t="s">
        <v>367</v>
      </c>
      <c r="D18" s="120" t="s">
        <v>367</v>
      </c>
      <c r="E18" s="120" t="s">
        <v>367</v>
      </c>
    </row>
    <row r="19" spans="1:5" x14ac:dyDescent="0.2">
      <c r="A19" s="5" t="s">
        <v>4</v>
      </c>
      <c r="B19" s="121">
        <v>22709</v>
      </c>
      <c r="C19" s="121">
        <v>62759</v>
      </c>
      <c r="D19" s="121">
        <v>71197</v>
      </c>
      <c r="E19" s="121">
        <v>156665</v>
      </c>
    </row>
    <row r="20" spans="1:5" x14ac:dyDescent="0.2">
      <c r="A20" s="82" t="s">
        <v>35</v>
      </c>
      <c r="B20" s="88">
        <v>27.7</v>
      </c>
      <c r="C20" s="88">
        <v>28.8</v>
      </c>
      <c r="D20" s="88">
        <v>27.4</v>
      </c>
      <c r="E20" s="94">
        <v>28</v>
      </c>
    </row>
    <row r="21" spans="1:5" x14ac:dyDescent="0.2">
      <c r="A21" s="37"/>
      <c r="B21" s="37"/>
      <c r="C21" s="37"/>
      <c r="D21" s="37"/>
      <c r="E21" s="37"/>
    </row>
    <row r="22" spans="1:5" ht="15.75" x14ac:dyDescent="0.2">
      <c r="A22" s="24" t="s">
        <v>379</v>
      </c>
      <c r="B22" s="42"/>
      <c r="C22" s="42"/>
      <c r="D22" s="42"/>
      <c r="E22" s="42"/>
    </row>
    <row r="23" spans="1:5" ht="25.5" x14ac:dyDescent="0.2">
      <c r="A23" s="83" t="s">
        <v>36</v>
      </c>
      <c r="B23" s="43" t="s">
        <v>5</v>
      </c>
      <c r="C23" s="43" t="s">
        <v>6</v>
      </c>
      <c r="D23" s="43" t="s">
        <v>7</v>
      </c>
      <c r="E23" s="43" t="s">
        <v>8</v>
      </c>
    </row>
    <row r="24" spans="1:5" x14ac:dyDescent="0.2">
      <c r="A24" s="4" t="s">
        <v>37</v>
      </c>
      <c r="B24" s="39">
        <v>22709</v>
      </c>
      <c r="C24" s="39">
        <v>34551</v>
      </c>
      <c r="D24" s="39">
        <v>5392</v>
      </c>
      <c r="E24" s="39">
        <v>62652</v>
      </c>
    </row>
    <row r="25" spans="1:5" x14ac:dyDescent="0.2">
      <c r="A25" s="4" t="s">
        <v>38</v>
      </c>
      <c r="B25" s="39"/>
      <c r="C25" s="39">
        <v>28208</v>
      </c>
      <c r="D25" s="39">
        <v>5178</v>
      </c>
      <c r="E25" s="39">
        <v>33386</v>
      </c>
    </row>
    <row r="26" spans="1:5" x14ac:dyDescent="0.2">
      <c r="A26" s="4" t="s">
        <v>39</v>
      </c>
      <c r="B26" s="39"/>
      <c r="C26" s="39"/>
      <c r="D26" s="39">
        <v>2403</v>
      </c>
      <c r="E26" s="39">
        <v>2403</v>
      </c>
    </row>
    <row r="27" spans="1:5" x14ac:dyDescent="0.2">
      <c r="A27" s="4" t="s">
        <v>40</v>
      </c>
      <c r="B27" s="40"/>
      <c r="C27" s="40"/>
      <c r="D27" s="39">
        <v>58224</v>
      </c>
      <c r="E27" s="39">
        <v>58224</v>
      </c>
    </row>
    <row r="28" spans="1:5" x14ac:dyDescent="0.2">
      <c r="A28" s="5" t="s">
        <v>4</v>
      </c>
      <c r="B28" s="61">
        <v>22709</v>
      </c>
      <c r="C28" s="61">
        <v>62759</v>
      </c>
      <c r="D28" s="61">
        <v>71197</v>
      </c>
      <c r="E28" s="61">
        <v>156665</v>
      </c>
    </row>
    <row r="29" spans="1:5" x14ac:dyDescent="0.2">
      <c r="A29" s="37"/>
      <c r="B29" s="42"/>
      <c r="C29" s="42"/>
      <c r="D29" s="42"/>
      <c r="E29" s="42"/>
    </row>
    <row r="30" spans="1:5" ht="15.75" x14ac:dyDescent="0.2">
      <c r="A30" s="24" t="s">
        <v>380</v>
      </c>
      <c r="B30" s="42"/>
      <c r="C30" s="42"/>
      <c r="D30" s="42"/>
      <c r="E30" s="42"/>
    </row>
    <row r="31" spans="1:5" ht="25.5" x14ac:dyDescent="0.2">
      <c r="A31" s="83" t="s">
        <v>10</v>
      </c>
      <c r="B31" s="43" t="s">
        <v>5</v>
      </c>
      <c r="C31" s="43" t="s">
        <v>6</v>
      </c>
      <c r="D31" s="43" t="s">
        <v>7</v>
      </c>
      <c r="E31" s="43" t="s">
        <v>8</v>
      </c>
    </row>
    <row r="32" spans="1:5" x14ac:dyDescent="0.2">
      <c r="A32" s="4" t="s">
        <v>11</v>
      </c>
      <c r="B32" s="39">
        <v>6085</v>
      </c>
      <c r="C32" s="39">
        <v>19796</v>
      </c>
      <c r="D32" s="39">
        <v>14445</v>
      </c>
      <c r="E32" s="39">
        <v>40326</v>
      </c>
    </row>
    <row r="33" spans="1:5" x14ac:dyDescent="0.2">
      <c r="A33" s="4" t="s">
        <v>12</v>
      </c>
      <c r="B33" s="39">
        <v>828</v>
      </c>
      <c r="C33" s="39">
        <v>770</v>
      </c>
      <c r="D33" s="39">
        <v>1439</v>
      </c>
      <c r="E33" s="39">
        <v>3037</v>
      </c>
    </row>
    <row r="34" spans="1:5" x14ac:dyDescent="0.2">
      <c r="A34" s="4" t="s">
        <v>13</v>
      </c>
      <c r="B34" s="39">
        <v>226</v>
      </c>
      <c r="C34" s="39">
        <v>2972</v>
      </c>
      <c r="D34" s="39">
        <v>2547</v>
      </c>
      <c r="E34" s="39">
        <v>5745</v>
      </c>
    </row>
    <row r="35" spans="1:5" x14ac:dyDescent="0.2">
      <c r="A35" s="4" t="s">
        <v>14</v>
      </c>
      <c r="B35" s="39">
        <v>118</v>
      </c>
      <c r="C35" s="39">
        <v>61</v>
      </c>
      <c r="D35" s="39">
        <v>1069</v>
      </c>
      <c r="E35" s="39">
        <v>1248</v>
      </c>
    </row>
    <row r="36" spans="1:5" x14ac:dyDescent="0.2">
      <c r="A36" s="4" t="s">
        <v>15</v>
      </c>
      <c r="B36" s="39">
        <v>1217</v>
      </c>
      <c r="C36" s="39">
        <v>5687</v>
      </c>
      <c r="D36" s="39">
        <v>9531</v>
      </c>
      <c r="E36" s="39">
        <v>16435</v>
      </c>
    </row>
    <row r="37" spans="1:5" x14ac:dyDescent="0.2">
      <c r="A37" s="4" t="s">
        <v>16</v>
      </c>
      <c r="B37" s="39">
        <v>113</v>
      </c>
      <c r="C37" s="39">
        <v>337</v>
      </c>
      <c r="D37" s="39">
        <v>2864</v>
      </c>
      <c r="E37" s="39">
        <v>3314</v>
      </c>
    </row>
    <row r="38" spans="1:5" x14ac:dyDescent="0.2">
      <c r="A38" s="4" t="s">
        <v>17</v>
      </c>
      <c r="B38" s="39">
        <v>3680</v>
      </c>
      <c r="C38" s="39">
        <v>7844</v>
      </c>
      <c r="D38" s="39">
        <v>13936</v>
      </c>
      <c r="E38" s="39">
        <v>25460</v>
      </c>
    </row>
    <row r="39" spans="1:5" x14ac:dyDescent="0.2">
      <c r="A39" s="4" t="s">
        <v>18</v>
      </c>
      <c r="B39" s="39">
        <v>34</v>
      </c>
      <c r="C39" s="39">
        <v>118</v>
      </c>
      <c r="D39" s="39">
        <v>1031</v>
      </c>
      <c r="E39" s="39">
        <v>1183</v>
      </c>
    </row>
    <row r="40" spans="1:5" x14ac:dyDescent="0.2">
      <c r="A40" s="4" t="s">
        <v>19</v>
      </c>
      <c r="B40" s="39">
        <v>4435</v>
      </c>
      <c r="C40" s="39">
        <v>7118</v>
      </c>
      <c r="D40" s="39">
        <v>7547</v>
      </c>
      <c r="E40" s="39">
        <v>19100</v>
      </c>
    </row>
    <row r="41" spans="1:5" x14ac:dyDescent="0.2">
      <c r="A41" s="4" t="s">
        <v>20</v>
      </c>
      <c r="B41" s="39">
        <v>5973</v>
      </c>
      <c r="C41" s="39">
        <v>18056</v>
      </c>
      <c r="D41" s="39">
        <v>16788</v>
      </c>
      <c r="E41" s="39">
        <v>40817</v>
      </c>
    </row>
    <row r="42" spans="1:5" x14ac:dyDescent="0.2">
      <c r="A42" s="5" t="s">
        <v>4</v>
      </c>
      <c r="B42" s="40">
        <v>22709</v>
      </c>
      <c r="C42" s="40">
        <v>62759</v>
      </c>
      <c r="D42" s="40">
        <v>71197</v>
      </c>
      <c r="E42" s="40">
        <v>156665</v>
      </c>
    </row>
    <row r="43" spans="1:5" x14ac:dyDescent="0.2">
      <c r="A43" s="37"/>
      <c r="B43" s="42"/>
      <c r="C43" s="42"/>
      <c r="D43" s="42"/>
      <c r="E43" s="42"/>
    </row>
    <row r="44" spans="1:5" ht="15.75" x14ac:dyDescent="0.2">
      <c r="A44" s="24" t="s">
        <v>381</v>
      </c>
      <c r="B44" s="42"/>
      <c r="C44" s="42"/>
      <c r="D44" s="42"/>
      <c r="E44" s="42"/>
    </row>
    <row r="45" spans="1:5" x14ac:dyDescent="0.2">
      <c r="A45" s="83" t="s">
        <v>10</v>
      </c>
      <c r="B45" s="43" t="s">
        <v>214</v>
      </c>
      <c r="C45" s="43" t="s">
        <v>215</v>
      </c>
      <c r="D45" s="43" t="s">
        <v>8</v>
      </c>
      <c r="E45" s="42"/>
    </row>
    <row r="46" spans="1:5" x14ac:dyDescent="0.2">
      <c r="A46" s="4" t="s">
        <v>11</v>
      </c>
      <c r="B46" s="39">
        <v>24258</v>
      </c>
      <c r="C46" s="39">
        <v>16068</v>
      </c>
      <c r="D46" s="39">
        <v>40326</v>
      </c>
      <c r="E46" s="42"/>
    </row>
    <row r="47" spans="1:5" x14ac:dyDescent="0.2">
      <c r="A47" s="4" t="s">
        <v>12</v>
      </c>
      <c r="B47" s="39">
        <v>1502</v>
      </c>
      <c r="C47" s="39">
        <v>1535</v>
      </c>
      <c r="D47" s="39">
        <v>3037</v>
      </c>
      <c r="E47" s="42"/>
    </row>
    <row r="48" spans="1:5" x14ac:dyDescent="0.2">
      <c r="A48" s="4" t="s">
        <v>13</v>
      </c>
      <c r="B48" s="39">
        <v>3445</v>
      </c>
      <c r="C48" s="39">
        <v>2300</v>
      </c>
      <c r="D48" s="39">
        <v>5745</v>
      </c>
      <c r="E48" s="42"/>
    </row>
    <row r="49" spans="1:5" x14ac:dyDescent="0.2">
      <c r="A49" s="4" t="s">
        <v>14</v>
      </c>
      <c r="B49" s="39">
        <v>539</v>
      </c>
      <c r="C49" s="39">
        <v>709</v>
      </c>
      <c r="D49" s="39">
        <v>1248</v>
      </c>
      <c r="E49" s="42"/>
    </row>
    <row r="50" spans="1:5" x14ac:dyDescent="0.2">
      <c r="A50" s="4" t="s">
        <v>15</v>
      </c>
      <c r="B50" s="39">
        <v>11987</v>
      </c>
      <c r="C50" s="39">
        <v>4448</v>
      </c>
      <c r="D50" s="39">
        <v>16435</v>
      </c>
      <c r="E50" s="42"/>
    </row>
    <row r="51" spans="1:5" x14ac:dyDescent="0.2">
      <c r="A51" s="4" t="s">
        <v>16</v>
      </c>
      <c r="B51" s="39">
        <v>1806</v>
      </c>
      <c r="C51" s="39">
        <v>1508</v>
      </c>
      <c r="D51" s="39">
        <v>3314</v>
      </c>
      <c r="E51" s="42"/>
    </row>
    <row r="52" spans="1:5" x14ac:dyDescent="0.2">
      <c r="A52" s="4" t="s">
        <v>17</v>
      </c>
      <c r="B52" s="39">
        <v>21212</v>
      </c>
      <c r="C52" s="39">
        <v>4248</v>
      </c>
      <c r="D52" s="39">
        <v>25460</v>
      </c>
      <c r="E52" s="42"/>
    </row>
    <row r="53" spans="1:5" x14ac:dyDescent="0.2">
      <c r="A53" s="4" t="s">
        <v>18</v>
      </c>
      <c r="B53" s="39">
        <v>791</v>
      </c>
      <c r="C53" s="39">
        <v>392</v>
      </c>
      <c r="D53" s="39">
        <v>1183</v>
      </c>
      <c r="E53" s="42"/>
    </row>
    <row r="54" spans="1:5" x14ac:dyDescent="0.2">
      <c r="A54" s="4" t="s">
        <v>19</v>
      </c>
      <c r="B54" s="39">
        <v>15525</v>
      </c>
      <c r="C54" s="39">
        <v>3575</v>
      </c>
      <c r="D54" s="39">
        <v>19100</v>
      </c>
      <c r="E54" s="42"/>
    </row>
    <row r="55" spans="1:5" x14ac:dyDescent="0.2">
      <c r="A55" s="4" t="s">
        <v>20</v>
      </c>
      <c r="B55" s="39">
        <v>8309</v>
      </c>
      <c r="C55" s="39">
        <v>32508</v>
      </c>
      <c r="D55" s="39">
        <v>40817</v>
      </c>
      <c r="E55" s="42"/>
    </row>
    <row r="56" spans="1:5" x14ac:dyDescent="0.2">
      <c r="A56" s="5" t="s">
        <v>4</v>
      </c>
      <c r="B56" s="40">
        <v>89374</v>
      </c>
      <c r="C56" s="40">
        <v>67291</v>
      </c>
      <c r="D56" s="40">
        <v>156665</v>
      </c>
      <c r="E56" s="42"/>
    </row>
    <row r="57" spans="1:5" x14ac:dyDescent="0.2">
      <c r="A57" s="37"/>
      <c r="B57" s="42"/>
      <c r="C57" s="42"/>
      <c r="D57" s="42"/>
      <c r="E57" s="42"/>
    </row>
    <row r="58" spans="1:5" ht="15.75" x14ac:dyDescent="0.2">
      <c r="A58" s="24" t="s">
        <v>382</v>
      </c>
      <c r="B58" s="42"/>
      <c r="C58" s="42"/>
      <c r="D58" s="42"/>
      <c r="E58" s="42"/>
    </row>
    <row r="59" spans="1:5" ht="25.5" x14ac:dyDescent="0.2">
      <c r="A59" s="83" t="s">
        <v>41</v>
      </c>
      <c r="B59" s="43" t="s">
        <v>5</v>
      </c>
      <c r="C59" s="43" t="s">
        <v>6</v>
      </c>
      <c r="D59" s="43" t="s">
        <v>7</v>
      </c>
      <c r="E59" s="43" t="s">
        <v>8</v>
      </c>
    </row>
    <row r="60" spans="1:5" x14ac:dyDescent="0.2">
      <c r="A60" s="4" t="s">
        <v>42</v>
      </c>
      <c r="B60" s="39">
        <v>13118</v>
      </c>
      <c r="C60" s="39">
        <v>27295</v>
      </c>
      <c r="D60" s="39">
        <v>52376</v>
      </c>
      <c r="E60" s="39">
        <v>92789</v>
      </c>
    </row>
    <row r="61" spans="1:5" x14ac:dyDescent="0.2">
      <c r="A61" s="4" t="s">
        <v>43</v>
      </c>
      <c r="B61" s="39">
        <v>8636</v>
      </c>
      <c r="C61" s="39">
        <v>27202</v>
      </c>
      <c r="D61" s="39">
        <v>15543</v>
      </c>
      <c r="E61" s="39">
        <v>51381</v>
      </c>
    </row>
    <row r="62" spans="1:5" x14ac:dyDescent="0.2">
      <c r="A62" s="31" t="s">
        <v>235</v>
      </c>
      <c r="B62" s="39">
        <v>203</v>
      </c>
      <c r="C62" s="39">
        <v>2031</v>
      </c>
      <c r="D62" s="39">
        <v>222</v>
      </c>
      <c r="E62" s="39">
        <v>2456</v>
      </c>
    </row>
    <row r="63" spans="1:5" x14ac:dyDescent="0.2">
      <c r="A63" s="31" t="s">
        <v>236</v>
      </c>
      <c r="B63" s="39">
        <v>752</v>
      </c>
      <c r="C63" s="39">
        <v>6177</v>
      </c>
      <c r="D63" s="39">
        <v>562</v>
      </c>
      <c r="E63" s="39">
        <v>7491</v>
      </c>
    </row>
    <row r="64" spans="1:5" x14ac:dyDescent="0.2">
      <c r="A64" s="4" t="s">
        <v>44</v>
      </c>
      <c r="B64" s="39"/>
      <c r="C64" s="39">
        <v>54</v>
      </c>
      <c r="D64" s="39">
        <v>2494</v>
      </c>
      <c r="E64" s="39">
        <v>2548</v>
      </c>
    </row>
    <row r="65" spans="1:5" x14ac:dyDescent="0.2">
      <c r="A65" s="5" t="s">
        <v>4</v>
      </c>
      <c r="B65" s="40">
        <v>22709</v>
      </c>
      <c r="C65" s="40">
        <v>62759</v>
      </c>
      <c r="D65" s="40">
        <v>71197</v>
      </c>
      <c r="E65" s="40">
        <v>156665</v>
      </c>
    </row>
    <row r="66" spans="1:5" x14ac:dyDescent="0.2">
      <c r="A66" s="37"/>
      <c r="B66" s="42"/>
      <c r="C66" s="42"/>
      <c r="D66" s="42"/>
      <c r="E66" s="42"/>
    </row>
    <row r="67" spans="1:5" ht="15.75" x14ac:dyDescent="0.2">
      <c r="A67" s="24" t="s">
        <v>312</v>
      </c>
      <c r="B67" s="42"/>
      <c r="C67" s="42"/>
      <c r="D67" s="42"/>
      <c r="E67" s="42"/>
    </row>
    <row r="68" spans="1:5" ht="25.5" x14ac:dyDescent="0.2">
      <c r="A68" s="83" t="s">
        <v>9</v>
      </c>
      <c r="B68" s="43" t="s">
        <v>5</v>
      </c>
      <c r="C68" s="43" t="s">
        <v>6</v>
      </c>
      <c r="D68" s="43" t="s">
        <v>7</v>
      </c>
      <c r="E68" s="43" t="s">
        <v>8</v>
      </c>
    </row>
    <row r="69" spans="1:5" x14ac:dyDescent="0.2">
      <c r="A69" s="4" t="s">
        <v>254</v>
      </c>
      <c r="B69" s="39">
        <v>1013</v>
      </c>
      <c r="C69" s="39">
        <v>200</v>
      </c>
      <c r="D69" s="39">
        <v>1118</v>
      </c>
      <c r="E69" s="39">
        <v>2331</v>
      </c>
    </row>
    <row r="70" spans="1:5" x14ac:dyDescent="0.2">
      <c r="A70" s="4" t="s">
        <v>255</v>
      </c>
      <c r="B70" s="39">
        <v>413</v>
      </c>
      <c r="C70" s="39">
        <v>423</v>
      </c>
      <c r="D70" s="39">
        <v>1476</v>
      </c>
      <c r="E70" s="39">
        <v>2312</v>
      </c>
    </row>
    <row r="71" spans="1:5" x14ac:dyDescent="0.2">
      <c r="A71" s="4" t="s">
        <v>256</v>
      </c>
      <c r="B71" s="39">
        <v>1030</v>
      </c>
      <c r="C71" s="39">
        <v>2005</v>
      </c>
      <c r="D71" s="39">
        <v>2455</v>
      </c>
      <c r="E71" s="39">
        <v>5490</v>
      </c>
    </row>
    <row r="72" spans="1:5" x14ac:dyDescent="0.2">
      <c r="A72" s="4" t="s">
        <v>257</v>
      </c>
      <c r="B72" s="39">
        <v>306</v>
      </c>
      <c r="C72" s="39">
        <v>321</v>
      </c>
      <c r="D72" s="39">
        <v>1210</v>
      </c>
      <c r="E72" s="39">
        <v>1837</v>
      </c>
    </row>
    <row r="73" spans="1:5" x14ac:dyDescent="0.2">
      <c r="A73" s="4" t="s">
        <v>258</v>
      </c>
      <c r="B73" s="39">
        <v>1095</v>
      </c>
      <c r="C73" s="39">
        <v>2253</v>
      </c>
      <c r="D73" s="39">
        <v>1807</v>
      </c>
      <c r="E73" s="39">
        <v>5155</v>
      </c>
    </row>
    <row r="74" spans="1:5" x14ac:dyDescent="0.2">
      <c r="A74" s="4" t="s">
        <v>259</v>
      </c>
      <c r="B74" s="39">
        <v>2354</v>
      </c>
      <c r="C74" s="39">
        <v>5686</v>
      </c>
      <c r="D74" s="39">
        <v>8983</v>
      </c>
      <c r="E74" s="39">
        <v>17023</v>
      </c>
    </row>
    <row r="75" spans="1:5" x14ac:dyDescent="0.2">
      <c r="A75" s="31" t="s">
        <v>270</v>
      </c>
      <c r="B75" s="39">
        <v>7448</v>
      </c>
      <c r="C75" s="39">
        <v>32862</v>
      </c>
      <c r="D75" s="39">
        <v>34549</v>
      </c>
      <c r="E75" s="39">
        <v>74859</v>
      </c>
    </row>
    <row r="76" spans="1:5" x14ac:dyDescent="0.2">
      <c r="A76" s="31" t="s">
        <v>374</v>
      </c>
      <c r="B76" s="39">
        <v>791</v>
      </c>
      <c r="C76" s="39">
        <v>3422</v>
      </c>
      <c r="D76" s="39">
        <v>484</v>
      </c>
      <c r="E76" s="39">
        <v>4697</v>
      </c>
    </row>
    <row r="77" spans="1:5" x14ac:dyDescent="0.2">
      <c r="A77" s="4" t="s">
        <v>260</v>
      </c>
      <c r="B77" s="39">
        <v>2840</v>
      </c>
      <c r="C77" s="39">
        <v>2385</v>
      </c>
      <c r="D77" s="39">
        <v>2481</v>
      </c>
      <c r="E77" s="39">
        <v>7706</v>
      </c>
    </row>
    <row r="78" spans="1:5" x14ac:dyDescent="0.2">
      <c r="A78" s="4" t="s">
        <v>274</v>
      </c>
      <c r="B78" s="39">
        <v>553</v>
      </c>
      <c r="C78" s="39">
        <v>893</v>
      </c>
      <c r="D78" s="39">
        <v>1573</v>
      </c>
      <c r="E78" s="39">
        <v>3019</v>
      </c>
    </row>
    <row r="79" spans="1:5" x14ac:dyDescent="0.2">
      <c r="A79" s="4" t="s">
        <v>261</v>
      </c>
      <c r="B79" s="39">
        <v>1999</v>
      </c>
      <c r="C79" s="39">
        <v>6948</v>
      </c>
      <c r="D79" s="39">
        <v>7654</v>
      </c>
      <c r="E79" s="39">
        <v>16601</v>
      </c>
    </row>
    <row r="80" spans="1:5" x14ac:dyDescent="0.2">
      <c r="A80" s="4" t="s">
        <v>262</v>
      </c>
      <c r="B80" s="39">
        <v>956</v>
      </c>
      <c r="C80" s="39">
        <v>2119</v>
      </c>
      <c r="D80" s="39">
        <v>2939</v>
      </c>
      <c r="E80" s="39">
        <v>6014</v>
      </c>
    </row>
    <row r="81" spans="1:5" x14ac:dyDescent="0.2">
      <c r="A81" s="4" t="s">
        <v>263</v>
      </c>
      <c r="B81" s="39">
        <v>480</v>
      </c>
      <c r="C81" s="39">
        <v>492</v>
      </c>
      <c r="D81" s="39">
        <v>1462</v>
      </c>
      <c r="E81" s="39">
        <v>2434</v>
      </c>
    </row>
    <row r="82" spans="1:5" x14ac:dyDescent="0.2">
      <c r="A82" s="4" t="s">
        <v>264</v>
      </c>
      <c r="B82" s="39">
        <v>897</v>
      </c>
      <c r="C82" s="39">
        <v>2539</v>
      </c>
      <c r="D82" s="39">
        <v>2562</v>
      </c>
      <c r="E82" s="39">
        <v>5998</v>
      </c>
    </row>
    <row r="83" spans="1:5" x14ac:dyDescent="0.2">
      <c r="A83" s="4" t="s">
        <v>265</v>
      </c>
      <c r="B83" s="39">
        <v>298</v>
      </c>
      <c r="C83" s="39">
        <v>53</v>
      </c>
      <c r="D83" s="39">
        <v>103</v>
      </c>
      <c r="E83" s="39">
        <v>454</v>
      </c>
    </row>
    <row r="84" spans="1:5" x14ac:dyDescent="0.2">
      <c r="A84" s="4" t="s">
        <v>266</v>
      </c>
      <c r="B84" s="39">
        <v>236</v>
      </c>
      <c r="C84" s="39">
        <v>158</v>
      </c>
      <c r="D84" s="39">
        <v>341</v>
      </c>
      <c r="E84" s="39">
        <v>735</v>
      </c>
    </row>
    <row r="85" spans="1:5" x14ac:dyDescent="0.2">
      <c r="A85" s="5" t="s">
        <v>4</v>
      </c>
      <c r="B85" s="40">
        <v>22709</v>
      </c>
      <c r="C85" s="40">
        <v>62759</v>
      </c>
      <c r="D85" s="40">
        <v>71197</v>
      </c>
      <c r="E85" s="40">
        <v>156665</v>
      </c>
    </row>
    <row r="86" spans="1:5" x14ac:dyDescent="0.2">
      <c r="A86" s="37"/>
      <c r="B86" s="42"/>
      <c r="C86" s="42"/>
      <c r="D86" s="42"/>
      <c r="E86" s="42"/>
    </row>
    <row r="87" spans="1:5" ht="15.75" x14ac:dyDescent="0.2">
      <c r="A87" s="24" t="s">
        <v>383</v>
      </c>
      <c r="B87" s="42"/>
      <c r="C87" s="42"/>
      <c r="D87" s="42"/>
      <c r="E87" s="42"/>
    </row>
    <row r="88" spans="1:5" x14ac:dyDescent="0.2">
      <c r="A88" s="83" t="s">
        <v>9</v>
      </c>
      <c r="B88" s="43" t="s">
        <v>214</v>
      </c>
      <c r="C88" s="43" t="s">
        <v>215</v>
      </c>
      <c r="D88" s="43" t="s">
        <v>8</v>
      </c>
    </row>
    <row r="89" spans="1:5" x14ac:dyDescent="0.2">
      <c r="A89" s="4" t="s">
        <v>254</v>
      </c>
      <c r="B89" s="39">
        <v>1436</v>
      </c>
      <c r="C89" s="39">
        <v>895</v>
      </c>
      <c r="D89" s="39">
        <v>2331</v>
      </c>
    </row>
    <row r="90" spans="1:5" x14ac:dyDescent="0.2">
      <c r="A90" s="4" t="s">
        <v>255</v>
      </c>
      <c r="B90" s="39">
        <v>1359</v>
      </c>
      <c r="C90" s="39">
        <v>953</v>
      </c>
      <c r="D90" s="39">
        <v>2312</v>
      </c>
    </row>
    <row r="91" spans="1:5" x14ac:dyDescent="0.2">
      <c r="A91" s="4" t="s">
        <v>256</v>
      </c>
      <c r="B91" s="39">
        <v>2959</v>
      </c>
      <c r="C91" s="39">
        <v>2531</v>
      </c>
      <c r="D91" s="39">
        <v>5490</v>
      </c>
    </row>
    <row r="92" spans="1:5" x14ac:dyDescent="0.2">
      <c r="A92" s="4" t="s">
        <v>257</v>
      </c>
      <c r="B92" s="39">
        <v>987</v>
      </c>
      <c r="C92" s="39">
        <v>850</v>
      </c>
      <c r="D92" s="39">
        <v>1837</v>
      </c>
    </row>
    <row r="93" spans="1:5" x14ac:dyDescent="0.2">
      <c r="A93" s="4" t="s">
        <v>258</v>
      </c>
      <c r="B93" s="39">
        <v>3187</v>
      </c>
      <c r="C93" s="39">
        <v>1968</v>
      </c>
      <c r="D93" s="39">
        <v>5155</v>
      </c>
    </row>
    <row r="94" spans="1:5" x14ac:dyDescent="0.2">
      <c r="A94" s="4" t="s">
        <v>259</v>
      </c>
      <c r="B94" s="39">
        <v>9419</v>
      </c>
      <c r="C94" s="39">
        <v>7604</v>
      </c>
      <c r="D94" s="39">
        <v>17023</v>
      </c>
    </row>
    <row r="95" spans="1:5" x14ac:dyDescent="0.2">
      <c r="A95" s="31" t="s">
        <v>270</v>
      </c>
      <c r="B95" s="39">
        <v>41578</v>
      </c>
      <c r="C95" s="39">
        <v>33281</v>
      </c>
      <c r="D95" s="39">
        <v>74859</v>
      </c>
    </row>
    <row r="96" spans="1:5" x14ac:dyDescent="0.2">
      <c r="A96" s="31" t="s">
        <v>374</v>
      </c>
      <c r="B96" s="39">
        <v>2672</v>
      </c>
      <c r="C96" s="39">
        <v>2025</v>
      </c>
      <c r="D96" s="39">
        <v>4697</v>
      </c>
    </row>
    <row r="97" spans="1:5" x14ac:dyDescent="0.2">
      <c r="A97" s="4" t="s">
        <v>260</v>
      </c>
      <c r="B97" s="39">
        <v>4826</v>
      </c>
      <c r="C97" s="39">
        <v>2880</v>
      </c>
      <c r="D97" s="39">
        <v>7706</v>
      </c>
    </row>
    <row r="98" spans="1:5" x14ac:dyDescent="0.2">
      <c r="A98" s="4" t="s">
        <v>274</v>
      </c>
      <c r="B98" s="39">
        <v>1884</v>
      </c>
      <c r="C98" s="39">
        <v>1135</v>
      </c>
      <c r="D98" s="39">
        <v>3019</v>
      </c>
    </row>
    <row r="99" spans="1:5" x14ac:dyDescent="0.2">
      <c r="A99" s="4" t="s">
        <v>261</v>
      </c>
      <c r="B99" s="39">
        <v>9444</v>
      </c>
      <c r="C99" s="39">
        <v>7157</v>
      </c>
      <c r="D99" s="39">
        <v>16601</v>
      </c>
    </row>
    <row r="100" spans="1:5" x14ac:dyDescent="0.2">
      <c r="A100" s="4" t="s">
        <v>262</v>
      </c>
      <c r="B100" s="39">
        <v>3739</v>
      </c>
      <c r="C100" s="39">
        <v>2275</v>
      </c>
      <c r="D100" s="39">
        <v>6014</v>
      </c>
    </row>
    <row r="101" spans="1:5" x14ac:dyDescent="0.2">
      <c r="A101" s="4" t="s">
        <v>263</v>
      </c>
      <c r="B101" s="39">
        <v>1363</v>
      </c>
      <c r="C101" s="39">
        <v>1071</v>
      </c>
      <c r="D101" s="39">
        <v>2434</v>
      </c>
    </row>
    <row r="102" spans="1:5" x14ac:dyDescent="0.2">
      <c r="A102" s="4" t="s">
        <v>264</v>
      </c>
      <c r="B102" s="39">
        <v>3770</v>
      </c>
      <c r="C102" s="39">
        <v>2228</v>
      </c>
      <c r="D102" s="39">
        <v>5998</v>
      </c>
    </row>
    <row r="103" spans="1:5" x14ac:dyDescent="0.2">
      <c r="A103" s="4" t="s">
        <v>265</v>
      </c>
      <c r="B103" s="39">
        <v>320</v>
      </c>
      <c r="C103" s="39">
        <v>134</v>
      </c>
      <c r="D103" s="39">
        <v>454</v>
      </c>
    </row>
    <row r="104" spans="1:5" x14ac:dyDescent="0.2">
      <c r="A104" s="4" t="s">
        <v>266</v>
      </c>
      <c r="B104" s="39">
        <v>431</v>
      </c>
      <c r="C104" s="39">
        <v>304</v>
      </c>
      <c r="D104" s="39">
        <v>735</v>
      </c>
    </row>
    <row r="105" spans="1:5" x14ac:dyDescent="0.2">
      <c r="A105" s="5" t="s">
        <v>4</v>
      </c>
      <c r="B105" s="40">
        <v>89374</v>
      </c>
      <c r="C105" s="40">
        <v>67291</v>
      </c>
      <c r="D105" s="40">
        <v>156665</v>
      </c>
      <c r="E105" s="42"/>
    </row>
    <row r="106" spans="1:5" x14ac:dyDescent="0.2">
      <c r="A106" s="37"/>
      <c r="B106" s="42"/>
      <c r="C106" s="42"/>
      <c r="D106" s="42"/>
      <c r="E106" s="42"/>
    </row>
    <row r="107" spans="1:5" x14ac:dyDescent="0.2">
      <c r="A107" s="37"/>
      <c r="B107" s="42"/>
      <c r="C107" s="42"/>
      <c r="D107" s="42"/>
      <c r="E107" s="42"/>
    </row>
    <row r="108" spans="1:5" x14ac:dyDescent="0.2">
      <c r="A108" s="65" t="s">
        <v>246</v>
      </c>
      <c r="B108" s="42"/>
      <c r="C108" s="42"/>
      <c r="D108" s="42"/>
      <c r="E108" s="42"/>
    </row>
    <row r="109" spans="1:5" x14ac:dyDescent="0.2">
      <c r="A109" s="37"/>
      <c r="B109" s="42"/>
      <c r="C109" s="42"/>
      <c r="D109" s="42"/>
      <c r="E109" s="42"/>
    </row>
    <row r="110" spans="1:5" x14ac:dyDescent="0.2">
      <c r="A110" s="66" t="s">
        <v>21</v>
      </c>
      <c r="B110" s="42"/>
      <c r="C110" s="42"/>
      <c r="D110" s="42"/>
      <c r="E110" s="42"/>
    </row>
    <row r="111" spans="1:5" x14ac:dyDescent="0.2">
      <c r="A111" s="37"/>
      <c r="B111" s="42"/>
      <c r="C111" s="42"/>
      <c r="D111" s="42"/>
      <c r="E111" s="42"/>
    </row>
  </sheetData>
  <hyperlinks>
    <hyperlink ref="A110" location="Indice!A5" display="Volver al índice"/>
  </hyperlinks>
  <pageMargins left="0.7" right="0.7" top="0.75" bottom="0.75" header="0.3" footer="0.3"/>
  <pageSetup paperSize="3" orientation="portrait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1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"/>
  <cols>
    <col min="1" max="1" width="37" style="32" customWidth="1"/>
    <col min="2" max="6" width="9.5703125" style="32" customWidth="1"/>
    <col min="7" max="13" width="9.5703125" style="1" customWidth="1"/>
    <col min="14" max="15" width="10.85546875" style="1" customWidth="1"/>
    <col min="16" max="16" width="12.5703125" style="1" customWidth="1"/>
    <col min="17" max="17" width="13" style="1" customWidth="1"/>
    <col min="18" max="18" width="12.42578125" style="1" customWidth="1"/>
    <col min="19" max="19" width="14.5703125" style="1" customWidth="1"/>
    <col min="20" max="16384" width="10.85546875" style="1"/>
  </cols>
  <sheetData>
    <row r="1" spans="1:20" ht="21" x14ac:dyDescent="0.2">
      <c r="A1" s="80" t="s">
        <v>384</v>
      </c>
      <c r="B1" s="80"/>
      <c r="C1" s="80"/>
      <c r="D1" s="80"/>
      <c r="E1" s="80"/>
      <c r="F1" s="80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20" ht="24" customHeight="1" x14ac:dyDescent="0.2">
      <c r="A2" s="72"/>
      <c r="B2" s="72"/>
      <c r="C2" s="72"/>
      <c r="D2" s="72"/>
      <c r="E2" s="72"/>
      <c r="F2" s="72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20" x14ac:dyDescent="0.2">
      <c r="A3" s="71"/>
      <c r="B3" s="71"/>
      <c r="C3" s="71"/>
      <c r="D3" s="71"/>
      <c r="E3" s="71"/>
      <c r="F3" s="71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20" ht="15.75" x14ac:dyDescent="0.2">
      <c r="A4" s="38" t="s">
        <v>395</v>
      </c>
      <c r="B4" s="38"/>
      <c r="C4" s="38"/>
      <c r="D4" s="38"/>
      <c r="E4" s="38"/>
      <c r="F4" s="38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</row>
    <row r="5" spans="1:20" ht="25.5" x14ac:dyDescent="0.2">
      <c r="A5" s="82" t="s">
        <v>0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3">
        <v>2020</v>
      </c>
      <c r="P5" s="12" t="s">
        <v>427</v>
      </c>
      <c r="Q5" s="12" t="s">
        <v>428</v>
      </c>
      <c r="R5" s="12" t="s">
        <v>429</v>
      </c>
      <c r="S5" s="12" t="s">
        <v>430</v>
      </c>
    </row>
    <row r="6" spans="1:20" x14ac:dyDescent="0.2">
      <c r="A6" s="4" t="s">
        <v>5</v>
      </c>
      <c r="B6" s="4">
        <v>12654</v>
      </c>
      <c r="C6" s="4">
        <v>19200</v>
      </c>
      <c r="D6" s="4">
        <v>16546</v>
      </c>
      <c r="E6" s="4">
        <v>14044</v>
      </c>
      <c r="F6" s="4">
        <v>22313</v>
      </c>
      <c r="G6" s="4">
        <v>25493</v>
      </c>
      <c r="H6" s="4">
        <v>28182</v>
      </c>
      <c r="I6" s="4">
        <v>27674</v>
      </c>
      <c r="J6" s="4">
        <v>30552</v>
      </c>
      <c r="K6" s="4">
        <v>33769</v>
      </c>
      <c r="L6" s="4">
        <v>32648</v>
      </c>
      <c r="M6" s="4">
        <v>35123</v>
      </c>
      <c r="N6" s="4">
        <v>33394</v>
      </c>
      <c r="O6" s="4">
        <v>22709</v>
      </c>
      <c r="P6" s="100">
        <f>(O6-F6)/F6</f>
        <v>1.7747501456549995E-2</v>
      </c>
      <c r="Q6" s="100">
        <f>(O6-K6)/K6</f>
        <v>-0.32751932245550652</v>
      </c>
      <c r="R6" s="100">
        <f>(O6-N6)/N6</f>
        <v>-0.31996765886087319</v>
      </c>
      <c r="S6" s="102">
        <f>O6/O$9</f>
        <v>0.14495260587878595</v>
      </c>
      <c r="T6" s="99"/>
    </row>
    <row r="7" spans="1:20" x14ac:dyDescent="0.2">
      <c r="A7" s="4" t="s">
        <v>6</v>
      </c>
      <c r="B7" s="4">
        <v>17185</v>
      </c>
      <c r="C7" s="4">
        <v>18672</v>
      </c>
      <c r="D7" s="4">
        <v>23636</v>
      </c>
      <c r="E7" s="4">
        <v>23669</v>
      </c>
      <c r="F7" s="4">
        <v>30688</v>
      </c>
      <c r="G7" s="4">
        <v>37944</v>
      </c>
      <c r="H7" s="4">
        <v>47071</v>
      </c>
      <c r="I7" s="4">
        <v>55824</v>
      </c>
      <c r="J7" s="4">
        <v>67309</v>
      </c>
      <c r="K7" s="4">
        <v>72816</v>
      </c>
      <c r="L7" s="4">
        <v>78136</v>
      </c>
      <c r="M7" s="4">
        <v>79090</v>
      </c>
      <c r="N7" s="4">
        <v>74128</v>
      </c>
      <c r="O7" s="4">
        <v>62759</v>
      </c>
      <c r="P7" s="100">
        <f t="shared" ref="P7:P9" si="0">(O7-F7)/F7</f>
        <v>1.0450664754953076</v>
      </c>
      <c r="Q7" s="100">
        <f t="shared" ref="Q7:Q9" si="1">(O7-K7)/K7</f>
        <v>-0.13811524939573719</v>
      </c>
      <c r="R7" s="100">
        <f t="shared" ref="R7:R9" si="2">(O7-N7)/N7</f>
        <v>-0.15336984675156487</v>
      </c>
      <c r="S7" s="102">
        <f t="shared" ref="S7:S9" si="3">O7/O$9</f>
        <v>0.40059362333641846</v>
      </c>
    </row>
    <row r="8" spans="1:20" x14ac:dyDescent="0.2">
      <c r="A8" s="4" t="s">
        <v>7</v>
      </c>
      <c r="B8" s="4">
        <v>54955</v>
      </c>
      <c r="C8" s="4">
        <v>58527</v>
      </c>
      <c r="D8" s="4">
        <v>65331</v>
      </c>
      <c r="E8" s="4">
        <v>63936</v>
      </c>
      <c r="F8" s="4">
        <v>64837</v>
      </c>
      <c r="G8" s="4">
        <v>71707</v>
      </c>
      <c r="H8" s="4">
        <v>80979</v>
      </c>
      <c r="I8" s="4">
        <v>87153</v>
      </c>
      <c r="J8" s="4">
        <v>89901</v>
      </c>
      <c r="K8" s="4">
        <v>89368</v>
      </c>
      <c r="L8" s="4">
        <v>93577</v>
      </c>
      <c r="M8" s="4">
        <v>93803</v>
      </c>
      <c r="N8" s="4">
        <v>92317</v>
      </c>
      <c r="O8" s="4">
        <v>71197</v>
      </c>
      <c r="P8" s="100">
        <f t="shared" si="0"/>
        <v>9.8092138747937138E-2</v>
      </c>
      <c r="Q8" s="100">
        <f t="shared" si="1"/>
        <v>-0.20332781308745859</v>
      </c>
      <c r="R8" s="100">
        <f t="shared" si="2"/>
        <v>-0.228776931659391</v>
      </c>
      <c r="S8" s="102">
        <f t="shared" si="3"/>
        <v>0.4544537707847956</v>
      </c>
    </row>
    <row r="9" spans="1:20" x14ac:dyDescent="0.2">
      <c r="A9" s="5" t="s">
        <v>4</v>
      </c>
      <c r="B9" s="5">
        <v>84794</v>
      </c>
      <c r="C9" s="5">
        <v>96399</v>
      </c>
      <c r="D9" s="5">
        <v>105513</v>
      </c>
      <c r="E9" s="5">
        <v>101649</v>
      </c>
      <c r="F9" s="5">
        <v>117838</v>
      </c>
      <c r="G9" s="5">
        <v>135144</v>
      </c>
      <c r="H9" s="5">
        <v>156232</v>
      </c>
      <c r="I9" s="5">
        <v>170651</v>
      </c>
      <c r="J9" s="5">
        <v>187762</v>
      </c>
      <c r="K9" s="5">
        <v>195953</v>
      </c>
      <c r="L9" s="5">
        <v>204361</v>
      </c>
      <c r="M9" s="5">
        <v>208016</v>
      </c>
      <c r="N9" s="5">
        <v>199839</v>
      </c>
      <c r="O9" s="5">
        <v>156665</v>
      </c>
      <c r="P9" s="77">
        <f t="shared" si="0"/>
        <v>0.3294947300531238</v>
      </c>
      <c r="Q9" s="77">
        <f t="shared" si="1"/>
        <v>-0.20049705796798212</v>
      </c>
      <c r="R9" s="101">
        <f t="shared" si="2"/>
        <v>-0.21604391535185824</v>
      </c>
      <c r="S9" s="15">
        <f t="shared" si="3"/>
        <v>1</v>
      </c>
    </row>
    <row r="10" spans="1:20" x14ac:dyDescent="0.2"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9"/>
    </row>
    <row r="11" spans="1:20" ht="15.75" x14ac:dyDescent="0.2">
      <c r="A11" s="38" t="s">
        <v>396</v>
      </c>
      <c r="B11" s="38"/>
      <c r="C11" s="38"/>
      <c r="D11" s="38"/>
      <c r="E11" s="38"/>
      <c r="F11" s="38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</row>
    <row r="12" spans="1:20" ht="25.5" x14ac:dyDescent="0.2">
      <c r="A12" s="82" t="s">
        <v>0</v>
      </c>
      <c r="B12" s="3">
        <v>2007</v>
      </c>
      <c r="C12" s="3">
        <v>2008</v>
      </c>
      <c r="D12" s="3">
        <v>2009</v>
      </c>
      <c r="E12" s="3">
        <v>2010</v>
      </c>
      <c r="F12" s="3">
        <v>2011</v>
      </c>
      <c r="G12" s="3">
        <v>2012</v>
      </c>
      <c r="H12" s="3">
        <v>2013</v>
      </c>
      <c r="I12" s="3">
        <v>2014</v>
      </c>
      <c r="J12" s="3">
        <v>2015</v>
      </c>
      <c r="K12" s="3">
        <v>2016</v>
      </c>
      <c r="L12" s="3">
        <v>2017</v>
      </c>
      <c r="M12" s="3">
        <v>2018</v>
      </c>
      <c r="N12" s="3">
        <v>2019</v>
      </c>
      <c r="O12" s="3">
        <v>2020</v>
      </c>
      <c r="P12" s="12" t="s">
        <v>427</v>
      </c>
      <c r="Q12" s="12" t="s">
        <v>428</v>
      </c>
      <c r="R12" s="12" t="s">
        <v>429</v>
      </c>
      <c r="S12" s="12" t="s">
        <v>430</v>
      </c>
    </row>
    <row r="13" spans="1:20" x14ac:dyDescent="0.2">
      <c r="A13" s="4" t="s">
        <v>349</v>
      </c>
      <c r="B13" s="4">
        <v>12654</v>
      </c>
      <c r="C13" s="4">
        <v>19200</v>
      </c>
      <c r="D13" s="4">
        <v>16546</v>
      </c>
      <c r="E13" s="4">
        <v>14044</v>
      </c>
      <c r="F13" s="4">
        <v>22313</v>
      </c>
      <c r="G13" s="4">
        <v>25493</v>
      </c>
      <c r="H13" s="4">
        <v>28182</v>
      </c>
      <c r="I13" s="4">
        <v>27674</v>
      </c>
      <c r="J13" s="4">
        <v>30552</v>
      </c>
      <c r="K13" s="4">
        <v>33769</v>
      </c>
      <c r="L13" s="4">
        <v>32648</v>
      </c>
      <c r="M13" s="4">
        <v>35123</v>
      </c>
      <c r="N13" s="4">
        <v>33377</v>
      </c>
      <c r="O13" s="4">
        <v>22627</v>
      </c>
      <c r="P13" s="100">
        <f t="shared" ref="P13" si="4">(O13-F13)/F13</f>
        <v>1.4072513781203782E-2</v>
      </c>
      <c r="Q13" s="100">
        <f t="shared" ref="Q13" si="5">(O13-K13)/K13</f>
        <v>-0.32994758506322369</v>
      </c>
      <c r="R13" s="100">
        <f t="shared" ref="R13" si="6">(O13-N13)/N13</f>
        <v>-0.32207807771818919</v>
      </c>
      <c r="S13" s="102">
        <f t="shared" ref="S13" si="7">O13/O$9</f>
        <v>0.14442919605527718</v>
      </c>
    </row>
    <row r="14" spans="1:20" x14ac:dyDescent="0.2">
      <c r="A14" s="4" t="s">
        <v>350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>
        <v>17</v>
      </c>
      <c r="O14" s="4">
        <v>82</v>
      </c>
      <c r="P14" s="100" t="s">
        <v>24</v>
      </c>
      <c r="Q14" s="100" t="s">
        <v>24</v>
      </c>
      <c r="R14" s="100">
        <f t="shared" ref="R14:R19" si="8">(O14-N14)/N14</f>
        <v>3.8235294117647061</v>
      </c>
      <c r="S14" s="102">
        <f t="shared" ref="S14:S19" si="9">O14/O$9</f>
        <v>5.2340982350876071E-4</v>
      </c>
    </row>
    <row r="15" spans="1:20" x14ac:dyDescent="0.2">
      <c r="A15" s="4" t="s">
        <v>6</v>
      </c>
      <c r="B15" s="4">
        <v>17185</v>
      </c>
      <c r="C15" s="4">
        <v>18672</v>
      </c>
      <c r="D15" s="4">
        <v>23636</v>
      </c>
      <c r="E15" s="4">
        <v>23669</v>
      </c>
      <c r="F15" s="4">
        <v>30688</v>
      </c>
      <c r="G15" s="4">
        <v>37944</v>
      </c>
      <c r="H15" s="4">
        <v>47071</v>
      </c>
      <c r="I15" s="4">
        <v>55824</v>
      </c>
      <c r="J15" s="4">
        <v>67309</v>
      </c>
      <c r="K15" s="4">
        <v>72816</v>
      </c>
      <c r="L15" s="4">
        <v>78136</v>
      </c>
      <c r="M15" s="4">
        <v>79090</v>
      </c>
      <c r="N15" s="4">
        <v>74128</v>
      </c>
      <c r="O15" s="4">
        <v>62759</v>
      </c>
      <c r="P15" s="100">
        <f t="shared" ref="P15:P19" si="10">(O15-F15)/F15</f>
        <v>1.0450664754953076</v>
      </c>
      <c r="Q15" s="100">
        <f t="shared" ref="Q15:Q19" si="11">(O15-K15)/K15</f>
        <v>-0.13811524939573719</v>
      </c>
      <c r="R15" s="100">
        <f t="shared" si="8"/>
        <v>-0.15336984675156487</v>
      </c>
      <c r="S15" s="102">
        <f t="shared" si="9"/>
        <v>0.40059362333641846</v>
      </c>
    </row>
    <row r="16" spans="1:20" x14ac:dyDescent="0.2">
      <c r="A16" s="31" t="s">
        <v>243</v>
      </c>
      <c r="B16" s="31">
        <v>20835</v>
      </c>
      <c r="C16" s="31">
        <v>20848</v>
      </c>
      <c r="D16" s="31">
        <v>23501</v>
      </c>
      <c r="E16" s="31">
        <v>23147</v>
      </c>
      <c r="F16" s="31">
        <v>21624</v>
      </c>
      <c r="G16" s="4">
        <v>21617</v>
      </c>
      <c r="H16" s="4">
        <v>21806</v>
      </c>
      <c r="I16" s="4">
        <v>22310</v>
      </c>
      <c r="J16" s="4">
        <v>23261</v>
      </c>
      <c r="K16" s="4">
        <v>22450</v>
      </c>
      <c r="L16" s="4">
        <v>24277</v>
      </c>
      <c r="M16" s="31">
        <v>23376</v>
      </c>
      <c r="N16" s="31">
        <v>23608</v>
      </c>
      <c r="O16" s="31">
        <v>18841</v>
      </c>
      <c r="P16" s="100">
        <f t="shared" si="10"/>
        <v>-0.12869959304476508</v>
      </c>
      <c r="Q16" s="100">
        <f t="shared" si="11"/>
        <v>-0.16075723830734967</v>
      </c>
      <c r="R16" s="100">
        <f t="shared" si="8"/>
        <v>-0.20192307692307693</v>
      </c>
      <c r="S16" s="102">
        <f t="shared" si="9"/>
        <v>0.12026298152108002</v>
      </c>
    </row>
    <row r="17" spans="1:20" x14ac:dyDescent="0.2">
      <c r="A17" s="31" t="s">
        <v>244</v>
      </c>
      <c r="B17" s="31">
        <v>11378</v>
      </c>
      <c r="C17" s="31">
        <v>11877</v>
      </c>
      <c r="D17" s="31">
        <v>13533</v>
      </c>
      <c r="E17" s="31">
        <v>13044</v>
      </c>
      <c r="F17" s="31">
        <v>12982</v>
      </c>
      <c r="G17" s="4">
        <v>14598</v>
      </c>
      <c r="H17" s="4">
        <v>15840</v>
      </c>
      <c r="I17" s="4">
        <v>16357</v>
      </c>
      <c r="J17" s="4">
        <v>16894</v>
      </c>
      <c r="K17" s="4">
        <v>16300</v>
      </c>
      <c r="L17" s="4">
        <v>18304</v>
      </c>
      <c r="M17" s="31">
        <v>17118</v>
      </c>
      <c r="N17" s="31">
        <v>19143</v>
      </c>
      <c r="O17" s="31">
        <v>17316</v>
      </c>
      <c r="P17" s="100">
        <f t="shared" si="10"/>
        <v>0.33384686488984749</v>
      </c>
      <c r="Q17" s="100">
        <f t="shared" si="11"/>
        <v>6.2331288343558285E-2</v>
      </c>
      <c r="R17" s="100">
        <f t="shared" si="8"/>
        <v>-9.5439586271744245E-2</v>
      </c>
      <c r="S17" s="102">
        <f t="shared" si="9"/>
        <v>0.11052883541314269</v>
      </c>
    </row>
    <row r="18" spans="1:20" x14ac:dyDescent="0.2">
      <c r="A18" s="31" t="s">
        <v>245</v>
      </c>
      <c r="B18" s="31">
        <v>22742</v>
      </c>
      <c r="C18" s="31">
        <v>25802</v>
      </c>
      <c r="D18" s="31">
        <v>28297</v>
      </c>
      <c r="E18" s="31">
        <v>27745</v>
      </c>
      <c r="F18" s="31">
        <v>30231</v>
      </c>
      <c r="G18" s="4">
        <v>35492</v>
      </c>
      <c r="H18" s="4">
        <v>43333</v>
      </c>
      <c r="I18" s="4">
        <v>48486</v>
      </c>
      <c r="J18" s="4">
        <v>49746</v>
      </c>
      <c r="K18" s="4">
        <v>50618</v>
      </c>
      <c r="L18" s="4">
        <v>50996</v>
      </c>
      <c r="M18" s="31">
        <v>53309</v>
      </c>
      <c r="N18" s="31">
        <v>49566</v>
      </c>
      <c r="O18" s="31">
        <v>35040</v>
      </c>
      <c r="P18" s="100">
        <f t="shared" si="10"/>
        <v>0.15907512156395753</v>
      </c>
      <c r="Q18" s="100">
        <f t="shared" si="11"/>
        <v>-0.30775613418151648</v>
      </c>
      <c r="R18" s="100">
        <f t="shared" si="8"/>
        <v>-0.2930637937295727</v>
      </c>
      <c r="S18" s="102">
        <f t="shared" si="9"/>
        <v>0.22366195385057289</v>
      </c>
    </row>
    <row r="19" spans="1:20" x14ac:dyDescent="0.2">
      <c r="A19" s="5" t="s">
        <v>4</v>
      </c>
      <c r="B19" s="5">
        <v>84794</v>
      </c>
      <c r="C19" s="5">
        <v>96399</v>
      </c>
      <c r="D19" s="5">
        <v>105513</v>
      </c>
      <c r="E19" s="5">
        <v>101649</v>
      </c>
      <c r="F19" s="5">
        <v>117838</v>
      </c>
      <c r="G19" s="5">
        <v>135144</v>
      </c>
      <c r="H19" s="5">
        <v>156232</v>
      </c>
      <c r="I19" s="5">
        <v>170651</v>
      </c>
      <c r="J19" s="5">
        <v>187762</v>
      </c>
      <c r="K19" s="5">
        <v>195953</v>
      </c>
      <c r="L19" s="5">
        <v>204361</v>
      </c>
      <c r="M19" s="5">
        <v>208016</v>
      </c>
      <c r="N19" s="5">
        <v>199839</v>
      </c>
      <c r="O19" s="5">
        <v>156665</v>
      </c>
      <c r="P19" s="77">
        <f t="shared" si="10"/>
        <v>0.3294947300531238</v>
      </c>
      <c r="Q19" s="77">
        <f t="shared" si="11"/>
        <v>-0.20049705796798212</v>
      </c>
      <c r="R19" s="101">
        <f t="shared" si="8"/>
        <v>-0.21604391535185824</v>
      </c>
      <c r="S19" s="15">
        <f t="shared" si="9"/>
        <v>1</v>
      </c>
    </row>
    <row r="20" spans="1:20" x14ac:dyDescent="0.2">
      <c r="A20" s="130" t="s">
        <v>373</v>
      </c>
      <c r="G20" s="32"/>
      <c r="H20" s="32"/>
      <c r="I20" s="32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32"/>
    </row>
    <row r="21" spans="1:20" x14ac:dyDescent="0.2">
      <c r="G21" s="32"/>
      <c r="H21" s="32"/>
      <c r="I21" s="32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32"/>
    </row>
    <row r="22" spans="1:20" ht="15.75" x14ac:dyDescent="0.2">
      <c r="A22" s="38" t="s">
        <v>397</v>
      </c>
      <c r="B22" s="38"/>
      <c r="C22" s="38"/>
      <c r="D22" s="38"/>
      <c r="E22" s="38"/>
      <c r="F22" s="38"/>
      <c r="G22" s="37"/>
      <c r="H22" s="37"/>
      <c r="I22" s="37"/>
      <c r="J22" s="109"/>
      <c r="K22" s="109"/>
      <c r="L22" s="109"/>
      <c r="M22" s="109"/>
      <c r="N22" s="109"/>
      <c r="O22" s="109"/>
      <c r="P22" s="37"/>
      <c r="Q22" s="37"/>
      <c r="R22" s="37"/>
      <c r="S22" s="37"/>
    </row>
    <row r="23" spans="1:20" ht="25.5" x14ac:dyDescent="0.2">
      <c r="A23" s="82" t="s">
        <v>36</v>
      </c>
      <c r="B23" s="3">
        <v>2007</v>
      </c>
      <c r="C23" s="3">
        <v>2008</v>
      </c>
      <c r="D23" s="3">
        <v>2009</v>
      </c>
      <c r="E23" s="3">
        <v>2010</v>
      </c>
      <c r="F23" s="3">
        <v>2011</v>
      </c>
      <c r="G23" s="3">
        <v>2012</v>
      </c>
      <c r="H23" s="3">
        <v>2013</v>
      </c>
      <c r="I23" s="3">
        <v>2014</v>
      </c>
      <c r="J23" s="3">
        <v>2015</v>
      </c>
      <c r="K23" s="3">
        <v>2016</v>
      </c>
      <c r="L23" s="3">
        <v>2017</v>
      </c>
      <c r="M23" s="3">
        <v>2018</v>
      </c>
      <c r="N23" s="3">
        <v>2019</v>
      </c>
      <c r="O23" s="3">
        <v>2020</v>
      </c>
      <c r="P23" s="12" t="s">
        <v>427</v>
      </c>
      <c r="Q23" s="12" t="s">
        <v>428</v>
      </c>
      <c r="R23" s="12" t="s">
        <v>429</v>
      </c>
      <c r="S23" s="12" t="s">
        <v>430</v>
      </c>
    </row>
    <row r="24" spans="1:20" x14ac:dyDescent="0.2">
      <c r="A24" s="4" t="s">
        <v>37</v>
      </c>
      <c r="B24" s="4">
        <v>22319</v>
      </c>
      <c r="C24" s="4">
        <v>31704</v>
      </c>
      <c r="D24" s="4">
        <v>32944</v>
      </c>
      <c r="E24" s="4">
        <v>30518</v>
      </c>
      <c r="F24" s="4">
        <v>42754</v>
      </c>
      <c r="G24" s="4">
        <v>50930</v>
      </c>
      <c r="H24" s="4">
        <v>58322</v>
      </c>
      <c r="I24" s="4">
        <v>63556</v>
      </c>
      <c r="J24" s="4">
        <v>74375</v>
      </c>
      <c r="K24" s="4">
        <v>81455</v>
      </c>
      <c r="L24" s="4">
        <v>82825</v>
      </c>
      <c r="M24" s="4">
        <v>85333</v>
      </c>
      <c r="N24" s="4">
        <v>80940</v>
      </c>
      <c r="O24" s="4">
        <v>62652</v>
      </c>
      <c r="P24" s="100">
        <f t="shared" ref="P24:P28" si="12">(O24-F24)/F24</f>
        <v>0.4654067455676662</v>
      </c>
      <c r="Q24" s="100">
        <f t="shared" ref="Q24:Q28" si="13">(O24-K24)/K24</f>
        <v>-0.23083911362101775</v>
      </c>
      <c r="R24" s="100">
        <f t="shared" ref="R24:R28" si="14">(O24-N24)/N24</f>
        <v>-0.22594514455151965</v>
      </c>
      <c r="S24" s="102">
        <f t="shared" ref="S24:S28" si="15">O24/O$9</f>
        <v>0.39991063734720583</v>
      </c>
    </row>
    <row r="25" spans="1:20" x14ac:dyDescent="0.2">
      <c r="A25" s="31" t="s">
        <v>219</v>
      </c>
      <c r="B25" s="31">
        <v>16637</v>
      </c>
      <c r="C25" s="31">
        <v>16188</v>
      </c>
      <c r="D25" s="31">
        <v>17958</v>
      </c>
      <c r="E25" s="31">
        <v>16780</v>
      </c>
      <c r="F25" s="31">
        <v>20219</v>
      </c>
      <c r="G25" s="4">
        <v>23707</v>
      </c>
      <c r="H25" s="4">
        <v>29692</v>
      </c>
      <c r="I25" s="4">
        <v>33521</v>
      </c>
      <c r="J25" s="4">
        <v>38605</v>
      </c>
      <c r="K25" s="4">
        <v>39786</v>
      </c>
      <c r="L25" s="4">
        <v>42721</v>
      </c>
      <c r="M25" s="4">
        <v>43910</v>
      </c>
      <c r="N25" s="4">
        <v>39407</v>
      </c>
      <c r="O25" s="4">
        <v>33386</v>
      </c>
      <c r="P25" s="100">
        <f t="shared" si="12"/>
        <v>0.65121915030416933</v>
      </c>
      <c r="Q25" s="100">
        <f t="shared" si="13"/>
        <v>-0.16086060423264464</v>
      </c>
      <c r="R25" s="100">
        <f t="shared" si="14"/>
        <v>-0.15279011343162383</v>
      </c>
      <c r="S25" s="102">
        <f t="shared" si="15"/>
        <v>0.21310439472760348</v>
      </c>
    </row>
    <row r="26" spans="1:20" x14ac:dyDescent="0.2">
      <c r="A26" s="4" t="s">
        <v>39</v>
      </c>
      <c r="B26" s="4">
        <v>1432</v>
      </c>
      <c r="C26" s="4">
        <v>1124</v>
      </c>
      <c r="D26" s="4">
        <v>1192</v>
      </c>
      <c r="E26" s="4">
        <v>1317</v>
      </c>
      <c r="F26" s="4">
        <v>1276</v>
      </c>
      <c r="G26" s="4">
        <v>1362</v>
      </c>
      <c r="H26" s="4">
        <v>1363</v>
      </c>
      <c r="I26" s="4">
        <v>1419</v>
      </c>
      <c r="J26" s="4">
        <v>1528</v>
      </c>
      <c r="K26" s="4">
        <v>1865</v>
      </c>
      <c r="L26" s="4">
        <v>2364</v>
      </c>
      <c r="M26" s="4">
        <v>2680</v>
      </c>
      <c r="N26" s="4">
        <v>2572</v>
      </c>
      <c r="O26" s="4">
        <v>2403</v>
      </c>
      <c r="P26" s="100">
        <f t="shared" si="12"/>
        <v>0.88322884012539182</v>
      </c>
      <c r="Q26" s="100">
        <f t="shared" si="13"/>
        <v>0.28847184986595176</v>
      </c>
      <c r="R26" s="100">
        <f t="shared" si="14"/>
        <v>-6.5707620528771382E-2</v>
      </c>
      <c r="S26" s="102">
        <f t="shared" si="15"/>
        <v>1.5338461047457952E-2</v>
      </c>
    </row>
    <row r="27" spans="1:20" x14ac:dyDescent="0.2">
      <c r="A27" s="31" t="s">
        <v>220</v>
      </c>
      <c r="B27" s="31">
        <v>44406</v>
      </c>
      <c r="C27" s="31">
        <v>47383</v>
      </c>
      <c r="D27" s="31">
        <v>53419</v>
      </c>
      <c r="E27" s="31">
        <v>53034</v>
      </c>
      <c r="F27" s="31">
        <v>53589</v>
      </c>
      <c r="G27" s="4">
        <v>59145</v>
      </c>
      <c r="H27" s="4">
        <v>66855</v>
      </c>
      <c r="I27" s="4">
        <v>72155</v>
      </c>
      <c r="J27" s="4">
        <v>73254</v>
      </c>
      <c r="K27" s="4">
        <v>72847</v>
      </c>
      <c r="L27" s="4">
        <v>76451</v>
      </c>
      <c r="M27" s="4">
        <v>76093</v>
      </c>
      <c r="N27" s="4">
        <v>76920</v>
      </c>
      <c r="O27" s="4">
        <v>58224</v>
      </c>
      <c r="P27" s="100">
        <f t="shared" si="12"/>
        <v>8.6491630745115608E-2</v>
      </c>
      <c r="Q27" s="100">
        <f t="shared" si="13"/>
        <v>-0.20073578870783973</v>
      </c>
      <c r="R27" s="100">
        <f t="shared" si="14"/>
        <v>-0.24305772230889236</v>
      </c>
      <c r="S27" s="102">
        <f t="shared" si="15"/>
        <v>0.37164650687773276</v>
      </c>
    </row>
    <row r="28" spans="1:20" x14ac:dyDescent="0.2">
      <c r="A28" s="5" t="s">
        <v>4</v>
      </c>
      <c r="B28" s="5">
        <v>84794</v>
      </c>
      <c r="C28" s="5">
        <v>96399</v>
      </c>
      <c r="D28" s="5">
        <v>105513</v>
      </c>
      <c r="E28" s="5">
        <v>101649</v>
      </c>
      <c r="F28" s="5">
        <v>117838</v>
      </c>
      <c r="G28" s="5">
        <v>135144</v>
      </c>
      <c r="H28" s="5">
        <v>156232</v>
      </c>
      <c r="I28" s="5">
        <v>170651</v>
      </c>
      <c r="J28" s="5">
        <v>187762</v>
      </c>
      <c r="K28" s="5">
        <v>195953</v>
      </c>
      <c r="L28" s="5">
        <v>204361</v>
      </c>
      <c r="M28" s="5">
        <v>208016</v>
      </c>
      <c r="N28" s="5">
        <v>199839</v>
      </c>
      <c r="O28" s="5">
        <v>156665</v>
      </c>
      <c r="P28" s="77">
        <f t="shared" si="12"/>
        <v>0.3294947300531238</v>
      </c>
      <c r="Q28" s="77">
        <f t="shared" si="13"/>
        <v>-0.20049705796798212</v>
      </c>
      <c r="R28" s="101">
        <f t="shared" si="14"/>
        <v>-0.21604391535185824</v>
      </c>
      <c r="S28" s="15">
        <f t="shared" si="15"/>
        <v>1</v>
      </c>
    </row>
    <row r="29" spans="1:20" x14ac:dyDescent="0.2">
      <c r="A29" s="71"/>
      <c r="B29" s="71"/>
      <c r="C29" s="71"/>
      <c r="D29" s="71"/>
      <c r="E29" s="71"/>
      <c r="F29" s="71"/>
      <c r="G29" s="37"/>
      <c r="H29" s="37"/>
      <c r="I29" s="37"/>
      <c r="J29" s="114"/>
      <c r="K29" s="114"/>
      <c r="L29" s="37"/>
      <c r="M29" s="37"/>
      <c r="N29" s="37"/>
      <c r="O29" s="37"/>
      <c r="P29" s="37"/>
      <c r="Q29" s="37"/>
      <c r="R29" s="37"/>
      <c r="S29" s="37"/>
    </row>
    <row r="30" spans="1:20" ht="15.75" x14ac:dyDescent="0.2">
      <c r="A30" s="38" t="s">
        <v>398</v>
      </c>
      <c r="B30" s="38"/>
      <c r="C30" s="38"/>
      <c r="D30" s="38"/>
      <c r="E30" s="38"/>
      <c r="F30" s="38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</row>
    <row r="31" spans="1:20" ht="25.5" x14ac:dyDescent="0.2">
      <c r="A31" s="82" t="s">
        <v>36</v>
      </c>
      <c r="B31" s="3">
        <v>2007</v>
      </c>
      <c r="C31" s="3">
        <v>2008</v>
      </c>
      <c r="D31" s="3">
        <v>2009</v>
      </c>
      <c r="E31" s="3">
        <v>2010</v>
      </c>
      <c r="F31" s="3">
        <v>2011</v>
      </c>
      <c r="G31" s="3">
        <v>2012</v>
      </c>
      <c r="H31" s="3">
        <v>2013</v>
      </c>
      <c r="I31" s="3">
        <v>2014</v>
      </c>
      <c r="J31" s="3">
        <v>2015</v>
      </c>
      <c r="K31" s="3">
        <v>2016</v>
      </c>
      <c r="L31" s="3">
        <v>2017</v>
      </c>
      <c r="M31" s="3">
        <v>2018</v>
      </c>
      <c r="N31" s="3">
        <v>2019</v>
      </c>
      <c r="O31" s="3">
        <v>2020</v>
      </c>
      <c r="P31" s="12" t="s">
        <v>427</v>
      </c>
      <c r="Q31" s="12" t="s">
        <v>428</v>
      </c>
      <c r="R31" s="12" t="s">
        <v>429</v>
      </c>
      <c r="S31" s="12" t="s">
        <v>430</v>
      </c>
    </row>
    <row r="32" spans="1:20" x14ac:dyDescent="0.2">
      <c r="A32" s="31" t="s">
        <v>385</v>
      </c>
      <c r="B32" s="4">
        <v>38956</v>
      </c>
      <c r="C32" s="4">
        <v>47892</v>
      </c>
      <c r="D32" s="4">
        <v>50902</v>
      </c>
      <c r="E32" s="4">
        <v>47298</v>
      </c>
      <c r="F32" s="4">
        <v>62973</v>
      </c>
      <c r="G32" s="4">
        <v>74637</v>
      </c>
      <c r="H32" s="4">
        <v>88014</v>
      </c>
      <c r="I32" s="4">
        <v>97077</v>
      </c>
      <c r="J32" s="4">
        <v>112980</v>
      </c>
      <c r="K32" s="4">
        <v>121241</v>
      </c>
      <c r="L32" s="4">
        <v>125546</v>
      </c>
      <c r="M32" s="4">
        <v>129243</v>
      </c>
      <c r="N32" s="4">
        <v>120347</v>
      </c>
      <c r="O32" s="4">
        <v>96038</v>
      </c>
      <c r="P32" s="100">
        <f t="shared" ref="P32:P34" si="16">(O32-F32)/F32</f>
        <v>0.52506629825480766</v>
      </c>
      <c r="Q32" s="100">
        <f t="shared" ref="Q32:Q34" si="17">(O32-K32)/K32</f>
        <v>-0.20787522372794681</v>
      </c>
      <c r="R32" s="100">
        <f t="shared" ref="R32:R34" si="18">(O32-N32)/N32</f>
        <v>-0.20199090961968308</v>
      </c>
      <c r="S32" s="102">
        <f t="shared" ref="S32:S34" si="19">O32/O$9</f>
        <v>0.61301503207480934</v>
      </c>
    </row>
    <row r="33" spans="1:19" x14ac:dyDescent="0.2">
      <c r="A33" s="4" t="s">
        <v>47</v>
      </c>
      <c r="B33" s="4">
        <v>45838</v>
      </c>
      <c r="C33" s="4">
        <v>48507</v>
      </c>
      <c r="D33" s="4">
        <v>54611</v>
      </c>
      <c r="E33" s="4">
        <v>54351</v>
      </c>
      <c r="F33" s="4">
        <v>54865</v>
      </c>
      <c r="G33" s="4">
        <v>60507</v>
      </c>
      <c r="H33" s="4">
        <v>68218</v>
      </c>
      <c r="I33" s="4">
        <v>73574</v>
      </c>
      <c r="J33" s="4">
        <v>74782</v>
      </c>
      <c r="K33" s="4">
        <v>74712</v>
      </c>
      <c r="L33" s="4">
        <v>78815</v>
      </c>
      <c r="M33" s="4">
        <v>78773</v>
      </c>
      <c r="N33" s="4">
        <v>79492</v>
      </c>
      <c r="O33" s="4">
        <v>60627</v>
      </c>
      <c r="P33" s="100">
        <f t="shared" si="16"/>
        <v>0.10502141620340837</v>
      </c>
      <c r="Q33" s="100">
        <f t="shared" si="17"/>
        <v>-0.1885239318984902</v>
      </c>
      <c r="R33" s="100">
        <f t="shared" si="18"/>
        <v>-0.23731947868967945</v>
      </c>
      <c r="S33" s="102">
        <f t="shared" si="19"/>
        <v>0.38698496792519071</v>
      </c>
    </row>
    <row r="34" spans="1:19" x14ac:dyDescent="0.2">
      <c r="A34" s="5" t="s">
        <v>4</v>
      </c>
      <c r="B34" s="5">
        <v>84794</v>
      </c>
      <c r="C34" s="5">
        <v>96399</v>
      </c>
      <c r="D34" s="5">
        <v>105513</v>
      </c>
      <c r="E34" s="5">
        <v>101649</v>
      </c>
      <c r="F34" s="5">
        <v>117838</v>
      </c>
      <c r="G34" s="5">
        <v>135144</v>
      </c>
      <c r="H34" s="5">
        <v>156232</v>
      </c>
      <c r="I34" s="5">
        <v>170651</v>
      </c>
      <c r="J34" s="5">
        <v>187762</v>
      </c>
      <c r="K34" s="5">
        <v>195953</v>
      </c>
      <c r="L34" s="5">
        <v>204361</v>
      </c>
      <c r="M34" s="5">
        <v>208016</v>
      </c>
      <c r="N34" s="5">
        <v>199839</v>
      </c>
      <c r="O34" s="5">
        <v>156665</v>
      </c>
      <c r="P34" s="101">
        <f t="shared" si="16"/>
        <v>0.3294947300531238</v>
      </c>
      <c r="Q34" s="101">
        <f t="shared" si="17"/>
        <v>-0.20049705796798212</v>
      </c>
      <c r="R34" s="101">
        <f t="shared" si="18"/>
        <v>-0.21604391535185824</v>
      </c>
      <c r="S34" s="103">
        <f t="shared" si="19"/>
        <v>1</v>
      </c>
    </row>
    <row r="35" spans="1:19" x14ac:dyDescent="0.2">
      <c r="A35" s="70" t="s">
        <v>293</v>
      </c>
      <c r="B35" s="70"/>
      <c r="C35" s="70"/>
      <c r="D35" s="70"/>
      <c r="E35" s="70"/>
      <c r="F35" s="70"/>
      <c r="G35" s="37"/>
      <c r="H35" s="37"/>
      <c r="I35" s="37"/>
      <c r="J35" s="114"/>
      <c r="K35" s="114"/>
      <c r="L35" s="114"/>
      <c r="M35" s="114"/>
      <c r="N35" s="114"/>
      <c r="O35" s="114"/>
      <c r="P35" s="113"/>
      <c r="Q35" s="37"/>
      <c r="R35" s="37"/>
      <c r="S35" s="37"/>
    </row>
    <row r="36" spans="1:19" x14ac:dyDescent="0.2">
      <c r="A36" s="70" t="s">
        <v>248</v>
      </c>
      <c r="B36" s="70"/>
      <c r="C36" s="70"/>
      <c r="D36" s="70"/>
      <c r="E36" s="70"/>
      <c r="F36" s="70"/>
      <c r="G36" s="37"/>
      <c r="H36" s="37"/>
      <c r="I36" s="37"/>
      <c r="J36" s="114"/>
      <c r="K36" s="114"/>
      <c r="L36" s="114"/>
      <c r="M36" s="114"/>
      <c r="N36" s="114"/>
      <c r="O36" s="114"/>
      <c r="P36" s="113"/>
      <c r="Q36" s="37"/>
      <c r="R36" s="37"/>
      <c r="S36" s="37"/>
    </row>
    <row r="37" spans="1:19" x14ac:dyDescent="0.2">
      <c r="A37" s="71"/>
      <c r="B37" s="71"/>
      <c r="C37" s="71"/>
      <c r="D37" s="71"/>
      <c r="E37" s="71"/>
      <c r="F37" s="71"/>
      <c r="G37" s="37"/>
      <c r="H37" s="37"/>
      <c r="I37" s="37"/>
      <c r="J37" s="114"/>
      <c r="K37" s="114"/>
      <c r="L37" s="114"/>
      <c r="M37" s="114"/>
      <c r="N37" s="114"/>
      <c r="O37" s="114"/>
      <c r="P37" s="37"/>
      <c r="Q37" s="37"/>
      <c r="R37" s="37"/>
      <c r="S37" s="37"/>
    </row>
    <row r="38" spans="1:19" ht="15.75" x14ac:dyDescent="0.2">
      <c r="A38" s="38" t="s">
        <v>399</v>
      </c>
      <c r="B38" s="38"/>
      <c r="C38" s="38"/>
      <c r="D38" s="38"/>
      <c r="E38" s="38"/>
      <c r="F38" s="38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</row>
    <row r="39" spans="1:19" ht="25.5" x14ac:dyDescent="0.2">
      <c r="A39" s="82" t="s">
        <v>48</v>
      </c>
      <c r="B39" s="3">
        <v>2007</v>
      </c>
      <c r="C39" s="3">
        <v>2008</v>
      </c>
      <c r="D39" s="3">
        <v>2009</v>
      </c>
      <c r="E39" s="3">
        <v>2010</v>
      </c>
      <c r="F39" s="3">
        <v>2011</v>
      </c>
      <c r="G39" s="3">
        <v>2012</v>
      </c>
      <c r="H39" s="3">
        <v>2013</v>
      </c>
      <c r="I39" s="3">
        <v>2014</v>
      </c>
      <c r="J39" s="3">
        <v>2015</v>
      </c>
      <c r="K39" s="3">
        <v>2016</v>
      </c>
      <c r="L39" s="3">
        <v>2017</v>
      </c>
      <c r="M39" s="3">
        <v>2018</v>
      </c>
      <c r="N39" s="3">
        <v>2019</v>
      </c>
      <c r="O39" s="3">
        <v>2020</v>
      </c>
      <c r="P39" s="12" t="s">
        <v>427</v>
      </c>
      <c r="Q39" s="12" t="s">
        <v>428</v>
      </c>
      <c r="R39" s="12" t="s">
        <v>429</v>
      </c>
      <c r="S39" s="12" t="s">
        <v>430</v>
      </c>
    </row>
    <row r="40" spans="1:19" s="11" customFormat="1" x14ac:dyDescent="0.2">
      <c r="A40" s="5" t="s">
        <v>5</v>
      </c>
      <c r="B40" s="5">
        <v>12654</v>
      </c>
      <c r="C40" s="5">
        <v>19200</v>
      </c>
      <c r="D40" s="5">
        <v>16546</v>
      </c>
      <c r="E40" s="5">
        <v>14044</v>
      </c>
      <c r="F40" s="5">
        <v>22313</v>
      </c>
      <c r="G40" s="22">
        <v>25493</v>
      </c>
      <c r="H40" s="22">
        <v>28182</v>
      </c>
      <c r="I40" s="22">
        <v>27674</v>
      </c>
      <c r="J40" s="22">
        <v>30552</v>
      </c>
      <c r="K40" s="22">
        <v>33769</v>
      </c>
      <c r="L40" s="22">
        <v>32648</v>
      </c>
      <c r="M40" s="22">
        <v>35123</v>
      </c>
      <c r="N40" s="22">
        <v>33394</v>
      </c>
      <c r="O40" s="22">
        <v>22709</v>
      </c>
      <c r="P40" s="101">
        <f t="shared" ref="P40:P50" si="20">(O40-F40)/F40</f>
        <v>1.7747501456549995E-2</v>
      </c>
      <c r="Q40" s="101">
        <f t="shared" ref="Q40:Q50" si="21">(O40-K40)/K40</f>
        <v>-0.32751932245550652</v>
      </c>
      <c r="R40" s="101">
        <f t="shared" ref="R40:R50" si="22">(O40-N40)/N40</f>
        <v>-0.31996765886087319</v>
      </c>
      <c r="S40" s="103">
        <f t="shared" ref="S40:S50" si="23">O40/O$9</f>
        <v>0.14495260587878595</v>
      </c>
    </row>
    <row r="41" spans="1:19" x14ac:dyDescent="0.2">
      <c r="A41" s="79" t="s">
        <v>37</v>
      </c>
      <c r="B41" s="79">
        <v>12654</v>
      </c>
      <c r="C41" s="79">
        <v>19200</v>
      </c>
      <c r="D41" s="79">
        <v>16546</v>
      </c>
      <c r="E41" s="79">
        <v>14044</v>
      </c>
      <c r="F41" s="79">
        <v>22313</v>
      </c>
      <c r="G41" s="4">
        <v>25493</v>
      </c>
      <c r="H41" s="4">
        <v>28182</v>
      </c>
      <c r="I41" s="4">
        <v>27674</v>
      </c>
      <c r="J41" s="4">
        <v>30552</v>
      </c>
      <c r="K41" s="4">
        <v>33769</v>
      </c>
      <c r="L41" s="4">
        <v>32648</v>
      </c>
      <c r="M41" s="4">
        <v>35123</v>
      </c>
      <c r="N41" s="4">
        <v>33394</v>
      </c>
      <c r="O41" s="4">
        <v>22709</v>
      </c>
      <c r="P41" s="100">
        <f t="shared" si="20"/>
        <v>1.7747501456549995E-2</v>
      </c>
      <c r="Q41" s="100">
        <f t="shared" si="21"/>
        <v>-0.32751932245550652</v>
      </c>
      <c r="R41" s="100">
        <f t="shared" si="22"/>
        <v>-0.31996765886087319</v>
      </c>
      <c r="S41" s="102">
        <f t="shared" si="23"/>
        <v>0.14495260587878595</v>
      </c>
    </row>
    <row r="42" spans="1:19" s="11" customFormat="1" x14ac:dyDescent="0.2">
      <c r="A42" s="5" t="s">
        <v>6</v>
      </c>
      <c r="B42" s="5">
        <v>17185</v>
      </c>
      <c r="C42" s="5">
        <v>18672</v>
      </c>
      <c r="D42" s="5">
        <v>23636</v>
      </c>
      <c r="E42" s="5">
        <v>23669</v>
      </c>
      <c r="F42" s="5">
        <v>30688</v>
      </c>
      <c r="G42" s="22">
        <v>37944</v>
      </c>
      <c r="H42" s="22">
        <v>47071</v>
      </c>
      <c r="I42" s="22">
        <v>55824</v>
      </c>
      <c r="J42" s="22">
        <v>67309</v>
      </c>
      <c r="K42" s="22">
        <v>72816</v>
      </c>
      <c r="L42" s="22">
        <v>78136</v>
      </c>
      <c r="M42" s="22">
        <v>79090</v>
      </c>
      <c r="N42" s="22">
        <v>74128</v>
      </c>
      <c r="O42" s="22">
        <v>62759</v>
      </c>
      <c r="P42" s="101">
        <f t="shared" si="20"/>
        <v>1.0450664754953076</v>
      </c>
      <c r="Q42" s="101">
        <f t="shared" si="21"/>
        <v>-0.13811524939573719</v>
      </c>
      <c r="R42" s="101">
        <f t="shared" si="22"/>
        <v>-0.15336984675156487</v>
      </c>
      <c r="S42" s="103">
        <f t="shared" si="23"/>
        <v>0.40059362333641846</v>
      </c>
    </row>
    <row r="43" spans="1:19" x14ac:dyDescent="0.2">
      <c r="A43" s="79" t="s">
        <v>37</v>
      </c>
      <c r="B43" s="79">
        <v>6883</v>
      </c>
      <c r="C43" s="79">
        <v>9182</v>
      </c>
      <c r="D43" s="79">
        <v>12112</v>
      </c>
      <c r="E43" s="79">
        <v>12506</v>
      </c>
      <c r="F43" s="79">
        <v>16761</v>
      </c>
      <c r="G43" s="17">
        <v>20967</v>
      </c>
      <c r="H43" s="17">
        <v>24887</v>
      </c>
      <c r="I43" s="17">
        <v>30433</v>
      </c>
      <c r="J43" s="17">
        <v>37485</v>
      </c>
      <c r="K43" s="17">
        <v>40741</v>
      </c>
      <c r="L43" s="17">
        <v>43219</v>
      </c>
      <c r="M43" s="17">
        <v>43080</v>
      </c>
      <c r="N43" s="17">
        <v>40972</v>
      </c>
      <c r="O43" s="17">
        <v>34551</v>
      </c>
      <c r="P43" s="100">
        <f t="shared" si="20"/>
        <v>1.0613925183461608</v>
      </c>
      <c r="Q43" s="100">
        <f t="shared" si="21"/>
        <v>-0.15193539677474779</v>
      </c>
      <c r="R43" s="100">
        <f t="shared" si="22"/>
        <v>-0.15671678219271698</v>
      </c>
      <c r="S43" s="102">
        <f t="shared" si="23"/>
        <v>0.22054064404940479</v>
      </c>
    </row>
    <row r="44" spans="1:19" x14ac:dyDescent="0.2">
      <c r="A44" s="79" t="s">
        <v>38</v>
      </c>
      <c r="B44" s="79">
        <v>10302</v>
      </c>
      <c r="C44" s="79">
        <v>9490</v>
      </c>
      <c r="D44" s="79">
        <v>11524</v>
      </c>
      <c r="E44" s="79">
        <v>11163</v>
      </c>
      <c r="F44" s="79">
        <v>13927</v>
      </c>
      <c r="G44" s="17">
        <v>16977</v>
      </c>
      <c r="H44" s="17">
        <v>22184</v>
      </c>
      <c r="I44" s="17">
        <v>25391</v>
      </c>
      <c r="J44" s="17">
        <v>29824</v>
      </c>
      <c r="K44" s="17">
        <v>32075</v>
      </c>
      <c r="L44" s="17">
        <v>34917</v>
      </c>
      <c r="M44" s="17">
        <v>36010</v>
      </c>
      <c r="N44" s="17">
        <v>33156</v>
      </c>
      <c r="O44" s="17">
        <v>28208</v>
      </c>
      <c r="P44" s="100">
        <f t="shared" si="20"/>
        <v>1.0254182523156459</v>
      </c>
      <c r="Q44" s="100">
        <f t="shared" si="21"/>
        <v>-0.12056118472330475</v>
      </c>
      <c r="R44" s="100">
        <f t="shared" si="22"/>
        <v>-0.14923392447822414</v>
      </c>
      <c r="S44" s="102">
        <f t="shared" si="23"/>
        <v>0.18005297928701369</v>
      </c>
    </row>
    <row r="45" spans="1:19" s="11" customFormat="1" x14ac:dyDescent="0.2">
      <c r="A45" s="5" t="s">
        <v>7</v>
      </c>
      <c r="B45" s="5">
        <v>54955</v>
      </c>
      <c r="C45" s="5">
        <v>58527</v>
      </c>
      <c r="D45" s="5">
        <v>65331</v>
      </c>
      <c r="E45" s="5">
        <v>63936</v>
      </c>
      <c r="F45" s="5">
        <v>64837</v>
      </c>
      <c r="G45" s="22">
        <v>71707</v>
      </c>
      <c r="H45" s="22">
        <v>80979</v>
      </c>
      <c r="I45" s="22">
        <v>87153</v>
      </c>
      <c r="J45" s="22">
        <v>89901</v>
      </c>
      <c r="K45" s="22">
        <v>89368</v>
      </c>
      <c r="L45" s="22">
        <v>93577</v>
      </c>
      <c r="M45" s="22">
        <v>93803</v>
      </c>
      <c r="N45" s="22">
        <v>92317</v>
      </c>
      <c r="O45" s="22">
        <v>71197</v>
      </c>
      <c r="P45" s="101">
        <f t="shared" si="20"/>
        <v>9.8092138747937138E-2</v>
      </c>
      <c r="Q45" s="101">
        <f t="shared" si="21"/>
        <v>-0.20332781308745859</v>
      </c>
      <c r="R45" s="101">
        <f t="shared" si="22"/>
        <v>-0.228776931659391</v>
      </c>
      <c r="S45" s="103">
        <f t="shared" si="23"/>
        <v>0.4544537707847956</v>
      </c>
    </row>
    <row r="46" spans="1:19" x14ac:dyDescent="0.2">
      <c r="A46" s="79" t="s">
        <v>37</v>
      </c>
      <c r="B46" s="79">
        <v>2782</v>
      </c>
      <c r="C46" s="79">
        <v>3322</v>
      </c>
      <c r="D46" s="79">
        <v>4286</v>
      </c>
      <c r="E46" s="79">
        <v>3968</v>
      </c>
      <c r="F46" s="79">
        <v>3680</v>
      </c>
      <c r="G46" s="17">
        <v>4470</v>
      </c>
      <c r="H46" s="17">
        <v>5253</v>
      </c>
      <c r="I46" s="17">
        <v>5449</v>
      </c>
      <c r="J46" s="17">
        <v>6338</v>
      </c>
      <c r="K46" s="17">
        <v>6945</v>
      </c>
      <c r="L46" s="17">
        <v>6958</v>
      </c>
      <c r="M46" s="17">
        <v>7130</v>
      </c>
      <c r="N46" s="17">
        <v>6574</v>
      </c>
      <c r="O46" s="17">
        <v>5392</v>
      </c>
      <c r="P46" s="100">
        <f t="shared" si="20"/>
        <v>0.4652173913043478</v>
      </c>
      <c r="Q46" s="100">
        <f t="shared" si="21"/>
        <v>-0.22361411087113031</v>
      </c>
      <c r="R46" s="100">
        <f t="shared" si="22"/>
        <v>-0.17979920900517188</v>
      </c>
      <c r="S46" s="102">
        <f t="shared" si="23"/>
        <v>3.4417387419015094E-2</v>
      </c>
    </row>
    <row r="47" spans="1:19" x14ac:dyDescent="0.2">
      <c r="A47" s="79" t="s">
        <v>38</v>
      </c>
      <c r="B47" s="79">
        <v>6335</v>
      </c>
      <c r="C47" s="79">
        <v>6698</v>
      </c>
      <c r="D47" s="79">
        <v>6434</v>
      </c>
      <c r="E47" s="79">
        <v>5617</v>
      </c>
      <c r="F47" s="79">
        <v>6292</v>
      </c>
      <c r="G47" s="17">
        <v>6730</v>
      </c>
      <c r="H47" s="17">
        <v>7508</v>
      </c>
      <c r="I47" s="17">
        <v>8130</v>
      </c>
      <c r="J47" s="17">
        <v>8781</v>
      </c>
      <c r="K47" s="17">
        <v>7711</v>
      </c>
      <c r="L47" s="17">
        <v>7804</v>
      </c>
      <c r="M47" s="17">
        <v>7900</v>
      </c>
      <c r="N47" s="17">
        <v>6251</v>
      </c>
      <c r="O47" s="17">
        <v>5178</v>
      </c>
      <c r="P47" s="100">
        <f t="shared" si="20"/>
        <v>-0.17705022250476796</v>
      </c>
      <c r="Q47" s="100">
        <f t="shared" si="21"/>
        <v>-0.32849176501102323</v>
      </c>
      <c r="R47" s="100">
        <f t="shared" si="22"/>
        <v>-0.17165253559430491</v>
      </c>
      <c r="S47" s="102">
        <f t="shared" si="23"/>
        <v>3.3051415440589794E-2</v>
      </c>
    </row>
    <row r="48" spans="1:19" x14ac:dyDescent="0.2">
      <c r="A48" s="79" t="s">
        <v>39</v>
      </c>
      <c r="B48" s="79">
        <v>1432</v>
      </c>
      <c r="C48" s="79">
        <v>1124</v>
      </c>
      <c r="D48" s="79">
        <v>1192</v>
      </c>
      <c r="E48" s="79">
        <v>1317</v>
      </c>
      <c r="F48" s="79">
        <v>1276</v>
      </c>
      <c r="G48" s="17">
        <v>1362</v>
      </c>
      <c r="H48" s="17">
        <v>1363</v>
      </c>
      <c r="I48" s="17">
        <v>1419</v>
      </c>
      <c r="J48" s="17">
        <v>1528</v>
      </c>
      <c r="K48" s="17">
        <v>1865</v>
      </c>
      <c r="L48" s="17">
        <v>2364</v>
      </c>
      <c r="M48" s="17">
        <v>2680</v>
      </c>
      <c r="N48" s="17">
        <v>2572</v>
      </c>
      <c r="O48" s="17">
        <v>2403</v>
      </c>
      <c r="P48" s="100">
        <f t="shared" si="20"/>
        <v>0.88322884012539182</v>
      </c>
      <c r="Q48" s="100">
        <f t="shared" si="21"/>
        <v>0.28847184986595176</v>
      </c>
      <c r="R48" s="100">
        <f t="shared" si="22"/>
        <v>-6.5707620528771382E-2</v>
      </c>
      <c r="S48" s="102">
        <f t="shared" si="23"/>
        <v>1.5338461047457952E-2</v>
      </c>
    </row>
    <row r="49" spans="1:19" x14ac:dyDescent="0.2">
      <c r="A49" s="79" t="s">
        <v>40</v>
      </c>
      <c r="B49" s="79">
        <v>44406</v>
      </c>
      <c r="C49" s="79">
        <v>47383</v>
      </c>
      <c r="D49" s="79">
        <v>53419</v>
      </c>
      <c r="E49" s="79">
        <v>53034</v>
      </c>
      <c r="F49" s="79">
        <v>53589</v>
      </c>
      <c r="G49" s="17">
        <v>59145</v>
      </c>
      <c r="H49" s="17">
        <v>66855</v>
      </c>
      <c r="I49" s="17">
        <v>72155</v>
      </c>
      <c r="J49" s="17">
        <v>73254</v>
      </c>
      <c r="K49" s="17">
        <v>72847</v>
      </c>
      <c r="L49" s="17">
        <v>76451</v>
      </c>
      <c r="M49" s="17">
        <v>76093</v>
      </c>
      <c r="N49" s="17">
        <v>76920</v>
      </c>
      <c r="O49" s="17">
        <v>58224</v>
      </c>
      <c r="P49" s="100">
        <f t="shared" si="20"/>
        <v>8.6491630745115608E-2</v>
      </c>
      <c r="Q49" s="100">
        <f t="shared" si="21"/>
        <v>-0.20073578870783973</v>
      </c>
      <c r="R49" s="100">
        <f t="shared" si="22"/>
        <v>-0.24305772230889236</v>
      </c>
      <c r="S49" s="102">
        <f t="shared" si="23"/>
        <v>0.37164650687773276</v>
      </c>
    </row>
    <row r="50" spans="1:19" x14ac:dyDescent="0.2">
      <c r="A50" s="5" t="s">
        <v>4</v>
      </c>
      <c r="B50" s="5">
        <v>84794</v>
      </c>
      <c r="C50" s="5">
        <v>96399</v>
      </c>
      <c r="D50" s="5">
        <v>105513</v>
      </c>
      <c r="E50" s="5">
        <v>101649</v>
      </c>
      <c r="F50" s="5">
        <v>117838</v>
      </c>
      <c r="G50" s="5">
        <v>135144</v>
      </c>
      <c r="H50" s="5">
        <v>156232</v>
      </c>
      <c r="I50" s="5">
        <v>170651</v>
      </c>
      <c r="J50" s="5">
        <v>187762</v>
      </c>
      <c r="K50" s="5">
        <v>195953</v>
      </c>
      <c r="L50" s="5">
        <v>204361</v>
      </c>
      <c r="M50" s="5">
        <v>208016</v>
      </c>
      <c r="N50" s="5">
        <v>199839</v>
      </c>
      <c r="O50" s="5">
        <v>156665</v>
      </c>
      <c r="P50" s="77">
        <f t="shared" si="20"/>
        <v>0.3294947300531238</v>
      </c>
      <c r="Q50" s="77">
        <f t="shared" si="21"/>
        <v>-0.20049705796798212</v>
      </c>
      <c r="R50" s="101">
        <f t="shared" si="22"/>
        <v>-0.21604391535185824</v>
      </c>
      <c r="S50" s="15">
        <f t="shared" si="23"/>
        <v>1</v>
      </c>
    </row>
    <row r="51" spans="1:19" x14ac:dyDescent="0.2">
      <c r="A51" s="71"/>
      <c r="B51" s="71"/>
      <c r="C51" s="71"/>
      <c r="D51" s="71"/>
      <c r="E51" s="71"/>
      <c r="F51" s="71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</row>
    <row r="52" spans="1:19" ht="15.75" x14ac:dyDescent="0.2">
      <c r="A52" s="38" t="s">
        <v>400</v>
      </c>
      <c r="B52" s="38"/>
      <c r="C52" s="38"/>
      <c r="D52" s="38"/>
      <c r="E52" s="38"/>
      <c r="F52" s="38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</row>
    <row r="53" spans="1:19" ht="25.5" x14ac:dyDescent="0.2">
      <c r="A53" s="82" t="s">
        <v>48</v>
      </c>
      <c r="B53" s="3">
        <v>2007</v>
      </c>
      <c r="C53" s="3">
        <v>2008</v>
      </c>
      <c r="D53" s="3">
        <v>2009</v>
      </c>
      <c r="E53" s="3">
        <v>2010</v>
      </c>
      <c r="F53" s="3">
        <v>2011</v>
      </c>
      <c r="G53" s="3">
        <v>2012</v>
      </c>
      <c r="H53" s="3">
        <v>2013</v>
      </c>
      <c r="I53" s="3">
        <v>2014</v>
      </c>
      <c r="J53" s="3">
        <v>2015</v>
      </c>
      <c r="K53" s="3">
        <v>2016</v>
      </c>
      <c r="L53" s="3">
        <v>2017</v>
      </c>
      <c r="M53" s="3">
        <v>2018</v>
      </c>
      <c r="N53" s="3">
        <v>2019</v>
      </c>
      <c r="O53" s="3">
        <v>2020</v>
      </c>
      <c r="P53" s="12" t="s">
        <v>427</v>
      </c>
      <c r="Q53" s="12" t="s">
        <v>428</v>
      </c>
      <c r="R53" s="12" t="s">
        <v>429</v>
      </c>
      <c r="S53" s="12" t="s">
        <v>430</v>
      </c>
    </row>
    <row r="54" spans="1:19" s="11" customFormat="1" x14ac:dyDescent="0.2">
      <c r="A54" s="5" t="s">
        <v>349</v>
      </c>
      <c r="B54" s="5">
        <v>12654</v>
      </c>
      <c r="C54" s="5">
        <v>19200</v>
      </c>
      <c r="D54" s="5">
        <v>16546</v>
      </c>
      <c r="E54" s="5">
        <v>14044</v>
      </c>
      <c r="F54" s="5">
        <v>22313</v>
      </c>
      <c r="G54" s="22">
        <v>2549</v>
      </c>
      <c r="H54" s="22">
        <v>28182</v>
      </c>
      <c r="I54" s="22">
        <v>27674</v>
      </c>
      <c r="J54" s="22">
        <v>30552</v>
      </c>
      <c r="K54" s="22">
        <v>33769</v>
      </c>
      <c r="L54" s="22">
        <v>32648</v>
      </c>
      <c r="M54" s="22">
        <v>35123</v>
      </c>
      <c r="N54" s="22">
        <v>33377</v>
      </c>
      <c r="O54" s="22">
        <v>22627</v>
      </c>
      <c r="P54" s="77">
        <f t="shared" ref="P54:P76" si="24">(O54-F54)/F54</f>
        <v>1.4072513781203782E-2</v>
      </c>
      <c r="Q54" s="77">
        <f t="shared" ref="Q54:Q76" si="25">(O54-K54)/K54</f>
        <v>-0.32994758506322369</v>
      </c>
      <c r="R54" s="101">
        <f t="shared" ref="R54:R76" si="26">(O54-N54)/N54</f>
        <v>-0.32207807771818919</v>
      </c>
      <c r="S54" s="15">
        <f t="shared" ref="S54:S76" si="27">O54/O$9</f>
        <v>0.14442919605527718</v>
      </c>
    </row>
    <row r="55" spans="1:19" x14ac:dyDescent="0.2">
      <c r="A55" s="79" t="s">
        <v>37</v>
      </c>
      <c r="B55" s="79">
        <v>12654</v>
      </c>
      <c r="C55" s="79">
        <v>19200</v>
      </c>
      <c r="D55" s="79">
        <v>16546</v>
      </c>
      <c r="E55" s="79">
        <v>14044</v>
      </c>
      <c r="F55" s="79">
        <v>22313</v>
      </c>
      <c r="G55" s="4">
        <v>25493</v>
      </c>
      <c r="H55" s="4">
        <v>28182</v>
      </c>
      <c r="I55" s="4">
        <v>27674</v>
      </c>
      <c r="J55" s="4">
        <v>30552</v>
      </c>
      <c r="K55" s="4">
        <v>33769</v>
      </c>
      <c r="L55" s="4">
        <v>32648</v>
      </c>
      <c r="M55" s="4">
        <v>35123</v>
      </c>
      <c r="N55" s="23">
        <v>33377</v>
      </c>
      <c r="O55" s="23">
        <v>22627</v>
      </c>
      <c r="P55" s="93">
        <f t="shared" si="24"/>
        <v>1.4072513781203782E-2</v>
      </c>
      <c r="Q55" s="93">
        <f t="shared" si="25"/>
        <v>-0.32994758506322369</v>
      </c>
      <c r="R55" s="100">
        <f t="shared" si="26"/>
        <v>-0.32207807771818919</v>
      </c>
      <c r="S55" s="13">
        <f t="shared" si="27"/>
        <v>0.14442919605527718</v>
      </c>
    </row>
    <row r="56" spans="1:19" x14ac:dyDescent="0.2">
      <c r="A56" s="5" t="s">
        <v>350</v>
      </c>
      <c r="B56" s="79"/>
      <c r="C56" s="79"/>
      <c r="D56" s="79"/>
      <c r="E56" s="79"/>
      <c r="F56" s="79"/>
      <c r="G56" s="4"/>
      <c r="H56" s="4"/>
      <c r="I56" s="4"/>
      <c r="J56" s="4"/>
      <c r="K56" s="4"/>
      <c r="L56" s="4"/>
      <c r="M56" s="4"/>
      <c r="N56" s="23">
        <v>17</v>
      </c>
      <c r="O56" s="23">
        <v>82</v>
      </c>
      <c r="P56" s="77" t="s">
        <v>24</v>
      </c>
      <c r="Q56" s="77" t="s">
        <v>24</v>
      </c>
      <c r="R56" s="101">
        <f t="shared" ref="R56:R57" si="28">(O56-N56)/N56</f>
        <v>3.8235294117647061</v>
      </c>
      <c r="S56" s="15">
        <f t="shared" ref="S56:S57" si="29">O56/O$9</f>
        <v>5.2340982350876071E-4</v>
      </c>
    </row>
    <row r="57" spans="1:19" x14ac:dyDescent="0.2">
      <c r="A57" s="79" t="s">
        <v>37</v>
      </c>
      <c r="B57" s="79"/>
      <c r="C57" s="79"/>
      <c r="D57" s="79"/>
      <c r="E57" s="79"/>
      <c r="F57" s="79"/>
      <c r="G57" s="4"/>
      <c r="H57" s="4"/>
      <c r="I57" s="4"/>
      <c r="J57" s="4"/>
      <c r="K57" s="4"/>
      <c r="L57" s="4"/>
      <c r="M57" s="4"/>
      <c r="N57" s="23">
        <v>17</v>
      </c>
      <c r="O57" s="23">
        <v>82</v>
      </c>
      <c r="P57" s="93" t="s">
        <v>24</v>
      </c>
      <c r="Q57" s="93" t="s">
        <v>24</v>
      </c>
      <c r="R57" s="100">
        <f t="shared" si="28"/>
        <v>3.8235294117647061</v>
      </c>
      <c r="S57" s="13">
        <f t="shared" si="29"/>
        <v>5.2340982350876071E-4</v>
      </c>
    </row>
    <row r="58" spans="1:19" s="11" customFormat="1" x14ac:dyDescent="0.2">
      <c r="A58" s="5" t="s">
        <v>6</v>
      </c>
      <c r="B58" s="5">
        <v>17185</v>
      </c>
      <c r="C58" s="5">
        <v>18672</v>
      </c>
      <c r="D58" s="5">
        <v>23636</v>
      </c>
      <c r="E58" s="5">
        <v>23669</v>
      </c>
      <c r="F58" s="5">
        <v>30688</v>
      </c>
      <c r="G58" s="22">
        <v>37944</v>
      </c>
      <c r="H58" s="22">
        <v>47071</v>
      </c>
      <c r="I58" s="22">
        <v>55824</v>
      </c>
      <c r="J58" s="22">
        <v>67309</v>
      </c>
      <c r="K58" s="22">
        <v>72816</v>
      </c>
      <c r="L58" s="22">
        <v>78136</v>
      </c>
      <c r="M58" s="22">
        <v>79090</v>
      </c>
      <c r="N58" s="22">
        <v>74128</v>
      </c>
      <c r="O58" s="22">
        <v>62759</v>
      </c>
      <c r="P58" s="77">
        <f t="shared" si="24"/>
        <v>1.0450664754953076</v>
      </c>
      <c r="Q58" s="77">
        <f t="shared" si="25"/>
        <v>-0.13811524939573719</v>
      </c>
      <c r="R58" s="101">
        <f t="shared" si="26"/>
        <v>-0.15336984675156487</v>
      </c>
      <c r="S58" s="15">
        <f t="shared" si="27"/>
        <v>0.40059362333641846</v>
      </c>
    </row>
    <row r="59" spans="1:19" x14ac:dyDescent="0.2">
      <c r="A59" s="79" t="s">
        <v>37</v>
      </c>
      <c r="B59" s="79">
        <v>6883</v>
      </c>
      <c r="C59" s="79">
        <v>9182</v>
      </c>
      <c r="D59" s="79">
        <v>12112</v>
      </c>
      <c r="E59" s="79">
        <v>12506</v>
      </c>
      <c r="F59" s="79">
        <v>16761</v>
      </c>
      <c r="G59" s="17">
        <v>20967</v>
      </c>
      <c r="H59" s="17">
        <v>24887</v>
      </c>
      <c r="I59" s="17">
        <v>30433</v>
      </c>
      <c r="J59" s="17">
        <v>37485</v>
      </c>
      <c r="K59" s="17">
        <v>40741</v>
      </c>
      <c r="L59" s="17">
        <v>43219</v>
      </c>
      <c r="M59" s="17">
        <v>43080</v>
      </c>
      <c r="N59" s="17">
        <v>40972</v>
      </c>
      <c r="O59" s="17">
        <v>34551</v>
      </c>
      <c r="P59" s="93">
        <f t="shared" si="24"/>
        <v>1.0613925183461608</v>
      </c>
      <c r="Q59" s="93">
        <f t="shared" si="25"/>
        <v>-0.15193539677474779</v>
      </c>
      <c r="R59" s="100">
        <f t="shared" si="26"/>
        <v>-0.15671678219271698</v>
      </c>
      <c r="S59" s="13">
        <f t="shared" si="27"/>
        <v>0.22054064404940479</v>
      </c>
    </row>
    <row r="60" spans="1:19" x14ac:dyDescent="0.2">
      <c r="A60" s="79" t="s">
        <v>38</v>
      </c>
      <c r="B60" s="79">
        <v>10302</v>
      </c>
      <c r="C60" s="79">
        <v>9490</v>
      </c>
      <c r="D60" s="79">
        <v>11524</v>
      </c>
      <c r="E60" s="79">
        <v>11163</v>
      </c>
      <c r="F60" s="79">
        <v>13927</v>
      </c>
      <c r="G60" s="17">
        <v>16977</v>
      </c>
      <c r="H60" s="17">
        <v>22184</v>
      </c>
      <c r="I60" s="17">
        <v>25391</v>
      </c>
      <c r="J60" s="17">
        <v>29824</v>
      </c>
      <c r="K60" s="17">
        <v>32075</v>
      </c>
      <c r="L60" s="17">
        <v>34917</v>
      </c>
      <c r="M60" s="17">
        <v>36010</v>
      </c>
      <c r="N60" s="17">
        <v>33156</v>
      </c>
      <c r="O60" s="17">
        <v>28208</v>
      </c>
      <c r="P60" s="93">
        <f t="shared" si="24"/>
        <v>1.0254182523156459</v>
      </c>
      <c r="Q60" s="93">
        <f t="shared" si="25"/>
        <v>-0.12056118472330475</v>
      </c>
      <c r="R60" s="100">
        <f t="shared" si="26"/>
        <v>-0.14923392447822414</v>
      </c>
      <c r="S60" s="13">
        <f t="shared" si="27"/>
        <v>0.18005297928701369</v>
      </c>
    </row>
    <row r="61" spans="1:19" s="11" customFormat="1" x14ac:dyDescent="0.2">
      <c r="A61" s="5" t="s">
        <v>247</v>
      </c>
      <c r="B61" s="5">
        <v>20835</v>
      </c>
      <c r="C61" s="5">
        <v>20848</v>
      </c>
      <c r="D61" s="5">
        <v>23501</v>
      </c>
      <c r="E61" s="5">
        <v>23147</v>
      </c>
      <c r="F61" s="5">
        <v>21624</v>
      </c>
      <c r="G61" s="22">
        <v>21617</v>
      </c>
      <c r="H61" s="22">
        <v>21806</v>
      </c>
      <c r="I61" s="22">
        <v>22310</v>
      </c>
      <c r="J61" s="22">
        <v>23261</v>
      </c>
      <c r="K61" s="22">
        <v>22450</v>
      </c>
      <c r="L61" s="22">
        <v>24277</v>
      </c>
      <c r="M61" s="22">
        <v>23376</v>
      </c>
      <c r="N61" s="22">
        <v>23608</v>
      </c>
      <c r="O61" s="22">
        <v>18841</v>
      </c>
      <c r="P61" s="77">
        <f t="shared" si="24"/>
        <v>-0.12869959304476508</v>
      </c>
      <c r="Q61" s="77">
        <f t="shared" si="25"/>
        <v>-0.16075723830734967</v>
      </c>
      <c r="R61" s="101">
        <f t="shared" si="26"/>
        <v>-0.20192307692307693</v>
      </c>
      <c r="S61" s="15">
        <f t="shared" si="27"/>
        <v>0.12026298152108002</v>
      </c>
    </row>
    <row r="62" spans="1:19" x14ac:dyDescent="0.2">
      <c r="A62" s="79" t="s">
        <v>37</v>
      </c>
      <c r="B62" s="79">
        <v>1066</v>
      </c>
      <c r="C62" s="79">
        <v>922</v>
      </c>
      <c r="D62" s="79">
        <v>1301</v>
      </c>
      <c r="E62" s="79">
        <v>1489</v>
      </c>
      <c r="F62" s="79">
        <v>1273</v>
      </c>
      <c r="G62" s="17">
        <v>1050</v>
      </c>
      <c r="H62" s="17">
        <v>1176</v>
      </c>
      <c r="I62" s="17">
        <v>1677</v>
      </c>
      <c r="J62" s="17">
        <v>2311</v>
      </c>
      <c r="K62" s="17">
        <v>2736</v>
      </c>
      <c r="L62" s="17">
        <v>2902</v>
      </c>
      <c r="M62" s="17">
        <v>3245</v>
      </c>
      <c r="N62" s="17">
        <v>3074</v>
      </c>
      <c r="O62" s="17">
        <v>2600</v>
      </c>
      <c r="P62" s="93">
        <f t="shared" si="24"/>
        <v>1.0424194815396701</v>
      </c>
      <c r="Q62" s="93">
        <f t="shared" si="25"/>
        <v>-4.9707602339181284E-2</v>
      </c>
      <c r="R62" s="100">
        <f t="shared" si="26"/>
        <v>-0.15419648666232921</v>
      </c>
      <c r="S62" s="13">
        <f t="shared" si="27"/>
        <v>1.6595921233204608E-2</v>
      </c>
    </row>
    <row r="63" spans="1:19" x14ac:dyDescent="0.2">
      <c r="A63" s="79" t="s">
        <v>38</v>
      </c>
      <c r="B63" s="79">
        <v>2977</v>
      </c>
      <c r="C63" s="79">
        <v>3393</v>
      </c>
      <c r="D63" s="79">
        <v>3397</v>
      </c>
      <c r="E63" s="79">
        <v>2561</v>
      </c>
      <c r="F63" s="79">
        <v>2705</v>
      </c>
      <c r="G63" s="17">
        <v>2206</v>
      </c>
      <c r="H63" s="17">
        <v>2309</v>
      </c>
      <c r="I63" s="17">
        <v>2389</v>
      </c>
      <c r="J63" s="17">
        <v>3133</v>
      </c>
      <c r="K63" s="17">
        <v>2451</v>
      </c>
      <c r="L63" s="17">
        <v>2567</v>
      </c>
      <c r="M63" s="17">
        <v>2626</v>
      </c>
      <c r="N63" s="17">
        <v>2116</v>
      </c>
      <c r="O63" s="17">
        <v>1788</v>
      </c>
      <c r="P63" s="93">
        <f t="shared" si="24"/>
        <v>-0.33900184842883552</v>
      </c>
      <c r="Q63" s="93">
        <f t="shared" si="25"/>
        <v>-0.27050183598531213</v>
      </c>
      <c r="R63" s="100">
        <f t="shared" si="26"/>
        <v>-0.15500945179584122</v>
      </c>
      <c r="S63" s="13">
        <f t="shared" si="27"/>
        <v>1.1412887371142245E-2</v>
      </c>
    </row>
    <row r="64" spans="1:19" x14ac:dyDescent="0.2">
      <c r="A64" s="79" t="s">
        <v>39</v>
      </c>
      <c r="B64" s="79">
        <v>449</v>
      </c>
      <c r="C64" s="79">
        <v>488</v>
      </c>
      <c r="D64" s="79">
        <v>424</v>
      </c>
      <c r="E64" s="79">
        <v>436</v>
      </c>
      <c r="F64" s="79">
        <v>397</v>
      </c>
      <c r="G64" s="17">
        <v>524</v>
      </c>
      <c r="H64" s="17">
        <v>379</v>
      </c>
      <c r="I64" s="17">
        <v>395</v>
      </c>
      <c r="J64" s="17">
        <v>335</v>
      </c>
      <c r="K64" s="17">
        <v>359</v>
      </c>
      <c r="L64" s="17">
        <v>426</v>
      </c>
      <c r="M64" s="17">
        <v>334</v>
      </c>
      <c r="N64" s="17">
        <v>523</v>
      </c>
      <c r="O64" s="17">
        <v>615</v>
      </c>
      <c r="P64" s="93">
        <f t="shared" si="24"/>
        <v>0.54911838790931988</v>
      </c>
      <c r="Q64" s="93">
        <f t="shared" si="25"/>
        <v>0.71309192200557103</v>
      </c>
      <c r="R64" s="100">
        <f t="shared" si="26"/>
        <v>0.17590822179732313</v>
      </c>
      <c r="S64" s="13">
        <f t="shared" si="27"/>
        <v>3.9255736763157056E-3</v>
      </c>
    </row>
    <row r="65" spans="1:19" x14ac:dyDescent="0.2">
      <c r="A65" s="79" t="s">
        <v>40</v>
      </c>
      <c r="B65" s="79">
        <v>16343</v>
      </c>
      <c r="C65" s="79">
        <v>16045</v>
      </c>
      <c r="D65" s="79">
        <v>18379</v>
      </c>
      <c r="E65" s="79">
        <v>18661</v>
      </c>
      <c r="F65" s="79">
        <v>17249</v>
      </c>
      <c r="G65" s="17">
        <v>17837</v>
      </c>
      <c r="H65" s="17">
        <v>17942</v>
      </c>
      <c r="I65" s="17">
        <v>17849</v>
      </c>
      <c r="J65" s="17">
        <v>17482</v>
      </c>
      <c r="K65" s="17">
        <v>16904</v>
      </c>
      <c r="L65" s="17">
        <v>18382</v>
      </c>
      <c r="M65" s="17">
        <v>17171</v>
      </c>
      <c r="N65" s="17">
        <v>17895</v>
      </c>
      <c r="O65" s="17">
        <v>13838</v>
      </c>
      <c r="P65" s="93">
        <f t="shared" si="24"/>
        <v>-0.19775059423734709</v>
      </c>
      <c r="Q65" s="93">
        <f t="shared" si="25"/>
        <v>-0.18137718883104589</v>
      </c>
      <c r="R65" s="100">
        <f t="shared" si="26"/>
        <v>-0.22671137189158982</v>
      </c>
      <c r="S65" s="13">
        <f t="shared" si="27"/>
        <v>8.8328599240417457E-2</v>
      </c>
    </row>
    <row r="66" spans="1:19" s="11" customFormat="1" x14ac:dyDescent="0.2">
      <c r="A66" s="5" t="s">
        <v>244</v>
      </c>
      <c r="B66" s="5">
        <v>11378</v>
      </c>
      <c r="C66" s="5">
        <v>11877</v>
      </c>
      <c r="D66" s="5">
        <v>13533</v>
      </c>
      <c r="E66" s="5">
        <v>13044</v>
      </c>
      <c r="F66" s="5">
        <v>12982</v>
      </c>
      <c r="G66" s="22">
        <v>14598</v>
      </c>
      <c r="H66" s="22">
        <v>15840</v>
      </c>
      <c r="I66" s="22">
        <v>16357</v>
      </c>
      <c r="J66" s="22">
        <v>16894</v>
      </c>
      <c r="K66" s="22">
        <v>16300</v>
      </c>
      <c r="L66" s="22">
        <v>18304</v>
      </c>
      <c r="M66" s="22">
        <v>17118</v>
      </c>
      <c r="N66" s="22">
        <v>19143</v>
      </c>
      <c r="O66" s="22">
        <v>17316</v>
      </c>
      <c r="P66" s="77">
        <f t="shared" si="24"/>
        <v>0.33384686488984749</v>
      </c>
      <c r="Q66" s="77">
        <f t="shared" si="25"/>
        <v>6.2331288343558285E-2</v>
      </c>
      <c r="R66" s="101">
        <f t="shared" si="26"/>
        <v>-9.5439586271744245E-2</v>
      </c>
      <c r="S66" s="15">
        <f t="shared" si="27"/>
        <v>0.11052883541314269</v>
      </c>
    </row>
    <row r="67" spans="1:19" x14ac:dyDescent="0.2">
      <c r="A67" s="79" t="s">
        <v>37</v>
      </c>
      <c r="B67" s="79">
        <v>657</v>
      </c>
      <c r="C67" s="79">
        <v>686</v>
      </c>
      <c r="D67" s="79">
        <v>814</v>
      </c>
      <c r="E67" s="79">
        <v>704</v>
      </c>
      <c r="F67" s="79">
        <v>730</v>
      </c>
      <c r="G67" s="17">
        <v>934</v>
      </c>
      <c r="H67" s="17">
        <v>1308</v>
      </c>
      <c r="I67" s="17">
        <v>1171</v>
      </c>
      <c r="J67" s="17">
        <v>1613</v>
      </c>
      <c r="K67" s="17">
        <v>2021</v>
      </c>
      <c r="L67" s="17">
        <v>2327</v>
      </c>
      <c r="M67" s="17">
        <v>2166</v>
      </c>
      <c r="N67" s="17">
        <v>1916</v>
      </c>
      <c r="O67" s="17">
        <v>1679</v>
      </c>
      <c r="P67" s="93">
        <f t="shared" si="24"/>
        <v>1.3</v>
      </c>
      <c r="Q67" s="93">
        <f t="shared" si="25"/>
        <v>-0.16922315685304304</v>
      </c>
      <c r="R67" s="100">
        <f t="shared" si="26"/>
        <v>-0.12369519832985386</v>
      </c>
      <c r="S67" s="13">
        <f t="shared" si="27"/>
        <v>1.0717135288673284E-2</v>
      </c>
    </row>
    <row r="68" spans="1:19" x14ac:dyDescent="0.2">
      <c r="A68" s="79" t="s">
        <v>38</v>
      </c>
      <c r="B68" s="79">
        <v>803</v>
      </c>
      <c r="C68" s="79">
        <v>1059</v>
      </c>
      <c r="D68" s="79">
        <v>840</v>
      </c>
      <c r="E68" s="79">
        <v>703</v>
      </c>
      <c r="F68" s="79">
        <v>775</v>
      </c>
      <c r="G68" s="17">
        <v>1058</v>
      </c>
      <c r="H68" s="17">
        <v>1054</v>
      </c>
      <c r="I68" s="17">
        <v>1196</v>
      </c>
      <c r="J68" s="17">
        <v>1352</v>
      </c>
      <c r="K68" s="17">
        <v>1103</v>
      </c>
      <c r="L68" s="17">
        <v>1040</v>
      </c>
      <c r="M68" s="17">
        <v>1181</v>
      </c>
      <c r="N68" s="17">
        <v>996</v>
      </c>
      <c r="O68" s="17">
        <v>1107</v>
      </c>
      <c r="P68" s="93">
        <f t="shared" si="24"/>
        <v>0.42838709677419357</v>
      </c>
      <c r="Q68" s="93">
        <f t="shared" si="25"/>
        <v>3.6264732547597461E-3</v>
      </c>
      <c r="R68" s="100">
        <f t="shared" si="26"/>
        <v>0.11144578313253012</v>
      </c>
      <c r="S68" s="13">
        <f t="shared" si="27"/>
        <v>7.0660326173682701E-3</v>
      </c>
    </row>
    <row r="69" spans="1:19" x14ac:dyDescent="0.2">
      <c r="A69" s="79" t="s">
        <v>39</v>
      </c>
      <c r="B69" s="79">
        <v>476</v>
      </c>
      <c r="C69" s="79">
        <v>313</v>
      </c>
      <c r="D69" s="79">
        <v>413</v>
      </c>
      <c r="E69" s="79">
        <v>465</v>
      </c>
      <c r="F69" s="79">
        <v>466</v>
      </c>
      <c r="G69" s="17">
        <v>449</v>
      </c>
      <c r="H69" s="17">
        <v>358</v>
      </c>
      <c r="I69" s="17">
        <v>392</v>
      </c>
      <c r="J69" s="17">
        <v>386</v>
      </c>
      <c r="K69" s="17">
        <v>469</v>
      </c>
      <c r="L69" s="17">
        <v>519</v>
      </c>
      <c r="M69" s="17">
        <v>400</v>
      </c>
      <c r="N69" s="17">
        <v>467</v>
      </c>
      <c r="O69" s="17">
        <v>555</v>
      </c>
      <c r="P69" s="93">
        <f t="shared" si="24"/>
        <v>0.19098712446351931</v>
      </c>
      <c r="Q69" s="93">
        <f t="shared" si="25"/>
        <v>0.18336886993603413</v>
      </c>
      <c r="R69" s="100">
        <f t="shared" si="26"/>
        <v>0.18843683083511778</v>
      </c>
      <c r="S69" s="13">
        <f t="shared" si="27"/>
        <v>3.5425908786263683E-3</v>
      </c>
    </row>
    <row r="70" spans="1:19" x14ac:dyDescent="0.2">
      <c r="A70" s="79" t="s">
        <v>40</v>
      </c>
      <c r="B70" s="79">
        <v>9442</v>
      </c>
      <c r="C70" s="79">
        <v>9819</v>
      </c>
      <c r="D70" s="79">
        <v>11466</v>
      </c>
      <c r="E70" s="79">
        <v>11172</v>
      </c>
      <c r="F70" s="79">
        <v>11011</v>
      </c>
      <c r="G70" s="17">
        <v>12157</v>
      </c>
      <c r="H70" s="17">
        <v>13120</v>
      </c>
      <c r="I70" s="17">
        <v>13598</v>
      </c>
      <c r="J70" s="17">
        <v>13543</v>
      </c>
      <c r="K70" s="17">
        <v>12707</v>
      </c>
      <c r="L70" s="17">
        <v>14418</v>
      </c>
      <c r="M70" s="17">
        <v>13371</v>
      </c>
      <c r="N70" s="17">
        <v>15764</v>
      </c>
      <c r="O70" s="17">
        <v>13975</v>
      </c>
      <c r="P70" s="93">
        <f t="shared" si="24"/>
        <v>0.26918536009445099</v>
      </c>
      <c r="Q70" s="93">
        <f t="shared" si="25"/>
        <v>9.9787518690485563E-2</v>
      </c>
      <c r="R70" s="100">
        <f t="shared" si="26"/>
        <v>-0.113486424765288</v>
      </c>
      <c r="S70" s="13">
        <f t="shared" si="27"/>
        <v>8.9203076628474764E-2</v>
      </c>
    </row>
    <row r="71" spans="1:19" s="11" customFormat="1" x14ac:dyDescent="0.2">
      <c r="A71" s="5" t="s">
        <v>245</v>
      </c>
      <c r="B71" s="5">
        <v>22742</v>
      </c>
      <c r="C71" s="5">
        <v>25802</v>
      </c>
      <c r="D71" s="5">
        <v>28297</v>
      </c>
      <c r="E71" s="5">
        <v>27745</v>
      </c>
      <c r="F71" s="5">
        <v>30231</v>
      </c>
      <c r="G71" s="22">
        <v>35492</v>
      </c>
      <c r="H71" s="22">
        <v>43333</v>
      </c>
      <c r="I71" s="22">
        <v>48486</v>
      </c>
      <c r="J71" s="22">
        <v>49746</v>
      </c>
      <c r="K71" s="22">
        <v>50618</v>
      </c>
      <c r="L71" s="22">
        <v>50996</v>
      </c>
      <c r="M71" s="22">
        <v>53309</v>
      </c>
      <c r="N71" s="22">
        <v>49566</v>
      </c>
      <c r="O71" s="22">
        <v>35040</v>
      </c>
      <c r="P71" s="77">
        <f t="shared" si="24"/>
        <v>0.15907512156395753</v>
      </c>
      <c r="Q71" s="77">
        <f t="shared" si="25"/>
        <v>-0.30775613418151648</v>
      </c>
      <c r="R71" s="101">
        <f t="shared" si="26"/>
        <v>-0.2930637937295727</v>
      </c>
      <c r="S71" s="15">
        <f t="shared" si="27"/>
        <v>0.22366195385057289</v>
      </c>
    </row>
    <row r="72" spans="1:19" x14ac:dyDescent="0.2">
      <c r="A72" s="79" t="s">
        <v>37</v>
      </c>
      <c r="B72" s="79">
        <v>1059</v>
      </c>
      <c r="C72" s="79">
        <v>1714</v>
      </c>
      <c r="D72" s="79">
        <v>2171</v>
      </c>
      <c r="E72" s="79">
        <v>1775</v>
      </c>
      <c r="F72" s="79">
        <v>1677</v>
      </c>
      <c r="G72" s="17">
        <v>2486</v>
      </c>
      <c r="H72" s="17">
        <v>2769</v>
      </c>
      <c r="I72" s="17">
        <v>2601</v>
      </c>
      <c r="J72" s="17">
        <v>2414</v>
      </c>
      <c r="K72" s="17">
        <v>2188</v>
      </c>
      <c r="L72" s="17">
        <v>1729</v>
      </c>
      <c r="M72" s="17">
        <v>1719</v>
      </c>
      <c r="N72" s="17">
        <v>1584</v>
      </c>
      <c r="O72" s="17">
        <v>1113</v>
      </c>
      <c r="P72" s="93">
        <f t="shared" si="24"/>
        <v>-0.3363148479427549</v>
      </c>
      <c r="Q72" s="93">
        <f t="shared" si="25"/>
        <v>-0.49131627056672761</v>
      </c>
      <c r="R72" s="100">
        <f t="shared" si="26"/>
        <v>-0.29734848484848486</v>
      </c>
      <c r="S72" s="13">
        <f t="shared" si="27"/>
        <v>7.1043308971372038E-3</v>
      </c>
    </row>
    <row r="73" spans="1:19" x14ac:dyDescent="0.2">
      <c r="A73" s="79" t="s">
        <v>38</v>
      </c>
      <c r="B73" s="79">
        <v>2555</v>
      </c>
      <c r="C73" s="79">
        <v>2246</v>
      </c>
      <c r="D73" s="79">
        <v>2197</v>
      </c>
      <c r="E73" s="79">
        <v>2353</v>
      </c>
      <c r="F73" s="79">
        <v>2812</v>
      </c>
      <c r="G73" s="17">
        <v>3466</v>
      </c>
      <c r="H73" s="17">
        <v>4145</v>
      </c>
      <c r="I73" s="17">
        <v>4545</v>
      </c>
      <c r="J73" s="17">
        <v>4296</v>
      </c>
      <c r="K73" s="17">
        <v>4157</v>
      </c>
      <c r="L73" s="17">
        <v>4197</v>
      </c>
      <c r="M73" s="17">
        <v>4093</v>
      </c>
      <c r="N73" s="17">
        <v>3139</v>
      </c>
      <c r="O73" s="17">
        <v>2283</v>
      </c>
      <c r="P73" s="93">
        <f t="shared" si="24"/>
        <v>-0.18812233285917496</v>
      </c>
      <c r="Q73" s="93">
        <f t="shared" si="25"/>
        <v>-0.45080586961751262</v>
      </c>
      <c r="R73" s="100">
        <f t="shared" si="26"/>
        <v>-0.27269831156419244</v>
      </c>
      <c r="S73" s="13">
        <f t="shared" si="27"/>
        <v>1.4572495452079278E-2</v>
      </c>
    </row>
    <row r="74" spans="1:19" x14ac:dyDescent="0.2">
      <c r="A74" s="79" t="s">
        <v>39</v>
      </c>
      <c r="B74" s="79">
        <v>507</v>
      </c>
      <c r="C74" s="79">
        <v>323</v>
      </c>
      <c r="D74" s="79">
        <v>355</v>
      </c>
      <c r="E74" s="79">
        <v>416</v>
      </c>
      <c r="F74" s="79">
        <v>413</v>
      </c>
      <c r="G74" s="17">
        <v>389</v>
      </c>
      <c r="H74" s="17">
        <v>626</v>
      </c>
      <c r="I74" s="17">
        <v>632</v>
      </c>
      <c r="J74" s="17">
        <v>807</v>
      </c>
      <c r="K74" s="17">
        <v>1037</v>
      </c>
      <c r="L74" s="17">
        <v>1419</v>
      </c>
      <c r="M74" s="17">
        <v>1946</v>
      </c>
      <c r="N74" s="17">
        <v>1582</v>
      </c>
      <c r="O74" s="17">
        <v>1233</v>
      </c>
      <c r="P74" s="93">
        <f t="shared" si="24"/>
        <v>1.9854721549636805</v>
      </c>
      <c r="Q74" s="93">
        <f t="shared" si="25"/>
        <v>0.18900675024108005</v>
      </c>
      <c r="R74" s="100">
        <f t="shared" si="26"/>
        <v>-0.22060682680151708</v>
      </c>
      <c r="S74" s="13">
        <f t="shared" si="27"/>
        <v>7.8702964925158776E-3</v>
      </c>
    </row>
    <row r="75" spans="1:19" x14ac:dyDescent="0.2">
      <c r="A75" s="79" t="s">
        <v>40</v>
      </c>
      <c r="B75" s="79">
        <v>18621</v>
      </c>
      <c r="C75" s="79">
        <v>21519</v>
      </c>
      <c r="D75" s="79">
        <v>23574</v>
      </c>
      <c r="E75" s="79">
        <v>23201</v>
      </c>
      <c r="F75" s="79">
        <v>25329</v>
      </c>
      <c r="G75" s="17">
        <v>29151</v>
      </c>
      <c r="H75" s="17">
        <v>35793</v>
      </c>
      <c r="I75" s="17">
        <v>40708</v>
      </c>
      <c r="J75" s="17">
        <v>42229</v>
      </c>
      <c r="K75" s="17">
        <v>43236</v>
      </c>
      <c r="L75" s="17">
        <v>43651</v>
      </c>
      <c r="M75" s="17">
        <v>45551</v>
      </c>
      <c r="N75" s="17">
        <v>43261</v>
      </c>
      <c r="O75" s="17">
        <v>30411</v>
      </c>
      <c r="P75" s="93">
        <f t="shared" si="24"/>
        <v>0.20063958308658059</v>
      </c>
      <c r="Q75" s="93">
        <f t="shared" si="25"/>
        <v>-0.2966278101582015</v>
      </c>
      <c r="R75" s="100">
        <f t="shared" si="26"/>
        <v>-0.29703428029865236</v>
      </c>
      <c r="S75" s="13">
        <f t="shared" si="27"/>
        <v>0.19411483100884053</v>
      </c>
    </row>
    <row r="76" spans="1:19" x14ac:dyDescent="0.2">
      <c r="A76" s="5" t="s">
        <v>4</v>
      </c>
      <c r="B76" s="5">
        <v>84794</v>
      </c>
      <c r="C76" s="5">
        <v>96399</v>
      </c>
      <c r="D76" s="5">
        <v>105513</v>
      </c>
      <c r="E76" s="5">
        <v>101649</v>
      </c>
      <c r="F76" s="5">
        <v>117838</v>
      </c>
      <c r="G76" s="5">
        <v>135144</v>
      </c>
      <c r="H76" s="5">
        <v>156232</v>
      </c>
      <c r="I76" s="5">
        <v>170651</v>
      </c>
      <c r="J76" s="5">
        <v>187762</v>
      </c>
      <c r="K76" s="5">
        <v>195953</v>
      </c>
      <c r="L76" s="5">
        <v>204361</v>
      </c>
      <c r="M76" s="5">
        <v>208016</v>
      </c>
      <c r="N76" s="5">
        <v>199839</v>
      </c>
      <c r="O76" s="5">
        <v>156665</v>
      </c>
      <c r="P76" s="77">
        <f t="shared" si="24"/>
        <v>0.3294947300531238</v>
      </c>
      <c r="Q76" s="77">
        <f t="shared" si="25"/>
        <v>-0.20049705796798212</v>
      </c>
      <c r="R76" s="101">
        <f t="shared" si="26"/>
        <v>-0.21604391535185824</v>
      </c>
      <c r="S76" s="15">
        <f t="shared" si="27"/>
        <v>1</v>
      </c>
    </row>
    <row r="77" spans="1:19" x14ac:dyDescent="0.2">
      <c r="A77" s="130" t="s">
        <v>373</v>
      </c>
      <c r="B77" s="71"/>
      <c r="C77" s="71"/>
      <c r="D77" s="71"/>
      <c r="E77" s="71"/>
      <c r="F77" s="71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</row>
    <row r="78" spans="1:19" x14ac:dyDescent="0.2">
      <c r="A78" s="71"/>
      <c r="B78" s="71"/>
      <c r="C78" s="71"/>
      <c r="D78" s="71"/>
      <c r="E78" s="71"/>
      <c r="F78" s="71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</row>
    <row r="79" spans="1:19" ht="15.75" x14ac:dyDescent="0.2">
      <c r="A79" s="38" t="s">
        <v>401</v>
      </c>
      <c r="B79" s="38"/>
      <c r="C79" s="38"/>
      <c r="D79" s="38"/>
      <c r="E79" s="38"/>
      <c r="F79" s="38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</row>
    <row r="80" spans="1:19" ht="25.5" x14ac:dyDescent="0.2">
      <c r="A80" s="82" t="s">
        <v>41</v>
      </c>
      <c r="B80" s="3">
        <v>2007</v>
      </c>
      <c r="C80" s="3">
        <v>2008</v>
      </c>
      <c r="D80" s="3">
        <v>2009</v>
      </c>
      <c r="E80" s="3">
        <v>2010</v>
      </c>
      <c r="F80" s="3">
        <v>2011</v>
      </c>
      <c r="G80" s="3">
        <v>2012</v>
      </c>
      <c r="H80" s="3">
        <v>2013</v>
      </c>
      <c r="I80" s="3">
        <v>2014</v>
      </c>
      <c r="J80" s="3">
        <v>2015</v>
      </c>
      <c r="K80" s="3">
        <v>2016</v>
      </c>
      <c r="L80" s="3">
        <v>2017</v>
      </c>
      <c r="M80" s="3">
        <v>2018</v>
      </c>
      <c r="N80" s="3">
        <v>2019</v>
      </c>
      <c r="O80" s="3">
        <v>2020</v>
      </c>
      <c r="P80" s="12" t="s">
        <v>427</v>
      </c>
      <c r="Q80" s="12" t="s">
        <v>428</v>
      </c>
      <c r="R80" s="12" t="s">
        <v>429</v>
      </c>
      <c r="S80" s="12" t="s">
        <v>430</v>
      </c>
    </row>
    <row r="81" spans="1:19" x14ac:dyDescent="0.2">
      <c r="A81" s="4" t="s">
        <v>42</v>
      </c>
      <c r="B81" s="4">
        <v>63610</v>
      </c>
      <c r="C81" s="4">
        <v>74061</v>
      </c>
      <c r="D81" s="4">
        <v>76237</v>
      </c>
      <c r="E81" s="4">
        <v>73083</v>
      </c>
      <c r="F81" s="4">
        <v>82494</v>
      </c>
      <c r="G81" s="17">
        <v>93708</v>
      </c>
      <c r="H81" s="17">
        <v>104570</v>
      </c>
      <c r="I81" s="17">
        <v>111147</v>
      </c>
      <c r="J81" s="17">
        <v>118292</v>
      </c>
      <c r="K81" s="17">
        <v>123509</v>
      </c>
      <c r="L81" s="17">
        <v>128408</v>
      </c>
      <c r="M81" s="17">
        <v>128828</v>
      </c>
      <c r="N81" s="17">
        <v>127755</v>
      </c>
      <c r="O81" s="17">
        <v>92789</v>
      </c>
      <c r="P81" s="93">
        <f t="shared" ref="P81:P86" si="30">(O81-F81)/F81</f>
        <v>0.12479695493005552</v>
      </c>
      <c r="Q81" s="93">
        <f t="shared" ref="Q81:Q86" si="31">(O81-K81)/K81</f>
        <v>-0.24872681343060019</v>
      </c>
      <c r="R81" s="100">
        <f t="shared" ref="R81:R86" si="32">(O81-N81)/N81</f>
        <v>-0.27369574576337519</v>
      </c>
      <c r="S81" s="13">
        <f t="shared" ref="S81:S86" si="33">O81/O$9</f>
        <v>0.59227651357993172</v>
      </c>
    </row>
    <row r="82" spans="1:19" x14ac:dyDescent="0.2">
      <c r="A82" s="4" t="s">
        <v>43</v>
      </c>
      <c r="B82" s="4">
        <v>19819</v>
      </c>
      <c r="C82" s="4">
        <v>20930</v>
      </c>
      <c r="D82" s="4">
        <v>27350</v>
      </c>
      <c r="E82" s="4">
        <v>26781</v>
      </c>
      <c r="F82" s="4">
        <v>32873</v>
      </c>
      <c r="G82" s="17">
        <v>39410</v>
      </c>
      <c r="H82" s="17">
        <v>48204</v>
      </c>
      <c r="I82" s="17">
        <v>55029</v>
      </c>
      <c r="J82" s="17">
        <v>61897</v>
      </c>
      <c r="K82" s="17">
        <v>64572</v>
      </c>
      <c r="L82" s="17">
        <v>68279</v>
      </c>
      <c r="M82" s="17">
        <v>69711</v>
      </c>
      <c r="N82" s="17">
        <v>61058</v>
      </c>
      <c r="O82" s="17">
        <v>51381</v>
      </c>
      <c r="P82" s="93">
        <f t="shared" si="30"/>
        <v>0.56301524047090312</v>
      </c>
      <c r="Q82" s="93">
        <f t="shared" si="31"/>
        <v>-0.20428359041070432</v>
      </c>
      <c r="R82" s="100">
        <f t="shared" si="32"/>
        <v>-0.15848865013593633</v>
      </c>
      <c r="S82" s="13">
        <f t="shared" si="33"/>
        <v>0.32796731880126384</v>
      </c>
    </row>
    <row r="83" spans="1:19" x14ac:dyDescent="0.2">
      <c r="A83" s="4" t="s">
        <v>235</v>
      </c>
      <c r="B83" s="4">
        <v>156</v>
      </c>
      <c r="C83" s="4">
        <v>3</v>
      </c>
      <c r="D83" s="4">
        <v>43</v>
      </c>
      <c r="E83" s="4">
        <v>95</v>
      </c>
      <c r="F83" s="4">
        <v>914</v>
      </c>
      <c r="G83" s="17">
        <v>391</v>
      </c>
      <c r="H83" s="17">
        <v>612</v>
      </c>
      <c r="I83" s="17">
        <v>716</v>
      </c>
      <c r="J83" s="17">
        <v>1418</v>
      </c>
      <c r="K83" s="17">
        <v>1587</v>
      </c>
      <c r="L83" s="17">
        <v>1979</v>
      </c>
      <c r="M83" s="17">
        <v>2503</v>
      </c>
      <c r="N83" s="17">
        <v>1986</v>
      </c>
      <c r="O83" s="17">
        <v>2456</v>
      </c>
      <c r="P83" s="93">
        <f t="shared" si="30"/>
        <v>1.6870897155361051</v>
      </c>
      <c r="Q83" s="93">
        <f t="shared" si="31"/>
        <v>0.54757403906742286</v>
      </c>
      <c r="R83" s="100">
        <f t="shared" si="32"/>
        <v>0.2366565961732125</v>
      </c>
      <c r="S83" s="13">
        <f t="shared" si="33"/>
        <v>1.5676762518750199E-2</v>
      </c>
    </row>
    <row r="84" spans="1:19" x14ac:dyDescent="0.2">
      <c r="A84" s="4" t="s">
        <v>236</v>
      </c>
      <c r="B84" s="4">
        <v>624</v>
      </c>
      <c r="C84" s="4">
        <v>663</v>
      </c>
      <c r="D84" s="4">
        <v>722</v>
      </c>
      <c r="E84" s="4">
        <v>709</v>
      </c>
      <c r="F84" s="4">
        <v>731</v>
      </c>
      <c r="G84" s="17">
        <v>991</v>
      </c>
      <c r="H84" s="17">
        <v>1722</v>
      </c>
      <c r="I84" s="17">
        <v>1721</v>
      </c>
      <c r="J84" s="17">
        <v>3212</v>
      </c>
      <c r="K84" s="17">
        <v>3770</v>
      </c>
      <c r="L84" s="17">
        <v>3554</v>
      </c>
      <c r="M84" s="17">
        <v>4749</v>
      </c>
      <c r="N84" s="17">
        <v>6056</v>
      </c>
      <c r="O84" s="17">
        <v>7491</v>
      </c>
      <c r="P84" s="93">
        <f t="shared" si="30"/>
        <v>9.2476060191518474</v>
      </c>
      <c r="Q84" s="93">
        <f t="shared" si="31"/>
        <v>0.98700265251989394</v>
      </c>
      <c r="R84" s="100">
        <f t="shared" si="32"/>
        <v>0.2369550858652576</v>
      </c>
      <c r="S84" s="13">
        <f t="shared" si="33"/>
        <v>4.7815402291513737E-2</v>
      </c>
    </row>
    <row r="85" spans="1:19" x14ac:dyDescent="0.2">
      <c r="A85" s="4" t="s">
        <v>44</v>
      </c>
      <c r="B85" s="4">
        <v>585</v>
      </c>
      <c r="C85" s="4">
        <v>742</v>
      </c>
      <c r="D85" s="4">
        <v>1161</v>
      </c>
      <c r="E85" s="4">
        <v>981</v>
      </c>
      <c r="F85" s="4">
        <v>826</v>
      </c>
      <c r="G85" s="17">
        <v>644</v>
      </c>
      <c r="H85" s="17">
        <v>1124</v>
      </c>
      <c r="I85" s="17">
        <v>2038</v>
      </c>
      <c r="J85" s="17">
        <v>2943</v>
      </c>
      <c r="K85" s="17">
        <v>2515</v>
      </c>
      <c r="L85" s="17">
        <v>2141</v>
      </c>
      <c r="M85" s="17">
        <v>2225</v>
      </c>
      <c r="N85" s="17">
        <v>2984</v>
      </c>
      <c r="O85" s="17">
        <v>2548</v>
      </c>
      <c r="P85" s="93">
        <f t="shared" si="30"/>
        <v>2.0847457627118646</v>
      </c>
      <c r="Q85" s="93">
        <f t="shared" si="31"/>
        <v>1.3121272365805169E-2</v>
      </c>
      <c r="R85" s="100">
        <f t="shared" si="32"/>
        <v>-0.14611260053619302</v>
      </c>
      <c r="S85" s="13">
        <f t="shared" si="33"/>
        <v>1.6264002808540515E-2</v>
      </c>
    </row>
    <row r="86" spans="1:19" x14ac:dyDescent="0.2">
      <c r="A86" s="5" t="s">
        <v>4</v>
      </c>
      <c r="B86" s="5">
        <v>84794</v>
      </c>
      <c r="C86" s="5">
        <v>96399</v>
      </c>
      <c r="D86" s="5">
        <v>105513</v>
      </c>
      <c r="E86" s="5">
        <v>101649</v>
      </c>
      <c r="F86" s="5">
        <v>117838</v>
      </c>
      <c r="G86" s="5">
        <v>135144</v>
      </c>
      <c r="H86" s="5">
        <v>156232</v>
      </c>
      <c r="I86" s="5">
        <v>170651</v>
      </c>
      <c r="J86" s="5">
        <v>187762</v>
      </c>
      <c r="K86" s="5">
        <v>195953</v>
      </c>
      <c r="L86" s="5">
        <v>204361</v>
      </c>
      <c r="M86" s="5">
        <v>208016</v>
      </c>
      <c r="N86" s="5">
        <v>199839</v>
      </c>
      <c r="O86" s="5">
        <v>156665</v>
      </c>
      <c r="P86" s="77">
        <f t="shared" si="30"/>
        <v>0.3294947300531238</v>
      </c>
      <c r="Q86" s="77">
        <f t="shared" si="31"/>
        <v>-0.20049705796798212</v>
      </c>
      <c r="R86" s="101">
        <f t="shared" si="32"/>
        <v>-0.21604391535185824</v>
      </c>
      <c r="S86" s="15">
        <f t="shared" si="33"/>
        <v>1</v>
      </c>
    </row>
    <row r="87" spans="1:19" x14ac:dyDescent="0.2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37"/>
      <c r="Q87" s="37"/>
      <c r="R87" s="37"/>
      <c r="S87" s="37"/>
    </row>
    <row r="88" spans="1:19" ht="15.75" x14ac:dyDescent="0.2">
      <c r="A88" s="38" t="s">
        <v>402</v>
      </c>
      <c r="B88" s="38"/>
      <c r="C88" s="38"/>
      <c r="D88" s="38"/>
      <c r="E88" s="38"/>
      <c r="F88" s="38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</row>
    <row r="89" spans="1:19" ht="25.5" x14ac:dyDescent="0.2">
      <c r="A89" s="82" t="s">
        <v>10</v>
      </c>
      <c r="B89" s="3">
        <v>2007</v>
      </c>
      <c r="C89" s="3">
        <v>2008</v>
      </c>
      <c r="D89" s="3">
        <v>2009</v>
      </c>
      <c r="E89" s="3">
        <v>2010</v>
      </c>
      <c r="F89" s="3">
        <v>2011</v>
      </c>
      <c r="G89" s="3">
        <v>2012</v>
      </c>
      <c r="H89" s="3">
        <v>2013</v>
      </c>
      <c r="I89" s="3">
        <v>2014</v>
      </c>
      <c r="J89" s="3">
        <v>2015</v>
      </c>
      <c r="K89" s="3">
        <v>2016</v>
      </c>
      <c r="L89" s="3">
        <v>2017</v>
      </c>
      <c r="M89" s="3">
        <v>2018</v>
      </c>
      <c r="N89" s="3">
        <v>2019</v>
      </c>
      <c r="O89" s="3">
        <v>2020</v>
      </c>
      <c r="P89" s="12" t="s">
        <v>427</v>
      </c>
      <c r="Q89" s="12" t="s">
        <v>428</v>
      </c>
      <c r="R89" s="12" t="s">
        <v>429</v>
      </c>
      <c r="S89" s="12" t="s">
        <v>430</v>
      </c>
    </row>
    <row r="90" spans="1:19" x14ac:dyDescent="0.2">
      <c r="A90" s="4" t="s">
        <v>11</v>
      </c>
      <c r="B90" s="4">
        <v>15173</v>
      </c>
      <c r="C90" s="4">
        <v>15601</v>
      </c>
      <c r="D90" s="4">
        <v>17620</v>
      </c>
      <c r="E90" s="4">
        <v>18023</v>
      </c>
      <c r="F90" s="4">
        <v>21873</v>
      </c>
      <c r="G90" s="17">
        <v>25543</v>
      </c>
      <c r="H90" s="17">
        <v>29993</v>
      </c>
      <c r="I90" s="17">
        <v>33736</v>
      </c>
      <c r="J90" s="17">
        <v>37242</v>
      </c>
      <c r="K90" s="17">
        <v>41461</v>
      </c>
      <c r="L90" s="17">
        <v>43669</v>
      </c>
      <c r="M90" s="17">
        <v>46715</v>
      </c>
      <c r="N90" s="17">
        <v>45978</v>
      </c>
      <c r="O90" s="17">
        <v>40326</v>
      </c>
      <c r="P90" s="93">
        <f t="shared" ref="P90:P100" si="34">(O90-F90)/F90</f>
        <v>0.84364284734604311</v>
      </c>
      <c r="Q90" s="93">
        <f t="shared" ref="Q90:Q100" si="35">(O90-K90)/K90</f>
        <v>-2.7375123610139648E-2</v>
      </c>
      <c r="R90" s="100">
        <f t="shared" ref="R90:R100" si="36">(O90-N90)/N90</f>
        <v>-0.12292835704032364</v>
      </c>
      <c r="S90" s="13">
        <f t="shared" ref="S90:S100" si="37">O90/O$9</f>
        <v>0.2574027383270035</v>
      </c>
    </row>
    <row r="91" spans="1:19" x14ac:dyDescent="0.2">
      <c r="A91" s="4" t="s">
        <v>12</v>
      </c>
      <c r="B91" s="4">
        <v>2703</v>
      </c>
      <c r="C91" s="4">
        <v>3322</v>
      </c>
      <c r="D91" s="4">
        <v>3229</v>
      </c>
      <c r="E91" s="4">
        <v>3003</v>
      </c>
      <c r="F91" s="4">
        <v>3201</v>
      </c>
      <c r="G91" s="17">
        <v>3532</v>
      </c>
      <c r="H91" s="17">
        <v>3713</v>
      </c>
      <c r="I91" s="17">
        <v>3980</v>
      </c>
      <c r="J91" s="17">
        <v>4029</v>
      </c>
      <c r="K91" s="17">
        <v>4003</v>
      </c>
      <c r="L91" s="17">
        <v>3913</v>
      </c>
      <c r="M91" s="17">
        <v>3851</v>
      </c>
      <c r="N91" s="17">
        <v>3876</v>
      </c>
      <c r="O91" s="17">
        <v>3037</v>
      </c>
      <c r="P91" s="93">
        <f t="shared" si="34"/>
        <v>-5.1233989378319272E-2</v>
      </c>
      <c r="Q91" s="93">
        <f t="shared" si="35"/>
        <v>-0.24131901074194353</v>
      </c>
      <c r="R91" s="100">
        <f t="shared" si="36"/>
        <v>-0.21646026831785345</v>
      </c>
      <c r="S91" s="13">
        <f t="shared" si="37"/>
        <v>1.9385312609708615E-2</v>
      </c>
    </row>
    <row r="92" spans="1:19" x14ac:dyDescent="0.2">
      <c r="A92" s="4" t="s">
        <v>13</v>
      </c>
      <c r="B92" s="4">
        <v>4880</v>
      </c>
      <c r="C92" s="4">
        <v>4987</v>
      </c>
      <c r="D92" s="4">
        <v>5645</v>
      </c>
      <c r="E92" s="4">
        <v>5231</v>
      </c>
      <c r="F92" s="4">
        <v>5909</v>
      </c>
      <c r="G92" s="17">
        <v>6405</v>
      </c>
      <c r="H92" s="17">
        <v>7411</v>
      </c>
      <c r="I92" s="17">
        <v>7228</v>
      </c>
      <c r="J92" s="17">
        <v>7353</v>
      </c>
      <c r="K92" s="17">
        <v>6764</v>
      </c>
      <c r="L92" s="17">
        <v>7403</v>
      </c>
      <c r="M92" s="17">
        <v>7300</v>
      </c>
      <c r="N92" s="17">
        <v>6663</v>
      </c>
      <c r="O92" s="17">
        <v>5745</v>
      </c>
      <c r="P92" s="93">
        <f t="shared" si="34"/>
        <v>-2.7754273142663734E-2</v>
      </c>
      <c r="Q92" s="93">
        <f t="shared" si="35"/>
        <v>-0.15065050266114724</v>
      </c>
      <c r="R92" s="100">
        <f t="shared" si="36"/>
        <v>-0.13777577667717245</v>
      </c>
      <c r="S92" s="13">
        <f t="shared" si="37"/>
        <v>3.6670602878754031E-2</v>
      </c>
    </row>
    <row r="93" spans="1:19" x14ac:dyDescent="0.2">
      <c r="A93" s="4" t="s">
        <v>14</v>
      </c>
      <c r="B93" s="4">
        <v>1139</v>
      </c>
      <c r="C93" s="4">
        <v>1128</v>
      </c>
      <c r="D93" s="4">
        <v>1098</v>
      </c>
      <c r="E93" s="4">
        <v>1110</v>
      </c>
      <c r="F93" s="4">
        <v>1208</v>
      </c>
      <c r="G93" s="17">
        <v>1395</v>
      </c>
      <c r="H93" s="17">
        <v>1309</v>
      </c>
      <c r="I93" s="17">
        <v>1443</v>
      </c>
      <c r="J93" s="17">
        <v>1659</v>
      </c>
      <c r="K93" s="17">
        <v>1584</v>
      </c>
      <c r="L93" s="17">
        <v>1668</v>
      </c>
      <c r="M93" s="17">
        <v>1562</v>
      </c>
      <c r="N93" s="17">
        <v>1532</v>
      </c>
      <c r="O93" s="17">
        <v>1248</v>
      </c>
      <c r="P93" s="93">
        <f t="shared" si="34"/>
        <v>3.3112582781456956E-2</v>
      </c>
      <c r="Q93" s="93">
        <f t="shared" si="35"/>
        <v>-0.21212121212121213</v>
      </c>
      <c r="R93" s="100">
        <f t="shared" si="36"/>
        <v>-0.18537859007832899</v>
      </c>
      <c r="S93" s="13">
        <f t="shared" si="37"/>
        <v>7.9660421919382114E-3</v>
      </c>
    </row>
    <row r="94" spans="1:19" x14ac:dyDescent="0.2">
      <c r="A94" s="4" t="s">
        <v>15</v>
      </c>
      <c r="B94" s="4">
        <v>9201</v>
      </c>
      <c r="C94" s="4">
        <v>10109</v>
      </c>
      <c r="D94" s="4">
        <v>10986</v>
      </c>
      <c r="E94" s="4">
        <v>9895</v>
      </c>
      <c r="F94" s="4">
        <v>11521</v>
      </c>
      <c r="G94" s="17">
        <v>13013</v>
      </c>
      <c r="H94" s="17">
        <v>14427</v>
      </c>
      <c r="I94" s="17">
        <v>15704</v>
      </c>
      <c r="J94" s="17">
        <v>16738</v>
      </c>
      <c r="K94" s="17">
        <v>16777</v>
      </c>
      <c r="L94" s="17">
        <v>17923</v>
      </c>
      <c r="M94" s="17">
        <v>18244</v>
      </c>
      <c r="N94" s="17">
        <v>17107</v>
      </c>
      <c r="O94" s="17">
        <v>16435</v>
      </c>
      <c r="P94" s="93">
        <f t="shared" si="34"/>
        <v>0.42652547521916501</v>
      </c>
      <c r="Q94" s="93">
        <f t="shared" si="35"/>
        <v>-2.0385050962627407E-2</v>
      </c>
      <c r="R94" s="100">
        <f t="shared" si="36"/>
        <v>-3.9282165195533993E-2</v>
      </c>
      <c r="S94" s="13">
        <f t="shared" si="37"/>
        <v>0.10490537133373759</v>
      </c>
    </row>
    <row r="95" spans="1:19" x14ac:dyDescent="0.2">
      <c r="A95" s="4" t="s">
        <v>16</v>
      </c>
      <c r="B95" s="4">
        <v>4525</v>
      </c>
      <c r="C95" s="4">
        <v>5589</v>
      </c>
      <c r="D95" s="4">
        <v>5846</v>
      </c>
      <c r="E95" s="4">
        <v>4538</v>
      </c>
      <c r="F95" s="4">
        <v>4558</v>
      </c>
      <c r="G95" s="17">
        <v>4285</v>
      </c>
      <c r="H95" s="17">
        <v>4150</v>
      </c>
      <c r="I95" s="17">
        <v>4395</v>
      </c>
      <c r="J95" s="17">
        <v>4289</v>
      </c>
      <c r="K95" s="17">
        <v>4388</v>
      </c>
      <c r="L95" s="17">
        <v>4903</v>
      </c>
      <c r="M95" s="17">
        <v>4405</v>
      </c>
      <c r="N95" s="17">
        <v>4538</v>
      </c>
      <c r="O95" s="17">
        <v>3314</v>
      </c>
      <c r="P95" s="93">
        <f t="shared" si="34"/>
        <v>-0.27292672224659936</v>
      </c>
      <c r="Q95" s="93">
        <f t="shared" si="35"/>
        <v>-0.24475843208751139</v>
      </c>
      <c r="R95" s="100">
        <f t="shared" si="36"/>
        <v>-0.26972234464521816</v>
      </c>
      <c r="S95" s="13">
        <f t="shared" si="37"/>
        <v>2.1153416525707722E-2</v>
      </c>
    </row>
    <row r="96" spans="1:19" x14ac:dyDescent="0.2">
      <c r="A96" s="4" t="s">
        <v>17</v>
      </c>
      <c r="B96" s="4">
        <v>16866</v>
      </c>
      <c r="C96" s="4">
        <v>17888</v>
      </c>
      <c r="D96" s="4">
        <v>19956</v>
      </c>
      <c r="E96" s="4">
        <v>19595</v>
      </c>
      <c r="F96" s="4">
        <v>20271</v>
      </c>
      <c r="G96" s="17">
        <v>22489</v>
      </c>
      <c r="H96" s="17">
        <v>25853</v>
      </c>
      <c r="I96" s="17">
        <v>26378</v>
      </c>
      <c r="J96" s="17">
        <v>27867</v>
      </c>
      <c r="K96" s="17">
        <v>28175</v>
      </c>
      <c r="L96" s="17">
        <v>30070</v>
      </c>
      <c r="M96" s="17">
        <v>29102</v>
      </c>
      <c r="N96" s="17">
        <v>31187</v>
      </c>
      <c r="O96" s="17">
        <v>25460</v>
      </c>
      <c r="P96" s="93">
        <f t="shared" si="34"/>
        <v>0.25598145133441863</v>
      </c>
      <c r="Q96" s="93">
        <f t="shared" si="35"/>
        <v>-9.6362023070097599E-2</v>
      </c>
      <c r="R96" s="100">
        <f t="shared" si="36"/>
        <v>-0.18363420656042581</v>
      </c>
      <c r="S96" s="13">
        <f t="shared" si="37"/>
        <v>0.16251236715284206</v>
      </c>
    </row>
    <row r="97" spans="1:19" x14ac:dyDescent="0.2">
      <c r="A97" s="4" t="s">
        <v>18</v>
      </c>
      <c r="B97" s="4">
        <v>659</v>
      </c>
      <c r="C97" s="4">
        <v>992</v>
      </c>
      <c r="D97" s="4">
        <v>1057</v>
      </c>
      <c r="E97" s="4">
        <v>1036</v>
      </c>
      <c r="F97" s="4">
        <v>1113</v>
      </c>
      <c r="G97" s="17">
        <v>1186</v>
      </c>
      <c r="H97" s="17">
        <v>1098</v>
      </c>
      <c r="I97" s="17">
        <v>1212</v>
      </c>
      <c r="J97" s="17">
        <v>1362</v>
      </c>
      <c r="K97" s="17">
        <v>1201</v>
      </c>
      <c r="L97" s="17">
        <v>1353</v>
      </c>
      <c r="M97" s="17">
        <v>1237</v>
      </c>
      <c r="N97" s="127">
        <v>1325</v>
      </c>
      <c r="O97" s="127">
        <v>1183</v>
      </c>
      <c r="P97" s="100">
        <f t="shared" si="34"/>
        <v>6.2893081761006289E-2</v>
      </c>
      <c r="Q97" s="100">
        <f t="shared" si="35"/>
        <v>-1.498751040799334E-2</v>
      </c>
      <c r="R97" s="100">
        <f t="shared" si="36"/>
        <v>-0.10716981132075472</v>
      </c>
      <c r="S97" s="13">
        <f t="shared" si="37"/>
        <v>7.5511441611080966E-3</v>
      </c>
    </row>
    <row r="98" spans="1:19" x14ac:dyDescent="0.2">
      <c r="A98" s="4" t="s">
        <v>19</v>
      </c>
      <c r="B98" s="4">
        <v>9732</v>
      </c>
      <c r="C98" s="4">
        <v>16207</v>
      </c>
      <c r="D98" s="4">
        <v>16367</v>
      </c>
      <c r="E98" s="4">
        <v>15787</v>
      </c>
      <c r="F98" s="4">
        <v>21654</v>
      </c>
      <c r="G98" s="17">
        <v>25974</v>
      </c>
      <c r="H98" s="17">
        <v>30025</v>
      </c>
      <c r="I98" s="17">
        <v>32366</v>
      </c>
      <c r="J98" s="17">
        <v>34795</v>
      </c>
      <c r="K98" s="17">
        <v>36159</v>
      </c>
      <c r="L98" s="17">
        <v>36162</v>
      </c>
      <c r="M98" s="17">
        <v>37426</v>
      </c>
      <c r="N98" s="127">
        <v>35680</v>
      </c>
      <c r="O98" s="127">
        <v>19100</v>
      </c>
      <c r="P98" s="100">
        <f t="shared" si="34"/>
        <v>-0.1179458760506142</v>
      </c>
      <c r="Q98" s="100">
        <f t="shared" si="35"/>
        <v>-0.47177742747310492</v>
      </c>
      <c r="R98" s="100">
        <f t="shared" si="36"/>
        <v>-0.4646860986547085</v>
      </c>
      <c r="S98" s="13">
        <f t="shared" si="37"/>
        <v>0.12191619059777231</v>
      </c>
    </row>
    <row r="99" spans="1:19" x14ac:dyDescent="0.2">
      <c r="A99" s="4" t="s">
        <v>20</v>
      </c>
      <c r="B99" s="4">
        <v>19916</v>
      </c>
      <c r="C99" s="4">
        <v>20576</v>
      </c>
      <c r="D99" s="4">
        <v>23709</v>
      </c>
      <c r="E99" s="4">
        <v>23431</v>
      </c>
      <c r="F99" s="4">
        <v>26530</v>
      </c>
      <c r="G99" s="17">
        <v>31322</v>
      </c>
      <c r="H99" s="17">
        <v>38253</v>
      </c>
      <c r="I99" s="17">
        <v>44209</v>
      </c>
      <c r="J99" s="17">
        <v>52428</v>
      </c>
      <c r="K99" s="17">
        <v>55441</v>
      </c>
      <c r="L99" s="17">
        <v>57297</v>
      </c>
      <c r="M99" s="17">
        <v>58174</v>
      </c>
      <c r="N99" s="127">
        <v>51953</v>
      </c>
      <c r="O99" s="127">
        <v>40817</v>
      </c>
      <c r="P99" s="100">
        <f t="shared" si="34"/>
        <v>0.53852242744063328</v>
      </c>
      <c r="Q99" s="100">
        <f t="shared" si="35"/>
        <v>-0.26377590591800293</v>
      </c>
      <c r="R99" s="100">
        <f t="shared" si="36"/>
        <v>-0.21434758339268184</v>
      </c>
      <c r="S99" s="13">
        <f t="shared" si="37"/>
        <v>0.26053681422142788</v>
      </c>
    </row>
    <row r="100" spans="1:19" x14ac:dyDescent="0.2">
      <c r="A100" s="5" t="s">
        <v>4</v>
      </c>
      <c r="B100" s="5">
        <v>84794</v>
      </c>
      <c r="C100" s="5">
        <v>96399</v>
      </c>
      <c r="D100" s="5">
        <v>105513</v>
      </c>
      <c r="E100" s="5">
        <v>101649</v>
      </c>
      <c r="F100" s="5">
        <v>117838</v>
      </c>
      <c r="G100" s="5">
        <v>135144</v>
      </c>
      <c r="H100" s="5">
        <v>156232</v>
      </c>
      <c r="I100" s="5">
        <v>170651</v>
      </c>
      <c r="J100" s="5">
        <v>187762</v>
      </c>
      <c r="K100" s="5">
        <v>195953</v>
      </c>
      <c r="L100" s="5">
        <v>204361</v>
      </c>
      <c r="M100" s="5">
        <v>208016</v>
      </c>
      <c r="N100" s="5">
        <v>199839</v>
      </c>
      <c r="O100" s="5">
        <v>156665</v>
      </c>
      <c r="P100" s="77">
        <f t="shared" si="34"/>
        <v>0.3294947300531238</v>
      </c>
      <c r="Q100" s="77">
        <f t="shared" si="35"/>
        <v>-0.20049705796798212</v>
      </c>
      <c r="R100" s="101">
        <f t="shared" si="36"/>
        <v>-0.21604391535185824</v>
      </c>
      <c r="S100" s="15">
        <f t="shared" si="37"/>
        <v>1</v>
      </c>
    </row>
    <row r="101" spans="1:19" x14ac:dyDescent="0.2">
      <c r="A101" s="71"/>
      <c r="B101" s="71"/>
      <c r="C101" s="71"/>
      <c r="D101" s="71"/>
      <c r="E101" s="71"/>
      <c r="F101" s="71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</row>
    <row r="102" spans="1:19" ht="15.75" x14ac:dyDescent="0.2">
      <c r="A102" s="123" t="s">
        <v>403</v>
      </c>
      <c r="B102" s="38"/>
      <c r="C102" s="38"/>
      <c r="D102" s="38"/>
      <c r="E102" s="38"/>
      <c r="F102" s="38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</row>
    <row r="103" spans="1:19" ht="25.5" x14ac:dyDescent="0.2">
      <c r="A103" s="82" t="s">
        <v>51</v>
      </c>
      <c r="B103" s="3">
        <v>2007</v>
      </c>
      <c r="C103" s="3">
        <v>2008</v>
      </c>
      <c r="D103" s="3">
        <v>2009</v>
      </c>
      <c r="E103" s="3">
        <v>2010</v>
      </c>
      <c r="F103" s="3">
        <v>2011</v>
      </c>
      <c r="G103" s="3">
        <v>2012</v>
      </c>
      <c r="H103" s="3">
        <v>2013</v>
      </c>
      <c r="I103" s="3">
        <v>2014</v>
      </c>
      <c r="J103" s="3">
        <v>2015</v>
      </c>
      <c r="K103" s="3">
        <v>2016</v>
      </c>
      <c r="L103" s="3">
        <v>2017</v>
      </c>
      <c r="M103" s="3">
        <v>2018</v>
      </c>
      <c r="N103" s="3">
        <v>2019</v>
      </c>
      <c r="O103" s="3">
        <v>2020</v>
      </c>
      <c r="P103" s="12" t="s">
        <v>427</v>
      </c>
      <c r="Q103" s="12" t="s">
        <v>428</v>
      </c>
      <c r="R103" s="12" t="s">
        <v>429</v>
      </c>
      <c r="S103" s="12" t="s">
        <v>430</v>
      </c>
    </row>
    <row r="104" spans="1:19" x14ac:dyDescent="0.2">
      <c r="A104" s="4" t="s">
        <v>52</v>
      </c>
      <c r="B104" s="4">
        <v>2186</v>
      </c>
      <c r="C104" s="4">
        <v>4771</v>
      </c>
      <c r="D104" s="4">
        <v>3886</v>
      </c>
      <c r="E104" s="4">
        <v>2343</v>
      </c>
      <c r="F104" s="4">
        <v>5297</v>
      </c>
      <c r="G104" s="4">
        <v>6494</v>
      </c>
      <c r="H104" s="4">
        <v>6712</v>
      </c>
      <c r="I104" s="4">
        <v>6103</v>
      </c>
      <c r="J104" s="4">
        <v>5949</v>
      </c>
      <c r="K104" s="4">
        <v>5855</v>
      </c>
      <c r="L104" s="4">
        <v>4621</v>
      </c>
      <c r="M104" s="4">
        <v>5278</v>
      </c>
      <c r="N104" s="4">
        <v>4713</v>
      </c>
      <c r="O104" s="4">
        <v>3197</v>
      </c>
      <c r="P104" s="93">
        <f t="shared" ref="P104" si="38">(O104-F104)/F104</f>
        <v>-0.39645082121955821</v>
      </c>
      <c r="Q104" s="93">
        <f t="shared" ref="Q104" si="39">(O104-K104)/K104</f>
        <v>-0.45397096498719042</v>
      </c>
      <c r="R104" s="100">
        <f t="shared" ref="R104" si="40">(O104-N104)/N104</f>
        <v>-0.3216634839804795</v>
      </c>
      <c r="S104" s="13">
        <f t="shared" ref="S104" si="41">O104/O$9</f>
        <v>2.0406600070213513E-2</v>
      </c>
    </row>
    <row r="105" spans="1:19" x14ac:dyDescent="0.2">
      <c r="A105" s="4" t="s">
        <v>54</v>
      </c>
      <c r="B105" s="4">
        <v>494</v>
      </c>
      <c r="C105" s="4">
        <v>764</v>
      </c>
      <c r="D105" s="4">
        <v>813</v>
      </c>
      <c r="E105" s="4">
        <v>981</v>
      </c>
      <c r="F105" s="4">
        <v>1465</v>
      </c>
      <c r="G105" s="4">
        <v>1601</v>
      </c>
      <c r="H105" s="4">
        <v>1942</v>
      </c>
      <c r="I105" s="4">
        <v>1819</v>
      </c>
      <c r="J105" s="4">
        <v>2345</v>
      </c>
      <c r="K105" s="4">
        <v>3743</v>
      </c>
      <c r="L105" s="4">
        <v>3216</v>
      </c>
      <c r="M105" s="4">
        <v>3410</v>
      </c>
      <c r="N105" s="4">
        <v>3623</v>
      </c>
      <c r="O105" s="4">
        <v>2657</v>
      </c>
      <c r="P105" s="93">
        <f t="shared" ref="P105:P123" si="42">(O105-F105)/F105</f>
        <v>0.81365187713310583</v>
      </c>
      <c r="Q105" s="93">
        <f t="shared" ref="Q105:Q123" si="43">(O105-K105)/K105</f>
        <v>-0.2901415976489447</v>
      </c>
      <c r="R105" s="100">
        <f t="shared" ref="R105:R123" si="44">(O105-N105)/N105</f>
        <v>-0.26662986475296713</v>
      </c>
      <c r="S105" s="13">
        <f t="shared" ref="S105:S123" si="45">O105/O$9</f>
        <v>1.6959754891009479E-2</v>
      </c>
    </row>
    <row r="106" spans="1:19" x14ac:dyDescent="0.2">
      <c r="A106" s="4" t="s">
        <v>55</v>
      </c>
      <c r="B106" s="4">
        <v>243</v>
      </c>
      <c r="C106" s="4">
        <v>356</v>
      </c>
      <c r="D106" s="4">
        <v>342</v>
      </c>
      <c r="E106" s="4">
        <v>401</v>
      </c>
      <c r="F106" s="4">
        <v>831</v>
      </c>
      <c r="G106" s="4">
        <v>1140</v>
      </c>
      <c r="H106" s="4">
        <v>1670</v>
      </c>
      <c r="I106" s="4">
        <v>1709</v>
      </c>
      <c r="J106" s="4">
        <v>1734</v>
      </c>
      <c r="K106" s="4">
        <v>1911</v>
      </c>
      <c r="L106" s="4">
        <v>1949</v>
      </c>
      <c r="M106" s="4">
        <v>2794</v>
      </c>
      <c r="N106" s="4">
        <v>2950</v>
      </c>
      <c r="O106" s="4">
        <v>2460</v>
      </c>
      <c r="P106" s="93">
        <f t="shared" si="42"/>
        <v>1.96028880866426</v>
      </c>
      <c r="Q106" s="93">
        <f t="shared" si="43"/>
        <v>0.28728414442700156</v>
      </c>
      <c r="R106" s="100">
        <f t="shared" si="44"/>
        <v>-0.16610169491525423</v>
      </c>
      <c r="S106" s="13">
        <f t="shared" si="45"/>
        <v>1.5702294705262822E-2</v>
      </c>
    </row>
    <row r="107" spans="1:19" x14ac:dyDescent="0.2">
      <c r="A107" s="4" t="s">
        <v>57</v>
      </c>
      <c r="B107" s="4">
        <v>206</v>
      </c>
      <c r="C107" s="4">
        <v>710</v>
      </c>
      <c r="D107" s="4">
        <v>682</v>
      </c>
      <c r="E107" s="4">
        <v>696</v>
      </c>
      <c r="F107" s="4">
        <v>908</v>
      </c>
      <c r="G107" s="4">
        <v>1071</v>
      </c>
      <c r="H107" s="4">
        <v>1143</v>
      </c>
      <c r="I107" s="4">
        <v>1404</v>
      </c>
      <c r="J107" s="4">
        <v>1755</v>
      </c>
      <c r="K107" s="4">
        <v>1913</v>
      </c>
      <c r="L107" s="4">
        <v>2014</v>
      </c>
      <c r="M107" s="4">
        <v>2036</v>
      </c>
      <c r="N107" s="4">
        <v>1965</v>
      </c>
      <c r="O107" s="4">
        <v>999</v>
      </c>
      <c r="P107" s="93">
        <f t="shared" si="42"/>
        <v>0.10022026431718062</v>
      </c>
      <c r="Q107" s="93">
        <f t="shared" si="43"/>
        <v>-0.47778358599059068</v>
      </c>
      <c r="R107" s="100">
        <f t="shared" si="44"/>
        <v>-0.49160305343511451</v>
      </c>
      <c r="S107" s="13">
        <f t="shared" si="45"/>
        <v>6.3766635815274628E-3</v>
      </c>
    </row>
    <row r="108" spans="1:19" x14ac:dyDescent="0.2">
      <c r="A108" s="31" t="s">
        <v>56</v>
      </c>
      <c r="B108" s="31">
        <v>918</v>
      </c>
      <c r="C108" s="4">
        <v>1064</v>
      </c>
      <c r="D108" s="4">
        <v>866</v>
      </c>
      <c r="E108" s="4">
        <v>712</v>
      </c>
      <c r="F108" s="4">
        <v>982</v>
      </c>
      <c r="G108" s="4">
        <v>1283</v>
      </c>
      <c r="H108" s="4">
        <v>1441</v>
      </c>
      <c r="I108" s="4">
        <v>1341</v>
      </c>
      <c r="J108" s="4">
        <v>1349</v>
      </c>
      <c r="K108" s="4">
        <v>1609</v>
      </c>
      <c r="L108" s="4">
        <v>2192</v>
      </c>
      <c r="M108" s="4">
        <v>2274</v>
      </c>
      <c r="N108" s="4">
        <v>2047</v>
      </c>
      <c r="O108" s="4">
        <v>852</v>
      </c>
      <c r="P108" s="93">
        <f t="shared" si="42"/>
        <v>-0.13238289205702647</v>
      </c>
      <c r="Q108" s="93">
        <f t="shared" si="43"/>
        <v>-0.47047855811062772</v>
      </c>
      <c r="R108" s="100">
        <f t="shared" si="44"/>
        <v>-0.58378114313629703</v>
      </c>
      <c r="S108" s="13">
        <f t="shared" si="45"/>
        <v>5.4383557271885869E-3</v>
      </c>
    </row>
    <row r="109" spans="1:19" x14ac:dyDescent="0.2">
      <c r="A109" s="31" t="s">
        <v>59</v>
      </c>
      <c r="B109" s="31">
        <v>306</v>
      </c>
      <c r="C109" s="4">
        <v>680</v>
      </c>
      <c r="D109" s="4">
        <v>374</v>
      </c>
      <c r="E109" s="4">
        <v>31</v>
      </c>
      <c r="F109" s="4">
        <v>495</v>
      </c>
      <c r="G109" s="4">
        <v>577</v>
      </c>
      <c r="H109" s="4">
        <v>688</v>
      </c>
      <c r="I109" s="4">
        <v>802</v>
      </c>
      <c r="J109" s="4">
        <v>811</v>
      </c>
      <c r="K109" s="4">
        <v>829</v>
      </c>
      <c r="L109" s="4">
        <v>899</v>
      </c>
      <c r="M109" s="4">
        <v>1100</v>
      </c>
      <c r="N109" s="4">
        <v>1111</v>
      </c>
      <c r="O109" s="4">
        <v>824</v>
      </c>
      <c r="P109" s="93">
        <f t="shared" si="42"/>
        <v>0.6646464646464646</v>
      </c>
      <c r="Q109" s="93">
        <f t="shared" si="43"/>
        <v>-6.0313630880579009E-3</v>
      </c>
      <c r="R109" s="100">
        <f t="shared" si="44"/>
        <v>-0.25832583258325831</v>
      </c>
      <c r="S109" s="13">
        <f t="shared" si="45"/>
        <v>5.2596304216002299E-3</v>
      </c>
    </row>
    <row r="110" spans="1:19" x14ac:dyDescent="0.2">
      <c r="A110" s="4" t="s">
        <v>60</v>
      </c>
      <c r="B110" s="4">
        <v>203</v>
      </c>
      <c r="C110" s="4">
        <v>229</v>
      </c>
      <c r="D110" s="4">
        <v>310</v>
      </c>
      <c r="E110" s="4">
        <v>359</v>
      </c>
      <c r="F110" s="4">
        <v>537</v>
      </c>
      <c r="G110" s="4">
        <v>450</v>
      </c>
      <c r="H110" s="4">
        <v>598</v>
      </c>
      <c r="I110" s="4">
        <v>725</v>
      </c>
      <c r="J110" s="4">
        <v>794</v>
      </c>
      <c r="K110" s="4">
        <v>1185</v>
      </c>
      <c r="L110" s="4">
        <v>1442</v>
      </c>
      <c r="M110" s="4">
        <v>1441</v>
      </c>
      <c r="N110" s="4">
        <v>1393</v>
      </c>
      <c r="O110" s="4">
        <v>782</v>
      </c>
      <c r="P110" s="93">
        <f t="shared" si="42"/>
        <v>0.45623836126629425</v>
      </c>
      <c r="Q110" s="93">
        <f t="shared" si="43"/>
        <v>-0.34008438818565401</v>
      </c>
      <c r="R110" s="100">
        <f t="shared" si="44"/>
        <v>-0.43862167982771</v>
      </c>
      <c r="S110" s="13">
        <f t="shared" si="45"/>
        <v>4.9915424632176941E-3</v>
      </c>
    </row>
    <row r="111" spans="1:19" x14ac:dyDescent="0.2">
      <c r="A111" s="4" t="s">
        <v>64</v>
      </c>
      <c r="B111" s="4">
        <v>213</v>
      </c>
      <c r="C111" s="4">
        <v>240</v>
      </c>
      <c r="D111" s="4">
        <v>206</v>
      </c>
      <c r="E111" s="4">
        <v>218</v>
      </c>
      <c r="F111" s="4">
        <v>410</v>
      </c>
      <c r="G111" s="4">
        <v>371</v>
      </c>
      <c r="H111" s="4">
        <v>477</v>
      </c>
      <c r="I111" s="4">
        <v>513</v>
      </c>
      <c r="J111" s="4">
        <v>608</v>
      </c>
      <c r="K111" s="4">
        <v>702</v>
      </c>
      <c r="L111" s="4">
        <v>759</v>
      </c>
      <c r="M111" s="4">
        <v>1027</v>
      </c>
      <c r="N111" s="4">
        <v>1118</v>
      </c>
      <c r="O111" s="4">
        <v>763</v>
      </c>
      <c r="P111" s="93">
        <f t="shared" si="42"/>
        <v>0.86097560975609755</v>
      </c>
      <c r="Q111" s="93">
        <f t="shared" si="43"/>
        <v>8.68945868945869E-2</v>
      </c>
      <c r="R111" s="100">
        <f t="shared" si="44"/>
        <v>-0.31753130590339895</v>
      </c>
      <c r="S111" s="13">
        <f t="shared" si="45"/>
        <v>4.8702645772827373E-3</v>
      </c>
    </row>
    <row r="112" spans="1:19" x14ac:dyDescent="0.2">
      <c r="A112" s="4" t="s">
        <v>271</v>
      </c>
      <c r="B112" s="4">
        <v>61</v>
      </c>
      <c r="C112" s="4">
        <v>140</v>
      </c>
      <c r="D112" s="4">
        <v>213</v>
      </c>
      <c r="E112" s="4">
        <v>117</v>
      </c>
      <c r="F112" s="4">
        <v>141</v>
      </c>
      <c r="G112" s="4">
        <v>275</v>
      </c>
      <c r="H112" s="4">
        <v>271</v>
      </c>
      <c r="I112" s="4">
        <v>284</v>
      </c>
      <c r="J112" s="4">
        <v>366</v>
      </c>
      <c r="K112" s="4">
        <v>348</v>
      </c>
      <c r="L112" s="4">
        <v>486</v>
      </c>
      <c r="M112" s="4">
        <v>731</v>
      </c>
      <c r="N112" s="4">
        <v>734</v>
      </c>
      <c r="O112" s="4">
        <v>690</v>
      </c>
      <c r="P112" s="93">
        <f t="shared" si="42"/>
        <v>3.8936170212765959</v>
      </c>
      <c r="Q112" s="93">
        <f t="shared" si="43"/>
        <v>0.98275862068965514</v>
      </c>
      <c r="R112" s="100">
        <f t="shared" si="44"/>
        <v>-5.9945504087193457E-2</v>
      </c>
      <c r="S112" s="13">
        <f t="shared" si="45"/>
        <v>4.4043021734273772E-3</v>
      </c>
    </row>
    <row r="113" spans="1:19" x14ac:dyDescent="0.2">
      <c r="A113" s="4" t="s">
        <v>62</v>
      </c>
      <c r="B113" s="4">
        <v>52</v>
      </c>
      <c r="C113" s="4">
        <v>235</v>
      </c>
      <c r="D113" s="4">
        <v>210</v>
      </c>
      <c r="E113" s="4">
        <v>280</v>
      </c>
      <c r="F113" s="4">
        <v>408</v>
      </c>
      <c r="G113" s="4">
        <v>403</v>
      </c>
      <c r="H113" s="4">
        <v>465</v>
      </c>
      <c r="I113" s="4">
        <v>594</v>
      </c>
      <c r="J113" s="4">
        <v>598</v>
      </c>
      <c r="K113" s="4">
        <v>822</v>
      </c>
      <c r="L113" s="4">
        <v>850</v>
      </c>
      <c r="M113" s="4">
        <v>989</v>
      </c>
      <c r="N113" s="4">
        <v>1019</v>
      </c>
      <c r="O113" s="4">
        <v>647</v>
      </c>
      <c r="P113" s="93">
        <f t="shared" si="42"/>
        <v>0.58578431372549022</v>
      </c>
      <c r="Q113" s="93">
        <f t="shared" si="43"/>
        <v>-0.21289537712895376</v>
      </c>
      <c r="R113" s="100">
        <f t="shared" si="44"/>
        <v>-0.36506378802747791</v>
      </c>
      <c r="S113" s="13">
        <f t="shared" si="45"/>
        <v>4.1298311684166856E-3</v>
      </c>
    </row>
    <row r="114" spans="1:19" x14ac:dyDescent="0.2">
      <c r="A114" s="4" t="s">
        <v>76</v>
      </c>
      <c r="B114" s="4">
        <v>80</v>
      </c>
      <c r="C114" s="4">
        <v>72</v>
      </c>
      <c r="D114" s="4">
        <v>99</v>
      </c>
      <c r="E114" s="4">
        <v>84</v>
      </c>
      <c r="F114" s="4">
        <v>113</v>
      </c>
      <c r="G114" s="4">
        <v>102</v>
      </c>
      <c r="H114" s="4">
        <v>132</v>
      </c>
      <c r="I114" s="4">
        <v>180</v>
      </c>
      <c r="J114" s="4">
        <v>246</v>
      </c>
      <c r="K114" s="4">
        <v>317</v>
      </c>
      <c r="L114" s="4">
        <v>457</v>
      </c>
      <c r="M114" s="4">
        <v>423</v>
      </c>
      <c r="N114" s="4">
        <v>520</v>
      </c>
      <c r="O114" s="4">
        <v>637</v>
      </c>
      <c r="P114" s="93">
        <f t="shared" si="42"/>
        <v>4.6371681415929205</v>
      </c>
      <c r="Q114" s="93">
        <f t="shared" si="43"/>
        <v>1.0094637223974763</v>
      </c>
      <c r="R114" s="100">
        <f t="shared" si="44"/>
        <v>0.22500000000000001</v>
      </c>
      <c r="S114" s="13">
        <f t="shared" si="45"/>
        <v>4.0660007021351289E-3</v>
      </c>
    </row>
    <row r="115" spans="1:19" x14ac:dyDescent="0.2">
      <c r="A115" s="4" t="s">
        <v>66</v>
      </c>
      <c r="B115" s="4">
        <v>364</v>
      </c>
      <c r="C115" s="4">
        <v>387</v>
      </c>
      <c r="D115" s="4">
        <v>343</v>
      </c>
      <c r="E115" s="4">
        <v>330</v>
      </c>
      <c r="F115" s="4">
        <v>396</v>
      </c>
      <c r="G115" s="4">
        <v>346</v>
      </c>
      <c r="H115" s="4">
        <v>404</v>
      </c>
      <c r="I115" s="4">
        <v>366</v>
      </c>
      <c r="J115" s="4">
        <v>423</v>
      </c>
      <c r="K115" s="4">
        <v>571</v>
      </c>
      <c r="L115" s="4">
        <v>591</v>
      </c>
      <c r="M115" s="4">
        <v>794</v>
      </c>
      <c r="N115" s="4">
        <v>696</v>
      </c>
      <c r="O115" s="4">
        <v>633</v>
      </c>
      <c r="P115" s="93">
        <f t="shared" si="42"/>
        <v>0.59848484848484851</v>
      </c>
      <c r="Q115" s="93">
        <f t="shared" si="43"/>
        <v>0.10858143607705779</v>
      </c>
      <c r="R115" s="100">
        <f t="shared" si="44"/>
        <v>-9.0517241379310345E-2</v>
      </c>
      <c r="S115" s="13">
        <f t="shared" si="45"/>
        <v>4.0404685156225067E-3</v>
      </c>
    </row>
    <row r="116" spans="1:19" x14ac:dyDescent="0.2">
      <c r="A116" s="4" t="s">
        <v>63</v>
      </c>
      <c r="B116" s="4">
        <v>277</v>
      </c>
      <c r="C116" s="4">
        <v>542</v>
      </c>
      <c r="D116" s="4">
        <v>344</v>
      </c>
      <c r="E116" s="4">
        <v>167</v>
      </c>
      <c r="F116" s="4">
        <v>409</v>
      </c>
      <c r="G116" s="4">
        <v>487</v>
      </c>
      <c r="H116" s="4">
        <v>523</v>
      </c>
      <c r="I116" s="4">
        <v>511</v>
      </c>
      <c r="J116" s="4">
        <v>609</v>
      </c>
      <c r="K116" s="4">
        <v>726</v>
      </c>
      <c r="L116" s="4">
        <v>704</v>
      </c>
      <c r="M116" s="4">
        <v>890</v>
      </c>
      <c r="N116" s="4">
        <v>803</v>
      </c>
      <c r="O116" s="4">
        <v>626</v>
      </c>
      <c r="P116" s="93">
        <f t="shared" si="42"/>
        <v>0.53056234718826401</v>
      </c>
      <c r="Q116" s="93">
        <f t="shared" si="43"/>
        <v>-0.13774104683195593</v>
      </c>
      <c r="R116" s="100">
        <f t="shared" si="44"/>
        <v>-0.22042341220423411</v>
      </c>
      <c r="S116" s="13">
        <f t="shared" si="45"/>
        <v>3.9957871892254172E-3</v>
      </c>
    </row>
    <row r="117" spans="1:19" x14ac:dyDescent="0.2">
      <c r="A117" s="4" t="s">
        <v>67</v>
      </c>
      <c r="B117" s="4">
        <v>195</v>
      </c>
      <c r="C117" s="4">
        <v>173</v>
      </c>
      <c r="D117" s="4">
        <v>201</v>
      </c>
      <c r="E117" s="4">
        <v>228</v>
      </c>
      <c r="F117" s="4">
        <v>352</v>
      </c>
      <c r="G117" s="4">
        <v>382</v>
      </c>
      <c r="H117" s="4">
        <v>388</v>
      </c>
      <c r="I117" s="4">
        <v>369</v>
      </c>
      <c r="J117" s="4">
        <v>485</v>
      </c>
      <c r="K117" s="4">
        <v>480</v>
      </c>
      <c r="L117" s="4">
        <v>611</v>
      </c>
      <c r="M117" s="4">
        <v>723</v>
      </c>
      <c r="N117" s="4">
        <v>835</v>
      </c>
      <c r="O117" s="4">
        <v>537</v>
      </c>
      <c r="P117" s="93">
        <f t="shared" si="42"/>
        <v>0.52556818181818177</v>
      </c>
      <c r="Q117" s="93">
        <f t="shared" si="43"/>
        <v>0.11874999999999999</v>
      </c>
      <c r="R117" s="100">
        <f t="shared" si="44"/>
        <v>-0.35688622754491017</v>
      </c>
      <c r="S117" s="13">
        <f t="shared" si="45"/>
        <v>3.4276960393195672E-3</v>
      </c>
    </row>
    <row r="118" spans="1:19" x14ac:dyDescent="0.2">
      <c r="A118" s="4" t="s">
        <v>53</v>
      </c>
      <c r="B118" s="4">
        <v>410</v>
      </c>
      <c r="C118" s="4">
        <v>661</v>
      </c>
      <c r="D118" s="4">
        <v>710</v>
      </c>
      <c r="E118" s="4">
        <v>677</v>
      </c>
      <c r="F118" s="4">
        <v>1049</v>
      </c>
      <c r="G118" s="4">
        <v>1502</v>
      </c>
      <c r="H118" s="4">
        <v>1997</v>
      </c>
      <c r="I118" s="4">
        <v>2283</v>
      </c>
      <c r="J118" s="4">
        <v>3623</v>
      </c>
      <c r="K118" s="4">
        <v>3637</v>
      </c>
      <c r="L118" s="4">
        <v>2862</v>
      </c>
      <c r="M118" s="4">
        <v>2187</v>
      </c>
      <c r="N118" s="4">
        <v>1332</v>
      </c>
      <c r="O118" s="4">
        <v>526</v>
      </c>
      <c r="P118" s="93">
        <f t="shared" si="42"/>
        <v>-0.49857006673021925</v>
      </c>
      <c r="Q118" s="93">
        <f t="shared" si="43"/>
        <v>-0.8553753093208688</v>
      </c>
      <c r="R118" s="100">
        <f t="shared" si="44"/>
        <v>-0.60510510510510507</v>
      </c>
      <c r="S118" s="13">
        <f t="shared" si="45"/>
        <v>3.3574825264098556E-3</v>
      </c>
    </row>
    <row r="119" spans="1:19" x14ac:dyDescent="0.2">
      <c r="A119" s="4" t="s">
        <v>237</v>
      </c>
      <c r="B119" s="4">
        <v>274</v>
      </c>
      <c r="C119" s="4">
        <v>218</v>
      </c>
      <c r="D119" s="4">
        <v>199</v>
      </c>
      <c r="E119" s="4">
        <v>264</v>
      </c>
      <c r="F119" s="4">
        <v>314</v>
      </c>
      <c r="G119" s="4">
        <v>353</v>
      </c>
      <c r="H119" s="4">
        <v>345</v>
      </c>
      <c r="I119" s="4">
        <v>399</v>
      </c>
      <c r="J119" s="4">
        <v>430</v>
      </c>
      <c r="K119" s="4">
        <v>431</v>
      </c>
      <c r="L119" s="4">
        <v>506</v>
      </c>
      <c r="M119" s="4">
        <v>563</v>
      </c>
      <c r="N119" s="4">
        <v>657</v>
      </c>
      <c r="O119" s="4">
        <v>473</v>
      </c>
      <c r="P119" s="93">
        <f t="shared" si="42"/>
        <v>0.50636942675159236</v>
      </c>
      <c r="Q119" s="93">
        <f t="shared" si="43"/>
        <v>9.7447795823665889E-2</v>
      </c>
      <c r="R119" s="100">
        <f t="shared" si="44"/>
        <v>-0.28006088280060881</v>
      </c>
      <c r="S119" s="13">
        <f t="shared" si="45"/>
        <v>3.0191810551176076E-3</v>
      </c>
    </row>
    <row r="120" spans="1:19" x14ac:dyDescent="0.2">
      <c r="A120" s="31" t="s">
        <v>61</v>
      </c>
      <c r="B120" s="31">
        <v>177</v>
      </c>
      <c r="C120" s="4">
        <v>254</v>
      </c>
      <c r="D120" s="4">
        <v>229</v>
      </c>
      <c r="E120" s="4">
        <v>224</v>
      </c>
      <c r="F120" s="4">
        <v>763</v>
      </c>
      <c r="G120" s="4">
        <v>703</v>
      </c>
      <c r="H120" s="4">
        <v>712</v>
      </c>
      <c r="I120" s="4">
        <v>655</v>
      </c>
      <c r="J120" s="4">
        <v>609</v>
      </c>
      <c r="K120" s="4">
        <v>644</v>
      </c>
      <c r="L120" s="4">
        <v>643</v>
      </c>
      <c r="M120" s="4">
        <v>648</v>
      </c>
      <c r="N120" s="4">
        <v>651</v>
      </c>
      <c r="O120" s="4">
        <v>406</v>
      </c>
      <c r="P120" s="93">
        <f t="shared" si="42"/>
        <v>-0.46788990825688076</v>
      </c>
      <c r="Q120" s="93">
        <f t="shared" si="43"/>
        <v>-0.36956521739130432</v>
      </c>
      <c r="R120" s="100">
        <f t="shared" si="44"/>
        <v>-0.37634408602150538</v>
      </c>
      <c r="S120" s="13">
        <f t="shared" si="45"/>
        <v>2.5915169310311813E-3</v>
      </c>
    </row>
    <row r="121" spans="1:19" x14ac:dyDescent="0.2">
      <c r="A121" s="31" t="s">
        <v>58</v>
      </c>
      <c r="B121" s="31">
        <v>521</v>
      </c>
      <c r="C121" s="4">
        <v>453</v>
      </c>
      <c r="D121" s="4">
        <v>538</v>
      </c>
      <c r="E121" s="4">
        <v>733</v>
      </c>
      <c r="F121" s="4">
        <v>655</v>
      </c>
      <c r="G121" s="4">
        <v>713</v>
      </c>
      <c r="H121" s="4">
        <v>794</v>
      </c>
      <c r="I121" s="4">
        <v>781</v>
      </c>
      <c r="J121" s="4">
        <v>781</v>
      </c>
      <c r="K121" s="4">
        <v>813</v>
      </c>
      <c r="L121" s="4">
        <v>821</v>
      </c>
      <c r="M121" s="4">
        <v>601</v>
      </c>
      <c r="N121" s="4">
        <v>556</v>
      </c>
      <c r="O121" s="4">
        <v>396</v>
      </c>
      <c r="P121" s="93">
        <f t="shared" si="42"/>
        <v>-0.39541984732824426</v>
      </c>
      <c r="Q121" s="93">
        <f t="shared" si="43"/>
        <v>-0.51291512915129156</v>
      </c>
      <c r="R121" s="100">
        <f t="shared" si="44"/>
        <v>-0.28776978417266186</v>
      </c>
      <c r="S121" s="13">
        <f t="shared" si="45"/>
        <v>2.527686464749625E-3</v>
      </c>
    </row>
    <row r="122" spans="1:19" x14ac:dyDescent="0.2">
      <c r="A122" s="4" t="s">
        <v>65</v>
      </c>
      <c r="B122" s="4">
        <v>105</v>
      </c>
      <c r="C122" s="4">
        <v>24</v>
      </c>
      <c r="D122" s="4">
        <v>10</v>
      </c>
      <c r="E122" s="4">
        <v>86</v>
      </c>
      <c r="F122" s="4">
        <v>166</v>
      </c>
      <c r="G122" s="4">
        <v>217</v>
      </c>
      <c r="H122" s="4">
        <v>338</v>
      </c>
      <c r="I122" s="4">
        <v>373</v>
      </c>
      <c r="J122" s="4">
        <v>527</v>
      </c>
      <c r="K122" s="4">
        <v>605</v>
      </c>
      <c r="L122" s="4">
        <v>622</v>
      </c>
      <c r="M122" s="4">
        <v>555</v>
      </c>
      <c r="N122" s="4">
        <v>476</v>
      </c>
      <c r="O122" s="4">
        <v>394</v>
      </c>
      <c r="P122" s="93">
        <f t="shared" si="42"/>
        <v>1.3734939759036144</v>
      </c>
      <c r="Q122" s="93">
        <f t="shared" si="43"/>
        <v>-0.34876033057851241</v>
      </c>
      <c r="R122" s="100">
        <f t="shared" si="44"/>
        <v>-0.17226890756302521</v>
      </c>
      <c r="S122" s="13">
        <f t="shared" si="45"/>
        <v>2.5149203714933139E-3</v>
      </c>
    </row>
    <row r="123" spans="1:19" x14ac:dyDescent="0.2">
      <c r="A123" s="4" t="s">
        <v>351</v>
      </c>
      <c r="B123" s="4">
        <v>38</v>
      </c>
      <c r="C123" s="4">
        <v>71</v>
      </c>
      <c r="D123" s="4">
        <v>56</v>
      </c>
      <c r="E123" s="4">
        <v>89</v>
      </c>
      <c r="F123" s="4">
        <v>120</v>
      </c>
      <c r="G123" s="4">
        <v>153</v>
      </c>
      <c r="H123" s="4">
        <v>108</v>
      </c>
      <c r="I123" s="4">
        <v>111</v>
      </c>
      <c r="J123" s="4">
        <v>254</v>
      </c>
      <c r="K123" s="4">
        <v>234</v>
      </c>
      <c r="L123" s="4">
        <v>247</v>
      </c>
      <c r="M123" s="4">
        <v>254</v>
      </c>
      <c r="N123" s="4">
        <v>202</v>
      </c>
      <c r="O123" s="4">
        <v>358</v>
      </c>
      <c r="P123" s="93">
        <f t="shared" si="42"/>
        <v>1.9833333333333334</v>
      </c>
      <c r="Q123" s="93">
        <f t="shared" si="43"/>
        <v>0.52991452991452992</v>
      </c>
      <c r="R123" s="100">
        <f t="shared" si="44"/>
        <v>0.7722772277227723</v>
      </c>
      <c r="S123" s="13">
        <f t="shared" si="45"/>
        <v>2.2851306928797113E-3</v>
      </c>
    </row>
    <row r="125" spans="1:19" ht="15.75" x14ac:dyDescent="0.2">
      <c r="A125" s="123" t="s">
        <v>404</v>
      </c>
      <c r="B125" s="38"/>
      <c r="C125" s="38"/>
      <c r="D125" s="38"/>
      <c r="E125" s="38"/>
      <c r="F125" s="38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</row>
    <row r="126" spans="1:19" ht="25.5" x14ac:dyDescent="0.2">
      <c r="A126" s="82" t="s">
        <v>51</v>
      </c>
      <c r="B126" s="3">
        <v>2007</v>
      </c>
      <c r="C126" s="3">
        <v>2008</v>
      </c>
      <c r="D126" s="3">
        <v>2009</v>
      </c>
      <c r="E126" s="3">
        <v>2010</v>
      </c>
      <c r="F126" s="3">
        <v>2011</v>
      </c>
      <c r="G126" s="3">
        <v>2012</v>
      </c>
      <c r="H126" s="3">
        <v>2013</v>
      </c>
      <c r="I126" s="3">
        <v>2014</v>
      </c>
      <c r="J126" s="3">
        <v>2015</v>
      </c>
      <c r="K126" s="3">
        <v>2016</v>
      </c>
      <c r="L126" s="3">
        <v>2017</v>
      </c>
      <c r="M126" s="3">
        <v>2018</v>
      </c>
      <c r="N126" s="3">
        <v>2019</v>
      </c>
      <c r="O126" s="3">
        <v>2020</v>
      </c>
      <c r="P126" s="12" t="s">
        <v>427</v>
      </c>
      <c r="Q126" s="12" t="s">
        <v>428</v>
      </c>
      <c r="R126" s="12" t="s">
        <v>429</v>
      </c>
      <c r="S126" s="12" t="s">
        <v>430</v>
      </c>
    </row>
    <row r="127" spans="1:19" x14ac:dyDescent="0.2">
      <c r="A127" s="4" t="s">
        <v>52</v>
      </c>
      <c r="B127" s="4">
        <v>993</v>
      </c>
      <c r="C127" s="4">
        <v>2390</v>
      </c>
      <c r="D127" s="4">
        <v>3063</v>
      </c>
      <c r="E127" s="4">
        <v>3445</v>
      </c>
      <c r="F127" s="4">
        <v>3750</v>
      </c>
      <c r="G127" s="4">
        <v>4629</v>
      </c>
      <c r="H127" s="4">
        <v>5482</v>
      </c>
      <c r="I127" s="4">
        <v>6144</v>
      </c>
      <c r="J127" s="4">
        <v>6744</v>
      </c>
      <c r="K127" s="4">
        <v>6851</v>
      </c>
      <c r="L127" s="4">
        <v>6660</v>
      </c>
      <c r="M127" s="4">
        <v>6395</v>
      </c>
      <c r="N127" s="4">
        <v>6174</v>
      </c>
      <c r="O127" s="4">
        <v>5000</v>
      </c>
      <c r="P127" s="93">
        <f t="shared" ref="P127:P146" si="46">(O127-F127)/F127</f>
        <v>0.33333333333333331</v>
      </c>
      <c r="Q127" s="93">
        <f t="shared" ref="Q127:Q146" si="47">(O127-K127)/K127</f>
        <v>-0.2701795358341848</v>
      </c>
      <c r="R127" s="100">
        <f t="shared" ref="R127:R146" si="48">(O127-N127)/N127</f>
        <v>-0.19015225137674116</v>
      </c>
      <c r="S127" s="13">
        <f t="shared" ref="S127:S146" si="49">O127/O$9</f>
        <v>3.1915233140778092E-2</v>
      </c>
    </row>
    <row r="128" spans="1:19" x14ac:dyDescent="0.2">
      <c r="A128" s="4" t="s">
        <v>54</v>
      </c>
      <c r="B128" s="4">
        <v>357</v>
      </c>
      <c r="C128" s="4">
        <v>437</v>
      </c>
      <c r="D128" s="4">
        <v>756</v>
      </c>
      <c r="E128" s="4">
        <v>987</v>
      </c>
      <c r="F128" s="4">
        <v>1492</v>
      </c>
      <c r="G128" s="4">
        <v>2156</v>
      </c>
      <c r="H128" s="4">
        <v>2663</v>
      </c>
      <c r="I128" s="4">
        <v>3767</v>
      </c>
      <c r="J128" s="4">
        <v>4496</v>
      </c>
      <c r="K128" s="4">
        <v>5694</v>
      </c>
      <c r="L128" s="4">
        <v>5412</v>
      </c>
      <c r="M128" s="4">
        <v>5529</v>
      </c>
      <c r="N128" s="4">
        <v>5012</v>
      </c>
      <c r="O128" s="4">
        <v>4688</v>
      </c>
      <c r="P128" s="93">
        <f t="shared" si="46"/>
        <v>2.1420911528150133</v>
      </c>
      <c r="Q128" s="93">
        <f t="shared" si="47"/>
        <v>-0.17667720407446436</v>
      </c>
      <c r="R128" s="100">
        <f t="shared" si="48"/>
        <v>-6.4644852354349566E-2</v>
      </c>
      <c r="S128" s="13">
        <f t="shared" si="49"/>
        <v>2.992372259279354E-2</v>
      </c>
    </row>
    <row r="129" spans="1:19" x14ac:dyDescent="0.2">
      <c r="A129" s="4" t="s">
        <v>69</v>
      </c>
      <c r="B129" s="4">
        <v>452</v>
      </c>
      <c r="C129" s="4">
        <v>446</v>
      </c>
      <c r="D129" s="4">
        <v>404</v>
      </c>
      <c r="E129" s="4">
        <v>504</v>
      </c>
      <c r="F129" s="4">
        <v>878</v>
      </c>
      <c r="G129" s="4">
        <v>1367</v>
      </c>
      <c r="H129" s="4">
        <v>1619</v>
      </c>
      <c r="I129" s="4">
        <v>2118</v>
      </c>
      <c r="J129" s="4">
        <v>2761</v>
      </c>
      <c r="K129" s="4">
        <v>3028</v>
      </c>
      <c r="L129" s="4">
        <v>3251</v>
      </c>
      <c r="M129" s="4">
        <v>3902</v>
      </c>
      <c r="N129" s="4">
        <v>4323</v>
      </c>
      <c r="O129" s="4">
        <v>4221</v>
      </c>
      <c r="P129" s="93">
        <f t="shared" si="46"/>
        <v>3.8075170842824599</v>
      </c>
      <c r="Q129" s="93">
        <f t="shared" si="47"/>
        <v>0.39398943196829589</v>
      </c>
      <c r="R129" s="100">
        <f t="shared" si="48"/>
        <v>-2.3594725884802221E-2</v>
      </c>
      <c r="S129" s="13">
        <f t="shared" si="49"/>
        <v>2.6942839817444865E-2</v>
      </c>
    </row>
    <row r="130" spans="1:19" x14ac:dyDescent="0.2">
      <c r="A130" s="4" t="s">
        <v>55</v>
      </c>
      <c r="B130" s="4">
        <v>136</v>
      </c>
      <c r="C130" s="4">
        <v>123</v>
      </c>
      <c r="D130" s="4">
        <v>158</v>
      </c>
      <c r="E130" s="4">
        <v>305</v>
      </c>
      <c r="F130" s="4">
        <v>771</v>
      </c>
      <c r="G130" s="4">
        <v>1004</v>
      </c>
      <c r="H130" s="4">
        <v>1382</v>
      </c>
      <c r="I130" s="4">
        <v>1601</v>
      </c>
      <c r="J130" s="4">
        <v>1969</v>
      </c>
      <c r="K130" s="4">
        <v>2155</v>
      </c>
      <c r="L130" s="4">
        <v>3320</v>
      </c>
      <c r="M130" s="4">
        <v>3668</v>
      </c>
      <c r="N130" s="4">
        <v>4454</v>
      </c>
      <c r="O130" s="4">
        <v>4166</v>
      </c>
      <c r="P130" s="93">
        <f t="shared" si="46"/>
        <v>4.4033722438391703</v>
      </c>
      <c r="Q130" s="93">
        <f t="shared" si="47"/>
        <v>0.93317865429234337</v>
      </c>
      <c r="R130" s="100">
        <f t="shared" si="48"/>
        <v>-6.4660978895374949E-2</v>
      </c>
      <c r="S130" s="13">
        <f t="shared" si="49"/>
        <v>2.6591772252896308E-2</v>
      </c>
    </row>
    <row r="131" spans="1:19" x14ac:dyDescent="0.2">
      <c r="A131" s="31" t="s">
        <v>68</v>
      </c>
      <c r="B131" s="31">
        <v>783</v>
      </c>
      <c r="C131" s="4">
        <v>748</v>
      </c>
      <c r="D131" s="4">
        <v>846</v>
      </c>
      <c r="E131" s="4">
        <v>948</v>
      </c>
      <c r="F131" s="4">
        <v>1423</v>
      </c>
      <c r="G131" s="4">
        <v>1865</v>
      </c>
      <c r="H131" s="4">
        <v>2990</v>
      </c>
      <c r="I131" s="4">
        <v>3464</v>
      </c>
      <c r="J131" s="4">
        <v>4465</v>
      </c>
      <c r="K131" s="4">
        <v>5376</v>
      </c>
      <c r="L131" s="4">
        <v>5940</v>
      </c>
      <c r="M131" s="4">
        <v>6255</v>
      </c>
      <c r="N131" s="4">
        <v>4394</v>
      </c>
      <c r="O131" s="4">
        <v>2990</v>
      </c>
      <c r="P131" s="93">
        <f t="shared" si="46"/>
        <v>1.101194659170766</v>
      </c>
      <c r="Q131" s="93">
        <f t="shared" si="47"/>
        <v>-0.44382440476190477</v>
      </c>
      <c r="R131" s="100">
        <f t="shared" si="48"/>
        <v>-0.31952662721893493</v>
      </c>
      <c r="S131" s="13">
        <f t="shared" si="49"/>
        <v>1.9085309418185301E-2</v>
      </c>
    </row>
    <row r="132" spans="1:19" x14ac:dyDescent="0.2">
      <c r="A132" s="31" t="s">
        <v>76</v>
      </c>
      <c r="B132" s="31">
        <v>139</v>
      </c>
      <c r="C132" s="4">
        <v>253</v>
      </c>
      <c r="D132" s="4">
        <v>325</v>
      </c>
      <c r="E132" s="4">
        <v>256</v>
      </c>
      <c r="F132" s="4">
        <v>504</v>
      </c>
      <c r="G132" s="4">
        <v>811</v>
      </c>
      <c r="H132" s="4">
        <v>924</v>
      </c>
      <c r="I132" s="4">
        <v>1079</v>
      </c>
      <c r="J132" s="4">
        <v>1307</v>
      </c>
      <c r="K132" s="4">
        <v>1664</v>
      </c>
      <c r="L132" s="4">
        <v>2082</v>
      </c>
      <c r="M132" s="4">
        <v>2317</v>
      </c>
      <c r="N132" s="4">
        <v>2582</v>
      </c>
      <c r="O132" s="4">
        <v>2323</v>
      </c>
      <c r="P132" s="93">
        <f t="shared" si="46"/>
        <v>3.6091269841269842</v>
      </c>
      <c r="Q132" s="93">
        <f t="shared" si="47"/>
        <v>0.39603365384615385</v>
      </c>
      <c r="R132" s="100">
        <f t="shared" si="48"/>
        <v>-0.10030983733539892</v>
      </c>
      <c r="S132" s="13">
        <f t="shared" si="49"/>
        <v>1.4827817317205502E-2</v>
      </c>
    </row>
    <row r="133" spans="1:19" x14ac:dyDescent="0.2">
      <c r="A133" s="4" t="s">
        <v>70</v>
      </c>
      <c r="B133" s="4">
        <v>621</v>
      </c>
      <c r="C133" s="4">
        <v>390</v>
      </c>
      <c r="D133" s="4">
        <v>605</v>
      </c>
      <c r="E133" s="4">
        <v>550</v>
      </c>
      <c r="F133" s="4">
        <v>769</v>
      </c>
      <c r="G133" s="4">
        <v>1251</v>
      </c>
      <c r="H133" s="4">
        <v>1746</v>
      </c>
      <c r="I133" s="4">
        <v>2048</v>
      </c>
      <c r="J133" s="4">
        <v>2380</v>
      </c>
      <c r="K133" s="4">
        <v>2545</v>
      </c>
      <c r="L133" s="4">
        <v>2734</v>
      </c>
      <c r="M133" s="4">
        <v>3060</v>
      </c>
      <c r="N133" s="4">
        <v>1666</v>
      </c>
      <c r="O133" s="4">
        <v>1900</v>
      </c>
      <c r="P133" s="93">
        <f t="shared" si="46"/>
        <v>1.47074122236671</v>
      </c>
      <c r="Q133" s="93">
        <f t="shared" si="47"/>
        <v>-0.25343811394891946</v>
      </c>
      <c r="R133" s="100">
        <f t="shared" si="48"/>
        <v>0.14045618247298919</v>
      </c>
      <c r="S133" s="13">
        <f t="shared" si="49"/>
        <v>1.2127788593495675E-2</v>
      </c>
    </row>
    <row r="134" spans="1:19" x14ac:dyDescent="0.2">
      <c r="A134" s="4" t="s">
        <v>71</v>
      </c>
      <c r="B134" s="4">
        <v>812</v>
      </c>
      <c r="C134" s="4">
        <v>777</v>
      </c>
      <c r="D134" s="4">
        <v>760</v>
      </c>
      <c r="E134" s="4">
        <v>809</v>
      </c>
      <c r="F134" s="4">
        <v>1013</v>
      </c>
      <c r="G134" s="4">
        <v>1284</v>
      </c>
      <c r="H134" s="4">
        <v>1334</v>
      </c>
      <c r="I134" s="4">
        <v>1539</v>
      </c>
      <c r="J134" s="4">
        <v>1837</v>
      </c>
      <c r="K134" s="4">
        <v>1670</v>
      </c>
      <c r="L134" s="4">
        <v>1801</v>
      </c>
      <c r="M134" s="4">
        <v>2072</v>
      </c>
      <c r="N134" s="4">
        <v>2004</v>
      </c>
      <c r="O134" s="4">
        <v>1758</v>
      </c>
      <c r="P134" s="93">
        <f t="shared" si="46"/>
        <v>0.73543928923988156</v>
      </c>
      <c r="Q134" s="93">
        <f t="shared" si="47"/>
        <v>5.2694610778443111E-2</v>
      </c>
      <c r="R134" s="100">
        <f t="shared" si="48"/>
        <v>-0.12275449101796407</v>
      </c>
      <c r="S134" s="13">
        <f t="shared" si="49"/>
        <v>1.1221395972297578E-2</v>
      </c>
    </row>
    <row r="135" spans="1:19" x14ac:dyDescent="0.2">
      <c r="A135" s="4" t="s">
        <v>77</v>
      </c>
      <c r="B135" s="4">
        <v>313</v>
      </c>
      <c r="C135" s="4">
        <v>240</v>
      </c>
      <c r="D135" s="4">
        <v>293</v>
      </c>
      <c r="E135" s="4">
        <v>267</v>
      </c>
      <c r="F135" s="4">
        <v>395</v>
      </c>
      <c r="G135" s="4">
        <v>479</v>
      </c>
      <c r="H135" s="4">
        <v>682</v>
      </c>
      <c r="I135" s="4">
        <v>778</v>
      </c>
      <c r="J135" s="4">
        <v>1011</v>
      </c>
      <c r="K135" s="4">
        <v>1069</v>
      </c>
      <c r="L135" s="4">
        <v>1379</v>
      </c>
      <c r="M135" s="4">
        <v>1627</v>
      </c>
      <c r="N135" s="4">
        <v>1722</v>
      </c>
      <c r="O135" s="4">
        <v>1532</v>
      </c>
      <c r="P135" s="93">
        <f t="shared" si="46"/>
        <v>2.8784810126582276</v>
      </c>
      <c r="Q135" s="93">
        <f t="shared" si="47"/>
        <v>0.43311506080449019</v>
      </c>
      <c r="R135" s="100">
        <f t="shared" si="48"/>
        <v>-0.11033681765389082</v>
      </c>
      <c r="S135" s="13">
        <f t="shared" si="49"/>
        <v>9.7788274343344073E-3</v>
      </c>
    </row>
    <row r="136" spans="1:19" x14ac:dyDescent="0.2">
      <c r="A136" s="4" t="s">
        <v>73</v>
      </c>
      <c r="B136" s="4">
        <v>802</v>
      </c>
      <c r="C136" s="4">
        <v>616</v>
      </c>
      <c r="D136" s="4">
        <v>637</v>
      </c>
      <c r="E136" s="4">
        <v>563</v>
      </c>
      <c r="F136" s="4">
        <v>649</v>
      </c>
      <c r="G136" s="4">
        <v>827</v>
      </c>
      <c r="H136" s="4">
        <v>947</v>
      </c>
      <c r="I136" s="4">
        <v>1175</v>
      </c>
      <c r="J136" s="4">
        <v>1325</v>
      </c>
      <c r="K136" s="4">
        <v>1502</v>
      </c>
      <c r="L136" s="4">
        <v>1498</v>
      </c>
      <c r="M136" s="4">
        <v>1452</v>
      </c>
      <c r="N136" s="4">
        <v>1460</v>
      </c>
      <c r="O136" s="4">
        <v>1512</v>
      </c>
      <c r="P136" s="93">
        <f t="shared" si="46"/>
        <v>1.3297380585516179</v>
      </c>
      <c r="Q136" s="93">
        <f t="shared" si="47"/>
        <v>6.6577896138482022E-3</v>
      </c>
      <c r="R136" s="100">
        <f t="shared" si="48"/>
        <v>3.5616438356164383E-2</v>
      </c>
      <c r="S136" s="13">
        <f t="shared" si="49"/>
        <v>9.6511665017712956E-3</v>
      </c>
    </row>
    <row r="137" spans="1:19" x14ac:dyDescent="0.2">
      <c r="A137" s="4" t="s">
        <v>74</v>
      </c>
      <c r="B137" s="4">
        <v>483</v>
      </c>
      <c r="C137" s="4">
        <v>519</v>
      </c>
      <c r="D137" s="4">
        <v>867</v>
      </c>
      <c r="E137" s="4">
        <v>864</v>
      </c>
      <c r="F137" s="4">
        <v>906</v>
      </c>
      <c r="G137" s="4">
        <v>921</v>
      </c>
      <c r="H137" s="4">
        <v>1099</v>
      </c>
      <c r="I137" s="4">
        <v>1266</v>
      </c>
      <c r="J137" s="4">
        <v>1393</v>
      </c>
      <c r="K137" s="4">
        <v>1517</v>
      </c>
      <c r="L137" s="4">
        <v>1760</v>
      </c>
      <c r="M137" s="4">
        <v>2013</v>
      </c>
      <c r="N137" s="4">
        <v>2075</v>
      </c>
      <c r="O137" s="4">
        <v>1419</v>
      </c>
      <c r="P137" s="93">
        <f t="shared" si="46"/>
        <v>0.56622516556291391</v>
      </c>
      <c r="Q137" s="93">
        <f t="shared" si="47"/>
        <v>-6.460118655240607E-2</v>
      </c>
      <c r="R137" s="100">
        <f t="shared" si="48"/>
        <v>-0.31614457831325299</v>
      </c>
      <c r="S137" s="13">
        <f t="shared" si="49"/>
        <v>9.0575431653528229E-3</v>
      </c>
    </row>
    <row r="138" spans="1:19" x14ac:dyDescent="0.2">
      <c r="A138" s="4" t="s">
        <v>242</v>
      </c>
      <c r="B138" s="4">
        <v>83</v>
      </c>
      <c r="C138" s="4">
        <v>79</v>
      </c>
      <c r="D138" s="4">
        <v>106</v>
      </c>
      <c r="E138" s="4">
        <v>175</v>
      </c>
      <c r="F138" s="4">
        <v>200</v>
      </c>
      <c r="G138" s="4">
        <v>316</v>
      </c>
      <c r="H138" s="4">
        <v>384</v>
      </c>
      <c r="I138" s="4">
        <v>499</v>
      </c>
      <c r="J138" s="4">
        <v>598</v>
      </c>
      <c r="K138" s="4">
        <v>1251</v>
      </c>
      <c r="L138" s="4">
        <v>1109</v>
      </c>
      <c r="M138" s="4">
        <v>1551</v>
      </c>
      <c r="N138" s="4">
        <v>1370</v>
      </c>
      <c r="O138" s="4">
        <v>1343</v>
      </c>
      <c r="P138" s="93">
        <f t="shared" si="46"/>
        <v>5.7149999999999999</v>
      </c>
      <c r="Q138" s="93">
        <f t="shared" si="47"/>
        <v>7.3541167066346919E-2</v>
      </c>
      <c r="R138" s="100">
        <f t="shared" si="48"/>
        <v>-1.9708029197080291E-2</v>
      </c>
      <c r="S138" s="13">
        <f t="shared" si="49"/>
        <v>8.5724316216129956E-3</v>
      </c>
    </row>
    <row r="139" spans="1:19" x14ac:dyDescent="0.2">
      <c r="A139" s="4" t="s">
        <v>59</v>
      </c>
      <c r="B139" s="4">
        <v>41</v>
      </c>
      <c r="C139" s="4">
        <v>25</v>
      </c>
      <c r="D139" s="4">
        <v>63</v>
      </c>
      <c r="E139" s="4">
        <v>162</v>
      </c>
      <c r="F139" s="4">
        <v>232</v>
      </c>
      <c r="G139" s="4">
        <v>433</v>
      </c>
      <c r="H139" s="4">
        <v>512</v>
      </c>
      <c r="I139" s="4">
        <v>682</v>
      </c>
      <c r="J139" s="4">
        <v>914</v>
      </c>
      <c r="K139" s="4">
        <v>996</v>
      </c>
      <c r="L139" s="4">
        <v>1081</v>
      </c>
      <c r="M139" s="4">
        <v>1058</v>
      </c>
      <c r="N139" s="4">
        <v>1256</v>
      </c>
      <c r="O139" s="4">
        <v>1310</v>
      </c>
      <c r="P139" s="93">
        <f t="shared" si="46"/>
        <v>4.6465517241379306</v>
      </c>
      <c r="Q139" s="93">
        <f t="shared" si="47"/>
        <v>0.31526104417670681</v>
      </c>
      <c r="R139" s="100">
        <f t="shared" si="48"/>
        <v>4.2993630573248405E-2</v>
      </c>
      <c r="S139" s="13">
        <f t="shared" si="49"/>
        <v>8.3617910828838599E-3</v>
      </c>
    </row>
    <row r="140" spans="1:19" x14ac:dyDescent="0.2">
      <c r="A140" s="4" t="s">
        <v>72</v>
      </c>
      <c r="B140" s="4">
        <v>217</v>
      </c>
      <c r="C140" s="4">
        <v>291</v>
      </c>
      <c r="D140" s="4">
        <v>388</v>
      </c>
      <c r="E140" s="4">
        <v>549</v>
      </c>
      <c r="F140" s="4">
        <v>570</v>
      </c>
      <c r="G140" s="4">
        <v>588</v>
      </c>
      <c r="H140" s="4">
        <v>1043</v>
      </c>
      <c r="I140" s="4">
        <v>1329</v>
      </c>
      <c r="J140" s="4">
        <v>1450</v>
      </c>
      <c r="K140" s="4">
        <v>1629</v>
      </c>
      <c r="L140" s="4">
        <v>2164</v>
      </c>
      <c r="M140" s="4">
        <v>1559</v>
      </c>
      <c r="N140" s="4">
        <v>1521</v>
      </c>
      <c r="O140" s="4">
        <v>1310</v>
      </c>
      <c r="P140" s="93">
        <f t="shared" si="46"/>
        <v>1.2982456140350878</v>
      </c>
      <c r="Q140" s="93">
        <f t="shared" si="47"/>
        <v>-0.1958256599140577</v>
      </c>
      <c r="R140" s="100">
        <f t="shared" si="48"/>
        <v>-0.13872452333990795</v>
      </c>
      <c r="S140" s="13">
        <f t="shared" si="49"/>
        <v>8.3617910828838599E-3</v>
      </c>
    </row>
    <row r="141" spans="1:19" x14ac:dyDescent="0.2">
      <c r="A141" s="4" t="s">
        <v>64</v>
      </c>
      <c r="B141" s="4">
        <v>257</v>
      </c>
      <c r="C141" s="4">
        <v>259</v>
      </c>
      <c r="D141" s="4">
        <v>342</v>
      </c>
      <c r="E141" s="4">
        <v>541</v>
      </c>
      <c r="F141" s="4">
        <v>603</v>
      </c>
      <c r="G141" s="4">
        <v>768</v>
      </c>
      <c r="H141" s="4">
        <v>930</v>
      </c>
      <c r="I141" s="4">
        <v>1250</v>
      </c>
      <c r="J141" s="4">
        <v>1517</v>
      </c>
      <c r="K141" s="4">
        <v>1666</v>
      </c>
      <c r="L141" s="4">
        <v>1780</v>
      </c>
      <c r="M141" s="4">
        <v>1621</v>
      </c>
      <c r="N141" s="4">
        <v>1653</v>
      </c>
      <c r="O141" s="4">
        <v>1291</v>
      </c>
      <c r="P141" s="93">
        <f t="shared" si="46"/>
        <v>1.1409618573797677</v>
      </c>
      <c r="Q141" s="93">
        <f t="shared" si="47"/>
        <v>-0.22509003601440578</v>
      </c>
      <c r="R141" s="100">
        <f t="shared" si="48"/>
        <v>-0.2189957652752571</v>
      </c>
      <c r="S141" s="13">
        <f t="shared" si="49"/>
        <v>8.240513196948903E-3</v>
      </c>
    </row>
    <row r="142" spans="1:19" x14ac:dyDescent="0.2">
      <c r="A142" s="4" t="s">
        <v>352</v>
      </c>
      <c r="B142" s="4">
        <v>315</v>
      </c>
      <c r="C142" s="4">
        <v>368</v>
      </c>
      <c r="D142" s="4">
        <v>358</v>
      </c>
      <c r="E142" s="4">
        <v>392</v>
      </c>
      <c r="F142" s="4">
        <v>461</v>
      </c>
      <c r="G142" s="4">
        <v>543</v>
      </c>
      <c r="H142" s="4">
        <v>522</v>
      </c>
      <c r="I142" s="4">
        <v>635</v>
      </c>
      <c r="J142" s="4">
        <v>771</v>
      </c>
      <c r="K142" s="4">
        <v>828</v>
      </c>
      <c r="L142" s="4">
        <v>937</v>
      </c>
      <c r="M142" s="4">
        <v>1022</v>
      </c>
      <c r="N142" s="4">
        <v>1011</v>
      </c>
      <c r="O142" s="4">
        <v>1065</v>
      </c>
      <c r="P142" s="93">
        <f t="shared" si="46"/>
        <v>1.3101952277657267</v>
      </c>
      <c r="Q142" s="93">
        <f t="shared" si="47"/>
        <v>0.28623188405797101</v>
      </c>
      <c r="R142" s="100">
        <f t="shared" si="48"/>
        <v>5.3412462908011868E-2</v>
      </c>
      <c r="S142" s="13">
        <f t="shared" si="49"/>
        <v>6.7979446589857342E-3</v>
      </c>
    </row>
    <row r="143" spans="1:19" x14ac:dyDescent="0.2">
      <c r="A143" s="31" t="s">
        <v>61</v>
      </c>
      <c r="B143" s="31">
        <v>83</v>
      </c>
      <c r="C143" s="4">
        <v>100</v>
      </c>
      <c r="D143" s="4">
        <v>207</v>
      </c>
      <c r="E143" s="4">
        <v>373</v>
      </c>
      <c r="F143" s="4">
        <v>444</v>
      </c>
      <c r="G143" s="4">
        <v>616</v>
      </c>
      <c r="H143" s="4">
        <v>832</v>
      </c>
      <c r="I143" s="4">
        <v>900</v>
      </c>
      <c r="J143" s="4">
        <v>1035</v>
      </c>
      <c r="K143" s="4">
        <v>1038</v>
      </c>
      <c r="L143" s="4">
        <v>1024</v>
      </c>
      <c r="M143" s="4">
        <v>1057</v>
      </c>
      <c r="N143" s="4">
        <v>1186</v>
      </c>
      <c r="O143" s="4">
        <v>958</v>
      </c>
      <c r="P143" s="93">
        <f t="shared" si="46"/>
        <v>1.1576576576576576</v>
      </c>
      <c r="Q143" s="93">
        <f t="shared" si="47"/>
        <v>-7.7071290944123308E-2</v>
      </c>
      <c r="R143" s="100">
        <f t="shared" si="48"/>
        <v>-0.19224283305227655</v>
      </c>
      <c r="S143" s="13">
        <f t="shared" si="49"/>
        <v>6.1149586697730827E-3</v>
      </c>
    </row>
    <row r="144" spans="1:19" x14ac:dyDescent="0.2">
      <c r="A144" s="31" t="s">
        <v>66</v>
      </c>
      <c r="B144" s="31">
        <v>98</v>
      </c>
      <c r="C144" s="4">
        <v>200</v>
      </c>
      <c r="D144" s="4">
        <v>364</v>
      </c>
      <c r="E144" s="4">
        <v>405</v>
      </c>
      <c r="F144" s="4">
        <v>512</v>
      </c>
      <c r="G144" s="4">
        <v>561</v>
      </c>
      <c r="H144" s="4">
        <v>817</v>
      </c>
      <c r="I144" s="4">
        <v>895</v>
      </c>
      <c r="J144" s="4">
        <v>931</v>
      </c>
      <c r="K144" s="4">
        <v>995</v>
      </c>
      <c r="L144" s="4">
        <v>1231</v>
      </c>
      <c r="M144" s="4">
        <v>1243</v>
      </c>
      <c r="N144" s="4">
        <v>1071</v>
      </c>
      <c r="O144" s="4">
        <v>919</v>
      </c>
      <c r="P144" s="93">
        <f t="shared" si="46"/>
        <v>0.794921875</v>
      </c>
      <c r="Q144" s="93">
        <f t="shared" si="47"/>
        <v>-7.6381909547738699E-2</v>
      </c>
      <c r="R144" s="100">
        <f t="shared" si="48"/>
        <v>-0.1419234360410831</v>
      </c>
      <c r="S144" s="13">
        <f t="shared" si="49"/>
        <v>5.8660198512750132E-3</v>
      </c>
    </row>
    <row r="145" spans="1:19" x14ac:dyDescent="0.2">
      <c r="A145" s="4" t="s">
        <v>62</v>
      </c>
      <c r="B145" s="4">
        <v>42</v>
      </c>
      <c r="C145" s="4">
        <v>24</v>
      </c>
      <c r="D145" s="4">
        <v>87</v>
      </c>
      <c r="E145" s="4">
        <v>164</v>
      </c>
      <c r="F145" s="4">
        <v>179</v>
      </c>
      <c r="G145" s="4">
        <v>274</v>
      </c>
      <c r="H145" s="4">
        <v>404</v>
      </c>
      <c r="I145" s="4">
        <v>368</v>
      </c>
      <c r="J145" s="4">
        <v>694</v>
      </c>
      <c r="K145" s="4">
        <v>856</v>
      </c>
      <c r="L145" s="4">
        <v>982</v>
      </c>
      <c r="M145" s="4">
        <v>975</v>
      </c>
      <c r="N145" s="4">
        <v>911</v>
      </c>
      <c r="O145" s="4">
        <v>907</v>
      </c>
      <c r="P145" s="93">
        <f t="shared" si="46"/>
        <v>4.0670391061452511</v>
      </c>
      <c r="Q145" s="93">
        <f t="shared" si="47"/>
        <v>5.9579439252336448E-2</v>
      </c>
      <c r="R145" s="100">
        <f t="shared" si="48"/>
        <v>-4.3907793633369925E-3</v>
      </c>
      <c r="S145" s="13">
        <f t="shared" si="49"/>
        <v>5.7894232917371459E-3</v>
      </c>
    </row>
    <row r="146" spans="1:19" x14ac:dyDescent="0.2">
      <c r="A146" s="4" t="s">
        <v>237</v>
      </c>
      <c r="B146" s="4">
        <v>519</v>
      </c>
      <c r="C146" s="4">
        <v>431</v>
      </c>
      <c r="D146" s="4">
        <v>573</v>
      </c>
      <c r="E146" s="4">
        <v>225</v>
      </c>
      <c r="F146" s="4">
        <v>488</v>
      </c>
      <c r="G146" s="4">
        <v>496</v>
      </c>
      <c r="H146" s="4">
        <v>671</v>
      </c>
      <c r="I146" s="4">
        <v>678</v>
      </c>
      <c r="J146" s="4">
        <v>837</v>
      </c>
      <c r="K146" s="4">
        <v>914</v>
      </c>
      <c r="L146" s="4">
        <v>919</v>
      </c>
      <c r="M146" s="4">
        <v>1026</v>
      </c>
      <c r="N146" s="4">
        <v>969</v>
      </c>
      <c r="O146" s="4">
        <v>836</v>
      </c>
      <c r="P146" s="93">
        <f t="shared" si="46"/>
        <v>0.71311475409836067</v>
      </c>
      <c r="Q146" s="93">
        <f t="shared" si="47"/>
        <v>-8.5339168490153175E-2</v>
      </c>
      <c r="R146" s="100">
        <f t="shared" si="48"/>
        <v>-0.13725490196078433</v>
      </c>
      <c r="S146" s="13">
        <f t="shared" si="49"/>
        <v>5.3362269811380973E-3</v>
      </c>
    </row>
    <row r="147" spans="1:19" x14ac:dyDescent="0.2">
      <c r="S147" s="37"/>
    </row>
    <row r="148" spans="1:19" ht="15.75" x14ac:dyDescent="0.2">
      <c r="A148" s="38" t="s">
        <v>405</v>
      </c>
      <c r="B148" s="38"/>
      <c r="C148" s="38"/>
      <c r="D148" s="38"/>
      <c r="E148" s="38"/>
      <c r="F148" s="38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</row>
    <row r="149" spans="1:19" ht="25.5" x14ac:dyDescent="0.2">
      <c r="A149" s="82" t="s">
        <v>51</v>
      </c>
      <c r="B149" s="3">
        <v>2007</v>
      </c>
      <c r="C149" s="3">
        <v>2008</v>
      </c>
      <c r="D149" s="3">
        <v>2009</v>
      </c>
      <c r="E149" s="3">
        <v>2010</v>
      </c>
      <c r="F149" s="3">
        <v>2011</v>
      </c>
      <c r="G149" s="3">
        <v>2012</v>
      </c>
      <c r="H149" s="3">
        <v>2013</v>
      </c>
      <c r="I149" s="3">
        <v>2014</v>
      </c>
      <c r="J149" s="3">
        <v>2015</v>
      </c>
      <c r="K149" s="3">
        <v>2016</v>
      </c>
      <c r="L149" s="3">
        <v>2017</v>
      </c>
      <c r="M149" s="3">
        <v>2018</v>
      </c>
      <c r="N149" s="3">
        <v>2019</v>
      </c>
      <c r="O149" s="3">
        <v>2020</v>
      </c>
      <c r="P149" s="12" t="s">
        <v>427</v>
      </c>
      <c r="Q149" s="12" t="s">
        <v>428</v>
      </c>
      <c r="R149" s="12" t="s">
        <v>429</v>
      </c>
      <c r="S149" s="12" t="s">
        <v>430</v>
      </c>
    </row>
    <row r="150" spans="1:19" x14ac:dyDescent="0.2">
      <c r="A150" s="4" t="s">
        <v>78</v>
      </c>
      <c r="B150" s="4">
        <v>3572</v>
      </c>
      <c r="C150" s="4">
        <v>3681</v>
      </c>
      <c r="D150" s="4">
        <v>3879</v>
      </c>
      <c r="E150" s="4">
        <v>3691</v>
      </c>
      <c r="F150" s="4">
        <v>4053</v>
      </c>
      <c r="G150" s="4">
        <v>4614</v>
      </c>
      <c r="H150" s="4">
        <v>5459</v>
      </c>
      <c r="I150" s="4">
        <v>6079</v>
      </c>
      <c r="J150" s="4">
        <v>6670</v>
      </c>
      <c r="K150" s="4">
        <v>6742</v>
      </c>
      <c r="L150" s="4">
        <v>7279</v>
      </c>
      <c r="M150" s="4">
        <v>7178</v>
      </c>
      <c r="N150" s="4">
        <v>7048</v>
      </c>
      <c r="O150" s="4">
        <v>6595</v>
      </c>
      <c r="P150" s="93">
        <f t="shared" ref="P150:P169" si="50">(O150-F150)/F150</f>
        <v>0.62718973599802619</v>
      </c>
      <c r="Q150" s="93">
        <f t="shared" ref="Q150:Q169" si="51">(O150-K150)/K150</f>
        <v>-2.1803619104123404E-2</v>
      </c>
      <c r="R150" s="100">
        <f t="shared" ref="R150:R169" si="52">(O150-N150)/N150</f>
        <v>-6.4273552780930762E-2</v>
      </c>
      <c r="S150" s="13">
        <f t="shared" ref="S150:S169" si="53">O150/O$9</f>
        <v>4.2096192512686308E-2</v>
      </c>
    </row>
    <row r="151" spans="1:19" x14ac:dyDescent="0.2">
      <c r="A151" s="4" t="s">
        <v>81</v>
      </c>
      <c r="B151" s="4">
        <v>2529</v>
      </c>
      <c r="C151" s="4">
        <v>3086</v>
      </c>
      <c r="D151" s="4">
        <v>3296</v>
      </c>
      <c r="E151" s="4">
        <v>2848</v>
      </c>
      <c r="F151" s="4">
        <v>3024</v>
      </c>
      <c r="G151" s="4">
        <v>3053</v>
      </c>
      <c r="H151" s="4">
        <v>3411</v>
      </c>
      <c r="I151" s="4">
        <v>3720</v>
      </c>
      <c r="J151" s="4">
        <v>4060</v>
      </c>
      <c r="K151" s="4">
        <v>3953</v>
      </c>
      <c r="L151" s="4">
        <v>4064</v>
      </c>
      <c r="M151" s="4">
        <v>4415</v>
      </c>
      <c r="N151" s="4">
        <v>4896</v>
      </c>
      <c r="O151" s="4">
        <v>4147</v>
      </c>
      <c r="P151" s="93">
        <f t="shared" si="50"/>
        <v>0.37136243386243384</v>
      </c>
      <c r="Q151" s="93">
        <f t="shared" si="51"/>
        <v>4.9076650645079684E-2</v>
      </c>
      <c r="R151" s="100">
        <f t="shared" si="52"/>
        <v>-0.15298202614379086</v>
      </c>
      <c r="S151" s="13">
        <f t="shared" si="53"/>
        <v>2.6470494366961351E-2</v>
      </c>
    </row>
    <row r="152" spans="1:19" x14ac:dyDescent="0.2">
      <c r="A152" s="4" t="s">
        <v>79</v>
      </c>
      <c r="B152" s="4">
        <v>1724</v>
      </c>
      <c r="C152" s="4">
        <v>1574</v>
      </c>
      <c r="D152" s="4">
        <v>2130</v>
      </c>
      <c r="E152" s="4">
        <v>2054</v>
      </c>
      <c r="F152" s="4">
        <v>1952</v>
      </c>
      <c r="G152" s="4">
        <v>2618</v>
      </c>
      <c r="H152" s="4">
        <v>3551</v>
      </c>
      <c r="I152" s="4">
        <v>3770</v>
      </c>
      <c r="J152" s="4">
        <v>4321</v>
      </c>
      <c r="K152" s="4">
        <v>4359</v>
      </c>
      <c r="L152" s="4">
        <v>4462</v>
      </c>
      <c r="M152" s="4">
        <v>4474</v>
      </c>
      <c r="N152" s="4">
        <v>4079</v>
      </c>
      <c r="O152" s="4">
        <v>3902</v>
      </c>
      <c r="P152" s="93">
        <f t="shared" si="50"/>
        <v>0.99897540983606559</v>
      </c>
      <c r="Q152" s="93">
        <f t="shared" si="51"/>
        <v>-0.10484055976141317</v>
      </c>
      <c r="R152" s="100">
        <f t="shared" si="52"/>
        <v>-4.3392988477568034E-2</v>
      </c>
      <c r="S152" s="13">
        <f t="shared" si="53"/>
        <v>2.4906647943063225E-2</v>
      </c>
    </row>
    <row r="153" spans="1:19" x14ac:dyDescent="0.2">
      <c r="A153" s="4" t="s">
        <v>84</v>
      </c>
      <c r="B153" s="4">
        <v>994</v>
      </c>
      <c r="C153" s="4">
        <v>1337</v>
      </c>
      <c r="D153" s="4">
        <v>1144</v>
      </c>
      <c r="E153" s="4">
        <v>1150</v>
      </c>
      <c r="F153" s="4">
        <v>1180</v>
      </c>
      <c r="G153" s="4">
        <v>1277</v>
      </c>
      <c r="H153" s="4">
        <v>1920</v>
      </c>
      <c r="I153" s="4">
        <v>1864</v>
      </c>
      <c r="J153" s="4">
        <v>2843</v>
      </c>
      <c r="K153" s="4">
        <v>2644</v>
      </c>
      <c r="L153" s="4">
        <v>2781</v>
      </c>
      <c r="M153" s="4">
        <v>3877</v>
      </c>
      <c r="N153" s="4">
        <v>5000</v>
      </c>
      <c r="O153" s="4">
        <v>2990</v>
      </c>
      <c r="P153" s="93">
        <f t="shared" si="50"/>
        <v>1.5338983050847457</v>
      </c>
      <c r="Q153" s="93">
        <f t="shared" si="51"/>
        <v>0.13086232980332829</v>
      </c>
      <c r="R153" s="100">
        <f t="shared" si="52"/>
        <v>-0.40200000000000002</v>
      </c>
      <c r="S153" s="13">
        <f t="shared" si="53"/>
        <v>1.9085309418185301E-2</v>
      </c>
    </row>
    <row r="154" spans="1:19" x14ac:dyDescent="0.2">
      <c r="A154" s="4" t="s">
        <v>69</v>
      </c>
      <c r="B154" s="4">
        <v>1247</v>
      </c>
      <c r="C154" s="4">
        <v>1406</v>
      </c>
      <c r="D154" s="4">
        <v>1788</v>
      </c>
      <c r="E154" s="4">
        <v>1817</v>
      </c>
      <c r="F154" s="4">
        <v>2415</v>
      </c>
      <c r="G154" s="4">
        <v>2352</v>
      </c>
      <c r="H154" s="4">
        <v>3062</v>
      </c>
      <c r="I154" s="4">
        <v>3414</v>
      </c>
      <c r="J154" s="4">
        <v>3360</v>
      </c>
      <c r="K154" s="4">
        <v>3366</v>
      </c>
      <c r="L154" s="4">
        <v>3414</v>
      </c>
      <c r="M154" s="4">
        <v>3623</v>
      </c>
      <c r="N154" s="4">
        <v>3534</v>
      </c>
      <c r="O154" s="4">
        <v>2940</v>
      </c>
      <c r="P154" s="93">
        <f t="shared" si="50"/>
        <v>0.21739130434782608</v>
      </c>
      <c r="Q154" s="93">
        <f t="shared" si="51"/>
        <v>-0.12655971479500891</v>
      </c>
      <c r="R154" s="100">
        <f t="shared" si="52"/>
        <v>-0.16808149405772496</v>
      </c>
      <c r="S154" s="13">
        <f t="shared" si="53"/>
        <v>1.8766157086777518E-2</v>
      </c>
    </row>
    <row r="155" spans="1:19" x14ac:dyDescent="0.2">
      <c r="A155" s="4" t="s">
        <v>16</v>
      </c>
      <c r="B155" s="4">
        <v>1881</v>
      </c>
      <c r="C155" s="4">
        <v>2102</v>
      </c>
      <c r="D155" s="4">
        <v>2416</v>
      </c>
      <c r="E155" s="4">
        <v>2382</v>
      </c>
      <c r="F155" s="4">
        <v>2476</v>
      </c>
      <c r="G155" s="4">
        <v>2594</v>
      </c>
      <c r="H155" s="4">
        <v>2818</v>
      </c>
      <c r="I155" s="4">
        <v>3476</v>
      </c>
      <c r="J155" s="4">
        <v>3481</v>
      </c>
      <c r="K155" s="4">
        <v>3644</v>
      </c>
      <c r="L155" s="4">
        <v>4278</v>
      </c>
      <c r="M155" s="4">
        <v>3817</v>
      </c>
      <c r="N155" s="4">
        <v>3971</v>
      </c>
      <c r="O155" s="4">
        <v>2838</v>
      </c>
      <c r="P155" s="93">
        <f t="shared" si="50"/>
        <v>0.14620355411954766</v>
      </c>
      <c r="Q155" s="93">
        <f t="shared" si="51"/>
        <v>-0.221185510428101</v>
      </c>
      <c r="R155" s="100">
        <f t="shared" si="52"/>
        <v>-0.2853185595567867</v>
      </c>
      <c r="S155" s="13">
        <f t="shared" si="53"/>
        <v>1.8115086330705646E-2</v>
      </c>
    </row>
    <row r="156" spans="1:19" x14ac:dyDescent="0.2">
      <c r="A156" s="4" t="s">
        <v>75</v>
      </c>
      <c r="B156" s="4">
        <v>1902</v>
      </c>
      <c r="C156" s="4">
        <v>1887</v>
      </c>
      <c r="D156" s="4">
        <v>1938</v>
      </c>
      <c r="E156" s="4">
        <v>2033</v>
      </c>
      <c r="F156" s="4">
        <v>1564</v>
      </c>
      <c r="G156" s="4">
        <v>1577</v>
      </c>
      <c r="H156" s="4">
        <v>1636</v>
      </c>
      <c r="I156" s="4">
        <v>1772</v>
      </c>
      <c r="J156" s="4">
        <v>1556</v>
      </c>
      <c r="K156" s="4">
        <v>1464</v>
      </c>
      <c r="L156" s="4">
        <v>1643</v>
      </c>
      <c r="M156" s="4">
        <v>1955</v>
      </c>
      <c r="N156" s="4">
        <v>2162</v>
      </c>
      <c r="O156" s="4">
        <v>2517</v>
      </c>
      <c r="P156" s="93">
        <f t="shared" si="50"/>
        <v>0.60933503836317138</v>
      </c>
      <c r="Q156" s="93">
        <f t="shared" si="51"/>
        <v>0.71926229508196726</v>
      </c>
      <c r="R156" s="100">
        <f t="shared" si="52"/>
        <v>0.16419981498612396</v>
      </c>
      <c r="S156" s="13">
        <f t="shared" si="53"/>
        <v>1.6066128363067693E-2</v>
      </c>
    </row>
    <row r="157" spans="1:19" x14ac:dyDescent="0.2">
      <c r="A157" s="4" t="s">
        <v>70</v>
      </c>
      <c r="B157" s="4">
        <v>1769</v>
      </c>
      <c r="C157" s="4">
        <v>1667</v>
      </c>
      <c r="D157" s="4">
        <v>1627</v>
      </c>
      <c r="E157" s="4">
        <v>1588</v>
      </c>
      <c r="F157" s="4">
        <v>1875</v>
      </c>
      <c r="G157" s="4">
        <v>1952</v>
      </c>
      <c r="H157" s="4">
        <v>1957</v>
      </c>
      <c r="I157" s="4">
        <v>2421</v>
      </c>
      <c r="J157" s="4">
        <v>2189</v>
      </c>
      <c r="K157" s="4">
        <v>2175</v>
      </c>
      <c r="L157" s="4">
        <v>2378</v>
      </c>
      <c r="M157" s="4">
        <v>2330</v>
      </c>
      <c r="N157" s="4">
        <v>2128</v>
      </c>
      <c r="O157" s="4">
        <v>2222</v>
      </c>
      <c r="P157" s="93">
        <f t="shared" si="50"/>
        <v>0.18506666666666666</v>
      </c>
      <c r="Q157" s="93">
        <f t="shared" si="51"/>
        <v>2.1609195402298852E-2</v>
      </c>
      <c r="R157" s="100">
        <f t="shared" si="52"/>
        <v>4.4172932330827065E-2</v>
      </c>
      <c r="S157" s="13">
        <f t="shared" si="53"/>
        <v>1.4183129607761785E-2</v>
      </c>
    </row>
    <row r="158" spans="1:19" x14ac:dyDescent="0.2">
      <c r="A158" s="4" t="s">
        <v>80</v>
      </c>
      <c r="B158" s="4">
        <v>1287</v>
      </c>
      <c r="C158" s="4">
        <v>1549</v>
      </c>
      <c r="D158" s="4">
        <v>1662</v>
      </c>
      <c r="E158" s="4">
        <v>1777</v>
      </c>
      <c r="F158" s="4">
        <v>2107</v>
      </c>
      <c r="G158" s="4">
        <v>2624</v>
      </c>
      <c r="H158" s="4">
        <v>3430</v>
      </c>
      <c r="I158" s="4">
        <v>4384</v>
      </c>
      <c r="J158" s="4">
        <v>4806</v>
      </c>
      <c r="K158" s="4">
        <v>5314</v>
      </c>
      <c r="L158" s="4">
        <v>5603</v>
      </c>
      <c r="M158" s="4">
        <v>5911</v>
      </c>
      <c r="N158" s="4">
        <v>5346</v>
      </c>
      <c r="O158" s="4">
        <v>2119</v>
      </c>
      <c r="P158" s="93">
        <f t="shared" si="50"/>
        <v>5.6953013763644993E-3</v>
      </c>
      <c r="Q158" s="93">
        <f t="shared" si="51"/>
        <v>-0.60124200225818591</v>
      </c>
      <c r="R158" s="100">
        <f t="shared" si="52"/>
        <v>-0.60362888140665916</v>
      </c>
      <c r="S158" s="13">
        <f t="shared" si="53"/>
        <v>1.3525675805061756E-2</v>
      </c>
    </row>
    <row r="159" spans="1:19" x14ac:dyDescent="0.2">
      <c r="A159" s="4" t="s">
        <v>83</v>
      </c>
      <c r="B159" s="4">
        <v>1519</v>
      </c>
      <c r="C159" s="4">
        <v>1625</v>
      </c>
      <c r="D159" s="4">
        <v>1984</v>
      </c>
      <c r="E159" s="4">
        <v>2051</v>
      </c>
      <c r="F159" s="4">
        <v>2256</v>
      </c>
      <c r="G159" s="4">
        <v>2605</v>
      </c>
      <c r="H159" s="4">
        <v>2771</v>
      </c>
      <c r="I159" s="4">
        <v>3001</v>
      </c>
      <c r="J159" s="4">
        <v>2910</v>
      </c>
      <c r="K159" s="4">
        <v>2714</v>
      </c>
      <c r="L159" s="4">
        <v>2370</v>
      </c>
      <c r="M159" s="4">
        <v>1993</v>
      </c>
      <c r="N159" s="4">
        <v>2100</v>
      </c>
      <c r="O159" s="4">
        <v>1719</v>
      </c>
      <c r="P159" s="93">
        <f t="shared" si="50"/>
        <v>-0.23803191489361702</v>
      </c>
      <c r="Q159" s="93">
        <f t="shared" si="51"/>
        <v>-0.36661753868828295</v>
      </c>
      <c r="R159" s="100">
        <f t="shared" si="52"/>
        <v>-0.18142857142857144</v>
      </c>
      <c r="S159" s="13">
        <f t="shared" si="53"/>
        <v>1.0972457153799509E-2</v>
      </c>
    </row>
    <row r="160" spans="1:19" x14ac:dyDescent="0.2">
      <c r="A160" s="4" t="s">
        <v>71</v>
      </c>
      <c r="B160" s="4">
        <v>1634</v>
      </c>
      <c r="C160" s="4">
        <v>1497</v>
      </c>
      <c r="D160" s="4">
        <v>1435</v>
      </c>
      <c r="E160" s="4">
        <v>1448</v>
      </c>
      <c r="F160" s="4">
        <v>1555</v>
      </c>
      <c r="G160" s="4">
        <v>1846</v>
      </c>
      <c r="H160" s="4">
        <v>2033</v>
      </c>
      <c r="I160" s="4">
        <v>2142</v>
      </c>
      <c r="J160" s="4">
        <v>2223</v>
      </c>
      <c r="K160" s="4">
        <v>1958</v>
      </c>
      <c r="L160" s="4">
        <v>1900</v>
      </c>
      <c r="M160" s="4">
        <v>1726</v>
      </c>
      <c r="N160" s="4">
        <v>1748</v>
      </c>
      <c r="O160" s="4">
        <v>1690</v>
      </c>
      <c r="P160" s="93">
        <f t="shared" si="50"/>
        <v>8.6816720257234734E-2</v>
      </c>
      <c r="Q160" s="93">
        <f t="shared" si="51"/>
        <v>-0.13687436159346272</v>
      </c>
      <c r="R160" s="100">
        <f t="shared" si="52"/>
        <v>-3.3180778032036611E-2</v>
      </c>
      <c r="S160" s="13">
        <f t="shared" si="53"/>
        <v>1.0787348801582995E-2</v>
      </c>
    </row>
    <row r="161" spans="1:19" x14ac:dyDescent="0.2">
      <c r="A161" s="4" t="s">
        <v>54</v>
      </c>
      <c r="B161" s="4">
        <v>219</v>
      </c>
      <c r="C161" s="4">
        <v>393</v>
      </c>
      <c r="D161" s="4">
        <v>487</v>
      </c>
      <c r="E161" s="4">
        <v>517</v>
      </c>
      <c r="F161" s="4">
        <v>474</v>
      </c>
      <c r="G161" s="4">
        <v>729</v>
      </c>
      <c r="H161" s="4">
        <v>812</v>
      </c>
      <c r="I161" s="4">
        <v>995</v>
      </c>
      <c r="J161" s="4">
        <v>932</v>
      </c>
      <c r="K161" s="4">
        <v>1150</v>
      </c>
      <c r="L161" s="4">
        <v>1168</v>
      </c>
      <c r="M161" s="4">
        <v>1412</v>
      </c>
      <c r="N161" s="4">
        <v>1555</v>
      </c>
      <c r="O161" s="4">
        <v>1577</v>
      </c>
      <c r="P161" s="93">
        <f t="shared" si="50"/>
        <v>2.3270042194092828</v>
      </c>
      <c r="Q161" s="93">
        <f t="shared" si="51"/>
        <v>0.37130434782608696</v>
      </c>
      <c r="R161" s="100">
        <f t="shared" si="52"/>
        <v>1.414790996784566E-2</v>
      </c>
      <c r="S161" s="13">
        <f t="shared" si="53"/>
        <v>1.006606453260141E-2</v>
      </c>
    </row>
    <row r="162" spans="1:19" x14ac:dyDescent="0.2">
      <c r="A162" s="4" t="s">
        <v>275</v>
      </c>
      <c r="B162" s="4">
        <v>626</v>
      </c>
      <c r="C162" s="4">
        <v>602</v>
      </c>
      <c r="D162" s="4">
        <v>716</v>
      </c>
      <c r="E162" s="4">
        <v>658</v>
      </c>
      <c r="F162" s="4">
        <v>686</v>
      </c>
      <c r="G162" s="4">
        <v>768</v>
      </c>
      <c r="H162" s="4">
        <v>989</v>
      </c>
      <c r="I162" s="4">
        <v>1184</v>
      </c>
      <c r="J162" s="4">
        <v>1200</v>
      </c>
      <c r="K162" s="4">
        <v>1073</v>
      </c>
      <c r="L162" s="4">
        <v>1133</v>
      </c>
      <c r="M162" s="4">
        <v>1436</v>
      </c>
      <c r="N162" s="4">
        <v>1444</v>
      </c>
      <c r="O162" s="4">
        <v>1291</v>
      </c>
      <c r="P162" s="93">
        <f t="shared" si="50"/>
        <v>0.88192419825072887</v>
      </c>
      <c r="Q162" s="93">
        <f t="shared" si="51"/>
        <v>0.20316868592730661</v>
      </c>
      <c r="R162" s="100">
        <f t="shared" si="52"/>
        <v>-0.10595567867036011</v>
      </c>
      <c r="S162" s="13">
        <f t="shared" si="53"/>
        <v>8.240513196948903E-3</v>
      </c>
    </row>
    <row r="163" spans="1:19" x14ac:dyDescent="0.2">
      <c r="A163" s="4" t="s">
        <v>73</v>
      </c>
      <c r="B163" s="4">
        <v>1368</v>
      </c>
      <c r="C163" s="4">
        <v>1399</v>
      </c>
      <c r="D163" s="4">
        <v>1554</v>
      </c>
      <c r="E163" s="4">
        <v>1576</v>
      </c>
      <c r="F163" s="4">
        <v>1442</v>
      </c>
      <c r="G163" s="4">
        <v>1623</v>
      </c>
      <c r="H163" s="4">
        <v>1776</v>
      </c>
      <c r="I163" s="4">
        <v>1927</v>
      </c>
      <c r="J163" s="4">
        <v>1778</v>
      </c>
      <c r="K163" s="4">
        <v>1589</v>
      </c>
      <c r="L163" s="4">
        <v>1443</v>
      </c>
      <c r="M163" s="4">
        <v>1533</v>
      </c>
      <c r="N163" s="4">
        <v>1244</v>
      </c>
      <c r="O163" s="4">
        <v>1211</v>
      </c>
      <c r="P163" s="93">
        <f t="shared" si="50"/>
        <v>-0.16019417475728157</v>
      </c>
      <c r="Q163" s="93">
        <f t="shared" si="51"/>
        <v>-0.23788546255506607</v>
      </c>
      <c r="R163" s="100">
        <f t="shared" si="52"/>
        <v>-2.652733118971061E-2</v>
      </c>
      <c r="S163" s="13">
        <f t="shared" si="53"/>
        <v>7.7298694666964544E-3</v>
      </c>
    </row>
    <row r="164" spans="1:19" x14ac:dyDescent="0.2">
      <c r="A164" s="4" t="s">
        <v>82</v>
      </c>
      <c r="B164" s="4">
        <v>5469</v>
      </c>
      <c r="C164" s="4">
        <v>5391</v>
      </c>
      <c r="D164" s="4">
        <v>5705</v>
      </c>
      <c r="E164" s="4">
        <v>5180</v>
      </c>
      <c r="F164" s="4">
        <v>4231</v>
      </c>
      <c r="G164" s="4">
        <v>3165</v>
      </c>
      <c r="H164" s="4">
        <v>2860</v>
      </c>
      <c r="I164" s="4">
        <v>2692</v>
      </c>
      <c r="J164" s="4">
        <v>2430</v>
      </c>
      <c r="K164" s="4">
        <v>2082</v>
      </c>
      <c r="L164" s="4">
        <v>2026</v>
      </c>
      <c r="M164" s="4">
        <v>1452</v>
      </c>
      <c r="N164" s="4">
        <v>1394</v>
      </c>
      <c r="O164" s="4">
        <v>1171</v>
      </c>
      <c r="P164" s="93">
        <f t="shared" si="50"/>
        <v>-0.7232332781848263</v>
      </c>
      <c r="Q164" s="93">
        <f t="shared" si="51"/>
        <v>-0.43756003842459174</v>
      </c>
      <c r="R164" s="100">
        <f t="shared" si="52"/>
        <v>-0.1599713055954089</v>
      </c>
      <c r="S164" s="13">
        <f t="shared" si="53"/>
        <v>7.4745476015702292E-3</v>
      </c>
    </row>
    <row r="165" spans="1:19" x14ac:dyDescent="0.2">
      <c r="A165" s="4" t="s">
        <v>353</v>
      </c>
      <c r="B165" s="4">
        <v>1290</v>
      </c>
      <c r="C165" s="4">
        <v>1185</v>
      </c>
      <c r="D165" s="4">
        <v>1416</v>
      </c>
      <c r="E165" s="4">
        <v>1363</v>
      </c>
      <c r="F165" s="4">
        <v>1141</v>
      </c>
      <c r="G165" s="4">
        <v>1201</v>
      </c>
      <c r="H165" s="4">
        <v>1407</v>
      </c>
      <c r="I165" s="4">
        <v>1274</v>
      </c>
      <c r="J165" s="4">
        <v>1282</v>
      </c>
      <c r="K165" s="4">
        <v>1218</v>
      </c>
      <c r="L165" s="4">
        <v>1308</v>
      </c>
      <c r="M165" s="4">
        <v>1152</v>
      </c>
      <c r="N165" s="4">
        <v>1131</v>
      </c>
      <c r="O165" s="4">
        <v>1165</v>
      </c>
      <c r="P165" s="93">
        <f t="shared" si="50"/>
        <v>2.1034180543382998E-2</v>
      </c>
      <c r="Q165" s="93">
        <f t="shared" si="51"/>
        <v>-4.3513957307060758E-2</v>
      </c>
      <c r="R165" s="100">
        <f t="shared" si="52"/>
        <v>3.0061892130857647E-2</v>
      </c>
      <c r="S165" s="13">
        <f t="shared" si="53"/>
        <v>7.4362493218012955E-3</v>
      </c>
    </row>
    <row r="166" spans="1:19" x14ac:dyDescent="0.2">
      <c r="A166" s="4" t="s">
        <v>354</v>
      </c>
      <c r="B166" s="4">
        <v>610</v>
      </c>
      <c r="C166" s="4">
        <v>833</v>
      </c>
      <c r="D166" s="4">
        <v>1179</v>
      </c>
      <c r="E166" s="4">
        <v>1258</v>
      </c>
      <c r="F166" s="4">
        <v>1206</v>
      </c>
      <c r="G166" s="4">
        <v>1447</v>
      </c>
      <c r="H166" s="4">
        <v>1534</v>
      </c>
      <c r="I166" s="4">
        <v>1691</v>
      </c>
      <c r="J166" s="4">
        <v>1505</v>
      </c>
      <c r="K166" s="4">
        <v>1517</v>
      </c>
      <c r="L166" s="4">
        <v>1334</v>
      </c>
      <c r="M166" s="4">
        <v>1131</v>
      </c>
      <c r="N166" s="4">
        <v>1188</v>
      </c>
      <c r="O166" s="4">
        <v>1050</v>
      </c>
      <c r="P166" s="93">
        <f t="shared" si="50"/>
        <v>-0.12935323383084577</v>
      </c>
      <c r="Q166" s="93">
        <f t="shared" si="51"/>
        <v>-0.3078444297956493</v>
      </c>
      <c r="R166" s="100">
        <f t="shared" si="52"/>
        <v>-0.11616161616161616</v>
      </c>
      <c r="S166" s="13">
        <f t="shared" si="53"/>
        <v>6.7021989595633996E-3</v>
      </c>
    </row>
    <row r="167" spans="1:19" x14ac:dyDescent="0.2">
      <c r="A167" s="4" t="s">
        <v>352</v>
      </c>
      <c r="B167" s="4">
        <v>676</v>
      </c>
      <c r="C167" s="4">
        <v>647</v>
      </c>
      <c r="D167" s="4">
        <v>747</v>
      </c>
      <c r="E167" s="4">
        <v>697</v>
      </c>
      <c r="F167" s="4">
        <v>595</v>
      </c>
      <c r="G167" s="4">
        <v>640</v>
      </c>
      <c r="H167" s="4">
        <v>829</v>
      </c>
      <c r="I167" s="4">
        <v>982</v>
      </c>
      <c r="J167" s="4">
        <v>963</v>
      </c>
      <c r="K167" s="4">
        <v>933</v>
      </c>
      <c r="L167" s="4">
        <v>1100</v>
      </c>
      <c r="M167" s="4">
        <v>1130</v>
      </c>
      <c r="N167" s="4">
        <v>1035</v>
      </c>
      <c r="O167" s="4">
        <v>949</v>
      </c>
      <c r="P167" s="93">
        <f t="shared" si="50"/>
        <v>0.59495798319327731</v>
      </c>
      <c r="Q167" s="93">
        <f t="shared" si="51"/>
        <v>1.7148981779206859E-2</v>
      </c>
      <c r="R167" s="100">
        <f t="shared" si="52"/>
        <v>-8.3091787439613526E-2</v>
      </c>
      <c r="S167" s="13">
        <f t="shared" si="53"/>
        <v>6.0575112501196817E-3</v>
      </c>
    </row>
    <row r="168" spans="1:19" x14ac:dyDescent="0.2">
      <c r="A168" s="4" t="s">
        <v>355</v>
      </c>
      <c r="B168" s="4">
        <v>1261</v>
      </c>
      <c r="C168" s="4">
        <v>1304</v>
      </c>
      <c r="D168" s="4">
        <v>1324</v>
      </c>
      <c r="E168" s="4">
        <v>1093</v>
      </c>
      <c r="F168" s="4">
        <v>1042</v>
      </c>
      <c r="G168" s="4">
        <v>1066</v>
      </c>
      <c r="H168" s="4">
        <v>982</v>
      </c>
      <c r="I168" s="4">
        <v>974</v>
      </c>
      <c r="J168" s="4">
        <v>929</v>
      </c>
      <c r="K168" s="4">
        <v>940</v>
      </c>
      <c r="L168" s="4">
        <v>1004</v>
      </c>
      <c r="M168" s="4">
        <v>924</v>
      </c>
      <c r="N168" s="4">
        <v>907</v>
      </c>
      <c r="O168" s="4">
        <v>904</v>
      </c>
      <c r="P168" s="93">
        <f t="shared" si="50"/>
        <v>-0.1324376199616123</v>
      </c>
      <c r="Q168" s="93">
        <f t="shared" si="51"/>
        <v>-3.8297872340425532E-2</v>
      </c>
      <c r="R168" s="100">
        <f t="shared" si="52"/>
        <v>-3.3076074972436605E-3</v>
      </c>
      <c r="S168" s="13">
        <f t="shared" si="53"/>
        <v>5.7702741518526795E-3</v>
      </c>
    </row>
    <row r="169" spans="1:19" x14ac:dyDescent="0.2">
      <c r="A169" s="4" t="s">
        <v>85</v>
      </c>
      <c r="B169" s="4">
        <v>319</v>
      </c>
      <c r="C169" s="4">
        <v>412</v>
      </c>
      <c r="D169" s="4">
        <v>507</v>
      </c>
      <c r="E169" s="4">
        <v>617</v>
      </c>
      <c r="F169" s="4">
        <v>722</v>
      </c>
      <c r="G169" s="4">
        <v>784</v>
      </c>
      <c r="H169" s="4">
        <v>1163</v>
      </c>
      <c r="I169" s="4">
        <v>1407</v>
      </c>
      <c r="J169" s="4">
        <v>1420</v>
      </c>
      <c r="K169" s="4">
        <v>1625</v>
      </c>
      <c r="L169" s="4">
        <v>1839</v>
      </c>
      <c r="M169" s="4">
        <v>2006</v>
      </c>
      <c r="N169" s="4">
        <v>1744</v>
      </c>
      <c r="O169" s="4">
        <v>802</v>
      </c>
      <c r="P169" s="93">
        <f t="shared" si="50"/>
        <v>0.11080332409972299</v>
      </c>
      <c r="Q169" s="93">
        <f t="shared" si="51"/>
        <v>-0.50646153846153841</v>
      </c>
      <c r="R169" s="100">
        <f t="shared" si="52"/>
        <v>-0.54013761467889909</v>
      </c>
      <c r="S169" s="13">
        <f t="shared" si="53"/>
        <v>5.1192033957808058E-3</v>
      </c>
    </row>
    <row r="170" spans="1:19" x14ac:dyDescent="0.2">
      <c r="S170" s="37"/>
    </row>
    <row r="171" spans="1:19" ht="15.75" x14ac:dyDescent="0.2">
      <c r="A171" s="38" t="s">
        <v>406</v>
      </c>
      <c r="B171" s="38"/>
      <c r="C171" s="38"/>
      <c r="D171" s="38"/>
      <c r="E171" s="38"/>
      <c r="F171" s="38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</row>
    <row r="172" spans="1:19" ht="25.5" x14ac:dyDescent="0.2">
      <c r="A172" s="82" t="s">
        <v>233</v>
      </c>
      <c r="B172" s="3">
        <v>2007</v>
      </c>
      <c r="C172" s="3">
        <v>2008</v>
      </c>
      <c r="D172" s="3">
        <v>2009</v>
      </c>
      <c r="E172" s="3">
        <v>2010</v>
      </c>
      <c r="F172" s="3">
        <v>2011</v>
      </c>
      <c r="G172" s="3">
        <v>2012</v>
      </c>
      <c r="H172" s="3">
        <v>2013</v>
      </c>
      <c r="I172" s="3">
        <v>2014</v>
      </c>
      <c r="J172" s="3">
        <v>2015</v>
      </c>
      <c r="K172" s="3">
        <v>2016</v>
      </c>
      <c r="L172" s="3">
        <v>2017</v>
      </c>
      <c r="M172" s="3">
        <v>2018</v>
      </c>
      <c r="N172" s="3">
        <v>2019</v>
      </c>
      <c r="O172" s="3">
        <v>2020</v>
      </c>
      <c r="P172" s="12" t="s">
        <v>427</v>
      </c>
      <c r="Q172" s="12" t="s">
        <v>428</v>
      </c>
      <c r="R172" s="12" t="s">
        <v>429</v>
      </c>
      <c r="S172" s="12" t="s">
        <v>430</v>
      </c>
    </row>
    <row r="173" spans="1:19" x14ac:dyDescent="0.2">
      <c r="A173" s="4" t="s">
        <v>214</v>
      </c>
      <c r="B173" s="4">
        <v>46174</v>
      </c>
      <c r="C173" s="4">
        <v>54188</v>
      </c>
      <c r="D173" s="4">
        <v>58322</v>
      </c>
      <c r="E173" s="4">
        <v>55541</v>
      </c>
      <c r="F173" s="4">
        <v>65822</v>
      </c>
      <c r="G173" s="4">
        <v>76482</v>
      </c>
      <c r="H173" s="4">
        <v>88519</v>
      </c>
      <c r="I173" s="4">
        <v>95489</v>
      </c>
      <c r="J173" s="4">
        <v>104694</v>
      </c>
      <c r="K173" s="4">
        <v>111037</v>
      </c>
      <c r="L173" s="4">
        <v>115528</v>
      </c>
      <c r="M173" s="4">
        <v>117898</v>
      </c>
      <c r="N173" s="4">
        <v>113957</v>
      </c>
      <c r="O173" s="4">
        <v>89374</v>
      </c>
      <c r="P173" s="93">
        <f t="shared" ref="P173:P175" si="54">(O173-F173)/F173</f>
        <v>0.35781349700707971</v>
      </c>
      <c r="Q173" s="93">
        <f t="shared" ref="Q173:Q175" si="55">(O173-K173)/K173</f>
        <v>-0.19509712978556698</v>
      </c>
      <c r="R173" s="100">
        <f t="shared" ref="R173:R175" si="56">(O173-N173)/N173</f>
        <v>-0.21572171959598796</v>
      </c>
      <c r="S173" s="13">
        <f t="shared" ref="S173:S175" si="57">O173/O$9</f>
        <v>0.57047840934478022</v>
      </c>
    </row>
    <row r="174" spans="1:19" x14ac:dyDescent="0.2">
      <c r="A174" s="4" t="s">
        <v>215</v>
      </c>
      <c r="B174" s="4">
        <v>38620</v>
      </c>
      <c r="C174" s="4">
        <v>42211</v>
      </c>
      <c r="D174" s="4">
        <v>47191</v>
      </c>
      <c r="E174" s="4">
        <v>46108</v>
      </c>
      <c r="F174" s="4">
        <v>52016</v>
      </c>
      <c r="G174" s="4">
        <v>58662</v>
      </c>
      <c r="H174" s="4">
        <v>67713</v>
      </c>
      <c r="I174" s="4">
        <v>75162</v>
      </c>
      <c r="J174" s="4">
        <v>83068</v>
      </c>
      <c r="K174" s="4">
        <v>84916</v>
      </c>
      <c r="L174" s="4">
        <v>88833</v>
      </c>
      <c r="M174" s="4">
        <v>90118</v>
      </c>
      <c r="N174" s="4">
        <v>85882</v>
      </c>
      <c r="O174" s="4">
        <v>67291</v>
      </c>
      <c r="P174" s="93">
        <f t="shared" si="54"/>
        <v>0.29365964318671178</v>
      </c>
      <c r="Q174" s="93">
        <f t="shared" si="55"/>
        <v>-0.20755805737434641</v>
      </c>
      <c r="R174" s="100">
        <f t="shared" si="56"/>
        <v>-0.21647143755385295</v>
      </c>
      <c r="S174" s="13">
        <f t="shared" si="57"/>
        <v>0.42952159065521972</v>
      </c>
    </row>
    <row r="175" spans="1:19" x14ac:dyDescent="0.2">
      <c r="A175" s="5" t="s">
        <v>4</v>
      </c>
      <c r="B175" s="5">
        <v>84794</v>
      </c>
      <c r="C175" s="5">
        <v>96399</v>
      </c>
      <c r="D175" s="5">
        <v>105513</v>
      </c>
      <c r="E175" s="5">
        <v>101649</v>
      </c>
      <c r="F175" s="5">
        <v>117838</v>
      </c>
      <c r="G175" s="5">
        <v>135144</v>
      </c>
      <c r="H175" s="5">
        <v>156232</v>
      </c>
      <c r="I175" s="5">
        <v>170651</v>
      </c>
      <c r="J175" s="5">
        <v>187762</v>
      </c>
      <c r="K175" s="5">
        <v>195953</v>
      </c>
      <c r="L175" s="5">
        <v>204361</v>
      </c>
      <c r="M175" s="5">
        <v>208016</v>
      </c>
      <c r="N175" s="5">
        <v>199839</v>
      </c>
      <c r="O175" s="5">
        <v>156665</v>
      </c>
      <c r="P175" s="77">
        <f t="shared" si="54"/>
        <v>0.3294947300531238</v>
      </c>
      <c r="Q175" s="77">
        <f t="shared" si="55"/>
        <v>-0.20049705796798212</v>
      </c>
      <c r="R175" s="101">
        <f t="shared" si="56"/>
        <v>-0.21604391535185824</v>
      </c>
      <c r="S175" s="15">
        <f t="shared" si="57"/>
        <v>1</v>
      </c>
    </row>
    <row r="177" spans="1:19" ht="15.75" x14ac:dyDescent="0.2">
      <c r="A177" s="38" t="s">
        <v>407</v>
      </c>
      <c r="B177" s="38"/>
      <c r="C177" s="38"/>
      <c r="D177" s="38"/>
      <c r="E177" s="38"/>
      <c r="F177" s="38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</row>
    <row r="178" spans="1:19" ht="25.5" x14ac:dyDescent="0.2">
      <c r="A178" s="82" t="s">
        <v>233</v>
      </c>
      <c r="B178" s="3">
        <v>2007</v>
      </c>
      <c r="C178" s="3">
        <v>2008</v>
      </c>
      <c r="D178" s="3">
        <v>2009</v>
      </c>
      <c r="E178" s="3">
        <v>2010</v>
      </c>
      <c r="F178" s="3">
        <v>2011</v>
      </c>
      <c r="G178" s="3">
        <v>2012</v>
      </c>
      <c r="H178" s="3">
        <v>2013</v>
      </c>
      <c r="I178" s="3">
        <v>2014</v>
      </c>
      <c r="J178" s="3">
        <v>2015</v>
      </c>
      <c r="K178" s="3">
        <v>2016</v>
      </c>
      <c r="L178" s="3">
        <v>2017</v>
      </c>
      <c r="M178" s="3">
        <v>2018</v>
      </c>
      <c r="N178" s="3">
        <v>2019</v>
      </c>
      <c r="O178" s="3">
        <v>2020</v>
      </c>
      <c r="P178" s="12" t="s">
        <v>427</v>
      </c>
      <c r="Q178" s="12" t="s">
        <v>428</v>
      </c>
      <c r="R178" s="12" t="s">
        <v>429</v>
      </c>
      <c r="S178" s="12" t="s">
        <v>430</v>
      </c>
    </row>
    <row r="179" spans="1:19" x14ac:dyDescent="0.2">
      <c r="A179" s="33" t="s">
        <v>214</v>
      </c>
      <c r="B179" s="33">
        <v>7440</v>
      </c>
      <c r="C179" s="33">
        <v>11839</v>
      </c>
      <c r="D179" s="33">
        <v>9825</v>
      </c>
      <c r="E179" s="33">
        <v>7928</v>
      </c>
      <c r="F179" s="33">
        <v>13670</v>
      </c>
      <c r="G179" s="4">
        <v>15764</v>
      </c>
      <c r="H179" s="4">
        <v>17257</v>
      </c>
      <c r="I179" s="4">
        <v>16597</v>
      </c>
      <c r="J179" s="4">
        <v>17674</v>
      </c>
      <c r="K179" s="4">
        <v>19573</v>
      </c>
      <c r="L179" s="4">
        <v>18171</v>
      </c>
      <c r="M179" s="4">
        <v>19771</v>
      </c>
      <c r="N179" s="4">
        <v>18557</v>
      </c>
      <c r="O179" s="4">
        <v>13534</v>
      </c>
      <c r="P179" s="93">
        <f t="shared" ref="P179:P181" si="58">(O179-F179)/F179</f>
        <v>-9.9487929773226045E-3</v>
      </c>
      <c r="Q179" s="93">
        <f t="shared" ref="Q179:Q181" si="59">(O179-K179)/K179</f>
        <v>-0.30853727073008735</v>
      </c>
      <c r="R179" s="100">
        <f t="shared" ref="R179:R181" si="60">(O179-N179)/N179</f>
        <v>-0.27067952794093875</v>
      </c>
      <c r="S179" s="13">
        <f>O179/O$181</f>
        <v>0.59597516403188167</v>
      </c>
    </row>
    <row r="180" spans="1:19" x14ac:dyDescent="0.2">
      <c r="A180" s="33" t="s">
        <v>215</v>
      </c>
      <c r="B180" s="33">
        <v>5214</v>
      </c>
      <c r="C180" s="33">
        <v>7361</v>
      </c>
      <c r="D180" s="33">
        <v>6721</v>
      </c>
      <c r="E180" s="33">
        <v>6116</v>
      </c>
      <c r="F180" s="33">
        <v>8643</v>
      </c>
      <c r="G180" s="4">
        <v>9729</v>
      </c>
      <c r="H180" s="4">
        <v>10925</v>
      </c>
      <c r="I180" s="4">
        <v>11077</v>
      </c>
      <c r="J180" s="4">
        <v>12878</v>
      </c>
      <c r="K180" s="4">
        <v>14196</v>
      </c>
      <c r="L180" s="4">
        <v>14477</v>
      </c>
      <c r="M180" s="4">
        <v>15352</v>
      </c>
      <c r="N180" s="4">
        <v>14837</v>
      </c>
      <c r="O180" s="4">
        <v>9175</v>
      </c>
      <c r="P180" s="93">
        <f t="shared" si="58"/>
        <v>6.1552701608237878E-2</v>
      </c>
      <c r="Q180" s="93">
        <f t="shared" si="59"/>
        <v>-0.35369118061425753</v>
      </c>
      <c r="R180" s="100">
        <f t="shared" si="60"/>
        <v>-0.38161353373323448</v>
      </c>
      <c r="S180" s="13">
        <f t="shared" ref="S180:S181" si="61">O180/O$181</f>
        <v>0.40402483596811839</v>
      </c>
    </row>
    <row r="181" spans="1:19" x14ac:dyDescent="0.2">
      <c r="A181" s="5" t="s">
        <v>4</v>
      </c>
      <c r="B181" s="5">
        <v>12654</v>
      </c>
      <c r="C181" s="5">
        <v>19200</v>
      </c>
      <c r="D181" s="5">
        <v>16546</v>
      </c>
      <c r="E181" s="5">
        <v>14044</v>
      </c>
      <c r="F181" s="5">
        <v>22313</v>
      </c>
      <c r="G181" s="5">
        <v>25493</v>
      </c>
      <c r="H181" s="5">
        <v>28182</v>
      </c>
      <c r="I181" s="5">
        <v>27674</v>
      </c>
      <c r="J181" s="5">
        <v>30552</v>
      </c>
      <c r="K181" s="5">
        <v>33769</v>
      </c>
      <c r="L181" s="5">
        <v>32648</v>
      </c>
      <c r="M181" s="5">
        <v>35123</v>
      </c>
      <c r="N181" s="5">
        <v>33394</v>
      </c>
      <c r="O181" s="5">
        <v>22709</v>
      </c>
      <c r="P181" s="77">
        <f t="shared" si="58"/>
        <v>1.7747501456549995E-2</v>
      </c>
      <c r="Q181" s="77">
        <f t="shared" si="59"/>
        <v>-0.32751932245550652</v>
      </c>
      <c r="R181" s="101">
        <f t="shared" si="60"/>
        <v>-0.31996765886087319</v>
      </c>
      <c r="S181" s="15">
        <f t="shared" si="61"/>
        <v>1</v>
      </c>
    </row>
    <row r="183" spans="1:19" ht="15.75" x14ac:dyDescent="0.2">
      <c r="A183" s="38" t="s">
        <v>408</v>
      </c>
      <c r="B183" s="38"/>
      <c r="C183" s="38"/>
      <c r="D183" s="38"/>
      <c r="E183" s="38"/>
      <c r="F183" s="38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</row>
    <row r="184" spans="1:19" ht="25.5" x14ac:dyDescent="0.2">
      <c r="A184" s="82" t="s">
        <v>233</v>
      </c>
      <c r="B184" s="3">
        <v>2007</v>
      </c>
      <c r="C184" s="3">
        <v>2008</v>
      </c>
      <c r="D184" s="3">
        <v>2009</v>
      </c>
      <c r="E184" s="3">
        <v>2010</v>
      </c>
      <c r="F184" s="3">
        <v>2011</v>
      </c>
      <c r="G184" s="3">
        <v>2012</v>
      </c>
      <c r="H184" s="3">
        <v>2013</v>
      </c>
      <c r="I184" s="3">
        <v>2014</v>
      </c>
      <c r="J184" s="3">
        <v>2015</v>
      </c>
      <c r="K184" s="3">
        <v>2016</v>
      </c>
      <c r="L184" s="3">
        <v>2017</v>
      </c>
      <c r="M184" s="3">
        <v>2018</v>
      </c>
      <c r="N184" s="3">
        <v>2019</v>
      </c>
      <c r="O184" s="3">
        <v>2020</v>
      </c>
      <c r="P184" s="12" t="s">
        <v>427</v>
      </c>
      <c r="Q184" s="12" t="s">
        <v>428</v>
      </c>
      <c r="R184" s="12" t="s">
        <v>429</v>
      </c>
      <c r="S184" s="12" t="s">
        <v>430</v>
      </c>
    </row>
    <row r="185" spans="1:19" x14ac:dyDescent="0.2">
      <c r="A185" s="33" t="s">
        <v>214</v>
      </c>
      <c r="B185" s="33">
        <v>8053</v>
      </c>
      <c r="C185" s="33">
        <v>9351</v>
      </c>
      <c r="D185" s="33">
        <v>12189</v>
      </c>
      <c r="E185" s="33">
        <v>12583</v>
      </c>
      <c r="F185" s="33">
        <v>16570</v>
      </c>
      <c r="G185" s="4">
        <v>21232</v>
      </c>
      <c r="H185" s="4">
        <v>26820</v>
      </c>
      <c r="I185" s="4">
        <v>31367</v>
      </c>
      <c r="J185" s="4">
        <v>37908</v>
      </c>
      <c r="K185" s="4">
        <v>41357</v>
      </c>
      <c r="L185" s="4">
        <v>44564</v>
      </c>
      <c r="M185" s="4">
        <v>44188</v>
      </c>
      <c r="N185" s="4">
        <v>41510</v>
      </c>
      <c r="O185" s="4">
        <v>36086</v>
      </c>
      <c r="P185" s="93">
        <f t="shared" ref="P185:P187" si="62">(O185-F185)/F185</f>
        <v>1.1777911888955945</v>
      </c>
      <c r="Q185" s="93">
        <f t="shared" ref="Q185:Q187" si="63">(O185-K185)/K185</f>
        <v>-0.12745121744807408</v>
      </c>
      <c r="R185" s="100">
        <f t="shared" ref="R185:R187" si="64">(O185-N185)/N185</f>
        <v>-0.13066730908214888</v>
      </c>
      <c r="S185" s="13">
        <f>O185/O$187</f>
        <v>0.57499322806290731</v>
      </c>
    </row>
    <row r="186" spans="1:19" x14ac:dyDescent="0.2">
      <c r="A186" s="33" t="s">
        <v>215</v>
      </c>
      <c r="B186" s="33">
        <v>9132</v>
      </c>
      <c r="C186" s="33">
        <v>9321</v>
      </c>
      <c r="D186" s="33">
        <v>11447</v>
      </c>
      <c r="E186" s="33">
        <v>11086</v>
      </c>
      <c r="F186" s="33">
        <v>14118</v>
      </c>
      <c r="G186" s="4">
        <v>16712</v>
      </c>
      <c r="H186" s="4">
        <v>20251</v>
      </c>
      <c r="I186" s="4">
        <v>24457</v>
      </c>
      <c r="J186" s="4">
        <v>29401</v>
      </c>
      <c r="K186" s="4">
        <v>31459</v>
      </c>
      <c r="L186" s="4">
        <v>33572</v>
      </c>
      <c r="M186" s="4">
        <v>34902</v>
      </c>
      <c r="N186" s="4">
        <v>32618</v>
      </c>
      <c r="O186" s="4">
        <v>26673</v>
      </c>
      <c r="P186" s="93">
        <f t="shared" si="62"/>
        <v>0.88929026774330644</v>
      </c>
      <c r="Q186" s="93">
        <f t="shared" si="63"/>
        <v>-0.15213452430147176</v>
      </c>
      <c r="R186" s="100">
        <f t="shared" si="64"/>
        <v>-0.1822613281010485</v>
      </c>
      <c r="S186" s="13">
        <f t="shared" ref="S186:S187" si="65">O186/O$187</f>
        <v>0.42500677193709269</v>
      </c>
    </row>
    <row r="187" spans="1:19" x14ac:dyDescent="0.2">
      <c r="A187" s="5" t="s">
        <v>4</v>
      </c>
      <c r="B187" s="5">
        <v>17185</v>
      </c>
      <c r="C187" s="5">
        <v>18672</v>
      </c>
      <c r="D187" s="5">
        <v>23636</v>
      </c>
      <c r="E187" s="5">
        <v>23669</v>
      </c>
      <c r="F187" s="5">
        <v>30688</v>
      </c>
      <c r="G187" s="5">
        <v>37944</v>
      </c>
      <c r="H187" s="5">
        <v>47071</v>
      </c>
      <c r="I187" s="5">
        <v>55824</v>
      </c>
      <c r="J187" s="5">
        <v>67309</v>
      </c>
      <c r="K187" s="5">
        <v>72816</v>
      </c>
      <c r="L187" s="5">
        <v>78136</v>
      </c>
      <c r="M187" s="5">
        <v>79090</v>
      </c>
      <c r="N187" s="5">
        <v>74128</v>
      </c>
      <c r="O187" s="5">
        <v>62759</v>
      </c>
      <c r="P187" s="77">
        <f t="shared" si="62"/>
        <v>1.0450664754953076</v>
      </c>
      <c r="Q187" s="77">
        <f t="shared" si="63"/>
        <v>-0.13811524939573719</v>
      </c>
      <c r="R187" s="101">
        <f t="shared" si="64"/>
        <v>-0.15336984675156487</v>
      </c>
      <c r="S187" s="15">
        <f t="shared" si="65"/>
        <v>1</v>
      </c>
    </row>
    <row r="189" spans="1:19" ht="15.75" x14ac:dyDescent="0.2">
      <c r="A189" s="38" t="s">
        <v>409</v>
      </c>
      <c r="B189" s="38"/>
      <c r="C189" s="38"/>
      <c r="D189" s="38"/>
      <c r="E189" s="38"/>
      <c r="F189" s="38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</row>
    <row r="190" spans="1:19" ht="25.5" x14ac:dyDescent="0.2">
      <c r="A190" s="82" t="s">
        <v>233</v>
      </c>
      <c r="B190" s="3">
        <v>2007</v>
      </c>
      <c r="C190" s="3">
        <v>2008</v>
      </c>
      <c r="D190" s="3">
        <v>2009</v>
      </c>
      <c r="E190" s="3">
        <v>2010</v>
      </c>
      <c r="F190" s="3">
        <v>2011</v>
      </c>
      <c r="G190" s="3">
        <v>2012</v>
      </c>
      <c r="H190" s="3">
        <v>2013</v>
      </c>
      <c r="I190" s="3">
        <v>2014</v>
      </c>
      <c r="J190" s="3">
        <v>2015</v>
      </c>
      <c r="K190" s="3">
        <v>2016</v>
      </c>
      <c r="L190" s="3">
        <v>2017</v>
      </c>
      <c r="M190" s="3">
        <v>2018</v>
      </c>
      <c r="N190" s="3">
        <v>2019</v>
      </c>
      <c r="O190" s="3">
        <v>2020</v>
      </c>
      <c r="P190" s="12" t="s">
        <v>427</v>
      </c>
      <c r="Q190" s="12" t="s">
        <v>428</v>
      </c>
      <c r="R190" s="12" t="s">
        <v>429</v>
      </c>
      <c r="S190" s="12" t="s">
        <v>430</v>
      </c>
    </row>
    <row r="191" spans="1:19" x14ac:dyDescent="0.2">
      <c r="A191" s="33" t="s">
        <v>214</v>
      </c>
      <c r="B191" s="33">
        <v>30681</v>
      </c>
      <c r="C191" s="33">
        <v>32998</v>
      </c>
      <c r="D191" s="33">
        <v>36308</v>
      </c>
      <c r="E191" s="33">
        <v>35030</v>
      </c>
      <c r="F191" s="33">
        <v>35582</v>
      </c>
      <c r="G191" s="4">
        <v>39486</v>
      </c>
      <c r="H191" s="4">
        <v>44442</v>
      </c>
      <c r="I191" s="4">
        <v>47525</v>
      </c>
      <c r="J191" s="4">
        <v>49112</v>
      </c>
      <c r="K191" s="4">
        <v>50107</v>
      </c>
      <c r="L191" s="4">
        <v>52793</v>
      </c>
      <c r="M191" s="4">
        <v>53939</v>
      </c>
      <c r="N191" s="4">
        <v>53890</v>
      </c>
      <c r="O191" s="4">
        <v>39754</v>
      </c>
      <c r="P191" s="93">
        <f t="shared" ref="P191:P193" si="66">(O191-F191)/F191</f>
        <v>0.11725029509302456</v>
      </c>
      <c r="Q191" s="93">
        <f t="shared" ref="Q191:Q193" si="67">(O191-K191)/K191</f>
        <v>-0.20661783782705012</v>
      </c>
      <c r="R191" s="100">
        <f t="shared" ref="R191:R193" si="68">(O191-N191)/N191</f>
        <v>-0.26231211727593245</v>
      </c>
      <c r="S191" s="13">
        <f>O191/O$193</f>
        <v>0.55836622329592533</v>
      </c>
    </row>
    <row r="192" spans="1:19" x14ac:dyDescent="0.2">
      <c r="A192" s="33" t="s">
        <v>215</v>
      </c>
      <c r="B192" s="33">
        <v>24274</v>
      </c>
      <c r="C192" s="33">
        <v>25529</v>
      </c>
      <c r="D192" s="33">
        <v>29023</v>
      </c>
      <c r="E192" s="33">
        <v>28906</v>
      </c>
      <c r="F192" s="33">
        <v>29255</v>
      </c>
      <c r="G192" s="4">
        <v>32221</v>
      </c>
      <c r="H192" s="4">
        <v>36537</v>
      </c>
      <c r="I192" s="4">
        <v>39628</v>
      </c>
      <c r="J192" s="4">
        <v>40789</v>
      </c>
      <c r="K192" s="4">
        <v>39261</v>
      </c>
      <c r="L192" s="4">
        <v>40784</v>
      </c>
      <c r="M192" s="4">
        <v>39864</v>
      </c>
      <c r="N192" s="4">
        <v>38427</v>
      </c>
      <c r="O192" s="4">
        <v>31443</v>
      </c>
      <c r="P192" s="93">
        <f t="shared" si="66"/>
        <v>7.4790634079644508E-2</v>
      </c>
      <c r="Q192" s="93">
        <f t="shared" si="67"/>
        <v>-0.19912890654848323</v>
      </c>
      <c r="R192" s="100">
        <f t="shared" si="68"/>
        <v>-0.18174720899367633</v>
      </c>
      <c r="S192" s="13">
        <f t="shared" ref="S192:S193" si="69">O192/O$193</f>
        <v>0.44163377670407461</v>
      </c>
    </row>
    <row r="193" spans="1:20" x14ac:dyDescent="0.2">
      <c r="A193" s="5" t="s">
        <v>4</v>
      </c>
      <c r="B193" s="5">
        <v>54955</v>
      </c>
      <c r="C193" s="5">
        <v>58527</v>
      </c>
      <c r="D193" s="5">
        <v>65331</v>
      </c>
      <c r="E193" s="5">
        <v>63936</v>
      </c>
      <c r="F193" s="5">
        <v>64837</v>
      </c>
      <c r="G193" s="5">
        <v>71707</v>
      </c>
      <c r="H193" s="5">
        <v>80979</v>
      </c>
      <c r="I193" s="5">
        <v>87153</v>
      </c>
      <c r="J193" s="5">
        <v>89901</v>
      </c>
      <c r="K193" s="5">
        <v>89368</v>
      </c>
      <c r="L193" s="5">
        <v>93577</v>
      </c>
      <c r="M193" s="5">
        <v>93803</v>
      </c>
      <c r="N193" s="5">
        <v>92317</v>
      </c>
      <c r="O193" s="5">
        <v>71197</v>
      </c>
      <c r="P193" s="77">
        <f t="shared" si="66"/>
        <v>9.8092138747937138E-2</v>
      </c>
      <c r="Q193" s="77">
        <f t="shared" si="67"/>
        <v>-0.20332781308745859</v>
      </c>
      <c r="R193" s="101">
        <f t="shared" si="68"/>
        <v>-0.228776931659391</v>
      </c>
      <c r="S193" s="15">
        <f t="shared" si="69"/>
        <v>1</v>
      </c>
    </row>
    <row r="194" spans="1:20" x14ac:dyDescent="0.2">
      <c r="A194" s="71"/>
      <c r="B194" s="71"/>
      <c r="C194" s="71"/>
      <c r="D194" s="71"/>
      <c r="E194" s="71"/>
      <c r="F194" s="71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</row>
    <row r="195" spans="1:20" ht="15.75" x14ac:dyDescent="0.2">
      <c r="A195" s="38" t="s">
        <v>410</v>
      </c>
      <c r="B195" s="38"/>
      <c r="C195" s="38"/>
      <c r="D195" s="38"/>
      <c r="E195" s="38"/>
      <c r="F195" s="38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</row>
    <row r="196" spans="1:20" ht="25.5" x14ac:dyDescent="0.2">
      <c r="A196" s="82" t="s">
        <v>26</v>
      </c>
      <c r="B196" s="3">
        <v>2007</v>
      </c>
      <c r="C196" s="3">
        <v>2008</v>
      </c>
      <c r="D196" s="3">
        <v>2009</v>
      </c>
      <c r="E196" s="3">
        <v>2010</v>
      </c>
      <c r="F196" s="3">
        <v>2011</v>
      </c>
      <c r="G196" s="3">
        <v>2012</v>
      </c>
      <c r="H196" s="3">
        <v>2013</v>
      </c>
      <c r="I196" s="3">
        <v>2014</v>
      </c>
      <c r="J196" s="3">
        <v>2015</v>
      </c>
      <c r="K196" s="3">
        <v>2016</v>
      </c>
      <c r="L196" s="3">
        <v>2017</v>
      </c>
      <c r="M196" s="3">
        <v>2018</v>
      </c>
      <c r="N196" s="3">
        <v>2019</v>
      </c>
      <c r="O196" s="3">
        <v>2020</v>
      </c>
      <c r="P196" s="12" t="s">
        <v>427</v>
      </c>
      <c r="Q196" s="12" t="s">
        <v>428</v>
      </c>
      <c r="R196" s="12" t="s">
        <v>429</v>
      </c>
      <c r="S196" s="12" t="s">
        <v>430</v>
      </c>
    </row>
    <row r="197" spans="1:20" x14ac:dyDescent="0.2">
      <c r="A197" s="4" t="s">
        <v>27</v>
      </c>
      <c r="B197" s="4">
        <v>61</v>
      </c>
      <c r="C197" s="4">
        <v>817</v>
      </c>
      <c r="D197" s="4">
        <v>677</v>
      </c>
      <c r="E197" s="4">
        <v>74</v>
      </c>
      <c r="F197" s="4">
        <v>120</v>
      </c>
      <c r="G197" s="4">
        <v>168</v>
      </c>
      <c r="H197" s="4">
        <v>224</v>
      </c>
      <c r="I197" s="4">
        <v>313</v>
      </c>
      <c r="J197" s="4">
        <v>416</v>
      </c>
      <c r="K197" s="4">
        <v>492</v>
      </c>
      <c r="L197" s="4">
        <v>595</v>
      </c>
      <c r="M197" s="4">
        <v>536</v>
      </c>
      <c r="N197" s="4">
        <v>399</v>
      </c>
      <c r="O197" s="4">
        <v>285</v>
      </c>
      <c r="P197" s="93">
        <f t="shared" ref="P197:P204" si="70">(O197-F197)/F197</f>
        <v>1.375</v>
      </c>
      <c r="Q197" s="93">
        <f t="shared" ref="Q197:Q204" si="71">(O197-K197)/K197</f>
        <v>-0.42073170731707316</v>
      </c>
      <c r="R197" s="100">
        <f t="shared" ref="R197:R204" si="72">(O197-N197)/N197</f>
        <v>-0.2857142857142857</v>
      </c>
      <c r="S197" s="13">
        <f t="shared" ref="S197:S204" si="73">O197/O$9</f>
        <v>1.8191682890243512E-3</v>
      </c>
      <c r="T197" s="99"/>
    </row>
    <row r="198" spans="1:20" x14ac:dyDescent="0.2">
      <c r="A198" s="4" t="s">
        <v>28</v>
      </c>
      <c r="B198" s="4">
        <v>35357</v>
      </c>
      <c r="C198" s="4">
        <v>40568</v>
      </c>
      <c r="D198" s="4">
        <v>43657</v>
      </c>
      <c r="E198" s="4">
        <v>42600</v>
      </c>
      <c r="F198" s="4">
        <v>53310</v>
      </c>
      <c r="G198" s="4">
        <v>61810</v>
      </c>
      <c r="H198" s="4">
        <v>69999</v>
      </c>
      <c r="I198" s="4">
        <v>74607</v>
      </c>
      <c r="J198" s="4">
        <v>81009</v>
      </c>
      <c r="K198" s="4">
        <v>83831</v>
      </c>
      <c r="L198" s="4">
        <v>87519</v>
      </c>
      <c r="M198" s="4">
        <v>87121</v>
      </c>
      <c r="N198" s="4">
        <v>85326</v>
      </c>
      <c r="O198" s="4">
        <v>62327</v>
      </c>
      <c r="P198" s="93">
        <f t="shared" si="70"/>
        <v>0.16914274995310449</v>
      </c>
      <c r="Q198" s="100">
        <f t="shared" si="71"/>
        <v>-0.25651608593479741</v>
      </c>
      <c r="R198" s="100">
        <f t="shared" si="72"/>
        <v>-0.26954269507535805</v>
      </c>
      <c r="S198" s="102">
        <f t="shared" si="73"/>
        <v>0.39783614719305527</v>
      </c>
      <c r="T198" s="99"/>
    </row>
    <row r="199" spans="1:20" x14ac:dyDescent="0.2">
      <c r="A199" s="4" t="s">
        <v>29</v>
      </c>
      <c r="B199" s="4">
        <v>31645</v>
      </c>
      <c r="C199" s="4">
        <v>33842</v>
      </c>
      <c r="D199" s="4">
        <v>37033</v>
      </c>
      <c r="E199" s="4">
        <v>35989</v>
      </c>
      <c r="F199" s="4">
        <v>38852</v>
      </c>
      <c r="G199" s="4">
        <v>43891</v>
      </c>
      <c r="H199" s="4">
        <v>51413</v>
      </c>
      <c r="I199" s="4">
        <v>56605</v>
      </c>
      <c r="J199" s="4">
        <v>61780</v>
      </c>
      <c r="K199" s="4">
        <v>63701</v>
      </c>
      <c r="L199" s="4">
        <v>66297</v>
      </c>
      <c r="M199" s="4">
        <v>67162</v>
      </c>
      <c r="N199" s="4">
        <v>63675</v>
      </c>
      <c r="O199" s="4">
        <v>48893</v>
      </c>
      <c r="P199" s="93">
        <f t="shared" si="70"/>
        <v>0.25844229383300732</v>
      </c>
      <c r="Q199" s="93">
        <f t="shared" si="71"/>
        <v>-0.23246102886924852</v>
      </c>
      <c r="R199" s="100">
        <f t="shared" si="72"/>
        <v>-0.23214762465645858</v>
      </c>
      <c r="S199" s="13">
        <f t="shared" si="73"/>
        <v>0.31208629879041266</v>
      </c>
      <c r="T199" s="99"/>
    </row>
    <row r="200" spans="1:20" x14ac:dyDescent="0.2">
      <c r="A200" s="4" t="s">
        <v>30</v>
      </c>
      <c r="B200" s="4">
        <v>9087</v>
      </c>
      <c r="C200" s="4">
        <v>10090</v>
      </c>
      <c r="D200" s="4">
        <v>11321</v>
      </c>
      <c r="E200" s="4">
        <v>10890</v>
      </c>
      <c r="F200" s="4">
        <v>12278</v>
      </c>
      <c r="G200" s="4">
        <v>14325</v>
      </c>
      <c r="H200" s="4">
        <v>17364</v>
      </c>
      <c r="I200" s="4">
        <v>19473</v>
      </c>
      <c r="J200" s="4">
        <v>21502</v>
      </c>
      <c r="K200" s="4">
        <v>22777</v>
      </c>
      <c r="L200" s="4">
        <v>23680</v>
      </c>
      <c r="M200" s="4">
        <v>25131</v>
      </c>
      <c r="N200" s="4">
        <v>23933</v>
      </c>
      <c r="O200" s="4">
        <v>20534</v>
      </c>
      <c r="P200" s="93">
        <f t="shared" si="70"/>
        <v>0.67242221860237827</v>
      </c>
      <c r="Q200" s="93">
        <f t="shared" si="71"/>
        <v>-9.8476533345041056E-2</v>
      </c>
      <c r="R200" s="100">
        <f t="shared" si="72"/>
        <v>-0.14202147662223708</v>
      </c>
      <c r="S200" s="13">
        <f t="shared" si="73"/>
        <v>0.13106947946254746</v>
      </c>
      <c r="T200" s="99"/>
    </row>
    <row r="201" spans="1:20" x14ac:dyDescent="0.2">
      <c r="A201" s="4" t="s">
        <v>31</v>
      </c>
      <c r="B201" s="4">
        <v>4062</v>
      </c>
      <c r="C201" s="4">
        <v>4929</v>
      </c>
      <c r="D201" s="4">
        <v>5939</v>
      </c>
      <c r="E201" s="4">
        <v>5778</v>
      </c>
      <c r="F201" s="4">
        <v>6337</v>
      </c>
      <c r="G201" s="4">
        <v>7163</v>
      </c>
      <c r="H201" s="4">
        <v>8404</v>
      </c>
      <c r="I201" s="4">
        <v>9593</v>
      </c>
      <c r="J201" s="4">
        <v>10893</v>
      </c>
      <c r="K201" s="4">
        <v>11824</v>
      </c>
      <c r="L201" s="4">
        <v>12757</v>
      </c>
      <c r="M201" s="4">
        <v>13623</v>
      </c>
      <c r="N201" s="4">
        <v>12724</v>
      </c>
      <c r="O201" s="4">
        <v>11404</v>
      </c>
      <c r="P201" s="93">
        <f t="shared" si="70"/>
        <v>0.79958971121982014</v>
      </c>
      <c r="Q201" s="93">
        <f t="shared" si="71"/>
        <v>-3.5520974289580516E-2</v>
      </c>
      <c r="R201" s="100">
        <f t="shared" si="72"/>
        <v>-0.10374096196164728</v>
      </c>
      <c r="S201" s="13">
        <f t="shared" si="73"/>
        <v>7.279226374748668E-2</v>
      </c>
      <c r="T201" s="99"/>
    </row>
    <row r="202" spans="1:20" x14ac:dyDescent="0.2">
      <c r="A202" s="4" t="s">
        <v>32</v>
      </c>
      <c r="B202" s="4">
        <v>4398</v>
      </c>
      <c r="C202" s="4">
        <v>6021</v>
      </c>
      <c r="D202" s="4">
        <v>6861</v>
      </c>
      <c r="E202" s="4">
        <v>6300</v>
      </c>
      <c r="F202" s="4">
        <v>6922</v>
      </c>
      <c r="G202" s="4">
        <v>7770</v>
      </c>
      <c r="H202" s="4">
        <v>8818</v>
      </c>
      <c r="I202" s="4">
        <v>9985</v>
      </c>
      <c r="J202" s="4">
        <v>12141</v>
      </c>
      <c r="K202" s="4">
        <v>13325</v>
      </c>
      <c r="L202" s="4">
        <v>13511</v>
      </c>
      <c r="M202" s="4">
        <v>14440</v>
      </c>
      <c r="N202" s="4">
        <v>13780</v>
      </c>
      <c r="O202" s="4">
        <v>13222</v>
      </c>
      <c r="P202" s="93">
        <f t="shared" si="70"/>
        <v>0.91014157757873448</v>
      </c>
      <c r="Q202" s="93">
        <f t="shared" si="71"/>
        <v>-7.7298311444652908E-3</v>
      </c>
      <c r="R202" s="100">
        <f t="shared" si="72"/>
        <v>-4.0493468795355585E-2</v>
      </c>
      <c r="S202" s="13">
        <f t="shared" si="73"/>
        <v>8.4396642517473586E-2</v>
      </c>
      <c r="T202" s="99"/>
    </row>
    <row r="203" spans="1:20" x14ac:dyDescent="0.2">
      <c r="A203" s="4" t="s">
        <v>33</v>
      </c>
      <c r="B203" s="4">
        <v>184</v>
      </c>
      <c r="C203" s="4">
        <v>132</v>
      </c>
      <c r="D203" s="4">
        <v>25</v>
      </c>
      <c r="E203" s="4">
        <v>18</v>
      </c>
      <c r="F203" s="4">
        <v>19</v>
      </c>
      <c r="G203" s="4">
        <v>17</v>
      </c>
      <c r="H203" s="4">
        <v>10</v>
      </c>
      <c r="I203" s="4">
        <v>75</v>
      </c>
      <c r="J203" s="4">
        <v>21</v>
      </c>
      <c r="K203" s="4">
        <v>3</v>
      </c>
      <c r="L203" s="4">
        <v>2</v>
      </c>
      <c r="M203" s="4">
        <v>3</v>
      </c>
      <c r="N203" s="4">
        <v>2</v>
      </c>
      <c r="O203" s="4"/>
      <c r="P203" s="93">
        <f t="shared" si="70"/>
        <v>-1</v>
      </c>
      <c r="Q203" s="93">
        <f t="shared" si="71"/>
        <v>-1</v>
      </c>
      <c r="R203" s="100">
        <f t="shared" si="72"/>
        <v>-1</v>
      </c>
      <c r="S203" s="13">
        <f t="shared" si="73"/>
        <v>0</v>
      </c>
      <c r="T203" s="99"/>
    </row>
    <row r="204" spans="1:20" x14ac:dyDescent="0.2">
      <c r="A204" s="5" t="s">
        <v>4</v>
      </c>
      <c r="B204" s="5">
        <v>84794</v>
      </c>
      <c r="C204" s="5">
        <v>96399</v>
      </c>
      <c r="D204" s="5">
        <v>105513</v>
      </c>
      <c r="E204" s="5">
        <v>101649</v>
      </c>
      <c r="F204" s="5">
        <v>117838</v>
      </c>
      <c r="G204" s="5">
        <v>135144</v>
      </c>
      <c r="H204" s="5">
        <v>156232</v>
      </c>
      <c r="I204" s="5">
        <v>170651</v>
      </c>
      <c r="J204" s="5">
        <v>187762</v>
      </c>
      <c r="K204" s="5">
        <v>195953</v>
      </c>
      <c r="L204" s="5">
        <v>204361</v>
      </c>
      <c r="M204" s="5">
        <v>208016</v>
      </c>
      <c r="N204" s="5">
        <v>199839</v>
      </c>
      <c r="O204" s="5">
        <v>156665</v>
      </c>
      <c r="P204" s="77">
        <f t="shared" si="70"/>
        <v>0.3294947300531238</v>
      </c>
      <c r="Q204" s="77">
        <f t="shared" si="71"/>
        <v>-0.20049705796798212</v>
      </c>
      <c r="R204" s="101">
        <f t="shared" si="72"/>
        <v>-0.21604391535185824</v>
      </c>
      <c r="S204" s="15">
        <f t="shared" si="73"/>
        <v>1</v>
      </c>
    </row>
    <row r="205" spans="1:20" x14ac:dyDescent="0.2">
      <c r="A205" s="87" t="s">
        <v>386</v>
      </c>
      <c r="B205" s="87">
        <v>26.9</v>
      </c>
      <c r="C205" s="94">
        <v>27.1</v>
      </c>
      <c r="D205" s="94">
        <v>27.2</v>
      </c>
      <c r="E205" s="94">
        <v>27.2</v>
      </c>
      <c r="F205" s="94">
        <v>26.9</v>
      </c>
      <c r="G205" s="94">
        <v>26.9</v>
      </c>
      <c r="H205" s="94">
        <v>27</v>
      </c>
      <c r="I205" s="94">
        <v>27.1</v>
      </c>
      <c r="J205" s="94">
        <v>27.2</v>
      </c>
      <c r="K205" s="94">
        <v>27.3</v>
      </c>
      <c r="L205" s="94">
        <v>27.3</v>
      </c>
      <c r="M205" s="94">
        <v>27.5</v>
      </c>
      <c r="N205" s="94">
        <v>27.4</v>
      </c>
      <c r="O205" s="94">
        <v>28</v>
      </c>
      <c r="P205" s="94"/>
      <c r="Q205" s="94"/>
      <c r="R205" s="94"/>
      <c r="S205" s="86"/>
    </row>
    <row r="206" spans="1:20" x14ac:dyDescent="0.2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20" x14ac:dyDescent="0.2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20" x14ac:dyDescent="0.2">
      <c r="A208" s="65" t="s">
        <v>246</v>
      </c>
      <c r="B208" s="65"/>
      <c r="C208" s="65"/>
      <c r="D208" s="65"/>
      <c r="E208" s="65"/>
      <c r="F208" s="65"/>
      <c r="G208" s="37"/>
      <c r="H208" s="37"/>
      <c r="I208" s="37"/>
      <c r="J208" s="37"/>
      <c r="K208" s="37"/>
      <c r="L208" s="37"/>
      <c r="M208" s="37"/>
      <c r="N208" s="71"/>
      <c r="O208" s="71"/>
      <c r="P208" s="71"/>
      <c r="Q208" s="71"/>
      <c r="R208" s="71"/>
      <c r="S208" s="71"/>
    </row>
    <row r="209" spans="1:19" x14ac:dyDescent="0.2">
      <c r="A209" s="71"/>
      <c r="B209" s="71"/>
      <c r="C209" s="71"/>
      <c r="D209" s="71"/>
      <c r="E209" s="71"/>
      <c r="F209" s="71"/>
      <c r="G209" s="37"/>
      <c r="H209" s="37"/>
      <c r="I209" s="37"/>
      <c r="J209" s="37"/>
      <c r="K209" s="37"/>
      <c r="L209" s="37"/>
      <c r="M209" s="37"/>
      <c r="N209" s="71"/>
      <c r="O209" s="71"/>
      <c r="P209" s="71"/>
      <c r="Q209" s="71"/>
      <c r="R209" s="71"/>
      <c r="S209" s="71"/>
    </row>
    <row r="210" spans="1:19" x14ac:dyDescent="0.2">
      <c r="A210" s="73" t="s">
        <v>21</v>
      </c>
      <c r="B210" s="73"/>
      <c r="C210" s="73"/>
      <c r="D210" s="73"/>
      <c r="E210" s="73"/>
      <c r="F210" s="73"/>
      <c r="G210" s="37"/>
      <c r="H210" s="37"/>
      <c r="I210" s="37"/>
      <c r="J210" s="37"/>
      <c r="K210" s="37"/>
      <c r="L210" s="37"/>
      <c r="M210" s="37"/>
      <c r="N210" s="71"/>
      <c r="O210" s="71"/>
      <c r="P210" s="71"/>
      <c r="Q210" s="71"/>
      <c r="R210" s="71"/>
      <c r="S210" s="71"/>
    </row>
    <row r="211" spans="1:19" x14ac:dyDescent="0.2">
      <c r="A211" s="71"/>
      <c r="B211" s="71"/>
      <c r="C211" s="71"/>
      <c r="D211" s="71"/>
      <c r="E211" s="71"/>
      <c r="F211" s="71"/>
      <c r="G211" s="37"/>
      <c r="H211" s="37"/>
      <c r="I211" s="37"/>
      <c r="J211" s="37"/>
      <c r="K211" s="37"/>
      <c r="L211" s="37"/>
      <c r="M211" s="37"/>
      <c r="N211" s="71"/>
      <c r="O211" s="71"/>
      <c r="P211" s="71"/>
      <c r="Q211" s="71"/>
      <c r="R211" s="71"/>
      <c r="S211" s="71"/>
    </row>
  </sheetData>
  <sortState ref="A150:R169">
    <sortCondition descending="1" ref="N150:N169"/>
  </sortState>
  <hyperlinks>
    <hyperlink ref="A210" location="Indice!A5" display="Volver al índice"/>
  </hyperlinks>
  <pageMargins left="0.7" right="0.7" top="0.75" bottom="0.75" header="0.3" footer="0.3"/>
  <pageSetup orientation="portrait" verticalDpi="0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5"/>
  <cols>
    <col min="1" max="1" width="37.28515625" style="1" customWidth="1"/>
    <col min="2" max="3" width="12.7109375" style="41" customWidth="1"/>
    <col min="4" max="4" width="15.28515625" style="41" customWidth="1"/>
    <col min="5" max="16384" width="10.85546875" style="2"/>
  </cols>
  <sheetData>
    <row r="1" spans="1:4" ht="21" x14ac:dyDescent="0.25">
      <c r="A1" s="62" t="s">
        <v>314</v>
      </c>
      <c r="B1" s="42"/>
      <c r="C1" s="42"/>
      <c r="D1" s="42"/>
    </row>
    <row r="2" spans="1:4" ht="26.25" customHeight="1" x14ac:dyDescent="0.25">
      <c r="A2" s="37"/>
      <c r="B2" s="42"/>
      <c r="C2" s="42"/>
      <c r="D2" s="42"/>
    </row>
    <row r="3" spans="1:4" x14ac:dyDescent="0.25">
      <c r="A3" s="37"/>
      <c r="B3" s="42"/>
      <c r="C3" s="42"/>
      <c r="D3" s="42"/>
    </row>
    <row r="4" spans="1:4" ht="15.75" x14ac:dyDescent="0.25">
      <c r="A4" s="24" t="s">
        <v>387</v>
      </c>
      <c r="B4" s="42"/>
      <c r="C4" s="42"/>
      <c r="D4" s="42"/>
    </row>
    <row r="5" spans="1:4" x14ac:dyDescent="0.25">
      <c r="A5" s="82" t="s">
        <v>249</v>
      </c>
      <c r="B5" s="43" t="s">
        <v>87</v>
      </c>
      <c r="C5" s="43" t="s">
        <v>88</v>
      </c>
      <c r="D5" s="43" t="s">
        <v>8</v>
      </c>
    </row>
    <row r="6" spans="1:4" x14ac:dyDescent="0.25">
      <c r="A6" s="31" t="s">
        <v>243</v>
      </c>
      <c r="B6" s="39">
        <v>334</v>
      </c>
      <c r="C6" s="39">
        <v>2499</v>
      </c>
      <c r="D6" s="39">
        <v>2833</v>
      </c>
    </row>
    <row r="7" spans="1:4" x14ac:dyDescent="0.25">
      <c r="A7" s="31" t="s">
        <v>244</v>
      </c>
      <c r="B7" s="39">
        <v>367</v>
      </c>
      <c r="C7" s="39">
        <v>3112</v>
      </c>
      <c r="D7" s="39">
        <v>3479</v>
      </c>
    </row>
    <row r="8" spans="1:4" x14ac:dyDescent="0.25">
      <c r="A8" s="31" t="s">
        <v>245</v>
      </c>
      <c r="B8" s="39">
        <v>67</v>
      </c>
      <c r="C8" s="39">
        <v>8789</v>
      </c>
      <c r="D8" s="39">
        <v>8856</v>
      </c>
    </row>
    <row r="9" spans="1:4" x14ac:dyDescent="0.25">
      <c r="A9" s="5" t="s">
        <v>4</v>
      </c>
      <c r="B9" s="40">
        <v>768</v>
      </c>
      <c r="C9" s="40">
        <v>14400</v>
      </c>
      <c r="D9" s="40">
        <v>15168</v>
      </c>
    </row>
    <row r="10" spans="1:4" x14ac:dyDescent="0.25">
      <c r="A10" s="130" t="s">
        <v>373</v>
      </c>
      <c r="B10" s="42"/>
      <c r="C10" s="42"/>
      <c r="D10" s="42"/>
    </row>
    <row r="11" spans="1:4" x14ac:dyDescent="0.25">
      <c r="A11" s="111"/>
      <c r="B11" s="42"/>
      <c r="C11" s="42"/>
      <c r="D11" s="42"/>
    </row>
    <row r="12" spans="1:4" ht="15.75" x14ac:dyDescent="0.25">
      <c r="A12" s="24" t="s">
        <v>388</v>
      </c>
      <c r="B12" s="42"/>
      <c r="C12" s="42"/>
      <c r="D12" s="42"/>
    </row>
    <row r="13" spans="1:4" x14ac:dyDescent="0.25">
      <c r="A13" s="82" t="s">
        <v>233</v>
      </c>
      <c r="B13" s="43" t="s">
        <v>87</v>
      </c>
      <c r="C13" s="43" t="s">
        <v>88</v>
      </c>
      <c r="D13" s="43" t="s">
        <v>8</v>
      </c>
    </row>
    <row r="14" spans="1:4" x14ac:dyDescent="0.25">
      <c r="A14" s="4" t="s">
        <v>317</v>
      </c>
      <c r="B14" s="39">
        <v>336</v>
      </c>
      <c r="C14" s="39">
        <v>7449</v>
      </c>
      <c r="D14" s="39">
        <v>7785</v>
      </c>
    </row>
    <row r="15" spans="1:4" x14ac:dyDescent="0.25">
      <c r="A15" s="4" t="s">
        <v>318</v>
      </c>
      <c r="B15" s="39">
        <v>432</v>
      </c>
      <c r="C15" s="39">
        <v>6951</v>
      </c>
      <c r="D15" s="39">
        <v>7383</v>
      </c>
    </row>
    <row r="16" spans="1:4" x14ac:dyDescent="0.25">
      <c r="A16" s="5" t="s">
        <v>285</v>
      </c>
      <c r="B16" s="40">
        <v>768</v>
      </c>
      <c r="C16" s="40">
        <v>14400</v>
      </c>
      <c r="D16" s="40">
        <v>15168</v>
      </c>
    </row>
    <row r="18" spans="1:4" ht="15.75" x14ac:dyDescent="0.25">
      <c r="A18" s="24" t="s">
        <v>389</v>
      </c>
      <c r="B18" s="42"/>
      <c r="C18" s="42"/>
      <c r="D18" s="42"/>
    </row>
    <row r="19" spans="1:4" x14ac:dyDescent="0.25">
      <c r="A19" s="82" t="s">
        <v>26</v>
      </c>
      <c r="B19" s="43" t="s">
        <v>87</v>
      </c>
      <c r="C19" s="43" t="s">
        <v>88</v>
      </c>
      <c r="D19" s="43" t="s">
        <v>8</v>
      </c>
    </row>
    <row r="20" spans="1:4" x14ac:dyDescent="0.25">
      <c r="A20" s="4" t="s">
        <v>28</v>
      </c>
      <c r="B20" s="120">
        <v>1</v>
      </c>
      <c r="C20" s="120">
        <v>705</v>
      </c>
      <c r="D20" s="120">
        <v>706</v>
      </c>
    </row>
    <row r="21" spans="1:4" x14ac:dyDescent="0.25">
      <c r="A21" s="4" t="s">
        <v>29</v>
      </c>
      <c r="B21" s="120">
        <v>75</v>
      </c>
      <c r="C21" s="120">
        <v>3071</v>
      </c>
      <c r="D21" s="120">
        <v>3146</v>
      </c>
    </row>
    <row r="22" spans="1:4" x14ac:dyDescent="0.25">
      <c r="A22" s="4" t="s">
        <v>30</v>
      </c>
      <c r="B22" s="120">
        <v>327</v>
      </c>
      <c r="C22" s="120">
        <v>3917</v>
      </c>
      <c r="D22" s="120">
        <v>4244</v>
      </c>
    </row>
    <row r="23" spans="1:4" x14ac:dyDescent="0.25">
      <c r="A23" s="4" t="s">
        <v>31</v>
      </c>
      <c r="B23" s="120">
        <v>192</v>
      </c>
      <c r="C23" s="120">
        <v>2891</v>
      </c>
      <c r="D23" s="120">
        <v>3083</v>
      </c>
    </row>
    <row r="24" spans="1:4" x14ac:dyDescent="0.25">
      <c r="A24" s="4" t="s">
        <v>32</v>
      </c>
      <c r="B24" s="120">
        <v>173</v>
      </c>
      <c r="C24" s="120">
        <v>3815</v>
      </c>
      <c r="D24" s="120">
        <v>3988</v>
      </c>
    </row>
    <row r="25" spans="1:4" x14ac:dyDescent="0.25">
      <c r="A25" s="4" t="s">
        <v>33</v>
      </c>
      <c r="B25" s="120" t="s">
        <v>366</v>
      </c>
      <c r="C25" s="120">
        <v>1</v>
      </c>
      <c r="D25" s="120">
        <v>1</v>
      </c>
    </row>
    <row r="26" spans="1:4" x14ac:dyDescent="0.25">
      <c r="A26" s="5" t="s">
        <v>4</v>
      </c>
      <c r="B26" s="121">
        <v>768</v>
      </c>
      <c r="C26" s="121">
        <v>14400</v>
      </c>
      <c r="D26" s="121">
        <v>15168</v>
      </c>
    </row>
    <row r="27" spans="1:4" x14ac:dyDescent="0.25">
      <c r="A27" s="87" t="s">
        <v>35</v>
      </c>
      <c r="B27" s="88">
        <v>36.1</v>
      </c>
      <c r="C27" s="88">
        <v>35.5</v>
      </c>
      <c r="D27" s="88">
        <v>35.5</v>
      </c>
    </row>
    <row r="28" spans="1:4" x14ac:dyDescent="0.25">
      <c r="B28" s="1"/>
      <c r="C28" s="1"/>
      <c r="D28" s="1"/>
    </row>
    <row r="29" spans="1:4" ht="15.75" x14ac:dyDescent="0.25">
      <c r="A29" s="24" t="s">
        <v>390</v>
      </c>
      <c r="B29" s="42"/>
      <c r="C29" s="42"/>
      <c r="D29" s="42"/>
    </row>
    <row r="30" spans="1:4" x14ac:dyDescent="0.25">
      <c r="A30" s="82" t="s">
        <v>10</v>
      </c>
      <c r="B30" s="43" t="s">
        <v>87</v>
      </c>
      <c r="C30" s="43" t="s">
        <v>88</v>
      </c>
      <c r="D30" s="43" t="s">
        <v>8</v>
      </c>
    </row>
    <row r="31" spans="1:4" x14ac:dyDescent="0.25">
      <c r="A31" s="4" t="s">
        <v>11</v>
      </c>
      <c r="B31" s="39">
        <v>7</v>
      </c>
      <c r="C31" s="39">
        <v>4658</v>
      </c>
      <c r="D31" s="39">
        <v>4665</v>
      </c>
    </row>
    <row r="32" spans="1:4" x14ac:dyDescent="0.25">
      <c r="A32" s="4" t="s">
        <v>12</v>
      </c>
      <c r="B32" s="39">
        <v>47</v>
      </c>
      <c r="C32" s="39">
        <v>137</v>
      </c>
      <c r="D32" s="39">
        <v>184</v>
      </c>
    </row>
    <row r="33" spans="1:4" x14ac:dyDescent="0.25">
      <c r="A33" s="4" t="s">
        <v>13</v>
      </c>
      <c r="B33" s="39">
        <v>11</v>
      </c>
      <c r="C33" s="39">
        <v>383</v>
      </c>
      <c r="D33" s="39">
        <v>394</v>
      </c>
    </row>
    <row r="34" spans="1:4" x14ac:dyDescent="0.25">
      <c r="A34" s="4" t="s">
        <v>14</v>
      </c>
      <c r="B34" s="39">
        <v>267</v>
      </c>
      <c r="C34" s="39">
        <v>377</v>
      </c>
      <c r="D34" s="39">
        <v>644</v>
      </c>
    </row>
    <row r="35" spans="1:4" x14ac:dyDescent="0.25">
      <c r="A35" s="4" t="s">
        <v>15</v>
      </c>
      <c r="B35" s="39">
        <v>88</v>
      </c>
      <c r="C35" s="39">
        <v>1706</v>
      </c>
      <c r="D35" s="39">
        <v>1794</v>
      </c>
    </row>
    <row r="36" spans="1:4" x14ac:dyDescent="0.25">
      <c r="A36" s="4" t="s">
        <v>16</v>
      </c>
      <c r="B36" s="39">
        <v>18</v>
      </c>
      <c r="C36" s="39">
        <v>925</v>
      </c>
      <c r="D36" s="39">
        <v>943</v>
      </c>
    </row>
    <row r="37" spans="1:4" x14ac:dyDescent="0.25">
      <c r="A37" s="4" t="s">
        <v>17</v>
      </c>
      <c r="B37" s="39">
        <v>53</v>
      </c>
      <c r="C37" s="39">
        <v>3797</v>
      </c>
      <c r="D37" s="39">
        <v>3850</v>
      </c>
    </row>
    <row r="38" spans="1:4" x14ac:dyDescent="0.25">
      <c r="A38" s="4" t="s">
        <v>18</v>
      </c>
      <c r="B38" s="39">
        <v>72</v>
      </c>
      <c r="C38" s="39">
        <v>200</v>
      </c>
      <c r="D38" s="39">
        <v>272</v>
      </c>
    </row>
    <row r="39" spans="1:4" x14ac:dyDescent="0.25">
      <c r="A39" s="4" t="s">
        <v>19</v>
      </c>
      <c r="B39" s="39">
        <v>71</v>
      </c>
      <c r="C39" s="39">
        <v>967</v>
      </c>
      <c r="D39" s="39">
        <v>1038</v>
      </c>
    </row>
    <row r="40" spans="1:4" x14ac:dyDescent="0.25">
      <c r="A40" s="4" t="s">
        <v>20</v>
      </c>
      <c r="B40" s="39">
        <v>134</v>
      </c>
      <c r="C40" s="39">
        <v>1250</v>
      </c>
      <c r="D40" s="39">
        <v>1384</v>
      </c>
    </row>
    <row r="41" spans="1:4" x14ac:dyDescent="0.25">
      <c r="A41" s="5" t="s">
        <v>4</v>
      </c>
      <c r="B41" s="40">
        <v>768</v>
      </c>
      <c r="C41" s="40">
        <v>14400</v>
      </c>
      <c r="D41" s="40">
        <v>15168</v>
      </c>
    </row>
    <row r="42" spans="1:4" x14ac:dyDescent="0.25">
      <c r="A42" s="37"/>
      <c r="B42" s="42"/>
      <c r="C42" s="42"/>
      <c r="D42" s="42"/>
    </row>
    <row r="43" spans="1:4" ht="15.75" x14ac:dyDescent="0.25">
      <c r="A43" s="24" t="s">
        <v>391</v>
      </c>
      <c r="B43" s="42"/>
      <c r="C43" s="42"/>
      <c r="D43" s="42"/>
    </row>
    <row r="44" spans="1:4" x14ac:dyDescent="0.25">
      <c r="A44" s="82" t="s">
        <v>41</v>
      </c>
      <c r="B44" s="43" t="s">
        <v>87</v>
      </c>
      <c r="C44" s="43" t="s">
        <v>88</v>
      </c>
      <c r="D44" s="43" t="s">
        <v>8</v>
      </c>
    </row>
    <row r="45" spans="1:4" x14ac:dyDescent="0.25">
      <c r="A45" s="4" t="s">
        <v>42</v>
      </c>
      <c r="B45" s="39">
        <v>695</v>
      </c>
      <c r="C45" s="39">
        <v>5355</v>
      </c>
      <c r="D45" s="40">
        <v>6050</v>
      </c>
    </row>
    <row r="46" spans="1:4" x14ac:dyDescent="0.25">
      <c r="A46" s="4" t="s">
        <v>43</v>
      </c>
      <c r="B46" s="39">
        <v>68</v>
      </c>
      <c r="C46" s="39">
        <v>4494</v>
      </c>
      <c r="D46" s="40">
        <v>4562</v>
      </c>
    </row>
    <row r="47" spans="1:4" x14ac:dyDescent="0.25">
      <c r="A47" s="31" t="s">
        <v>235</v>
      </c>
      <c r="B47" s="39"/>
      <c r="C47" s="39">
        <v>453</v>
      </c>
      <c r="D47" s="40">
        <v>453</v>
      </c>
    </row>
    <row r="48" spans="1:4" x14ac:dyDescent="0.25">
      <c r="A48" s="31" t="s">
        <v>238</v>
      </c>
      <c r="B48" s="39">
        <v>4</v>
      </c>
      <c r="C48" s="39">
        <v>2251</v>
      </c>
      <c r="D48" s="40">
        <v>2255</v>
      </c>
    </row>
    <row r="49" spans="1:4" x14ac:dyDescent="0.25">
      <c r="A49" s="4" t="s">
        <v>44</v>
      </c>
      <c r="B49" s="39">
        <v>1</v>
      </c>
      <c r="C49" s="39">
        <v>1847</v>
      </c>
      <c r="D49" s="40">
        <v>1848</v>
      </c>
    </row>
    <row r="50" spans="1:4" x14ac:dyDescent="0.25">
      <c r="A50" s="5" t="s">
        <v>4</v>
      </c>
      <c r="B50" s="40">
        <v>768</v>
      </c>
      <c r="C50" s="40">
        <v>14400</v>
      </c>
      <c r="D50" s="40">
        <v>15168</v>
      </c>
    </row>
    <row r="51" spans="1:4" x14ac:dyDescent="0.25">
      <c r="A51" s="37"/>
      <c r="B51" s="42"/>
      <c r="C51" s="42"/>
      <c r="D51" s="42"/>
    </row>
    <row r="52" spans="1:4" ht="15.75" x14ac:dyDescent="0.25">
      <c r="A52" s="24" t="s">
        <v>392</v>
      </c>
      <c r="B52" s="42"/>
      <c r="C52" s="42"/>
      <c r="D52" s="42"/>
    </row>
    <row r="53" spans="1:4" x14ac:dyDescent="0.25">
      <c r="A53" s="82" t="s">
        <v>9</v>
      </c>
      <c r="B53" s="43" t="s">
        <v>87</v>
      </c>
      <c r="C53" s="43" t="s">
        <v>88</v>
      </c>
      <c r="D53" s="43" t="s">
        <v>8</v>
      </c>
    </row>
    <row r="54" spans="1:4" x14ac:dyDescent="0.25">
      <c r="A54" s="4" t="s">
        <v>254</v>
      </c>
      <c r="B54" s="39">
        <v>2</v>
      </c>
      <c r="C54" s="39">
        <v>113</v>
      </c>
      <c r="D54" s="39">
        <v>115</v>
      </c>
    </row>
    <row r="55" spans="1:4" x14ac:dyDescent="0.25">
      <c r="A55" s="4" t="s">
        <v>255</v>
      </c>
      <c r="B55" s="39">
        <v>0</v>
      </c>
      <c r="C55" s="39">
        <v>181</v>
      </c>
      <c r="D55" s="39">
        <v>181</v>
      </c>
    </row>
    <row r="56" spans="1:4" x14ac:dyDescent="0.25">
      <c r="A56" s="4" t="s">
        <v>256</v>
      </c>
      <c r="B56" s="39">
        <v>15</v>
      </c>
      <c r="C56" s="39">
        <v>158</v>
      </c>
      <c r="D56" s="39">
        <v>173</v>
      </c>
    </row>
    <row r="57" spans="1:4" x14ac:dyDescent="0.25">
      <c r="A57" s="4" t="s">
        <v>257</v>
      </c>
      <c r="B57" s="39">
        <v>0</v>
      </c>
      <c r="C57" s="39">
        <v>20</v>
      </c>
      <c r="D57" s="39">
        <v>20</v>
      </c>
    </row>
    <row r="58" spans="1:4" x14ac:dyDescent="0.25">
      <c r="A58" s="4" t="s">
        <v>258</v>
      </c>
      <c r="B58" s="39">
        <v>7</v>
      </c>
      <c r="C58" s="39">
        <v>139</v>
      </c>
      <c r="D58" s="39">
        <v>146</v>
      </c>
    </row>
    <row r="59" spans="1:4" x14ac:dyDescent="0.25">
      <c r="A59" s="4" t="s">
        <v>259</v>
      </c>
      <c r="B59" s="39">
        <v>74</v>
      </c>
      <c r="C59" s="39">
        <v>1098</v>
      </c>
      <c r="D59" s="39">
        <v>1172</v>
      </c>
    </row>
    <row r="60" spans="1:4" x14ac:dyDescent="0.25">
      <c r="A60" s="31" t="s">
        <v>270</v>
      </c>
      <c r="B60" s="39">
        <v>475</v>
      </c>
      <c r="C60" s="39">
        <v>9925</v>
      </c>
      <c r="D60" s="39">
        <v>10400</v>
      </c>
    </row>
    <row r="61" spans="1:4" x14ac:dyDescent="0.25">
      <c r="A61" s="31" t="s">
        <v>374</v>
      </c>
      <c r="B61" s="39">
        <v>0</v>
      </c>
      <c r="C61" s="39">
        <v>0</v>
      </c>
      <c r="D61" s="39">
        <v>0</v>
      </c>
    </row>
    <row r="62" spans="1:4" x14ac:dyDescent="0.25">
      <c r="A62" s="4" t="s">
        <v>260</v>
      </c>
      <c r="B62" s="39">
        <v>17</v>
      </c>
      <c r="C62" s="39">
        <v>201</v>
      </c>
      <c r="D62" s="39">
        <v>218</v>
      </c>
    </row>
    <row r="63" spans="1:4" x14ac:dyDescent="0.25">
      <c r="A63" s="4" t="s">
        <v>274</v>
      </c>
      <c r="B63" s="39">
        <v>11</v>
      </c>
      <c r="C63" s="39">
        <v>93</v>
      </c>
      <c r="D63" s="39">
        <v>104</v>
      </c>
    </row>
    <row r="64" spans="1:4" x14ac:dyDescent="0.25">
      <c r="A64" s="4" t="s">
        <v>261</v>
      </c>
      <c r="B64" s="39">
        <v>97</v>
      </c>
      <c r="C64" s="39">
        <v>1274</v>
      </c>
      <c r="D64" s="39">
        <v>1371</v>
      </c>
    </row>
    <row r="65" spans="1:4" x14ac:dyDescent="0.25">
      <c r="A65" s="4" t="s">
        <v>262</v>
      </c>
      <c r="B65" s="39">
        <v>44</v>
      </c>
      <c r="C65" s="39">
        <v>716</v>
      </c>
      <c r="D65" s="39">
        <v>760</v>
      </c>
    </row>
    <row r="66" spans="1:4" x14ac:dyDescent="0.25">
      <c r="A66" s="4" t="s">
        <v>263</v>
      </c>
      <c r="B66" s="39">
        <v>24</v>
      </c>
      <c r="C66" s="39">
        <v>291</v>
      </c>
      <c r="D66" s="39">
        <v>315</v>
      </c>
    </row>
    <row r="67" spans="1:4" x14ac:dyDescent="0.25">
      <c r="A67" s="4" t="s">
        <v>264</v>
      </c>
      <c r="B67" s="39">
        <v>2</v>
      </c>
      <c r="C67" s="39">
        <v>191</v>
      </c>
      <c r="D67" s="39">
        <v>193</v>
      </c>
    </row>
    <row r="68" spans="1:4" x14ac:dyDescent="0.25">
      <c r="A68" s="4" t="s">
        <v>265</v>
      </c>
      <c r="B68" s="39">
        <v>0</v>
      </c>
      <c r="C68" s="39">
        <v>0</v>
      </c>
      <c r="D68" s="39">
        <v>0</v>
      </c>
    </row>
    <row r="69" spans="1:4" x14ac:dyDescent="0.25">
      <c r="A69" s="4" t="s">
        <v>267</v>
      </c>
      <c r="B69" s="39">
        <v>0</v>
      </c>
      <c r="C69" s="39">
        <v>0</v>
      </c>
      <c r="D69" s="39">
        <v>0</v>
      </c>
    </row>
    <row r="70" spans="1:4" x14ac:dyDescent="0.25">
      <c r="A70" s="5" t="s">
        <v>4</v>
      </c>
      <c r="B70" s="40">
        <v>768</v>
      </c>
      <c r="C70" s="40">
        <v>14400</v>
      </c>
      <c r="D70" s="40">
        <v>15168</v>
      </c>
    </row>
    <row r="72" spans="1:4" ht="15.75" x14ac:dyDescent="0.25">
      <c r="A72" s="24" t="s">
        <v>393</v>
      </c>
      <c r="B72" s="42"/>
      <c r="C72" s="42"/>
      <c r="D72" s="42"/>
    </row>
    <row r="73" spans="1:4" x14ac:dyDescent="0.25">
      <c r="A73" s="82" t="s">
        <v>10</v>
      </c>
      <c r="B73" s="43" t="s">
        <v>214</v>
      </c>
      <c r="C73" s="43" t="s">
        <v>215</v>
      </c>
      <c r="D73" s="43" t="s">
        <v>8</v>
      </c>
    </row>
    <row r="74" spans="1:4" x14ac:dyDescent="0.25">
      <c r="A74" s="18" t="s">
        <v>11</v>
      </c>
      <c r="B74" s="44">
        <v>1894</v>
      </c>
      <c r="C74" s="44">
        <v>2771</v>
      </c>
      <c r="D74" s="44">
        <v>4665</v>
      </c>
    </row>
    <row r="75" spans="1:4" x14ac:dyDescent="0.25">
      <c r="A75" s="18" t="s">
        <v>12</v>
      </c>
      <c r="B75" s="44">
        <v>90</v>
      </c>
      <c r="C75" s="44">
        <v>94</v>
      </c>
      <c r="D75" s="44">
        <v>184</v>
      </c>
    </row>
    <row r="76" spans="1:4" x14ac:dyDescent="0.25">
      <c r="A76" s="18" t="s">
        <v>13</v>
      </c>
      <c r="B76" s="44">
        <v>218</v>
      </c>
      <c r="C76" s="44">
        <v>176</v>
      </c>
      <c r="D76" s="44">
        <v>394</v>
      </c>
    </row>
    <row r="77" spans="1:4" x14ac:dyDescent="0.25">
      <c r="A77" s="18" t="s">
        <v>14</v>
      </c>
      <c r="B77" s="44">
        <v>253</v>
      </c>
      <c r="C77" s="44">
        <v>391</v>
      </c>
      <c r="D77" s="44">
        <v>644</v>
      </c>
    </row>
    <row r="78" spans="1:4" x14ac:dyDescent="0.25">
      <c r="A78" s="18" t="s">
        <v>15</v>
      </c>
      <c r="B78" s="44">
        <v>1039</v>
      </c>
      <c r="C78" s="44">
        <v>755</v>
      </c>
      <c r="D78" s="44">
        <v>1794</v>
      </c>
    </row>
    <row r="79" spans="1:4" x14ac:dyDescent="0.25">
      <c r="A79" s="18" t="s">
        <v>16</v>
      </c>
      <c r="B79" s="44">
        <v>451</v>
      </c>
      <c r="C79" s="44">
        <v>492</v>
      </c>
      <c r="D79" s="44">
        <v>943</v>
      </c>
    </row>
    <row r="80" spans="1:4" x14ac:dyDescent="0.25">
      <c r="A80" s="18" t="s">
        <v>17</v>
      </c>
      <c r="B80" s="44">
        <v>2690</v>
      </c>
      <c r="C80" s="44">
        <v>1160</v>
      </c>
      <c r="D80" s="44">
        <v>3850</v>
      </c>
    </row>
    <row r="81" spans="1:4" x14ac:dyDescent="0.25">
      <c r="A81" s="18" t="s">
        <v>18</v>
      </c>
      <c r="B81" s="44">
        <v>146</v>
      </c>
      <c r="C81" s="44">
        <v>126</v>
      </c>
      <c r="D81" s="44">
        <v>272</v>
      </c>
    </row>
    <row r="82" spans="1:4" x14ac:dyDescent="0.25">
      <c r="A82" s="18" t="s">
        <v>19</v>
      </c>
      <c r="B82" s="44">
        <v>645</v>
      </c>
      <c r="C82" s="44">
        <v>393</v>
      </c>
      <c r="D82" s="44">
        <v>1038</v>
      </c>
    </row>
    <row r="83" spans="1:4" x14ac:dyDescent="0.25">
      <c r="A83" s="18" t="s">
        <v>20</v>
      </c>
      <c r="B83" s="44">
        <v>359</v>
      </c>
      <c r="C83" s="44">
        <v>1025</v>
      </c>
      <c r="D83" s="44">
        <v>1384</v>
      </c>
    </row>
    <row r="84" spans="1:4" x14ac:dyDescent="0.25">
      <c r="A84" s="19" t="s">
        <v>4</v>
      </c>
      <c r="B84" s="45">
        <v>7785</v>
      </c>
      <c r="C84" s="45">
        <v>7383</v>
      </c>
      <c r="D84" s="45">
        <v>15168</v>
      </c>
    </row>
    <row r="86" spans="1:4" ht="15.75" x14ac:dyDescent="0.25">
      <c r="A86" s="24" t="s">
        <v>394</v>
      </c>
      <c r="B86" s="42"/>
      <c r="C86" s="42"/>
      <c r="D86" s="42"/>
    </row>
    <row r="87" spans="1:4" x14ac:dyDescent="0.25">
      <c r="A87" s="82" t="s">
        <v>9</v>
      </c>
      <c r="B87" s="43" t="s">
        <v>214</v>
      </c>
      <c r="C87" s="43" t="s">
        <v>215</v>
      </c>
      <c r="D87" s="43" t="s">
        <v>8</v>
      </c>
    </row>
    <row r="88" spans="1:4" x14ac:dyDescent="0.25">
      <c r="A88" s="18" t="s">
        <v>254</v>
      </c>
      <c r="B88" s="60">
        <v>70</v>
      </c>
      <c r="C88" s="60">
        <v>45</v>
      </c>
      <c r="D88" s="60">
        <v>115</v>
      </c>
    </row>
    <row r="89" spans="1:4" x14ac:dyDescent="0.25">
      <c r="A89" s="18" t="s">
        <v>255</v>
      </c>
      <c r="B89" s="60">
        <v>104</v>
      </c>
      <c r="C89" s="60">
        <v>77</v>
      </c>
      <c r="D89" s="60">
        <v>181</v>
      </c>
    </row>
    <row r="90" spans="1:4" x14ac:dyDescent="0.25">
      <c r="A90" s="18" t="s">
        <v>256</v>
      </c>
      <c r="B90" s="60">
        <v>96</v>
      </c>
      <c r="C90" s="60">
        <v>77</v>
      </c>
      <c r="D90" s="60">
        <v>173</v>
      </c>
    </row>
    <row r="91" spans="1:4" x14ac:dyDescent="0.25">
      <c r="A91" s="18" t="s">
        <v>257</v>
      </c>
      <c r="B91" s="60">
        <v>12</v>
      </c>
      <c r="C91" s="60">
        <v>8</v>
      </c>
      <c r="D91" s="60">
        <v>20</v>
      </c>
    </row>
    <row r="92" spans="1:4" x14ac:dyDescent="0.25">
      <c r="A92" s="18" t="s">
        <v>258</v>
      </c>
      <c r="B92" s="60">
        <v>68</v>
      </c>
      <c r="C92" s="60">
        <v>78</v>
      </c>
      <c r="D92" s="60">
        <v>146</v>
      </c>
    </row>
    <row r="93" spans="1:4" x14ac:dyDescent="0.25">
      <c r="A93" s="18" t="s">
        <v>259</v>
      </c>
      <c r="B93" s="60">
        <v>593</v>
      </c>
      <c r="C93" s="60">
        <v>579</v>
      </c>
      <c r="D93" s="60">
        <v>1172</v>
      </c>
    </row>
    <row r="94" spans="1:4" x14ac:dyDescent="0.25">
      <c r="A94" s="89" t="s">
        <v>270</v>
      </c>
      <c r="B94" s="60">
        <v>5145</v>
      </c>
      <c r="C94" s="60">
        <v>5255</v>
      </c>
      <c r="D94" s="60">
        <v>10400</v>
      </c>
    </row>
    <row r="95" spans="1:4" x14ac:dyDescent="0.25">
      <c r="A95" s="89" t="s">
        <v>374</v>
      </c>
      <c r="B95" s="60">
        <v>0</v>
      </c>
      <c r="C95" s="60">
        <v>0</v>
      </c>
      <c r="D95" s="60">
        <v>0</v>
      </c>
    </row>
    <row r="96" spans="1:4" x14ac:dyDescent="0.25">
      <c r="A96" s="18" t="s">
        <v>260</v>
      </c>
      <c r="B96" s="60">
        <v>112</v>
      </c>
      <c r="C96" s="60">
        <v>106</v>
      </c>
      <c r="D96" s="60">
        <v>218</v>
      </c>
    </row>
    <row r="97" spans="1:4" x14ac:dyDescent="0.25">
      <c r="A97" s="18" t="s">
        <v>274</v>
      </c>
      <c r="B97" s="60">
        <v>65</v>
      </c>
      <c r="C97" s="60">
        <v>39</v>
      </c>
      <c r="D97" s="60">
        <v>104</v>
      </c>
    </row>
    <row r="98" spans="1:4" x14ac:dyDescent="0.25">
      <c r="A98" s="18" t="s">
        <v>261</v>
      </c>
      <c r="B98" s="60">
        <v>778</v>
      </c>
      <c r="C98" s="60">
        <v>593</v>
      </c>
      <c r="D98" s="60">
        <v>1371</v>
      </c>
    </row>
    <row r="99" spans="1:4" x14ac:dyDescent="0.25">
      <c r="A99" s="18" t="s">
        <v>262</v>
      </c>
      <c r="B99" s="60">
        <v>472</v>
      </c>
      <c r="C99" s="60">
        <v>288</v>
      </c>
      <c r="D99" s="60">
        <v>760</v>
      </c>
    </row>
    <row r="100" spans="1:4" x14ac:dyDescent="0.25">
      <c r="A100" s="18" t="s">
        <v>263</v>
      </c>
      <c r="B100" s="60">
        <v>162</v>
      </c>
      <c r="C100" s="60">
        <v>153</v>
      </c>
      <c r="D100" s="60">
        <v>315</v>
      </c>
    </row>
    <row r="101" spans="1:4" x14ac:dyDescent="0.25">
      <c r="A101" s="18" t="s">
        <v>264</v>
      </c>
      <c r="B101" s="60">
        <v>108</v>
      </c>
      <c r="C101" s="60">
        <v>85</v>
      </c>
      <c r="D101" s="60">
        <v>193</v>
      </c>
    </row>
    <row r="102" spans="1:4" x14ac:dyDescent="0.25">
      <c r="A102" s="18" t="s">
        <v>265</v>
      </c>
      <c r="B102" s="60">
        <v>0</v>
      </c>
      <c r="C102" s="60">
        <v>0</v>
      </c>
      <c r="D102" s="60">
        <v>0</v>
      </c>
    </row>
    <row r="103" spans="1:4" x14ac:dyDescent="0.25">
      <c r="A103" s="18" t="s">
        <v>267</v>
      </c>
      <c r="B103" s="60">
        <v>0</v>
      </c>
      <c r="C103" s="60">
        <v>0</v>
      </c>
      <c r="D103" s="60">
        <v>0</v>
      </c>
    </row>
    <row r="104" spans="1:4" x14ac:dyDescent="0.25">
      <c r="A104" s="19" t="s">
        <v>4</v>
      </c>
      <c r="B104" s="61">
        <v>7785</v>
      </c>
      <c r="C104" s="61">
        <v>7383</v>
      </c>
      <c r="D104" s="61">
        <v>15168</v>
      </c>
    </row>
    <row r="105" spans="1:4" x14ac:dyDescent="0.25">
      <c r="A105" s="37"/>
      <c r="B105" s="42"/>
      <c r="C105" s="42"/>
      <c r="D105" s="42"/>
    </row>
    <row r="106" spans="1:4" x14ac:dyDescent="0.25">
      <c r="A106" s="37"/>
      <c r="B106" s="42"/>
      <c r="C106" s="42"/>
      <c r="D106" s="42"/>
    </row>
    <row r="107" spans="1:4" x14ac:dyDescent="0.25">
      <c r="A107" s="65" t="s">
        <v>246</v>
      </c>
      <c r="B107" s="42"/>
      <c r="C107" s="42"/>
      <c r="D107" s="42"/>
    </row>
    <row r="108" spans="1:4" x14ac:dyDescent="0.25">
      <c r="A108" s="37"/>
      <c r="B108" s="42"/>
      <c r="C108" s="42"/>
      <c r="D108" s="42"/>
    </row>
    <row r="109" spans="1:4" x14ac:dyDescent="0.25">
      <c r="A109" s="66" t="s">
        <v>21</v>
      </c>
      <c r="B109" s="42"/>
      <c r="C109" s="42"/>
      <c r="D109" s="42"/>
    </row>
    <row r="110" spans="1:4" x14ac:dyDescent="0.25">
      <c r="A110" s="37"/>
      <c r="B110" s="42"/>
      <c r="C110" s="42"/>
      <c r="D110" s="42"/>
    </row>
  </sheetData>
  <hyperlinks>
    <hyperlink ref="A109" location="Indice!A5" display="Volver al índice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"/>
  <cols>
    <col min="1" max="1" width="27.140625" style="1" customWidth="1"/>
    <col min="2" max="15" width="8.7109375" style="1" customWidth="1"/>
    <col min="16" max="18" width="12.7109375" style="1" customWidth="1"/>
    <col min="19" max="19" width="13.85546875" style="1" customWidth="1"/>
    <col min="20" max="16384" width="10.85546875" style="1"/>
  </cols>
  <sheetData>
    <row r="1" spans="1:20" ht="21" x14ac:dyDescent="0.2">
      <c r="A1" s="62" t="s">
        <v>325</v>
      </c>
      <c r="B1" s="62"/>
      <c r="C1" s="62"/>
      <c r="D1" s="62"/>
      <c r="E1" s="62"/>
      <c r="F1" s="62"/>
      <c r="G1" s="62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20" ht="26.25" customHeight="1" x14ac:dyDescent="0.2">
      <c r="A2" s="35"/>
      <c r="B2" s="35"/>
      <c r="C2" s="35"/>
      <c r="D2" s="35"/>
      <c r="E2" s="35"/>
      <c r="F2" s="35"/>
      <c r="G2" s="35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20" x14ac:dyDescent="0.2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20" ht="15.75" x14ac:dyDescent="0.2">
      <c r="A4" s="38" t="s">
        <v>411</v>
      </c>
      <c r="B4" s="38"/>
      <c r="C4" s="38"/>
      <c r="D4" s="38"/>
      <c r="E4" s="38"/>
      <c r="F4" s="38"/>
      <c r="G4" s="38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</row>
    <row r="5" spans="1:20" ht="25.5" x14ac:dyDescent="0.2">
      <c r="A5" s="82" t="s">
        <v>249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3">
        <v>2020</v>
      </c>
      <c r="P5" s="12" t="s">
        <v>427</v>
      </c>
      <c r="Q5" s="12" t="s">
        <v>428</v>
      </c>
      <c r="R5" s="12" t="s">
        <v>429</v>
      </c>
      <c r="S5" s="12" t="s">
        <v>430</v>
      </c>
    </row>
    <row r="6" spans="1:20" x14ac:dyDescent="0.2">
      <c r="A6" s="31" t="s">
        <v>243</v>
      </c>
      <c r="B6" s="31">
        <v>1648</v>
      </c>
      <c r="C6" s="4">
        <v>1920</v>
      </c>
      <c r="D6" s="4">
        <v>2327</v>
      </c>
      <c r="E6" s="4">
        <v>2421</v>
      </c>
      <c r="F6" s="4">
        <v>2696</v>
      </c>
      <c r="G6" s="4">
        <v>2990</v>
      </c>
      <c r="H6" s="4">
        <v>3331</v>
      </c>
      <c r="I6" s="4">
        <v>3547</v>
      </c>
      <c r="J6" s="4">
        <v>3711</v>
      </c>
      <c r="K6" s="4">
        <v>3532</v>
      </c>
      <c r="L6" s="4">
        <v>4054</v>
      </c>
      <c r="M6" s="4">
        <v>4196</v>
      </c>
      <c r="N6" s="4">
        <v>3988</v>
      </c>
      <c r="O6" s="120">
        <v>2833</v>
      </c>
      <c r="P6" s="93">
        <f t="shared" ref="P6:P9" si="0">(O6-F6)/F6</f>
        <v>5.0816023738872403E-2</v>
      </c>
      <c r="Q6" s="100">
        <f t="shared" ref="Q6:Q9" si="1">(O6-K6)/K6</f>
        <v>-0.19790486976217442</v>
      </c>
      <c r="R6" s="100">
        <f t="shared" ref="R6:R9" si="2">(O6-N6)/N6</f>
        <v>-0.28961885656970915</v>
      </c>
      <c r="S6" s="13">
        <f t="shared" ref="S6:S9" si="3">O6/O$9</f>
        <v>0.18677478902953587</v>
      </c>
    </row>
    <row r="7" spans="1:20" x14ac:dyDescent="0.2">
      <c r="A7" s="31" t="s">
        <v>244</v>
      </c>
      <c r="B7" s="31">
        <v>1565</v>
      </c>
      <c r="C7" s="31">
        <v>1478</v>
      </c>
      <c r="D7" s="31">
        <v>1909</v>
      </c>
      <c r="E7" s="31">
        <v>1865</v>
      </c>
      <c r="F7" s="31">
        <v>2099</v>
      </c>
      <c r="G7" s="31">
        <v>2085</v>
      </c>
      <c r="H7" s="20">
        <v>2814</v>
      </c>
      <c r="I7" s="20">
        <v>3018</v>
      </c>
      <c r="J7" s="20">
        <v>2931</v>
      </c>
      <c r="K7" s="20">
        <v>3106</v>
      </c>
      <c r="L7" s="20">
        <v>3417</v>
      </c>
      <c r="M7" s="20">
        <v>3493</v>
      </c>
      <c r="N7" s="20">
        <v>3787</v>
      </c>
      <c r="O7" s="120">
        <v>3479</v>
      </c>
      <c r="P7" s="93">
        <f t="shared" si="0"/>
        <v>0.65745593139590286</v>
      </c>
      <c r="Q7" s="100">
        <f t="shared" si="1"/>
        <v>0.12009014810045074</v>
      </c>
      <c r="R7" s="100">
        <f t="shared" si="2"/>
        <v>-8.1330868761552683E-2</v>
      </c>
      <c r="S7" s="13">
        <f t="shared" si="3"/>
        <v>0.22936445147679324</v>
      </c>
    </row>
    <row r="8" spans="1:20" x14ac:dyDescent="0.2">
      <c r="A8" s="31" t="s">
        <v>245</v>
      </c>
      <c r="B8" s="31">
        <v>2268</v>
      </c>
      <c r="C8" s="31">
        <v>2841</v>
      </c>
      <c r="D8" s="31">
        <v>4369</v>
      </c>
      <c r="E8" s="31">
        <v>3803</v>
      </c>
      <c r="F8" s="31">
        <v>5216</v>
      </c>
      <c r="G8" s="31">
        <v>5514</v>
      </c>
      <c r="H8" s="20">
        <v>6464</v>
      </c>
      <c r="I8" s="20">
        <v>6437</v>
      </c>
      <c r="J8" s="20">
        <v>7343</v>
      </c>
      <c r="K8" s="20">
        <v>7339</v>
      </c>
      <c r="L8" s="20">
        <v>7347</v>
      </c>
      <c r="M8" s="20">
        <v>8645</v>
      </c>
      <c r="N8" s="20">
        <v>8527</v>
      </c>
      <c r="O8" s="120">
        <v>8856</v>
      </c>
      <c r="P8" s="93">
        <f t="shared" si="0"/>
        <v>0.69785276073619629</v>
      </c>
      <c r="Q8" s="100">
        <f t="shared" si="1"/>
        <v>0.20670391061452514</v>
      </c>
      <c r="R8" s="100">
        <f t="shared" si="2"/>
        <v>3.8583323560455025E-2</v>
      </c>
      <c r="S8" s="13">
        <f t="shared" si="3"/>
        <v>0.58386075949367089</v>
      </c>
    </row>
    <row r="9" spans="1:20" x14ac:dyDescent="0.2">
      <c r="A9" s="74" t="s">
        <v>4</v>
      </c>
      <c r="B9" s="74">
        <v>5481</v>
      </c>
      <c r="C9" s="74">
        <v>6239</v>
      </c>
      <c r="D9" s="74">
        <v>8605</v>
      </c>
      <c r="E9" s="74">
        <v>8089</v>
      </c>
      <c r="F9" s="74">
        <v>10011</v>
      </c>
      <c r="G9" s="74">
        <v>10589</v>
      </c>
      <c r="H9" s="75">
        <v>12609</v>
      </c>
      <c r="I9" s="75">
        <v>13002</v>
      </c>
      <c r="J9" s="75">
        <v>13985</v>
      </c>
      <c r="K9" s="75">
        <v>13977</v>
      </c>
      <c r="L9" s="75">
        <v>14818</v>
      </c>
      <c r="M9" s="75">
        <v>16334</v>
      </c>
      <c r="N9" s="75">
        <v>16302</v>
      </c>
      <c r="O9" s="121">
        <v>15168</v>
      </c>
      <c r="P9" s="77">
        <f t="shared" si="0"/>
        <v>0.51513335331135746</v>
      </c>
      <c r="Q9" s="77">
        <f t="shared" si="1"/>
        <v>8.5211418759390423E-2</v>
      </c>
      <c r="R9" s="101">
        <f t="shared" si="2"/>
        <v>-6.9562016930437981E-2</v>
      </c>
      <c r="S9" s="15">
        <f t="shared" si="3"/>
        <v>1</v>
      </c>
    </row>
    <row r="10" spans="1:20" x14ac:dyDescent="0.2">
      <c r="A10" s="130" t="s">
        <v>373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spans="1:20" x14ac:dyDescent="0.2">
      <c r="A11" s="111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2" spans="1:20" ht="15.75" x14ac:dyDescent="0.2">
      <c r="A12" s="38" t="s">
        <v>412</v>
      </c>
      <c r="B12" s="38"/>
      <c r="C12" s="38"/>
      <c r="D12" s="38"/>
      <c r="E12" s="38"/>
      <c r="F12" s="38"/>
      <c r="G12" s="38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</row>
    <row r="13" spans="1:20" ht="25.5" x14ac:dyDescent="0.2">
      <c r="A13" s="82" t="s">
        <v>89</v>
      </c>
      <c r="B13" s="3">
        <v>2007</v>
      </c>
      <c r="C13" s="3">
        <v>2008</v>
      </c>
      <c r="D13" s="3">
        <v>2009</v>
      </c>
      <c r="E13" s="3">
        <v>2010</v>
      </c>
      <c r="F13" s="3">
        <v>2011</v>
      </c>
      <c r="G13" s="3">
        <v>2012</v>
      </c>
      <c r="H13" s="3">
        <v>2013</v>
      </c>
      <c r="I13" s="3">
        <v>2014</v>
      </c>
      <c r="J13" s="3">
        <v>2015</v>
      </c>
      <c r="K13" s="3">
        <v>2016</v>
      </c>
      <c r="L13" s="3">
        <v>2017</v>
      </c>
      <c r="M13" s="3">
        <v>2018</v>
      </c>
      <c r="N13" s="3">
        <v>2019</v>
      </c>
      <c r="O13" s="3">
        <v>2020</v>
      </c>
      <c r="P13" s="12" t="s">
        <v>427</v>
      </c>
      <c r="Q13" s="12" t="s">
        <v>428</v>
      </c>
      <c r="R13" s="12" t="s">
        <v>429</v>
      </c>
      <c r="S13" s="12" t="s">
        <v>430</v>
      </c>
    </row>
    <row r="14" spans="1:20" x14ac:dyDescent="0.2">
      <c r="A14" s="4" t="s">
        <v>87</v>
      </c>
      <c r="B14" s="4">
        <v>314</v>
      </c>
      <c r="C14" s="104">
        <v>320</v>
      </c>
      <c r="D14" s="104">
        <v>383</v>
      </c>
      <c r="E14" s="104">
        <v>395</v>
      </c>
      <c r="F14" s="104">
        <v>492</v>
      </c>
      <c r="G14" s="104">
        <v>603</v>
      </c>
      <c r="H14" s="105">
        <v>634</v>
      </c>
      <c r="I14" s="105">
        <v>612</v>
      </c>
      <c r="J14" s="105">
        <v>693</v>
      </c>
      <c r="K14" s="105">
        <v>706</v>
      </c>
      <c r="L14" s="105">
        <v>728</v>
      </c>
      <c r="M14" s="105">
        <v>834</v>
      </c>
      <c r="N14" s="105">
        <v>883</v>
      </c>
      <c r="O14" s="120">
        <v>768</v>
      </c>
      <c r="P14" s="100">
        <f t="shared" ref="P14:P16" si="4">(O14-F14)/F14</f>
        <v>0.56097560975609762</v>
      </c>
      <c r="Q14" s="100">
        <f t="shared" ref="Q14:Q16" si="5">(O14-K14)/K14</f>
        <v>8.7818696883852687E-2</v>
      </c>
      <c r="R14" s="100">
        <f t="shared" ref="R14:R16" si="6">(O14-N14)/N14</f>
        <v>-0.13023782559456398</v>
      </c>
      <c r="S14" s="102">
        <f t="shared" ref="S14:S16" si="7">O14/O$9</f>
        <v>5.0632911392405063E-2</v>
      </c>
    </row>
    <row r="15" spans="1:20" x14ac:dyDescent="0.2">
      <c r="A15" s="4" t="s">
        <v>88</v>
      </c>
      <c r="B15" s="4">
        <v>5167</v>
      </c>
      <c r="C15" s="104">
        <v>5919</v>
      </c>
      <c r="D15" s="104">
        <v>8222</v>
      </c>
      <c r="E15" s="104">
        <v>7694</v>
      </c>
      <c r="F15" s="104">
        <v>9519</v>
      </c>
      <c r="G15" s="104">
        <v>9986</v>
      </c>
      <c r="H15" s="105">
        <v>11975</v>
      </c>
      <c r="I15" s="105">
        <v>12390</v>
      </c>
      <c r="J15" s="105">
        <v>13292</v>
      </c>
      <c r="K15" s="105">
        <v>13271</v>
      </c>
      <c r="L15" s="105">
        <v>14090</v>
      </c>
      <c r="M15" s="105">
        <v>15500</v>
      </c>
      <c r="N15" s="105">
        <v>15419</v>
      </c>
      <c r="O15" s="120">
        <v>14400</v>
      </c>
      <c r="P15" s="100">
        <f t="shared" si="4"/>
        <v>0.5127639457926253</v>
      </c>
      <c r="Q15" s="100">
        <f t="shared" si="5"/>
        <v>8.5072714942355507E-2</v>
      </c>
      <c r="R15" s="100">
        <f t="shared" si="6"/>
        <v>-6.6087294895907644E-2</v>
      </c>
      <c r="S15" s="102">
        <f t="shared" si="7"/>
        <v>0.94936708860759489</v>
      </c>
    </row>
    <row r="16" spans="1:20" x14ac:dyDescent="0.2">
      <c r="A16" s="5" t="s">
        <v>4</v>
      </c>
      <c r="B16" s="5">
        <v>5481</v>
      </c>
      <c r="C16" s="5">
        <v>6239</v>
      </c>
      <c r="D16" s="5">
        <v>8605</v>
      </c>
      <c r="E16" s="5">
        <v>8089</v>
      </c>
      <c r="F16" s="5">
        <v>10011</v>
      </c>
      <c r="G16" s="5">
        <v>10589</v>
      </c>
      <c r="H16" s="21">
        <v>12609</v>
      </c>
      <c r="I16" s="21">
        <v>13002</v>
      </c>
      <c r="J16" s="21">
        <v>13985</v>
      </c>
      <c r="K16" s="21">
        <v>13977</v>
      </c>
      <c r="L16" s="21">
        <v>14818</v>
      </c>
      <c r="M16" s="21">
        <v>16334</v>
      </c>
      <c r="N16" s="21">
        <v>16302</v>
      </c>
      <c r="O16" s="121">
        <v>15168</v>
      </c>
      <c r="P16" s="77">
        <f t="shared" si="4"/>
        <v>0.51513335331135746</v>
      </c>
      <c r="Q16" s="77">
        <f t="shared" si="5"/>
        <v>8.5211418759390423E-2</v>
      </c>
      <c r="R16" s="101">
        <f t="shared" si="6"/>
        <v>-6.9562016930437981E-2</v>
      </c>
      <c r="S16" s="15">
        <f t="shared" si="7"/>
        <v>1</v>
      </c>
    </row>
    <row r="17" spans="1:20" x14ac:dyDescent="0.2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</row>
    <row r="18" spans="1:20" ht="15.75" x14ac:dyDescent="0.2">
      <c r="A18" s="38" t="s">
        <v>413</v>
      </c>
      <c r="B18" s="38"/>
      <c r="C18" s="38"/>
      <c r="D18" s="38"/>
      <c r="E18" s="38"/>
      <c r="F18" s="38"/>
      <c r="G18" s="38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</row>
    <row r="19" spans="1:20" ht="25.5" x14ac:dyDescent="0.2">
      <c r="A19" s="82" t="s">
        <v>251</v>
      </c>
      <c r="B19" s="3">
        <v>2007</v>
      </c>
      <c r="C19" s="3">
        <v>2008</v>
      </c>
      <c r="D19" s="3">
        <v>2009</v>
      </c>
      <c r="E19" s="3">
        <v>2010</v>
      </c>
      <c r="F19" s="3">
        <v>2011</v>
      </c>
      <c r="G19" s="3">
        <v>2012</v>
      </c>
      <c r="H19" s="3">
        <v>2013</v>
      </c>
      <c r="I19" s="3">
        <v>2014</v>
      </c>
      <c r="J19" s="3">
        <v>2015</v>
      </c>
      <c r="K19" s="3">
        <v>2016</v>
      </c>
      <c r="L19" s="3">
        <v>2017</v>
      </c>
      <c r="M19" s="3">
        <v>2018</v>
      </c>
      <c r="N19" s="3">
        <v>2019</v>
      </c>
      <c r="O19" s="3">
        <v>2020</v>
      </c>
      <c r="P19" s="12" t="s">
        <v>427</v>
      </c>
      <c r="Q19" s="12" t="s">
        <v>428</v>
      </c>
      <c r="R19" s="12" t="s">
        <v>429</v>
      </c>
      <c r="S19" s="12" t="s">
        <v>430</v>
      </c>
    </row>
    <row r="20" spans="1:20" s="11" customFormat="1" x14ac:dyDescent="0.2">
      <c r="A20" s="5" t="s">
        <v>247</v>
      </c>
      <c r="B20" s="5">
        <v>1648</v>
      </c>
      <c r="C20" s="74">
        <v>1920</v>
      </c>
      <c r="D20" s="74">
        <v>2327</v>
      </c>
      <c r="E20" s="74">
        <v>2421</v>
      </c>
      <c r="F20" s="74">
        <v>2696</v>
      </c>
      <c r="G20" s="74">
        <v>2990</v>
      </c>
      <c r="H20" s="106">
        <v>3331</v>
      </c>
      <c r="I20" s="106">
        <v>3547</v>
      </c>
      <c r="J20" s="106">
        <v>3711</v>
      </c>
      <c r="K20" s="106">
        <v>3532</v>
      </c>
      <c r="L20" s="106">
        <v>4054</v>
      </c>
      <c r="M20" s="106">
        <v>4196</v>
      </c>
      <c r="N20" s="106">
        <v>3988</v>
      </c>
      <c r="O20" s="121">
        <v>2833</v>
      </c>
      <c r="P20" s="77">
        <f t="shared" ref="P20:P29" si="8">(O20-F20)/F20</f>
        <v>5.0816023738872403E-2</v>
      </c>
      <c r="Q20" s="77">
        <f t="shared" ref="Q20:Q29" si="9">(O20-K20)/K20</f>
        <v>-0.19790486976217442</v>
      </c>
      <c r="R20" s="101">
        <f t="shared" ref="R20:R29" si="10">(O20-N20)/N20</f>
        <v>-0.28961885656970915</v>
      </c>
      <c r="S20" s="15">
        <f t="shared" ref="S20:S29" si="11">O20/O$9</f>
        <v>0.18677478902953587</v>
      </c>
      <c r="T20" s="1"/>
    </row>
    <row r="21" spans="1:20" x14ac:dyDescent="0.2">
      <c r="A21" s="79" t="s">
        <v>87</v>
      </c>
      <c r="B21" s="79">
        <v>143</v>
      </c>
      <c r="C21" s="107">
        <v>132</v>
      </c>
      <c r="D21" s="107">
        <v>169</v>
      </c>
      <c r="E21" s="107">
        <v>185</v>
      </c>
      <c r="F21" s="107">
        <v>213</v>
      </c>
      <c r="G21" s="107">
        <v>254</v>
      </c>
      <c r="H21" s="108">
        <v>247</v>
      </c>
      <c r="I21" s="108">
        <v>251</v>
      </c>
      <c r="J21" s="108">
        <v>328</v>
      </c>
      <c r="K21" s="108">
        <v>325</v>
      </c>
      <c r="L21" s="108">
        <v>321</v>
      </c>
      <c r="M21" s="108">
        <v>404</v>
      </c>
      <c r="N21" s="108">
        <v>406</v>
      </c>
      <c r="O21" s="120">
        <v>334</v>
      </c>
      <c r="P21" s="100">
        <f t="shared" si="8"/>
        <v>0.568075117370892</v>
      </c>
      <c r="Q21" s="100">
        <f t="shared" si="9"/>
        <v>2.7692307692307693E-2</v>
      </c>
      <c r="R21" s="100">
        <f t="shared" si="10"/>
        <v>-0.17733990147783252</v>
      </c>
      <c r="S21" s="102">
        <f t="shared" si="11"/>
        <v>2.2020042194092829E-2</v>
      </c>
    </row>
    <row r="22" spans="1:20" x14ac:dyDescent="0.2">
      <c r="A22" s="79" t="s">
        <v>88</v>
      </c>
      <c r="B22" s="79">
        <v>1505</v>
      </c>
      <c r="C22" s="107">
        <v>1788</v>
      </c>
      <c r="D22" s="107">
        <v>2158</v>
      </c>
      <c r="E22" s="107">
        <v>2236</v>
      </c>
      <c r="F22" s="107">
        <v>2483</v>
      </c>
      <c r="G22" s="107">
        <v>2736</v>
      </c>
      <c r="H22" s="108">
        <v>3084</v>
      </c>
      <c r="I22" s="108">
        <v>3296</v>
      </c>
      <c r="J22" s="108">
        <v>3383</v>
      </c>
      <c r="K22" s="108">
        <v>3207</v>
      </c>
      <c r="L22" s="108">
        <v>3733</v>
      </c>
      <c r="M22" s="108">
        <v>3792</v>
      </c>
      <c r="N22" s="108">
        <v>3582</v>
      </c>
      <c r="O22" s="120">
        <v>2499</v>
      </c>
      <c r="P22" s="100">
        <f t="shared" si="8"/>
        <v>6.4438179621425697E-3</v>
      </c>
      <c r="Q22" s="100">
        <f t="shared" si="9"/>
        <v>-0.22076707202993451</v>
      </c>
      <c r="R22" s="100">
        <f t="shared" si="10"/>
        <v>-0.30234505862646566</v>
      </c>
      <c r="S22" s="102">
        <f t="shared" si="11"/>
        <v>0.16475474683544303</v>
      </c>
    </row>
    <row r="23" spans="1:20" s="11" customFormat="1" x14ac:dyDescent="0.2">
      <c r="A23" s="5" t="s">
        <v>244</v>
      </c>
      <c r="B23" s="5">
        <v>1565</v>
      </c>
      <c r="C23" s="74">
        <v>1478</v>
      </c>
      <c r="D23" s="74">
        <v>1909</v>
      </c>
      <c r="E23" s="74">
        <v>1865</v>
      </c>
      <c r="F23" s="74">
        <v>2099</v>
      </c>
      <c r="G23" s="74">
        <v>2085</v>
      </c>
      <c r="H23" s="106">
        <v>2814</v>
      </c>
      <c r="I23" s="106">
        <v>3018</v>
      </c>
      <c r="J23" s="106">
        <v>2931</v>
      </c>
      <c r="K23" s="106">
        <v>3106</v>
      </c>
      <c r="L23" s="106">
        <v>3417</v>
      </c>
      <c r="M23" s="106">
        <v>3493</v>
      </c>
      <c r="N23" s="106">
        <v>3787</v>
      </c>
      <c r="O23" s="121">
        <v>3479</v>
      </c>
      <c r="P23" s="101">
        <f t="shared" si="8"/>
        <v>0.65745593139590286</v>
      </c>
      <c r="Q23" s="101">
        <f t="shared" si="9"/>
        <v>0.12009014810045074</v>
      </c>
      <c r="R23" s="101">
        <f t="shared" si="10"/>
        <v>-8.1330868761552683E-2</v>
      </c>
      <c r="S23" s="103">
        <f t="shared" si="11"/>
        <v>0.22936445147679324</v>
      </c>
      <c r="T23" s="1"/>
    </row>
    <row r="24" spans="1:20" x14ac:dyDescent="0.2">
      <c r="A24" s="79" t="s">
        <v>87</v>
      </c>
      <c r="B24" s="79">
        <v>166</v>
      </c>
      <c r="C24" s="107">
        <v>181</v>
      </c>
      <c r="D24" s="107">
        <v>202</v>
      </c>
      <c r="E24" s="107">
        <v>194</v>
      </c>
      <c r="F24" s="107">
        <v>240</v>
      </c>
      <c r="G24" s="107">
        <v>252</v>
      </c>
      <c r="H24" s="108">
        <v>286</v>
      </c>
      <c r="I24" s="108">
        <v>299</v>
      </c>
      <c r="J24" s="108">
        <v>307</v>
      </c>
      <c r="K24" s="108">
        <v>318</v>
      </c>
      <c r="L24" s="108">
        <v>342</v>
      </c>
      <c r="M24" s="108">
        <v>339</v>
      </c>
      <c r="N24" s="108">
        <v>394</v>
      </c>
      <c r="O24" s="120">
        <v>367</v>
      </c>
      <c r="P24" s="100">
        <f t="shared" si="8"/>
        <v>0.52916666666666667</v>
      </c>
      <c r="Q24" s="100">
        <f t="shared" si="9"/>
        <v>0.1540880503144654</v>
      </c>
      <c r="R24" s="100">
        <f t="shared" si="10"/>
        <v>-6.8527918781725886E-2</v>
      </c>
      <c r="S24" s="102">
        <f t="shared" si="11"/>
        <v>2.4195675105485231E-2</v>
      </c>
    </row>
    <row r="25" spans="1:20" x14ac:dyDescent="0.2">
      <c r="A25" s="79" t="s">
        <v>88</v>
      </c>
      <c r="B25" s="79">
        <v>1399</v>
      </c>
      <c r="C25" s="107">
        <v>1297</v>
      </c>
      <c r="D25" s="107">
        <v>1707</v>
      </c>
      <c r="E25" s="107">
        <v>1671</v>
      </c>
      <c r="F25" s="107">
        <v>1859</v>
      </c>
      <c r="G25" s="107">
        <v>1833</v>
      </c>
      <c r="H25" s="108">
        <v>2528</v>
      </c>
      <c r="I25" s="108">
        <v>2719</v>
      </c>
      <c r="J25" s="108">
        <v>2624</v>
      </c>
      <c r="K25" s="108">
        <v>2788</v>
      </c>
      <c r="L25" s="108">
        <v>3075</v>
      </c>
      <c r="M25" s="108">
        <v>3154</v>
      </c>
      <c r="N25" s="108">
        <v>3393</v>
      </c>
      <c r="O25" s="120">
        <v>3112</v>
      </c>
      <c r="P25" s="100">
        <f t="shared" si="8"/>
        <v>0.67401828940290476</v>
      </c>
      <c r="Q25" s="100">
        <f t="shared" si="9"/>
        <v>0.11621233859397417</v>
      </c>
      <c r="R25" s="100">
        <f t="shared" si="10"/>
        <v>-8.2817565576186261E-2</v>
      </c>
      <c r="S25" s="102">
        <f t="shared" si="11"/>
        <v>0.20516877637130801</v>
      </c>
    </row>
    <row r="26" spans="1:20" s="11" customFormat="1" x14ac:dyDescent="0.2">
      <c r="A26" s="5" t="s">
        <v>245</v>
      </c>
      <c r="B26" s="5">
        <v>2268</v>
      </c>
      <c r="C26" s="74">
        <v>2841</v>
      </c>
      <c r="D26" s="74">
        <v>4369</v>
      </c>
      <c r="E26" s="74">
        <v>3803</v>
      </c>
      <c r="F26" s="74">
        <v>5216</v>
      </c>
      <c r="G26" s="74">
        <v>5514</v>
      </c>
      <c r="H26" s="106">
        <v>6464</v>
      </c>
      <c r="I26" s="106">
        <v>6437</v>
      </c>
      <c r="J26" s="106">
        <v>7343</v>
      </c>
      <c r="K26" s="106">
        <v>7339</v>
      </c>
      <c r="L26" s="106">
        <v>7347</v>
      </c>
      <c r="M26" s="106">
        <v>8645</v>
      </c>
      <c r="N26" s="106">
        <v>8527</v>
      </c>
      <c r="O26" s="121">
        <v>8856</v>
      </c>
      <c r="P26" s="101">
        <f t="shared" si="8"/>
        <v>0.69785276073619629</v>
      </c>
      <c r="Q26" s="101">
        <f t="shared" si="9"/>
        <v>0.20670391061452514</v>
      </c>
      <c r="R26" s="101">
        <f t="shared" si="10"/>
        <v>3.8583323560455025E-2</v>
      </c>
      <c r="S26" s="103">
        <f t="shared" si="11"/>
        <v>0.58386075949367089</v>
      </c>
      <c r="T26" s="1"/>
    </row>
    <row r="27" spans="1:20" x14ac:dyDescent="0.2">
      <c r="A27" s="79" t="s">
        <v>87</v>
      </c>
      <c r="B27" s="79">
        <v>5</v>
      </c>
      <c r="C27" s="107">
        <v>7</v>
      </c>
      <c r="D27" s="107">
        <v>12</v>
      </c>
      <c r="E27" s="107">
        <v>16</v>
      </c>
      <c r="F27" s="107">
        <v>39</v>
      </c>
      <c r="G27" s="107">
        <v>97</v>
      </c>
      <c r="H27" s="108">
        <v>101</v>
      </c>
      <c r="I27" s="108">
        <v>62</v>
      </c>
      <c r="J27" s="108">
        <v>58</v>
      </c>
      <c r="K27" s="108">
        <v>63</v>
      </c>
      <c r="L27" s="108">
        <v>65</v>
      </c>
      <c r="M27" s="108">
        <v>91</v>
      </c>
      <c r="N27" s="108">
        <v>83</v>
      </c>
      <c r="O27" s="120">
        <v>67</v>
      </c>
      <c r="P27" s="100">
        <f t="shared" si="8"/>
        <v>0.71794871794871795</v>
      </c>
      <c r="Q27" s="100">
        <f t="shared" si="9"/>
        <v>6.3492063492063489E-2</v>
      </c>
      <c r="R27" s="100">
        <f t="shared" si="10"/>
        <v>-0.19277108433734941</v>
      </c>
      <c r="S27" s="102">
        <f t="shared" si="11"/>
        <v>4.4171940928270041E-3</v>
      </c>
    </row>
    <row r="28" spans="1:20" x14ac:dyDescent="0.2">
      <c r="A28" s="79" t="s">
        <v>88</v>
      </c>
      <c r="B28" s="79">
        <v>2263</v>
      </c>
      <c r="C28" s="107">
        <v>2834</v>
      </c>
      <c r="D28" s="107">
        <v>4357</v>
      </c>
      <c r="E28" s="107">
        <v>3787</v>
      </c>
      <c r="F28" s="107">
        <v>5177</v>
      </c>
      <c r="G28" s="107">
        <v>5417</v>
      </c>
      <c r="H28" s="108">
        <v>6363</v>
      </c>
      <c r="I28" s="108">
        <v>6375</v>
      </c>
      <c r="J28" s="108">
        <v>7285</v>
      </c>
      <c r="K28" s="108">
        <v>7276</v>
      </c>
      <c r="L28" s="108">
        <v>7282</v>
      </c>
      <c r="M28" s="108">
        <v>8554</v>
      </c>
      <c r="N28" s="108">
        <v>8444</v>
      </c>
      <c r="O28" s="120">
        <v>8789</v>
      </c>
      <c r="P28" s="100">
        <f t="shared" si="8"/>
        <v>0.69770137145064715</v>
      </c>
      <c r="Q28" s="100">
        <f t="shared" si="9"/>
        <v>0.20794392523364486</v>
      </c>
      <c r="R28" s="100">
        <f t="shared" si="10"/>
        <v>4.0857413548081478E-2</v>
      </c>
      <c r="S28" s="102">
        <f t="shared" si="11"/>
        <v>0.57944356540084385</v>
      </c>
    </row>
    <row r="29" spans="1:20" s="11" customFormat="1" x14ac:dyDescent="0.2">
      <c r="A29" s="5" t="s">
        <v>4</v>
      </c>
      <c r="B29" s="5">
        <v>5481</v>
      </c>
      <c r="C29" s="74">
        <v>6239</v>
      </c>
      <c r="D29" s="74">
        <v>8605</v>
      </c>
      <c r="E29" s="74">
        <v>8089</v>
      </c>
      <c r="F29" s="74">
        <v>10011</v>
      </c>
      <c r="G29" s="74">
        <v>10589</v>
      </c>
      <c r="H29" s="106">
        <v>12609</v>
      </c>
      <c r="I29" s="106">
        <v>13002</v>
      </c>
      <c r="J29" s="106">
        <v>13985</v>
      </c>
      <c r="K29" s="106">
        <v>13977</v>
      </c>
      <c r="L29" s="106">
        <v>14818</v>
      </c>
      <c r="M29" s="106">
        <v>16334</v>
      </c>
      <c r="N29" s="106">
        <v>16302</v>
      </c>
      <c r="O29" s="121">
        <v>15168</v>
      </c>
      <c r="P29" s="77">
        <f t="shared" si="8"/>
        <v>0.51513335331135746</v>
      </c>
      <c r="Q29" s="77">
        <f t="shared" si="9"/>
        <v>8.5211418759390423E-2</v>
      </c>
      <c r="R29" s="101">
        <f t="shared" si="10"/>
        <v>-6.9562016930437981E-2</v>
      </c>
      <c r="S29" s="15">
        <f t="shared" si="11"/>
        <v>1</v>
      </c>
    </row>
    <row r="30" spans="1:20" x14ac:dyDescent="0.2">
      <c r="A30" s="130" t="s">
        <v>373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</row>
    <row r="31" spans="1:20" x14ac:dyDescent="0.2">
      <c r="A31" s="111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</row>
    <row r="32" spans="1:20" ht="15.75" x14ac:dyDescent="0.2">
      <c r="A32" s="38" t="s">
        <v>414</v>
      </c>
      <c r="B32" s="38"/>
      <c r="C32" s="38"/>
      <c r="D32" s="38"/>
      <c r="E32" s="38"/>
      <c r="F32" s="38"/>
      <c r="G32" s="38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</row>
    <row r="33" spans="1:19" ht="25.5" x14ac:dyDescent="0.2">
      <c r="A33" s="82" t="s">
        <v>250</v>
      </c>
      <c r="B33" s="3">
        <v>2007</v>
      </c>
      <c r="C33" s="3">
        <v>2008</v>
      </c>
      <c r="D33" s="3">
        <v>2009</v>
      </c>
      <c r="E33" s="3">
        <v>2010</v>
      </c>
      <c r="F33" s="3">
        <v>2011</v>
      </c>
      <c r="G33" s="3">
        <v>2012</v>
      </c>
      <c r="H33" s="3">
        <v>2013</v>
      </c>
      <c r="I33" s="3">
        <v>2014</v>
      </c>
      <c r="J33" s="3">
        <v>2015</v>
      </c>
      <c r="K33" s="3">
        <v>2016</v>
      </c>
      <c r="L33" s="3">
        <v>2017</v>
      </c>
      <c r="M33" s="3">
        <v>2018</v>
      </c>
      <c r="N33" s="3">
        <v>2019</v>
      </c>
      <c r="O33" s="3">
        <v>2020</v>
      </c>
      <c r="P33" s="12" t="s">
        <v>427</v>
      </c>
      <c r="Q33" s="12" t="s">
        <v>428</v>
      </c>
      <c r="R33" s="12" t="s">
        <v>429</v>
      </c>
      <c r="S33" s="12" t="s">
        <v>430</v>
      </c>
    </row>
    <row r="34" spans="1:19" x14ac:dyDescent="0.2">
      <c r="A34" s="5" t="s">
        <v>214</v>
      </c>
      <c r="B34" s="5">
        <f>SUM(B35:B36)</f>
        <v>2261</v>
      </c>
      <c r="C34" s="5">
        <f t="shared" ref="C34:O34" si="12">SUM(C35:C36)</f>
        <v>2625</v>
      </c>
      <c r="D34" s="5">
        <f t="shared" si="12"/>
        <v>3739</v>
      </c>
      <c r="E34" s="5">
        <f t="shared" si="12"/>
        <v>3659</v>
      </c>
      <c r="F34" s="5">
        <f t="shared" si="12"/>
        <v>4814</v>
      </c>
      <c r="G34" s="5">
        <f t="shared" si="12"/>
        <v>5088</v>
      </c>
      <c r="H34" s="5">
        <f t="shared" si="12"/>
        <v>6099</v>
      </c>
      <c r="I34" s="5">
        <f t="shared" si="12"/>
        <v>6211</v>
      </c>
      <c r="J34" s="5">
        <f t="shared" si="12"/>
        <v>6783</v>
      </c>
      <c r="K34" s="5">
        <f t="shared" si="12"/>
        <v>6832</v>
      </c>
      <c r="L34" s="5">
        <f t="shared" si="12"/>
        <v>7362</v>
      </c>
      <c r="M34" s="5">
        <f t="shared" si="12"/>
        <v>8088</v>
      </c>
      <c r="N34" s="5">
        <f t="shared" si="12"/>
        <v>8232</v>
      </c>
      <c r="O34" s="55">
        <f t="shared" si="12"/>
        <v>7785</v>
      </c>
      <c r="P34" s="77">
        <f t="shared" ref="P34:P40" si="13">(O34-F34)/F34</f>
        <v>0.61715828832571662</v>
      </c>
      <c r="Q34" s="77">
        <f t="shared" ref="Q34:Q40" si="14">(O34-K34)/K34</f>
        <v>0.13949063231850117</v>
      </c>
      <c r="R34" s="101">
        <f t="shared" ref="R34:R40" si="15">(O34-N34)/N34</f>
        <v>-5.4300291545189505E-2</v>
      </c>
      <c r="S34" s="15">
        <f t="shared" ref="S34:S40" si="16">O34/O$9</f>
        <v>0.513251582278481</v>
      </c>
    </row>
    <row r="35" spans="1:19" x14ac:dyDescent="0.2">
      <c r="A35" s="79" t="s">
        <v>87</v>
      </c>
      <c r="B35" s="79">
        <v>138</v>
      </c>
      <c r="C35" s="79">
        <v>133</v>
      </c>
      <c r="D35" s="79">
        <v>155</v>
      </c>
      <c r="E35" s="79">
        <v>175</v>
      </c>
      <c r="F35" s="79">
        <v>212</v>
      </c>
      <c r="G35" s="79">
        <v>239</v>
      </c>
      <c r="H35" s="23">
        <v>293</v>
      </c>
      <c r="I35" s="23">
        <v>280</v>
      </c>
      <c r="J35" s="23">
        <v>307</v>
      </c>
      <c r="K35" s="23">
        <v>289</v>
      </c>
      <c r="L35" s="23">
        <v>319</v>
      </c>
      <c r="M35" s="23">
        <v>359</v>
      </c>
      <c r="N35" s="23">
        <v>383</v>
      </c>
      <c r="O35" s="120">
        <v>336</v>
      </c>
      <c r="P35" s="93">
        <f t="shared" si="13"/>
        <v>0.58490566037735847</v>
      </c>
      <c r="Q35" s="93">
        <f t="shared" si="14"/>
        <v>0.16262975778546712</v>
      </c>
      <c r="R35" s="100">
        <f t="shared" si="15"/>
        <v>-0.12271540469973891</v>
      </c>
      <c r="S35" s="13">
        <f t="shared" si="16"/>
        <v>2.2151898734177215E-2</v>
      </c>
    </row>
    <row r="36" spans="1:19" x14ac:dyDescent="0.2">
      <c r="A36" s="79" t="s">
        <v>88</v>
      </c>
      <c r="B36" s="79">
        <v>2123</v>
      </c>
      <c r="C36" s="79">
        <v>2492</v>
      </c>
      <c r="D36" s="79">
        <v>3584</v>
      </c>
      <c r="E36" s="79">
        <v>3484</v>
      </c>
      <c r="F36" s="79">
        <v>4602</v>
      </c>
      <c r="G36" s="79">
        <v>4849</v>
      </c>
      <c r="H36" s="23">
        <v>5806</v>
      </c>
      <c r="I36" s="23">
        <v>5931</v>
      </c>
      <c r="J36" s="23">
        <v>6476</v>
      </c>
      <c r="K36" s="23">
        <v>6543</v>
      </c>
      <c r="L36" s="23">
        <v>7043</v>
      </c>
      <c r="M36" s="23">
        <v>7729</v>
      </c>
      <c r="N36" s="23">
        <v>7849</v>
      </c>
      <c r="O36" s="120">
        <v>7449</v>
      </c>
      <c r="P36" s="100">
        <f t="shared" si="13"/>
        <v>0.61864406779661019</v>
      </c>
      <c r="Q36" s="100">
        <f t="shared" si="14"/>
        <v>0.13846859238881248</v>
      </c>
      <c r="R36" s="100">
        <f t="shared" si="15"/>
        <v>-5.0961905975283474E-2</v>
      </c>
      <c r="S36" s="102">
        <f t="shared" si="16"/>
        <v>0.49109968354430378</v>
      </c>
    </row>
    <row r="37" spans="1:19" x14ac:dyDescent="0.2">
      <c r="A37" s="5" t="s">
        <v>215</v>
      </c>
      <c r="B37" s="5">
        <f>SUM(B38:B39)</f>
        <v>3220</v>
      </c>
      <c r="C37" s="5">
        <f t="shared" ref="C37:O37" si="17">SUM(C38:C39)</f>
        <v>3614</v>
      </c>
      <c r="D37" s="5">
        <f t="shared" si="17"/>
        <v>4866</v>
      </c>
      <c r="E37" s="5">
        <f t="shared" si="17"/>
        <v>4430</v>
      </c>
      <c r="F37" s="5">
        <f t="shared" si="17"/>
        <v>5197</v>
      </c>
      <c r="G37" s="5">
        <f t="shared" si="17"/>
        <v>5501</v>
      </c>
      <c r="H37" s="5">
        <f t="shared" si="17"/>
        <v>6510</v>
      </c>
      <c r="I37" s="5">
        <f t="shared" si="17"/>
        <v>6791</v>
      </c>
      <c r="J37" s="5">
        <f t="shared" si="17"/>
        <v>7202</v>
      </c>
      <c r="K37" s="5">
        <f t="shared" si="17"/>
        <v>7145</v>
      </c>
      <c r="L37" s="5">
        <f t="shared" si="17"/>
        <v>7456</v>
      </c>
      <c r="M37" s="5">
        <f t="shared" si="17"/>
        <v>8246</v>
      </c>
      <c r="N37" s="5">
        <f t="shared" si="17"/>
        <v>8070</v>
      </c>
      <c r="O37" s="55">
        <f t="shared" si="17"/>
        <v>7383</v>
      </c>
      <c r="P37" s="101">
        <f t="shared" si="13"/>
        <v>0.42062728497209928</v>
      </c>
      <c r="Q37" s="101">
        <f t="shared" si="14"/>
        <v>3.3310006997900626E-2</v>
      </c>
      <c r="R37" s="101">
        <f t="shared" si="15"/>
        <v>-8.5130111524163568E-2</v>
      </c>
      <c r="S37" s="103">
        <f t="shared" si="16"/>
        <v>0.486748417721519</v>
      </c>
    </row>
    <row r="38" spans="1:19" x14ac:dyDescent="0.2">
      <c r="A38" s="79" t="s">
        <v>87</v>
      </c>
      <c r="B38" s="79">
        <v>176</v>
      </c>
      <c r="C38" s="79">
        <v>187</v>
      </c>
      <c r="D38" s="79">
        <v>228</v>
      </c>
      <c r="E38" s="79">
        <v>220</v>
      </c>
      <c r="F38" s="79">
        <v>280</v>
      </c>
      <c r="G38" s="79">
        <v>364</v>
      </c>
      <c r="H38" s="23">
        <v>341</v>
      </c>
      <c r="I38" s="23">
        <v>332</v>
      </c>
      <c r="J38" s="23">
        <v>386</v>
      </c>
      <c r="K38" s="23">
        <v>417</v>
      </c>
      <c r="L38" s="23">
        <v>409</v>
      </c>
      <c r="M38" s="23">
        <v>475</v>
      </c>
      <c r="N38" s="23">
        <v>500</v>
      </c>
      <c r="O38" s="120">
        <v>432</v>
      </c>
      <c r="P38" s="100">
        <f t="shared" si="13"/>
        <v>0.54285714285714282</v>
      </c>
      <c r="Q38" s="100">
        <f t="shared" si="14"/>
        <v>3.5971223021582732E-2</v>
      </c>
      <c r="R38" s="100">
        <f t="shared" si="15"/>
        <v>-0.13600000000000001</v>
      </c>
      <c r="S38" s="102">
        <f t="shared" si="16"/>
        <v>2.8481012658227847E-2</v>
      </c>
    </row>
    <row r="39" spans="1:19" x14ac:dyDescent="0.2">
      <c r="A39" s="79" t="s">
        <v>88</v>
      </c>
      <c r="B39" s="79">
        <v>3044</v>
      </c>
      <c r="C39" s="79">
        <v>3427</v>
      </c>
      <c r="D39" s="79">
        <v>4638</v>
      </c>
      <c r="E39" s="79">
        <v>4210</v>
      </c>
      <c r="F39" s="79">
        <v>4917</v>
      </c>
      <c r="G39" s="79">
        <v>5137</v>
      </c>
      <c r="H39" s="23">
        <v>6169</v>
      </c>
      <c r="I39" s="23">
        <v>6459</v>
      </c>
      <c r="J39" s="23">
        <v>6816</v>
      </c>
      <c r="K39" s="23">
        <v>6728</v>
      </c>
      <c r="L39" s="23">
        <v>7047</v>
      </c>
      <c r="M39" s="23">
        <v>7771</v>
      </c>
      <c r="N39" s="23">
        <v>7570</v>
      </c>
      <c r="O39" s="120">
        <v>6951</v>
      </c>
      <c r="P39" s="100">
        <f t="shared" si="13"/>
        <v>0.41366687004270897</v>
      </c>
      <c r="Q39" s="100">
        <f t="shared" si="14"/>
        <v>3.3145065398335317E-2</v>
      </c>
      <c r="R39" s="100">
        <f t="shared" si="15"/>
        <v>-8.1770145310435929E-2</v>
      </c>
      <c r="S39" s="102">
        <f t="shared" si="16"/>
        <v>0.45826740506329117</v>
      </c>
    </row>
    <row r="40" spans="1:19" x14ac:dyDescent="0.2">
      <c r="A40" s="5" t="s">
        <v>4</v>
      </c>
      <c r="B40" s="5">
        <v>5628</v>
      </c>
      <c r="C40" s="5">
        <f>C34+C37</f>
        <v>6239</v>
      </c>
      <c r="D40" s="5">
        <f t="shared" ref="D40:O40" si="18">D34+D37</f>
        <v>8605</v>
      </c>
      <c r="E40" s="5">
        <f t="shared" si="18"/>
        <v>8089</v>
      </c>
      <c r="F40" s="5">
        <f t="shared" si="18"/>
        <v>10011</v>
      </c>
      <c r="G40" s="5">
        <f t="shared" si="18"/>
        <v>10589</v>
      </c>
      <c r="H40" s="5">
        <f t="shared" si="18"/>
        <v>12609</v>
      </c>
      <c r="I40" s="5">
        <f t="shared" si="18"/>
        <v>13002</v>
      </c>
      <c r="J40" s="5">
        <f t="shared" si="18"/>
        <v>13985</v>
      </c>
      <c r="K40" s="5">
        <f t="shared" si="18"/>
        <v>13977</v>
      </c>
      <c r="L40" s="5">
        <f t="shared" si="18"/>
        <v>14818</v>
      </c>
      <c r="M40" s="5">
        <f t="shared" si="18"/>
        <v>16334</v>
      </c>
      <c r="N40" s="5">
        <f t="shared" si="18"/>
        <v>16302</v>
      </c>
      <c r="O40" s="5">
        <f t="shared" si="18"/>
        <v>15168</v>
      </c>
      <c r="P40" s="77">
        <f t="shared" si="13"/>
        <v>0.51513335331135746</v>
      </c>
      <c r="Q40" s="77">
        <f t="shared" si="14"/>
        <v>8.5211418759390423E-2</v>
      </c>
      <c r="R40" s="101">
        <f t="shared" si="15"/>
        <v>-6.9562016930437981E-2</v>
      </c>
      <c r="S40" s="15">
        <f t="shared" si="16"/>
        <v>1</v>
      </c>
    </row>
    <row r="41" spans="1:19" x14ac:dyDescent="0.2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</row>
    <row r="42" spans="1:19" x14ac:dyDescent="0.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</row>
    <row r="43" spans="1:19" x14ac:dyDescent="0.2">
      <c r="A43" s="65" t="s">
        <v>246</v>
      </c>
      <c r="B43" s="65"/>
      <c r="C43" s="65"/>
      <c r="D43" s="65"/>
      <c r="E43" s="65"/>
      <c r="F43" s="65"/>
      <c r="G43" s="65"/>
      <c r="H43" s="37"/>
      <c r="I43" s="37"/>
      <c r="J43" s="37"/>
      <c r="K43" s="37"/>
      <c r="L43" s="63"/>
      <c r="M43" s="63"/>
      <c r="N43" s="63"/>
      <c r="O43" s="37"/>
      <c r="P43" s="37"/>
      <c r="Q43" s="37"/>
      <c r="R43" s="37"/>
      <c r="S43" s="37"/>
    </row>
    <row r="44" spans="1:19" x14ac:dyDescent="0.2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</row>
    <row r="45" spans="1:19" x14ac:dyDescent="0.2">
      <c r="A45" s="66" t="s">
        <v>21</v>
      </c>
      <c r="B45" s="66"/>
      <c r="C45" s="66"/>
      <c r="D45" s="66"/>
      <c r="E45" s="66"/>
      <c r="F45" s="66"/>
      <c r="G45" s="66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</row>
    <row r="46" spans="1:19" x14ac:dyDescent="0.2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</row>
  </sheetData>
  <hyperlinks>
    <hyperlink ref="A45" location="Indice!A5" display="Volver al índice"/>
  </hyperlinks>
  <pageMargins left="0.7" right="0.7" top="0.75" bottom="0.75" header="0.3" footer="0.3"/>
  <pageSetup orientation="portrait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5"/>
  <cols>
    <col min="1" max="1" width="32.85546875" style="47" customWidth="1"/>
    <col min="2" max="2" width="17.28515625" style="47" customWidth="1"/>
    <col min="3" max="3" width="16.28515625" style="47" customWidth="1"/>
    <col min="4" max="4" width="20.42578125" style="47" customWidth="1"/>
    <col min="5" max="5" width="15.85546875" style="47" customWidth="1"/>
    <col min="6" max="16384" width="10.85546875" style="2"/>
  </cols>
  <sheetData>
    <row r="1" spans="1:6" ht="21" x14ac:dyDescent="0.25">
      <c r="A1" s="81" t="s">
        <v>326</v>
      </c>
      <c r="B1" s="42"/>
      <c r="C1" s="42"/>
      <c r="D1" s="42"/>
      <c r="E1" s="42"/>
    </row>
    <row r="2" spans="1:6" ht="24" customHeight="1" x14ac:dyDescent="0.25">
      <c r="A2" s="59"/>
      <c r="B2" s="42"/>
      <c r="C2" s="42"/>
      <c r="D2" s="42"/>
      <c r="E2" s="42"/>
    </row>
    <row r="3" spans="1:6" x14ac:dyDescent="0.25">
      <c r="A3" s="42"/>
      <c r="B3" s="42"/>
      <c r="C3" s="42"/>
      <c r="D3" s="42"/>
      <c r="E3" s="42"/>
    </row>
    <row r="4" spans="1:6" ht="15.75" x14ac:dyDescent="0.25">
      <c r="A4" s="49" t="s">
        <v>415</v>
      </c>
      <c r="B4" s="42"/>
      <c r="C4" s="42"/>
      <c r="D4" s="42"/>
      <c r="E4" s="42"/>
    </row>
    <row r="5" spans="1:6" ht="25.5" x14ac:dyDescent="0.25">
      <c r="A5" s="50" t="s">
        <v>241</v>
      </c>
      <c r="B5" s="43" t="s">
        <v>91</v>
      </c>
      <c r="C5" s="43" t="s">
        <v>3</v>
      </c>
      <c r="D5" s="43" t="s">
        <v>269</v>
      </c>
      <c r="E5" s="43" t="s">
        <v>8</v>
      </c>
    </row>
    <row r="6" spans="1:6" x14ac:dyDescent="0.25">
      <c r="A6" s="51" t="s">
        <v>5</v>
      </c>
      <c r="B6" s="39">
        <v>0</v>
      </c>
      <c r="C6" s="39">
        <v>0</v>
      </c>
      <c r="D6" s="39">
        <v>3</v>
      </c>
      <c r="E6" s="39">
        <v>3</v>
      </c>
    </row>
    <row r="7" spans="1:6" x14ac:dyDescent="0.25">
      <c r="A7" s="51" t="s">
        <v>6</v>
      </c>
      <c r="B7" s="39">
        <v>0</v>
      </c>
      <c r="C7" s="39">
        <v>746</v>
      </c>
      <c r="D7" s="39">
        <v>321</v>
      </c>
      <c r="E7" s="39">
        <v>1067</v>
      </c>
    </row>
    <row r="8" spans="1:6" x14ac:dyDescent="0.25">
      <c r="A8" s="51" t="s">
        <v>7</v>
      </c>
      <c r="B8" s="39">
        <v>1652</v>
      </c>
      <c r="C8" s="39">
        <v>1868</v>
      </c>
      <c r="D8" s="39">
        <v>22611</v>
      </c>
      <c r="E8" s="39">
        <v>26131</v>
      </c>
    </row>
    <row r="9" spans="1:6" x14ac:dyDescent="0.25">
      <c r="A9" s="52" t="s">
        <v>4</v>
      </c>
      <c r="B9" s="40">
        <v>1652</v>
      </c>
      <c r="C9" s="40">
        <v>2614</v>
      </c>
      <c r="D9" s="40">
        <v>22935</v>
      </c>
      <c r="E9" s="40">
        <v>27201</v>
      </c>
    </row>
    <row r="10" spans="1:6" x14ac:dyDescent="0.25">
      <c r="A10" s="57"/>
      <c r="B10" s="58"/>
      <c r="C10" s="58"/>
      <c r="D10" s="58"/>
      <c r="E10" s="42"/>
    </row>
    <row r="11" spans="1:6" ht="15.75" x14ac:dyDescent="0.25">
      <c r="A11" s="49" t="s">
        <v>416</v>
      </c>
      <c r="B11" s="42"/>
      <c r="C11" s="42"/>
      <c r="D11" s="42"/>
      <c r="E11" s="42"/>
    </row>
    <row r="12" spans="1:6" ht="25.5" x14ac:dyDescent="0.25">
      <c r="A12" s="50" t="s">
        <v>233</v>
      </c>
      <c r="B12" s="43" t="s">
        <v>91</v>
      </c>
      <c r="C12" s="43" t="s">
        <v>3</v>
      </c>
      <c r="D12" s="43" t="s">
        <v>252</v>
      </c>
      <c r="E12" s="43" t="s">
        <v>8</v>
      </c>
    </row>
    <row r="13" spans="1:6" x14ac:dyDescent="0.25">
      <c r="A13" s="51" t="s">
        <v>328</v>
      </c>
      <c r="B13" s="39">
        <v>805</v>
      </c>
      <c r="C13" s="39">
        <v>2130</v>
      </c>
      <c r="D13" s="39">
        <v>13039</v>
      </c>
      <c r="E13" s="39">
        <v>15974</v>
      </c>
      <c r="F13" s="14"/>
    </row>
    <row r="14" spans="1:6" x14ac:dyDescent="0.25">
      <c r="A14" s="51" t="s">
        <v>329</v>
      </c>
      <c r="B14" s="39">
        <v>847</v>
      </c>
      <c r="C14" s="39">
        <v>484</v>
      </c>
      <c r="D14" s="39">
        <v>9896</v>
      </c>
      <c r="E14" s="39">
        <v>11227</v>
      </c>
      <c r="F14" s="14"/>
    </row>
    <row r="15" spans="1:6" x14ac:dyDescent="0.25">
      <c r="A15" s="52" t="s">
        <v>286</v>
      </c>
      <c r="B15" s="40">
        <v>1652</v>
      </c>
      <c r="C15" s="40">
        <v>2614</v>
      </c>
      <c r="D15" s="40">
        <v>22935</v>
      </c>
      <c r="E15" s="40">
        <v>27201</v>
      </c>
    </row>
    <row r="16" spans="1:6" x14ac:dyDescent="0.25">
      <c r="A16" s="42"/>
      <c r="B16" s="42"/>
      <c r="C16" s="42"/>
      <c r="D16" s="42"/>
      <c r="E16" s="42"/>
    </row>
    <row r="17" spans="1:6" ht="15.75" x14ac:dyDescent="0.25">
      <c r="A17" s="49" t="s">
        <v>417</v>
      </c>
      <c r="B17" s="42"/>
      <c r="C17" s="42"/>
      <c r="D17" s="42"/>
      <c r="E17" s="42"/>
    </row>
    <row r="18" spans="1:6" ht="25.5" x14ac:dyDescent="0.25">
      <c r="A18" s="53" t="s">
        <v>26</v>
      </c>
      <c r="B18" s="43" t="s">
        <v>91</v>
      </c>
      <c r="C18" s="43" t="s">
        <v>3</v>
      </c>
      <c r="D18" s="43" t="s">
        <v>252</v>
      </c>
      <c r="E18" s="43" t="s">
        <v>8</v>
      </c>
    </row>
    <row r="19" spans="1:6" x14ac:dyDescent="0.25">
      <c r="A19" s="54" t="s">
        <v>27</v>
      </c>
      <c r="B19" s="60"/>
      <c r="C19" s="60"/>
      <c r="D19" s="60">
        <v>3</v>
      </c>
      <c r="E19" s="60">
        <v>3</v>
      </c>
    </row>
    <row r="20" spans="1:6" x14ac:dyDescent="0.25">
      <c r="A20" s="54" t="s">
        <v>28</v>
      </c>
      <c r="B20" s="60">
        <v>2</v>
      </c>
      <c r="C20" s="60">
        <v>62</v>
      </c>
      <c r="D20" s="60">
        <v>1001</v>
      </c>
      <c r="E20" s="60">
        <v>1065</v>
      </c>
    </row>
    <row r="21" spans="1:6" x14ac:dyDescent="0.25">
      <c r="A21" s="54" t="s">
        <v>29</v>
      </c>
      <c r="B21" s="60">
        <v>342</v>
      </c>
      <c r="C21" s="60">
        <v>587</v>
      </c>
      <c r="D21" s="60">
        <v>5707</v>
      </c>
      <c r="E21" s="60">
        <v>6636</v>
      </c>
    </row>
    <row r="22" spans="1:6" x14ac:dyDescent="0.25">
      <c r="A22" s="54" t="s">
        <v>30</v>
      </c>
      <c r="B22" s="60">
        <v>839</v>
      </c>
      <c r="C22" s="60">
        <v>698</v>
      </c>
      <c r="D22" s="60">
        <v>5897</v>
      </c>
      <c r="E22" s="60">
        <v>7434</v>
      </c>
    </row>
    <row r="23" spans="1:6" x14ac:dyDescent="0.25">
      <c r="A23" s="54" t="s">
        <v>31</v>
      </c>
      <c r="B23" s="60">
        <v>371</v>
      </c>
      <c r="C23" s="60">
        <v>504</v>
      </c>
      <c r="D23" s="60">
        <v>4137</v>
      </c>
      <c r="E23" s="60">
        <v>5012</v>
      </c>
    </row>
    <row r="24" spans="1:6" x14ac:dyDescent="0.25">
      <c r="A24" s="54" t="s">
        <v>32</v>
      </c>
      <c r="B24" s="60">
        <v>98</v>
      </c>
      <c r="C24" s="60">
        <v>763</v>
      </c>
      <c r="D24" s="60">
        <v>6190</v>
      </c>
      <c r="E24" s="60">
        <v>7051</v>
      </c>
    </row>
    <row r="25" spans="1:6" x14ac:dyDescent="0.25">
      <c r="A25" s="54" t="s">
        <v>93</v>
      </c>
      <c r="B25" s="60" t="s">
        <v>366</v>
      </c>
      <c r="C25" s="60" t="s">
        <v>367</v>
      </c>
      <c r="D25" s="60" t="s">
        <v>367</v>
      </c>
      <c r="E25" s="60" t="s">
        <v>367</v>
      </c>
    </row>
    <row r="26" spans="1:6" x14ac:dyDescent="0.25">
      <c r="A26" s="55" t="s">
        <v>4</v>
      </c>
      <c r="B26" s="61">
        <v>1652</v>
      </c>
      <c r="C26" s="61">
        <v>2614</v>
      </c>
      <c r="D26" s="61">
        <v>22935</v>
      </c>
      <c r="E26" s="61">
        <v>27201</v>
      </c>
    </row>
    <row r="27" spans="1:6" x14ac:dyDescent="0.25">
      <c r="A27" s="56" t="s">
        <v>35</v>
      </c>
      <c r="B27" s="88">
        <v>32.9</v>
      </c>
      <c r="C27" s="88">
        <v>36.1</v>
      </c>
      <c r="D27" s="88">
        <v>35.299999999999997</v>
      </c>
      <c r="E27" s="88">
        <v>35.200000000000003</v>
      </c>
    </row>
    <row r="28" spans="1:6" x14ac:dyDescent="0.25">
      <c r="A28" s="42"/>
      <c r="B28" s="2"/>
      <c r="C28" s="2"/>
      <c r="D28" s="2"/>
      <c r="E28" s="2"/>
    </row>
    <row r="29" spans="1:6" ht="15.75" x14ac:dyDescent="0.25">
      <c r="A29" s="49" t="s">
        <v>418</v>
      </c>
      <c r="B29" s="42"/>
      <c r="C29" s="42"/>
      <c r="D29" s="42"/>
      <c r="E29" s="42"/>
    </row>
    <row r="30" spans="1:6" ht="25.5" x14ac:dyDescent="0.25">
      <c r="A30" s="53" t="s">
        <v>10</v>
      </c>
      <c r="B30" s="43" t="s">
        <v>91</v>
      </c>
      <c r="C30" s="43" t="s">
        <v>3</v>
      </c>
      <c r="D30" s="43" t="s">
        <v>252</v>
      </c>
      <c r="E30" s="43" t="s">
        <v>8</v>
      </c>
    </row>
    <row r="31" spans="1:6" x14ac:dyDescent="0.25">
      <c r="A31" s="54" t="s">
        <v>11</v>
      </c>
      <c r="B31" s="39">
        <v>0</v>
      </c>
      <c r="C31" s="39">
        <v>59</v>
      </c>
      <c r="D31" s="39">
        <v>7002</v>
      </c>
      <c r="E31" s="39">
        <v>7061</v>
      </c>
      <c r="F31" s="14"/>
    </row>
    <row r="32" spans="1:6" x14ac:dyDescent="0.25">
      <c r="A32" s="54" t="s">
        <v>12</v>
      </c>
      <c r="B32" s="39">
        <v>0</v>
      </c>
      <c r="C32" s="39">
        <v>2</v>
      </c>
      <c r="D32" s="39">
        <v>54</v>
      </c>
      <c r="E32" s="39">
        <v>56</v>
      </c>
      <c r="F32" s="14"/>
    </row>
    <row r="33" spans="1:6" x14ac:dyDescent="0.25">
      <c r="A33" s="54" t="s">
        <v>13</v>
      </c>
      <c r="B33" s="39">
        <v>0</v>
      </c>
      <c r="C33" s="39">
        <v>1</v>
      </c>
      <c r="D33" s="39">
        <v>418</v>
      </c>
      <c r="E33" s="39">
        <v>419</v>
      </c>
      <c r="F33" s="14"/>
    </row>
    <row r="34" spans="1:6" x14ac:dyDescent="0.25">
      <c r="A34" s="54" t="s">
        <v>14</v>
      </c>
      <c r="B34" s="39">
        <v>0</v>
      </c>
      <c r="C34" s="39">
        <v>0</v>
      </c>
      <c r="D34" s="39">
        <v>174</v>
      </c>
      <c r="E34" s="39">
        <v>174</v>
      </c>
      <c r="F34" s="14"/>
    </row>
    <row r="35" spans="1:6" x14ac:dyDescent="0.25">
      <c r="A35" s="54" t="s">
        <v>15</v>
      </c>
      <c r="B35" s="39">
        <v>0</v>
      </c>
      <c r="C35" s="39">
        <v>546</v>
      </c>
      <c r="D35" s="39">
        <v>3654</v>
      </c>
      <c r="E35" s="39">
        <v>4200</v>
      </c>
      <c r="F35" s="14"/>
    </row>
    <row r="36" spans="1:6" x14ac:dyDescent="0.25">
      <c r="A36" s="54" t="s">
        <v>16</v>
      </c>
      <c r="B36" s="39">
        <v>0</v>
      </c>
      <c r="C36" s="39">
        <v>47</v>
      </c>
      <c r="D36" s="39">
        <v>1287</v>
      </c>
      <c r="E36" s="39">
        <v>1334</v>
      </c>
      <c r="F36" s="14"/>
    </row>
    <row r="37" spans="1:6" x14ac:dyDescent="0.25">
      <c r="A37" s="54" t="s">
        <v>17</v>
      </c>
      <c r="B37" s="39">
        <v>0</v>
      </c>
      <c r="C37" s="39">
        <v>1799</v>
      </c>
      <c r="D37" s="39">
        <v>2924</v>
      </c>
      <c r="E37" s="39">
        <v>4723</v>
      </c>
      <c r="F37" s="14"/>
    </row>
    <row r="38" spans="1:6" x14ac:dyDescent="0.25">
      <c r="A38" s="54" t="s">
        <v>18</v>
      </c>
      <c r="B38" s="39">
        <v>0</v>
      </c>
      <c r="C38" s="39">
        <v>0</v>
      </c>
      <c r="D38" s="39">
        <v>383</v>
      </c>
      <c r="E38" s="39">
        <v>383</v>
      </c>
      <c r="F38" s="14"/>
    </row>
    <row r="39" spans="1:6" x14ac:dyDescent="0.25">
      <c r="A39" s="54" t="s">
        <v>19</v>
      </c>
      <c r="B39" s="39">
        <v>1652</v>
      </c>
      <c r="C39" s="39">
        <v>144</v>
      </c>
      <c r="D39" s="39">
        <v>4904</v>
      </c>
      <c r="E39" s="39">
        <v>6700</v>
      </c>
      <c r="F39" s="14"/>
    </row>
    <row r="40" spans="1:6" x14ac:dyDescent="0.25">
      <c r="A40" s="54" t="s">
        <v>20</v>
      </c>
      <c r="B40" s="39">
        <v>0</v>
      </c>
      <c r="C40" s="39">
        <v>16</v>
      </c>
      <c r="D40" s="39">
        <v>2135</v>
      </c>
      <c r="E40" s="39">
        <v>2151</v>
      </c>
      <c r="F40" s="14"/>
    </row>
    <row r="41" spans="1:6" x14ac:dyDescent="0.25">
      <c r="A41" s="55" t="s">
        <v>4</v>
      </c>
      <c r="B41" s="40">
        <v>1652</v>
      </c>
      <c r="C41" s="40">
        <v>2614</v>
      </c>
      <c r="D41" s="40">
        <v>22935</v>
      </c>
      <c r="E41" s="40">
        <v>27201</v>
      </c>
      <c r="F41" s="14"/>
    </row>
    <row r="42" spans="1:6" x14ac:dyDescent="0.25">
      <c r="A42" s="42"/>
      <c r="B42" s="42"/>
      <c r="C42" s="42"/>
      <c r="D42" s="42"/>
      <c r="E42" s="42"/>
    </row>
    <row r="43" spans="1:6" ht="15.75" x14ac:dyDescent="0.25">
      <c r="A43" s="49" t="s">
        <v>419</v>
      </c>
      <c r="B43" s="42"/>
      <c r="C43" s="42"/>
      <c r="D43" s="42"/>
      <c r="E43" s="42"/>
    </row>
    <row r="44" spans="1:6" ht="25.5" x14ac:dyDescent="0.25">
      <c r="A44" s="53" t="s">
        <v>41</v>
      </c>
      <c r="B44" s="43" t="s">
        <v>91</v>
      </c>
      <c r="C44" s="43" t="s">
        <v>3</v>
      </c>
      <c r="D44" s="43" t="s">
        <v>252</v>
      </c>
      <c r="E44" s="43" t="s">
        <v>8</v>
      </c>
    </row>
    <row r="45" spans="1:6" x14ac:dyDescent="0.25">
      <c r="A45" s="54" t="s">
        <v>42</v>
      </c>
      <c r="B45" s="39">
        <v>1576</v>
      </c>
      <c r="C45" s="39">
        <v>366</v>
      </c>
      <c r="D45" s="39">
        <v>4376</v>
      </c>
      <c r="E45" s="39">
        <v>6318</v>
      </c>
    </row>
    <row r="46" spans="1:6" x14ac:dyDescent="0.25">
      <c r="A46" s="54" t="s">
        <v>43</v>
      </c>
      <c r="B46" s="39">
        <v>4</v>
      </c>
      <c r="C46" s="39">
        <v>536</v>
      </c>
      <c r="D46" s="39">
        <v>6732</v>
      </c>
      <c r="E46" s="39">
        <v>7272</v>
      </c>
    </row>
    <row r="47" spans="1:6" x14ac:dyDescent="0.25">
      <c r="A47" s="54" t="s">
        <v>235</v>
      </c>
      <c r="B47" s="39">
        <v>0</v>
      </c>
      <c r="C47" s="39">
        <v>50</v>
      </c>
      <c r="D47" s="39">
        <v>2826</v>
      </c>
      <c r="E47" s="39">
        <v>2876</v>
      </c>
    </row>
    <row r="48" spans="1:6" x14ac:dyDescent="0.25">
      <c r="A48" s="54" t="s">
        <v>238</v>
      </c>
      <c r="B48" s="39">
        <v>0</v>
      </c>
      <c r="C48" s="39">
        <v>1588</v>
      </c>
      <c r="D48" s="39">
        <v>8005</v>
      </c>
      <c r="E48" s="39">
        <v>9593</v>
      </c>
    </row>
    <row r="49" spans="1:5" x14ac:dyDescent="0.25">
      <c r="A49" s="54" t="s">
        <v>44</v>
      </c>
      <c r="B49" s="39">
        <v>72</v>
      </c>
      <c r="C49" s="39">
        <v>74</v>
      </c>
      <c r="D49" s="39">
        <v>996</v>
      </c>
      <c r="E49" s="39">
        <v>1142</v>
      </c>
    </row>
    <row r="50" spans="1:5" x14ac:dyDescent="0.25">
      <c r="A50" s="55" t="s">
        <v>4</v>
      </c>
      <c r="B50" s="40">
        <v>1652</v>
      </c>
      <c r="C50" s="40">
        <v>2614</v>
      </c>
      <c r="D50" s="40">
        <v>22935</v>
      </c>
      <c r="E50" s="40">
        <v>27201</v>
      </c>
    </row>
    <row r="51" spans="1:5" x14ac:dyDescent="0.25">
      <c r="A51" s="42"/>
      <c r="B51" s="42"/>
      <c r="C51" s="42"/>
      <c r="D51" s="42"/>
      <c r="E51" s="42"/>
    </row>
    <row r="52" spans="1:5" ht="15.75" x14ac:dyDescent="0.25">
      <c r="A52" s="49" t="s">
        <v>420</v>
      </c>
      <c r="B52" s="42"/>
      <c r="C52" s="42"/>
      <c r="D52" s="42"/>
      <c r="E52" s="42"/>
    </row>
    <row r="53" spans="1:5" ht="25.5" x14ac:dyDescent="0.25">
      <c r="A53" s="53" t="s">
        <v>9</v>
      </c>
      <c r="B53" s="43" t="s">
        <v>91</v>
      </c>
      <c r="C53" s="43" t="s">
        <v>3</v>
      </c>
      <c r="D53" s="43" t="s">
        <v>252</v>
      </c>
      <c r="E53" s="43" t="s">
        <v>8</v>
      </c>
    </row>
    <row r="54" spans="1:5" x14ac:dyDescent="0.25">
      <c r="A54" s="54" t="s">
        <v>254</v>
      </c>
      <c r="B54" s="39">
        <v>0</v>
      </c>
      <c r="C54" s="39">
        <v>2</v>
      </c>
      <c r="D54" s="39">
        <v>0</v>
      </c>
      <c r="E54" s="39">
        <v>2</v>
      </c>
    </row>
    <row r="55" spans="1:5" x14ac:dyDescent="0.25">
      <c r="A55" s="54" t="s">
        <v>255</v>
      </c>
      <c r="B55" s="39">
        <v>0</v>
      </c>
      <c r="C55" s="39">
        <v>0</v>
      </c>
      <c r="D55" s="39">
        <v>2</v>
      </c>
      <c r="E55" s="39">
        <v>2</v>
      </c>
    </row>
    <row r="56" spans="1:5" x14ac:dyDescent="0.25">
      <c r="A56" s="54" t="s">
        <v>256</v>
      </c>
      <c r="B56" s="39">
        <v>0</v>
      </c>
      <c r="C56" s="39">
        <v>10</v>
      </c>
      <c r="D56" s="39">
        <v>0</v>
      </c>
      <c r="E56" s="39">
        <v>10</v>
      </c>
    </row>
    <row r="57" spans="1:5" x14ac:dyDescent="0.25">
      <c r="A57" s="54" t="s">
        <v>257</v>
      </c>
      <c r="B57" s="39">
        <v>0</v>
      </c>
      <c r="C57" s="39">
        <v>0</v>
      </c>
      <c r="D57" s="39">
        <v>0</v>
      </c>
      <c r="E57" s="39">
        <v>0</v>
      </c>
    </row>
    <row r="58" spans="1:5" x14ac:dyDescent="0.25">
      <c r="A58" s="54" t="s">
        <v>258</v>
      </c>
      <c r="B58" s="39">
        <v>12</v>
      </c>
      <c r="C58" s="39">
        <v>24</v>
      </c>
      <c r="D58" s="39">
        <v>417</v>
      </c>
      <c r="E58" s="39">
        <v>453</v>
      </c>
    </row>
    <row r="59" spans="1:5" x14ac:dyDescent="0.25">
      <c r="A59" s="54" t="s">
        <v>259</v>
      </c>
      <c r="B59" s="39">
        <v>125</v>
      </c>
      <c r="C59" s="39">
        <v>132</v>
      </c>
      <c r="D59" s="39">
        <v>278</v>
      </c>
      <c r="E59" s="39">
        <v>535</v>
      </c>
    </row>
    <row r="60" spans="1:5" x14ac:dyDescent="0.25">
      <c r="A60" s="85" t="s">
        <v>270</v>
      </c>
      <c r="B60" s="39">
        <v>1232</v>
      </c>
      <c r="C60" s="39">
        <v>2348</v>
      </c>
      <c r="D60" s="39">
        <v>19628</v>
      </c>
      <c r="E60" s="39">
        <v>23208</v>
      </c>
    </row>
    <row r="61" spans="1:5" x14ac:dyDescent="0.25">
      <c r="A61" s="85" t="s">
        <v>374</v>
      </c>
      <c r="B61" s="39">
        <v>0</v>
      </c>
      <c r="C61" s="39">
        <v>0</v>
      </c>
      <c r="D61" s="39">
        <v>0</v>
      </c>
      <c r="E61" s="39">
        <v>0</v>
      </c>
    </row>
    <row r="62" spans="1:5" x14ac:dyDescent="0.25">
      <c r="A62" s="54" t="s">
        <v>260</v>
      </c>
      <c r="B62" s="39">
        <v>33</v>
      </c>
      <c r="C62" s="39">
        <v>2</v>
      </c>
      <c r="D62" s="39">
        <v>150</v>
      </c>
      <c r="E62" s="39">
        <v>185</v>
      </c>
    </row>
    <row r="63" spans="1:5" x14ac:dyDescent="0.25">
      <c r="A63" s="54" t="s">
        <v>274</v>
      </c>
      <c r="B63" s="39">
        <v>2</v>
      </c>
      <c r="C63" s="39">
        <v>27</v>
      </c>
      <c r="D63" s="39">
        <v>75</v>
      </c>
      <c r="E63" s="39">
        <v>104</v>
      </c>
    </row>
    <row r="64" spans="1:5" x14ac:dyDescent="0.25">
      <c r="A64" s="54" t="s">
        <v>261</v>
      </c>
      <c r="B64" s="39">
        <v>143</v>
      </c>
      <c r="C64" s="39">
        <v>56</v>
      </c>
      <c r="D64" s="39">
        <v>1499</v>
      </c>
      <c r="E64" s="39">
        <v>1698</v>
      </c>
    </row>
    <row r="65" spans="1:5" x14ac:dyDescent="0.25">
      <c r="A65" s="54" t="s">
        <v>262</v>
      </c>
      <c r="B65" s="39">
        <v>52</v>
      </c>
      <c r="C65" s="39">
        <v>3</v>
      </c>
      <c r="D65" s="39">
        <v>650</v>
      </c>
      <c r="E65" s="39">
        <v>705</v>
      </c>
    </row>
    <row r="66" spans="1:5" x14ac:dyDescent="0.25">
      <c r="A66" s="54" t="s">
        <v>263</v>
      </c>
      <c r="B66" s="39">
        <v>42</v>
      </c>
      <c r="C66" s="39">
        <v>1</v>
      </c>
      <c r="D66" s="39">
        <v>161</v>
      </c>
      <c r="E66" s="39">
        <v>204</v>
      </c>
    </row>
    <row r="67" spans="1:5" x14ac:dyDescent="0.25">
      <c r="A67" s="54" t="s">
        <v>264</v>
      </c>
      <c r="B67" s="39">
        <v>11</v>
      </c>
      <c r="C67" s="39">
        <v>9</v>
      </c>
      <c r="D67" s="39">
        <v>75</v>
      </c>
      <c r="E67" s="39">
        <v>95</v>
      </c>
    </row>
    <row r="68" spans="1:5" x14ac:dyDescent="0.25">
      <c r="A68" s="54" t="s">
        <v>265</v>
      </c>
      <c r="B68" s="39">
        <v>0</v>
      </c>
      <c r="C68" s="39">
        <v>0</v>
      </c>
      <c r="D68" s="39">
        <v>0</v>
      </c>
      <c r="E68" s="39">
        <v>0</v>
      </c>
    </row>
    <row r="69" spans="1:5" x14ac:dyDescent="0.25">
      <c r="A69" s="54" t="s">
        <v>267</v>
      </c>
      <c r="B69" s="39">
        <v>0</v>
      </c>
      <c r="C69" s="39">
        <v>0</v>
      </c>
      <c r="D69" s="39">
        <v>0</v>
      </c>
      <c r="E69" s="39">
        <v>0</v>
      </c>
    </row>
    <row r="70" spans="1:5" x14ac:dyDescent="0.25">
      <c r="A70" s="55" t="s">
        <v>4</v>
      </c>
      <c r="B70" s="40">
        <v>1652</v>
      </c>
      <c r="C70" s="40">
        <v>2614</v>
      </c>
      <c r="D70" s="40">
        <v>22935</v>
      </c>
      <c r="E70" s="40">
        <v>27201</v>
      </c>
    </row>
    <row r="71" spans="1:5" x14ac:dyDescent="0.25">
      <c r="A71" s="41"/>
      <c r="B71" s="41"/>
      <c r="C71" s="41"/>
      <c r="D71" s="41"/>
      <c r="E71" s="42"/>
    </row>
    <row r="72" spans="1:5" ht="15.75" x14ac:dyDescent="0.25">
      <c r="A72" s="49" t="s">
        <v>421</v>
      </c>
      <c r="B72" s="42"/>
      <c r="C72" s="42"/>
      <c r="D72" s="42"/>
      <c r="E72" s="42"/>
    </row>
    <row r="73" spans="1:5" x14ac:dyDescent="0.25">
      <c r="A73" s="56" t="s">
        <v>10</v>
      </c>
      <c r="B73" s="43" t="s">
        <v>214</v>
      </c>
      <c r="C73" s="43" t="s">
        <v>215</v>
      </c>
      <c r="D73" s="43" t="s">
        <v>8</v>
      </c>
      <c r="E73" s="42"/>
    </row>
    <row r="74" spans="1:5" x14ac:dyDescent="0.25">
      <c r="A74" s="54" t="s">
        <v>11</v>
      </c>
      <c r="B74" s="44">
        <v>3221</v>
      </c>
      <c r="C74" s="44">
        <v>3840</v>
      </c>
      <c r="D74" s="44">
        <v>7061</v>
      </c>
      <c r="E74" s="42"/>
    </row>
    <row r="75" spans="1:5" x14ac:dyDescent="0.25">
      <c r="A75" s="85" t="s">
        <v>12</v>
      </c>
      <c r="B75" s="44">
        <v>21</v>
      </c>
      <c r="C75" s="44">
        <v>35</v>
      </c>
      <c r="D75" s="44">
        <v>56</v>
      </c>
      <c r="E75" s="42"/>
    </row>
    <row r="76" spans="1:5" x14ac:dyDescent="0.25">
      <c r="A76" s="85" t="s">
        <v>13</v>
      </c>
      <c r="B76" s="44">
        <v>243</v>
      </c>
      <c r="C76" s="44">
        <v>176</v>
      </c>
      <c r="D76" s="44">
        <v>419</v>
      </c>
      <c r="E76" s="42"/>
    </row>
    <row r="77" spans="1:5" x14ac:dyDescent="0.25">
      <c r="A77" s="85" t="s">
        <v>14</v>
      </c>
      <c r="B77" s="44">
        <v>72</v>
      </c>
      <c r="C77" s="44">
        <v>102</v>
      </c>
      <c r="D77" s="44">
        <v>174</v>
      </c>
      <c r="E77" s="42"/>
    </row>
    <row r="78" spans="1:5" x14ac:dyDescent="0.25">
      <c r="A78" s="85" t="s">
        <v>15</v>
      </c>
      <c r="B78" s="44">
        <v>2809</v>
      </c>
      <c r="C78" s="44">
        <v>1391</v>
      </c>
      <c r="D78" s="44">
        <v>4200</v>
      </c>
      <c r="E78" s="42"/>
    </row>
    <row r="79" spans="1:5" x14ac:dyDescent="0.25">
      <c r="A79" s="85" t="s">
        <v>16</v>
      </c>
      <c r="B79" s="44">
        <v>679</v>
      </c>
      <c r="C79" s="44">
        <v>655</v>
      </c>
      <c r="D79" s="44">
        <v>1334</v>
      </c>
      <c r="E79" s="42"/>
    </row>
    <row r="80" spans="1:5" x14ac:dyDescent="0.25">
      <c r="A80" s="85" t="s">
        <v>17</v>
      </c>
      <c r="B80" s="44">
        <v>3586</v>
      </c>
      <c r="C80" s="44">
        <v>1137</v>
      </c>
      <c r="D80" s="44">
        <v>4723</v>
      </c>
      <c r="E80" s="42"/>
    </row>
    <row r="81" spans="1:10" x14ac:dyDescent="0.25">
      <c r="A81" s="85" t="s">
        <v>18</v>
      </c>
      <c r="B81" s="44">
        <v>249</v>
      </c>
      <c r="C81" s="44">
        <v>134</v>
      </c>
      <c r="D81" s="44">
        <v>383</v>
      </c>
      <c r="E81" s="42"/>
    </row>
    <row r="82" spans="1:10" x14ac:dyDescent="0.25">
      <c r="A82" s="85" t="s">
        <v>19</v>
      </c>
      <c r="B82" s="44">
        <v>4391</v>
      </c>
      <c r="C82" s="44">
        <v>2309</v>
      </c>
      <c r="D82" s="44">
        <v>6700</v>
      </c>
      <c r="E82" s="42"/>
    </row>
    <row r="83" spans="1:10" x14ac:dyDescent="0.25">
      <c r="A83" s="85" t="s">
        <v>20</v>
      </c>
      <c r="B83" s="44">
        <v>703</v>
      </c>
      <c r="C83" s="44">
        <v>1448</v>
      </c>
      <c r="D83" s="44">
        <v>2151</v>
      </c>
      <c r="E83" s="42"/>
    </row>
    <row r="84" spans="1:10" x14ac:dyDescent="0.25">
      <c r="A84" s="55" t="s">
        <v>268</v>
      </c>
      <c r="B84" s="45">
        <v>15974</v>
      </c>
      <c r="C84" s="45">
        <v>11227</v>
      </c>
      <c r="D84" s="45">
        <v>27201</v>
      </c>
      <c r="E84" s="42"/>
    </row>
    <row r="85" spans="1:10" x14ac:dyDescent="0.25">
      <c r="A85" s="42"/>
      <c r="B85" s="42"/>
      <c r="C85" s="42"/>
      <c r="D85" s="42"/>
      <c r="E85" s="42"/>
    </row>
    <row r="86" spans="1:10" ht="15.75" x14ac:dyDescent="0.25">
      <c r="A86" s="49" t="s">
        <v>422</v>
      </c>
      <c r="B86" s="42"/>
      <c r="C86" s="42"/>
      <c r="D86" s="42"/>
      <c r="E86" s="42"/>
      <c r="G86" s="119"/>
      <c r="H86" s="119"/>
      <c r="I86" s="119"/>
      <c r="J86" s="119"/>
    </row>
    <row r="87" spans="1:10" x14ac:dyDescent="0.25">
      <c r="A87" s="56" t="s">
        <v>9</v>
      </c>
      <c r="B87" s="43" t="s">
        <v>214</v>
      </c>
      <c r="C87" s="43" t="s">
        <v>215</v>
      </c>
      <c r="D87" s="43" t="s">
        <v>8</v>
      </c>
      <c r="E87" s="42"/>
      <c r="G87" s="119"/>
      <c r="H87" s="119"/>
      <c r="I87" s="119"/>
      <c r="J87" s="119"/>
    </row>
    <row r="88" spans="1:10" x14ac:dyDescent="0.25">
      <c r="A88" s="54" t="s">
        <v>254</v>
      </c>
      <c r="B88" s="122">
        <v>2</v>
      </c>
      <c r="C88" s="46">
        <v>0</v>
      </c>
      <c r="D88" s="44">
        <v>2</v>
      </c>
      <c r="E88" s="42"/>
      <c r="G88" s="119"/>
      <c r="H88" s="119"/>
      <c r="I88" s="119"/>
      <c r="J88" s="119"/>
    </row>
    <row r="89" spans="1:10" x14ac:dyDescent="0.25">
      <c r="A89" s="54" t="s">
        <v>255</v>
      </c>
      <c r="B89" s="46">
        <v>1</v>
      </c>
      <c r="C89" s="46">
        <v>1</v>
      </c>
      <c r="D89" s="44">
        <v>2</v>
      </c>
      <c r="E89" s="42"/>
      <c r="G89" s="119"/>
      <c r="H89" s="119"/>
      <c r="I89" s="119"/>
      <c r="J89" s="119"/>
    </row>
    <row r="90" spans="1:10" x14ac:dyDescent="0.25">
      <c r="A90" s="54" t="s">
        <v>256</v>
      </c>
      <c r="B90" s="44">
        <v>6</v>
      </c>
      <c r="C90" s="44">
        <v>4</v>
      </c>
      <c r="D90" s="44">
        <v>10</v>
      </c>
      <c r="E90" s="42"/>
      <c r="G90" s="119"/>
      <c r="H90" s="119"/>
      <c r="I90" s="119"/>
      <c r="J90" s="119"/>
    </row>
    <row r="91" spans="1:10" x14ac:dyDescent="0.25">
      <c r="A91" s="54" t="s">
        <v>257</v>
      </c>
      <c r="B91" s="46">
        <v>0</v>
      </c>
      <c r="C91" s="46">
        <v>0</v>
      </c>
      <c r="D91" s="44">
        <v>0</v>
      </c>
      <c r="E91" s="42"/>
      <c r="G91" s="119"/>
      <c r="H91" s="119"/>
      <c r="I91" s="119"/>
      <c r="J91" s="119"/>
    </row>
    <row r="92" spans="1:10" x14ac:dyDescent="0.25">
      <c r="A92" s="54" t="s">
        <v>258</v>
      </c>
      <c r="B92" s="44">
        <v>230</v>
      </c>
      <c r="C92" s="44">
        <v>223</v>
      </c>
      <c r="D92" s="44">
        <v>453</v>
      </c>
      <c r="E92" s="42"/>
      <c r="G92" s="119"/>
      <c r="H92" s="119"/>
      <c r="I92" s="119"/>
      <c r="J92" s="119"/>
    </row>
    <row r="93" spans="1:10" x14ac:dyDescent="0.25">
      <c r="A93" s="54" t="s">
        <v>259</v>
      </c>
      <c r="B93" s="44">
        <v>309</v>
      </c>
      <c r="C93" s="44">
        <v>226</v>
      </c>
      <c r="D93" s="44">
        <v>535</v>
      </c>
      <c r="E93" s="42"/>
      <c r="G93" s="119"/>
      <c r="H93" s="119"/>
      <c r="I93" s="119"/>
      <c r="J93" s="119"/>
    </row>
    <row r="94" spans="1:10" x14ac:dyDescent="0.25">
      <c r="A94" s="90" t="s">
        <v>270</v>
      </c>
      <c r="B94" s="44">
        <v>13510</v>
      </c>
      <c r="C94" s="44">
        <v>9698</v>
      </c>
      <c r="D94" s="44">
        <v>23208</v>
      </c>
      <c r="E94" s="42"/>
      <c r="G94" s="119"/>
      <c r="H94" s="119"/>
      <c r="I94" s="119"/>
      <c r="J94" s="119"/>
    </row>
    <row r="95" spans="1:10" x14ac:dyDescent="0.25">
      <c r="A95" s="85" t="s">
        <v>374</v>
      </c>
      <c r="B95" s="44">
        <v>0</v>
      </c>
      <c r="C95" s="44">
        <v>0</v>
      </c>
      <c r="D95" s="44">
        <v>0</v>
      </c>
      <c r="E95" s="42"/>
      <c r="G95" s="119"/>
      <c r="H95" s="119"/>
      <c r="I95" s="119"/>
      <c r="J95" s="119"/>
    </row>
    <row r="96" spans="1:10" x14ac:dyDescent="0.25">
      <c r="A96" s="54" t="s">
        <v>260</v>
      </c>
      <c r="B96" s="44">
        <v>99</v>
      </c>
      <c r="C96" s="44">
        <v>86</v>
      </c>
      <c r="D96" s="44">
        <v>185</v>
      </c>
      <c r="E96" s="42"/>
      <c r="G96" s="119"/>
      <c r="H96" s="119"/>
      <c r="I96" s="119"/>
      <c r="J96" s="119"/>
    </row>
    <row r="97" spans="1:10" x14ac:dyDescent="0.25">
      <c r="A97" s="54" t="s">
        <v>274</v>
      </c>
      <c r="B97" s="44">
        <v>69</v>
      </c>
      <c r="C97" s="44">
        <v>35</v>
      </c>
      <c r="D97" s="44">
        <v>104</v>
      </c>
      <c r="E97" s="42"/>
      <c r="G97" s="119"/>
      <c r="H97" s="119"/>
      <c r="I97" s="119"/>
      <c r="J97" s="119"/>
    </row>
    <row r="98" spans="1:10" x14ac:dyDescent="0.25">
      <c r="A98" s="54" t="s">
        <v>261</v>
      </c>
      <c r="B98" s="44">
        <v>1081</v>
      </c>
      <c r="C98" s="44">
        <v>617</v>
      </c>
      <c r="D98" s="44">
        <v>1698</v>
      </c>
      <c r="E98" s="42"/>
      <c r="G98" s="119"/>
      <c r="H98" s="119"/>
      <c r="I98" s="119"/>
      <c r="J98" s="119"/>
    </row>
    <row r="99" spans="1:10" x14ac:dyDescent="0.25">
      <c r="A99" s="54" t="s">
        <v>262</v>
      </c>
      <c r="B99" s="44">
        <v>469</v>
      </c>
      <c r="C99" s="44">
        <v>236</v>
      </c>
      <c r="D99" s="44">
        <v>705</v>
      </c>
      <c r="E99" s="42"/>
      <c r="G99" s="119"/>
      <c r="H99" s="119"/>
      <c r="I99" s="119"/>
      <c r="J99" s="119"/>
    </row>
    <row r="100" spans="1:10" x14ac:dyDescent="0.25">
      <c r="A100" s="54" t="s">
        <v>263</v>
      </c>
      <c r="B100" s="44">
        <v>131</v>
      </c>
      <c r="C100" s="44">
        <v>73</v>
      </c>
      <c r="D100" s="44">
        <v>204</v>
      </c>
      <c r="E100" s="42"/>
      <c r="G100" s="119"/>
      <c r="H100" s="119"/>
      <c r="I100" s="119"/>
      <c r="J100" s="119"/>
    </row>
    <row r="101" spans="1:10" x14ac:dyDescent="0.25">
      <c r="A101" s="54" t="s">
        <v>264</v>
      </c>
      <c r="B101" s="44">
        <v>67</v>
      </c>
      <c r="C101" s="44">
        <v>28</v>
      </c>
      <c r="D101" s="44">
        <v>95</v>
      </c>
      <c r="E101" s="42"/>
      <c r="G101" s="119"/>
      <c r="H101" s="119"/>
      <c r="I101" s="119"/>
      <c r="J101" s="119"/>
    </row>
    <row r="102" spans="1:10" x14ac:dyDescent="0.25">
      <c r="A102" s="54" t="s">
        <v>265</v>
      </c>
      <c r="B102" s="44">
        <v>0</v>
      </c>
      <c r="C102" s="44">
        <v>0</v>
      </c>
      <c r="D102" s="44">
        <v>0</v>
      </c>
      <c r="E102" s="42"/>
      <c r="G102" s="119"/>
      <c r="H102" s="119"/>
      <c r="I102" s="119"/>
      <c r="J102" s="119"/>
    </row>
    <row r="103" spans="1:10" x14ac:dyDescent="0.25">
      <c r="A103" s="54" t="s">
        <v>267</v>
      </c>
      <c r="B103" s="44">
        <v>0</v>
      </c>
      <c r="C103" s="44">
        <v>0</v>
      </c>
      <c r="D103" s="44">
        <v>0</v>
      </c>
      <c r="E103" s="42"/>
      <c r="G103" s="119"/>
      <c r="H103" s="119"/>
      <c r="I103" s="119"/>
      <c r="J103" s="119"/>
    </row>
    <row r="104" spans="1:10" x14ac:dyDescent="0.25">
      <c r="A104" s="76" t="s">
        <v>4</v>
      </c>
      <c r="B104" s="45">
        <v>15974</v>
      </c>
      <c r="C104" s="45">
        <v>11227</v>
      </c>
      <c r="D104" s="45">
        <v>27201</v>
      </c>
      <c r="E104" s="42"/>
      <c r="G104" s="119"/>
      <c r="H104" s="119"/>
      <c r="I104" s="119"/>
      <c r="J104" s="119"/>
    </row>
    <row r="105" spans="1:10" x14ac:dyDescent="0.25">
      <c r="A105" s="42"/>
      <c r="B105" s="42"/>
      <c r="C105" s="42"/>
      <c r="D105" s="42"/>
      <c r="E105" s="42"/>
      <c r="G105" s="119"/>
      <c r="H105" s="119"/>
      <c r="I105" s="119"/>
      <c r="J105" s="119"/>
    </row>
    <row r="106" spans="1:10" x14ac:dyDescent="0.25">
      <c r="A106" s="42"/>
      <c r="B106" s="42"/>
      <c r="C106" s="42"/>
      <c r="D106" s="42"/>
      <c r="E106" s="42"/>
    </row>
    <row r="107" spans="1:10" x14ac:dyDescent="0.25">
      <c r="A107" s="65" t="s">
        <v>246</v>
      </c>
      <c r="B107" s="68"/>
      <c r="C107" s="68"/>
      <c r="D107" s="68"/>
      <c r="E107" s="68"/>
    </row>
    <row r="108" spans="1:10" x14ac:dyDescent="0.25">
      <c r="A108" s="68"/>
      <c r="B108" s="68"/>
      <c r="C108" s="68"/>
      <c r="D108" s="68"/>
      <c r="E108" s="68"/>
    </row>
    <row r="109" spans="1:10" x14ac:dyDescent="0.25">
      <c r="A109" s="69" t="s">
        <v>21</v>
      </c>
      <c r="B109" s="68"/>
      <c r="C109" s="68"/>
      <c r="D109" s="68"/>
      <c r="E109" s="68"/>
    </row>
    <row r="110" spans="1:10" x14ac:dyDescent="0.25">
      <c r="A110" s="68"/>
      <c r="B110" s="68"/>
      <c r="C110" s="68"/>
      <c r="D110" s="68"/>
      <c r="E110" s="68"/>
    </row>
  </sheetData>
  <hyperlinks>
    <hyperlink ref="A109" location="Indice!A5" display="Volver al índice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2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5"/>
  <cols>
    <col min="1" max="1" width="40.42578125" style="1" customWidth="1"/>
    <col min="2" max="6" width="8.42578125" style="1" customWidth="1"/>
    <col min="7" max="7" width="6.85546875" style="1" customWidth="1"/>
    <col min="8" max="10" width="8" style="1" customWidth="1"/>
    <col min="11" max="12" width="8" style="1" bestFit="1" customWidth="1"/>
    <col min="13" max="15" width="8" style="1" customWidth="1"/>
    <col min="16" max="19" width="12.7109375" style="1" customWidth="1"/>
    <col min="20" max="20" width="10.85546875" style="2"/>
    <col min="35" max="16384" width="10.85546875" style="2"/>
  </cols>
  <sheetData>
    <row r="1" spans="1:19" ht="21" x14ac:dyDescent="0.25">
      <c r="A1" s="62" t="s">
        <v>356</v>
      </c>
      <c r="B1" s="62"/>
      <c r="C1" s="62"/>
      <c r="D1" s="62"/>
      <c r="E1" s="62"/>
      <c r="F1" s="62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ht="25.5" customHeight="1" x14ac:dyDescent="0.25">
      <c r="A2" s="35"/>
      <c r="B2" s="35"/>
      <c r="C2" s="35"/>
      <c r="D2" s="35"/>
      <c r="E2" s="35"/>
      <c r="F2" s="35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19" ht="15.75" x14ac:dyDescent="0.25">
      <c r="A4" s="24" t="s">
        <v>423</v>
      </c>
      <c r="B4" s="24"/>
      <c r="C4" s="24"/>
      <c r="D4" s="24"/>
      <c r="E4" s="24"/>
      <c r="F4" s="24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</row>
    <row r="5" spans="1:19" ht="24.75" customHeight="1" x14ac:dyDescent="0.25">
      <c r="A5" s="82" t="s">
        <v>0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3">
        <v>2020</v>
      </c>
      <c r="P5" s="12" t="s">
        <v>427</v>
      </c>
      <c r="Q5" s="12" t="s">
        <v>428</v>
      </c>
      <c r="R5" s="12" t="s">
        <v>429</v>
      </c>
      <c r="S5" s="12" t="s">
        <v>430</v>
      </c>
    </row>
    <row r="6" spans="1:19" x14ac:dyDescent="0.25">
      <c r="A6" s="4" t="s">
        <v>5</v>
      </c>
      <c r="B6" s="4"/>
      <c r="C6" s="4"/>
      <c r="D6" s="4">
        <v>10</v>
      </c>
      <c r="E6" s="4">
        <v>11</v>
      </c>
      <c r="F6" s="4">
        <v>13</v>
      </c>
      <c r="G6" s="4">
        <v>8</v>
      </c>
      <c r="H6" s="4">
        <v>10</v>
      </c>
      <c r="I6" s="4"/>
      <c r="J6" s="4"/>
      <c r="K6" s="4">
        <v>9</v>
      </c>
      <c r="L6" s="4">
        <v>10</v>
      </c>
      <c r="M6" s="4">
        <v>5</v>
      </c>
      <c r="N6" s="4">
        <v>3</v>
      </c>
      <c r="O6" s="4">
        <v>3</v>
      </c>
      <c r="P6" s="100">
        <f>(O6-F6)/F6</f>
        <v>-0.76923076923076927</v>
      </c>
      <c r="Q6" s="100">
        <f>(O6-K6)/K6</f>
        <v>-0.66666666666666663</v>
      </c>
      <c r="R6" s="100">
        <f>(O6-N6)/N6</f>
        <v>0</v>
      </c>
      <c r="S6" s="102">
        <f>O6/O$9</f>
        <v>1.1029006286533584E-4</v>
      </c>
    </row>
    <row r="7" spans="1:19" x14ac:dyDescent="0.25">
      <c r="A7" s="4" t="s">
        <v>6</v>
      </c>
      <c r="B7" s="4"/>
      <c r="C7" s="4"/>
      <c r="D7" s="4">
        <v>28</v>
      </c>
      <c r="E7" s="4"/>
      <c r="F7" s="4"/>
      <c r="G7" s="4"/>
      <c r="H7" s="4">
        <v>5</v>
      </c>
      <c r="I7" s="4">
        <v>21</v>
      </c>
      <c r="J7" s="4">
        <v>256</v>
      </c>
      <c r="K7" s="4">
        <v>2641</v>
      </c>
      <c r="L7" s="4">
        <v>1163</v>
      </c>
      <c r="M7" s="4">
        <v>878</v>
      </c>
      <c r="N7" s="4">
        <v>1417</v>
      </c>
      <c r="O7" s="4">
        <v>1067</v>
      </c>
      <c r="P7" s="100" t="s">
        <v>24</v>
      </c>
      <c r="Q7" s="100">
        <f>(O7-K7)/K7</f>
        <v>-0.59598636879969713</v>
      </c>
      <c r="R7" s="100">
        <f>(O7-N7)/N7</f>
        <v>-0.24700070571630206</v>
      </c>
      <c r="S7" s="102">
        <f>O7/O$9</f>
        <v>3.9226499025771112E-2</v>
      </c>
    </row>
    <row r="8" spans="1:19" x14ac:dyDescent="0.25">
      <c r="A8" s="4" t="s">
        <v>7</v>
      </c>
      <c r="B8" s="4">
        <v>5016</v>
      </c>
      <c r="C8" s="4">
        <v>7654</v>
      </c>
      <c r="D8" s="4">
        <v>8745</v>
      </c>
      <c r="E8" s="4">
        <v>8842</v>
      </c>
      <c r="F8" s="4">
        <v>8717</v>
      </c>
      <c r="G8" s="4">
        <v>9682</v>
      </c>
      <c r="H8" s="4">
        <v>12560</v>
      </c>
      <c r="I8" s="4">
        <v>12874</v>
      </c>
      <c r="J8" s="4">
        <v>13259</v>
      </c>
      <c r="K8" s="4">
        <v>16301</v>
      </c>
      <c r="L8" s="4">
        <v>21439</v>
      </c>
      <c r="M8" s="4">
        <v>24057</v>
      </c>
      <c r="N8" s="4">
        <v>27921</v>
      </c>
      <c r="O8" s="4">
        <v>26131</v>
      </c>
      <c r="P8" s="100">
        <f>(O8-F8)/F8</f>
        <v>1.9977056326717908</v>
      </c>
      <c r="Q8" s="100">
        <f>(O8-K8)/K8</f>
        <v>0.60303048892705968</v>
      </c>
      <c r="R8" s="100">
        <f>(O8-N8)/N8</f>
        <v>-6.4109451667203901E-2</v>
      </c>
      <c r="S8" s="102">
        <f>O8/O$9</f>
        <v>0.96066321091136353</v>
      </c>
    </row>
    <row r="9" spans="1:19" x14ac:dyDescent="0.25">
      <c r="A9" s="5" t="s">
        <v>4</v>
      </c>
      <c r="B9" s="5">
        <v>5016</v>
      </c>
      <c r="C9" s="5">
        <v>7654</v>
      </c>
      <c r="D9" s="5">
        <v>8783</v>
      </c>
      <c r="E9" s="5">
        <v>8853</v>
      </c>
      <c r="F9" s="5">
        <v>8730</v>
      </c>
      <c r="G9" s="5">
        <v>9690</v>
      </c>
      <c r="H9" s="5">
        <v>12575</v>
      </c>
      <c r="I9" s="5">
        <v>12895</v>
      </c>
      <c r="J9" s="5">
        <v>13515</v>
      </c>
      <c r="K9" s="5">
        <v>18951</v>
      </c>
      <c r="L9" s="5">
        <v>22612</v>
      </c>
      <c r="M9" s="5">
        <v>24940</v>
      </c>
      <c r="N9" s="5">
        <v>29341</v>
      </c>
      <c r="O9" s="5">
        <v>27201</v>
      </c>
      <c r="P9" s="77">
        <f>(O9-F9)/F9</f>
        <v>2.1158075601374571</v>
      </c>
      <c r="Q9" s="77">
        <f>(O9-K9)/K9</f>
        <v>0.43533322779800537</v>
      </c>
      <c r="R9" s="101">
        <f>(O9-N9)/N9</f>
        <v>-7.2935482771548349E-2</v>
      </c>
      <c r="S9" s="15">
        <f>O9/O$9</f>
        <v>1</v>
      </c>
    </row>
    <row r="10" spans="1:19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</row>
    <row r="11" spans="1:19" ht="15.75" x14ac:dyDescent="0.25">
      <c r="A11" s="24" t="s">
        <v>424</v>
      </c>
      <c r="B11" s="24"/>
      <c r="C11" s="24"/>
      <c r="D11" s="24"/>
      <c r="E11" s="24"/>
      <c r="F11" s="24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</row>
    <row r="12" spans="1:19" ht="25.5" customHeight="1" x14ac:dyDescent="0.25">
      <c r="A12" s="82" t="s">
        <v>89</v>
      </c>
      <c r="B12" s="3">
        <v>2007</v>
      </c>
      <c r="C12" s="3">
        <v>2008</v>
      </c>
      <c r="D12" s="3">
        <v>2009</v>
      </c>
      <c r="E12" s="3">
        <v>2010</v>
      </c>
      <c r="F12" s="3">
        <v>2011</v>
      </c>
      <c r="G12" s="3">
        <v>2012</v>
      </c>
      <c r="H12" s="3">
        <v>2013</v>
      </c>
      <c r="I12" s="3">
        <v>2014</v>
      </c>
      <c r="J12" s="3">
        <v>2015</v>
      </c>
      <c r="K12" s="3">
        <v>2016</v>
      </c>
      <c r="L12" s="3">
        <v>2017</v>
      </c>
      <c r="M12" s="3">
        <v>2018</v>
      </c>
      <c r="N12" s="3">
        <v>2019</v>
      </c>
      <c r="O12" s="3">
        <v>2020</v>
      </c>
      <c r="P12" s="12" t="s">
        <v>427</v>
      </c>
      <c r="Q12" s="12" t="s">
        <v>428</v>
      </c>
      <c r="R12" s="12" t="s">
        <v>429</v>
      </c>
      <c r="S12" s="12" t="s">
        <v>430</v>
      </c>
    </row>
    <row r="13" spans="1:19" x14ac:dyDescent="0.25">
      <c r="A13" s="4" t="s">
        <v>91</v>
      </c>
      <c r="B13" s="4">
        <v>816</v>
      </c>
      <c r="C13" s="4">
        <v>912</v>
      </c>
      <c r="D13" s="4">
        <v>856</v>
      </c>
      <c r="E13" s="4">
        <v>979</v>
      </c>
      <c r="F13" s="4">
        <v>931</v>
      </c>
      <c r="G13" s="4">
        <v>1068</v>
      </c>
      <c r="H13" s="4">
        <v>1220</v>
      </c>
      <c r="I13" s="4">
        <v>1342</v>
      </c>
      <c r="J13" s="4">
        <v>1496</v>
      </c>
      <c r="K13" s="4">
        <v>1923</v>
      </c>
      <c r="L13" s="4">
        <v>1733</v>
      </c>
      <c r="M13" s="4">
        <v>2212</v>
      </c>
      <c r="N13" s="4">
        <v>2099</v>
      </c>
      <c r="O13" s="4">
        <v>1652</v>
      </c>
      <c r="P13" s="100">
        <f>(O13-F13)/F13</f>
        <v>0.77443609022556392</v>
      </c>
      <c r="Q13" s="100">
        <f>(O13-K13)/K13</f>
        <v>-0.14092563702548103</v>
      </c>
      <c r="R13" s="100">
        <f>(O13-N13)/N13</f>
        <v>-0.21295855169128156</v>
      </c>
      <c r="S13" s="102">
        <f>O13/O$9</f>
        <v>6.07330612845116E-2</v>
      </c>
    </row>
    <row r="14" spans="1:19" x14ac:dyDescent="0.25">
      <c r="A14" s="4" t="s">
        <v>3</v>
      </c>
      <c r="B14" s="4">
        <v>1765</v>
      </c>
      <c r="C14" s="4">
        <v>2833</v>
      </c>
      <c r="D14" s="4">
        <v>3064</v>
      </c>
      <c r="E14" s="4">
        <v>2664</v>
      </c>
      <c r="F14" s="4">
        <v>3680</v>
      </c>
      <c r="G14" s="4">
        <v>2578</v>
      </c>
      <c r="H14" s="4">
        <v>4117</v>
      </c>
      <c r="I14" s="4">
        <v>3813</v>
      </c>
      <c r="J14" s="4">
        <v>3193</v>
      </c>
      <c r="K14" s="4">
        <v>5321</v>
      </c>
      <c r="L14" s="4">
        <v>4144</v>
      </c>
      <c r="M14" s="4">
        <v>3493</v>
      </c>
      <c r="N14" s="4">
        <v>3801</v>
      </c>
      <c r="O14" s="4">
        <v>2614</v>
      </c>
      <c r="P14" s="100">
        <f>(O14-F14)/F14</f>
        <v>-0.28967391304347828</v>
      </c>
      <c r="Q14" s="100">
        <f>(O14-K14)/K14</f>
        <v>-0.5087389588423229</v>
      </c>
      <c r="R14" s="100">
        <f>(O14-N14)/N14</f>
        <v>-0.31228624046303605</v>
      </c>
      <c r="S14" s="102">
        <f>O14/O$9</f>
        <v>9.6099408109995954E-2</v>
      </c>
    </row>
    <row r="15" spans="1:19" x14ac:dyDescent="0.25">
      <c r="A15" s="4" t="s">
        <v>92</v>
      </c>
      <c r="B15" s="4">
        <v>2435</v>
      </c>
      <c r="C15" s="4">
        <v>3909</v>
      </c>
      <c r="D15" s="4">
        <v>4863</v>
      </c>
      <c r="E15" s="4">
        <v>5210</v>
      </c>
      <c r="F15" s="4">
        <v>4119</v>
      </c>
      <c r="G15" s="4">
        <v>6044</v>
      </c>
      <c r="H15" s="4">
        <v>7238</v>
      </c>
      <c r="I15" s="4">
        <v>7740</v>
      </c>
      <c r="J15" s="4">
        <v>8826</v>
      </c>
      <c r="K15" s="4">
        <v>11707</v>
      </c>
      <c r="L15" s="4">
        <v>16735</v>
      </c>
      <c r="M15" s="4">
        <v>19235</v>
      </c>
      <c r="N15" s="4">
        <v>23441</v>
      </c>
      <c r="O15" s="4">
        <v>22935</v>
      </c>
      <c r="P15" s="100">
        <f>(O15-F15)/F15</f>
        <v>4.568099053168245</v>
      </c>
      <c r="Q15" s="100">
        <f>(O15-K15)/K15</f>
        <v>0.95908430853335613</v>
      </c>
      <c r="R15" s="100">
        <f>(O15-N15)/N15</f>
        <v>-2.1586109807602064E-2</v>
      </c>
      <c r="S15" s="102">
        <f>O15/O$9</f>
        <v>0.84316753060549243</v>
      </c>
    </row>
    <row r="16" spans="1:19" x14ac:dyDescent="0.25">
      <c r="A16" s="5" t="s">
        <v>4</v>
      </c>
      <c r="B16" s="5">
        <v>5016</v>
      </c>
      <c r="C16" s="5">
        <v>7654</v>
      </c>
      <c r="D16" s="5">
        <v>8783</v>
      </c>
      <c r="E16" s="5">
        <v>8853</v>
      </c>
      <c r="F16" s="5">
        <v>8730</v>
      </c>
      <c r="G16" s="5">
        <v>9690</v>
      </c>
      <c r="H16" s="5">
        <v>12575</v>
      </c>
      <c r="I16" s="5">
        <v>12895</v>
      </c>
      <c r="J16" s="5">
        <v>13515</v>
      </c>
      <c r="K16" s="5">
        <v>18951</v>
      </c>
      <c r="L16" s="5">
        <v>22612</v>
      </c>
      <c r="M16" s="5">
        <v>24940</v>
      </c>
      <c r="N16" s="5">
        <v>29341</v>
      </c>
      <c r="O16" s="5">
        <v>27201</v>
      </c>
      <c r="P16" s="77">
        <f>(O16-F16)/F16</f>
        <v>2.1158075601374571</v>
      </c>
      <c r="Q16" s="77">
        <f>(O16-K16)/K16</f>
        <v>0.43533322779800537</v>
      </c>
      <c r="R16" s="101">
        <f>(O16-N16)/N16</f>
        <v>-7.2935482771548349E-2</v>
      </c>
      <c r="S16" s="15">
        <f>O16/O$9</f>
        <v>1</v>
      </c>
    </row>
    <row r="17" spans="1:19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</row>
    <row r="18" spans="1:19" ht="15.75" x14ac:dyDescent="0.25">
      <c r="A18" s="24" t="s">
        <v>425</v>
      </c>
      <c r="B18" s="24"/>
      <c r="C18" s="24"/>
      <c r="D18" s="24"/>
      <c r="E18" s="24"/>
      <c r="F18" s="24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</row>
    <row r="19" spans="1:19" ht="25.5" customHeight="1" x14ac:dyDescent="0.25">
      <c r="A19" s="82" t="s">
        <v>90</v>
      </c>
      <c r="B19" s="3">
        <v>2007</v>
      </c>
      <c r="C19" s="3">
        <v>2008</v>
      </c>
      <c r="D19" s="3">
        <v>2009</v>
      </c>
      <c r="E19" s="3">
        <v>2010</v>
      </c>
      <c r="F19" s="3">
        <v>2011</v>
      </c>
      <c r="G19" s="3">
        <v>2012</v>
      </c>
      <c r="H19" s="3">
        <v>2013</v>
      </c>
      <c r="I19" s="3">
        <v>2014</v>
      </c>
      <c r="J19" s="3">
        <v>2015</v>
      </c>
      <c r="K19" s="3">
        <v>2016</v>
      </c>
      <c r="L19" s="3">
        <v>2017</v>
      </c>
      <c r="M19" s="3">
        <v>2018</v>
      </c>
      <c r="N19" s="3">
        <v>2019</v>
      </c>
      <c r="O19" s="3">
        <v>2020</v>
      </c>
      <c r="P19" s="12" t="s">
        <v>427</v>
      </c>
      <c r="Q19" s="12" t="s">
        <v>428</v>
      </c>
      <c r="R19" s="12" t="s">
        <v>429</v>
      </c>
      <c r="S19" s="12" t="s">
        <v>430</v>
      </c>
    </row>
    <row r="20" spans="1:19" x14ac:dyDescent="0.25">
      <c r="A20" s="5" t="s">
        <v>5</v>
      </c>
      <c r="B20" s="5"/>
      <c r="C20" s="5"/>
      <c r="D20" s="5">
        <v>10</v>
      </c>
      <c r="E20" s="5">
        <v>11</v>
      </c>
      <c r="F20" s="5">
        <v>13</v>
      </c>
      <c r="G20" s="16">
        <v>8</v>
      </c>
      <c r="H20" s="16">
        <v>10</v>
      </c>
      <c r="I20" s="16"/>
      <c r="J20" s="16"/>
      <c r="K20" s="16">
        <v>9</v>
      </c>
      <c r="L20" s="16">
        <v>10</v>
      </c>
      <c r="M20" s="16">
        <v>5</v>
      </c>
      <c r="N20" s="16">
        <v>3</v>
      </c>
      <c r="O20" s="16">
        <v>3</v>
      </c>
      <c r="P20" s="93">
        <f t="shared" ref="P20:P29" si="0">(O20-F20)/F20</f>
        <v>-0.76923076923076927</v>
      </c>
      <c r="Q20" s="93">
        <f t="shared" ref="Q20:Q29" si="1">(O20-K20)/K20</f>
        <v>-0.66666666666666663</v>
      </c>
      <c r="R20" s="100">
        <f t="shared" ref="R20:R29" si="2">(O20-N20)/N20</f>
        <v>0</v>
      </c>
      <c r="S20" s="13">
        <f t="shared" ref="S20:S29" si="3">O20/O$9</f>
        <v>1.1029006286533584E-4</v>
      </c>
    </row>
    <row r="21" spans="1:19" x14ac:dyDescent="0.25">
      <c r="A21" s="79" t="s">
        <v>92</v>
      </c>
      <c r="B21" s="79"/>
      <c r="C21" s="79"/>
      <c r="D21" s="79">
        <v>10</v>
      </c>
      <c r="E21" s="79">
        <v>11</v>
      </c>
      <c r="F21" s="79">
        <v>13</v>
      </c>
      <c r="G21" s="17">
        <v>8</v>
      </c>
      <c r="H21" s="17">
        <v>10</v>
      </c>
      <c r="I21" s="17"/>
      <c r="J21" s="17"/>
      <c r="K21" s="17">
        <v>9</v>
      </c>
      <c r="L21" s="17">
        <v>10</v>
      </c>
      <c r="M21" s="17">
        <v>5</v>
      </c>
      <c r="N21" s="17">
        <v>3</v>
      </c>
      <c r="O21" s="17">
        <v>3</v>
      </c>
      <c r="P21" s="100">
        <f t="shared" si="0"/>
        <v>-0.76923076923076927</v>
      </c>
      <c r="Q21" s="100">
        <f t="shared" si="1"/>
        <v>-0.66666666666666663</v>
      </c>
      <c r="R21" s="100">
        <f t="shared" si="2"/>
        <v>0</v>
      </c>
      <c r="S21" s="102">
        <f t="shared" si="3"/>
        <v>1.1029006286533584E-4</v>
      </c>
    </row>
    <row r="22" spans="1:19" x14ac:dyDescent="0.25">
      <c r="A22" s="5" t="s">
        <v>6</v>
      </c>
      <c r="B22" s="5"/>
      <c r="C22" s="5"/>
      <c r="D22" s="5">
        <v>28</v>
      </c>
      <c r="E22" s="5"/>
      <c r="F22" s="5"/>
      <c r="G22" s="16"/>
      <c r="H22" s="16">
        <v>5</v>
      </c>
      <c r="I22" s="16">
        <v>21</v>
      </c>
      <c r="J22" s="16">
        <v>256</v>
      </c>
      <c r="K22" s="16">
        <v>2641</v>
      </c>
      <c r="L22" s="16">
        <v>1163</v>
      </c>
      <c r="M22" s="16">
        <v>878</v>
      </c>
      <c r="N22" s="16">
        <v>1417</v>
      </c>
      <c r="O22" s="16">
        <v>1067</v>
      </c>
      <c r="P22" s="101" t="s">
        <v>24</v>
      </c>
      <c r="Q22" s="101">
        <f t="shared" si="1"/>
        <v>-0.59598636879969713</v>
      </c>
      <c r="R22" s="101">
        <f t="shared" si="2"/>
        <v>-0.24700070571630206</v>
      </c>
      <c r="S22" s="103">
        <f t="shared" si="3"/>
        <v>3.9226499025771112E-2</v>
      </c>
    </row>
    <row r="23" spans="1:19" x14ac:dyDescent="0.25">
      <c r="A23" s="79" t="s">
        <v>3</v>
      </c>
      <c r="B23" s="79"/>
      <c r="C23" s="79"/>
      <c r="D23" s="79">
        <v>28</v>
      </c>
      <c r="E23" s="79"/>
      <c r="F23" s="79"/>
      <c r="G23" s="17"/>
      <c r="H23" s="17"/>
      <c r="I23" s="17">
        <v>19</v>
      </c>
      <c r="J23" s="17">
        <v>129</v>
      </c>
      <c r="K23" s="17">
        <v>2267</v>
      </c>
      <c r="L23" s="17">
        <v>933</v>
      </c>
      <c r="M23" s="17">
        <v>765</v>
      </c>
      <c r="N23" s="17">
        <v>1045</v>
      </c>
      <c r="O23" s="17">
        <v>746</v>
      </c>
      <c r="P23" s="100" t="s">
        <v>24</v>
      </c>
      <c r="Q23" s="100">
        <f t="shared" si="1"/>
        <v>-0.67093074547860609</v>
      </c>
      <c r="R23" s="100">
        <f t="shared" si="2"/>
        <v>-0.28612440191387561</v>
      </c>
      <c r="S23" s="102">
        <f t="shared" si="3"/>
        <v>2.7425462299180178E-2</v>
      </c>
    </row>
    <row r="24" spans="1:19" x14ac:dyDescent="0.25">
      <c r="A24" s="79" t="s">
        <v>92</v>
      </c>
      <c r="B24" s="79"/>
      <c r="C24" s="79"/>
      <c r="D24" s="79"/>
      <c r="E24" s="79"/>
      <c r="F24" s="79"/>
      <c r="G24" s="17"/>
      <c r="H24" s="17">
        <v>5</v>
      </c>
      <c r="I24" s="17">
        <v>2</v>
      </c>
      <c r="J24" s="17">
        <v>127</v>
      </c>
      <c r="K24" s="17">
        <v>374</v>
      </c>
      <c r="L24" s="17">
        <v>230</v>
      </c>
      <c r="M24" s="17">
        <v>113</v>
      </c>
      <c r="N24" s="17">
        <v>372</v>
      </c>
      <c r="O24" s="17">
        <v>321</v>
      </c>
      <c r="P24" s="100" t="s">
        <v>24</v>
      </c>
      <c r="Q24" s="100">
        <f t="shared" si="1"/>
        <v>-0.14171122994652408</v>
      </c>
      <c r="R24" s="100">
        <f t="shared" si="2"/>
        <v>-0.13709677419354838</v>
      </c>
      <c r="S24" s="102">
        <f t="shared" si="3"/>
        <v>1.1801036726590934E-2</v>
      </c>
    </row>
    <row r="25" spans="1:19" x14ac:dyDescent="0.25">
      <c r="A25" s="5" t="s">
        <v>7</v>
      </c>
      <c r="B25" s="5">
        <v>5016</v>
      </c>
      <c r="C25" s="5">
        <v>7654</v>
      </c>
      <c r="D25" s="5">
        <v>8745</v>
      </c>
      <c r="E25" s="5">
        <v>8842</v>
      </c>
      <c r="F25" s="5">
        <v>8717</v>
      </c>
      <c r="G25" s="16">
        <v>9682</v>
      </c>
      <c r="H25" s="16">
        <v>12560</v>
      </c>
      <c r="I25" s="16">
        <v>12874</v>
      </c>
      <c r="J25" s="16">
        <v>13259</v>
      </c>
      <c r="K25" s="16">
        <v>16301</v>
      </c>
      <c r="L25" s="16">
        <v>21439</v>
      </c>
      <c r="M25" s="16">
        <v>24057</v>
      </c>
      <c r="N25" s="16">
        <v>27921</v>
      </c>
      <c r="O25" s="16">
        <v>26131</v>
      </c>
      <c r="P25" s="101">
        <f t="shared" si="0"/>
        <v>1.9977056326717908</v>
      </c>
      <c r="Q25" s="101">
        <f t="shared" si="1"/>
        <v>0.60303048892705968</v>
      </c>
      <c r="R25" s="101">
        <f t="shared" si="2"/>
        <v>-6.4109451667203901E-2</v>
      </c>
      <c r="S25" s="103">
        <f t="shared" si="3"/>
        <v>0.96066321091136353</v>
      </c>
    </row>
    <row r="26" spans="1:19" x14ac:dyDescent="0.25">
      <c r="A26" s="79" t="s">
        <v>91</v>
      </c>
      <c r="B26" s="79">
        <v>816</v>
      </c>
      <c r="C26" s="79">
        <v>912</v>
      </c>
      <c r="D26" s="79">
        <v>856</v>
      </c>
      <c r="E26" s="79">
        <v>979</v>
      </c>
      <c r="F26" s="79">
        <v>931</v>
      </c>
      <c r="G26" s="17">
        <v>1068</v>
      </c>
      <c r="H26" s="17">
        <v>1220</v>
      </c>
      <c r="I26" s="17">
        <v>1342</v>
      </c>
      <c r="J26" s="17">
        <v>1496</v>
      </c>
      <c r="K26" s="17">
        <v>1923</v>
      </c>
      <c r="L26" s="17">
        <v>1733</v>
      </c>
      <c r="M26" s="17">
        <v>2212</v>
      </c>
      <c r="N26" s="17">
        <v>2099</v>
      </c>
      <c r="O26" s="17">
        <v>1652</v>
      </c>
      <c r="P26" s="100">
        <f t="shared" si="0"/>
        <v>0.77443609022556392</v>
      </c>
      <c r="Q26" s="100">
        <f t="shared" si="1"/>
        <v>-0.14092563702548103</v>
      </c>
      <c r="R26" s="100">
        <f t="shared" si="2"/>
        <v>-0.21295855169128156</v>
      </c>
      <c r="S26" s="102">
        <f t="shared" si="3"/>
        <v>6.07330612845116E-2</v>
      </c>
    </row>
    <row r="27" spans="1:19" x14ac:dyDescent="0.25">
      <c r="A27" s="79" t="s">
        <v>3</v>
      </c>
      <c r="B27" s="79">
        <v>1765</v>
      </c>
      <c r="C27" s="79">
        <v>2833</v>
      </c>
      <c r="D27" s="79">
        <v>3036</v>
      </c>
      <c r="E27" s="79">
        <v>2664</v>
      </c>
      <c r="F27" s="79">
        <v>3680</v>
      </c>
      <c r="G27" s="17">
        <v>2578</v>
      </c>
      <c r="H27" s="17">
        <v>4117</v>
      </c>
      <c r="I27" s="17">
        <v>3794</v>
      </c>
      <c r="J27" s="17">
        <v>3064</v>
      </c>
      <c r="K27" s="17">
        <v>3054</v>
      </c>
      <c r="L27" s="17">
        <v>3211</v>
      </c>
      <c r="M27" s="17">
        <v>2728</v>
      </c>
      <c r="N27" s="17">
        <v>2756</v>
      </c>
      <c r="O27" s="17">
        <v>1868</v>
      </c>
      <c r="P27" s="100">
        <f t="shared" si="0"/>
        <v>-0.49239130434782608</v>
      </c>
      <c r="Q27" s="100">
        <f t="shared" si="1"/>
        <v>-0.38834315651604451</v>
      </c>
      <c r="R27" s="100">
        <f t="shared" si="2"/>
        <v>-0.32220609579100146</v>
      </c>
      <c r="S27" s="102">
        <f t="shared" si="3"/>
        <v>6.8673945810815776E-2</v>
      </c>
    </row>
    <row r="28" spans="1:19" x14ac:dyDescent="0.25">
      <c r="A28" s="79" t="s">
        <v>92</v>
      </c>
      <c r="B28" s="79">
        <v>2435</v>
      </c>
      <c r="C28" s="79">
        <v>3909</v>
      </c>
      <c r="D28" s="79">
        <v>4853</v>
      </c>
      <c r="E28" s="79">
        <v>5199</v>
      </c>
      <c r="F28" s="79">
        <v>4106</v>
      </c>
      <c r="G28" s="17">
        <v>6036</v>
      </c>
      <c r="H28" s="17">
        <v>7223</v>
      </c>
      <c r="I28" s="17">
        <v>7738</v>
      </c>
      <c r="J28" s="17">
        <v>8699</v>
      </c>
      <c r="K28" s="17">
        <v>11324</v>
      </c>
      <c r="L28" s="17">
        <v>16495</v>
      </c>
      <c r="M28" s="17">
        <v>19117</v>
      </c>
      <c r="N28" s="17">
        <v>23066</v>
      </c>
      <c r="O28" s="17">
        <v>22611</v>
      </c>
      <c r="P28" s="100">
        <f t="shared" si="0"/>
        <v>4.506819288845592</v>
      </c>
      <c r="Q28" s="100">
        <f t="shared" si="1"/>
        <v>0.99673260332038149</v>
      </c>
      <c r="R28" s="100">
        <f t="shared" si="2"/>
        <v>-1.9726003641723749E-2</v>
      </c>
      <c r="S28" s="102">
        <f t="shared" si="3"/>
        <v>0.83125620381603615</v>
      </c>
    </row>
    <row r="29" spans="1:19" x14ac:dyDescent="0.25">
      <c r="A29" s="5" t="s">
        <v>4</v>
      </c>
      <c r="B29" s="5">
        <v>5016</v>
      </c>
      <c r="C29" s="5">
        <v>7654</v>
      </c>
      <c r="D29" s="5">
        <v>8783</v>
      </c>
      <c r="E29" s="5">
        <v>8853</v>
      </c>
      <c r="F29" s="5">
        <v>8730</v>
      </c>
      <c r="G29" s="16">
        <v>9690</v>
      </c>
      <c r="H29" s="16">
        <v>12575</v>
      </c>
      <c r="I29" s="16">
        <v>12895</v>
      </c>
      <c r="J29" s="16">
        <v>13515</v>
      </c>
      <c r="K29" s="16">
        <v>18951</v>
      </c>
      <c r="L29" s="16">
        <v>22612</v>
      </c>
      <c r="M29" s="16">
        <v>24940</v>
      </c>
      <c r="N29" s="16">
        <v>29341</v>
      </c>
      <c r="O29" s="16">
        <v>27201</v>
      </c>
      <c r="P29" s="77">
        <f t="shared" si="0"/>
        <v>2.1158075601374571</v>
      </c>
      <c r="Q29" s="77">
        <f t="shared" si="1"/>
        <v>0.43533322779800537</v>
      </c>
      <c r="R29" s="101">
        <f t="shared" si="2"/>
        <v>-7.2935482771548349E-2</v>
      </c>
      <c r="S29" s="15">
        <f t="shared" si="3"/>
        <v>1</v>
      </c>
    </row>
    <row r="30" spans="1:19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</row>
    <row r="31" spans="1:19" ht="15.75" x14ac:dyDescent="0.25">
      <c r="A31" s="38" t="s">
        <v>426</v>
      </c>
      <c r="B31" s="38"/>
      <c r="C31" s="38"/>
      <c r="D31" s="38"/>
      <c r="E31" s="38"/>
      <c r="F31" s="38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</row>
    <row r="32" spans="1:19" ht="25.5" customHeight="1" x14ac:dyDescent="0.25">
      <c r="A32" s="82" t="s">
        <v>90</v>
      </c>
      <c r="B32" s="3">
        <v>2007</v>
      </c>
      <c r="C32" s="3">
        <v>2008</v>
      </c>
      <c r="D32" s="3">
        <v>2009</v>
      </c>
      <c r="E32" s="3">
        <v>2010</v>
      </c>
      <c r="F32" s="3">
        <v>2011</v>
      </c>
      <c r="G32" s="3">
        <v>2012</v>
      </c>
      <c r="H32" s="3">
        <v>2013</v>
      </c>
      <c r="I32" s="3">
        <v>2014</v>
      </c>
      <c r="J32" s="3">
        <v>2015</v>
      </c>
      <c r="K32" s="3">
        <v>2016</v>
      </c>
      <c r="L32" s="3">
        <v>2017</v>
      </c>
      <c r="M32" s="3">
        <v>2018</v>
      </c>
      <c r="N32" s="3">
        <v>2019</v>
      </c>
      <c r="O32" s="3">
        <v>2020</v>
      </c>
      <c r="P32" s="12" t="s">
        <v>427</v>
      </c>
      <c r="Q32" s="12" t="s">
        <v>428</v>
      </c>
      <c r="R32" s="12" t="s">
        <v>429</v>
      </c>
      <c r="S32" s="12" t="s">
        <v>430</v>
      </c>
    </row>
    <row r="33" spans="1:19" x14ac:dyDescent="0.25">
      <c r="A33" s="5" t="s">
        <v>214</v>
      </c>
      <c r="B33" s="5">
        <f>SUM(B34:B36)</f>
        <v>3131</v>
      </c>
      <c r="C33" s="5">
        <f t="shared" ref="C33:O33" si="4">SUM(C34:C36)</f>
        <v>5015</v>
      </c>
      <c r="D33" s="5">
        <f t="shared" si="4"/>
        <v>5552</v>
      </c>
      <c r="E33" s="5">
        <f t="shared" si="4"/>
        <v>5303</v>
      </c>
      <c r="F33" s="5">
        <f t="shared" si="4"/>
        <v>5576</v>
      </c>
      <c r="G33" s="5">
        <f t="shared" si="4"/>
        <v>5877</v>
      </c>
      <c r="H33" s="5">
        <f t="shared" si="4"/>
        <v>7815</v>
      </c>
      <c r="I33" s="5">
        <f t="shared" si="4"/>
        <v>8130</v>
      </c>
      <c r="J33" s="5">
        <f t="shared" si="4"/>
        <v>8287</v>
      </c>
      <c r="K33" s="5">
        <f t="shared" si="4"/>
        <v>11663</v>
      </c>
      <c r="L33" s="5">
        <f t="shared" si="4"/>
        <v>14329</v>
      </c>
      <c r="M33" s="5">
        <f t="shared" si="4"/>
        <v>15187</v>
      </c>
      <c r="N33" s="5">
        <f t="shared" si="4"/>
        <v>17483</v>
      </c>
      <c r="O33" s="5">
        <f t="shared" si="4"/>
        <v>15974</v>
      </c>
      <c r="P33" s="101">
        <f t="shared" ref="P33:P41" si="5">(O33-F33)/F33</f>
        <v>1.8647776183644189</v>
      </c>
      <c r="Q33" s="101">
        <f t="shared" ref="Q33:Q41" si="6">(O33-K33)/K33</f>
        <v>0.36963045528594701</v>
      </c>
      <c r="R33" s="101">
        <f t="shared" ref="R33:R41" si="7">(O33-N33)/N33</f>
        <v>-8.6312417777269348E-2</v>
      </c>
      <c r="S33" s="103">
        <f>O33/O$9</f>
        <v>0.58725782140362481</v>
      </c>
    </row>
    <row r="34" spans="1:19" x14ac:dyDescent="0.25">
      <c r="A34" s="79" t="s">
        <v>91</v>
      </c>
      <c r="B34" s="79">
        <v>376</v>
      </c>
      <c r="C34" s="79">
        <v>513</v>
      </c>
      <c r="D34" s="79">
        <v>448</v>
      </c>
      <c r="E34" s="79">
        <v>463</v>
      </c>
      <c r="F34" s="79">
        <v>456</v>
      </c>
      <c r="G34" s="23">
        <v>500</v>
      </c>
      <c r="H34" s="23">
        <v>607</v>
      </c>
      <c r="I34" s="23">
        <v>670</v>
      </c>
      <c r="J34" s="23">
        <v>741</v>
      </c>
      <c r="K34" s="23">
        <v>980</v>
      </c>
      <c r="L34" s="23">
        <v>936</v>
      </c>
      <c r="M34" s="23">
        <v>1096</v>
      </c>
      <c r="N34" s="23">
        <v>1106</v>
      </c>
      <c r="O34" s="23">
        <v>805</v>
      </c>
      <c r="P34" s="100">
        <f t="shared" si="5"/>
        <v>0.76535087719298245</v>
      </c>
      <c r="Q34" s="100">
        <f t="shared" si="6"/>
        <v>-0.17857142857142858</v>
      </c>
      <c r="R34" s="100">
        <f t="shared" si="7"/>
        <v>-0.27215189873417722</v>
      </c>
      <c r="S34" s="102">
        <f t="shared" ref="S34:S41" si="8">O34/O$9</f>
        <v>2.9594500202198448E-2</v>
      </c>
    </row>
    <row r="35" spans="1:19" x14ac:dyDescent="0.25">
      <c r="A35" s="79" t="s">
        <v>3</v>
      </c>
      <c r="B35" s="79">
        <v>1328</v>
      </c>
      <c r="C35" s="79">
        <v>2280</v>
      </c>
      <c r="D35" s="79">
        <v>2339</v>
      </c>
      <c r="E35" s="79">
        <v>1994</v>
      </c>
      <c r="F35" s="79">
        <v>2818</v>
      </c>
      <c r="G35" s="23">
        <v>2007</v>
      </c>
      <c r="H35" s="23">
        <v>3200</v>
      </c>
      <c r="I35" s="23">
        <v>2965</v>
      </c>
      <c r="J35" s="23">
        <v>2312</v>
      </c>
      <c r="K35" s="23">
        <v>4072</v>
      </c>
      <c r="L35" s="23">
        <v>3205</v>
      </c>
      <c r="M35" s="23">
        <v>2715</v>
      </c>
      <c r="N35" s="23">
        <v>2895</v>
      </c>
      <c r="O35" s="23">
        <v>2130</v>
      </c>
      <c r="P35" s="100">
        <f t="shared" si="5"/>
        <v>-0.24414478353442157</v>
      </c>
      <c r="Q35" s="100">
        <f t="shared" si="6"/>
        <v>-0.4769155206286837</v>
      </c>
      <c r="R35" s="100">
        <f t="shared" si="7"/>
        <v>-0.26424870466321243</v>
      </c>
      <c r="S35" s="102">
        <f t="shared" si="8"/>
        <v>7.8305944634388447E-2</v>
      </c>
    </row>
    <row r="36" spans="1:19" x14ac:dyDescent="0.25">
      <c r="A36" s="79" t="s">
        <v>92</v>
      </c>
      <c r="B36" s="79">
        <v>1427</v>
      </c>
      <c r="C36" s="79">
        <v>2222</v>
      </c>
      <c r="D36" s="79">
        <v>2765</v>
      </c>
      <c r="E36" s="79">
        <v>2846</v>
      </c>
      <c r="F36" s="79">
        <v>2302</v>
      </c>
      <c r="G36" s="23">
        <v>3370</v>
      </c>
      <c r="H36" s="23">
        <v>4008</v>
      </c>
      <c r="I36" s="23">
        <v>4495</v>
      </c>
      <c r="J36" s="23">
        <v>5234</v>
      </c>
      <c r="K36" s="23">
        <v>6611</v>
      </c>
      <c r="L36" s="23">
        <v>10188</v>
      </c>
      <c r="M36" s="23">
        <v>11376</v>
      </c>
      <c r="N36" s="23">
        <v>13482</v>
      </c>
      <c r="O36" s="23">
        <v>13039</v>
      </c>
      <c r="P36" s="100">
        <f t="shared" si="5"/>
        <v>4.664205039096438</v>
      </c>
      <c r="Q36" s="100">
        <f t="shared" si="6"/>
        <v>0.97231886250189081</v>
      </c>
      <c r="R36" s="100">
        <f t="shared" si="7"/>
        <v>-3.2858626316570244E-2</v>
      </c>
      <c r="S36" s="102">
        <f t="shared" si="8"/>
        <v>0.47935737656703797</v>
      </c>
    </row>
    <row r="37" spans="1:19" x14ac:dyDescent="0.25">
      <c r="A37" s="5" t="s">
        <v>215</v>
      </c>
      <c r="B37" s="5">
        <f>SUM(B38:B40)</f>
        <v>1885</v>
      </c>
      <c r="C37" s="5">
        <f t="shared" ref="C37:O37" si="9">SUM(C38:C40)</f>
        <v>2639</v>
      </c>
      <c r="D37" s="5">
        <f t="shared" si="9"/>
        <v>3231</v>
      </c>
      <c r="E37" s="5">
        <f t="shared" si="9"/>
        <v>3550</v>
      </c>
      <c r="F37" s="5">
        <f t="shared" si="9"/>
        <v>3154</v>
      </c>
      <c r="G37" s="5">
        <f t="shared" si="9"/>
        <v>3813</v>
      </c>
      <c r="H37" s="5">
        <f t="shared" si="9"/>
        <v>4760</v>
      </c>
      <c r="I37" s="5">
        <f t="shared" si="9"/>
        <v>4765</v>
      </c>
      <c r="J37" s="5">
        <f t="shared" si="9"/>
        <v>5228</v>
      </c>
      <c r="K37" s="5">
        <f t="shared" si="9"/>
        <v>7288</v>
      </c>
      <c r="L37" s="5">
        <f t="shared" si="9"/>
        <v>8283</v>
      </c>
      <c r="M37" s="5">
        <f t="shared" si="9"/>
        <v>9753</v>
      </c>
      <c r="N37" s="5">
        <f t="shared" si="9"/>
        <v>11858</v>
      </c>
      <c r="O37" s="5">
        <f t="shared" si="9"/>
        <v>11227</v>
      </c>
      <c r="P37" s="101">
        <f t="shared" si="5"/>
        <v>2.5596068484464172</v>
      </c>
      <c r="Q37" s="101">
        <f t="shared" si="6"/>
        <v>0.54047749725576288</v>
      </c>
      <c r="R37" s="101">
        <f t="shared" si="7"/>
        <v>-5.3213020745488275E-2</v>
      </c>
      <c r="S37" s="103">
        <f t="shared" si="8"/>
        <v>0.41274217859637513</v>
      </c>
    </row>
    <row r="38" spans="1:19" x14ac:dyDescent="0.25">
      <c r="A38" s="79" t="s">
        <v>91</v>
      </c>
      <c r="B38" s="79">
        <v>440</v>
      </c>
      <c r="C38" s="79">
        <v>399</v>
      </c>
      <c r="D38" s="79">
        <v>408</v>
      </c>
      <c r="E38" s="79">
        <v>516</v>
      </c>
      <c r="F38" s="79">
        <v>475</v>
      </c>
      <c r="G38" s="23">
        <v>568</v>
      </c>
      <c r="H38" s="23">
        <v>613</v>
      </c>
      <c r="I38" s="23">
        <v>672</v>
      </c>
      <c r="J38" s="23">
        <v>755</v>
      </c>
      <c r="K38" s="23">
        <v>943</v>
      </c>
      <c r="L38" s="23">
        <v>797</v>
      </c>
      <c r="M38" s="23">
        <v>1116</v>
      </c>
      <c r="N38" s="23">
        <v>993</v>
      </c>
      <c r="O38" s="23">
        <v>847</v>
      </c>
      <c r="P38" s="100">
        <f t="shared" si="5"/>
        <v>0.78315789473684205</v>
      </c>
      <c r="Q38" s="100">
        <f t="shared" si="6"/>
        <v>-0.10180275715800637</v>
      </c>
      <c r="R38" s="100">
        <f t="shared" si="7"/>
        <v>-0.14702920443101711</v>
      </c>
      <c r="S38" s="102">
        <f t="shared" si="8"/>
        <v>3.1138561082313151E-2</v>
      </c>
    </row>
    <row r="39" spans="1:19" x14ac:dyDescent="0.25">
      <c r="A39" s="79" t="s">
        <v>3</v>
      </c>
      <c r="B39" s="79">
        <v>437</v>
      </c>
      <c r="C39" s="79">
        <v>553</v>
      </c>
      <c r="D39" s="79">
        <v>725</v>
      </c>
      <c r="E39" s="79">
        <v>670</v>
      </c>
      <c r="F39" s="79">
        <v>862</v>
      </c>
      <c r="G39" s="23">
        <v>571</v>
      </c>
      <c r="H39" s="23">
        <v>917</v>
      </c>
      <c r="I39" s="23">
        <v>848</v>
      </c>
      <c r="J39" s="23">
        <v>881</v>
      </c>
      <c r="K39" s="23">
        <v>1249</v>
      </c>
      <c r="L39" s="23">
        <v>939</v>
      </c>
      <c r="M39" s="23">
        <v>778</v>
      </c>
      <c r="N39" s="23">
        <v>906</v>
      </c>
      <c r="O39" s="23">
        <v>484</v>
      </c>
      <c r="P39" s="100">
        <f t="shared" si="5"/>
        <v>-0.43851508120649652</v>
      </c>
      <c r="Q39" s="100">
        <f t="shared" si="6"/>
        <v>-0.61248999199359488</v>
      </c>
      <c r="R39" s="100">
        <f t="shared" si="7"/>
        <v>-0.46578366445916114</v>
      </c>
      <c r="S39" s="102">
        <f t="shared" si="8"/>
        <v>1.7793463475607514E-2</v>
      </c>
    </row>
    <row r="40" spans="1:19" x14ac:dyDescent="0.25">
      <c r="A40" s="79" t="s">
        <v>92</v>
      </c>
      <c r="B40" s="79">
        <v>1008</v>
      </c>
      <c r="C40" s="79">
        <v>1687</v>
      </c>
      <c r="D40" s="79">
        <v>2098</v>
      </c>
      <c r="E40" s="79">
        <v>2364</v>
      </c>
      <c r="F40" s="79">
        <v>1817</v>
      </c>
      <c r="G40" s="23">
        <v>2674</v>
      </c>
      <c r="H40" s="23">
        <v>3230</v>
      </c>
      <c r="I40" s="23">
        <v>3245</v>
      </c>
      <c r="J40" s="23">
        <v>3592</v>
      </c>
      <c r="K40" s="23">
        <v>5096</v>
      </c>
      <c r="L40" s="23">
        <v>6547</v>
      </c>
      <c r="M40" s="23">
        <v>7859</v>
      </c>
      <c r="N40" s="23">
        <v>9959</v>
      </c>
      <c r="O40" s="23">
        <v>9896</v>
      </c>
      <c r="P40" s="100">
        <f t="shared" si="5"/>
        <v>4.446340121078701</v>
      </c>
      <c r="Q40" s="100">
        <f t="shared" si="6"/>
        <v>0.9419152276295133</v>
      </c>
      <c r="R40" s="100">
        <f t="shared" si="7"/>
        <v>-6.3259363389898586E-3</v>
      </c>
      <c r="S40" s="102">
        <f t="shared" si="8"/>
        <v>0.36381015403845446</v>
      </c>
    </row>
    <row r="41" spans="1:19" x14ac:dyDescent="0.25">
      <c r="A41" s="5" t="s">
        <v>4</v>
      </c>
      <c r="B41" s="5">
        <f>B33+B37</f>
        <v>5016</v>
      </c>
      <c r="C41" s="5">
        <f t="shared" ref="C41:O41" si="10">C33+C37</f>
        <v>7654</v>
      </c>
      <c r="D41" s="5">
        <f t="shared" si="10"/>
        <v>8783</v>
      </c>
      <c r="E41" s="5">
        <f t="shared" si="10"/>
        <v>8853</v>
      </c>
      <c r="F41" s="5">
        <f t="shared" si="10"/>
        <v>8730</v>
      </c>
      <c r="G41" s="5">
        <f t="shared" si="10"/>
        <v>9690</v>
      </c>
      <c r="H41" s="5">
        <f t="shared" si="10"/>
        <v>12575</v>
      </c>
      <c r="I41" s="5">
        <f t="shared" si="10"/>
        <v>12895</v>
      </c>
      <c r="J41" s="5">
        <f t="shared" si="10"/>
        <v>13515</v>
      </c>
      <c r="K41" s="5">
        <f t="shared" si="10"/>
        <v>18951</v>
      </c>
      <c r="L41" s="5">
        <f t="shared" si="10"/>
        <v>22612</v>
      </c>
      <c r="M41" s="5">
        <f t="shared" si="10"/>
        <v>24940</v>
      </c>
      <c r="N41" s="5">
        <f t="shared" si="10"/>
        <v>29341</v>
      </c>
      <c r="O41" s="5">
        <f t="shared" si="10"/>
        <v>27201</v>
      </c>
      <c r="P41" s="77">
        <f t="shared" si="5"/>
        <v>2.1158075601374571</v>
      </c>
      <c r="Q41" s="77">
        <f t="shared" si="6"/>
        <v>0.43533322779800537</v>
      </c>
      <c r="R41" s="101">
        <f t="shared" si="7"/>
        <v>-7.2935482771548349E-2</v>
      </c>
      <c r="S41" s="15">
        <f t="shared" si="8"/>
        <v>1</v>
      </c>
    </row>
    <row r="42" spans="1:19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</row>
    <row r="43" spans="1:19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</row>
    <row r="44" spans="1:19" x14ac:dyDescent="0.25">
      <c r="A44" s="65" t="s">
        <v>246</v>
      </c>
      <c r="B44" s="65"/>
      <c r="C44" s="65"/>
      <c r="D44" s="65"/>
      <c r="E44" s="65"/>
      <c r="F44" s="65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</row>
    <row r="45" spans="1:19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</row>
    <row r="46" spans="1:19" x14ac:dyDescent="0.25">
      <c r="A46" s="66" t="s">
        <v>21</v>
      </c>
      <c r="B46" s="66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</row>
    <row r="47" spans="1:19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</row>
    <row r="48" spans="1:19" x14ac:dyDescent="0.25"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</row>
    <row r="49" spans="3:19" x14ac:dyDescent="0.25"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</row>
    <row r="50" spans="3:19" x14ac:dyDescent="0.25"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</row>
    <row r="51" spans="3:19" x14ac:dyDescent="0.25"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</row>
    <row r="52" spans="3:19" x14ac:dyDescent="0.25"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</row>
  </sheetData>
  <hyperlinks>
    <hyperlink ref="A46" location="Indice!A5" display="Volver al índice"/>
  </hyperlinks>
  <pageMargins left="0.7" right="0.7" top="0.75" bottom="0.75" header="0.3" footer="0.3"/>
  <pageSetup orientation="portrait" verticalDpi="300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2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5"/>
  <cols>
    <col min="1" max="1" width="55.28515625" style="1" customWidth="1"/>
    <col min="2" max="3" width="14" style="41" customWidth="1"/>
    <col min="4" max="4" width="13.140625" style="41" customWidth="1"/>
    <col min="5" max="5" width="16.140625" style="41" customWidth="1"/>
    <col min="6" max="16384" width="10.85546875" style="2"/>
  </cols>
  <sheetData>
    <row r="1" spans="1:5" ht="21" x14ac:dyDescent="0.25">
      <c r="A1" s="62" t="s">
        <v>336</v>
      </c>
      <c r="B1" s="42"/>
      <c r="C1" s="42"/>
      <c r="D1" s="42"/>
      <c r="E1" s="42"/>
    </row>
    <row r="2" spans="1:5" ht="27" customHeight="1" x14ac:dyDescent="0.25">
      <c r="A2" s="35"/>
      <c r="B2" s="42"/>
      <c r="C2" s="42"/>
      <c r="D2" s="42"/>
      <c r="E2" s="42"/>
    </row>
    <row r="3" spans="1:5" x14ac:dyDescent="0.25">
      <c r="A3" s="37"/>
      <c r="B3" s="42"/>
      <c r="C3" s="42"/>
      <c r="D3" s="42"/>
      <c r="E3" s="42"/>
    </row>
    <row r="4" spans="1:5" ht="25.5" x14ac:dyDescent="0.25">
      <c r="A4" s="128" t="s">
        <v>96</v>
      </c>
      <c r="B4" s="48" t="s">
        <v>368</v>
      </c>
      <c r="C4" s="48" t="s">
        <v>369</v>
      </c>
      <c r="D4" s="48" t="s">
        <v>370</v>
      </c>
      <c r="E4" s="48" t="s">
        <v>371</v>
      </c>
    </row>
    <row r="5" spans="1:5" x14ac:dyDescent="0.25">
      <c r="A5" s="4" t="s">
        <v>278</v>
      </c>
      <c r="B5" s="39">
        <v>1</v>
      </c>
      <c r="C5" s="39"/>
      <c r="D5" s="39"/>
      <c r="E5" s="40">
        <v>1</v>
      </c>
    </row>
    <row r="6" spans="1:5" x14ac:dyDescent="0.25">
      <c r="A6" s="4" t="s">
        <v>97</v>
      </c>
      <c r="B6" s="39">
        <v>12</v>
      </c>
      <c r="C6" s="39"/>
      <c r="D6" s="39"/>
      <c r="E6" s="40">
        <v>12</v>
      </c>
    </row>
    <row r="7" spans="1:5" x14ac:dyDescent="0.25">
      <c r="A7" s="4" t="s">
        <v>357</v>
      </c>
      <c r="B7" s="39">
        <v>2</v>
      </c>
      <c r="C7" s="39"/>
      <c r="D7" s="39"/>
      <c r="E7" s="40">
        <v>2</v>
      </c>
    </row>
    <row r="8" spans="1:5" x14ac:dyDescent="0.25">
      <c r="A8" s="4" t="s">
        <v>98</v>
      </c>
      <c r="B8" s="39">
        <v>290</v>
      </c>
      <c r="C8" s="39"/>
      <c r="D8" s="39"/>
      <c r="E8" s="40">
        <v>290</v>
      </c>
    </row>
    <row r="9" spans="1:5" x14ac:dyDescent="0.25">
      <c r="A9" s="4" t="s">
        <v>99</v>
      </c>
      <c r="B9" s="39">
        <v>540</v>
      </c>
      <c r="C9" s="39"/>
      <c r="D9" s="39"/>
      <c r="E9" s="40">
        <v>540</v>
      </c>
    </row>
    <row r="10" spans="1:5" x14ac:dyDescent="0.25">
      <c r="A10" s="4" t="s">
        <v>100</v>
      </c>
      <c r="B10" s="39">
        <v>21</v>
      </c>
      <c r="C10" s="39"/>
      <c r="D10" s="39"/>
      <c r="E10" s="40">
        <v>21</v>
      </c>
    </row>
    <row r="11" spans="1:5" x14ac:dyDescent="0.25">
      <c r="A11" s="4" t="s">
        <v>101</v>
      </c>
      <c r="B11" s="39">
        <v>557</v>
      </c>
      <c r="C11" s="39"/>
      <c r="D11" s="39"/>
      <c r="E11" s="40">
        <v>557</v>
      </c>
    </row>
    <row r="12" spans="1:5" x14ac:dyDescent="0.25">
      <c r="A12" s="4" t="s">
        <v>279</v>
      </c>
      <c r="B12" s="39">
        <v>10</v>
      </c>
      <c r="C12" s="39"/>
      <c r="D12" s="39"/>
      <c r="E12" s="40">
        <v>10</v>
      </c>
    </row>
    <row r="13" spans="1:5" x14ac:dyDescent="0.25">
      <c r="A13" s="4" t="s">
        <v>102</v>
      </c>
      <c r="B13" s="39">
        <v>3</v>
      </c>
      <c r="C13" s="39"/>
      <c r="D13" s="39">
        <v>3</v>
      </c>
      <c r="E13" s="40">
        <v>6</v>
      </c>
    </row>
    <row r="14" spans="1:5" x14ac:dyDescent="0.25">
      <c r="A14" s="4" t="s">
        <v>103</v>
      </c>
      <c r="B14" s="39">
        <v>1625</v>
      </c>
      <c r="C14" s="39"/>
      <c r="D14" s="39"/>
      <c r="E14" s="40">
        <v>1625</v>
      </c>
    </row>
    <row r="15" spans="1:5" x14ac:dyDescent="0.25">
      <c r="A15" s="4" t="s">
        <v>358</v>
      </c>
      <c r="B15" s="39">
        <v>12</v>
      </c>
      <c r="C15" s="39"/>
      <c r="D15" s="39"/>
      <c r="E15" s="40">
        <v>12</v>
      </c>
    </row>
    <row r="16" spans="1:5" x14ac:dyDescent="0.25">
      <c r="A16" s="4" t="s">
        <v>359</v>
      </c>
      <c r="B16" s="39">
        <v>10</v>
      </c>
      <c r="C16" s="39"/>
      <c r="D16" s="39"/>
      <c r="E16" s="40">
        <v>10</v>
      </c>
    </row>
    <row r="17" spans="1:5" x14ac:dyDescent="0.25">
      <c r="A17" s="4" t="s">
        <v>287</v>
      </c>
      <c r="B17" s="39">
        <v>15</v>
      </c>
      <c r="C17" s="39"/>
      <c r="D17" s="39"/>
      <c r="E17" s="40">
        <v>15</v>
      </c>
    </row>
    <row r="18" spans="1:5" x14ac:dyDescent="0.25">
      <c r="A18" s="4" t="s">
        <v>360</v>
      </c>
      <c r="B18" s="39">
        <v>57</v>
      </c>
      <c r="C18" s="39"/>
      <c r="D18" s="39"/>
      <c r="E18" s="40">
        <v>57</v>
      </c>
    </row>
    <row r="19" spans="1:5" x14ac:dyDescent="0.25">
      <c r="A19" s="4" t="s">
        <v>104</v>
      </c>
      <c r="B19" s="39">
        <v>699</v>
      </c>
      <c r="C19" s="39"/>
      <c r="D19" s="39"/>
      <c r="E19" s="40">
        <v>699</v>
      </c>
    </row>
    <row r="20" spans="1:5" x14ac:dyDescent="0.25">
      <c r="A20" s="4" t="s">
        <v>105</v>
      </c>
      <c r="B20" s="39">
        <v>208</v>
      </c>
      <c r="C20" s="39"/>
      <c r="D20" s="39"/>
      <c r="E20" s="40">
        <v>208</v>
      </c>
    </row>
    <row r="21" spans="1:5" x14ac:dyDescent="0.25">
      <c r="A21" s="4" t="s">
        <v>106</v>
      </c>
      <c r="B21" s="39">
        <v>1</v>
      </c>
      <c r="C21" s="39"/>
      <c r="D21" s="39"/>
      <c r="E21" s="40">
        <v>1</v>
      </c>
    </row>
    <row r="22" spans="1:5" x14ac:dyDescent="0.25">
      <c r="A22" s="4" t="s">
        <v>107</v>
      </c>
      <c r="B22" s="39">
        <v>101</v>
      </c>
      <c r="C22" s="39"/>
      <c r="D22" s="39"/>
      <c r="E22" s="40">
        <v>101</v>
      </c>
    </row>
    <row r="23" spans="1:5" x14ac:dyDescent="0.25">
      <c r="A23" s="4" t="s">
        <v>280</v>
      </c>
      <c r="B23" s="39">
        <v>9</v>
      </c>
      <c r="C23" s="39"/>
      <c r="D23" s="39"/>
      <c r="E23" s="40">
        <v>9</v>
      </c>
    </row>
    <row r="24" spans="1:5" x14ac:dyDescent="0.25">
      <c r="A24" s="4" t="s">
        <v>361</v>
      </c>
      <c r="B24" s="39">
        <v>246</v>
      </c>
      <c r="C24" s="39"/>
      <c r="D24" s="39"/>
      <c r="E24" s="40">
        <v>246</v>
      </c>
    </row>
    <row r="25" spans="1:5" x14ac:dyDescent="0.25">
      <c r="A25" s="4" t="s">
        <v>108</v>
      </c>
      <c r="B25" s="39">
        <v>7730</v>
      </c>
      <c r="C25" s="39"/>
      <c r="D25" s="39"/>
      <c r="E25" s="40">
        <v>7730</v>
      </c>
    </row>
    <row r="26" spans="1:5" x14ac:dyDescent="0.25">
      <c r="A26" s="4" t="s">
        <v>109</v>
      </c>
      <c r="B26" s="39">
        <v>235</v>
      </c>
      <c r="C26" s="39"/>
      <c r="D26" s="39"/>
      <c r="E26" s="40">
        <v>235</v>
      </c>
    </row>
    <row r="27" spans="1:5" x14ac:dyDescent="0.25">
      <c r="A27" s="4" t="s">
        <v>288</v>
      </c>
      <c r="B27" s="39">
        <v>2</v>
      </c>
      <c r="C27" s="39"/>
      <c r="D27" s="39"/>
      <c r="E27" s="40">
        <v>2</v>
      </c>
    </row>
    <row r="28" spans="1:5" x14ac:dyDescent="0.25">
      <c r="A28" s="4" t="s">
        <v>110</v>
      </c>
      <c r="B28" s="39">
        <v>74</v>
      </c>
      <c r="C28" s="39"/>
      <c r="D28" s="39"/>
      <c r="E28" s="40">
        <v>74</v>
      </c>
    </row>
    <row r="29" spans="1:5" x14ac:dyDescent="0.25">
      <c r="A29" s="4" t="s">
        <v>111</v>
      </c>
      <c r="B29" s="39">
        <v>213</v>
      </c>
      <c r="C29" s="39"/>
      <c r="D29" s="39"/>
      <c r="E29" s="40">
        <v>213</v>
      </c>
    </row>
    <row r="30" spans="1:5" x14ac:dyDescent="0.25">
      <c r="A30" s="4" t="s">
        <v>112</v>
      </c>
      <c r="B30" s="39">
        <v>99</v>
      </c>
      <c r="C30" s="39"/>
      <c r="D30" s="39"/>
      <c r="E30" s="40">
        <v>99</v>
      </c>
    </row>
    <row r="31" spans="1:5" x14ac:dyDescent="0.25">
      <c r="A31" s="4" t="s">
        <v>113</v>
      </c>
      <c r="B31" s="39">
        <v>124</v>
      </c>
      <c r="C31" s="39"/>
      <c r="D31" s="39"/>
      <c r="E31" s="40">
        <v>124</v>
      </c>
    </row>
    <row r="32" spans="1:5" x14ac:dyDescent="0.25">
      <c r="A32" s="4" t="s">
        <v>114</v>
      </c>
      <c r="B32" s="39">
        <v>135</v>
      </c>
      <c r="C32" s="39"/>
      <c r="D32" s="39"/>
      <c r="E32" s="40">
        <v>135</v>
      </c>
    </row>
    <row r="33" spans="1:5" x14ac:dyDescent="0.25">
      <c r="A33" s="4" t="s">
        <v>115</v>
      </c>
      <c r="B33" s="39">
        <v>674</v>
      </c>
      <c r="C33" s="39"/>
      <c r="D33" s="39"/>
      <c r="E33" s="40">
        <v>674</v>
      </c>
    </row>
    <row r="34" spans="1:5" x14ac:dyDescent="0.25">
      <c r="A34" s="4" t="s">
        <v>116</v>
      </c>
      <c r="B34" s="39">
        <v>420</v>
      </c>
      <c r="C34" s="39"/>
      <c r="D34" s="39"/>
      <c r="E34" s="40">
        <v>420</v>
      </c>
    </row>
    <row r="35" spans="1:5" x14ac:dyDescent="0.25">
      <c r="A35" s="4" t="s">
        <v>117</v>
      </c>
      <c r="B35" s="39">
        <v>164</v>
      </c>
      <c r="C35" s="39"/>
      <c r="D35" s="39"/>
      <c r="E35" s="40">
        <v>164</v>
      </c>
    </row>
    <row r="36" spans="1:5" x14ac:dyDescent="0.25">
      <c r="A36" s="4" t="s">
        <v>118</v>
      </c>
      <c r="B36" s="39">
        <v>67</v>
      </c>
      <c r="C36" s="39"/>
      <c r="D36" s="39"/>
      <c r="E36" s="40">
        <v>67</v>
      </c>
    </row>
    <row r="37" spans="1:5" x14ac:dyDescent="0.25">
      <c r="A37" s="4" t="s">
        <v>119</v>
      </c>
      <c r="B37" s="39">
        <v>288</v>
      </c>
      <c r="C37" s="39"/>
      <c r="D37" s="39"/>
      <c r="E37" s="40">
        <v>288</v>
      </c>
    </row>
    <row r="38" spans="1:5" x14ac:dyDescent="0.25">
      <c r="A38" s="4" t="s">
        <v>120</v>
      </c>
      <c r="B38" s="39">
        <v>51</v>
      </c>
      <c r="C38" s="39"/>
      <c r="D38" s="39"/>
      <c r="E38" s="40">
        <v>51</v>
      </c>
    </row>
    <row r="39" spans="1:5" x14ac:dyDescent="0.25">
      <c r="A39" s="4" t="s">
        <v>121</v>
      </c>
      <c r="B39" s="39">
        <v>4</v>
      </c>
      <c r="C39" s="39"/>
      <c r="D39" s="39"/>
      <c r="E39" s="40">
        <v>4</v>
      </c>
    </row>
    <row r="40" spans="1:5" x14ac:dyDescent="0.25">
      <c r="A40" s="4" t="s">
        <v>281</v>
      </c>
      <c r="B40" s="39">
        <v>803</v>
      </c>
      <c r="C40" s="39"/>
      <c r="D40" s="39"/>
      <c r="E40" s="40">
        <v>803</v>
      </c>
    </row>
    <row r="41" spans="1:5" x14ac:dyDescent="0.25">
      <c r="A41" s="4" t="s">
        <v>282</v>
      </c>
      <c r="B41" s="39">
        <v>1500</v>
      </c>
      <c r="C41" s="39"/>
      <c r="D41" s="39"/>
      <c r="E41" s="40">
        <v>1500</v>
      </c>
    </row>
    <row r="42" spans="1:5" x14ac:dyDescent="0.25">
      <c r="A42" s="4" t="s">
        <v>122</v>
      </c>
      <c r="B42" s="39">
        <v>5031</v>
      </c>
      <c r="C42" s="39"/>
      <c r="D42" s="39"/>
      <c r="E42" s="40">
        <v>5031</v>
      </c>
    </row>
    <row r="43" spans="1:5" x14ac:dyDescent="0.25">
      <c r="A43" s="4" t="s">
        <v>123</v>
      </c>
      <c r="B43" s="39">
        <v>184</v>
      </c>
      <c r="C43" s="39"/>
      <c r="D43" s="39"/>
      <c r="E43" s="40">
        <v>184</v>
      </c>
    </row>
    <row r="44" spans="1:5" x14ac:dyDescent="0.25">
      <c r="A44" s="4" t="s">
        <v>283</v>
      </c>
      <c r="B44" s="39">
        <v>492</v>
      </c>
      <c r="C44" s="39"/>
      <c r="D44" s="39"/>
      <c r="E44" s="40">
        <v>492</v>
      </c>
    </row>
    <row r="45" spans="1:5" x14ac:dyDescent="0.25">
      <c r="A45" s="4" t="s">
        <v>124</v>
      </c>
      <c r="B45" s="39">
        <v>111</v>
      </c>
      <c r="C45" s="39"/>
      <c r="D45" s="39"/>
      <c r="E45" s="40">
        <v>111</v>
      </c>
    </row>
    <row r="46" spans="1:5" x14ac:dyDescent="0.25">
      <c r="A46" s="4" t="s">
        <v>125</v>
      </c>
      <c r="B46" s="39">
        <v>20551</v>
      </c>
      <c r="C46" s="39"/>
      <c r="D46" s="39"/>
      <c r="E46" s="40">
        <v>20551</v>
      </c>
    </row>
    <row r="47" spans="1:5" x14ac:dyDescent="0.25">
      <c r="A47" s="4" t="s">
        <v>126</v>
      </c>
      <c r="B47" s="39">
        <v>182</v>
      </c>
      <c r="C47" s="39"/>
      <c r="D47" s="39"/>
      <c r="E47" s="40">
        <v>182</v>
      </c>
    </row>
    <row r="48" spans="1:5" x14ac:dyDescent="0.25">
      <c r="A48" s="4" t="s">
        <v>284</v>
      </c>
      <c r="B48" s="39">
        <v>9</v>
      </c>
      <c r="C48" s="39"/>
      <c r="D48" s="39"/>
      <c r="E48" s="40">
        <v>9</v>
      </c>
    </row>
    <row r="49" spans="1:5" x14ac:dyDescent="0.25">
      <c r="A49" s="4" t="s">
        <v>127</v>
      </c>
      <c r="B49" s="39">
        <v>194</v>
      </c>
      <c r="C49" s="39"/>
      <c r="D49" s="39"/>
      <c r="E49" s="40">
        <v>194</v>
      </c>
    </row>
    <row r="50" spans="1:5" x14ac:dyDescent="0.25">
      <c r="A50" s="4" t="s">
        <v>128</v>
      </c>
      <c r="B50" s="39">
        <v>323</v>
      </c>
      <c r="C50" s="39"/>
      <c r="D50" s="39"/>
      <c r="E50" s="40">
        <v>323</v>
      </c>
    </row>
    <row r="51" spans="1:5" x14ac:dyDescent="0.25">
      <c r="A51" s="4" t="s">
        <v>272</v>
      </c>
      <c r="B51" s="39">
        <v>4</v>
      </c>
      <c r="C51" s="39"/>
      <c r="D51" s="39"/>
      <c r="E51" s="40">
        <v>4</v>
      </c>
    </row>
    <row r="52" spans="1:5" x14ac:dyDescent="0.25">
      <c r="A52" s="4" t="s">
        <v>129</v>
      </c>
      <c r="B52" s="39">
        <v>4013</v>
      </c>
      <c r="C52" s="39"/>
      <c r="D52" s="39"/>
      <c r="E52" s="40">
        <v>4013</v>
      </c>
    </row>
    <row r="53" spans="1:5" x14ac:dyDescent="0.25">
      <c r="A53" s="4" t="s">
        <v>130</v>
      </c>
      <c r="B53" s="39">
        <v>28</v>
      </c>
      <c r="C53" s="39"/>
      <c r="D53" s="39"/>
      <c r="E53" s="40">
        <v>28</v>
      </c>
    </row>
    <row r="54" spans="1:5" x14ac:dyDescent="0.25">
      <c r="A54" s="4" t="s">
        <v>131</v>
      </c>
      <c r="B54" s="39">
        <v>249</v>
      </c>
      <c r="C54" s="39"/>
      <c r="D54" s="39"/>
      <c r="E54" s="40">
        <v>249</v>
      </c>
    </row>
    <row r="55" spans="1:5" x14ac:dyDescent="0.25">
      <c r="A55" s="4" t="s">
        <v>132</v>
      </c>
      <c r="B55" s="39">
        <v>1871</v>
      </c>
      <c r="C55" s="39"/>
      <c r="D55" s="39"/>
      <c r="E55" s="40">
        <v>1871</v>
      </c>
    </row>
    <row r="56" spans="1:5" x14ac:dyDescent="0.25">
      <c r="A56" s="4" t="s">
        <v>133</v>
      </c>
      <c r="B56" s="39">
        <v>422</v>
      </c>
      <c r="C56" s="39"/>
      <c r="D56" s="39"/>
      <c r="E56" s="40">
        <v>422</v>
      </c>
    </row>
    <row r="57" spans="1:5" x14ac:dyDescent="0.25">
      <c r="A57" s="4" t="s">
        <v>134</v>
      </c>
      <c r="B57" s="39">
        <v>1718</v>
      </c>
      <c r="C57" s="39"/>
      <c r="D57" s="39"/>
      <c r="E57" s="40">
        <v>1718</v>
      </c>
    </row>
    <row r="58" spans="1:5" x14ac:dyDescent="0.25">
      <c r="A58" s="4" t="s">
        <v>135</v>
      </c>
      <c r="B58" s="39">
        <v>15378</v>
      </c>
      <c r="C58" s="39"/>
      <c r="D58" s="39"/>
      <c r="E58" s="40">
        <v>15378</v>
      </c>
    </row>
    <row r="59" spans="1:5" x14ac:dyDescent="0.25">
      <c r="A59" s="4" t="s">
        <v>136</v>
      </c>
      <c r="B59" s="39">
        <v>80</v>
      </c>
      <c r="C59" s="39"/>
      <c r="D59" s="39"/>
      <c r="E59" s="40">
        <v>80</v>
      </c>
    </row>
    <row r="60" spans="1:5" x14ac:dyDescent="0.25">
      <c r="A60" s="4" t="s">
        <v>273</v>
      </c>
      <c r="B60" s="39">
        <v>10</v>
      </c>
      <c r="C60" s="39"/>
      <c r="D60" s="39"/>
      <c r="E60" s="40">
        <v>10</v>
      </c>
    </row>
    <row r="61" spans="1:5" x14ac:dyDescent="0.25">
      <c r="A61" s="4" t="s">
        <v>137</v>
      </c>
      <c r="B61" s="39">
        <v>63</v>
      </c>
      <c r="C61" s="39"/>
      <c r="D61" s="39"/>
      <c r="E61" s="40">
        <v>63</v>
      </c>
    </row>
    <row r="62" spans="1:5" x14ac:dyDescent="0.25">
      <c r="A62" s="4" t="s">
        <v>289</v>
      </c>
      <c r="B62" s="39">
        <v>14</v>
      </c>
      <c r="C62" s="39"/>
      <c r="D62" s="39"/>
      <c r="E62" s="40">
        <v>14</v>
      </c>
    </row>
    <row r="63" spans="1:5" x14ac:dyDescent="0.25">
      <c r="A63" s="4" t="s">
        <v>138</v>
      </c>
      <c r="B63" s="39">
        <v>10</v>
      </c>
      <c r="C63" s="39"/>
      <c r="D63" s="39"/>
      <c r="E63" s="40">
        <v>10</v>
      </c>
    </row>
    <row r="64" spans="1:5" x14ac:dyDescent="0.25">
      <c r="A64" s="4" t="s">
        <v>139</v>
      </c>
      <c r="B64" s="39">
        <v>673</v>
      </c>
      <c r="C64" s="39"/>
      <c r="D64" s="39"/>
      <c r="E64" s="40">
        <v>673</v>
      </c>
    </row>
    <row r="65" spans="1:5" x14ac:dyDescent="0.25">
      <c r="A65" s="4" t="s">
        <v>140</v>
      </c>
      <c r="B65" s="39">
        <v>3593</v>
      </c>
      <c r="C65" s="39"/>
      <c r="D65" s="39"/>
      <c r="E65" s="40">
        <v>3593</v>
      </c>
    </row>
    <row r="66" spans="1:5" x14ac:dyDescent="0.25">
      <c r="A66" s="4" t="s">
        <v>141</v>
      </c>
      <c r="B66" s="39">
        <v>865</v>
      </c>
      <c r="C66" s="39"/>
      <c r="D66" s="39"/>
      <c r="E66" s="40">
        <v>865</v>
      </c>
    </row>
    <row r="67" spans="1:5" x14ac:dyDescent="0.25">
      <c r="A67" s="4" t="s">
        <v>142</v>
      </c>
      <c r="B67" s="39">
        <v>104</v>
      </c>
      <c r="C67" s="39"/>
      <c r="D67" s="39"/>
      <c r="E67" s="40">
        <v>104</v>
      </c>
    </row>
    <row r="68" spans="1:5" x14ac:dyDescent="0.25">
      <c r="A68" s="4" t="s">
        <v>143</v>
      </c>
      <c r="B68" s="39">
        <v>41</v>
      </c>
      <c r="C68" s="39"/>
      <c r="D68" s="39"/>
      <c r="E68" s="40">
        <v>41</v>
      </c>
    </row>
    <row r="69" spans="1:5" x14ac:dyDescent="0.25">
      <c r="A69" s="4" t="s">
        <v>144</v>
      </c>
      <c r="B69" s="39">
        <v>2329</v>
      </c>
      <c r="C69" s="39"/>
      <c r="D69" s="39"/>
      <c r="E69" s="40">
        <v>2329</v>
      </c>
    </row>
    <row r="70" spans="1:5" x14ac:dyDescent="0.25">
      <c r="A70" s="4" t="s">
        <v>145</v>
      </c>
      <c r="B70" s="39">
        <v>538</v>
      </c>
      <c r="C70" s="39"/>
      <c r="D70" s="39"/>
      <c r="E70" s="40">
        <v>538</v>
      </c>
    </row>
    <row r="71" spans="1:5" x14ac:dyDescent="0.25">
      <c r="A71" s="4" t="s">
        <v>276</v>
      </c>
      <c r="B71" s="39">
        <v>2530</v>
      </c>
      <c r="C71" s="39"/>
      <c r="D71" s="39">
        <v>1067</v>
      </c>
      <c r="E71" s="40">
        <v>3597</v>
      </c>
    </row>
    <row r="72" spans="1:5" x14ac:dyDescent="0.25">
      <c r="A72" s="4" t="s">
        <v>146</v>
      </c>
      <c r="B72" s="39">
        <v>128</v>
      </c>
      <c r="C72" s="39"/>
      <c r="D72" s="39"/>
      <c r="E72" s="40">
        <v>128</v>
      </c>
    </row>
    <row r="73" spans="1:5" x14ac:dyDescent="0.25">
      <c r="A73" s="4" t="s">
        <v>147</v>
      </c>
      <c r="B73" s="39">
        <v>923</v>
      </c>
      <c r="C73" s="39"/>
      <c r="D73" s="39"/>
      <c r="E73" s="40">
        <v>923</v>
      </c>
    </row>
    <row r="74" spans="1:5" x14ac:dyDescent="0.25">
      <c r="A74" s="4" t="s">
        <v>148</v>
      </c>
      <c r="B74" s="39">
        <v>1090</v>
      </c>
      <c r="C74" s="39"/>
      <c r="D74" s="39"/>
      <c r="E74" s="40">
        <v>1090</v>
      </c>
    </row>
    <row r="75" spans="1:5" x14ac:dyDescent="0.25">
      <c r="A75" s="4" t="s">
        <v>362</v>
      </c>
      <c r="B75" s="39">
        <v>64</v>
      </c>
      <c r="C75" s="39"/>
      <c r="D75" s="39"/>
      <c r="E75" s="40">
        <v>64</v>
      </c>
    </row>
    <row r="76" spans="1:5" x14ac:dyDescent="0.25">
      <c r="A76" s="4" t="s">
        <v>149</v>
      </c>
      <c r="B76" s="39">
        <v>560</v>
      </c>
      <c r="C76" s="39"/>
      <c r="D76" s="39"/>
      <c r="E76" s="40">
        <v>560</v>
      </c>
    </row>
    <row r="77" spans="1:5" x14ac:dyDescent="0.25">
      <c r="A77" s="4" t="s">
        <v>150</v>
      </c>
      <c r="B77" s="39">
        <v>4063</v>
      </c>
      <c r="C77" s="39"/>
      <c r="D77" s="39"/>
      <c r="E77" s="40">
        <v>4063</v>
      </c>
    </row>
    <row r="78" spans="1:5" x14ac:dyDescent="0.25">
      <c r="A78" s="4" t="s">
        <v>151</v>
      </c>
      <c r="B78" s="39">
        <v>28</v>
      </c>
      <c r="C78" s="39"/>
      <c r="D78" s="39"/>
      <c r="E78" s="40">
        <v>28</v>
      </c>
    </row>
    <row r="79" spans="1:5" x14ac:dyDescent="0.25">
      <c r="A79" s="4" t="s">
        <v>152</v>
      </c>
      <c r="B79" s="39">
        <v>2839</v>
      </c>
      <c r="C79" s="39">
        <v>1093</v>
      </c>
      <c r="D79" s="39">
        <v>6940</v>
      </c>
      <c r="E79" s="40">
        <v>10872</v>
      </c>
    </row>
    <row r="80" spans="1:5" x14ac:dyDescent="0.25">
      <c r="A80" s="4" t="s">
        <v>153</v>
      </c>
      <c r="B80" s="39">
        <v>2015</v>
      </c>
      <c r="C80" s="39">
        <v>541</v>
      </c>
      <c r="D80" s="39">
        <v>24</v>
      </c>
      <c r="E80" s="40">
        <v>2580</v>
      </c>
    </row>
    <row r="81" spans="1:5" x14ac:dyDescent="0.25">
      <c r="A81" s="4" t="s">
        <v>154</v>
      </c>
      <c r="B81" s="39">
        <v>548</v>
      </c>
      <c r="C81" s="39">
        <v>69</v>
      </c>
      <c r="D81" s="39"/>
      <c r="E81" s="40">
        <v>617</v>
      </c>
    </row>
    <row r="82" spans="1:5" x14ac:dyDescent="0.25">
      <c r="A82" s="4" t="s">
        <v>155</v>
      </c>
      <c r="B82" s="39">
        <v>1434</v>
      </c>
      <c r="C82" s="39">
        <v>1647</v>
      </c>
      <c r="D82" s="39">
        <v>3069</v>
      </c>
      <c r="E82" s="40">
        <v>6150</v>
      </c>
    </row>
    <row r="83" spans="1:5" x14ac:dyDescent="0.25">
      <c r="A83" s="4" t="s">
        <v>156</v>
      </c>
      <c r="B83" s="39">
        <v>228</v>
      </c>
      <c r="C83" s="39">
        <v>19</v>
      </c>
      <c r="D83" s="39"/>
      <c r="E83" s="40">
        <v>247</v>
      </c>
    </row>
    <row r="84" spans="1:5" x14ac:dyDescent="0.25">
      <c r="A84" s="4" t="s">
        <v>157</v>
      </c>
      <c r="B84" s="39">
        <v>110</v>
      </c>
      <c r="C84" s="39">
        <v>22</v>
      </c>
      <c r="D84" s="39">
        <v>1</v>
      </c>
      <c r="E84" s="40">
        <v>133</v>
      </c>
    </row>
    <row r="85" spans="1:5" x14ac:dyDescent="0.25">
      <c r="A85" s="4" t="s">
        <v>158</v>
      </c>
      <c r="B85" s="39">
        <v>5100</v>
      </c>
      <c r="C85" s="39">
        <v>2293</v>
      </c>
      <c r="D85" s="39">
        <v>214</v>
      </c>
      <c r="E85" s="40">
        <v>7607</v>
      </c>
    </row>
    <row r="86" spans="1:5" x14ac:dyDescent="0.25">
      <c r="A86" s="4" t="s">
        <v>159</v>
      </c>
      <c r="B86" s="39">
        <v>2189</v>
      </c>
      <c r="C86" s="39">
        <v>274</v>
      </c>
      <c r="D86" s="39"/>
      <c r="E86" s="40">
        <v>2463</v>
      </c>
    </row>
    <row r="87" spans="1:5" x14ac:dyDescent="0.25">
      <c r="A87" s="4" t="s">
        <v>160</v>
      </c>
      <c r="B87" s="39">
        <v>1177</v>
      </c>
      <c r="C87" s="39">
        <v>168</v>
      </c>
      <c r="D87" s="39">
        <v>147</v>
      </c>
      <c r="E87" s="40">
        <v>1492</v>
      </c>
    </row>
    <row r="88" spans="1:5" x14ac:dyDescent="0.25">
      <c r="A88" s="4" t="s">
        <v>161</v>
      </c>
      <c r="B88" s="39">
        <v>1905</v>
      </c>
      <c r="C88" s="39">
        <v>70</v>
      </c>
      <c r="D88" s="39"/>
      <c r="E88" s="40">
        <v>1975</v>
      </c>
    </row>
    <row r="89" spans="1:5" x14ac:dyDescent="0.25">
      <c r="A89" s="4" t="s">
        <v>162</v>
      </c>
      <c r="B89" s="39">
        <v>564</v>
      </c>
      <c r="C89" s="39">
        <v>95</v>
      </c>
      <c r="D89" s="39">
        <v>135</v>
      </c>
      <c r="E89" s="40">
        <v>794</v>
      </c>
    </row>
    <row r="90" spans="1:5" x14ac:dyDescent="0.25">
      <c r="A90" s="4" t="s">
        <v>163</v>
      </c>
      <c r="B90" s="39">
        <v>686</v>
      </c>
      <c r="C90" s="39">
        <v>10</v>
      </c>
      <c r="D90" s="39">
        <v>4</v>
      </c>
      <c r="E90" s="40">
        <v>700</v>
      </c>
    </row>
    <row r="91" spans="1:5" x14ac:dyDescent="0.25">
      <c r="A91" s="4" t="s">
        <v>277</v>
      </c>
      <c r="B91" s="39">
        <v>1061</v>
      </c>
      <c r="C91" s="39">
        <v>23</v>
      </c>
      <c r="D91" s="39">
        <v>211</v>
      </c>
      <c r="E91" s="40">
        <v>1295</v>
      </c>
    </row>
    <row r="92" spans="1:5" x14ac:dyDescent="0.25">
      <c r="A92" s="4" t="s">
        <v>164</v>
      </c>
      <c r="B92" s="39">
        <v>1977</v>
      </c>
      <c r="C92" s="39">
        <v>139</v>
      </c>
      <c r="D92" s="39">
        <v>247</v>
      </c>
      <c r="E92" s="40">
        <v>2363</v>
      </c>
    </row>
    <row r="93" spans="1:5" x14ac:dyDescent="0.25">
      <c r="A93" s="4" t="s">
        <v>165</v>
      </c>
      <c r="B93" s="39">
        <v>1108</v>
      </c>
      <c r="C93" s="39">
        <v>82</v>
      </c>
      <c r="D93" s="39">
        <v>450</v>
      </c>
      <c r="E93" s="40">
        <v>1640</v>
      </c>
    </row>
    <row r="94" spans="1:5" x14ac:dyDescent="0.25">
      <c r="A94" s="4" t="s">
        <v>166</v>
      </c>
      <c r="B94" s="39">
        <v>589</v>
      </c>
      <c r="C94" s="39">
        <v>67</v>
      </c>
      <c r="D94" s="39">
        <v>63</v>
      </c>
      <c r="E94" s="40">
        <v>719</v>
      </c>
    </row>
    <row r="95" spans="1:5" x14ac:dyDescent="0.25">
      <c r="A95" s="4" t="s">
        <v>167</v>
      </c>
      <c r="B95" s="39">
        <v>972</v>
      </c>
      <c r="C95" s="39">
        <v>75</v>
      </c>
      <c r="D95" s="39">
        <v>22</v>
      </c>
      <c r="E95" s="40">
        <v>1069</v>
      </c>
    </row>
    <row r="96" spans="1:5" x14ac:dyDescent="0.25">
      <c r="A96" s="4" t="s">
        <v>168</v>
      </c>
      <c r="B96" s="39">
        <v>1956</v>
      </c>
      <c r="C96" s="39">
        <v>339</v>
      </c>
      <c r="D96" s="39">
        <v>3222</v>
      </c>
      <c r="E96" s="40">
        <v>5517</v>
      </c>
    </row>
    <row r="97" spans="1:5" x14ac:dyDescent="0.25">
      <c r="A97" s="4" t="s">
        <v>169</v>
      </c>
      <c r="B97" s="39">
        <v>79</v>
      </c>
      <c r="C97" s="39"/>
      <c r="D97" s="39"/>
      <c r="E97" s="40">
        <v>79</v>
      </c>
    </row>
    <row r="98" spans="1:5" x14ac:dyDescent="0.25">
      <c r="A98" s="4" t="s">
        <v>170</v>
      </c>
      <c r="B98" s="39">
        <v>754</v>
      </c>
      <c r="C98" s="39">
        <v>17</v>
      </c>
      <c r="D98" s="39"/>
      <c r="E98" s="40">
        <v>771</v>
      </c>
    </row>
    <row r="99" spans="1:5" x14ac:dyDescent="0.25">
      <c r="A99" s="4" t="s">
        <v>171</v>
      </c>
      <c r="B99" s="39">
        <v>795</v>
      </c>
      <c r="C99" s="39">
        <v>62</v>
      </c>
      <c r="D99" s="39"/>
      <c r="E99" s="40">
        <v>857</v>
      </c>
    </row>
    <row r="100" spans="1:5" x14ac:dyDescent="0.25">
      <c r="A100" s="4" t="s">
        <v>363</v>
      </c>
      <c r="B100" s="39">
        <v>151</v>
      </c>
      <c r="C100" s="39"/>
      <c r="D100" s="39"/>
      <c r="E100" s="40">
        <v>151</v>
      </c>
    </row>
    <row r="101" spans="1:5" x14ac:dyDescent="0.25">
      <c r="A101" s="4" t="s">
        <v>172</v>
      </c>
      <c r="B101" s="39">
        <v>459</v>
      </c>
      <c r="C101" s="39">
        <v>104</v>
      </c>
      <c r="D101" s="39"/>
      <c r="E101" s="40">
        <v>563</v>
      </c>
    </row>
    <row r="102" spans="1:5" x14ac:dyDescent="0.25">
      <c r="A102" s="4" t="s">
        <v>173</v>
      </c>
      <c r="B102" s="39">
        <v>1058</v>
      </c>
      <c r="C102" s="39">
        <v>20</v>
      </c>
      <c r="D102" s="39"/>
      <c r="E102" s="40">
        <v>1078</v>
      </c>
    </row>
    <row r="103" spans="1:5" x14ac:dyDescent="0.25">
      <c r="A103" s="4" t="s">
        <v>174</v>
      </c>
      <c r="B103" s="39">
        <v>3013</v>
      </c>
      <c r="C103" s="39">
        <v>1268</v>
      </c>
      <c r="D103" s="39">
        <v>533</v>
      </c>
      <c r="E103" s="40">
        <v>4814</v>
      </c>
    </row>
    <row r="104" spans="1:5" x14ac:dyDescent="0.25">
      <c r="A104" s="4" t="s">
        <v>175</v>
      </c>
      <c r="B104" s="39">
        <v>2158</v>
      </c>
      <c r="C104" s="39">
        <v>422</v>
      </c>
      <c r="D104" s="39">
        <v>625</v>
      </c>
      <c r="E104" s="40">
        <v>3205</v>
      </c>
    </row>
    <row r="105" spans="1:5" x14ac:dyDescent="0.25">
      <c r="A105" s="4" t="s">
        <v>176</v>
      </c>
      <c r="B105" s="39">
        <v>539</v>
      </c>
      <c r="C105" s="39">
        <v>323</v>
      </c>
      <c r="D105" s="39">
        <v>43</v>
      </c>
      <c r="E105" s="40">
        <v>905</v>
      </c>
    </row>
    <row r="106" spans="1:5" x14ac:dyDescent="0.25">
      <c r="A106" s="4" t="s">
        <v>177</v>
      </c>
      <c r="B106" s="39">
        <v>504</v>
      </c>
      <c r="C106" s="39">
        <v>24</v>
      </c>
      <c r="D106" s="39">
        <v>25</v>
      </c>
      <c r="E106" s="40">
        <v>553</v>
      </c>
    </row>
    <row r="107" spans="1:5" x14ac:dyDescent="0.25">
      <c r="A107" s="4" t="s">
        <v>178</v>
      </c>
      <c r="B107" s="39">
        <v>2849</v>
      </c>
      <c r="C107" s="39">
        <v>23</v>
      </c>
      <c r="D107" s="39">
        <v>160</v>
      </c>
      <c r="E107" s="40">
        <v>3032</v>
      </c>
    </row>
    <row r="108" spans="1:5" x14ac:dyDescent="0.25">
      <c r="A108" s="4" t="s">
        <v>179</v>
      </c>
      <c r="B108" s="39">
        <v>900</v>
      </c>
      <c r="C108" s="39">
        <v>358</v>
      </c>
      <c r="D108" s="39">
        <v>1748</v>
      </c>
      <c r="E108" s="40">
        <v>3006</v>
      </c>
    </row>
    <row r="109" spans="1:5" x14ac:dyDescent="0.25">
      <c r="A109" s="4" t="s">
        <v>180</v>
      </c>
      <c r="B109" s="39">
        <v>1576</v>
      </c>
      <c r="C109" s="39">
        <v>33</v>
      </c>
      <c r="D109" s="39"/>
      <c r="E109" s="40">
        <v>1609</v>
      </c>
    </row>
    <row r="110" spans="1:5" x14ac:dyDescent="0.25">
      <c r="A110" s="4" t="s">
        <v>181</v>
      </c>
      <c r="B110" s="39">
        <v>316</v>
      </c>
      <c r="C110" s="39"/>
      <c r="D110" s="39"/>
      <c r="E110" s="40">
        <v>316</v>
      </c>
    </row>
    <row r="111" spans="1:5" x14ac:dyDescent="0.25">
      <c r="A111" s="4" t="s">
        <v>182</v>
      </c>
      <c r="B111" s="39">
        <v>1048</v>
      </c>
      <c r="C111" s="39">
        <v>129</v>
      </c>
      <c r="D111" s="39">
        <v>28</v>
      </c>
      <c r="E111" s="40">
        <v>1205</v>
      </c>
    </row>
    <row r="112" spans="1:5" x14ac:dyDescent="0.25">
      <c r="A112" s="4" t="s">
        <v>183</v>
      </c>
      <c r="B112" s="39">
        <v>1867</v>
      </c>
      <c r="C112" s="39">
        <v>251</v>
      </c>
      <c r="D112" s="39">
        <v>271</v>
      </c>
      <c r="E112" s="40">
        <v>2389</v>
      </c>
    </row>
    <row r="113" spans="1:5" x14ac:dyDescent="0.25">
      <c r="A113" s="4" t="s">
        <v>184</v>
      </c>
      <c r="B113" s="39">
        <v>848</v>
      </c>
      <c r="C113" s="39">
        <v>162</v>
      </c>
      <c r="D113" s="39">
        <v>177</v>
      </c>
      <c r="E113" s="40">
        <v>1187</v>
      </c>
    </row>
    <row r="114" spans="1:5" x14ac:dyDescent="0.25">
      <c r="A114" s="4" t="s">
        <v>185</v>
      </c>
      <c r="B114" s="39">
        <v>848</v>
      </c>
      <c r="C114" s="39">
        <v>71</v>
      </c>
      <c r="D114" s="39">
        <v>2</v>
      </c>
      <c r="E114" s="40">
        <v>921</v>
      </c>
    </row>
    <row r="115" spans="1:5" x14ac:dyDescent="0.25">
      <c r="A115" s="4" t="s">
        <v>186</v>
      </c>
      <c r="B115" s="39">
        <v>1184</v>
      </c>
      <c r="C115" s="39">
        <v>71</v>
      </c>
      <c r="D115" s="39">
        <v>246</v>
      </c>
      <c r="E115" s="40">
        <v>1501</v>
      </c>
    </row>
    <row r="116" spans="1:5" x14ac:dyDescent="0.25">
      <c r="A116" s="4" t="s">
        <v>187</v>
      </c>
      <c r="B116" s="39">
        <v>1172</v>
      </c>
      <c r="C116" s="39">
        <v>202</v>
      </c>
      <c r="D116" s="39"/>
      <c r="E116" s="40">
        <v>1374</v>
      </c>
    </row>
    <row r="117" spans="1:5" x14ac:dyDescent="0.25">
      <c r="A117" s="4" t="s">
        <v>188</v>
      </c>
      <c r="B117" s="39">
        <v>1376</v>
      </c>
      <c r="C117" s="39">
        <v>103</v>
      </c>
      <c r="D117" s="39">
        <v>94</v>
      </c>
      <c r="E117" s="40">
        <v>1573</v>
      </c>
    </row>
    <row r="118" spans="1:5" x14ac:dyDescent="0.25">
      <c r="A118" s="4" t="s">
        <v>189</v>
      </c>
      <c r="B118" s="39">
        <v>1216</v>
      </c>
      <c r="C118" s="39">
        <v>659</v>
      </c>
      <c r="D118" s="39">
        <v>4397</v>
      </c>
      <c r="E118" s="40">
        <v>6272</v>
      </c>
    </row>
    <row r="119" spans="1:5" x14ac:dyDescent="0.25">
      <c r="A119" s="4" t="s">
        <v>290</v>
      </c>
      <c r="B119" s="39">
        <v>1</v>
      </c>
      <c r="C119" s="39"/>
      <c r="D119" s="39"/>
      <c r="E119" s="40">
        <v>1</v>
      </c>
    </row>
    <row r="120" spans="1:5" x14ac:dyDescent="0.25">
      <c r="A120" s="4" t="s">
        <v>364</v>
      </c>
      <c r="B120" s="39">
        <v>126</v>
      </c>
      <c r="C120" s="39">
        <v>20</v>
      </c>
      <c r="D120" s="39">
        <v>1</v>
      </c>
      <c r="E120" s="40">
        <v>147</v>
      </c>
    </row>
    <row r="121" spans="1:5" x14ac:dyDescent="0.25">
      <c r="A121" s="4" t="s">
        <v>190</v>
      </c>
      <c r="B121" s="39">
        <v>1498</v>
      </c>
      <c r="C121" s="39">
        <v>288</v>
      </c>
      <c r="D121" s="39">
        <v>532</v>
      </c>
      <c r="E121" s="40">
        <v>2318</v>
      </c>
    </row>
    <row r="122" spans="1:5" x14ac:dyDescent="0.25">
      <c r="A122" s="4" t="s">
        <v>191</v>
      </c>
      <c r="B122" s="39">
        <v>728</v>
      </c>
      <c r="C122" s="39">
        <v>434</v>
      </c>
      <c r="D122" s="39">
        <v>574</v>
      </c>
      <c r="E122" s="40">
        <v>1736</v>
      </c>
    </row>
    <row r="123" spans="1:5" x14ac:dyDescent="0.25">
      <c r="A123" s="4" t="s">
        <v>192</v>
      </c>
      <c r="B123" s="39">
        <v>356</v>
      </c>
      <c r="C123" s="39"/>
      <c r="D123" s="39">
        <v>25</v>
      </c>
      <c r="E123" s="40">
        <v>381</v>
      </c>
    </row>
    <row r="124" spans="1:5" x14ac:dyDescent="0.25">
      <c r="A124" s="4" t="s">
        <v>291</v>
      </c>
      <c r="B124" s="39">
        <v>148</v>
      </c>
      <c r="C124" s="39"/>
      <c r="D124" s="39"/>
      <c r="E124" s="40">
        <v>148</v>
      </c>
    </row>
    <row r="125" spans="1:5" x14ac:dyDescent="0.25">
      <c r="A125" s="4" t="s">
        <v>193</v>
      </c>
      <c r="B125" s="39">
        <v>713</v>
      </c>
      <c r="C125" s="39"/>
      <c r="D125" s="39"/>
      <c r="E125" s="40">
        <v>713</v>
      </c>
    </row>
    <row r="126" spans="1:5" x14ac:dyDescent="0.25">
      <c r="A126" s="4" t="s">
        <v>194</v>
      </c>
      <c r="B126" s="39">
        <v>1429</v>
      </c>
      <c r="C126" s="39">
        <v>911</v>
      </c>
      <c r="D126" s="39">
        <v>349</v>
      </c>
      <c r="E126" s="40">
        <v>2689</v>
      </c>
    </row>
    <row r="127" spans="1:5" x14ac:dyDescent="0.25">
      <c r="A127" s="4" t="s">
        <v>195</v>
      </c>
      <c r="B127" s="39">
        <v>524</v>
      </c>
      <c r="C127" s="39">
        <v>26</v>
      </c>
      <c r="D127" s="39"/>
      <c r="E127" s="40">
        <v>550</v>
      </c>
    </row>
    <row r="128" spans="1:5" x14ac:dyDescent="0.25">
      <c r="A128" s="4" t="s">
        <v>196</v>
      </c>
      <c r="B128" s="39">
        <v>120</v>
      </c>
      <c r="C128" s="39">
        <v>742</v>
      </c>
      <c r="D128" s="39">
        <v>818</v>
      </c>
      <c r="E128" s="40">
        <v>1680</v>
      </c>
    </row>
    <row r="129" spans="1:5" x14ac:dyDescent="0.25">
      <c r="A129" s="4" t="s">
        <v>197</v>
      </c>
      <c r="B129" s="39">
        <v>346</v>
      </c>
      <c r="C129" s="39">
        <v>12</v>
      </c>
      <c r="D129" s="39"/>
      <c r="E129" s="40">
        <v>358</v>
      </c>
    </row>
    <row r="130" spans="1:5" x14ac:dyDescent="0.25">
      <c r="A130" s="4" t="s">
        <v>198</v>
      </c>
      <c r="B130" s="39">
        <v>2529</v>
      </c>
      <c r="C130" s="39">
        <v>633</v>
      </c>
      <c r="D130" s="39">
        <v>579</v>
      </c>
      <c r="E130" s="40">
        <v>3741</v>
      </c>
    </row>
    <row r="131" spans="1:5" x14ac:dyDescent="0.25">
      <c r="A131" s="4" t="s">
        <v>199</v>
      </c>
      <c r="B131" s="39">
        <v>2654</v>
      </c>
      <c r="C131" s="39">
        <v>530</v>
      </c>
      <c r="D131" s="39"/>
      <c r="E131" s="40">
        <v>3184</v>
      </c>
    </row>
    <row r="132" spans="1:5" x14ac:dyDescent="0.25">
      <c r="A132" s="4" t="s">
        <v>200</v>
      </c>
      <c r="B132" s="39">
        <v>1239</v>
      </c>
      <c r="C132" s="39">
        <v>4</v>
      </c>
      <c r="D132" s="39"/>
      <c r="E132" s="40">
        <v>1243</v>
      </c>
    </row>
    <row r="133" spans="1:5" x14ac:dyDescent="0.25">
      <c r="A133" s="4" t="s">
        <v>201</v>
      </c>
      <c r="B133" s="39">
        <v>1973</v>
      </c>
      <c r="C133" s="39">
        <v>224</v>
      </c>
      <c r="D133" s="39">
        <v>98</v>
      </c>
      <c r="E133" s="40">
        <v>2295</v>
      </c>
    </row>
    <row r="134" spans="1:5" x14ac:dyDescent="0.25">
      <c r="A134" s="4" t="s">
        <v>202</v>
      </c>
      <c r="B134" s="39">
        <v>4489</v>
      </c>
      <c r="C134" s="39"/>
      <c r="D134" s="39"/>
      <c r="E134" s="40">
        <v>4489</v>
      </c>
    </row>
    <row r="135" spans="1:5" x14ac:dyDescent="0.25">
      <c r="A135" s="4" t="s">
        <v>203</v>
      </c>
      <c r="B135" s="39">
        <v>1156</v>
      </c>
      <c r="C135" s="39">
        <v>16</v>
      </c>
      <c r="D135" s="39">
        <v>57</v>
      </c>
      <c r="E135" s="40">
        <v>1229</v>
      </c>
    </row>
    <row r="136" spans="1:5" x14ac:dyDescent="0.25">
      <c r="A136" s="5" t="s">
        <v>4</v>
      </c>
      <c r="B136" s="40">
        <v>156665</v>
      </c>
      <c r="C136" s="40">
        <v>15168</v>
      </c>
      <c r="D136" s="40">
        <v>27201</v>
      </c>
      <c r="E136" s="40">
        <v>199034</v>
      </c>
    </row>
    <row r="137" spans="1:5" x14ac:dyDescent="0.25">
      <c r="A137" s="37"/>
      <c r="B137" s="42"/>
      <c r="C137" s="42"/>
      <c r="D137" s="42"/>
      <c r="E137" s="42"/>
    </row>
    <row r="138" spans="1:5" x14ac:dyDescent="0.25">
      <c r="A138" s="37"/>
      <c r="B138" s="42"/>
      <c r="C138" s="42"/>
      <c r="D138" s="42"/>
      <c r="E138" s="42"/>
    </row>
    <row r="139" spans="1:5" x14ac:dyDescent="0.25">
      <c r="A139" s="65" t="s">
        <v>246</v>
      </c>
      <c r="B139" s="42"/>
      <c r="C139" s="42"/>
      <c r="D139" s="42"/>
      <c r="E139" s="42"/>
    </row>
    <row r="140" spans="1:5" x14ac:dyDescent="0.25">
      <c r="A140" s="37"/>
      <c r="B140" s="42"/>
      <c r="C140" s="42"/>
      <c r="D140" s="42"/>
      <c r="E140" s="42"/>
    </row>
    <row r="141" spans="1:5" x14ac:dyDescent="0.25">
      <c r="A141" s="66" t="s">
        <v>21</v>
      </c>
      <c r="B141" s="42"/>
      <c r="C141" s="42"/>
      <c r="D141" s="42"/>
      <c r="E141" s="42"/>
    </row>
    <row r="142" spans="1:5" x14ac:dyDescent="0.25">
      <c r="A142" s="37"/>
      <c r="B142" s="42"/>
      <c r="C142" s="42"/>
      <c r="D142" s="42"/>
      <c r="E142" s="42"/>
    </row>
  </sheetData>
  <hyperlinks>
    <hyperlink ref="A141" location="Indice!A5" display="Volver al índice"/>
  </hyperlink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Indice</vt:lpstr>
      <vt:lpstr>Titulación Total 2020</vt:lpstr>
      <vt:lpstr>Evolución Titulación Total</vt:lpstr>
      <vt:lpstr>Titulación Pregrado 2020</vt:lpstr>
      <vt:lpstr>Evolución Titulación Pregrado</vt:lpstr>
      <vt:lpstr>Titulación Posgrado 2020</vt:lpstr>
      <vt:lpstr>Evolución Titulación Posgrado</vt:lpstr>
      <vt:lpstr>Titulacion Postitulo 2020</vt:lpstr>
      <vt:lpstr>Evolucion Titulacion Postitulo</vt:lpstr>
      <vt:lpstr>Listado de Instituciones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Salamanca Velazquez</dc:creator>
  <cp:lastModifiedBy>Usuario de Windows</cp:lastModifiedBy>
  <dcterms:created xsi:type="dcterms:W3CDTF">2015-09-10T13:36:10Z</dcterms:created>
  <dcterms:modified xsi:type="dcterms:W3CDTF">2021-05-14T05:32:23Z</dcterms:modified>
</cp:coreProperties>
</file>