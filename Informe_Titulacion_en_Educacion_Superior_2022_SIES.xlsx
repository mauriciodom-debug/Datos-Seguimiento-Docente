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CCEM\Desktop\SIES\Titulados 2022\"/>
    </mc:Choice>
  </mc:AlternateContent>
  <bookViews>
    <workbookView xWindow="-120" yWindow="-120" windowWidth="24240" windowHeight="13740" tabRatio="892"/>
  </bookViews>
  <sheets>
    <sheet name="Indice" sheetId="11" r:id="rId1"/>
    <sheet name="Titulación Total 2022" sheetId="2" r:id="rId2"/>
    <sheet name="Evolución Titulación Total" sheetId="3" r:id="rId3"/>
    <sheet name="Titulación Pregrado 2022" sheetId="4" r:id="rId4"/>
    <sheet name="Evolución Titulación Pregrado" sheetId="5" r:id="rId5"/>
    <sheet name="Titulación Posgrado 2022" sheetId="6" r:id="rId6"/>
    <sheet name="Evolución Titulación Posgrado" sheetId="7" r:id="rId7"/>
    <sheet name="Titulacion Postitulo 2022" sheetId="8" r:id="rId8"/>
    <sheet name="Evolucion Titulacion Postitulo" sheetId="9" r:id="rId9"/>
    <sheet name="Listado de Instituciones" sheetId="10" r:id="rId10"/>
  </sheets>
  <definedNames>
    <definedName name="_xlnm._FilterDatabase" localSheetId="4" hidden="1">'Evolución Titulación Pregrado'!$A$131:$S$151</definedName>
    <definedName name="_xlnm._FilterDatabase" localSheetId="9" hidden="1">'Listado de Instituciones'!$I$4:$K$135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2" i="5" l="1"/>
  <c r="R6" i="3" l="1"/>
  <c r="U90" i="5"/>
  <c r="B204" i="5"/>
  <c r="U119" i="5"/>
  <c r="U120" i="5"/>
  <c r="U121" i="5"/>
  <c r="U122" i="5"/>
  <c r="U123" i="5"/>
  <c r="U124" i="5"/>
  <c r="U125" i="5"/>
  <c r="U126" i="5"/>
  <c r="U127" i="5"/>
  <c r="U128" i="5"/>
  <c r="U118" i="5"/>
  <c r="U114" i="5"/>
  <c r="U105" i="5"/>
  <c r="U106" i="5"/>
  <c r="U107" i="5"/>
  <c r="U108" i="5"/>
  <c r="U109" i="5"/>
  <c r="U110" i="5"/>
  <c r="U111" i="5"/>
  <c r="U112" i="5"/>
  <c r="U113" i="5"/>
  <c r="U104" i="5"/>
  <c r="T104" i="5"/>
  <c r="S104" i="5"/>
  <c r="R104" i="5"/>
  <c r="T128" i="5"/>
  <c r="S128" i="5"/>
  <c r="R128" i="5"/>
  <c r="T127" i="5"/>
  <c r="S127" i="5"/>
  <c r="R127" i="5"/>
  <c r="T126" i="5"/>
  <c r="S126" i="5"/>
  <c r="R126" i="5"/>
  <c r="T125" i="5"/>
  <c r="S125" i="5"/>
  <c r="R125" i="5"/>
  <c r="T124" i="5"/>
  <c r="S124" i="5"/>
  <c r="R124" i="5"/>
  <c r="T123" i="5"/>
  <c r="S123" i="5"/>
  <c r="R123" i="5"/>
  <c r="T122" i="5"/>
  <c r="S122" i="5"/>
  <c r="R122" i="5"/>
  <c r="T121" i="5"/>
  <c r="S121" i="5"/>
  <c r="R121" i="5"/>
  <c r="T120" i="5"/>
  <c r="S120" i="5"/>
  <c r="R120" i="5"/>
  <c r="T119" i="5"/>
  <c r="S119" i="5"/>
  <c r="R119" i="5"/>
  <c r="T118" i="5"/>
  <c r="S118" i="5"/>
  <c r="R118" i="5"/>
  <c r="T114" i="5"/>
  <c r="S114" i="5"/>
  <c r="R114" i="5"/>
  <c r="T113" i="5"/>
  <c r="S113" i="5"/>
  <c r="R113" i="5"/>
  <c r="T112" i="5"/>
  <c r="S112" i="5"/>
  <c r="R112" i="5"/>
  <c r="T111" i="5"/>
  <c r="S111" i="5"/>
  <c r="R111" i="5"/>
  <c r="T110" i="5"/>
  <c r="S110" i="5"/>
  <c r="R110" i="5"/>
  <c r="T109" i="5"/>
  <c r="S109" i="5"/>
  <c r="R109" i="5"/>
  <c r="T108" i="5"/>
  <c r="S108" i="5"/>
  <c r="R108" i="5"/>
  <c r="T107" i="5"/>
  <c r="S107" i="5"/>
  <c r="R107" i="5"/>
  <c r="T106" i="5"/>
  <c r="S106" i="5"/>
  <c r="R106" i="5"/>
  <c r="T105" i="5"/>
  <c r="S105" i="5"/>
  <c r="R105" i="5"/>
  <c r="S32" i="5" l="1"/>
  <c r="T15" i="7" l="1"/>
  <c r="U77" i="3" l="1"/>
  <c r="U6" i="9" l="1"/>
  <c r="T6" i="9"/>
  <c r="S6" i="9"/>
  <c r="R6" i="9"/>
  <c r="R13" i="5"/>
  <c r="R24" i="5"/>
  <c r="T28" i="5"/>
  <c r="S28" i="5"/>
  <c r="R28" i="5"/>
  <c r="T27" i="5"/>
  <c r="S27" i="5"/>
  <c r="R27" i="5"/>
  <c r="T26" i="5"/>
  <c r="S26" i="5"/>
  <c r="R26" i="5"/>
  <c r="T25" i="5"/>
  <c r="S25" i="5"/>
  <c r="R25" i="5"/>
  <c r="T24" i="5"/>
  <c r="S24" i="5"/>
  <c r="S70" i="3"/>
  <c r="U41" i="9"/>
  <c r="T41" i="9"/>
  <c r="S41" i="9"/>
  <c r="R41" i="9"/>
  <c r="U40" i="9"/>
  <c r="T40" i="9"/>
  <c r="S40" i="9"/>
  <c r="R40" i="9"/>
  <c r="U39" i="9"/>
  <c r="T39" i="9"/>
  <c r="S39" i="9"/>
  <c r="R39" i="9"/>
  <c r="U38" i="9"/>
  <c r="T38" i="9"/>
  <c r="S38" i="9"/>
  <c r="R38" i="9"/>
  <c r="U37" i="9"/>
  <c r="T37" i="9"/>
  <c r="S37" i="9"/>
  <c r="R37" i="9"/>
  <c r="U36" i="9"/>
  <c r="T36" i="9"/>
  <c r="S36" i="9"/>
  <c r="R36" i="9"/>
  <c r="U35" i="9"/>
  <c r="T35" i="9"/>
  <c r="S35" i="9"/>
  <c r="R35" i="9"/>
  <c r="U34" i="9"/>
  <c r="T34" i="9"/>
  <c r="S34" i="9"/>
  <c r="R34" i="9"/>
  <c r="U33" i="9"/>
  <c r="T33" i="9"/>
  <c r="S33" i="9"/>
  <c r="R33" i="9"/>
  <c r="U29" i="9"/>
  <c r="T29" i="9"/>
  <c r="S29" i="9"/>
  <c r="R29" i="9"/>
  <c r="U28" i="9"/>
  <c r="T28" i="9"/>
  <c r="S28" i="9"/>
  <c r="R28" i="9"/>
  <c r="U27" i="9"/>
  <c r="T27" i="9"/>
  <c r="S27" i="9"/>
  <c r="R27" i="9"/>
  <c r="U26" i="9"/>
  <c r="T26" i="9"/>
  <c r="S26" i="9"/>
  <c r="R26" i="9"/>
  <c r="U25" i="9"/>
  <c r="T25" i="9"/>
  <c r="S25" i="9"/>
  <c r="R25" i="9"/>
  <c r="U24" i="9"/>
  <c r="T24" i="9"/>
  <c r="S24" i="9"/>
  <c r="R24" i="9"/>
  <c r="U23" i="9"/>
  <c r="T23" i="9"/>
  <c r="S23" i="9"/>
  <c r="R23" i="9"/>
  <c r="U22" i="9"/>
  <c r="T22" i="9"/>
  <c r="S22" i="9"/>
  <c r="R22" i="9"/>
  <c r="U21" i="9"/>
  <c r="T21" i="9"/>
  <c r="S21" i="9"/>
  <c r="R21" i="9"/>
  <c r="U20" i="9"/>
  <c r="T20" i="9"/>
  <c r="S20" i="9"/>
  <c r="R20" i="9"/>
  <c r="U16" i="9"/>
  <c r="T16" i="9"/>
  <c r="S16" i="9"/>
  <c r="R16" i="9"/>
  <c r="U15" i="9"/>
  <c r="T15" i="9"/>
  <c r="S15" i="9"/>
  <c r="R15" i="9"/>
  <c r="U14" i="9"/>
  <c r="T14" i="9"/>
  <c r="S14" i="9"/>
  <c r="R14" i="9"/>
  <c r="U13" i="9"/>
  <c r="T13" i="9"/>
  <c r="S13" i="9"/>
  <c r="R13" i="9"/>
  <c r="U9" i="9"/>
  <c r="T9" i="9"/>
  <c r="S9" i="9"/>
  <c r="R9" i="9"/>
  <c r="U8" i="9"/>
  <c r="T8" i="9"/>
  <c r="S8" i="9"/>
  <c r="R8" i="9"/>
  <c r="U7" i="9"/>
  <c r="T7" i="9"/>
  <c r="S7" i="9"/>
  <c r="R7" i="9"/>
  <c r="U29" i="7"/>
  <c r="U40" i="7"/>
  <c r="U39" i="7"/>
  <c r="U38" i="7"/>
  <c r="U37" i="7"/>
  <c r="U36" i="7"/>
  <c r="U35" i="7"/>
  <c r="U34" i="7"/>
  <c r="U28" i="7"/>
  <c r="U27" i="7"/>
  <c r="U26" i="7"/>
  <c r="U25" i="7"/>
  <c r="U24" i="7"/>
  <c r="U23" i="7"/>
  <c r="U22" i="7"/>
  <c r="U21" i="7"/>
  <c r="U20" i="7"/>
  <c r="U16" i="7"/>
  <c r="U15" i="7"/>
  <c r="U14" i="7"/>
  <c r="T40" i="7"/>
  <c r="S40" i="7"/>
  <c r="R40" i="7"/>
  <c r="T39" i="7"/>
  <c r="S39" i="7"/>
  <c r="R39" i="7"/>
  <c r="T38" i="7"/>
  <c r="S38" i="7"/>
  <c r="R38" i="7"/>
  <c r="T37" i="7"/>
  <c r="S37" i="7"/>
  <c r="R37" i="7"/>
  <c r="T36" i="7"/>
  <c r="S36" i="7"/>
  <c r="R36" i="7"/>
  <c r="T35" i="7"/>
  <c r="S35" i="7"/>
  <c r="R35" i="7"/>
  <c r="T34" i="7"/>
  <c r="S34" i="7"/>
  <c r="R34" i="7"/>
  <c r="T29" i="7"/>
  <c r="S29" i="7"/>
  <c r="R29" i="7"/>
  <c r="T28" i="7"/>
  <c r="S28" i="7"/>
  <c r="R28" i="7"/>
  <c r="T27" i="7"/>
  <c r="S27" i="7"/>
  <c r="R27" i="7"/>
  <c r="T26" i="7"/>
  <c r="S26" i="7"/>
  <c r="R26" i="7"/>
  <c r="T25" i="7"/>
  <c r="S25" i="7"/>
  <c r="R25" i="7"/>
  <c r="T24" i="7"/>
  <c r="S24" i="7"/>
  <c r="R24" i="7"/>
  <c r="T23" i="7"/>
  <c r="S23" i="7"/>
  <c r="R23" i="7"/>
  <c r="T22" i="7"/>
  <c r="S22" i="7"/>
  <c r="R22" i="7"/>
  <c r="T21" i="7"/>
  <c r="S21" i="7"/>
  <c r="R21" i="7"/>
  <c r="T20" i="7"/>
  <c r="S20" i="7"/>
  <c r="R20" i="7"/>
  <c r="T16" i="7"/>
  <c r="S16" i="7"/>
  <c r="R16" i="7"/>
  <c r="S15" i="7"/>
  <c r="R15" i="7"/>
  <c r="T14" i="7"/>
  <c r="S14" i="7"/>
  <c r="R14" i="7"/>
  <c r="T9" i="7"/>
  <c r="S9" i="7"/>
  <c r="R9" i="7"/>
  <c r="T8" i="7"/>
  <c r="S8" i="7"/>
  <c r="R8" i="7"/>
  <c r="T7" i="7"/>
  <c r="S7" i="7"/>
  <c r="R7" i="7"/>
  <c r="U9" i="7"/>
  <c r="U7" i="7"/>
  <c r="U8" i="7"/>
  <c r="U6" i="7"/>
  <c r="T6" i="7"/>
  <c r="S6" i="7"/>
  <c r="R6" i="7"/>
  <c r="U232" i="5"/>
  <c r="U231" i="5"/>
  <c r="U230" i="5"/>
  <c r="U229" i="5"/>
  <c r="U228" i="5"/>
  <c r="U227" i="5"/>
  <c r="U226" i="5"/>
  <c r="U225" i="5"/>
  <c r="U221" i="5"/>
  <c r="U220" i="5"/>
  <c r="U219" i="5"/>
  <c r="U215" i="5"/>
  <c r="U214" i="5"/>
  <c r="U213" i="5"/>
  <c r="U209" i="5"/>
  <c r="U208" i="5"/>
  <c r="U207" i="5"/>
  <c r="U203" i="5"/>
  <c r="U202" i="5"/>
  <c r="U201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78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1" i="5"/>
  <c r="U170" i="5"/>
  <c r="U172" i="5"/>
  <c r="U173" i="5"/>
  <c r="U174" i="5"/>
  <c r="U155" i="5"/>
  <c r="U151" i="5"/>
  <c r="U150" i="5"/>
  <c r="U149" i="5"/>
  <c r="U148" i="5"/>
  <c r="U147" i="5"/>
  <c r="U146" i="5"/>
  <c r="U145" i="5"/>
  <c r="U144" i="5"/>
  <c r="U143" i="5"/>
  <c r="U142" i="5"/>
  <c r="U141" i="5"/>
  <c r="U140" i="5"/>
  <c r="U139" i="5"/>
  <c r="U138" i="5"/>
  <c r="U137" i="5"/>
  <c r="U136" i="5"/>
  <c r="U135" i="5"/>
  <c r="U134" i="5"/>
  <c r="U133" i="5"/>
  <c r="U132" i="5"/>
  <c r="U100" i="5"/>
  <c r="U99" i="5"/>
  <c r="U98" i="5"/>
  <c r="U97" i="5"/>
  <c r="U96" i="5"/>
  <c r="U95" i="5"/>
  <c r="U94" i="5"/>
  <c r="U93" i="5"/>
  <c r="U92" i="5"/>
  <c r="U91" i="5"/>
  <c r="U86" i="5"/>
  <c r="U85" i="5"/>
  <c r="U84" i="5"/>
  <c r="U83" i="5"/>
  <c r="U82" i="5"/>
  <c r="U81" i="5"/>
  <c r="U76" i="5"/>
  <c r="U75" i="5"/>
  <c r="U74" i="5"/>
  <c r="U73" i="5"/>
  <c r="U72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0" i="5"/>
  <c r="U49" i="5"/>
  <c r="U48" i="5"/>
  <c r="U47" i="5"/>
  <c r="U46" i="5"/>
  <c r="U45" i="5"/>
  <c r="U44" i="5"/>
  <c r="U43" i="5"/>
  <c r="U42" i="5"/>
  <c r="U41" i="5"/>
  <c r="U40" i="5"/>
  <c r="U34" i="5"/>
  <c r="U33" i="5"/>
  <c r="U32" i="5"/>
  <c r="U28" i="5"/>
  <c r="U27" i="5"/>
  <c r="U26" i="5"/>
  <c r="U25" i="5"/>
  <c r="U24" i="5"/>
  <c r="U19" i="5"/>
  <c r="U18" i="5"/>
  <c r="U17" i="5"/>
  <c r="U16" i="5"/>
  <c r="U15" i="5"/>
  <c r="U14" i="5"/>
  <c r="U13" i="5"/>
  <c r="T232" i="5"/>
  <c r="S232" i="5"/>
  <c r="R232" i="5"/>
  <c r="T231" i="5"/>
  <c r="S231" i="5"/>
  <c r="R231" i="5"/>
  <c r="T230" i="5"/>
  <c r="S230" i="5"/>
  <c r="R230" i="5"/>
  <c r="T229" i="5"/>
  <c r="S229" i="5"/>
  <c r="R229" i="5"/>
  <c r="T228" i="5"/>
  <c r="S228" i="5"/>
  <c r="R228" i="5"/>
  <c r="T227" i="5"/>
  <c r="S227" i="5"/>
  <c r="R227" i="5"/>
  <c r="T226" i="5"/>
  <c r="S226" i="5"/>
  <c r="R226" i="5"/>
  <c r="T225" i="5"/>
  <c r="S225" i="5"/>
  <c r="R225" i="5"/>
  <c r="T221" i="5"/>
  <c r="S221" i="5"/>
  <c r="R221" i="5"/>
  <c r="T220" i="5"/>
  <c r="S220" i="5"/>
  <c r="R220" i="5"/>
  <c r="T219" i="5"/>
  <c r="S219" i="5"/>
  <c r="R219" i="5"/>
  <c r="T215" i="5"/>
  <c r="S215" i="5"/>
  <c r="R215" i="5"/>
  <c r="T214" i="5"/>
  <c r="S214" i="5"/>
  <c r="R214" i="5"/>
  <c r="T213" i="5"/>
  <c r="S213" i="5"/>
  <c r="R213" i="5"/>
  <c r="T209" i="5"/>
  <c r="S209" i="5"/>
  <c r="R209" i="5"/>
  <c r="T208" i="5"/>
  <c r="S208" i="5"/>
  <c r="R208" i="5"/>
  <c r="T207" i="5"/>
  <c r="S207" i="5"/>
  <c r="R207" i="5"/>
  <c r="T203" i="5"/>
  <c r="S203" i="5"/>
  <c r="R203" i="5"/>
  <c r="T202" i="5"/>
  <c r="S202" i="5"/>
  <c r="R202" i="5"/>
  <c r="T201" i="5"/>
  <c r="S201" i="5"/>
  <c r="R201" i="5"/>
  <c r="T197" i="5"/>
  <c r="S197" i="5"/>
  <c r="R197" i="5"/>
  <c r="T196" i="5"/>
  <c r="S196" i="5"/>
  <c r="R196" i="5"/>
  <c r="T195" i="5"/>
  <c r="S195" i="5"/>
  <c r="R195" i="5"/>
  <c r="T194" i="5"/>
  <c r="S194" i="5"/>
  <c r="R194" i="5"/>
  <c r="T193" i="5"/>
  <c r="S193" i="5"/>
  <c r="R193" i="5"/>
  <c r="T192" i="5"/>
  <c r="S192" i="5"/>
  <c r="R192" i="5"/>
  <c r="T191" i="5"/>
  <c r="S191" i="5"/>
  <c r="R191" i="5"/>
  <c r="T190" i="5"/>
  <c r="S190" i="5"/>
  <c r="R190" i="5"/>
  <c r="T189" i="5"/>
  <c r="S189" i="5"/>
  <c r="R189" i="5"/>
  <c r="T188" i="5"/>
  <c r="S188" i="5"/>
  <c r="R188" i="5"/>
  <c r="T187" i="5"/>
  <c r="S187" i="5"/>
  <c r="R187" i="5"/>
  <c r="T186" i="5"/>
  <c r="S186" i="5"/>
  <c r="R186" i="5"/>
  <c r="T185" i="5"/>
  <c r="S185" i="5"/>
  <c r="R185" i="5"/>
  <c r="T184" i="5"/>
  <c r="S184" i="5"/>
  <c r="R184" i="5"/>
  <c r="T183" i="5"/>
  <c r="S183" i="5"/>
  <c r="R183" i="5"/>
  <c r="T182" i="5"/>
  <c r="S182" i="5"/>
  <c r="R182" i="5"/>
  <c r="T181" i="5"/>
  <c r="S181" i="5"/>
  <c r="R181" i="5"/>
  <c r="T180" i="5"/>
  <c r="S180" i="5"/>
  <c r="R180" i="5"/>
  <c r="T179" i="5"/>
  <c r="S179" i="5"/>
  <c r="R179" i="5"/>
  <c r="T178" i="5"/>
  <c r="S178" i="5"/>
  <c r="R178" i="5"/>
  <c r="T174" i="5"/>
  <c r="S174" i="5"/>
  <c r="R174" i="5"/>
  <c r="T173" i="5"/>
  <c r="S173" i="5"/>
  <c r="R173" i="5"/>
  <c r="T172" i="5"/>
  <c r="S172" i="5"/>
  <c r="R172" i="5"/>
  <c r="T170" i="5"/>
  <c r="S170" i="5"/>
  <c r="R170" i="5"/>
  <c r="T171" i="5"/>
  <c r="S171" i="5"/>
  <c r="R171" i="5"/>
  <c r="T169" i="5"/>
  <c r="S169" i="5"/>
  <c r="R169" i="5"/>
  <c r="T168" i="5"/>
  <c r="S168" i="5"/>
  <c r="R168" i="5"/>
  <c r="T167" i="5"/>
  <c r="S167" i="5"/>
  <c r="R167" i="5"/>
  <c r="T166" i="5"/>
  <c r="S166" i="5"/>
  <c r="R166" i="5"/>
  <c r="T165" i="5"/>
  <c r="S165" i="5"/>
  <c r="R165" i="5"/>
  <c r="T164" i="5"/>
  <c r="S164" i="5"/>
  <c r="R164" i="5"/>
  <c r="T163" i="5"/>
  <c r="S163" i="5"/>
  <c r="R163" i="5"/>
  <c r="T162" i="5"/>
  <c r="S162" i="5"/>
  <c r="R162" i="5"/>
  <c r="T161" i="5"/>
  <c r="S161" i="5"/>
  <c r="R161" i="5"/>
  <c r="T160" i="5"/>
  <c r="S160" i="5"/>
  <c r="R160" i="5"/>
  <c r="T159" i="5"/>
  <c r="S159" i="5"/>
  <c r="R159" i="5"/>
  <c r="T158" i="5"/>
  <c r="S158" i="5"/>
  <c r="R158" i="5"/>
  <c r="T157" i="5"/>
  <c r="S157" i="5"/>
  <c r="R157" i="5"/>
  <c r="T156" i="5"/>
  <c r="S156" i="5"/>
  <c r="R156" i="5"/>
  <c r="T155" i="5"/>
  <c r="S155" i="5"/>
  <c r="R155" i="5"/>
  <c r="T151" i="5"/>
  <c r="S151" i="5"/>
  <c r="R151" i="5"/>
  <c r="T150" i="5"/>
  <c r="S150" i="5"/>
  <c r="R150" i="5"/>
  <c r="T149" i="5"/>
  <c r="S149" i="5"/>
  <c r="R149" i="5"/>
  <c r="T148" i="5"/>
  <c r="S148" i="5"/>
  <c r="R148" i="5"/>
  <c r="T147" i="5"/>
  <c r="S147" i="5"/>
  <c r="R147" i="5"/>
  <c r="T146" i="5"/>
  <c r="S146" i="5"/>
  <c r="R146" i="5"/>
  <c r="T145" i="5"/>
  <c r="S145" i="5"/>
  <c r="R145" i="5"/>
  <c r="T144" i="5"/>
  <c r="S144" i="5"/>
  <c r="R144" i="5"/>
  <c r="T143" i="5"/>
  <c r="S143" i="5"/>
  <c r="R143" i="5"/>
  <c r="T142" i="5"/>
  <c r="S142" i="5"/>
  <c r="R142" i="5"/>
  <c r="T141" i="5"/>
  <c r="S141" i="5"/>
  <c r="R141" i="5"/>
  <c r="T140" i="5"/>
  <c r="S140" i="5"/>
  <c r="R140" i="5"/>
  <c r="T139" i="5"/>
  <c r="S139" i="5"/>
  <c r="R139" i="5"/>
  <c r="T138" i="5"/>
  <c r="S138" i="5"/>
  <c r="R138" i="5"/>
  <c r="T137" i="5"/>
  <c r="S137" i="5"/>
  <c r="R137" i="5"/>
  <c r="T136" i="5"/>
  <c r="S136" i="5"/>
  <c r="R136" i="5"/>
  <c r="T135" i="5"/>
  <c r="S135" i="5"/>
  <c r="R135" i="5"/>
  <c r="T134" i="5"/>
  <c r="S134" i="5"/>
  <c r="R134" i="5"/>
  <c r="T133" i="5"/>
  <c r="S133" i="5"/>
  <c r="R133" i="5"/>
  <c r="T132" i="5"/>
  <c r="S132" i="5"/>
  <c r="R132" i="5"/>
  <c r="T100" i="5"/>
  <c r="S100" i="5"/>
  <c r="R100" i="5"/>
  <c r="T99" i="5"/>
  <c r="S99" i="5"/>
  <c r="R99" i="5"/>
  <c r="T98" i="5"/>
  <c r="S98" i="5"/>
  <c r="R98" i="5"/>
  <c r="T97" i="5"/>
  <c r="S97" i="5"/>
  <c r="R97" i="5"/>
  <c r="T96" i="5"/>
  <c r="S96" i="5"/>
  <c r="R96" i="5"/>
  <c r="T95" i="5"/>
  <c r="S95" i="5"/>
  <c r="R95" i="5"/>
  <c r="T94" i="5"/>
  <c r="S94" i="5"/>
  <c r="R94" i="5"/>
  <c r="T93" i="5"/>
  <c r="S93" i="5"/>
  <c r="R93" i="5"/>
  <c r="T92" i="5"/>
  <c r="S92" i="5"/>
  <c r="R92" i="5"/>
  <c r="T91" i="5"/>
  <c r="S91" i="5"/>
  <c r="R91" i="5"/>
  <c r="T90" i="5"/>
  <c r="S90" i="5"/>
  <c r="R90" i="5"/>
  <c r="T86" i="5"/>
  <c r="S86" i="5"/>
  <c r="R86" i="5"/>
  <c r="T85" i="5"/>
  <c r="S85" i="5"/>
  <c r="R85" i="5"/>
  <c r="T84" i="5"/>
  <c r="S84" i="5"/>
  <c r="R84" i="5"/>
  <c r="T83" i="5"/>
  <c r="S83" i="5"/>
  <c r="R83" i="5"/>
  <c r="T82" i="5"/>
  <c r="S82" i="5"/>
  <c r="R82" i="5"/>
  <c r="T81" i="5"/>
  <c r="S81" i="5"/>
  <c r="R81" i="5"/>
  <c r="T76" i="5"/>
  <c r="S76" i="5"/>
  <c r="R76" i="5"/>
  <c r="T75" i="5"/>
  <c r="S75" i="5"/>
  <c r="R75" i="5"/>
  <c r="T74" i="5"/>
  <c r="S74" i="5"/>
  <c r="R74" i="5"/>
  <c r="T73" i="5"/>
  <c r="S73" i="5"/>
  <c r="R73" i="5"/>
  <c r="T72" i="5"/>
  <c r="S72" i="5"/>
  <c r="R72" i="5"/>
  <c r="T71" i="5"/>
  <c r="S71" i="5"/>
  <c r="R71" i="5"/>
  <c r="T70" i="5"/>
  <c r="S70" i="5"/>
  <c r="R70" i="5"/>
  <c r="T69" i="5"/>
  <c r="S69" i="5"/>
  <c r="R69" i="5"/>
  <c r="T68" i="5"/>
  <c r="S68" i="5"/>
  <c r="R68" i="5"/>
  <c r="T67" i="5"/>
  <c r="S67" i="5"/>
  <c r="R67" i="5"/>
  <c r="T66" i="5"/>
  <c r="S66" i="5"/>
  <c r="R66" i="5"/>
  <c r="T65" i="5"/>
  <c r="S65" i="5"/>
  <c r="R65" i="5"/>
  <c r="T64" i="5"/>
  <c r="S64" i="5"/>
  <c r="R64" i="5"/>
  <c r="T63" i="5"/>
  <c r="S63" i="5"/>
  <c r="R63" i="5"/>
  <c r="T62" i="5"/>
  <c r="S62" i="5"/>
  <c r="R62" i="5"/>
  <c r="T61" i="5"/>
  <c r="S61" i="5"/>
  <c r="R61" i="5"/>
  <c r="T60" i="5"/>
  <c r="S60" i="5"/>
  <c r="R60" i="5"/>
  <c r="T59" i="5"/>
  <c r="S59" i="5"/>
  <c r="R59" i="5"/>
  <c r="T58" i="5"/>
  <c r="S58" i="5"/>
  <c r="R58" i="5"/>
  <c r="T57" i="5"/>
  <c r="T56" i="5"/>
  <c r="T55" i="5"/>
  <c r="S55" i="5"/>
  <c r="R55" i="5"/>
  <c r="T54" i="5"/>
  <c r="S54" i="5"/>
  <c r="R54" i="5"/>
  <c r="T50" i="5"/>
  <c r="S50" i="5"/>
  <c r="R50" i="5"/>
  <c r="T49" i="5"/>
  <c r="S49" i="5"/>
  <c r="R49" i="5"/>
  <c r="T48" i="5"/>
  <c r="S48" i="5"/>
  <c r="R48" i="5"/>
  <c r="T47" i="5"/>
  <c r="S47" i="5"/>
  <c r="R47" i="5"/>
  <c r="T46" i="5"/>
  <c r="S46" i="5"/>
  <c r="R46" i="5"/>
  <c r="T45" i="5"/>
  <c r="S45" i="5"/>
  <c r="R45" i="5"/>
  <c r="T44" i="5"/>
  <c r="S44" i="5"/>
  <c r="R44" i="5"/>
  <c r="T43" i="5"/>
  <c r="S43" i="5"/>
  <c r="R43" i="5"/>
  <c r="T42" i="5"/>
  <c r="S42" i="5"/>
  <c r="R42" i="5"/>
  <c r="T41" i="5"/>
  <c r="S41" i="5"/>
  <c r="R41" i="5"/>
  <c r="T40" i="5"/>
  <c r="S40" i="5"/>
  <c r="R40" i="5"/>
  <c r="S33" i="5"/>
  <c r="T19" i="5"/>
  <c r="S19" i="5"/>
  <c r="R19" i="5"/>
  <c r="T18" i="5"/>
  <c r="S18" i="5"/>
  <c r="R18" i="5"/>
  <c r="T17" i="5"/>
  <c r="S17" i="5"/>
  <c r="R17" i="5"/>
  <c r="T16" i="5"/>
  <c r="S16" i="5"/>
  <c r="R16" i="5"/>
  <c r="T15" i="5"/>
  <c r="S15" i="5"/>
  <c r="R15" i="5"/>
  <c r="T14" i="5"/>
  <c r="T13" i="5"/>
  <c r="S13" i="5"/>
  <c r="U9" i="5"/>
  <c r="T9" i="5"/>
  <c r="S9" i="5"/>
  <c r="R9" i="5"/>
  <c r="U8" i="5"/>
  <c r="T8" i="5"/>
  <c r="S8" i="5"/>
  <c r="R8" i="5"/>
  <c r="U7" i="5"/>
  <c r="T7" i="5"/>
  <c r="S7" i="5"/>
  <c r="R7" i="5"/>
  <c r="U6" i="5"/>
  <c r="T6" i="5"/>
  <c r="S6" i="5"/>
  <c r="R6" i="5"/>
  <c r="U113" i="3"/>
  <c r="T113" i="3"/>
  <c r="S113" i="3"/>
  <c r="R113" i="3"/>
  <c r="U112" i="3"/>
  <c r="T112" i="3"/>
  <c r="S112" i="3"/>
  <c r="R112" i="3"/>
  <c r="U111" i="3"/>
  <c r="T111" i="3"/>
  <c r="S111" i="3"/>
  <c r="R111" i="3"/>
  <c r="U110" i="3"/>
  <c r="T110" i="3"/>
  <c r="S110" i="3"/>
  <c r="R110" i="3"/>
  <c r="U109" i="3"/>
  <c r="T109" i="3"/>
  <c r="S109" i="3"/>
  <c r="R109" i="3"/>
  <c r="U108" i="3"/>
  <c r="T108" i="3"/>
  <c r="S108" i="3"/>
  <c r="R108" i="3"/>
  <c r="U104" i="3"/>
  <c r="T104" i="3"/>
  <c r="S104" i="3"/>
  <c r="R104" i="3"/>
  <c r="U103" i="3"/>
  <c r="T103" i="3"/>
  <c r="S103" i="3"/>
  <c r="R103" i="3"/>
  <c r="U102" i="3"/>
  <c r="T102" i="3"/>
  <c r="S102" i="3"/>
  <c r="R102" i="3"/>
  <c r="U101" i="3"/>
  <c r="T101" i="3"/>
  <c r="S101" i="3"/>
  <c r="R101" i="3"/>
  <c r="U100" i="3"/>
  <c r="T100" i="3"/>
  <c r="S100" i="3"/>
  <c r="R100" i="3"/>
  <c r="U99" i="3"/>
  <c r="T99" i="3"/>
  <c r="S99" i="3"/>
  <c r="R99" i="3"/>
  <c r="U98" i="3"/>
  <c r="T98" i="3"/>
  <c r="S98" i="3"/>
  <c r="R98" i="3"/>
  <c r="U97" i="3"/>
  <c r="T97" i="3"/>
  <c r="S97" i="3"/>
  <c r="R97" i="3"/>
  <c r="U96" i="3"/>
  <c r="T96" i="3"/>
  <c r="S96" i="3"/>
  <c r="R96" i="3"/>
  <c r="U95" i="3"/>
  <c r="T95" i="3"/>
  <c r="S95" i="3"/>
  <c r="R95" i="3"/>
  <c r="U94" i="3"/>
  <c r="T94" i="3"/>
  <c r="S94" i="3"/>
  <c r="R94" i="3"/>
  <c r="U93" i="3"/>
  <c r="T93" i="3"/>
  <c r="S93" i="3"/>
  <c r="R93" i="3"/>
  <c r="U92" i="3"/>
  <c r="T92" i="3"/>
  <c r="S92" i="3"/>
  <c r="R92" i="3"/>
  <c r="U91" i="3"/>
  <c r="T91" i="3"/>
  <c r="S91" i="3"/>
  <c r="R91" i="3"/>
  <c r="U90" i="3"/>
  <c r="T90" i="3"/>
  <c r="S90" i="3"/>
  <c r="R90" i="3"/>
  <c r="U89" i="3"/>
  <c r="T89" i="3"/>
  <c r="S89" i="3"/>
  <c r="R89" i="3"/>
  <c r="U88" i="3"/>
  <c r="T88" i="3"/>
  <c r="S88" i="3"/>
  <c r="R88" i="3"/>
  <c r="U83" i="3"/>
  <c r="T83" i="3"/>
  <c r="S83" i="3"/>
  <c r="R83" i="3"/>
  <c r="U82" i="3"/>
  <c r="T82" i="3"/>
  <c r="S82" i="3"/>
  <c r="R82" i="3"/>
  <c r="U81" i="3"/>
  <c r="T81" i="3"/>
  <c r="S81" i="3"/>
  <c r="R81" i="3"/>
  <c r="U80" i="3"/>
  <c r="T80" i="3"/>
  <c r="S80" i="3"/>
  <c r="R80" i="3"/>
  <c r="U79" i="3"/>
  <c r="T79" i="3"/>
  <c r="S79" i="3"/>
  <c r="R79" i="3"/>
  <c r="U78" i="3"/>
  <c r="T78" i="3"/>
  <c r="S78" i="3"/>
  <c r="R78" i="3"/>
  <c r="T77" i="3"/>
  <c r="S77" i="3"/>
  <c r="R77" i="3"/>
  <c r="U76" i="3"/>
  <c r="T76" i="3"/>
  <c r="S76" i="3"/>
  <c r="R76" i="3"/>
  <c r="U72" i="3"/>
  <c r="T72" i="3"/>
  <c r="S72" i="3"/>
  <c r="R72" i="3"/>
  <c r="U71" i="3"/>
  <c r="T71" i="3"/>
  <c r="S71" i="3"/>
  <c r="R71" i="3"/>
  <c r="U70" i="3"/>
  <c r="T70" i="3"/>
  <c r="R70" i="3"/>
  <c r="U65" i="3"/>
  <c r="T65" i="3"/>
  <c r="S65" i="3"/>
  <c r="R65" i="3"/>
  <c r="U64" i="3"/>
  <c r="T64" i="3"/>
  <c r="S64" i="3"/>
  <c r="R64" i="3"/>
  <c r="U63" i="3"/>
  <c r="T63" i="3"/>
  <c r="S63" i="3"/>
  <c r="R63" i="3"/>
  <c r="U62" i="3"/>
  <c r="T62" i="3"/>
  <c r="S62" i="3"/>
  <c r="R62" i="3"/>
  <c r="U61" i="3"/>
  <c r="T61" i="3"/>
  <c r="S61" i="3"/>
  <c r="R61" i="3"/>
  <c r="U60" i="3"/>
  <c r="T60" i="3"/>
  <c r="S60" i="3"/>
  <c r="R60" i="3"/>
  <c r="U59" i="3"/>
  <c r="T59" i="3"/>
  <c r="S59" i="3"/>
  <c r="R59" i="3"/>
  <c r="U58" i="3"/>
  <c r="T58" i="3"/>
  <c r="S58" i="3"/>
  <c r="R58" i="3"/>
  <c r="U57" i="3"/>
  <c r="T57" i="3"/>
  <c r="S57" i="3"/>
  <c r="R57" i="3"/>
  <c r="U56" i="3"/>
  <c r="T56" i="3"/>
  <c r="S56" i="3"/>
  <c r="R56" i="3"/>
  <c r="U55" i="3"/>
  <c r="T55" i="3"/>
  <c r="S55" i="3"/>
  <c r="R55" i="3"/>
  <c r="U54" i="3"/>
  <c r="T54" i="3"/>
  <c r="S54" i="3"/>
  <c r="R54" i="3"/>
  <c r="U53" i="3"/>
  <c r="T53" i="3"/>
  <c r="S53" i="3"/>
  <c r="R53" i="3"/>
  <c r="U52" i="3"/>
  <c r="T52" i="3"/>
  <c r="S52" i="3"/>
  <c r="R52" i="3"/>
  <c r="U51" i="3"/>
  <c r="T51" i="3"/>
  <c r="S51" i="3"/>
  <c r="R51" i="3"/>
  <c r="U50" i="3"/>
  <c r="T50" i="3"/>
  <c r="S50" i="3"/>
  <c r="R50" i="3"/>
  <c r="U49" i="3"/>
  <c r="T49" i="3"/>
  <c r="U48" i="3"/>
  <c r="T48" i="3"/>
  <c r="U47" i="3"/>
  <c r="T47" i="3"/>
  <c r="S47" i="3"/>
  <c r="R47" i="3"/>
  <c r="U46" i="3"/>
  <c r="T46" i="3"/>
  <c r="S46" i="3"/>
  <c r="R46" i="3"/>
  <c r="U45" i="3"/>
  <c r="T45" i="3"/>
  <c r="S45" i="3"/>
  <c r="R45" i="3"/>
  <c r="U40" i="3"/>
  <c r="T40" i="3"/>
  <c r="S40" i="3"/>
  <c r="R40" i="3"/>
  <c r="U39" i="3"/>
  <c r="T39" i="3"/>
  <c r="S39" i="3"/>
  <c r="R39" i="3"/>
  <c r="U38" i="3"/>
  <c r="T38" i="3"/>
  <c r="S38" i="3"/>
  <c r="R38" i="3"/>
  <c r="U37" i="3"/>
  <c r="T37" i="3"/>
  <c r="S37" i="3"/>
  <c r="R37" i="3"/>
  <c r="U36" i="3"/>
  <c r="T36" i="3"/>
  <c r="S36" i="3"/>
  <c r="R36" i="3"/>
  <c r="U35" i="3"/>
  <c r="T35" i="3"/>
  <c r="U34" i="3"/>
  <c r="T34" i="3"/>
  <c r="S34" i="3"/>
  <c r="R34" i="3"/>
  <c r="U30" i="3"/>
  <c r="T30" i="3"/>
  <c r="S30" i="3"/>
  <c r="R30" i="3"/>
  <c r="U29" i="3"/>
  <c r="T29" i="3"/>
  <c r="S29" i="3"/>
  <c r="R29" i="3"/>
  <c r="U28" i="3"/>
  <c r="T28" i="3"/>
  <c r="S28" i="3"/>
  <c r="R28" i="3"/>
  <c r="U27" i="3"/>
  <c r="T27" i="3"/>
  <c r="S27" i="3"/>
  <c r="R27" i="3"/>
  <c r="U26" i="3"/>
  <c r="T26" i="3"/>
  <c r="S26" i="3"/>
  <c r="R26" i="3"/>
  <c r="U25" i="3"/>
  <c r="T25" i="3"/>
  <c r="S25" i="3"/>
  <c r="R25" i="3"/>
  <c r="U24" i="3"/>
  <c r="T24" i="3"/>
  <c r="S24" i="3"/>
  <c r="R24" i="3"/>
  <c r="U23" i="3"/>
  <c r="T23" i="3"/>
  <c r="S23" i="3"/>
  <c r="R23" i="3"/>
  <c r="U22" i="3"/>
  <c r="T22" i="3"/>
  <c r="S22" i="3"/>
  <c r="R22" i="3"/>
  <c r="U21" i="3"/>
  <c r="T21" i="3"/>
  <c r="S21" i="3"/>
  <c r="R21" i="3"/>
  <c r="U20" i="3"/>
  <c r="T20" i="3"/>
  <c r="S20" i="3"/>
  <c r="R20" i="3"/>
  <c r="U16" i="3"/>
  <c r="T16" i="3"/>
  <c r="S16" i="3"/>
  <c r="R16" i="3"/>
  <c r="U15" i="3"/>
  <c r="T15" i="3"/>
  <c r="S15" i="3"/>
  <c r="R15" i="3"/>
  <c r="U14" i="3"/>
  <c r="T14" i="3"/>
  <c r="S14" i="3"/>
  <c r="R14" i="3"/>
  <c r="U13" i="3"/>
  <c r="T13" i="3"/>
  <c r="S13" i="3"/>
  <c r="R13" i="3"/>
  <c r="U9" i="3"/>
  <c r="U8" i="3"/>
  <c r="U7" i="3"/>
  <c r="U6" i="3"/>
  <c r="T9" i="3"/>
  <c r="T8" i="3"/>
  <c r="T7" i="3"/>
  <c r="T6" i="3"/>
  <c r="S9" i="3"/>
  <c r="S8" i="3"/>
  <c r="S7" i="3"/>
  <c r="S6" i="3"/>
  <c r="R9" i="3"/>
  <c r="R8" i="3"/>
  <c r="R7" i="3"/>
  <c r="T32" i="5"/>
  <c r="R33" i="5"/>
  <c r="T33" i="5"/>
  <c r="T34" i="5" l="1"/>
  <c r="S34" i="5"/>
  <c r="R34" i="5"/>
</calcChain>
</file>

<file path=xl/connections.xml><?xml version="1.0" encoding="utf-8"?>
<connections xmlns="http://schemas.openxmlformats.org/spreadsheetml/2006/main">
  <connection id="1" sourceFile="C:\Users\andres.leal\Desktop\Titulados\Copia de TIT_WEB_2019(TITULADOS 2007 - 2018)_03-06-2019.xlsx" keepAlive="1" name="Copia de TIT_WEB_2019(TITULADOS 2007 - 2018)_03-06-2019" type="5" refreshedVersion="6" background="1">
    <dbPr connection="Provider=Microsoft.ACE.OLEDB.12.0;User ID=Admin;Data Source=C:\Users\andres.leal\Desktop\Titulados\Copia de TIT_WEB_2019(TITULADOS 2007 - 2018)_03-06-2019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_2019$" commandType="3"/>
  </connection>
  <connection id="2" sourceFile="C:\Users\andres.leal\Desktop\Titulados\TIT_2019_TITULADOS 2007-2018_21-06-2019.xlsx" keepAlive="1" name="TIT_2019_TITULADOS 2007-2018_21-06-2019" type="5" refreshedVersion="6" background="1">
    <dbPr connection="Provider=Microsoft.ACE.OLEDB.12.0;User ID=Admin;Data Source=C:\Users\andres.leal\Desktop\Titulados\TIT_2019_TITULADOS 2007-2018_21-06-2019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" commandType="3"/>
  </connection>
  <connection id="3" sourceFile="C:\Users\andres.leal\Desktop\Titulados\TIT_2019_TITULADOS 2007-2018_21-06-2019.xlsx" keepAlive="1" name="TIT_2019_TITULADOS 2007-2018_21-06-20191" type="5" refreshedVersion="6" background="1">
    <dbPr connection="Provider=Microsoft.ACE.OLEDB.12.0;User ID=Admin;Data Source=C:\Users\andres.leal\Desktop\Titulados\TIT_2019_TITULADOS 2007-2018_21-06-2019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$" commandType="3"/>
  </connection>
  <connection id="4" sourceFile="C:\Users\andres.leal\Desktop\Titulados\TIT_WEB_2019 (TITULADOS 2007 - 2018)_04-06-2019_2020.xlsx" keepAlive="1" name="TIT_WEB_2019 (TITULADOS 2007 - 2018)_04-06-2019_2020" type="5" refreshedVersion="6" background="1">
    <dbPr connection="Provider=Microsoft.ACE.OLEDB.12.0;User ID=Admin;Data Source=C:\Users\andres.leal\Desktop\Titulados\TIT_WEB_2019 (TITULADOS 2007 - 2018)_04-06-2019_2020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Titulados Web 2009$'" commandType="3"/>
  </connection>
  <connection id="5" sourceFile="C:\Users\andres.leal\Desktop\Titulados\TIT_WEB_2019(TITULADOS 2007 - 2018)_03-06-2019.xlsx" keepAlive="1" name="TIT_WEB_2019(TITULADOS 2007 - 2018)_03-06-2019" type="5" refreshedVersion="6" background="1">
    <dbPr connection="Provider=Microsoft.ACE.OLEDB.12.0;User ID=Admin;Data Source=C:\Users\andres.leal\Desktop\Titulados\TIT_WEB_2019(TITULADOS 2007 - 2018)_03-06-2019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_2019_TITULADOS_2007___2018_" commandType="3"/>
  </connection>
  <connection id="6" sourceFile="C:\Users\andres.leal\Desktop\Titulados\TIT_WEB_2019(TITULADOS 2007 - 2018)_03-06-2019_final.xlsx" keepAlive="1" name="TIT_WEB_2019(TITULADOS 2007 - 2018)_03-06-2019_final" type="5" refreshedVersion="6" background="1">
    <dbPr connection="Provider=Microsoft.ACE.OLEDB.12.0;User ID=Admin;Data Source=C:\Users\andres.leal\Desktop\Titulados\TIT_WEB_2019(TITULADOS 2007 - 2018)_03-06-2019_final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_2019$" commandType="3"/>
  </connection>
  <connection id="7" sourceFile="C:\Users\andres.leal\Desktop\Titulados\TIT_WEB_2019(TITULADOS 2007- 2018).xlsx" keepAlive="1" name="TIT_WEB_2019(TITULADOS 2007- 2018)" type="5" refreshedVersion="6" background="1">
    <dbPr connection="Provider=Microsoft.ACE.OLEDB.12.0;User ID=Admin;Data Source=C:\Users\andres.leal\Desktop\Titulados\TIT_WEB_2019(TITULADOS 2007- 2018)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uladosweb$" commandType="3"/>
  </connection>
</connections>
</file>

<file path=xl/sharedStrings.xml><?xml version="1.0" encoding="utf-8"?>
<sst xmlns="http://schemas.openxmlformats.org/spreadsheetml/2006/main" count="1251" uniqueCount="438">
  <si>
    <t>Tipo de institución</t>
  </si>
  <si>
    <t>Pregrado</t>
  </si>
  <si>
    <t>Posgrado</t>
  </si>
  <si>
    <t>Postítulo</t>
  </si>
  <si>
    <t>Total general</t>
  </si>
  <si>
    <t>Centros de Formación Técnica</t>
  </si>
  <si>
    <t>Institutos Profesionales</t>
  </si>
  <si>
    <t>Universidades</t>
  </si>
  <si>
    <t>Titulación Total</t>
  </si>
  <si>
    <t>Región</t>
  </si>
  <si>
    <t>Área</t>
  </si>
  <si>
    <t>Administración y Comercio</t>
  </si>
  <si>
    <t>Agropecuaria</t>
  </si>
  <si>
    <t>Arte y Arquitectura</t>
  </si>
  <si>
    <t>Ciencias Básicas</t>
  </si>
  <si>
    <t>Ciencias Sociales</t>
  </si>
  <si>
    <t>Derecho</t>
  </si>
  <si>
    <t>Educación</t>
  </si>
  <si>
    <t>Humanidades</t>
  </si>
  <si>
    <t>Salud</t>
  </si>
  <si>
    <t>Tecnología</t>
  </si>
  <si>
    <t>Volver al índice</t>
  </si>
  <si>
    <t xml:space="preserve">Evolución de Titulación Total por tipo de institución </t>
  </si>
  <si>
    <t>Tipo de institución y grado</t>
  </si>
  <si>
    <t>Evolución de Titulación Total por rango de edad y/o promedio de edad</t>
  </si>
  <si>
    <t>Rango de edad</t>
  </si>
  <si>
    <t>15 a 19 años</t>
  </si>
  <si>
    <t>20 a 24 años</t>
  </si>
  <si>
    <t>25 a 29 años</t>
  </si>
  <si>
    <t>30 a 34 años</t>
  </si>
  <si>
    <t>35 a 39 años</t>
  </si>
  <si>
    <t>40 y más años</t>
  </si>
  <si>
    <t>Sin información</t>
  </si>
  <si>
    <t>Evolución de Titulación Total por región</t>
  </si>
  <si>
    <t>Promedio de Edad</t>
  </si>
  <si>
    <t>Tipo de carrera</t>
  </si>
  <si>
    <t>Técnico de Nivel Superior</t>
  </si>
  <si>
    <t>Profesional sin licenciatura previa</t>
  </si>
  <si>
    <t>Licenciatura no conducente a título</t>
  </si>
  <si>
    <t>Profesional con licenciatura previa</t>
  </si>
  <si>
    <t>Jornada</t>
  </si>
  <si>
    <t>Diurno</t>
  </si>
  <si>
    <t>Vespertino</t>
  </si>
  <si>
    <t>Otro</t>
  </si>
  <si>
    <t>Evolución de Titulación Total de Pregrado por tipo de institución</t>
  </si>
  <si>
    <t>Evolución de Titulación Total de Pregrado por tipo de carrera</t>
  </si>
  <si>
    <t>Carreras Profesionales Universitarias**</t>
  </si>
  <si>
    <t>Tipo de institución y carrera</t>
  </si>
  <si>
    <t>Evolución de Titulación Total de Pregrado por jornada</t>
  </si>
  <si>
    <t>Evolución de Titulación Total de Pregrado por área</t>
  </si>
  <si>
    <t>Carreras</t>
  </si>
  <si>
    <t>Técnico en Enfermería</t>
  </si>
  <si>
    <t>Técnico en Administración de Empresas</t>
  </si>
  <si>
    <t>Técnico Asistente del Educador de Párvulos</t>
  </si>
  <si>
    <t>Técnico en Gastronomía y Cocina</t>
  </si>
  <si>
    <t>Técnico en Mecánica Automotriz</t>
  </si>
  <si>
    <t>Técnico en Turismo y Hotelería</t>
  </si>
  <si>
    <t>Técnico Asistente del Educador Diferencial</t>
  </si>
  <si>
    <t>Técnico en Mantenimiento Industrial</t>
  </si>
  <si>
    <t>Técnico Dental y Asistente de Odontología</t>
  </si>
  <si>
    <t>Técnico en Electricidad y Electricidad Industrial</t>
  </si>
  <si>
    <t>Técnico Agropecuario</t>
  </si>
  <si>
    <t>Técnico en Construcción y Obras Civiles</t>
  </si>
  <si>
    <t>Técnico en Contabilidad General</t>
  </si>
  <si>
    <t>Técnico en Instrumentación, Automatización y Control Industrial</t>
  </si>
  <si>
    <t>Ingeniería en Prevención de Riesgos</t>
  </si>
  <si>
    <t>Administración de Empresas e Ing. Asociadas</t>
  </si>
  <si>
    <t>Trabajo Social</t>
  </si>
  <si>
    <t>Contador Auditor</t>
  </si>
  <si>
    <t>Psicopedagogía</t>
  </si>
  <si>
    <t>Ingeniería en Computación e Informática</t>
  </si>
  <si>
    <t>Ingeniería en Mecánica Automotriz</t>
  </si>
  <si>
    <t>Técnico en Servicio Social</t>
  </si>
  <si>
    <t>Construcción Civil</t>
  </si>
  <si>
    <t>Ingeniería Comercial</t>
  </si>
  <si>
    <t>Ingeniería Civil Industrial</t>
  </si>
  <si>
    <t>Enfermería</t>
  </si>
  <si>
    <t>Psicología</t>
  </si>
  <si>
    <t>Pedagogía en Educación Física</t>
  </si>
  <si>
    <t>Pedagogía en Educación Diferencial</t>
  </si>
  <si>
    <t>Nutrición y Dietética</t>
  </si>
  <si>
    <t>Evolución de Titulación Total de Pregrado por rango de edad</t>
  </si>
  <si>
    <t>Doctorado</t>
  </si>
  <si>
    <t>Magíster</t>
  </si>
  <si>
    <t>Tipo de programa</t>
  </si>
  <si>
    <t>Tipo de institución y programa</t>
  </si>
  <si>
    <t>Especialidad médica u odontológica</t>
  </si>
  <si>
    <t>Diplomado (superior a un semestre)</t>
  </si>
  <si>
    <t xml:space="preserve">Sin información </t>
  </si>
  <si>
    <t>Evolución de Titulación Total de Postítulo por tipo de institución</t>
  </si>
  <si>
    <t>Evolución de Titulación Total de Postítulo por tipo de programa</t>
  </si>
  <si>
    <t>Nombre de la institución</t>
  </si>
  <si>
    <t>CFT ALPES</t>
  </si>
  <si>
    <t>CFT CAMARA DE COMERCIO DE SANTIAGO</t>
  </si>
  <si>
    <t>CFT CEDUC - UCN</t>
  </si>
  <si>
    <t>CFT CEITEC</t>
  </si>
  <si>
    <t>CFT CENCO</t>
  </si>
  <si>
    <t>CFT CENTRO TECNOLOGICO SUPERIOR INFOMED</t>
  </si>
  <si>
    <t>CFT DE ENAC</t>
  </si>
  <si>
    <t>CFT DEL MEDIO AMBIENTE</t>
  </si>
  <si>
    <t>CFT EDUCAP</t>
  </si>
  <si>
    <t>CFT INACAP</t>
  </si>
  <si>
    <t>CFT INSTITUTO CENTRAL DE CAPACITACION EDUCACIONAL ICCE</t>
  </si>
  <si>
    <t>CFT INSTITUTO SUPERIOR DE ESTUDIOS JURIDICOS CANON</t>
  </si>
  <si>
    <t>CFT IPROSEC</t>
  </si>
  <si>
    <t>CFT JUAN BOHON</t>
  </si>
  <si>
    <t>CFT LAPLACE</t>
  </si>
  <si>
    <t>CFT LOS LAGOS</t>
  </si>
  <si>
    <t>CFT LOTA-ARAUCO</t>
  </si>
  <si>
    <t>CFT MANPOWER</t>
  </si>
  <si>
    <t>CFT MASSACHUSETTS</t>
  </si>
  <si>
    <t>CFT PRODATA</t>
  </si>
  <si>
    <t>CFT PROFASOC</t>
  </si>
  <si>
    <t>CFT SANTO TOMAS</t>
  </si>
  <si>
    <t>CFT TEODORO WICKEL KLUWEN</t>
  </si>
  <si>
    <t>IP AGRARIO ADOLFO MATTHEI</t>
  </si>
  <si>
    <t>IP AIEP</t>
  </si>
  <si>
    <t>IP CIISA</t>
  </si>
  <si>
    <t>IP DE ARTE Y COMUNICACION ARCOS</t>
  </si>
  <si>
    <t>IP DE CHILE</t>
  </si>
  <si>
    <t>IP DE CIENCIAS DE LA COMPUTACION ACUARIO DATA</t>
  </si>
  <si>
    <t>IP DEL VALLE CENTRAL</t>
  </si>
  <si>
    <t>IP DIEGO PORTALES</t>
  </si>
  <si>
    <t>IP DR. VIRGINIO GOMEZ G.</t>
  </si>
  <si>
    <t>IP DUOC UC</t>
  </si>
  <si>
    <t>IP EATRI INSTITUTO PROFESIONAL</t>
  </si>
  <si>
    <t>IP ESCUELA DE CONTADORES AUDITORES DE SANTIAGO</t>
  </si>
  <si>
    <t>IP ESCUELA MODERNA DE MUSICA</t>
  </si>
  <si>
    <t>IP ESUCOMEX</t>
  </si>
  <si>
    <t>IP INACAP</t>
  </si>
  <si>
    <t>IP INSTITUTO DE ESTUDIOS BANCARIOS GUILLERMO SUBERCASEAUX</t>
  </si>
  <si>
    <t>IP INSTITUTO INTERNACIONAL DE ARTES CULINARIAS Y SERVICIOS</t>
  </si>
  <si>
    <t>IP INSTITUTO NACIONAL DEL FUTBOL</t>
  </si>
  <si>
    <t>IP INSTITUTO SUPERIOR DE ARTES Y CIENCIAS DE LA COMUNICACION</t>
  </si>
  <si>
    <t>IP IPG</t>
  </si>
  <si>
    <t>IP LIBERTADOR DE LOS ANDES</t>
  </si>
  <si>
    <t>IP LOS LAGOS</t>
  </si>
  <si>
    <t>IP LOS LEONES</t>
  </si>
  <si>
    <t>IP PROVIDENCIA</t>
  </si>
  <si>
    <t>IP SANTO TOMAS</t>
  </si>
  <si>
    <t>PONTIFICIA UNIVERSIDAD CATOLICA DE CHILE</t>
  </si>
  <si>
    <t>PONTIFICIA UNIVERSIDAD CATOLICA DE VALPARAISO</t>
  </si>
  <si>
    <t>UNIVERSIDAD ACADEMIA DE HUMANISMO CRISTIANO</t>
  </si>
  <si>
    <t>UNIVERSIDAD ADOLFO IBAÑEZ</t>
  </si>
  <si>
    <t>UNIVERSIDAD ADVENTISTA DE CHILE</t>
  </si>
  <si>
    <t>UNIVERSIDAD ALBERTO HURTADO</t>
  </si>
  <si>
    <t>UNIVERSIDAD ANDRES BELLO</t>
  </si>
  <si>
    <t>UNIVERSIDAD ARTURO PRAT</t>
  </si>
  <si>
    <t>UNIVERSIDAD AUSTRAL DE CHILE</t>
  </si>
  <si>
    <t>UNIVERSIDAD AUTONOMA DE CHILE</t>
  </si>
  <si>
    <t>UNIVERSIDAD BERNARDO O'HIGGINS</t>
  </si>
  <si>
    <t>UNIVERSIDAD BOLIVARIANA</t>
  </si>
  <si>
    <t>UNIVERSIDAD CATOLICA DE LA SANTISIMA CONCEPCION</t>
  </si>
  <si>
    <t>UNIVERSIDAD CATOLICA DE TEMUCO</t>
  </si>
  <si>
    <t>UNIVERSIDAD CATOLICA DEL MAULE</t>
  </si>
  <si>
    <t>UNIVERSIDAD CATOLICA DEL NORTE</t>
  </si>
  <si>
    <t>UNIVERSIDAD CENTRAL DE CHILE</t>
  </si>
  <si>
    <t>UNIVERSIDAD DE ACONCAGUA</t>
  </si>
  <si>
    <t>UNIVERSIDAD DE ANTOFAGASTA</t>
  </si>
  <si>
    <t>UNIVERSIDAD DE ARTES, CIENCIAS Y COMUNICACION - UNIACC</t>
  </si>
  <si>
    <t>UNIVERSIDAD DE ATACAMA</t>
  </si>
  <si>
    <t>UNIVERSIDAD DE CHILE</t>
  </si>
  <si>
    <t>UNIVERSIDAD DE CONCEPCION</t>
  </si>
  <si>
    <t>UNIVERSIDAD DE LA FRONTERA</t>
  </si>
  <si>
    <t>UNIVERSIDAD DE LA SERENA</t>
  </si>
  <si>
    <t>UNIVERSIDAD DE LAS AMERICAS</t>
  </si>
  <si>
    <t>UNIVERSIDAD DE LOS ANDES</t>
  </si>
  <si>
    <t>UNIVERSIDAD DE LOS LAGOS</t>
  </si>
  <si>
    <t>UNIVERSIDAD DE MAGALLANES</t>
  </si>
  <si>
    <t>UNIVERSIDAD DE PLAYA ANCHA DE CIENCIAS DE LA EDUCACION</t>
  </si>
  <si>
    <t>UNIVERSIDAD DE SANTIAGO DE CHILE</t>
  </si>
  <si>
    <t>UNIVERSIDAD DE TALCA</t>
  </si>
  <si>
    <t>UNIVERSIDAD DE TARAPACA</t>
  </si>
  <si>
    <t>UNIVERSIDAD DE VALPARAISO</t>
  </si>
  <si>
    <t>UNIVERSIDAD DE VIÑA DEL MAR</t>
  </si>
  <si>
    <t>UNIVERSIDAD DEL BIO-BIO</t>
  </si>
  <si>
    <t>UNIVERSIDAD DEL DESARROLLO</t>
  </si>
  <si>
    <t>UNIVERSIDAD DIEGO PORTALES</t>
  </si>
  <si>
    <t>UNIVERSIDAD FINIS TERRAE</t>
  </si>
  <si>
    <t>UNIVERSIDAD GABRIELA MISTRAL</t>
  </si>
  <si>
    <t>UNIVERSIDAD LOS LEONES</t>
  </si>
  <si>
    <t>UNIVERSIDAD MAYOR</t>
  </si>
  <si>
    <t>UNIVERSIDAD METROPOLITANA DE CIENCIAS DE LA EDUCACION</t>
  </si>
  <si>
    <t>UNIVERSIDAD MIGUEL DE CERVANTES</t>
  </si>
  <si>
    <t>UNIVERSIDAD SAN SEBASTIAN</t>
  </si>
  <si>
    <t>UNIVERSIDAD SANTO TOMAS</t>
  </si>
  <si>
    <t>UNIVERSIDAD SEK</t>
  </si>
  <si>
    <t>UNIVERSIDAD TECNICA FEDERICO SANTA MARIA</t>
  </si>
  <si>
    <t>UNIVERSIDAD TECNOLOGICA DE CHILE INACAP</t>
  </si>
  <si>
    <t>UNIVERSIDAD TECNOLOGICA METROPOLITANA</t>
  </si>
  <si>
    <t xml:space="preserve">Hoja </t>
  </si>
  <si>
    <t>Tabla</t>
  </si>
  <si>
    <t>Contenido</t>
  </si>
  <si>
    <t>Indice de Tablas</t>
  </si>
  <si>
    <t>Evolución de Titulación Total de Pregrado por tipo de institución 2</t>
  </si>
  <si>
    <t>Evolución de Titulación Total de Pregrado por tipo de carrera (técnico y profesional)</t>
  </si>
  <si>
    <t>Evolución de Titulación Total de Pregrado en carreras de mayor titulación - CFT</t>
  </si>
  <si>
    <t>Evolución de Titulación Total de Pregrado en carreras de mayor titulación - IP</t>
  </si>
  <si>
    <t>Evolución de Titulación Total de Pregrado en carreras de mayor titulación - Universidades</t>
  </si>
  <si>
    <t xml:space="preserve">Evolución de Titulación Total de Posgrado por tipo de programa </t>
  </si>
  <si>
    <t>Mujeres</t>
  </si>
  <si>
    <t>Hombres</t>
  </si>
  <si>
    <t>Evolución de Titulación Total por sexo</t>
  </si>
  <si>
    <t>Evolución de Titulación Total por tipo de institución 2</t>
  </si>
  <si>
    <t xml:space="preserve">Evolución de Titulación Total por tipo de institución 2 </t>
  </si>
  <si>
    <t>Profesional sin licenciatura</t>
  </si>
  <si>
    <t>Profesional con licenciatura</t>
  </si>
  <si>
    <t>Evolución de Titulación Total de Pregrado por tipo de institución y tipo de carrera</t>
  </si>
  <si>
    <t>Evolución de Titulación Total de Pregrado por tipo de institución 2 y tipo de carrera</t>
  </si>
  <si>
    <t>Evolución de Titulación Total por nivel de formación</t>
  </si>
  <si>
    <t>Evolución de Titulación Total por tipo de institución y nivel de formación</t>
  </si>
  <si>
    <t>Evolución de Titulación Total por tipo de institución 2 y nivel de formación</t>
  </si>
  <si>
    <t>Evolución de Titulación Total de Posgrado por tipo de universidad</t>
  </si>
  <si>
    <t xml:space="preserve">Evolución de Titulación Total de Posgrado por tipo de universidad y tipo de programa </t>
  </si>
  <si>
    <t>Evolución de Titulación Total de Postítulo por tipo de institución y tipo de programa</t>
  </si>
  <si>
    <t>Evolución de Titulación Total de Pregrado por sexo</t>
  </si>
  <si>
    <t>Evolución de Titulación Total de Pregrado por sexo - CFT</t>
  </si>
  <si>
    <t>Evolución de Titulación Total de Pregrado por sexo - IP</t>
  </si>
  <si>
    <t>Evolución de Titulación Total de Pregrado por sexo - Universidades</t>
  </si>
  <si>
    <t>Sexo</t>
  </si>
  <si>
    <t>Nivel de formación</t>
  </si>
  <si>
    <t>Semipresencial</t>
  </si>
  <si>
    <t>A Distancia</t>
  </si>
  <si>
    <t>Técnico en Computación e Informática</t>
  </si>
  <si>
    <t>A distancia</t>
  </si>
  <si>
    <t>Evolución de Titulación Total de Pregrado por sexo y tipo de programa</t>
  </si>
  <si>
    <t>Evolución de Titulación Total de Postítulo por sexo y tipo de programa</t>
  </si>
  <si>
    <t>Tipo de Institución</t>
  </si>
  <si>
    <t>Ingeniería en Recursos Humanos</t>
  </si>
  <si>
    <t>U. Privada</t>
  </si>
  <si>
    <t>Fuente: Servicio de Información de Educación Superior (SIES), de Mineduc.</t>
  </si>
  <si>
    <t>** Incluye solo Carreras Profesionales con licenciatura y Licenciaturas no conducentes a título.</t>
  </si>
  <si>
    <t>Tipo de universidad</t>
  </si>
  <si>
    <t>Sexo y tipo de programa</t>
  </si>
  <si>
    <t>Tipo de universidad y programa</t>
  </si>
  <si>
    <r>
      <t xml:space="preserve">Diplomado 
</t>
    </r>
    <r>
      <rPr>
        <sz val="10"/>
        <color theme="1"/>
        <rFont val="Calibri"/>
        <family val="2"/>
        <scheme val="minor"/>
      </rPr>
      <t>(superior a un semestre)</t>
    </r>
  </si>
  <si>
    <t>NOTA: En caso de utilizar datos de esta base para notas periodísticas o estudios, se debe citar como fuente de los datos al Servicio de Información de Educación Superior (SIES), de Mineduc</t>
  </si>
  <si>
    <t>Arica y Parinacota</t>
  </si>
  <si>
    <t>Tarapacá</t>
  </si>
  <si>
    <t>Antofagasta</t>
  </si>
  <si>
    <t>Atacama</t>
  </si>
  <si>
    <t>Coquimbo</t>
  </si>
  <si>
    <t>Valparaíso</t>
  </si>
  <si>
    <t>Maule</t>
  </si>
  <si>
    <t>Biobío</t>
  </si>
  <si>
    <t>La Araucanía</t>
  </si>
  <si>
    <t>Los Ríos</t>
  </si>
  <si>
    <t>Los Lagos</t>
  </si>
  <si>
    <t>Aysén</t>
  </si>
  <si>
    <t>Magallanes</t>
  </si>
  <si>
    <t xml:space="preserve">Magallanes </t>
  </si>
  <si>
    <t xml:space="preserve">Total general </t>
  </si>
  <si>
    <t>Diplomado 
(superior a un semestre)</t>
  </si>
  <si>
    <t>Metropolitana</t>
  </si>
  <si>
    <t>Técnico en Logística</t>
  </si>
  <si>
    <t>IP ESCUELA DE CINE DE CHILE</t>
  </si>
  <si>
    <t>Ñuble</t>
  </si>
  <si>
    <t>Ingeniería Industrial</t>
  </si>
  <si>
    <t>IP LATINOAMERICANO DE COMERCIO EXTERIOR - IPLACEX</t>
  </si>
  <si>
    <t>UNIVERSIDAD CATOLICA CARDENAL RAUL SILVA HENRIQUEZ</t>
  </si>
  <si>
    <t>CFT ACCIOMA</t>
  </si>
  <si>
    <t>CFT ESCUELA SUPERIOR DE ADMINISTRACION DE NEGOCIOS DEL NORTE - ESANE DEL NORTE</t>
  </si>
  <si>
    <t>CFT PUCV</t>
  </si>
  <si>
    <t>CFT SAN AGUSTIN</t>
  </si>
  <si>
    <t>IP CHILENO BRITANICO DE CULTURA</t>
  </si>
  <si>
    <t>CFT INSTITUTO SUPERIOR ALEMAN DE COMERCIO INSALCO</t>
  </si>
  <si>
    <t>IP ESCUELA DE MARINA MERCANTE PILOTO PARDO</t>
  </si>
  <si>
    <t>UNIVERSIDAD IBEROAMERICANA DE CIENCIAS Y TECNOLOGIA, UNICYT (*CARRERA EN CONVENIO USACH)</t>
  </si>
  <si>
    <t>Evolución de la Titulación Total por jornada de estudios de la carrera</t>
  </si>
  <si>
    <t>* Incluye Carreras Técnicas de Nivel Superior y Profesionales sin licenciatura.</t>
  </si>
  <si>
    <t>CFT</t>
  </si>
  <si>
    <t>CFT Estatal</t>
  </si>
  <si>
    <t>Ingeniería en Construcción</t>
  </si>
  <si>
    <t>Arquitectura</t>
  </si>
  <si>
    <t>CFT DE LA INDUSTRIA GRAFICA</t>
  </si>
  <si>
    <t>CFT DE LA REGION DE LA ARAUCANIA</t>
  </si>
  <si>
    <t>CFT DE LA REGION DEL MAULE</t>
  </si>
  <si>
    <t>CFT ICEL</t>
  </si>
  <si>
    <t>IP PROJAZZ</t>
  </si>
  <si>
    <t>UNIVERSIDAD DE ARTE Y CIENCIAS SOCIALES ARCIS (* CARRERA EN CONVENIO U. CATOLICA DEL MAULE)</t>
  </si>
  <si>
    <t>UNIVERSIDAD DEL PACIFICO (*CARRERA EN CONVENIO UTEM)</t>
  </si>
  <si>
    <t>Centros de Formación Técnica Estatal</t>
  </si>
  <si>
    <t>*Incluye programas de Pregrado, Posgrado y Postítulo</t>
  </si>
  <si>
    <t>O'Higgins</t>
  </si>
  <si>
    <t>Tipo de institución y formación</t>
  </si>
  <si>
    <t xml:space="preserve">Evolución de la Titulación Total por jornada </t>
  </si>
  <si>
    <t>Carreras Técnico Profesionales*</t>
  </si>
  <si>
    <t xml:space="preserve">Promedio de Edad </t>
  </si>
  <si>
    <t>Evolución de Titulación de Pregrado por tipo de institución</t>
  </si>
  <si>
    <t>Evolución de Titulación de Pregrado por tipo de institución 2</t>
  </si>
  <si>
    <t>Evolución de Titulación de Pregrado por tipo de carrera</t>
  </si>
  <si>
    <t xml:space="preserve">Evolución de Titulación de Pregrado por tipo de carrera agrupada </t>
  </si>
  <si>
    <t>Evolución de Titulación de Pregrado por tipo de institución y de carrera</t>
  </si>
  <si>
    <t>Evolución de Titulación de Pregrado por tipo de institución 2 y tipo de carrera</t>
  </si>
  <si>
    <t>Evolución de Titulación de Pregrado por jornada</t>
  </si>
  <si>
    <t>Evolución de Titulación de Pregrado por área</t>
  </si>
  <si>
    <t>Evolución de Titulación de Pregrado en carreras con mayor titulación - CFT</t>
  </si>
  <si>
    <t>Evolución de Titulación de Pregrado en carreras con mayor titulación - IP</t>
  </si>
  <si>
    <t>Evolución de Titulación de Pregrado en carreras con mayor titulación - Universidades</t>
  </si>
  <si>
    <t>Evolución de Titulación de Pregrado por sexo</t>
  </si>
  <si>
    <t>Evolución de Titulación de Pregrado por sexo - CFT</t>
  </si>
  <si>
    <t>Evolución de Titulación de Pregrado por sexo - IP</t>
  </si>
  <si>
    <t>Evolución de Titulación de Pregrado por sexo - Universidades</t>
  </si>
  <si>
    <t>Evolución de Titulación de Pregrado por rango de edad</t>
  </si>
  <si>
    <t>Evolución de Titulación de Posgrado por tipo de universidad</t>
  </si>
  <si>
    <t xml:space="preserve">Evolución de Titulación de Posgrado por tipo de programa </t>
  </si>
  <si>
    <t xml:space="preserve">Evolución de Titulación de Posgrado por tipo de universidad y de programa </t>
  </si>
  <si>
    <t>Evolución de Titulación de Pregrado por sexo y tipo de programa</t>
  </si>
  <si>
    <t>Evolución de Titulación de Postítulo por tipo de institución</t>
  </si>
  <si>
    <t>Evolución de Titulación de Postítulo por tipo de programa</t>
  </si>
  <si>
    <t>Evolución de Titulación de Postítulo por tipo de institución y programa</t>
  </si>
  <si>
    <t>Evolución de Titulación de Postítulo por sexo y tipo de programa</t>
  </si>
  <si>
    <t>Técnico en Deporte, Recreación y Preparación Física</t>
  </si>
  <si>
    <t>Kinesiología</t>
  </si>
  <si>
    <t>Medicina</t>
  </si>
  <si>
    <t>Odontología</t>
  </si>
  <si>
    <t>Fonoaudiología</t>
  </si>
  <si>
    <t>Terapia Ocupacional</t>
  </si>
  <si>
    <t>Tecnología Médica</t>
  </si>
  <si>
    <t>CFT DE LA REGION DE ARICA Y PARINACOTA</t>
  </si>
  <si>
    <t>CFT DE LA REGION DE COQUIMBO</t>
  </si>
  <si>
    <t>CFT DE LA REGION DE TARAPACA</t>
  </si>
  <si>
    <t>CFT DE LA REGION DE VALPARAISO</t>
  </si>
  <si>
    <t>CFT ESCUELA CULINARIA FRANCESA</t>
  </si>
  <si>
    <t>UNIVERSIDAD DE AYSEN</t>
  </si>
  <si>
    <t>UNIVERSIDAD DE O'HIGGINS</t>
  </si>
  <si>
    <t>INFORME TITULACIÓN 2022</t>
  </si>
  <si>
    <t>1. TITULACIÓN TOTAL 2022</t>
  </si>
  <si>
    <t>Titulación Total 2022 por tipo de institución y nivel de formación</t>
  </si>
  <si>
    <t>Titulación Total 2022 por tipo de institución y sexo</t>
  </si>
  <si>
    <t>Titulación Total 2022 por tipo de institución 2 y nivel de formación</t>
  </si>
  <si>
    <t>Titulación Total 2022 por tipo de institución 2 y sexo</t>
  </si>
  <si>
    <t>Titulación Total 2022 por región y sexo</t>
  </si>
  <si>
    <t>Titulación Total 2022  por área y sexo</t>
  </si>
  <si>
    <t>2. EVOLUCIÓN TITULACIÓN TOTAL 2007 - 2022</t>
  </si>
  <si>
    <t>3. TITULACIÓN DE PREGRADO 2022</t>
  </si>
  <si>
    <t>Titulación Total 2022 de Pregrado por sexo y tipo de institución</t>
  </si>
  <si>
    <t xml:space="preserve">Titulación Total 2022 de Pregrado por rango de edad y tipo de institución </t>
  </si>
  <si>
    <t>Titulación Total 2022 de Pregrado por tipo de carrera y tipo de institución</t>
  </si>
  <si>
    <t>Titulación Total 2022 de Pregrado por área y tipo de institución</t>
  </si>
  <si>
    <t>Titulación Total 2022 de Pregrado por área y sexo</t>
  </si>
  <si>
    <t>Titulación Total 2022 de Pregrado por jornada y tipo de institución</t>
  </si>
  <si>
    <t>Titulación Total 2022 de Pregrado por región y tipo de institución</t>
  </si>
  <si>
    <t>Titulación Total 2022 de Pregrado por región y sexo</t>
  </si>
  <si>
    <t>4. EVOLUCIÓN TITULACIÓN DE PREGRADO 2007 - 2022</t>
  </si>
  <si>
    <t>5. TITULACIÓN DE POSGRADO 2022</t>
  </si>
  <si>
    <t>Titulación Total 2022 de Posgrado por tipo de universidad y tipo de programa</t>
  </si>
  <si>
    <t>Titulación Total 2022 de Posgrado por sexo y tipo de programa</t>
  </si>
  <si>
    <t>Titulación Total 2022 de Posgrado por rango de edad y tipo de programa</t>
  </si>
  <si>
    <t>Titulación Total 2022 de Posgrado por área y tipo de programa</t>
  </si>
  <si>
    <t>Titulación Total 2022 de Posgrado por jornada y tipo de programa</t>
  </si>
  <si>
    <t>Titulación Total 2022 de Posgrado por región y tipo de programa</t>
  </si>
  <si>
    <t>Titulación Total 2022 de Posgrado por área y sexo</t>
  </si>
  <si>
    <t>Titulación Total 2022 de Posgrado por región y sexo</t>
  </si>
  <si>
    <t>6. EVOLUCIÓN TITULACIÓN DE POSGRADO 2007 - 2022</t>
  </si>
  <si>
    <t>7. TITULACIÓN DE POSTÍTULO 2022</t>
  </si>
  <si>
    <t>Titulación Total 2022 de Postítulo por tipo de universidad y tipo de programa</t>
  </si>
  <si>
    <t>Titulación Total 2022 de Postítulo por sexo y tipo de programa</t>
  </si>
  <si>
    <t>Titulación Total 2022 de Postítulo por rango de edad y tipo de programa</t>
  </si>
  <si>
    <t>Titulación Total 2022 de Postítulo por área y tipo de programa</t>
  </si>
  <si>
    <t>Titulación Total 2022 de Postítulo por jornada y tipo de programa</t>
  </si>
  <si>
    <t>Titulación Total 2022 de Postítulo por región y tipo de programa</t>
  </si>
  <si>
    <t>Titulación Total 2022 de Postítulo por área y sexo</t>
  </si>
  <si>
    <t>Titulación Total 2022 de Postítulo por región y sexo</t>
  </si>
  <si>
    <t>8. EVOLUCIÓN TITULACIÓN DE POSTÍTULO 2007 - 2022</t>
  </si>
  <si>
    <t>Listado de instituciones participantes 2022</t>
  </si>
  <si>
    <t>TITULACIÓN TOTAL 2022</t>
  </si>
  <si>
    <t>Titulación Total 2022  por área del conocimiento y sexo</t>
  </si>
  <si>
    <t>EVOLUCIÓN TITULACIÓN TOTAL 2007 - 2022</t>
  </si>
  <si>
    <t>TITULACIÓN DE PREGRADO 2022</t>
  </si>
  <si>
    <t>Titulación de Pregrado 2022 por sexo y tipo de institución</t>
  </si>
  <si>
    <t>Titulación 2022 de Pregrado Mujeres</t>
  </si>
  <si>
    <t>Titulación 2022 de Pregrado Hombres</t>
  </si>
  <si>
    <t>Titulación Total 2022 de Pregrado</t>
  </si>
  <si>
    <t xml:space="preserve">Titulación de Pregrado 2022 por rango de edad y tipo de institución </t>
  </si>
  <si>
    <t>Titulación de Pregrado 2022 por tipo de carrera y de institución</t>
  </si>
  <si>
    <t>Titulación de Pregrado 2022 por área y tipo de institución</t>
  </si>
  <si>
    <t>Titulación de Pregrado 2022 por área y sexo</t>
  </si>
  <si>
    <t>Titulación de Pregrado 2022 por jornada y tipo de institución</t>
  </si>
  <si>
    <t>Titulación de Pregrado 2022 por región y sexo</t>
  </si>
  <si>
    <t>EVOLUCIÓN TITULACIÓN DE PREGRADO 2007 - 2022</t>
  </si>
  <si>
    <t>TITULACIÓN DE POSGRADO 2022</t>
  </si>
  <si>
    <t>Titulación de Posgrado 2022 por tipo de universidad y de programa</t>
  </si>
  <si>
    <t>Titulación de Posgrado 2022 por sexo y tipo de programa</t>
  </si>
  <si>
    <t>Titulación 2022 de Posgrado Mujeres</t>
  </si>
  <si>
    <t>Titulación 2022 de Posgrado Hombres</t>
  </si>
  <si>
    <t>Titulación de Posgrado 2022 por rango de edad y tipo de programa</t>
  </si>
  <si>
    <t>Titulación de Posgrado 2022 por área y tipo de programa</t>
  </si>
  <si>
    <t>Titulación de Posgrado 2022 por jornada y tipo de programa</t>
  </si>
  <si>
    <t>Titulación de Posgrado 2022 por región y tipo de programa</t>
  </si>
  <si>
    <t>Titulación de Posgrado 2022 por área y sexo</t>
  </si>
  <si>
    <t>Titulación de Posgrado 2022 por región y sexo</t>
  </si>
  <si>
    <t>EVOLUCIÓN TITULACIÓN DE POSGRADO 2007 - 2022</t>
  </si>
  <si>
    <t>TITULACIÓN DE POSTÍTULO 2022</t>
  </si>
  <si>
    <t>Titulación de Postítulo 2022 por tipo de institución y de programa</t>
  </si>
  <si>
    <t>Titulación de Postítulo 2022 por sexo y tipo de programa</t>
  </si>
  <si>
    <t>Titulación 2022 de Postìtulo Mujeres</t>
  </si>
  <si>
    <t>Titulación 2022 de Postítulo Hombres</t>
  </si>
  <si>
    <t>Titulación de Postítulo 2022 por rango de edad y tipo de programa</t>
  </si>
  <si>
    <t>Titulación de Postítulo 2022 por área y tipo de programa</t>
  </si>
  <si>
    <t>Titulación de Postítulo 2022 por jornada y tipo de programa</t>
  </si>
  <si>
    <t>Titulación de Postítulo 2022 por región y tipo de programa</t>
  </si>
  <si>
    <t>Titulación de Postítulo 2022 por área y sexo</t>
  </si>
  <si>
    <t>Titulación de Postítulo 2022 por región y sexo</t>
  </si>
  <si>
    <t>EVOLUCIÓN TITULACIÓN DE POSTÍTULO 2007 - 2022</t>
  </si>
  <si>
    <t>Instituciones participantes en proceso Titulación 2022</t>
  </si>
  <si>
    <t>% Variación 2013 - 2022</t>
  </si>
  <si>
    <t>% Variación 2018  - 2022</t>
  </si>
  <si>
    <t>% Variación 2021 - 2022</t>
  </si>
  <si>
    <t>Distribución Titulación 2022</t>
  </si>
  <si>
    <t>Titulación Total 2022 de Posgrado</t>
  </si>
  <si>
    <t>Titulación Total 2022 de Postítulo</t>
  </si>
  <si>
    <t>Titulados Pregrado 2022</t>
  </si>
  <si>
    <t>Graduados Posgrado 2022</t>
  </si>
  <si>
    <t>Titulados Postítulo 2022</t>
  </si>
  <si>
    <t>Total Titulados y/o Graduados 2022</t>
  </si>
  <si>
    <t>n/a</t>
  </si>
  <si>
    <t>Técnico en Farmacia</t>
  </si>
  <si>
    <t>Técnico en Administración de Recursos Humanos y Personal</t>
  </si>
  <si>
    <t>Administración Gastronómica</t>
  </si>
  <si>
    <t>Técnico en Peluquería y Estética</t>
  </si>
  <si>
    <t>Pedagogía en Educación Básica</t>
  </si>
  <si>
    <t>CFT DE LA REGION DE ANTOFAGASTA</t>
  </si>
  <si>
    <t>CFT DE LA REGION DE LOS LAGOS</t>
  </si>
  <si>
    <t>CFT DE LA REGION DE LOS RIOS</t>
  </si>
  <si>
    <t>CFT DE LA REGION DE MAGALLANES Y ANTARTICA CHILENA</t>
  </si>
  <si>
    <t>CFT DE LA REGION METROPOLITANA DE SANTIAGO</t>
  </si>
  <si>
    <t>IP ESCUELA DE COMERCIO DE SANTIAGO</t>
  </si>
  <si>
    <t>UNIVERSIDAD DEL ALBA</t>
  </si>
  <si>
    <t>UNIVERSIDAD LA REPUBLICA</t>
  </si>
  <si>
    <t>Evolución de Titulación de Pregrado por área - Mujeres</t>
  </si>
  <si>
    <t>Evolución de Titulación de Pregrado por área - Hombres</t>
  </si>
  <si>
    <t>Evolución de Titulación Total de Pregrado por área - Mujeres</t>
  </si>
  <si>
    <t>Evolución de Titulación Total de Pregrado por área - Hombres</t>
  </si>
  <si>
    <t>U. CRUCH Estatal</t>
  </si>
  <si>
    <t>U. CRUCH Privada</t>
  </si>
  <si>
    <t>A partir de 2019 las universidades Alberto Hurtado y Diego Portales, y desde 2020 la Univeridad de los Andes se integraron al Consejo de Rectores (CRUCH).</t>
  </si>
  <si>
    <t xml:space="preserve">U. CRUCH Estatal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</si>
</sst>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 * #,##0_ ;_ * \-#,##0_ ;_ * &quot;-&quot;_ ;_ @_ "/>
    <numFmt numFmtId="164" formatCode="_-* #,##0.00_-;\-* #,##0.00_-;_-* &quot;-&quot;??_-;_-@_-"/>
    <numFmt numFmtId="165" formatCode="_-* #,##0.00\ _€_-;\-* #,##0.00\ _€_-;_-* &quot;-&quot;??\ _€_-;_-@_-"/>
    <numFmt numFmtId="166" formatCode="_-* #,##0_-;\-* #,##0_-;_-* &quot;-&quot;??_-;_-@_-"/>
    <numFmt numFmtId="167" formatCode="0.0%"/>
    <numFmt numFmtId="168" formatCode="_-* #,##0.0_-;\-* #,##0.0_-;_-* &quot;-&quot;??_-;_-@_-"/>
    <numFmt numFmtId="169" formatCode="_-* #,##0\ _€_-;\-* #,##0\ _€_-;_-* &quot;-&quot;??\ _€_-;_-@_-"/>
    <numFmt numFmtId="170" formatCode="_-* #,##0.0\ _€_-;\-* #,##0.0\ _€_-;_-* &quot;-&quot;??\ _€_-;_-@_-"/>
  </numFmts>
  <fonts count="28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26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9" fontId="20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" fillId="0" borderId="0"/>
    <xf numFmtId="41" fontId="6" fillId="0" borderId="0" applyFont="0" applyFill="0" applyBorder="0" applyAlignment="0" applyProtection="0"/>
  </cellStyleXfs>
  <cellXfs count="148">
    <xf numFmtId="0" fontId="0" fillId="0" borderId="0" xfId="0"/>
    <xf numFmtId="0" fontId="8" fillId="0" borderId="0" xfId="1" applyAlignment="1">
      <alignment vertical="center"/>
    </xf>
    <xf numFmtId="0" fontId="8" fillId="0" borderId="0" xfId="1"/>
    <xf numFmtId="0" fontId="7" fillId="2" borderId="1" xfId="1" applyFont="1" applyFill="1" applyBorder="1" applyAlignment="1">
      <alignment horizontal="center" vertical="center"/>
    </xf>
    <xf numFmtId="166" fontId="6" fillId="3" borderId="1" xfId="2" applyNumberFormat="1" applyFont="1" applyFill="1" applyBorder="1" applyAlignment="1">
      <alignment horizontal="left" vertical="center"/>
    </xf>
    <xf numFmtId="166" fontId="7" fillId="3" borderId="1" xfId="2" applyNumberFormat="1" applyFont="1" applyFill="1" applyBorder="1" applyAlignment="1">
      <alignment horizontal="left" vertical="center"/>
    </xf>
    <xf numFmtId="0" fontId="7" fillId="4" borderId="1" xfId="1" applyFont="1" applyFill="1" applyBorder="1" applyAlignment="1">
      <alignment horizontal="center" vertical="center" wrapText="1"/>
    </xf>
    <xf numFmtId="166" fontId="6" fillId="3" borderId="1" xfId="4" applyNumberFormat="1" applyFont="1" applyFill="1" applyBorder="1" applyAlignment="1">
      <alignment horizontal="left" vertical="center"/>
    </xf>
    <xf numFmtId="166" fontId="6" fillId="0" borderId="1" xfId="4" applyNumberFormat="1" applyFont="1" applyBorder="1" applyAlignment="1">
      <alignment horizontal="center" vertical="center"/>
    </xf>
    <xf numFmtId="166" fontId="7" fillId="3" borderId="1" xfId="4" applyNumberFormat="1" applyFont="1" applyFill="1" applyBorder="1" applyAlignment="1">
      <alignment horizontal="left" vertical="center"/>
    </xf>
    <xf numFmtId="166" fontId="7" fillId="0" borderId="1" xfId="4" applyNumberFormat="1" applyFont="1" applyBorder="1" applyAlignment="1">
      <alignment horizontal="center" vertical="center"/>
    </xf>
    <xf numFmtId="0" fontId="13" fillId="0" borderId="0" xfId="1" applyFont="1" applyAlignment="1">
      <alignment vertical="center"/>
    </xf>
    <xf numFmtId="0" fontId="7" fillId="2" borderId="1" xfId="1" applyFont="1" applyFill="1" applyBorder="1" applyAlignment="1">
      <alignment horizontal="center" vertical="center" wrapText="1"/>
    </xf>
    <xf numFmtId="167" fontId="0" fillId="0" borderId="0" xfId="3" applyNumberFormat="1" applyFont="1"/>
    <xf numFmtId="167" fontId="7" fillId="3" borderId="1" xfId="3" applyNumberFormat="1" applyFont="1" applyFill="1" applyBorder="1" applyAlignment="1">
      <alignment horizontal="center" vertical="center"/>
    </xf>
    <xf numFmtId="166" fontId="7" fillId="0" borderId="1" xfId="1" applyNumberFormat="1" applyFont="1" applyBorder="1" applyAlignment="1">
      <alignment vertical="center"/>
    </xf>
    <xf numFmtId="166" fontId="6" fillId="0" borderId="1" xfId="1" applyNumberFormat="1" applyFont="1" applyBorder="1" applyAlignment="1">
      <alignment vertical="center"/>
    </xf>
    <xf numFmtId="166" fontId="6" fillId="0" borderId="1" xfId="4" applyNumberFormat="1" applyFont="1" applyFill="1" applyBorder="1" applyAlignment="1">
      <alignment horizontal="left" vertical="center"/>
    </xf>
    <xf numFmtId="166" fontId="7" fillId="0" borderId="1" xfId="4" applyNumberFormat="1" applyFont="1" applyFill="1" applyBorder="1" applyAlignment="1">
      <alignment horizontal="left" vertical="center"/>
    </xf>
    <xf numFmtId="166" fontId="6" fillId="3" borderId="1" xfId="2" applyNumberFormat="1" applyFont="1" applyFill="1" applyBorder="1" applyAlignment="1">
      <alignment horizontal="center" vertical="center"/>
    </xf>
    <xf numFmtId="166" fontId="7" fillId="3" borderId="1" xfId="2" applyNumberFormat="1" applyFont="1" applyFill="1" applyBorder="1" applyAlignment="1">
      <alignment horizontal="center" vertical="center"/>
    </xf>
    <xf numFmtId="166" fontId="7" fillId="0" borderId="1" xfId="1" applyNumberFormat="1" applyFont="1" applyBorder="1" applyAlignment="1">
      <alignment horizontal="center" vertical="center"/>
    </xf>
    <xf numFmtId="166" fontId="6" fillId="0" borderId="1" xfId="1" applyNumberFormat="1" applyFont="1" applyBorder="1" applyAlignment="1">
      <alignment horizontal="center" vertical="center"/>
    </xf>
    <xf numFmtId="0" fontId="10" fillId="3" borderId="0" xfId="1" applyFont="1" applyFill="1" applyAlignment="1">
      <alignment vertical="center"/>
    </xf>
    <xf numFmtId="0" fontId="17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0" fontId="8" fillId="0" borderId="0" xfId="1" applyAlignment="1">
      <alignment horizontal="center" vertical="center"/>
    </xf>
    <xf numFmtId="0" fontId="9" fillId="0" borderId="0" xfId="1" applyFont="1" applyAlignment="1">
      <alignment vertical="center"/>
    </xf>
    <xf numFmtId="166" fontId="0" fillId="3" borderId="1" xfId="2" applyNumberFormat="1" applyFont="1" applyFill="1" applyBorder="1" applyAlignment="1">
      <alignment horizontal="left" vertical="center"/>
    </xf>
    <xf numFmtId="0" fontId="8" fillId="0" borderId="0" xfId="1" applyAlignment="1">
      <alignment horizontal="left" vertical="center"/>
    </xf>
    <xf numFmtId="166" fontId="6" fillId="3" borderId="1" xfId="7" applyNumberFormat="1" applyFont="1" applyFill="1" applyBorder="1" applyAlignment="1">
      <alignment horizontal="left" vertical="center"/>
    </xf>
    <xf numFmtId="0" fontId="9" fillId="3" borderId="0" xfId="1" applyFont="1" applyFill="1" applyAlignment="1">
      <alignment vertical="center"/>
    </xf>
    <xf numFmtId="0" fontId="8" fillId="3" borderId="0" xfId="1" applyFill="1" applyAlignment="1">
      <alignment vertical="center"/>
    </xf>
    <xf numFmtId="0" fontId="10" fillId="3" borderId="0" xfId="1" applyFont="1" applyFill="1" applyAlignment="1">
      <alignment horizontal="left" vertical="center"/>
    </xf>
    <xf numFmtId="169" fontId="6" fillId="0" borderId="1" xfId="22" applyNumberFormat="1" applyFont="1" applyBorder="1" applyAlignment="1">
      <alignment horizontal="center" vertical="center"/>
    </xf>
    <xf numFmtId="169" fontId="7" fillId="0" borderId="1" xfId="22" applyNumberFormat="1" applyFont="1" applyBorder="1" applyAlignment="1">
      <alignment horizontal="center" vertical="center"/>
    </xf>
    <xf numFmtId="169" fontId="8" fillId="0" borderId="0" xfId="22" applyNumberFormat="1" applyFont="1" applyAlignment="1">
      <alignment vertical="center"/>
    </xf>
    <xf numFmtId="169" fontId="8" fillId="3" borderId="0" xfId="22" applyNumberFormat="1" applyFont="1" applyFill="1" applyAlignment="1">
      <alignment vertical="center"/>
    </xf>
    <xf numFmtId="169" fontId="7" fillId="4" borderId="1" xfId="22" applyNumberFormat="1" applyFont="1" applyFill="1" applyBorder="1" applyAlignment="1">
      <alignment horizontal="center" vertical="center" wrapText="1"/>
    </xf>
    <xf numFmtId="169" fontId="15" fillId="0" borderId="1" xfId="22" applyNumberFormat="1" applyFont="1" applyFill="1" applyBorder="1" applyAlignment="1">
      <alignment horizontal="right" vertical="center"/>
    </xf>
    <xf numFmtId="169" fontId="16" fillId="0" borderId="1" xfId="22" applyNumberFormat="1" applyFont="1" applyFill="1" applyBorder="1" applyAlignment="1">
      <alignment horizontal="right" vertical="center"/>
    </xf>
    <xf numFmtId="169" fontId="8" fillId="0" borderId="0" xfId="22" applyNumberFormat="1" applyFont="1"/>
    <xf numFmtId="169" fontId="22" fillId="2" borderId="1" xfId="22" applyNumberFormat="1" applyFont="1" applyFill="1" applyBorder="1" applyAlignment="1">
      <alignment horizontal="center" vertical="center" wrapText="1"/>
    </xf>
    <xf numFmtId="169" fontId="10" fillId="3" borderId="0" xfId="22" applyNumberFormat="1" applyFont="1" applyFill="1" applyAlignment="1">
      <alignment vertical="center"/>
    </xf>
    <xf numFmtId="169" fontId="7" fillId="4" borderId="1" xfId="22" applyNumberFormat="1" applyFont="1" applyFill="1" applyBorder="1" applyAlignment="1">
      <alignment vertical="center"/>
    </xf>
    <xf numFmtId="169" fontId="0" fillId="0" borderId="1" xfId="22" applyNumberFormat="1" applyFont="1" applyBorder="1" applyAlignment="1">
      <alignment vertical="center"/>
    </xf>
    <xf numFmtId="169" fontId="7" fillId="0" borderId="1" xfId="22" applyNumberFormat="1" applyFont="1" applyBorder="1" applyAlignment="1">
      <alignment vertical="center"/>
    </xf>
    <xf numFmtId="169" fontId="7" fillId="2" borderId="1" xfId="22" applyNumberFormat="1" applyFont="1" applyFill="1" applyBorder="1" applyAlignment="1">
      <alignment horizontal="left" vertical="center"/>
    </xf>
    <xf numFmtId="169" fontId="6" fillId="3" borderId="1" xfId="22" applyNumberFormat="1" applyFont="1" applyFill="1" applyBorder="1" applyAlignment="1">
      <alignment horizontal="left" vertical="center"/>
    </xf>
    <xf numFmtId="169" fontId="7" fillId="3" borderId="1" xfId="22" applyNumberFormat="1" applyFont="1" applyFill="1" applyBorder="1" applyAlignment="1">
      <alignment horizontal="left" vertical="center"/>
    </xf>
    <xf numFmtId="169" fontId="7" fillId="4" borderId="1" xfId="22" applyNumberFormat="1" applyFont="1" applyFill="1" applyBorder="1" applyAlignment="1">
      <alignment horizontal="left" vertical="center"/>
    </xf>
    <xf numFmtId="169" fontId="7" fillId="3" borderId="0" xfId="22" applyNumberFormat="1" applyFont="1" applyFill="1" applyBorder="1" applyAlignment="1">
      <alignment vertical="center"/>
    </xf>
    <xf numFmtId="169" fontId="9" fillId="3" borderId="0" xfId="22" applyNumberFormat="1" applyFont="1" applyFill="1" applyAlignment="1">
      <alignment vertical="center"/>
    </xf>
    <xf numFmtId="169" fontId="6" fillId="0" borderId="1" xfId="22" applyNumberFormat="1" applyFont="1" applyFill="1" applyBorder="1" applyAlignment="1">
      <alignment horizontal="center" vertical="center"/>
    </xf>
    <xf numFmtId="169" fontId="7" fillId="0" borderId="1" xfId="22" applyNumberFormat="1" applyFont="1" applyFill="1" applyBorder="1" applyAlignment="1">
      <alignment horizontal="center" vertical="center"/>
    </xf>
    <xf numFmtId="0" fontId="23" fillId="3" borderId="0" xfId="1" applyFont="1" applyFill="1" applyAlignment="1">
      <alignment vertical="center"/>
    </xf>
    <xf numFmtId="167" fontId="0" fillId="3" borderId="0" xfId="3" applyNumberFormat="1" applyFont="1" applyFill="1" applyAlignment="1">
      <alignment vertical="center"/>
    </xf>
    <xf numFmtId="9" fontId="0" fillId="3" borderId="0" xfId="3" applyFont="1" applyFill="1" applyAlignment="1">
      <alignment vertical="center"/>
    </xf>
    <xf numFmtId="0" fontId="11" fillId="3" borderId="0" xfId="1" applyFont="1" applyFill="1" applyAlignment="1">
      <alignment horizontal="left" vertical="center"/>
    </xf>
    <xf numFmtId="0" fontId="12" fillId="3" borderId="0" xfId="5" applyFill="1" applyAlignment="1">
      <alignment vertical="center"/>
    </xf>
    <xf numFmtId="0" fontId="13" fillId="3" borderId="0" xfId="1" applyFont="1" applyFill="1" applyAlignment="1">
      <alignment vertical="center"/>
    </xf>
    <xf numFmtId="169" fontId="8" fillId="3" borderId="0" xfId="22" applyNumberFormat="1" applyFont="1" applyFill="1"/>
    <xf numFmtId="169" fontId="12" fillId="3" borderId="0" xfId="22" applyNumberFormat="1" applyFont="1" applyFill="1"/>
    <xf numFmtId="0" fontId="14" fillId="3" borderId="0" xfId="1" applyFont="1" applyFill="1" applyAlignment="1">
      <alignment horizontal="left" vertical="center"/>
    </xf>
    <xf numFmtId="0" fontId="8" fillId="3" borderId="0" xfId="1" applyFill="1" applyAlignment="1">
      <alignment horizontal="left" vertical="center"/>
    </xf>
    <xf numFmtId="0" fontId="9" fillId="3" borderId="0" xfId="1" applyFont="1" applyFill="1" applyAlignment="1">
      <alignment horizontal="left" vertical="center"/>
    </xf>
    <xf numFmtId="0" fontId="12" fillId="3" borderId="0" xfId="5" applyFill="1" applyAlignment="1">
      <alignment horizontal="left" vertical="center"/>
    </xf>
    <xf numFmtId="166" fontId="7" fillId="0" borderId="1" xfId="2" applyNumberFormat="1" applyFont="1" applyFill="1" applyBorder="1" applyAlignment="1">
      <alignment horizontal="left" vertical="center"/>
    </xf>
    <xf numFmtId="166" fontId="7" fillId="0" borderId="1" xfId="2" applyNumberFormat="1" applyFont="1" applyFill="1" applyBorder="1" applyAlignment="1">
      <alignment horizontal="center" vertical="center"/>
    </xf>
    <xf numFmtId="169" fontId="7" fillId="0" borderId="1" xfId="22" applyNumberFormat="1" applyFont="1" applyFill="1" applyBorder="1" applyAlignment="1">
      <alignment horizontal="left" vertical="center"/>
    </xf>
    <xf numFmtId="167" fontId="7" fillId="3" borderId="1" xfId="23" applyNumberFormat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/>
    </xf>
    <xf numFmtId="166" fontId="6" fillId="3" borderId="1" xfId="2" applyNumberFormat="1" applyFont="1" applyFill="1" applyBorder="1" applyAlignment="1">
      <alignment horizontal="left" vertical="center" indent="1"/>
    </xf>
    <xf numFmtId="0" fontId="23" fillId="3" borderId="0" xfId="1" applyFont="1" applyFill="1" applyAlignment="1">
      <alignment horizontal="left" vertical="center"/>
    </xf>
    <xf numFmtId="169" fontId="23" fillId="3" borderId="0" xfId="22" applyNumberFormat="1" applyFont="1" applyFill="1" applyAlignment="1">
      <alignment vertical="center"/>
    </xf>
    <xf numFmtId="166" fontId="7" fillId="4" borderId="1" xfId="2" applyNumberFormat="1" applyFont="1" applyFill="1" applyBorder="1" applyAlignment="1">
      <alignment horizontal="left" vertical="center"/>
    </xf>
    <xf numFmtId="169" fontId="7" fillId="4" borderId="1" xfId="22" applyNumberFormat="1" applyFont="1" applyFill="1" applyBorder="1" applyAlignment="1">
      <alignment horizontal="left" vertical="center" wrapText="1"/>
    </xf>
    <xf numFmtId="166" fontId="0" fillId="3" borderId="1" xfId="4" applyNumberFormat="1" applyFont="1" applyFill="1" applyBorder="1" applyAlignment="1">
      <alignment horizontal="left" vertical="center"/>
    </xf>
    <xf numFmtId="169" fontId="0" fillId="3" borderId="1" xfId="22" applyNumberFormat="1" applyFont="1" applyFill="1" applyBorder="1" applyAlignment="1">
      <alignment horizontal="left" vertical="center"/>
    </xf>
    <xf numFmtId="167" fontId="6" fillId="4" borderId="1" xfId="3" applyNumberFormat="1" applyFont="1" applyFill="1" applyBorder="1" applyAlignment="1">
      <alignment horizontal="center" vertical="center"/>
    </xf>
    <xf numFmtId="168" fontId="7" fillId="4" borderId="1" xfId="2" applyNumberFormat="1" applyFont="1" applyFill="1" applyBorder="1" applyAlignment="1">
      <alignment horizontal="left" vertical="center"/>
    </xf>
    <xf numFmtId="170" fontId="7" fillId="4" borderId="1" xfId="22" applyNumberFormat="1" applyFont="1" applyFill="1" applyBorder="1" applyAlignment="1">
      <alignment horizontal="center" vertical="center"/>
    </xf>
    <xf numFmtId="166" fontId="0" fillId="0" borderId="1" xfId="4" applyNumberFormat="1" applyFont="1" applyFill="1" applyBorder="1" applyAlignment="1">
      <alignment horizontal="left" vertical="center"/>
    </xf>
    <xf numFmtId="169" fontId="0" fillId="0" borderId="1" xfId="22" applyNumberFormat="1" applyFont="1" applyFill="1" applyBorder="1" applyAlignment="1">
      <alignment horizontal="left" vertical="center"/>
    </xf>
    <xf numFmtId="166" fontId="6" fillId="3" borderId="1" xfId="4" applyNumberFormat="1" applyFont="1" applyFill="1" applyBorder="1" applyAlignment="1">
      <alignment horizontal="center" vertical="center"/>
    </xf>
    <xf numFmtId="166" fontId="7" fillId="3" borderId="1" xfId="4" applyNumberFormat="1" applyFont="1" applyFill="1" applyBorder="1" applyAlignment="1">
      <alignment horizontal="center" vertical="center"/>
    </xf>
    <xf numFmtId="167" fontId="6" fillId="3" borderId="1" xfId="23" applyNumberFormat="1" applyFont="1" applyFill="1" applyBorder="1" applyAlignment="1">
      <alignment horizontal="center" vertical="center"/>
    </xf>
    <xf numFmtId="170" fontId="7" fillId="4" borderId="1" xfId="22" applyNumberFormat="1" applyFont="1" applyFill="1" applyBorder="1" applyAlignment="1">
      <alignment horizontal="left" vertical="center"/>
    </xf>
    <xf numFmtId="0" fontId="12" fillId="0" borderId="0" xfId="5" applyFill="1"/>
    <xf numFmtId="166" fontId="7" fillId="3" borderId="1" xfId="1" applyNumberFormat="1" applyFont="1" applyFill="1" applyBorder="1" applyAlignment="1">
      <alignment horizontal="center" vertical="center"/>
    </xf>
    <xf numFmtId="167" fontId="6" fillId="3" borderId="0" xfId="3" applyNumberFormat="1" applyFont="1" applyFill="1" applyBorder="1" applyAlignment="1">
      <alignment horizontal="center" vertical="center"/>
    </xf>
    <xf numFmtId="167" fontId="8" fillId="0" borderId="0" xfId="23" applyNumberFormat="1" applyFont="1" applyAlignment="1">
      <alignment horizontal="right" vertical="center"/>
    </xf>
    <xf numFmtId="167" fontId="8" fillId="0" borderId="0" xfId="23" applyNumberFormat="1" applyFont="1" applyAlignment="1">
      <alignment vertical="center"/>
    </xf>
    <xf numFmtId="167" fontId="6" fillId="0" borderId="1" xfId="23" applyNumberFormat="1" applyFont="1" applyFill="1" applyBorder="1" applyAlignment="1">
      <alignment horizontal="center" vertical="center"/>
    </xf>
    <xf numFmtId="167" fontId="7" fillId="0" borderId="1" xfId="23" applyNumberFormat="1" applyFont="1" applyFill="1" applyBorder="1" applyAlignment="1">
      <alignment horizontal="center" vertical="center"/>
    </xf>
    <xf numFmtId="167" fontId="6" fillId="0" borderId="1" xfId="3" applyNumberFormat="1" applyFont="1" applyFill="1" applyBorder="1" applyAlignment="1">
      <alignment horizontal="center" vertical="center"/>
    </xf>
    <xf numFmtId="167" fontId="7" fillId="0" borderId="1" xfId="3" applyNumberFormat="1" applyFont="1" applyFill="1" applyBorder="1" applyAlignment="1">
      <alignment horizontal="center" vertical="center"/>
    </xf>
    <xf numFmtId="166" fontId="6" fillId="0" borderId="1" xfId="2" applyNumberFormat="1" applyFont="1" applyFill="1" applyBorder="1" applyAlignment="1">
      <alignment horizontal="left" vertical="center"/>
    </xf>
    <xf numFmtId="166" fontId="6" fillId="0" borderId="1" xfId="2" applyNumberFormat="1" applyFont="1" applyFill="1" applyBorder="1" applyAlignment="1">
      <alignment horizontal="center" vertical="center"/>
    </xf>
    <xf numFmtId="166" fontId="6" fillId="0" borderId="1" xfId="2" applyNumberFormat="1" applyFont="1" applyFill="1" applyBorder="1" applyAlignment="1">
      <alignment horizontal="left" vertical="center" indent="1"/>
    </xf>
    <xf numFmtId="167" fontId="8" fillId="3" borderId="0" xfId="23" applyNumberFormat="1" applyFont="1" applyFill="1" applyAlignment="1">
      <alignment horizontal="center" vertical="center"/>
    </xf>
    <xf numFmtId="167" fontId="24" fillId="0" borderId="0" xfId="23" applyNumberFormat="1" applyFont="1" applyAlignment="1">
      <alignment vertical="center"/>
    </xf>
    <xf numFmtId="0" fontId="14" fillId="3" borderId="0" xfId="1" applyFont="1" applyFill="1" applyAlignment="1">
      <alignment vertical="center"/>
    </xf>
    <xf numFmtId="167" fontId="7" fillId="3" borderId="0" xfId="23" applyNumberFormat="1" applyFont="1" applyFill="1" applyBorder="1" applyAlignment="1">
      <alignment horizontal="right" vertical="center"/>
    </xf>
    <xf numFmtId="166" fontId="8" fillId="3" borderId="0" xfId="1" applyNumberFormat="1" applyFill="1" applyAlignment="1">
      <alignment vertical="center"/>
    </xf>
    <xf numFmtId="167" fontId="8" fillId="3" borderId="0" xfId="23" applyNumberFormat="1" applyFont="1" applyFill="1" applyAlignment="1">
      <alignment vertical="center"/>
    </xf>
    <xf numFmtId="166" fontId="8" fillId="0" borderId="0" xfId="1" applyNumberFormat="1" applyAlignment="1">
      <alignment horizontal="left" vertical="center"/>
    </xf>
    <xf numFmtId="167" fontId="8" fillId="0" borderId="0" xfId="23" applyNumberFormat="1" applyFont="1" applyAlignment="1">
      <alignment horizontal="center" vertical="center"/>
    </xf>
    <xf numFmtId="167" fontId="11" fillId="3" borderId="0" xfId="23" applyNumberFormat="1" applyFont="1" applyFill="1" applyAlignment="1">
      <alignment horizontal="right" vertical="center"/>
    </xf>
    <xf numFmtId="167" fontId="8" fillId="3" borderId="0" xfId="1" applyNumberFormat="1" applyFill="1" applyAlignment="1">
      <alignment vertical="center"/>
    </xf>
    <xf numFmtId="169" fontId="6" fillId="3" borderId="1" xfId="22" applyNumberFormat="1" applyFont="1" applyFill="1" applyBorder="1" applyAlignment="1">
      <alignment horizontal="center" vertical="center"/>
    </xf>
    <xf numFmtId="169" fontId="7" fillId="3" borderId="1" xfId="22" applyNumberFormat="1" applyFont="1" applyFill="1" applyBorder="1" applyAlignment="1">
      <alignment horizontal="center" vertical="center"/>
    </xf>
    <xf numFmtId="0" fontId="10" fillId="0" borderId="0" xfId="1" applyFont="1" applyAlignment="1">
      <alignment horizontal="left" vertical="center"/>
    </xf>
    <xf numFmtId="170" fontId="7" fillId="5" borderId="1" xfId="22" applyNumberFormat="1" applyFont="1" applyFill="1" applyBorder="1" applyAlignment="1">
      <alignment horizontal="left" vertical="center"/>
    </xf>
    <xf numFmtId="167" fontId="7" fillId="5" borderId="1" xfId="3" applyNumberFormat="1" applyFont="1" applyFill="1" applyBorder="1" applyAlignment="1">
      <alignment horizontal="center" vertical="center"/>
    </xf>
    <xf numFmtId="167" fontId="6" fillId="5" borderId="1" xfId="3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left" vertical="center"/>
    </xf>
    <xf numFmtId="0" fontId="3" fillId="3" borderId="0" xfId="6" applyFont="1" applyFill="1" applyAlignment="1">
      <alignment vertical="center"/>
    </xf>
    <xf numFmtId="0" fontId="0" fillId="3" borderId="0" xfId="1" applyFont="1" applyFill="1" applyAlignment="1">
      <alignment vertical="center"/>
    </xf>
    <xf numFmtId="166" fontId="0" fillId="3" borderId="1" xfId="2" applyNumberFormat="1" applyFont="1" applyFill="1" applyBorder="1" applyAlignment="1">
      <alignment horizontal="left" vertical="center" indent="1"/>
    </xf>
    <xf numFmtId="169" fontId="8" fillId="0" borderId="1" xfId="22" applyNumberFormat="1" applyFont="1" applyBorder="1" applyAlignment="1">
      <alignment vertical="center"/>
    </xf>
    <xf numFmtId="169" fontId="6" fillId="0" borderId="0" xfId="22" applyNumberFormat="1" applyFont="1"/>
    <xf numFmtId="169" fontId="6" fillId="0" borderId="1" xfId="22" applyNumberFormat="1" applyFont="1" applyBorder="1"/>
    <xf numFmtId="168" fontId="7" fillId="4" borderId="1" xfId="22" applyNumberFormat="1" applyFont="1" applyFill="1" applyBorder="1" applyAlignment="1">
      <alignment horizontal="left" vertical="center"/>
    </xf>
    <xf numFmtId="0" fontId="25" fillId="3" borderId="0" xfId="0" applyFont="1" applyFill="1"/>
    <xf numFmtId="167" fontId="8" fillId="0" borderId="0" xfId="1" applyNumberFormat="1" applyAlignment="1">
      <alignment vertical="center"/>
    </xf>
    <xf numFmtId="167" fontId="6" fillId="3" borderId="0" xfId="23" applyNumberFormat="1" applyFont="1" applyFill="1" applyAlignment="1">
      <alignment vertical="center"/>
    </xf>
    <xf numFmtId="41" fontId="6" fillId="3" borderId="0" xfId="25" applyFont="1" applyFill="1" applyBorder="1" applyAlignment="1">
      <alignment horizontal="right" vertical="center"/>
    </xf>
    <xf numFmtId="166" fontId="7" fillId="3" borderId="1" xfId="2" applyNumberFormat="1" applyFont="1" applyFill="1" applyBorder="1" applyAlignment="1">
      <alignment horizontal="left" vertical="center" indent="1"/>
    </xf>
    <xf numFmtId="167" fontId="6" fillId="3" borderId="0" xfId="23" applyNumberFormat="1" applyFont="1" applyFill="1" applyBorder="1" applyAlignment="1">
      <alignment horizontal="right" vertical="center"/>
    </xf>
    <xf numFmtId="167" fontId="26" fillId="0" borderId="0" xfId="23" applyNumberFormat="1" applyFont="1" applyAlignment="1">
      <alignment vertical="center"/>
    </xf>
    <xf numFmtId="166" fontId="7" fillId="0" borderId="0" xfId="2" applyNumberFormat="1" applyFont="1" applyFill="1" applyBorder="1" applyAlignment="1">
      <alignment horizontal="left" vertical="center"/>
    </xf>
    <xf numFmtId="168" fontId="7" fillId="0" borderId="0" xfId="2" applyNumberFormat="1" applyFont="1" applyFill="1" applyBorder="1" applyAlignment="1">
      <alignment horizontal="left" vertical="center"/>
    </xf>
    <xf numFmtId="168" fontId="7" fillId="0" borderId="0" xfId="22" applyNumberFormat="1" applyFont="1" applyFill="1" applyBorder="1" applyAlignment="1">
      <alignment horizontal="left" vertical="center"/>
    </xf>
    <xf numFmtId="170" fontId="7" fillId="0" borderId="0" xfId="22" applyNumberFormat="1" applyFont="1" applyFill="1" applyBorder="1" applyAlignment="1">
      <alignment horizontal="left" vertical="center"/>
    </xf>
    <xf numFmtId="167" fontId="7" fillId="0" borderId="0" xfId="3" applyNumberFormat="1" applyFont="1" applyFill="1" applyBorder="1" applyAlignment="1">
      <alignment horizontal="center" vertical="center"/>
    </xf>
    <xf numFmtId="167" fontId="6" fillId="0" borderId="0" xfId="3" applyNumberFormat="1" applyFont="1" applyFill="1" applyBorder="1" applyAlignment="1">
      <alignment horizontal="center" vertical="center"/>
    </xf>
    <xf numFmtId="167" fontId="6" fillId="0" borderId="0" xfId="23" applyNumberFormat="1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167" fontId="27" fillId="3" borderId="0" xfId="23" applyNumberFormat="1" applyFont="1" applyFill="1" applyAlignment="1">
      <alignment horizontal="center" vertical="center"/>
    </xf>
    <xf numFmtId="41" fontId="6" fillId="0" borderId="0" xfId="25" applyFont="1" applyAlignment="1">
      <alignment vertical="center"/>
    </xf>
    <xf numFmtId="0" fontId="14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/>
    </xf>
    <xf numFmtId="167" fontId="8" fillId="0" borderId="0" xfId="23" applyNumberFormat="1" applyFont="1"/>
    <xf numFmtId="0" fontId="1" fillId="0" borderId="0" xfId="1" applyFont="1"/>
    <xf numFmtId="166" fontId="26" fillId="0" borderId="0" xfId="1" applyNumberFormat="1" applyFont="1" applyAlignment="1">
      <alignment vertical="center"/>
    </xf>
    <xf numFmtId="9" fontId="14" fillId="0" borderId="0" xfId="23" applyFont="1"/>
    <xf numFmtId="167" fontId="6" fillId="3" borderId="0" xfId="23" applyNumberFormat="1" applyFont="1" applyFill="1" applyBorder="1" applyAlignment="1">
      <alignment horizontal="center" vertical="center"/>
    </xf>
  </cellXfs>
  <cellStyles count="26">
    <cellStyle name="Hipervínculo" xfId="5" builtinId="8"/>
    <cellStyle name="Millares" xfId="22" builtinId="3"/>
    <cellStyle name="Millares [0]" xfId="25" builtinId="6"/>
    <cellStyle name="Millares 2" xfId="2"/>
    <cellStyle name="Millares 2 2" xfId="8"/>
    <cellStyle name="Millares 3" xfId="13"/>
    <cellStyle name="Millares 4" xfId="4"/>
    <cellStyle name="Millares 4 2" xfId="21"/>
    <cellStyle name="Millares 5" xfId="7"/>
    <cellStyle name="Normal" xfId="0" builtinId="0"/>
    <cellStyle name="Normal 2" xfId="1"/>
    <cellStyle name="Normal 2 2" xfId="14"/>
    <cellStyle name="Normal 2 3" xfId="10"/>
    <cellStyle name="Normal 3" xfId="12"/>
    <cellStyle name="Normal 3 2" xfId="15"/>
    <cellStyle name="Normal 3 3" xfId="16"/>
    <cellStyle name="Normal 3 4" xfId="17"/>
    <cellStyle name="Normal 4" xfId="18"/>
    <cellStyle name="Normal 5" xfId="6"/>
    <cellStyle name="Normal 5 2" xfId="19"/>
    <cellStyle name="Normal 6" xfId="24"/>
    <cellStyle name="Porcentaje" xfId="23" builtinId="5"/>
    <cellStyle name="Porcentaje 2" xfId="3"/>
    <cellStyle name="Porcentaje 2 2" xfId="9"/>
    <cellStyle name="Porcentaje 3" xfId="20"/>
    <cellStyle name="Porcentual 2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4810124</xdr:colOff>
      <xdr:row>0</xdr:row>
      <xdr:rowOff>0</xdr:rowOff>
    </xdr:from>
    <xdr:to>
      <xdr:col>2</xdr:col>
      <xdr:colOff>5798482</xdr:colOff>
      <xdr:row>1</xdr:row>
      <xdr:rowOff>28575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7924" y="0"/>
          <a:ext cx="988358" cy="790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819150</xdr:colOff>
      <xdr:row>0</xdr:row>
      <xdr:rowOff>0</xdr:rowOff>
    </xdr:from>
    <xdr:to>
      <xdr:col>6</xdr:col>
      <xdr:colOff>66675</xdr:colOff>
      <xdr:row>2</xdr:row>
      <xdr:rowOff>17828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0375" y="0"/>
          <a:ext cx="885825" cy="6083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676275</xdr:colOff>
      <xdr:row>0</xdr:row>
      <xdr:rowOff>0</xdr:rowOff>
    </xdr:from>
    <xdr:to>
      <xdr:col>12</xdr:col>
      <xdr:colOff>231198</xdr:colOff>
      <xdr:row>2</xdr:row>
      <xdr:rowOff>2242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0" y="0"/>
          <a:ext cx="878898" cy="6023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314325</xdr:colOff>
      <xdr:row>0</xdr:row>
      <xdr:rowOff>0</xdr:rowOff>
    </xdr:from>
    <xdr:to>
      <xdr:col>5</xdr:col>
      <xdr:colOff>56285</xdr:colOff>
      <xdr:row>2</xdr:row>
      <xdr:rowOff>19560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0" y="0"/>
          <a:ext cx="875435" cy="6005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14</xdr:col>
      <xdr:colOff>151535</xdr:colOff>
      <xdr:row>2</xdr:row>
      <xdr:rowOff>29085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5075" y="0"/>
          <a:ext cx="875435" cy="6005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5</xdr:col>
      <xdr:colOff>148072</xdr:colOff>
      <xdr:row>1</xdr:row>
      <xdr:rowOff>332153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4114" y="0"/>
          <a:ext cx="875435" cy="6005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0</xdr:row>
      <xdr:rowOff>0</xdr:rowOff>
    </xdr:from>
    <xdr:to>
      <xdr:col>18</xdr:col>
      <xdr:colOff>24247</xdr:colOff>
      <xdr:row>1</xdr:row>
      <xdr:rowOff>332153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4100" y="0"/>
          <a:ext cx="871972" cy="59885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0</xdr:row>
      <xdr:rowOff>0</xdr:rowOff>
    </xdr:from>
    <xdr:to>
      <xdr:col>4</xdr:col>
      <xdr:colOff>1122003</xdr:colOff>
      <xdr:row>2</xdr:row>
      <xdr:rowOff>27353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8850" y="0"/>
          <a:ext cx="871972" cy="59885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</xdr:colOff>
      <xdr:row>0</xdr:row>
      <xdr:rowOff>28575</xdr:rowOff>
    </xdr:from>
    <xdr:to>
      <xdr:col>18</xdr:col>
      <xdr:colOff>39834</xdr:colOff>
      <xdr:row>2</xdr:row>
      <xdr:rowOff>30817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48900" y="28575"/>
          <a:ext cx="868508" cy="59279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200025</xdr:colOff>
      <xdr:row>0</xdr:row>
      <xdr:rowOff>0</xdr:rowOff>
    </xdr:from>
    <xdr:to>
      <xdr:col>5</xdr:col>
      <xdr:colOff>435</xdr:colOff>
      <xdr:row>1</xdr:row>
      <xdr:rowOff>332153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9400" y="0"/>
          <a:ext cx="871972" cy="598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"/>
  <sheetViews>
    <sheetView showGridLines="0" tabSelected="1" zoomScale="80" zoomScaleNormal="80" workbookViewId="0">
      <pane ySplit="1" topLeftCell="A2" activePane="bottomLeft" state="frozen"/>
      <selection pane="bottomLeft"/>
    </sheetView>
  </sheetViews>
  <sheetFormatPr baseColWidth="10" defaultColWidth="10.85546875" defaultRowHeight="15" x14ac:dyDescent="0.2"/>
  <cols>
    <col min="1" max="2" width="10.85546875" style="1"/>
    <col min="3" max="3" width="93.140625" style="1" customWidth="1"/>
    <col min="4" max="16384" width="10.85546875" style="1"/>
  </cols>
  <sheetData>
    <row r="1" spans="1:3" ht="60" customHeight="1" x14ac:dyDescent="0.2">
      <c r="B1" s="24" t="s">
        <v>326</v>
      </c>
    </row>
    <row r="4" spans="1:3" x14ac:dyDescent="0.2">
      <c r="A4" s="25" t="s">
        <v>190</v>
      </c>
      <c r="B4" s="25" t="s">
        <v>191</v>
      </c>
      <c r="C4" s="11" t="s">
        <v>192</v>
      </c>
    </row>
    <row r="5" spans="1:3" x14ac:dyDescent="0.2">
      <c r="A5" s="26">
        <v>1</v>
      </c>
      <c r="B5" s="26">
        <v>1</v>
      </c>
      <c r="C5" s="1" t="s">
        <v>193</v>
      </c>
    </row>
    <row r="6" spans="1:3" x14ac:dyDescent="0.2">
      <c r="A6" s="26"/>
      <c r="B6" s="26"/>
    </row>
    <row r="7" spans="1:3" ht="18.75" x14ac:dyDescent="0.2">
      <c r="A7" s="25" t="s">
        <v>190</v>
      </c>
      <c r="B7" s="25" t="s">
        <v>191</v>
      </c>
      <c r="C7" s="27" t="s">
        <v>327</v>
      </c>
    </row>
    <row r="8" spans="1:3" x14ac:dyDescent="0.25">
      <c r="A8" s="26">
        <v>2</v>
      </c>
      <c r="B8" s="26">
        <v>1</v>
      </c>
      <c r="C8" s="88" t="s">
        <v>328</v>
      </c>
    </row>
    <row r="9" spans="1:3" x14ac:dyDescent="0.25">
      <c r="A9" s="26">
        <v>2</v>
      </c>
      <c r="B9" s="26">
        <v>2</v>
      </c>
      <c r="C9" s="88" t="s">
        <v>329</v>
      </c>
    </row>
    <row r="10" spans="1:3" x14ac:dyDescent="0.25">
      <c r="A10" s="26">
        <v>2</v>
      </c>
      <c r="B10" s="26">
        <v>3</v>
      </c>
      <c r="C10" s="88" t="s">
        <v>330</v>
      </c>
    </row>
    <row r="11" spans="1:3" x14ac:dyDescent="0.25">
      <c r="A11" s="26">
        <v>2</v>
      </c>
      <c r="B11" s="26">
        <v>4</v>
      </c>
      <c r="C11" s="88" t="s">
        <v>331</v>
      </c>
    </row>
    <row r="12" spans="1:3" x14ac:dyDescent="0.25">
      <c r="A12" s="26">
        <v>2</v>
      </c>
      <c r="B12" s="26">
        <v>5</v>
      </c>
      <c r="C12" s="88" t="s">
        <v>332</v>
      </c>
    </row>
    <row r="13" spans="1:3" x14ac:dyDescent="0.25">
      <c r="A13" s="26">
        <v>2</v>
      </c>
      <c r="B13" s="26">
        <v>6</v>
      </c>
      <c r="C13" s="88" t="s">
        <v>333</v>
      </c>
    </row>
    <row r="15" spans="1:3" ht="18.75" x14ac:dyDescent="0.2">
      <c r="A15" s="25" t="s">
        <v>190</v>
      </c>
      <c r="B15" s="25" t="s">
        <v>191</v>
      </c>
      <c r="C15" s="27" t="s">
        <v>334</v>
      </c>
    </row>
    <row r="16" spans="1:3" x14ac:dyDescent="0.25">
      <c r="A16" s="26">
        <v>3</v>
      </c>
      <c r="B16" s="26">
        <v>1</v>
      </c>
      <c r="C16" s="88" t="s">
        <v>209</v>
      </c>
    </row>
    <row r="17" spans="1:3" x14ac:dyDescent="0.25">
      <c r="A17" s="26">
        <v>3</v>
      </c>
      <c r="B17" s="26">
        <v>2</v>
      </c>
      <c r="C17" s="88" t="s">
        <v>22</v>
      </c>
    </row>
    <row r="18" spans="1:3" x14ac:dyDescent="0.25">
      <c r="A18" s="26">
        <v>3</v>
      </c>
      <c r="B18" s="26">
        <v>3</v>
      </c>
      <c r="C18" s="88" t="s">
        <v>210</v>
      </c>
    </row>
    <row r="19" spans="1:3" x14ac:dyDescent="0.25">
      <c r="A19" s="26">
        <v>3</v>
      </c>
      <c r="B19" s="26">
        <v>4</v>
      </c>
      <c r="C19" s="88" t="s">
        <v>204</v>
      </c>
    </row>
    <row r="20" spans="1:3" x14ac:dyDescent="0.25">
      <c r="A20" s="26">
        <v>3</v>
      </c>
      <c r="B20" s="26">
        <v>5</v>
      </c>
      <c r="C20" s="88" t="s">
        <v>211</v>
      </c>
    </row>
    <row r="21" spans="1:3" x14ac:dyDescent="0.25">
      <c r="A21" s="26">
        <v>3</v>
      </c>
      <c r="B21" s="26">
        <v>6</v>
      </c>
      <c r="C21" s="88" t="s">
        <v>202</v>
      </c>
    </row>
    <row r="22" spans="1:3" x14ac:dyDescent="0.25">
      <c r="A22" s="26">
        <v>3</v>
      </c>
      <c r="B22" s="26">
        <v>7</v>
      </c>
      <c r="C22" s="88" t="s">
        <v>24</v>
      </c>
    </row>
    <row r="23" spans="1:3" x14ac:dyDescent="0.25">
      <c r="A23" s="26">
        <v>3</v>
      </c>
      <c r="B23" s="26">
        <v>8</v>
      </c>
      <c r="C23" s="88" t="s">
        <v>33</v>
      </c>
    </row>
    <row r="24" spans="1:3" x14ac:dyDescent="0.25">
      <c r="A24" s="26">
        <v>3</v>
      </c>
      <c r="B24" s="26">
        <v>9</v>
      </c>
      <c r="C24" s="88" t="s">
        <v>268</v>
      </c>
    </row>
    <row r="27" spans="1:3" ht="18.75" x14ac:dyDescent="0.2">
      <c r="A27" s="25" t="s">
        <v>190</v>
      </c>
      <c r="B27" s="25" t="s">
        <v>191</v>
      </c>
      <c r="C27" s="31" t="s">
        <v>335</v>
      </c>
    </row>
    <row r="28" spans="1:3" x14ac:dyDescent="0.25">
      <c r="A28" s="26">
        <v>4</v>
      </c>
      <c r="B28" s="26">
        <v>1</v>
      </c>
      <c r="C28" s="88" t="s">
        <v>336</v>
      </c>
    </row>
    <row r="29" spans="1:3" x14ac:dyDescent="0.25">
      <c r="A29" s="26">
        <v>4</v>
      </c>
      <c r="B29" s="26">
        <v>2</v>
      </c>
      <c r="C29" s="88" t="s">
        <v>337</v>
      </c>
    </row>
    <row r="30" spans="1:3" x14ac:dyDescent="0.25">
      <c r="A30" s="26">
        <v>4</v>
      </c>
      <c r="B30" s="26">
        <v>3</v>
      </c>
      <c r="C30" s="88" t="s">
        <v>338</v>
      </c>
    </row>
    <row r="31" spans="1:3" x14ac:dyDescent="0.25">
      <c r="A31" s="26">
        <v>4</v>
      </c>
      <c r="B31" s="26">
        <v>4</v>
      </c>
      <c r="C31" s="88" t="s">
        <v>339</v>
      </c>
    </row>
    <row r="32" spans="1:3" x14ac:dyDescent="0.25">
      <c r="A32" s="26">
        <v>4</v>
      </c>
      <c r="B32" s="26">
        <v>5</v>
      </c>
      <c r="C32" s="88" t="s">
        <v>340</v>
      </c>
    </row>
    <row r="33" spans="1:3" x14ac:dyDescent="0.25">
      <c r="A33" s="26">
        <v>4</v>
      </c>
      <c r="B33" s="26">
        <v>6</v>
      </c>
      <c r="C33" s="88" t="s">
        <v>341</v>
      </c>
    </row>
    <row r="34" spans="1:3" x14ac:dyDescent="0.25">
      <c r="A34" s="26">
        <v>4</v>
      </c>
      <c r="B34" s="26">
        <v>7</v>
      </c>
      <c r="C34" s="88" t="s">
        <v>342</v>
      </c>
    </row>
    <row r="35" spans="1:3" x14ac:dyDescent="0.25">
      <c r="A35" s="26">
        <v>4</v>
      </c>
      <c r="B35" s="26">
        <v>8</v>
      </c>
      <c r="C35" s="88" t="s">
        <v>343</v>
      </c>
    </row>
    <row r="38" spans="1:3" ht="18.75" x14ac:dyDescent="0.2">
      <c r="A38" s="25" t="s">
        <v>190</v>
      </c>
      <c r="B38" s="25" t="s">
        <v>191</v>
      </c>
      <c r="C38" s="27" t="s">
        <v>344</v>
      </c>
    </row>
    <row r="39" spans="1:3" x14ac:dyDescent="0.25">
      <c r="A39" s="26">
        <v>5</v>
      </c>
      <c r="B39" s="26">
        <v>1</v>
      </c>
      <c r="C39" s="88" t="s">
        <v>44</v>
      </c>
    </row>
    <row r="40" spans="1:3" x14ac:dyDescent="0.25">
      <c r="A40" s="26">
        <v>5</v>
      </c>
      <c r="B40" s="26">
        <v>2</v>
      </c>
      <c r="C40" s="88" t="s">
        <v>194</v>
      </c>
    </row>
    <row r="41" spans="1:3" x14ac:dyDescent="0.25">
      <c r="A41" s="26">
        <v>5</v>
      </c>
      <c r="B41" s="26">
        <v>3</v>
      </c>
      <c r="C41" s="88" t="s">
        <v>45</v>
      </c>
    </row>
    <row r="42" spans="1:3" x14ac:dyDescent="0.25">
      <c r="A42" s="26">
        <v>5</v>
      </c>
      <c r="B42" s="26">
        <v>4</v>
      </c>
      <c r="C42" s="88" t="s">
        <v>195</v>
      </c>
    </row>
    <row r="43" spans="1:3" x14ac:dyDescent="0.25">
      <c r="A43" s="26">
        <v>5</v>
      </c>
      <c r="B43" s="26">
        <v>5</v>
      </c>
      <c r="C43" s="88" t="s">
        <v>207</v>
      </c>
    </row>
    <row r="44" spans="1:3" x14ac:dyDescent="0.25">
      <c r="A44" s="26">
        <v>5</v>
      </c>
      <c r="B44" s="26">
        <v>6</v>
      </c>
      <c r="C44" s="88" t="s">
        <v>208</v>
      </c>
    </row>
    <row r="45" spans="1:3" x14ac:dyDescent="0.25">
      <c r="A45" s="26">
        <v>5</v>
      </c>
      <c r="B45" s="26">
        <v>7</v>
      </c>
      <c r="C45" s="88" t="s">
        <v>48</v>
      </c>
    </row>
    <row r="46" spans="1:3" x14ac:dyDescent="0.25">
      <c r="A46" s="26">
        <v>5</v>
      </c>
      <c r="B46" s="26">
        <v>8</v>
      </c>
      <c r="C46" s="88" t="s">
        <v>49</v>
      </c>
    </row>
    <row r="47" spans="1:3" x14ac:dyDescent="0.25">
      <c r="A47" s="26">
        <v>5</v>
      </c>
      <c r="B47" s="26">
        <v>9</v>
      </c>
      <c r="C47" s="88" t="s">
        <v>432</v>
      </c>
    </row>
    <row r="48" spans="1:3" x14ac:dyDescent="0.25">
      <c r="A48" s="26">
        <v>5</v>
      </c>
      <c r="B48" s="26">
        <v>10</v>
      </c>
      <c r="C48" s="88" t="s">
        <v>433</v>
      </c>
    </row>
    <row r="49" spans="1:3" x14ac:dyDescent="0.25">
      <c r="A49" s="26">
        <v>5</v>
      </c>
      <c r="B49" s="26">
        <v>11</v>
      </c>
      <c r="C49" s="88" t="s">
        <v>196</v>
      </c>
    </row>
    <row r="50" spans="1:3" x14ac:dyDescent="0.25">
      <c r="A50" s="26">
        <v>5</v>
      </c>
      <c r="B50" s="26">
        <v>12</v>
      </c>
      <c r="C50" s="88" t="s">
        <v>197</v>
      </c>
    </row>
    <row r="51" spans="1:3" x14ac:dyDescent="0.25">
      <c r="A51" s="26">
        <v>5</v>
      </c>
      <c r="B51" s="26">
        <v>13</v>
      </c>
      <c r="C51" s="88" t="s">
        <v>198</v>
      </c>
    </row>
    <row r="52" spans="1:3" x14ac:dyDescent="0.25">
      <c r="A52" s="26">
        <v>5</v>
      </c>
      <c r="B52" s="26">
        <v>14</v>
      </c>
      <c r="C52" s="88" t="s">
        <v>215</v>
      </c>
    </row>
    <row r="53" spans="1:3" x14ac:dyDescent="0.25">
      <c r="A53" s="26">
        <v>5</v>
      </c>
      <c r="B53" s="26">
        <v>15</v>
      </c>
      <c r="C53" s="88" t="s">
        <v>216</v>
      </c>
    </row>
    <row r="54" spans="1:3" x14ac:dyDescent="0.25">
      <c r="A54" s="26">
        <v>5</v>
      </c>
      <c r="B54" s="26">
        <v>16</v>
      </c>
      <c r="C54" s="88" t="s">
        <v>217</v>
      </c>
    </row>
    <row r="55" spans="1:3" x14ac:dyDescent="0.25">
      <c r="A55" s="26">
        <v>5</v>
      </c>
      <c r="B55" s="26">
        <v>17</v>
      </c>
      <c r="C55" s="88" t="s">
        <v>218</v>
      </c>
    </row>
    <row r="56" spans="1:3" x14ac:dyDescent="0.25">
      <c r="A56" s="26">
        <v>5</v>
      </c>
      <c r="B56" s="26">
        <v>18</v>
      </c>
      <c r="C56" s="88" t="s">
        <v>81</v>
      </c>
    </row>
    <row r="59" spans="1:3" ht="18.75" x14ac:dyDescent="0.2">
      <c r="A59" s="25" t="s">
        <v>190</v>
      </c>
      <c r="B59" s="25" t="s">
        <v>191</v>
      </c>
      <c r="C59" s="31" t="s">
        <v>345</v>
      </c>
    </row>
    <row r="60" spans="1:3" x14ac:dyDescent="0.25">
      <c r="A60" s="26">
        <v>6</v>
      </c>
      <c r="B60" s="26">
        <v>1</v>
      </c>
      <c r="C60" s="88" t="s">
        <v>346</v>
      </c>
    </row>
    <row r="61" spans="1:3" x14ac:dyDescent="0.25">
      <c r="A61" s="26">
        <v>6</v>
      </c>
      <c r="B61" s="26">
        <v>2</v>
      </c>
      <c r="C61" s="88" t="s">
        <v>347</v>
      </c>
    </row>
    <row r="62" spans="1:3" x14ac:dyDescent="0.25">
      <c r="A62" s="26">
        <v>6</v>
      </c>
      <c r="B62" s="26">
        <v>3</v>
      </c>
      <c r="C62" s="88" t="s">
        <v>348</v>
      </c>
    </row>
    <row r="63" spans="1:3" x14ac:dyDescent="0.25">
      <c r="A63" s="26">
        <v>6</v>
      </c>
      <c r="B63" s="26">
        <v>4</v>
      </c>
      <c r="C63" s="88" t="s">
        <v>349</v>
      </c>
    </row>
    <row r="64" spans="1:3" x14ac:dyDescent="0.25">
      <c r="A64" s="26">
        <v>6</v>
      </c>
      <c r="B64" s="26">
        <v>5</v>
      </c>
      <c r="C64" s="88" t="s">
        <v>350</v>
      </c>
    </row>
    <row r="65" spans="1:3" x14ac:dyDescent="0.25">
      <c r="A65" s="26">
        <v>6</v>
      </c>
      <c r="B65" s="26">
        <v>6</v>
      </c>
      <c r="C65" s="88" t="s">
        <v>351</v>
      </c>
    </row>
    <row r="66" spans="1:3" x14ac:dyDescent="0.25">
      <c r="A66" s="26">
        <v>6</v>
      </c>
      <c r="B66" s="26">
        <v>7</v>
      </c>
      <c r="C66" s="88" t="s">
        <v>352</v>
      </c>
    </row>
    <row r="67" spans="1:3" x14ac:dyDescent="0.25">
      <c r="A67" s="26">
        <v>6</v>
      </c>
      <c r="B67" s="26">
        <v>8</v>
      </c>
      <c r="C67" s="88" t="s">
        <v>353</v>
      </c>
    </row>
    <row r="70" spans="1:3" ht="18.75" x14ac:dyDescent="0.2">
      <c r="A70" s="25" t="s">
        <v>190</v>
      </c>
      <c r="B70" s="25" t="s">
        <v>191</v>
      </c>
      <c r="C70" s="31" t="s">
        <v>354</v>
      </c>
    </row>
    <row r="71" spans="1:3" x14ac:dyDescent="0.25">
      <c r="A71" s="26">
        <v>7</v>
      </c>
      <c r="B71" s="26">
        <v>1</v>
      </c>
      <c r="C71" s="88" t="s">
        <v>212</v>
      </c>
    </row>
    <row r="72" spans="1:3" x14ac:dyDescent="0.25">
      <c r="A72" s="26">
        <v>7</v>
      </c>
      <c r="B72" s="26">
        <v>2</v>
      </c>
      <c r="C72" s="88" t="s">
        <v>199</v>
      </c>
    </row>
    <row r="73" spans="1:3" x14ac:dyDescent="0.25">
      <c r="A73" s="26">
        <v>7</v>
      </c>
      <c r="B73" s="26">
        <v>3</v>
      </c>
      <c r="C73" s="88" t="s">
        <v>213</v>
      </c>
    </row>
    <row r="74" spans="1:3" x14ac:dyDescent="0.25">
      <c r="A74" s="26">
        <v>7</v>
      </c>
      <c r="B74" s="26">
        <v>4</v>
      </c>
      <c r="C74" s="88" t="s">
        <v>225</v>
      </c>
    </row>
    <row r="77" spans="1:3" ht="18.75" x14ac:dyDescent="0.2">
      <c r="A77" s="25" t="s">
        <v>190</v>
      </c>
      <c r="B77" s="25" t="s">
        <v>191</v>
      </c>
      <c r="C77" s="31" t="s">
        <v>355</v>
      </c>
    </row>
    <row r="78" spans="1:3" x14ac:dyDescent="0.25">
      <c r="A78" s="26">
        <v>8</v>
      </c>
      <c r="B78" s="26">
        <v>1</v>
      </c>
      <c r="C78" s="88" t="s">
        <v>356</v>
      </c>
    </row>
    <row r="79" spans="1:3" x14ac:dyDescent="0.25">
      <c r="A79" s="26">
        <v>8</v>
      </c>
      <c r="B79" s="26">
        <v>2</v>
      </c>
      <c r="C79" s="88" t="s">
        <v>357</v>
      </c>
    </row>
    <row r="80" spans="1:3" x14ac:dyDescent="0.25">
      <c r="A80" s="26">
        <v>8</v>
      </c>
      <c r="B80" s="26">
        <v>3</v>
      </c>
      <c r="C80" s="88" t="s">
        <v>358</v>
      </c>
    </row>
    <row r="81" spans="1:3" x14ac:dyDescent="0.25">
      <c r="A81" s="26">
        <v>8</v>
      </c>
      <c r="B81" s="26">
        <v>4</v>
      </c>
      <c r="C81" s="88" t="s">
        <v>359</v>
      </c>
    </row>
    <row r="82" spans="1:3" x14ac:dyDescent="0.25">
      <c r="A82" s="26">
        <v>8</v>
      </c>
      <c r="B82" s="26">
        <v>5</v>
      </c>
      <c r="C82" s="88" t="s">
        <v>360</v>
      </c>
    </row>
    <row r="83" spans="1:3" x14ac:dyDescent="0.25">
      <c r="A83" s="26">
        <v>8</v>
      </c>
      <c r="B83" s="26">
        <v>6</v>
      </c>
      <c r="C83" s="88" t="s">
        <v>361</v>
      </c>
    </row>
    <row r="84" spans="1:3" x14ac:dyDescent="0.25">
      <c r="A84" s="26">
        <v>8</v>
      </c>
      <c r="B84" s="26">
        <v>7</v>
      </c>
      <c r="C84" s="88" t="s">
        <v>362</v>
      </c>
    </row>
    <row r="85" spans="1:3" x14ac:dyDescent="0.25">
      <c r="A85" s="26">
        <v>8</v>
      </c>
      <c r="B85" s="26">
        <v>8</v>
      </c>
      <c r="C85" s="88" t="s">
        <v>363</v>
      </c>
    </row>
    <row r="88" spans="1:3" ht="18.75" x14ac:dyDescent="0.2">
      <c r="A88" s="25" t="s">
        <v>190</v>
      </c>
      <c r="B88" s="25" t="s">
        <v>191</v>
      </c>
      <c r="C88" s="31" t="s">
        <v>364</v>
      </c>
    </row>
    <row r="89" spans="1:3" x14ac:dyDescent="0.25">
      <c r="A89" s="26">
        <v>9</v>
      </c>
      <c r="B89" s="26">
        <v>1</v>
      </c>
      <c r="C89" s="88" t="s">
        <v>89</v>
      </c>
    </row>
    <row r="90" spans="1:3" x14ac:dyDescent="0.25">
      <c r="A90" s="26">
        <v>9</v>
      </c>
      <c r="B90" s="26">
        <v>2</v>
      </c>
      <c r="C90" s="88" t="s">
        <v>90</v>
      </c>
    </row>
    <row r="91" spans="1:3" x14ac:dyDescent="0.25">
      <c r="A91" s="26">
        <v>9</v>
      </c>
      <c r="B91" s="26">
        <v>3</v>
      </c>
      <c r="C91" s="88" t="s">
        <v>214</v>
      </c>
    </row>
    <row r="92" spans="1:3" x14ac:dyDescent="0.25">
      <c r="A92" s="26">
        <v>9</v>
      </c>
      <c r="B92" s="26">
        <v>4</v>
      </c>
      <c r="C92" s="88" t="s">
        <v>226</v>
      </c>
    </row>
    <row r="94" spans="1:3" x14ac:dyDescent="0.2">
      <c r="A94" s="25" t="s">
        <v>190</v>
      </c>
      <c r="B94" s="25" t="s">
        <v>191</v>
      </c>
      <c r="C94" s="11" t="s">
        <v>192</v>
      </c>
    </row>
    <row r="95" spans="1:3" x14ac:dyDescent="0.25">
      <c r="A95" s="26">
        <v>10</v>
      </c>
      <c r="B95" s="26">
        <v>1</v>
      </c>
      <c r="C95" s="88" t="s">
        <v>365</v>
      </c>
    </row>
    <row r="98" spans="2:2" x14ac:dyDescent="0.25">
      <c r="B98" s="124" t="s">
        <v>236</v>
      </c>
    </row>
  </sheetData>
  <hyperlinks>
    <hyperlink ref="C38" location="'Evolución Tituación Pregrado'!A1" display="Evolución titulación Pregrado 2008-2012"/>
    <hyperlink ref="C70" location="'Evolución Titulados Posgrado'!A1" display="Evolución titulación Posgrado 2008-2012"/>
    <hyperlink ref="C88" location="'Evolución Titulados Postítulo'!A1" display="Evolución titulación Postítulo 2008-2012"/>
    <hyperlink ref="C8:C13" location="'Titulación Total 2021'!A1" display="Titulación Total 2021 por tipo de institución y nivel de formación"/>
    <hyperlink ref="C16:C24" location="'Evolución Titulación Total'!A1" display="Evolución de Titulación Total por nivel de formación"/>
    <hyperlink ref="C28:C35" location="'Titulación Pregrado 2021'!A1" display="Titulación Total 2021 de Pregrado por sexo y tipo de institución"/>
    <hyperlink ref="C60:C67" location="'Titulación Posgrado 2021'!A1" display="Titulación Total 2021 de Posgrado por tipo de universidad y tipo de programa"/>
    <hyperlink ref="C71:C74" location="'Titulación Posgrado 2021'!A1" display="Evolución de Titulación Total de Posgrado por tipo de universidad"/>
    <hyperlink ref="C78:C85" location="'Titulacion Postitulo 2021'!A1" display="Titulación Total 2021 de Postítulo por tipo de universidad y tipo de programa"/>
    <hyperlink ref="C89:C92" location="'Evolucion Titulacion Postitulo'!A1" display="Evolución de Titulación Total de Postítulo por tipo de institución"/>
    <hyperlink ref="C95" location="'Listado de Instituciones'!A1" display="Listado de instituciones participantes 2021"/>
    <hyperlink ref="C47" location="'Evolución Titulación Pregrado'!A102" display="Evolución de Titulación Total de Pregrado por área - Mujeres"/>
    <hyperlink ref="C48" location="'Evolución Titulación Pregrado'!A116" display="Evolución de Titulación Total de Pregrado por área - Hombres"/>
    <hyperlink ref="C49" location="'Evolución Titulación Pregrado'!A130" display="Evolución de Titulación Total de Pregrado en carreras de mayor titulación - CFT"/>
    <hyperlink ref="C50" location="'Evolución Titulación Pregrado'!A153" display="Evolución de Titulación Total de Pregrado en carreras de mayor titulación - IP"/>
    <hyperlink ref="C51" location="'Evolución Titulación Pregrado'!A176" display="Evolución de Titulación Total de Pregrado en carreras de mayor titulación - Universidades"/>
    <hyperlink ref="C52" location="'Evolución Titulación Pregrado'!A199" display="Evolución de Titulación Total de Pregrado por sexo"/>
    <hyperlink ref="C53" location="'Evolución Titulación Pregrado'!A205" display="Evolución de Titulación Total de Pregrado por sexo - CFT"/>
    <hyperlink ref="C54" location="'Evolución Titulación Pregrado'!A211" display="Evolución de Titulación Total de Pregrado por sexo - IP"/>
    <hyperlink ref="C55" location="'Evolución Titulación Pregrado'!A217" display="Evolución de Titulación Total de Pregrado por sexo - Universidades"/>
    <hyperlink ref="C56" location="'Evolución Titulación Pregrado'!A223" display="Evolución de Titulación Total de Pregrado por rango de edad"/>
    <hyperlink ref="C39" location="'Evolución Titulación Pregrado'!A4" display="Evolución de Titulación Total de Pregrado por tipo de institución"/>
    <hyperlink ref="C40" location="'Evolución Titulación Pregrado'!A11" display="Evolución de Titulación Total de Pregrado por tipo de institución 2"/>
    <hyperlink ref="C41" location="'Evolución Titulación Pregrado'!A22" display="Evolución de Titulación Total de Pregrado por tipo de carrera"/>
    <hyperlink ref="C42" location="'Evolución Titulación Pregrado'!A30" display="Evolución de Titulación Total de Pregrado por tipo de carrera (técnico y profesional)"/>
    <hyperlink ref="C43" location="'Evolución Titulación Pregrado'!A38" display="Evolución de Titulación Total de Pregrado por tipo de institución y tipo de carrera"/>
    <hyperlink ref="C44" location="'Evolución Titulación Pregrado'!A52" display="Evolución de Titulación Total de Pregrado por tipo de institución 2 y tipo de carrera"/>
    <hyperlink ref="C45" location="'Evolución Titulación Pregrado'!A79" display="Evolución de Titulación Total de Pregrado por jornada"/>
    <hyperlink ref="C46" location="'Evolución Titulación Pregrado'!A88" display="Evolución de Titulación Total de Pregrado por área"/>
    <hyperlink ref="C8" location="'Titulación Total 2022'!A4" display="Titulación Total 2022 por tipo de institución y nivel de formación"/>
    <hyperlink ref="C9" location="'Titulación Total 2022'!A11" display="Titulación Total 2022 por tipo de institución y sexo"/>
    <hyperlink ref="C10" location="'Titulación Total 2022'!A18" display="Titulación Total 2022 por tipo de institución 2 y nivel de formación"/>
    <hyperlink ref="C11" location="'Titulación Total 2022'!A29" display="Titulación Total 2022 por tipo de institución 2 y sexo"/>
    <hyperlink ref="C12" location="'Titulación Total 2022'!A40" display="Titulación Total 2022 por región y sexo"/>
    <hyperlink ref="C13" location="'Titulación Total 2022'!A60" display="Titulación Total 2022  por área y sexo"/>
    <hyperlink ref="C28" location="'Titulación Pregrado 2022'!A4" display="Titulación Total 2022 de Pregrado por sexo y tipo de institución"/>
    <hyperlink ref="C16" location="'Evolución Titulación Total'!A4" display="Evolución de Titulación Total por nivel de formación"/>
    <hyperlink ref="C17" location="'Evolución Titulación Total'!A11" display="Evolución de Titulación Total por tipo de institución "/>
    <hyperlink ref="C18" location="'Evolución Titulación Total'!A18" display="Evolución de Titulación Total por tipo de institución y nivel de formación"/>
    <hyperlink ref="C19" location="'Evolución Titulación Total'!A32" display="Evolución de Titulación Total por tipo de institución 2 "/>
    <hyperlink ref="C20" location="'Evolución Titulación Total'!A43" display="Evolución de Titulación Total por tipo de institución 2 y nivel de formación"/>
    <hyperlink ref="C21" location="'Evolución Titulación Total'!A68" display="Evolución de Titulación Total por sexo"/>
    <hyperlink ref="C22" location="'Evolución Titulación Total'!A74" display="Evolución de Titulación Total por rango de edad y/o promedio de edad"/>
    <hyperlink ref="C23" location="'Evolución Titulación Total'!A86" display="Evolución de Titulación Total por región"/>
    <hyperlink ref="C24" location="'Evolución Titulación Total'!A106" display="Evolución de la Titulación Total por jornada de estudios de la carrera"/>
    <hyperlink ref="C29" location="'Titulación Pregrado 2022'!A10" display="Titulación Total 2022 de Pregrado por rango de edad y tipo de institución "/>
    <hyperlink ref="C30" location="'Titulación Pregrado 2022'!A22" display="Titulación Total 2022 de Pregrado por tipo de carrera y tipo de institución"/>
    <hyperlink ref="C31" location="'Titulación Pregrado 2022'!A30" display="Titulación Total 2022 de Pregrado por área y tipo de institución"/>
    <hyperlink ref="C32" location="'Titulación Pregrado 2022'!A44" display="Titulación Total 2022 de Pregrado por área y sexo"/>
    <hyperlink ref="C33" location="'Titulación Pregrado 2022'!A58" display="Titulación Total 2022 de Pregrado por jornada y tipo de institución"/>
    <hyperlink ref="C34" location="'Titulación Pregrado 2022'!A67" display="Titulación Total 2022 de Pregrado por región y tipo de institución"/>
    <hyperlink ref="C35" location="'Titulación Pregrado 2022'!A87" display="Titulación Total 2022 de Pregrado por región y sexo"/>
    <hyperlink ref="C60" location="'Titulación Posgrado 2022'!A4" display="Titulación Total 2022 de Posgrado por tipo de universidad y tipo de programa"/>
    <hyperlink ref="C61" location="'Titulación Posgrado 2022'!A12" display="Titulación Total 2022 de Posgrado por sexo y tipo de programa"/>
    <hyperlink ref="C62" location="'Titulación Posgrado 2022'!A18" display="Titulación Total 2022 de Posgrado por rango de edad y tipo de programa"/>
    <hyperlink ref="C63" location="'Titulación Posgrado 2022'!A29" display="Titulación Total 2022 de Posgrado por área y tipo de programa"/>
    <hyperlink ref="C64" location="'Titulación Posgrado 2022'!A43" display="Titulación Total 2022 de Posgrado por jornada y tipo de programa"/>
    <hyperlink ref="C65" location="'Titulación Posgrado 2022'!A52" display="Titulación Total 2022 de Posgrado por región y tipo de programa"/>
    <hyperlink ref="C66" location="'Titulación Posgrado 2022'!A72" display="Titulación Total 2022 de Posgrado por área y sexo"/>
    <hyperlink ref="C67" location="'Titulación Posgrado 2022'!A86" display="Titulación Total 2022 de Posgrado por región y sexo"/>
    <hyperlink ref="C71" location="'Evolución Titulación Posgrado'!A4" display="Evolución de Titulación Total de Posgrado por tipo de universidad"/>
    <hyperlink ref="C72" location="'Evolución Titulación Posgrado'!A12" display="Evolución de Titulación Total de Posgrado por tipo de programa "/>
    <hyperlink ref="C73" location="'Evolución Titulación Posgrado'!A18" display="Evolución de Titulación Total de Posgrado por tipo de universidad y tipo de programa "/>
    <hyperlink ref="C74" location="'Evolución Titulación Posgrado'!A32" display="Evolución de Titulación Total de Pregrado por sexo y tipo de programa"/>
    <hyperlink ref="C78" location="'Titulacion Postitulo 2022'!A4" display="Titulación Total 2022 de Postítulo por tipo de universidad y tipo de programa"/>
    <hyperlink ref="C79" location="'Titulacion Postitulo 2022'!A11" display="Titulación Total 2022 de Postítulo por sexo y tipo de programa"/>
    <hyperlink ref="C80" location="'Titulacion Postitulo 2022'!A17" display="Titulación Total 2022 de Postítulo por rango de edad y tipo de programa"/>
    <hyperlink ref="C81" location="'Titulacion Postitulo 2022'!A29" display="Titulación Total 2022 de Postítulo por área y tipo de programa"/>
    <hyperlink ref="C82" location="'Titulacion Postitulo 2022'!A43" display="Titulación Total 2022 de Postítulo por jornada y tipo de programa"/>
    <hyperlink ref="C83" location="'Titulacion Postitulo 2022'!A52" display="Titulación Total 2022 de Postítulo por región y tipo de programa"/>
    <hyperlink ref="C84" location="'Titulacion Postitulo 2022'!A72" display="Titulación Total 2022 de Postítulo por área y sexo"/>
    <hyperlink ref="C85" location="'Titulacion Postitulo 2022'!A86" display="Titulación Total 2022 de Postítulo por región y sexo"/>
    <hyperlink ref="C89" location="'Evolucion Titulacion Postitulo'!A4" display="Evolución de Titulación Total de Postítulo por tipo de institución"/>
    <hyperlink ref="C90" location="'Evolucion Titulacion Postitulo'!A11" display="Evolución de Titulación Total de Postítulo por tipo de programa"/>
    <hyperlink ref="C91" location="'Evolucion Titulacion Postitulo'!A18" display="Evolución de Titulación Total de Postítulo por tipo de institución y tipo de programa"/>
    <hyperlink ref="C92" location="'Evolucion Titulacion Postitulo'!A31" display="Evolución de Titulación Total de Postítulo por sexo y tipo de programa"/>
  </hyperlink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showGridLines="0" zoomScale="80" zoomScaleNormal="80" workbookViewId="0">
      <pane ySplit="2" topLeftCell="A3" activePane="bottomLeft" state="frozen"/>
      <selection pane="bottomLeft" activeCell="A3" sqref="A3"/>
    </sheetView>
  </sheetViews>
  <sheetFormatPr baseColWidth="10" defaultColWidth="10.85546875" defaultRowHeight="15" x14ac:dyDescent="0.2"/>
  <cols>
    <col min="1" max="1" width="48.85546875" style="1" customWidth="1"/>
    <col min="2" max="5" width="13.85546875" style="1" customWidth="1"/>
    <col min="6" max="16384" width="10.85546875" style="1"/>
  </cols>
  <sheetData>
    <row r="1" spans="1:5" ht="21" x14ac:dyDescent="0.2">
      <c r="A1" s="55" t="s">
        <v>366</v>
      </c>
      <c r="B1" s="32"/>
      <c r="C1" s="32"/>
      <c r="D1" s="32"/>
      <c r="E1" s="32"/>
    </row>
    <row r="2" spans="1:5" ht="25.5" customHeight="1" x14ac:dyDescent="0.2">
      <c r="A2" s="117" t="s">
        <v>282</v>
      </c>
      <c r="B2" s="32"/>
      <c r="C2" s="32"/>
      <c r="D2" s="32"/>
      <c r="E2" s="32"/>
    </row>
    <row r="3" spans="1:5" ht="15" customHeight="1" x14ac:dyDescent="0.2">
      <c r="A3" s="31"/>
      <c r="B3" s="32"/>
      <c r="C3" s="32"/>
      <c r="D3" s="32"/>
      <c r="E3" s="32"/>
    </row>
    <row r="4" spans="1:5" ht="15.75" x14ac:dyDescent="0.2">
      <c r="A4" s="23" t="s">
        <v>328</v>
      </c>
      <c r="B4" s="32"/>
      <c r="C4" s="32"/>
      <c r="D4" s="32"/>
      <c r="E4" s="32"/>
    </row>
    <row r="5" spans="1:5" x14ac:dyDescent="0.2">
      <c r="A5" s="75" t="s">
        <v>0</v>
      </c>
      <c r="B5" s="3" t="s">
        <v>1</v>
      </c>
      <c r="C5" s="3" t="s">
        <v>2</v>
      </c>
      <c r="D5" s="3" t="s">
        <v>3</v>
      </c>
      <c r="E5" s="71" t="s">
        <v>8</v>
      </c>
    </row>
    <row r="6" spans="1:5" x14ac:dyDescent="0.2">
      <c r="A6" s="4" t="s">
        <v>5</v>
      </c>
      <c r="B6" s="4">
        <v>37541</v>
      </c>
      <c r="C6" s="4">
        <v>0</v>
      </c>
      <c r="D6" s="4">
        <v>9</v>
      </c>
      <c r="E6" s="4">
        <v>37550</v>
      </c>
    </row>
    <row r="7" spans="1:5" x14ac:dyDescent="0.2">
      <c r="A7" s="4" t="s">
        <v>6</v>
      </c>
      <c r="B7" s="4">
        <v>77109</v>
      </c>
      <c r="C7" s="4">
        <v>0</v>
      </c>
      <c r="D7" s="4">
        <v>1194</v>
      </c>
      <c r="E7" s="4">
        <v>78303</v>
      </c>
    </row>
    <row r="8" spans="1:5" x14ac:dyDescent="0.2">
      <c r="A8" s="4" t="s">
        <v>7</v>
      </c>
      <c r="B8" s="4">
        <v>108400</v>
      </c>
      <c r="C8" s="4">
        <v>19303</v>
      </c>
      <c r="D8" s="4">
        <v>44459</v>
      </c>
      <c r="E8" s="4">
        <v>172162</v>
      </c>
    </row>
    <row r="9" spans="1:5" x14ac:dyDescent="0.2">
      <c r="A9" s="5" t="s">
        <v>4</v>
      </c>
      <c r="B9" s="5">
        <v>223050</v>
      </c>
      <c r="C9" s="5">
        <v>19303</v>
      </c>
      <c r="D9" s="5">
        <v>45662</v>
      </c>
      <c r="E9" s="5">
        <v>288015</v>
      </c>
    </row>
    <row r="10" spans="1:5" x14ac:dyDescent="0.2">
      <c r="A10" s="32"/>
      <c r="B10" s="32"/>
      <c r="C10" s="32"/>
      <c r="D10" s="32"/>
      <c r="E10" s="32"/>
    </row>
    <row r="11" spans="1:5" ht="15.75" x14ac:dyDescent="0.2">
      <c r="A11" s="23" t="s">
        <v>329</v>
      </c>
      <c r="B11" s="32"/>
      <c r="C11" s="32"/>
      <c r="D11" s="32"/>
      <c r="E11" s="32"/>
    </row>
    <row r="12" spans="1:5" x14ac:dyDescent="0.2">
      <c r="A12" s="75" t="s">
        <v>0</v>
      </c>
      <c r="B12" s="6" t="s">
        <v>200</v>
      </c>
      <c r="C12" s="6" t="s">
        <v>201</v>
      </c>
      <c r="D12" s="71" t="s">
        <v>8</v>
      </c>
      <c r="E12" s="32"/>
    </row>
    <row r="13" spans="1:5" x14ac:dyDescent="0.2">
      <c r="A13" s="4" t="s">
        <v>5</v>
      </c>
      <c r="B13" s="4">
        <v>21960</v>
      </c>
      <c r="C13" s="4">
        <v>15590</v>
      </c>
      <c r="D13" s="4">
        <v>37550</v>
      </c>
      <c r="E13" s="32"/>
    </row>
    <row r="14" spans="1:5" x14ac:dyDescent="0.2">
      <c r="A14" s="4" t="s">
        <v>6</v>
      </c>
      <c r="B14" s="4">
        <v>43529</v>
      </c>
      <c r="C14" s="4">
        <v>34774</v>
      </c>
      <c r="D14" s="4">
        <v>78303</v>
      </c>
      <c r="E14" s="32"/>
    </row>
    <row r="15" spans="1:5" x14ac:dyDescent="0.2">
      <c r="A15" s="4" t="s">
        <v>7</v>
      </c>
      <c r="B15" s="4">
        <v>99087</v>
      </c>
      <c r="C15" s="4">
        <v>73075</v>
      </c>
      <c r="D15" s="4">
        <v>172162</v>
      </c>
      <c r="E15" s="32"/>
    </row>
    <row r="16" spans="1:5" x14ac:dyDescent="0.2">
      <c r="A16" s="5" t="s">
        <v>4</v>
      </c>
      <c r="B16" s="5">
        <v>164576</v>
      </c>
      <c r="C16" s="5">
        <v>123439</v>
      </c>
      <c r="D16" s="5">
        <v>288015</v>
      </c>
      <c r="E16" s="32"/>
    </row>
    <row r="17" spans="1:5" x14ac:dyDescent="0.2">
      <c r="A17" s="32"/>
      <c r="B17" s="56"/>
      <c r="C17" s="56"/>
      <c r="D17" s="56"/>
      <c r="E17" s="32"/>
    </row>
    <row r="18" spans="1:5" ht="15.75" x14ac:dyDescent="0.2">
      <c r="A18" s="23" t="s">
        <v>330</v>
      </c>
      <c r="B18" s="32"/>
      <c r="C18" s="32"/>
      <c r="D18" s="32"/>
      <c r="E18" s="32"/>
    </row>
    <row r="19" spans="1:5" x14ac:dyDescent="0.2">
      <c r="A19" s="75" t="s">
        <v>0</v>
      </c>
      <c r="B19" s="3" t="s">
        <v>1</v>
      </c>
      <c r="C19" s="3" t="s">
        <v>2</v>
      </c>
      <c r="D19" s="3" t="s">
        <v>3</v>
      </c>
      <c r="E19" s="6" t="s">
        <v>8</v>
      </c>
    </row>
    <row r="20" spans="1:5" x14ac:dyDescent="0.2">
      <c r="A20" s="4" t="s">
        <v>5</v>
      </c>
      <c r="B20" s="4">
        <v>35996</v>
      </c>
      <c r="C20" s="4">
        <v>0</v>
      </c>
      <c r="D20" s="4">
        <v>9</v>
      </c>
      <c r="E20" s="4">
        <v>36005</v>
      </c>
    </row>
    <row r="21" spans="1:5" x14ac:dyDescent="0.2">
      <c r="A21" s="4" t="s">
        <v>281</v>
      </c>
      <c r="B21" s="4">
        <v>1545</v>
      </c>
      <c r="C21" s="4">
        <v>0</v>
      </c>
      <c r="D21" s="4">
        <v>0</v>
      </c>
      <c r="E21" s="4">
        <v>1545</v>
      </c>
    </row>
    <row r="22" spans="1:5" x14ac:dyDescent="0.2">
      <c r="A22" s="4" t="s">
        <v>6</v>
      </c>
      <c r="B22" s="4">
        <v>77109</v>
      </c>
      <c r="C22" s="4">
        <v>0</v>
      </c>
      <c r="D22" s="4">
        <v>1194</v>
      </c>
      <c r="E22" s="4">
        <v>78303</v>
      </c>
    </row>
    <row r="23" spans="1:5" x14ac:dyDescent="0.2">
      <c r="A23" s="28" t="s">
        <v>434</v>
      </c>
      <c r="B23" s="4">
        <v>28239</v>
      </c>
      <c r="C23" s="4">
        <v>3228</v>
      </c>
      <c r="D23" s="4">
        <v>3973</v>
      </c>
      <c r="E23" s="4">
        <v>35440</v>
      </c>
    </row>
    <row r="24" spans="1:5" x14ac:dyDescent="0.2">
      <c r="A24" s="28" t="s">
        <v>435</v>
      </c>
      <c r="B24" s="4">
        <v>26949</v>
      </c>
      <c r="C24" s="4">
        <v>5124</v>
      </c>
      <c r="D24" s="4">
        <v>21582</v>
      </c>
      <c r="E24" s="4">
        <v>53655</v>
      </c>
    </row>
    <row r="25" spans="1:5" x14ac:dyDescent="0.2">
      <c r="A25" s="28" t="s">
        <v>229</v>
      </c>
      <c r="B25" s="4">
        <v>53212</v>
      </c>
      <c r="C25" s="4">
        <v>10951</v>
      </c>
      <c r="D25" s="4">
        <v>18904</v>
      </c>
      <c r="E25" s="4">
        <v>83067</v>
      </c>
    </row>
    <row r="26" spans="1:5" x14ac:dyDescent="0.2">
      <c r="A26" s="5" t="s">
        <v>4</v>
      </c>
      <c r="B26" s="5">
        <v>223050</v>
      </c>
      <c r="C26" s="5">
        <v>19303</v>
      </c>
      <c r="D26" s="5">
        <v>45662</v>
      </c>
      <c r="E26" s="5">
        <v>288015</v>
      </c>
    </row>
    <row r="27" spans="1:5" x14ac:dyDescent="0.2">
      <c r="A27" s="118" t="s">
        <v>436</v>
      </c>
      <c r="B27" s="56"/>
      <c r="C27" s="56"/>
      <c r="D27" s="56"/>
      <c r="E27" s="56"/>
    </row>
    <row r="28" spans="1:5" x14ac:dyDescent="0.2">
      <c r="A28" s="32"/>
      <c r="B28" s="56"/>
      <c r="C28" s="56"/>
      <c r="D28" s="56"/>
      <c r="E28" s="56"/>
    </row>
    <row r="29" spans="1:5" ht="15.75" x14ac:dyDescent="0.2">
      <c r="A29" s="23" t="s">
        <v>331</v>
      </c>
      <c r="B29" s="32"/>
      <c r="C29" s="32"/>
      <c r="D29" s="32"/>
      <c r="E29" s="32"/>
    </row>
    <row r="30" spans="1:5" x14ac:dyDescent="0.2">
      <c r="A30" s="75" t="s">
        <v>0</v>
      </c>
      <c r="B30" s="6" t="s">
        <v>200</v>
      </c>
      <c r="C30" s="6" t="s">
        <v>201</v>
      </c>
      <c r="D30" s="6" t="s">
        <v>8</v>
      </c>
      <c r="E30" s="32"/>
    </row>
    <row r="31" spans="1:5" x14ac:dyDescent="0.2">
      <c r="A31" s="4" t="s">
        <v>5</v>
      </c>
      <c r="B31" s="4">
        <v>20894</v>
      </c>
      <c r="C31" s="4">
        <v>15111</v>
      </c>
      <c r="D31" s="4">
        <v>36005</v>
      </c>
      <c r="E31" s="32"/>
    </row>
    <row r="32" spans="1:5" x14ac:dyDescent="0.2">
      <c r="A32" s="4" t="s">
        <v>281</v>
      </c>
      <c r="B32" s="4">
        <v>1066</v>
      </c>
      <c r="C32" s="4">
        <v>479</v>
      </c>
      <c r="D32" s="4">
        <v>1545</v>
      </c>
      <c r="E32" s="32"/>
    </row>
    <row r="33" spans="1:5" x14ac:dyDescent="0.2">
      <c r="A33" s="4" t="s">
        <v>6</v>
      </c>
      <c r="B33" s="4">
        <v>43529</v>
      </c>
      <c r="C33" s="4">
        <v>34774</v>
      </c>
      <c r="D33" s="4">
        <v>78303</v>
      </c>
      <c r="E33" s="32"/>
    </row>
    <row r="34" spans="1:5" x14ac:dyDescent="0.2">
      <c r="A34" s="28" t="s">
        <v>434</v>
      </c>
      <c r="B34" s="4">
        <v>19289</v>
      </c>
      <c r="C34" s="4">
        <v>16151</v>
      </c>
      <c r="D34" s="4">
        <v>35440</v>
      </c>
      <c r="E34" s="32"/>
    </row>
    <row r="35" spans="1:5" x14ac:dyDescent="0.2">
      <c r="A35" s="28" t="s">
        <v>435</v>
      </c>
      <c r="B35" s="4">
        <v>30102</v>
      </c>
      <c r="C35" s="4">
        <v>23553</v>
      </c>
      <c r="D35" s="4">
        <v>53655</v>
      </c>
      <c r="E35" s="32"/>
    </row>
    <row r="36" spans="1:5" x14ac:dyDescent="0.2">
      <c r="A36" s="28" t="s">
        <v>229</v>
      </c>
      <c r="B36" s="4">
        <v>49696</v>
      </c>
      <c r="C36" s="4">
        <v>33371</v>
      </c>
      <c r="D36" s="4">
        <v>83067</v>
      </c>
      <c r="E36" s="32"/>
    </row>
    <row r="37" spans="1:5" x14ac:dyDescent="0.2">
      <c r="A37" s="5" t="s">
        <v>4</v>
      </c>
      <c r="B37" s="5">
        <v>164576</v>
      </c>
      <c r="C37" s="5">
        <v>123439</v>
      </c>
      <c r="D37" s="5">
        <v>288015</v>
      </c>
      <c r="E37" s="32"/>
    </row>
    <row r="38" spans="1:5" x14ac:dyDescent="0.2">
      <c r="A38" s="118" t="s">
        <v>436</v>
      </c>
      <c r="B38" s="56"/>
      <c r="C38" s="56"/>
      <c r="D38" s="56"/>
      <c r="E38" s="32"/>
    </row>
    <row r="39" spans="1:5" x14ac:dyDescent="0.2">
      <c r="A39" s="32"/>
      <c r="B39" s="56"/>
      <c r="C39" s="56"/>
      <c r="D39" s="56"/>
      <c r="E39" s="32"/>
    </row>
    <row r="40" spans="1:5" ht="15.75" x14ac:dyDescent="0.2">
      <c r="A40" s="23" t="s">
        <v>332</v>
      </c>
      <c r="B40" s="32"/>
      <c r="C40" s="32"/>
      <c r="D40" s="32"/>
      <c r="E40" s="32"/>
    </row>
    <row r="41" spans="1:5" ht="15" customHeight="1" x14ac:dyDescent="0.2">
      <c r="A41" s="75" t="s">
        <v>9</v>
      </c>
      <c r="B41" s="6" t="s">
        <v>200</v>
      </c>
      <c r="C41" s="6" t="s">
        <v>201</v>
      </c>
      <c r="D41" s="6" t="s">
        <v>8</v>
      </c>
      <c r="E41" s="32"/>
    </row>
    <row r="42" spans="1:5" x14ac:dyDescent="0.2">
      <c r="A42" s="7" t="s">
        <v>237</v>
      </c>
      <c r="B42" s="8">
        <v>1826</v>
      </c>
      <c r="C42" s="8">
        <v>1216</v>
      </c>
      <c r="D42" s="8">
        <v>3042</v>
      </c>
      <c r="E42" s="32"/>
    </row>
    <row r="43" spans="1:5" x14ac:dyDescent="0.2">
      <c r="A43" s="7" t="s">
        <v>238</v>
      </c>
      <c r="B43" s="8">
        <v>2160</v>
      </c>
      <c r="C43" s="8">
        <v>1459</v>
      </c>
      <c r="D43" s="8">
        <v>3619</v>
      </c>
      <c r="E43" s="32"/>
    </row>
    <row r="44" spans="1:5" x14ac:dyDescent="0.2">
      <c r="A44" s="7" t="s">
        <v>239</v>
      </c>
      <c r="B44" s="8">
        <v>4244</v>
      </c>
      <c r="C44" s="8">
        <v>3625</v>
      </c>
      <c r="D44" s="8">
        <v>7869</v>
      </c>
      <c r="E44" s="32"/>
    </row>
    <row r="45" spans="1:5" x14ac:dyDescent="0.2">
      <c r="A45" s="7" t="s">
        <v>240</v>
      </c>
      <c r="B45" s="8">
        <v>1473</v>
      </c>
      <c r="C45" s="8">
        <v>1293</v>
      </c>
      <c r="D45" s="8">
        <v>2766</v>
      </c>
      <c r="E45" s="32"/>
    </row>
    <row r="46" spans="1:5" x14ac:dyDescent="0.2">
      <c r="A46" s="7" t="s">
        <v>241</v>
      </c>
      <c r="B46" s="8">
        <v>5434</v>
      </c>
      <c r="C46" s="8">
        <v>3814</v>
      </c>
      <c r="D46" s="8">
        <v>9248</v>
      </c>
      <c r="E46" s="32"/>
    </row>
    <row r="47" spans="1:5" x14ac:dyDescent="0.2">
      <c r="A47" s="77" t="s">
        <v>242</v>
      </c>
      <c r="B47" s="8">
        <v>14625</v>
      </c>
      <c r="C47" s="8">
        <v>11567</v>
      </c>
      <c r="D47" s="8">
        <v>26192</v>
      </c>
      <c r="E47" s="32"/>
    </row>
    <row r="48" spans="1:5" x14ac:dyDescent="0.2">
      <c r="A48" s="77" t="s">
        <v>253</v>
      </c>
      <c r="B48" s="8">
        <v>87727</v>
      </c>
      <c r="C48" s="8">
        <v>69440</v>
      </c>
      <c r="D48" s="8">
        <v>157167</v>
      </c>
      <c r="E48" s="32"/>
    </row>
    <row r="49" spans="1:7" x14ac:dyDescent="0.2">
      <c r="A49" s="77" t="s">
        <v>283</v>
      </c>
      <c r="B49" s="8">
        <v>3313</v>
      </c>
      <c r="C49" s="8">
        <v>2354</v>
      </c>
      <c r="D49" s="8">
        <v>5667</v>
      </c>
      <c r="E49" s="32"/>
    </row>
    <row r="50" spans="1:7" x14ac:dyDescent="0.2">
      <c r="A50" s="7" t="s">
        <v>243</v>
      </c>
      <c r="B50" s="8">
        <v>7351</v>
      </c>
      <c r="C50" s="8">
        <v>4666</v>
      </c>
      <c r="D50" s="8">
        <v>12017</v>
      </c>
      <c r="E50" s="32"/>
    </row>
    <row r="51" spans="1:7" x14ac:dyDescent="0.2">
      <c r="A51" s="7" t="s">
        <v>256</v>
      </c>
      <c r="B51" s="8">
        <v>3210</v>
      </c>
      <c r="C51" s="8">
        <v>1979</v>
      </c>
      <c r="D51" s="8">
        <v>5189</v>
      </c>
      <c r="E51" s="32"/>
    </row>
    <row r="52" spans="1:7" x14ac:dyDescent="0.2">
      <c r="A52" s="7" t="s">
        <v>244</v>
      </c>
      <c r="B52" s="8">
        <v>15544</v>
      </c>
      <c r="C52" s="8">
        <v>11078</v>
      </c>
      <c r="D52" s="8">
        <v>26622</v>
      </c>
      <c r="E52" s="32"/>
    </row>
    <row r="53" spans="1:7" x14ac:dyDescent="0.2">
      <c r="A53" s="7" t="s">
        <v>245</v>
      </c>
      <c r="B53" s="8">
        <v>8866</v>
      </c>
      <c r="C53" s="8">
        <v>5234</v>
      </c>
      <c r="D53" s="8">
        <v>14100</v>
      </c>
      <c r="E53" s="32"/>
    </row>
    <row r="54" spans="1:7" x14ac:dyDescent="0.2">
      <c r="A54" s="7" t="s">
        <v>246</v>
      </c>
      <c r="B54" s="8">
        <v>2845</v>
      </c>
      <c r="C54" s="8">
        <v>2001</v>
      </c>
      <c r="D54" s="8">
        <v>4846</v>
      </c>
      <c r="E54" s="32"/>
    </row>
    <row r="55" spans="1:7" x14ac:dyDescent="0.2">
      <c r="A55" s="77" t="s">
        <v>247</v>
      </c>
      <c r="B55" s="8">
        <v>4906</v>
      </c>
      <c r="C55" s="8">
        <v>3019</v>
      </c>
      <c r="D55" s="8">
        <v>7925</v>
      </c>
      <c r="E55" s="32"/>
    </row>
    <row r="56" spans="1:7" x14ac:dyDescent="0.2">
      <c r="A56" s="77" t="s">
        <v>248</v>
      </c>
      <c r="B56" s="8">
        <v>343</v>
      </c>
      <c r="C56" s="8">
        <v>155</v>
      </c>
      <c r="D56" s="8">
        <v>498</v>
      </c>
      <c r="E56" s="32"/>
    </row>
    <row r="57" spans="1:7" x14ac:dyDescent="0.2">
      <c r="A57" s="77" t="s">
        <v>249</v>
      </c>
      <c r="B57" s="8">
        <v>709</v>
      </c>
      <c r="C57" s="8">
        <v>539</v>
      </c>
      <c r="D57" s="8">
        <v>1248</v>
      </c>
      <c r="E57" s="32"/>
    </row>
    <row r="58" spans="1:7" x14ac:dyDescent="0.2">
      <c r="A58" s="9" t="s">
        <v>4</v>
      </c>
      <c r="B58" s="10">
        <v>164576</v>
      </c>
      <c r="C58" s="10">
        <v>123439</v>
      </c>
      <c r="D58" s="10">
        <v>288015</v>
      </c>
      <c r="E58" s="32"/>
    </row>
    <row r="59" spans="1:7" x14ac:dyDescent="0.2">
      <c r="A59" s="32"/>
      <c r="B59" s="32"/>
      <c r="C59" s="32"/>
      <c r="D59" s="32"/>
      <c r="E59" s="57"/>
    </row>
    <row r="60" spans="1:7" ht="15.75" x14ac:dyDescent="0.2">
      <c r="A60" s="23" t="s">
        <v>367</v>
      </c>
      <c r="B60" s="32"/>
      <c r="C60" s="32"/>
      <c r="D60" s="32"/>
      <c r="E60" s="32"/>
    </row>
    <row r="61" spans="1:7" x14ac:dyDescent="0.2">
      <c r="A61" s="75" t="s">
        <v>10</v>
      </c>
      <c r="B61" s="6" t="s">
        <v>200</v>
      </c>
      <c r="C61" s="6" t="s">
        <v>201</v>
      </c>
      <c r="D61" s="6" t="s">
        <v>8</v>
      </c>
      <c r="E61" s="32"/>
    </row>
    <row r="62" spans="1:7" x14ac:dyDescent="0.2">
      <c r="A62" s="7" t="s">
        <v>11</v>
      </c>
      <c r="B62" s="84">
        <v>39264</v>
      </c>
      <c r="C62" s="84">
        <v>29762</v>
      </c>
      <c r="D62" s="84">
        <v>69026</v>
      </c>
      <c r="E62" s="126"/>
      <c r="F62" s="126"/>
      <c r="G62" s="126"/>
    </row>
    <row r="63" spans="1:7" x14ac:dyDescent="0.2">
      <c r="A63" s="7" t="s">
        <v>12</v>
      </c>
      <c r="B63" s="84">
        <v>3120</v>
      </c>
      <c r="C63" s="84">
        <v>2671</v>
      </c>
      <c r="D63" s="84">
        <v>5791</v>
      </c>
      <c r="E63" s="126"/>
      <c r="F63" s="126"/>
      <c r="G63" s="126"/>
    </row>
    <row r="64" spans="1:7" x14ac:dyDescent="0.2">
      <c r="A64" s="7" t="s">
        <v>13</v>
      </c>
      <c r="B64" s="84">
        <v>6532</v>
      </c>
      <c r="C64" s="84">
        <v>4035</v>
      </c>
      <c r="D64" s="84">
        <v>10567</v>
      </c>
      <c r="E64" s="126"/>
      <c r="F64" s="126"/>
      <c r="G64" s="126"/>
    </row>
    <row r="65" spans="1:7" x14ac:dyDescent="0.2">
      <c r="A65" s="7" t="s">
        <v>14</v>
      </c>
      <c r="B65" s="84">
        <v>1944</v>
      </c>
      <c r="C65" s="84">
        <v>3025</v>
      </c>
      <c r="D65" s="84">
        <v>4969</v>
      </c>
      <c r="E65" s="126"/>
      <c r="F65" s="126"/>
      <c r="G65" s="126"/>
    </row>
    <row r="66" spans="1:7" x14ac:dyDescent="0.2">
      <c r="A66" s="7" t="s">
        <v>15</v>
      </c>
      <c r="B66" s="84">
        <v>22388</v>
      </c>
      <c r="C66" s="84">
        <v>9171</v>
      </c>
      <c r="D66" s="84">
        <v>31559</v>
      </c>
      <c r="E66" s="126"/>
      <c r="F66" s="126"/>
      <c r="G66" s="126"/>
    </row>
    <row r="67" spans="1:7" x14ac:dyDescent="0.2">
      <c r="A67" s="7" t="s">
        <v>16</v>
      </c>
      <c r="B67" s="84">
        <v>5378</v>
      </c>
      <c r="C67" s="84">
        <v>4617</v>
      </c>
      <c r="D67" s="84">
        <v>9995</v>
      </c>
      <c r="E67" s="126"/>
      <c r="F67" s="126"/>
      <c r="G67" s="126"/>
    </row>
    <row r="68" spans="1:7" x14ac:dyDescent="0.2">
      <c r="A68" s="7" t="s">
        <v>17</v>
      </c>
      <c r="B68" s="84">
        <v>29971</v>
      </c>
      <c r="C68" s="84">
        <v>8731</v>
      </c>
      <c r="D68" s="84">
        <v>38702</v>
      </c>
      <c r="E68" s="126"/>
      <c r="F68" s="126"/>
      <c r="G68" s="126"/>
    </row>
    <row r="69" spans="1:7" x14ac:dyDescent="0.2">
      <c r="A69" s="7" t="s">
        <v>18</v>
      </c>
      <c r="B69" s="84">
        <v>1411</v>
      </c>
      <c r="C69" s="84">
        <v>1005</v>
      </c>
      <c r="D69" s="84">
        <v>2416</v>
      </c>
      <c r="E69" s="126"/>
      <c r="F69" s="126"/>
      <c r="G69" s="126"/>
    </row>
    <row r="70" spans="1:7" x14ac:dyDescent="0.2">
      <c r="A70" s="7" t="s">
        <v>19</v>
      </c>
      <c r="B70" s="84">
        <v>42730</v>
      </c>
      <c r="C70" s="84">
        <v>13440</v>
      </c>
      <c r="D70" s="84">
        <v>56170</v>
      </c>
      <c r="E70" s="126"/>
      <c r="F70" s="126"/>
      <c r="G70" s="126"/>
    </row>
    <row r="71" spans="1:7" x14ac:dyDescent="0.2">
      <c r="A71" s="7" t="s">
        <v>20</v>
      </c>
      <c r="B71" s="84">
        <v>11838</v>
      </c>
      <c r="C71" s="84">
        <v>46982</v>
      </c>
      <c r="D71" s="84">
        <v>58820</v>
      </c>
      <c r="E71" s="126"/>
      <c r="F71" s="126"/>
      <c r="G71" s="126"/>
    </row>
    <row r="72" spans="1:7" x14ac:dyDescent="0.2">
      <c r="A72" s="9" t="s">
        <v>4</v>
      </c>
      <c r="B72" s="85">
        <v>164576</v>
      </c>
      <c r="C72" s="85">
        <v>123439</v>
      </c>
      <c r="D72" s="85">
        <v>288015</v>
      </c>
      <c r="E72" s="126"/>
      <c r="F72" s="126"/>
      <c r="G72" s="126"/>
    </row>
    <row r="73" spans="1:7" x14ac:dyDescent="0.2">
      <c r="A73" s="32"/>
      <c r="B73" s="32"/>
      <c r="C73" s="32"/>
      <c r="D73" s="32"/>
      <c r="E73" s="32"/>
    </row>
    <row r="74" spans="1:7" x14ac:dyDescent="0.2">
      <c r="A74" s="32"/>
      <c r="B74" s="32"/>
      <c r="C74" s="32"/>
      <c r="D74" s="32"/>
      <c r="E74" s="32"/>
    </row>
    <row r="75" spans="1:7" x14ac:dyDescent="0.2">
      <c r="A75" s="58" t="s">
        <v>230</v>
      </c>
      <c r="B75" s="32"/>
      <c r="C75" s="32"/>
      <c r="D75" s="32"/>
      <c r="E75" s="32"/>
    </row>
    <row r="76" spans="1:7" x14ac:dyDescent="0.2">
      <c r="A76" s="32"/>
      <c r="B76" s="32"/>
      <c r="C76" s="32"/>
      <c r="D76" s="32"/>
      <c r="E76" s="32"/>
    </row>
    <row r="77" spans="1:7" x14ac:dyDescent="0.2">
      <c r="A77" s="59" t="s">
        <v>21</v>
      </c>
      <c r="B77" s="32"/>
      <c r="C77" s="32"/>
      <c r="D77" s="32"/>
      <c r="E77" s="32"/>
    </row>
    <row r="78" spans="1:7" x14ac:dyDescent="0.2">
      <c r="A78" s="32"/>
      <c r="B78" s="32"/>
      <c r="C78" s="32"/>
      <c r="D78" s="32"/>
      <c r="E78" s="32"/>
    </row>
  </sheetData>
  <hyperlinks>
    <hyperlink ref="A77" location="Indice!A5" display="Volver al índice"/>
  </hyperlink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1"/>
  <sheetViews>
    <sheetView showGridLines="0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baseColWidth="10" defaultColWidth="10.85546875" defaultRowHeight="15" x14ac:dyDescent="0.2"/>
  <cols>
    <col min="1" max="1" width="26.42578125" style="1" customWidth="1"/>
    <col min="2" max="17" width="9.85546875" style="1" customWidth="1"/>
    <col min="18" max="18" width="12.5703125" style="1" customWidth="1"/>
    <col min="19" max="19" width="12.85546875" style="1" customWidth="1"/>
    <col min="20" max="20" width="11.85546875" style="1" customWidth="1"/>
    <col min="21" max="21" width="14.5703125" style="1" customWidth="1"/>
    <col min="22" max="26" width="7.85546875" style="1" customWidth="1"/>
    <col min="27" max="16384" width="10.85546875" style="1"/>
  </cols>
  <sheetData>
    <row r="1" spans="1:26" ht="21" x14ac:dyDescent="0.2">
      <c r="A1" s="55" t="s">
        <v>368</v>
      </c>
      <c r="B1" s="55"/>
      <c r="C1" s="55"/>
      <c r="D1" s="55"/>
      <c r="E1" s="55"/>
      <c r="F1" s="55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spans="1:26" ht="26.25" customHeight="1" x14ac:dyDescent="0.2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</row>
    <row r="3" spans="1:26" x14ac:dyDescent="0.2">
      <c r="A3" s="60"/>
      <c r="B3" s="60"/>
      <c r="C3" s="60"/>
      <c r="D3" s="60"/>
      <c r="E3" s="60"/>
      <c r="F3" s="60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</row>
    <row r="4" spans="1:26" ht="15.75" x14ac:dyDescent="0.2">
      <c r="A4" s="23" t="s">
        <v>209</v>
      </c>
      <c r="B4" s="23"/>
      <c r="C4" s="23"/>
      <c r="D4" s="23"/>
      <c r="E4" s="23"/>
      <c r="F4" s="23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</row>
    <row r="5" spans="1:26" ht="28.5" customHeight="1" x14ac:dyDescent="0.2">
      <c r="A5" s="75" t="s">
        <v>220</v>
      </c>
      <c r="B5" s="3">
        <v>2007</v>
      </c>
      <c r="C5" s="3">
        <v>2008</v>
      </c>
      <c r="D5" s="3">
        <v>2009</v>
      </c>
      <c r="E5" s="3">
        <v>2010</v>
      </c>
      <c r="F5" s="3">
        <v>2011</v>
      </c>
      <c r="G5" s="3">
        <v>2012</v>
      </c>
      <c r="H5" s="3">
        <v>2013</v>
      </c>
      <c r="I5" s="3">
        <v>2014</v>
      </c>
      <c r="J5" s="3">
        <v>2015</v>
      </c>
      <c r="K5" s="3">
        <v>2016</v>
      </c>
      <c r="L5" s="3">
        <v>2017</v>
      </c>
      <c r="M5" s="3">
        <v>2018</v>
      </c>
      <c r="N5" s="3">
        <v>2019</v>
      </c>
      <c r="O5" s="3">
        <v>2020</v>
      </c>
      <c r="P5" s="3">
        <v>2021</v>
      </c>
      <c r="Q5" s="3">
        <v>2022</v>
      </c>
      <c r="R5" s="12" t="s">
        <v>406</v>
      </c>
      <c r="S5" s="12" t="s">
        <v>407</v>
      </c>
      <c r="T5" s="12" t="s">
        <v>408</v>
      </c>
      <c r="U5" s="12" t="s">
        <v>409</v>
      </c>
    </row>
    <row r="6" spans="1:26" x14ac:dyDescent="0.2">
      <c r="A6" s="4" t="s">
        <v>1</v>
      </c>
      <c r="B6" s="4">
        <v>84798</v>
      </c>
      <c r="C6" s="4">
        <v>96431</v>
      </c>
      <c r="D6" s="4">
        <v>105500</v>
      </c>
      <c r="E6" s="4">
        <v>101671</v>
      </c>
      <c r="F6" s="4">
        <v>117849</v>
      </c>
      <c r="G6" s="4">
        <v>135342</v>
      </c>
      <c r="H6" s="4">
        <v>156500</v>
      </c>
      <c r="I6" s="4">
        <v>171206</v>
      </c>
      <c r="J6" s="4">
        <v>188806</v>
      </c>
      <c r="K6" s="4">
        <v>197060</v>
      </c>
      <c r="L6" s="4">
        <v>205202</v>
      </c>
      <c r="M6" s="4">
        <v>208072</v>
      </c>
      <c r="N6" s="4">
        <v>200088</v>
      </c>
      <c r="O6" s="4">
        <v>159287</v>
      </c>
      <c r="P6" s="4">
        <v>227783</v>
      </c>
      <c r="Q6" s="4">
        <v>223050</v>
      </c>
      <c r="R6" s="86">
        <f>(Q6-H6)/H6</f>
        <v>0.42523961661341853</v>
      </c>
      <c r="S6" s="93">
        <f>(Q6-M6)/M6</f>
        <v>7.198469760467531E-2</v>
      </c>
      <c r="T6" s="93">
        <f>(Q6-P6)/P6</f>
        <v>-2.0778548004021371E-2</v>
      </c>
      <c r="U6" s="95">
        <f>Q6/Q$9</f>
        <v>0.77443883131086921</v>
      </c>
      <c r="V6" s="130"/>
    </row>
    <row r="7" spans="1:26" x14ac:dyDescent="0.2">
      <c r="A7" s="4" t="s">
        <v>2</v>
      </c>
      <c r="B7" s="4">
        <v>5481</v>
      </c>
      <c r="C7" s="4">
        <v>6239</v>
      </c>
      <c r="D7" s="4">
        <v>8606</v>
      </c>
      <c r="E7" s="4">
        <v>8088</v>
      </c>
      <c r="F7" s="4">
        <v>10011</v>
      </c>
      <c r="G7" s="4">
        <v>10589</v>
      </c>
      <c r="H7" s="4">
        <v>12609</v>
      </c>
      <c r="I7" s="4">
        <v>13002</v>
      </c>
      <c r="J7" s="4">
        <v>13983</v>
      </c>
      <c r="K7" s="4">
        <v>13977</v>
      </c>
      <c r="L7" s="4">
        <v>14810</v>
      </c>
      <c r="M7" s="4">
        <v>16328</v>
      </c>
      <c r="N7" s="4">
        <v>16184</v>
      </c>
      <c r="O7" s="4">
        <v>15241</v>
      </c>
      <c r="P7" s="4">
        <v>19296</v>
      </c>
      <c r="Q7" s="4">
        <v>19303</v>
      </c>
      <c r="R7" s="86">
        <f>(Q7-H7)/H7</f>
        <v>0.53089063367435962</v>
      </c>
      <c r="S7" s="93">
        <f t="shared" ref="S7:S9" si="0">(Q7-M7)/M7</f>
        <v>0.18220235178833905</v>
      </c>
      <c r="T7" s="93">
        <f t="shared" ref="T7:T9" si="1">(Q7-P7)/P7</f>
        <v>3.6276948590381424E-4</v>
      </c>
      <c r="U7" s="95">
        <f t="shared" ref="U7:U9" si="2">Q7/Q$9</f>
        <v>6.702081488811347E-2</v>
      </c>
      <c r="V7" s="130"/>
    </row>
    <row r="8" spans="1:26" x14ac:dyDescent="0.2">
      <c r="A8" s="4" t="s">
        <v>3</v>
      </c>
      <c r="B8" s="4">
        <v>5016</v>
      </c>
      <c r="C8" s="4">
        <v>7652</v>
      </c>
      <c r="D8" s="4">
        <v>8783</v>
      </c>
      <c r="E8" s="4">
        <v>8853</v>
      </c>
      <c r="F8" s="4">
        <v>8730</v>
      </c>
      <c r="G8" s="4">
        <v>9690</v>
      </c>
      <c r="H8" s="4">
        <v>12575</v>
      </c>
      <c r="I8" s="4">
        <v>12895</v>
      </c>
      <c r="J8" s="4">
        <v>13517</v>
      </c>
      <c r="K8" s="4">
        <v>18951</v>
      </c>
      <c r="L8" s="4">
        <v>22610</v>
      </c>
      <c r="M8" s="4">
        <v>24935</v>
      </c>
      <c r="N8" s="4">
        <v>29223</v>
      </c>
      <c r="O8" s="4">
        <v>27336</v>
      </c>
      <c r="P8" s="4">
        <v>33394</v>
      </c>
      <c r="Q8" s="4">
        <v>45662</v>
      </c>
      <c r="R8" s="86">
        <f>(Q8-H8)/H8</f>
        <v>2.63117296222664</v>
      </c>
      <c r="S8" s="93">
        <f t="shared" si="0"/>
        <v>0.83124122719069582</v>
      </c>
      <c r="T8" s="93">
        <f t="shared" si="1"/>
        <v>0.36737138408097264</v>
      </c>
      <c r="U8" s="95">
        <f t="shared" si="2"/>
        <v>0.1585403538010173</v>
      </c>
      <c r="V8" s="130"/>
    </row>
    <row r="9" spans="1:26" x14ac:dyDescent="0.2">
      <c r="A9" s="5" t="s">
        <v>4</v>
      </c>
      <c r="B9" s="5">
        <v>95295</v>
      </c>
      <c r="C9" s="5">
        <v>110322</v>
      </c>
      <c r="D9" s="5">
        <v>122889</v>
      </c>
      <c r="E9" s="5">
        <v>118612</v>
      </c>
      <c r="F9" s="5">
        <v>136590</v>
      </c>
      <c r="G9" s="5">
        <v>155621</v>
      </c>
      <c r="H9" s="5">
        <v>181684</v>
      </c>
      <c r="I9" s="5">
        <v>197103</v>
      </c>
      <c r="J9" s="5">
        <v>216306</v>
      </c>
      <c r="K9" s="5">
        <v>229988</v>
      </c>
      <c r="L9" s="5">
        <v>242622</v>
      </c>
      <c r="M9" s="5">
        <v>249335</v>
      </c>
      <c r="N9" s="5">
        <v>245495</v>
      </c>
      <c r="O9" s="5">
        <v>201864</v>
      </c>
      <c r="P9" s="5">
        <v>280473</v>
      </c>
      <c r="Q9" s="5">
        <v>288015</v>
      </c>
      <c r="R9" s="70">
        <f>(Q9-H9)/H9</f>
        <v>0.585252416283217</v>
      </c>
      <c r="S9" s="94">
        <f t="shared" si="0"/>
        <v>0.15513265285659855</v>
      </c>
      <c r="T9" s="94">
        <f t="shared" si="1"/>
        <v>2.6890288904814368E-2</v>
      </c>
      <c r="U9" s="96">
        <f t="shared" si="2"/>
        <v>1</v>
      </c>
      <c r="V9" s="130"/>
    </row>
    <row r="10" spans="1:26" x14ac:dyDescent="0.2">
      <c r="A10" s="103"/>
      <c r="B10" s="127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03"/>
      <c r="S10" s="103"/>
      <c r="T10" s="103"/>
      <c r="U10" s="90"/>
    </row>
    <row r="11" spans="1:26" ht="15.75" x14ac:dyDescent="0.2">
      <c r="A11" s="23" t="s">
        <v>22</v>
      </c>
      <c r="B11" s="23"/>
      <c r="C11" s="23"/>
      <c r="D11" s="23"/>
      <c r="E11" s="23"/>
      <c r="F11" s="23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</row>
    <row r="12" spans="1:26" ht="25.5" x14ac:dyDescent="0.2">
      <c r="A12" s="75" t="s">
        <v>0</v>
      </c>
      <c r="B12" s="3">
        <v>2007</v>
      </c>
      <c r="C12" s="3">
        <v>2008</v>
      </c>
      <c r="D12" s="3">
        <v>2009</v>
      </c>
      <c r="E12" s="3">
        <v>2010</v>
      </c>
      <c r="F12" s="3">
        <v>2011</v>
      </c>
      <c r="G12" s="3">
        <v>2012</v>
      </c>
      <c r="H12" s="3">
        <v>2013</v>
      </c>
      <c r="I12" s="3">
        <v>2014</v>
      </c>
      <c r="J12" s="3">
        <v>2015</v>
      </c>
      <c r="K12" s="3">
        <v>2016</v>
      </c>
      <c r="L12" s="3">
        <v>2017</v>
      </c>
      <c r="M12" s="3">
        <v>2018</v>
      </c>
      <c r="N12" s="3">
        <v>2019</v>
      </c>
      <c r="O12" s="3">
        <v>2020</v>
      </c>
      <c r="P12" s="3">
        <v>2021</v>
      </c>
      <c r="Q12" s="3">
        <v>2022</v>
      </c>
      <c r="R12" s="12" t="s">
        <v>406</v>
      </c>
      <c r="S12" s="12" t="s">
        <v>407</v>
      </c>
      <c r="T12" s="12" t="s">
        <v>408</v>
      </c>
      <c r="U12" s="12" t="s">
        <v>409</v>
      </c>
    </row>
    <row r="13" spans="1:26" x14ac:dyDescent="0.2">
      <c r="A13" s="4" t="s">
        <v>5</v>
      </c>
      <c r="B13" s="4">
        <v>12670</v>
      </c>
      <c r="C13" s="4">
        <v>19215</v>
      </c>
      <c r="D13" s="4">
        <v>16556</v>
      </c>
      <c r="E13" s="4">
        <v>14059</v>
      </c>
      <c r="F13" s="4">
        <v>22327</v>
      </c>
      <c r="G13" s="4">
        <v>25505</v>
      </c>
      <c r="H13" s="4">
        <v>28193</v>
      </c>
      <c r="I13" s="4">
        <v>27677</v>
      </c>
      <c r="J13" s="4">
        <v>30559</v>
      </c>
      <c r="K13" s="4">
        <v>33796</v>
      </c>
      <c r="L13" s="4">
        <v>32670</v>
      </c>
      <c r="M13" s="4">
        <v>35144</v>
      </c>
      <c r="N13" s="4">
        <v>33531</v>
      </c>
      <c r="O13" s="4">
        <v>23529</v>
      </c>
      <c r="P13" s="4">
        <v>36172</v>
      </c>
      <c r="Q13" s="4">
        <v>37550</v>
      </c>
      <c r="R13" s="86">
        <f t="shared" ref="R13:R16" si="3">(Q13-H13)/H13</f>
        <v>0.33189089490299012</v>
      </c>
      <c r="S13" s="93">
        <f t="shared" ref="S13:S16" si="4">(Q13-M13)/M13</f>
        <v>6.8461188254040517E-2</v>
      </c>
      <c r="T13" s="93">
        <f t="shared" ref="T13:T16" si="5">(Q13-P13)/P13</f>
        <v>3.8095764679862879E-2</v>
      </c>
      <c r="U13" s="95">
        <f t="shared" ref="U13:U16" si="6">Q13/Q$9</f>
        <v>0.13037515407183653</v>
      </c>
      <c r="Y13" s="92"/>
      <c r="Z13" s="125"/>
    </row>
    <row r="14" spans="1:26" x14ac:dyDescent="0.2">
      <c r="A14" s="4" t="s">
        <v>6</v>
      </c>
      <c r="B14" s="4">
        <v>17170</v>
      </c>
      <c r="C14" s="4">
        <v>18688</v>
      </c>
      <c r="D14" s="4">
        <v>23665</v>
      </c>
      <c r="E14" s="4">
        <v>23683</v>
      </c>
      <c r="F14" s="4">
        <v>30696</v>
      </c>
      <c r="G14" s="4">
        <v>38129</v>
      </c>
      <c r="H14" s="4">
        <v>47339</v>
      </c>
      <c r="I14" s="4">
        <v>56386</v>
      </c>
      <c r="J14" s="4">
        <v>68481</v>
      </c>
      <c r="K14" s="4">
        <v>76425</v>
      </c>
      <c r="L14" s="4">
        <v>80053</v>
      </c>
      <c r="M14" s="4">
        <v>80031</v>
      </c>
      <c r="N14" s="4">
        <v>75590</v>
      </c>
      <c r="O14" s="4">
        <v>64225</v>
      </c>
      <c r="P14" s="4">
        <v>82676</v>
      </c>
      <c r="Q14" s="4">
        <v>78303</v>
      </c>
      <c r="R14" s="86">
        <f t="shared" si="3"/>
        <v>0.65409070745051645</v>
      </c>
      <c r="S14" s="93">
        <f t="shared" si="4"/>
        <v>-2.1591633242118678E-2</v>
      </c>
      <c r="T14" s="93">
        <f t="shared" si="5"/>
        <v>-5.2893221733030141E-2</v>
      </c>
      <c r="U14" s="95">
        <f t="shared" si="6"/>
        <v>0.27187125670537993</v>
      </c>
      <c r="Y14" s="92"/>
      <c r="Z14" s="125"/>
    </row>
    <row r="15" spans="1:26" x14ac:dyDescent="0.2">
      <c r="A15" s="4" t="s">
        <v>7</v>
      </c>
      <c r="B15" s="4">
        <v>65455</v>
      </c>
      <c r="C15" s="4">
        <v>72419</v>
      </c>
      <c r="D15" s="4">
        <v>82668</v>
      </c>
      <c r="E15" s="4">
        <v>80870</v>
      </c>
      <c r="F15" s="4">
        <v>83567</v>
      </c>
      <c r="G15" s="4">
        <v>91987</v>
      </c>
      <c r="H15" s="4">
        <v>106152</v>
      </c>
      <c r="I15" s="4">
        <v>113040</v>
      </c>
      <c r="J15" s="4">
        <v>117266</v>
      </c>
      <c r="K15" s="4">
        <v>119767</v>
      </c>
      <c r="L15" s="4">
        <v>129899</v>
      </c>
      <c r="M15" s="4">
        <v>134160</v>
      </c>
      <c r="N15" s="4">
        <v>136374</v>
      </c>
      <c r="O15" s="4">
        <v>114110</v>
      </c>
      <c r="P15" s="4">
        <v>161625</v>
      </c>
      <c r="Q15" s="4">
        <v>172162</v>
      </c>
      <c r="R15" s="86">
        <f t="shared" si="3"/>
        <v>0.62184414801416832</v>
      </c>
      <c r="S15" s="93">
        <f t="shared" si="4"/>
        <v>0.28325879546809779</v>
      </c>
      <c r="T15" s="93">
        <f t="shared" si="5"/>
        <v>6.5194122196442383E-2</v>
      </c>
      <c r="U15" s="95">
        <f t="shared" si="6"/>
        <v>0.59775358922278354</v>
      </c>
      <c r="Y15" s="92"/>
      <c r="Z15" s="125"/>
    </row>
    <row r="16" spans="1:26" x14ac:dyDescent="0.2">
      <c r="A16" s="5" t="s">
        <v>4</v>
      </c>
      <c r="B16" s="5">
        <v>95295</v>
      </c>
      <c r="C16" s="5">
        <v>110322</v>
      </c>
      <c r="D16" s="5">
        <v>122889</v>
      </c>
      <c r="E16" s="5">
        <v>118612</v>
      </c>
      <c r="F16" s="5">
        <v>136590</v>
      </c>
      <c r="G16" s="5">
        <v>155621</v>
      </c>
      <c r="H16" s="5">
        <v>181684</v>
      </c>
      <c r="I16" s="5">
        <v>197103</v>
      </c>
      <c r="J16" s="5">
        <v>216306</v>
      </c>
      <c r="K16" s="5">
        <v>229988</v>
      </c>
      <c r="L16" s="5">
        <v>242622</v>
      </c>
      <c r="M16" s="5">
        <v>249335</v>
      </c>
      <c r="N16" s="5">
        <v>245495</v>
      </c>
      <c r="O16" s="5">
        <v>201864</v>
      </c>
      <c r="P16" s="5">
        <v>280473</v>
      </c>
      <c r="Q16" s="5">
        <v>288015</v>
      </c>
      <c r="R16" s="70">
        <f t="shared" si="3"/>
        <v>0.585252416283217</v>
      </c>
      <c r="S16" s="94">
        <f t="shared" si="4"/>
        <v>0.15513265285659855</v>
      </c>
      <c r="T16" s="94">
        <f t="shared" si="5"/>
        <v>2.6890288904814368E-2</v>
      </c>
      <c r="U16" s="96">
        <f t="shared" si="6"/>
        <v>1</v>
      </c>
      <c r="Y16" s="92"/>
    </row>
    <row r="17" spans="1:21" x14ac:dyDescent="0.2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</row>
    <row r="18" spans="1:21" ht="15.75" x14ac:dyDescent="0.2">
      <c r="A18" s="23" t="s">
        <v>210</v>
      </c>
      <c r="B18" s="23"/>
      <c r="C18" s="23"/>
      <c r="D18" s="23"/>
      <c r="E18" s="23"/>
      <c r="F18" s="23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</row>
    <row r="19" spans="1:21" ht="25.5" x14ac:dyDescent="0.2">
      <c r="A19" s="75" t="s">
        <v>284</v>
      </c>
      <c r="B19" s="3">
        <v>2007</v>
      </c>
      <c r="C19" s="3">
        <v>2008</v>
      </c>
      <c r="D19" s="3">
        <v>2009</v>
      </c>
      <c r="E19" s="3">
        <v>2010</v>
      </c>
      <c r="F19" s="3">
        <v>2011</v>
      </c>
      <c r="G19" s="3">
        <v>2012</v>
      </c>
      <c r="H19" s="3">
        <v>2013</v>
      </c>
      <c r="I19" s="3">
        <v>2014</v>
      </c>
      <c r="J19" s="3">
        <v>2015</v>
      </c>
      <c r="K19" s="3">
        <v>2016</v>
      </c>
      <c r="L19" s="3">
        <v>2017</v>
      </c>
      <c r="M19" s="3">
        <v>2018</v>
      </c>
      <c r="N19" s="3">
        <v>2019</v>
      </c>
      <c r="O19" s="3">
        <v>2020</v>
      </c>
      <c r="P19" s="3">
        <v>2021</v>
      </c>
      <c r="Q19" s="3">
        <v>2022</v>
      </c>
      <c r="R19" s="12" t="s">
        <v>406</v>
      </c>
      <c r="S19" s="12" t="s">
        <v>407</v>
      </c>
      <c r="T19" s="12" t="s">
        <v>408</v>
      </c>
      <c r="U19" s="12" t="s">
        <v>409</v>
      </c>
    </row>
    <row r="20" spans="1:21" x14ac:dyDescent="0.2">
      <c r="A20" s="5" t="s">
        <v>5</v>
      </c>
      <c r="B20" s="5">
        <v>12670</v>
      </c>
      <c r="C20" s="5">
        <v>19215</v>
      </c>
      <c r="D20" s="5">
        <v>16556</v>
      </c>
      <c r="E20" s="5">
        <v>14059</v>
      </c>
      <c r="F20" s="5">
        <v>22327</v>
      </c>
      <c r="G20" s="21">
        <v>25505</v>
      </c>
      <c r="H20" s="21">
        <v>28193</v>
      </c>
      <c r="I20" s="21">
        <v>27677</v>
      </c>
      <c r="J20" s="21">
        <v>30559</v>
      </c>
      <c r="K20" s="21">
        <v>33796</v>
      </c>
      <c r="L20" s="21">
        <v>32670</v>
      </c>
      <c r="M20" s="21">
        <v>35144</v>
      </c>
      <c r="N20" s="21">
        <v>33531</v>
      </c>
      <c r="O20" s="21">
        <v>23529</v>
      </c>
      <c r="P20" s="21">
        <v>36172</v>
      </c>
      <c r="Q20" s="21">
        <v>37550</v>
      </c>
      <c r="R20" s="86">
        <f t="shared" ref="R20:R30" si="7">(Q20-H20)/H20</f>
        <v>0.33189089490299012</v>
      </c>
      <c r="S20" s="93">
        <f t="shared" ref="S20:S30" si="8">(Q20-M20)/M20</f>
        <v>6.8461188254040517E-2</v>
      </c>
      <c r="T20" s="93">
        <f t="shared" ref="T20:T30" si="9">(Q20-P20)/P20</f>
        <v>3.8095764679862879E-2</v>
      </c>
      <c r="U20" s="95">
        <f t="shared" ref="U20:U30" si="10">Q20/Q$9</f>
        <v>0.13037515407183653</v>
      </c>
    </row>
    <row r="21" spans="1:21" x14ac:dyDescent="0.2">
      <c r="A21" s="72" t="s">
        <v>1</v>
      </c>
      <c r="B21" s="72">
        <v>12670</v>
      </c>
      <c r="C21" s="72">
        <v>19215</v>
      </c>
      <c r="D21" s="72">
        <v>16546</v>
      </c>
      <c r="E21" s="72">
        <v>14048</v>
      </c>
      <c r="F21" s="72">
        <v>22314</v>
      </c>
      <c r="G21" s="4">
        <v>25497</v>
      </c>
      <c r="H21" s="4">
        <v>28183</v>
      </c>
      <c r="I21" s="4">
        <v>27677</v>
      </c>
      <c r="J21" s="4">
        <v>30559</v>
      </c>
      <c r="K21" s="4">
        <v>33787</v>
      </c>
      <c r="L21" s="4">
        <v>32660</v>
      </c>
      <c r="M21" s="4">
        <v>35139</v>
      </c>
      <c r="N21" s="4">
        <v>33528</v>
      </c>
      <c r="O21" s="4">
        <v>23526</v>
      </c>
      <c r="P21" s="4">
        <v>36165</v>
      </c>
      <c r="Q21" s="4">
        <v>37541</v>
      </c>
      <c r="R21" s="86">
        <f t="shared" si="7"/>
        <v>0.33204414008444805</v>
      </c>
      <c r="S21" s="93">
        <f t="shared" si="8"/>
        <v>6.8357096104043946E-2</v>
      </c>
      <c r="T21" s="93">
        <f t="shared" si="9"/>
        <v>3.8047836305820544E-2</v>
      </c>
      <c r="U21" s="95">
        <f t="shared" si="10"/>
        <v>0.13034390569935594</v>
      </c>
    </row>
    <row r="22" spans="1:21" x14ac:dyDescent="0.2">
      <c r="A22" s="72" t="s">
        <v>3</v>
      </c>
      <c r="B22" s="72">
        <v>0</v>
      </c>
      <c r="C22" s="72">
        <v>0</v>
      </c>
      <c r="D22" s="72">
        <v>10</v>
      </c>
      <c r="E22" s="72">
        <v>11</v>
      </c>
      <c r="F22" s="72">
        <v>13</v>
      </c>
      <c r="G22" s="4">
        <v>8</v>
      </c>
      <c r="H22" s="4">
        <v>10</v>
      </c>
      <c r="I22" s="4">
        <v>0</v>
      </c>
      <c r="J22" s="4">
        <v>0</v>
      </c>
      <c r="K22" s="4">
        <v>9</v>
      </c>
      <c r="L22" s="4">
        <v>10</v>
      </c>
      <c r="M22" s="4">
        <v>5</v>
      </c>
      <c r="N22" s="4">
        <v>3</v>
      </c>
      <c r="O22" s="4">
        <v>3</v>
      </c>
      <c r="P22" s="4">
        <v>7</v>
      </c>
      <c r="Q22" s="4">
        <v>9</v>
      </c>
      <c r="R22" s="86">
        <f t="shared" si="7"/>
        <v>-0.1</v>
      </c>
      <c r="S22" s="93">
        <f t="shared" si="8"/>
        <v>0.8</v>
      </c>
      <c r="T22" s="93">
        <f t="shared" si="9"/>
        <v>0.2857142857142857</v>
      </c>
      <c r="U22" s="95">
        <f t="shared" si="10"/>
        <v>3.1248372480599969E-5</v>
      </c>
    </row>
    <row r="23" spans="1:21" x14ac:dyDescent="0.2">
      <c r="A23" s="5" t="s">
        <v>6</v>
      </c>
      <c r="B23" s="5">
        <v>17170</v>
      </c>
      <c r="C23" s="5">
        <v>18688</v>
      </c>
      <c r="D23" s="5">
        <v>23665</v>
      </c>
      <c r="E23" s="5">
        <v>23683</v>
      </c>
      <c r="F23" s="5">
        <v>30696</v>
      </c>
      <c r="G23" s="21">
        <v>38129</v>
      </c>
      <c r="H23" s="21">
        <v>47339</v>
      </c>
      <c r="I23" s="21">
        <v>56386</v>
      </c>
      <c r="J23" s="21">
        <v>68481</v>
      </c>
      <c r="K23" s="21">
        <v>76425</v>
      </c>
      <c r="L23" s="21">
        <v>80053</v>
      </c>
      <c r="M23" s="21">
        <v>80031</v>
      </c>
      <c r="N23" s="21">
        <v>75590</v>
      </c>
      <c r="O23" s="21">
        <v>64225</v>
      </c>
      <c r="P23" s="21">
        <v>82676</v>
      </c>
      <c r="Q23" s="21">
        <v>78303</v>
      </c>
      <c r="R23" s="86">
        <f t="shared" si="7"/>
        <v>0.65409070745051645</v>
      </c>
      <c r="S23" s="93">
        <f t="shared" si="8"/>
        <v>-2.1591633242118678E-2</v>
      </c>
      <c r="T23" s="93">
        <f t="shared" si="9"/>
        <v>-5.2893221733030141E-2</v>
      </c>
      <c r="U23" s="95">
        <f t="shared" si="10"/>
        <v>0.27187125670537993</v>
      </c>
    </row>
    <row r="24" spans="1:21" x14ac:dyDescent="0.2">
      <c r="A24" s="72" t="s">
        <v>1</v>
      </c>
      <c r="B24" s="72">
        <v>17170</v>
      </c>
      <c r="C24" s="72">
        <v>18688</v>
      </c>
      <c r="D24" s="72">
        <v>23637</v>
      </c>
      <c r="E24" s="72">
        <v>23683</v>
      </c>
      <c r="F24" s="72">
        <v>30696</v>
      </c>
      <c r="G24" s="4">
        <v>38129</v>
      </c>
      <c r="H24" s="4">
        <v>47334</v>
      </c>
      <c r="I24" s="4">
        <v>56365</v>
      </c>
      <c r="J24" s="4">
        <v>68225</v>
      </c>
      <c r="K24" s="4">
        <v>73784</v>
      </c>
      <c r="L24" s="4">
        <v>78891</v>
      </c>
      <c r="M24" s="4">
        <v>79155</v>
      </c>
      <c r="N24" s="4">
        <v>74182</v>
      </c>
      <c r="O24" s="4">
        <v>63160</v>
      </c>
      <c r="P24" s="4">
        <v>81527</v>
      </c>
      <c r="Q24" s="4">
        <v>77109</v>
      </c>
      <c r="R24" s="86">
        <f t="shared" si="7"/>
        <v>0.62904043605019644</v>
      </c>
      <c r="S24" s="93">
        <f t="shared" si="8"/>
        <v>-2.5848019708167521E-2</v>
      </c>
      <c r="T24" s="93">
        <f t="shared" si="9"/>
        <v>-5.4190636230941898E-2</v>
      </c>
      <c r="U24" s="95">
        <f t="shared" si="10"/>
        <v>0.26772563928962034</v>
      </c>
    </row>
    <row r="25" spans="1:21" x14ac:dyDescent="0.2">
      <c r="A25" s="72" t="s">
        <v>3</v>
      </c>
      <c r="B25" s="72">
        <v>0</v>
      </c>
      <c r="C25" s="72">
        <v>0</v>
      </c>
      <c r="D25" s="72">
        <v>28</v>
      </c>
      <c r="E25" s="72">
        <v>0</v>
      </c>
      <c r="F25" s="72">
        <v>0</v>
      </c>
      <c r="G25" s="4">
        <v>0</v>
      </c>
      <c r="H25" s="4">
        <v>5</v>
      </c>
      <c r="I25" s="4">
        <v>21</v>
      </c>
      <c r="J25" s="4">
        <v>256</v>
      </c>
      <c r="K25" s="4">
        <v>2641</v>
      </c>
      <c r="L25" s="4">
        <v>1162</v>
      </c>
      <c r="M25" s="4">
        <v>876</v>
      </c>
      <c r="N25" s="4">
        <v>1408</v>
      </c>
      <c r="O25" s="4">
        <v>1065</v>
      </c>
      <c r="P25" s="4">
        <v>1149</v>
      </c>
      <c r="Q25" s="4">
        <v>1194</v>
      </c>
      <c r="R25" s="86">
        <f t="shared" si="7"/>
        <v>237.8</v>
      </c>
      <c r="S25" s="93">
        <f t="shared" si="8"/>
        <v>0.36301369863013699</v>
      </c>
      <c r="T25" s="93">
        <f t="shared" si="9"/>
        <v>3.91644908616188E-2</v>
      </c>
      <c r="U25" s="95">
        <f t="shared" si="10"/>
        <v>4.1456174157595959E-3</v>
      </c>
    </row>
    <row r="26" spans="1:21" x14ac:dyDescent="0.2">
      <c r="A26" s="5" t="s">
        <v>7</v>
      </c>
      <c r="B26" s="5">
        <v>65455</v>
      </c>
      <c r="C26" s="5">
        <v>72419</v>
      </c>
      <c r="D26" s="5">
        <v>82668</v>
      </c>
      <c r="E26" s="5">
        <v>80870</v>
      </c>
      <c r="F26" s="5">
        <v>83567</v>
      </c>
      <c r="G26" s="21">
        <v>91987</v>
      </c>
      <c r="H26" s="21">
        <v>106152</v>
      </c>
      <c r="I26" s="21">
        <v>113040</v>
      </c>
      <c r="J26" s="21">
        <v>117266</v>
      </c>
      <c r="K26" s="21">
        <v>119767</v>
      </c>
      <c r="L26" s="21">
        <v>129899</v>
      </c>
      <c r="M26" s="21">
        <v>134160</v>
      </c>
      <c r="N26" s="21">
        <v>136374</v>
      </c>
      <c r="O26" s="21">
        <v>114110</v>
      </c>
      <c r="P26" s="21">
        <v>161625</v>
      </c>
      <c r="Q26" s="21">
        <v>172162</v>
      </c>
      <c r="R26" s="86">
        <f t="shared" si="7"/>
        <v>0.62184414801416832</v>
      </c>
      <c r="S26" s="93">
        <f t="shared" si="8"/>
        <v>0.28325879546809779</v>
      </c>
      <c r="T26" s="93">
        <f t="shared" si="9"/>
        <v>6.5194122196442383E-2</v>
      </c>
      <c r="U26" s="95">
        <f t="shared" si="10"/>
        <v>0.59775358922278354</v>
      </c>
    </row>
    <row r="27" spans="1:21" x14ac:dyDescent="0.2">
      <c r="A27" s="72" t="s">
        <v>1</v>
      </c>
      <c r="B27" s="72">
        <v>54958</v>
      </c>
      <c r="C27" s="72">
        <v>58528</v>
      </c>
      <c r="D27" s="72">
        <v>65317</v>
      </c>
      <c r="E27" s="72">
        <v>63940</v>
      </c>
      <c r="F27" s="72">
        <v>64839</v>
      </c>
      <c r="G27" s="4">
        <v>71716</v>
      </c>
      <c r="H27" s="4">
        <v>80983</v>
      </c>
      <c r="I27" s="4">
        <v>87164</v>
      </c>
      <c r="J27" s="4">
        <v>90022</v>
      </c>
      <c r="K27" s="4">
        <v>89489</v>
      </c>
      <c r="L27" s="4">
        <v>93651</v>
      </c>
      <c r="M27" s="4">
        <v>93778</v>
      </c>
      <c r="N27" s="4">
        <v>92378</v>
      </c>
      <c r="O27" s="4">
        <v>72601</v>
      </c>
      <c r="P27" s="4">
        <v>110091</v>
      </c>
      <c r="Q27" s="4">
        <v>108400</v>
      </c>
      <c r="R27" s="86">
        <f t="shared" si="7"/>
        <v>0.33855253571737276</v>
      </c>
      <c r="S27" s="93">
        <f t="shared" si="8"/>
        <v>0.1559214314658022</v>
      </c>
      <c r="T27" s="93">
        <f t="shared" si="9"/>
        <v>-1.5360020346804008E-2</v>
      </c>
      <c r="U27" s="95">
        <f t="shared" si="10"/>
        <v>0.37636928632189298</v>
      </c>
    </row>
    <row r="28" spans="1:21" x14ac:dyDescent="0.2">
      <c r="A28" s="119" t="s">
        <v>2</v>
      </c>
      <c r="B28" s="72">
        <v>5481</v>
      </c>
      <c r="C28" s="72">
        <v>6239</v>
      </c>
      <c r="D28" s="72">
        <v>8606</v>
      </c>
      <c r="E28" s="72">
        <v>8088</v>
      </c>
      <c r="F28" s="72">
        <v>10011</v>
      </c>
      <c r="G28" s="4">
        <v>10589</v>
      </c>
      <c r="H28" s="4">
        <v>12609</v>
      </c>
      <c r="I28" s="4">
        <v>13002</v>
      </c>
      <c r="J28" s="4">
        <v>13983</v>
      </c>
      <c r="K28" s="4">
        <v>13977</v>
      </c>
      <c r="L28" s="4">
        <v>14810</v>
      </c>
      <c r="M28" s="4">
        <v>16328</v>
      </c>
      <c r="N28" s="4">
        <v>16184</v>
      </c>
      <c r="O28" s="4">
        <v>15241</v>
      </c>
      <c r="P28" s="4">
        <v>19296</v>
      </c>
      <c r="Q28" s="4">
        <v>19303</v>
      </c>
      <c r="R28" s="86">
        <f t="shared" si="7"/>
        <v>0.53089063367435962</v>
      </c>
      <c r="S28" s="93">
        <f t="shared" si="8"/>
        <v>0.18220235178833905</v>
      </c>
      <c r="T28" s="93">
        <f t="shared" si="9"/>
        <v>3.6276948590381424E-4</v>
      </c>
      <c r="U28" s="95">
        <f t="shared" si="10"/>
        <v>6.702081488811347E-2</v>
      </c>
    </row>
    <row r="29" spans="1:21" x14ac:dyDescent="0.2">
      <c r="A29" s="72" t="s">
        <v>3</v>
      </c>
      <c r="B29" s="72">
        <v>5016</v>
      </c>
      <c r="C29" s="72">
        <v>7652</v>
      </c>
      <c r="D29" s="72">
        <v>8745</v>
      </c>
      <c r="E29" s="72">
        <v>8842</v>
      </c>
      <c r="F29" s="72">
        <v>8717</v>
      </c>
      <c r="G29" s="4">
        <v>9682</v>
      </c>
      <c r="H29" s="4">
        <v>12560</v>
      </c>
      <c r="I29" s="4">
        <v>12874</v>
      </c>
      <c r="J29" s="4">
        <v>13261</v>
      </c>
      <c r="K29" s="4">
        <v>16301</v>
      </c>
      <c r="L29" s="4">
        <v>21438</v>
      </c>
      <c r="M29" s="4">
        <v>24054</v>
      </c>
      <c r="N29" s="4">
        <v>27812</v>
      </c>
      <c r="O29" s="4">
        <v>26268</v>
      </c>
      <c r="P29" s="4">
        <v>32238</v>
      </c>
      <c r="Q29" s="4">
        <v>44459</v>
      </c>
      <c r="R29" s="86">
        <f t="shared" si="7"/>
        <v>2.5397292993630574</v>
      </c>
      <c r="S29" s="93">
        <f t="shared" si="8"/>
        <v>0.84829965910035754</v>
      </c>
      <c r="T29" s="93">
        <f t="shared" si="9"/>
        <v>0.37908679198461442</v>
      </c>
      <c r="U29" s="95">
        <f t="shared" si="10"/>
        <v>0.15436348801277711</v>
      </c>
    </row>
    <row r="30" spans="1:21" x14ac:dyDescent="0.2">
      <c r="A30" s="5" t="s">
        <v>4</v>
      </c>
      <c r="B30" s="5">
        <v>95295</v>
      </c>
      <c r="C30" s="5">
        <v>110322</v>
      </c>
      <c r="D30" s="5">
        <v>122889</v>
      </c>
      <c r="E30" s="5">
        <v>118612</v>
      </c>
      <c r="F30" s="5">
        <v>136590</v>
      </c>
      <c r="G30" s="5">
        <v>155621</v>
      </c>
      <c r="H30" s="5">
        <v>181684</v>
      </c>
      <c r="I30" s="5">
        <v>197103</v>
      </c>
      <c r="J30" s="5">
        <v>216306</v>
      </c>
      <c r="K30" s="5">
        <v>229988</v>
      </c>
      <c r="L30" s="5">
        <v>242622</v>
      </c>
      <c r="M30" s="5">
        <v>249335</v>
      </c>
      <c r="N30" s="5">
        <v>245495</v>
      </c>
      <c r="O30" s="5">
        <v>201864</v>
      </c>
      <c r="P30" s="5">
        <v>280473</v>
      </c>
      <c r="Q30" s="5">
        <v>288015</v>
      </c>
      <c r="R30" s="70">
        <f t="shared" si="7"/>
        <v>0.585252416283217</v>
      </c>
      <c r="S30" s="94">
        <f t="shared" si="8"/>
        <v>0.15513265285659855</v>
      </c>
      <c r="T30" s="94">
        <f t="shared" si="9"/>
        <v>2.6890288904814368E-2</v>
      </c>
      <c r="U30" s="96">
        <f t="shared" si="10"/>
        <v>1</v>
      </c>
    </row>
    <row r="31" spans="1:21" x14ac:dyDescent="0.2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</row>
    <row r="32" spans="1:21" ht="15.75" x14ac:dyDescent="0.2">
      <c r="A32" s="23" t="s">
        <v>203</v>
      </c>
      <c r="B32" s="23"/>
      <c r="C32" s="23"/>
      <c r="D32" s="23"/>
      <c r="E32" s="23"/>
      <c r="F32" s="23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</row>
    <row r="33" spans="1:21" ht="25.5" x14ac:dyDescent="0.2">
      <c r="A33" s="75" t="s">
        <v>0</v>
      </c>
      <c r="B33" s="3">
        <v>2007</v>
      </c>
      <c r="C33" s="3">
        <v>2008</v>
      </c>
      <c r="D33" s="3">
        <v>2009</v>
      </c>
      <c r="E33" s="3">
        <v>2010</v>
      </c>
      <c r="F33" s="3">
        <v>2011</v>
      </c>
      <c r="G33" s="3">
        <v>2012</v>
      </c>
      <c r="H33" s="3">
        <v>2013</v>
      </c>
      <c r="I33" s="3">
        <v>2014</v>
      </c>
      <c r="J33" s="3">
        <v>2015</v>
      </c>
      <c r="K33" s="3">
        <v>2016</v>
      </c>
      <c r="L33" s="3">
        <v>2017</v>
      </c>
      <c r="M33" s="3">
        <v>2018</v>
      </c>
      <c r="N33" s="3">
        <v>2019</v>
      </c>
      <c r="O33" s="3">
        <v>2020</v>
      </c>
      <c r="P33" s="3">
        <v>2021</v>
      </c>
      <c r="Q33" s="3">
        <v>2022</v>
      </c>
      <c r="R33" s="12" t="s">
        <v>406</v>
      </c>
      <c r="S33" s="12" t="s">
        <v>407</v>
      </c>
      <c r="T33" s="12" t="s">
        <v>408</v>
      </c>
      <c r="U33" s="12" t="s">
        <v>409</v>
      </c>
    </row>
    <row r="34" spans="1:21" x14ac:dyDescent="0.2">
      <c r="A34" s="4" t="s">
        <v>270</v>
      </c>
      <c r="B34" s="4">
        <v>12670</v>
      </c>
      <c r="C34" s="4">
        <v>19215</v>
      </c>
      <c r="D34" s="4">
        <v>16556</v>
      </c>
      <c r="E34" s="4">
        <v>14059</v>
      </c>
      <c r="F34" s="4">
        <v>22327</v>
      </c>
      <c r="G34" s="4">
        <v>25505</v>
      </c>
      <c r="H34" s="4">
        <v>28193</v>
      </c>
      <c r="I34" s="4">
        <v>27677</v>
      </c>
      <c r="J34" s="4">
        <v>30559</v>
      </c>
      <c r="K34" s="4">
        <v>33796</v>
      </c>
      <c r="L34" s="4">
        <v>32670</v>
      </c>
      <c r="M34" s="4">
        <v>35144</v>
      </c>
      <c r="N34" s="4">
        <v>33514</v>
      </c>
      <c r="O34" s="4">
        <v>23447</v>
      </c>
      <c r="P34" s="4">
        <v>35147</v>
      </c>
      <c r="Q34" s="4">
        <v>36005</v>
      </c>
      <c r="R34" s="86">
        <f t="shared" ref="R34:R40" si="11">(Q34-H34)/H34</f>
        <v>0.2770900578157699</v>
      </c>
      <c r="S34" s="93">
        <f t="shared" ref="S34:S40" si="12">(Q34-M34)/M34</f>
        <v>2.449920327794218E-2</v>
      </c>
      <c r="T34" s="93">
        <f t="shared" ref="T34:T40" si="13">(Q34-P34)/P34</f>
        <v>2.4411756337667512E-2</v>
      </c>
      <c r="U34" s="95">
        <f t="shared" ref="U34:U40" si="14">Q34/Q$9</f>
        <v>0.12501085012933355</v>
      </c>
    </row>
    <row r="35" spans="1:21" x14ac:dyDescent="0.2">
      <c r="A35" s="4" t="s">
        <v>271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17</v>
      </c>
      <c r="O35" s="4">
        <v>82</v>
      </c>
      <c r="P35" s="4">
        <v>1025</v>
      </c>
      <c r="Q35" s="4">
        <v>1545</v>
      </c>
      <c r="R35" s="86" t="s">
        <v>416</v>
      </c>
      <c r="S35" s="86" t="s">
        <v>416</v>
      </c>
      <c r="T35" s="93">
        <f t="shared" si="13"/>
        <v>0.50731707317073171</v>
      </c>
      <c r="U35" s="95">
        <f t="shared" si="14"/>
        <v>5.3643039425029949E-3</v>
      </c>
    </row>
    <row r="36" spans="1:21" x14ac:dyDescent="0.2">
      <c r="A36" s="4" t="s">
        <v>6</v>
      </c>
      <c r="B36" s="4">
        <v>17170</v>
      </c>
      <c r="C36" s="4">
        <v>18688</v>
      </c>
      <c r="D36" s="4">
        <v>23665</v>
      </c>
      <c r="E36" s="4">
        <v>23683</v>
      </c>
      <c r="F36" s="4">
        <v>30696</v>
      </c>
      <c r="G36" s="4">
        <v>38129</v>
      </c>
      <c r="H36" s="4">
        <v>47339</v>
      </c>
      <c r="I36" s="4">
        <v>56386</v>
      </c>
      <c r="J36" s="4">
        <v>68481</v>
      </c>
      <c r="K36" s="4">
        <v>76425</v>
      </c>
      <c r="L36" s="4">
        <v>80053</v>
      </c>
      <c r="M36" s="4">
        <v>80031</v>
      </c>
      <c r="N36" s="4">
        <v>75590</v>
      </c>
      <c r="O36" s="4">
        <v>64225</v>
      </c>
      <c r="P36" s="4">
        <v>82676</v>
      </c>
      <c r="Q36" s="4">
        <v>78303</v>
      </c>
      <c r="R36" s="86">
        <f t="shared" si="11"/>
        <v>0.65409070745051645</v>
      </c>
      <c r="S36" s="93">
        <f t="shared" si="12"/>
        <v>-2.1591633242118678E-2</v>
      </c>
      <c r="T36" s="93">
        <f t="shared" si="13"/>
        <v>-5.2893221733030141E-2</v>
      </c>
      <c r="U36" s="95">
        <f t="shared" si="14"/>
        <v>0.27187125670537993</v>
      </c>
    </row>
    <row r="37" spans="1:21" x14ac:dyDescent="0.2">
      <c r="A37" s="28" t="s">
        <v>434</v>
      </c>
      <c r="B37" s="28">
        <v>23857</v>
      </c>
      <c r="C37" s="28">
        <v>24349</v>
      </c>
      <c r="D37" s="28">
        <v>27333</v>
      </c>
      <c r="E37" s="28">
        <v>27401</v>
      </c>
      <c r="F37" s="28">
        <v>25957</v>
      </c>
      <c r="G37" s="4">
        <v>26572</v>
      </c>
      <c r="H37" s="4">
        <v>27590</v>
      </c>
      <c r="I37" s="4">
        <v>28231</v>
      </c>
      <c r="J37" s="4">
        <v>29198</v>
      </c>
      <c r="K37" s="4">
        <v>28429</v>
      </c>
      <c r="L37" s="4">
        <v>30234</v>
      </c>
      <c r="M37" s="4">
        <v>29724</v>
      </c>
      <c r="N37" s="4">
        <v>29804</v>
      </c>
      <c r="O37" s="4">
        <v>23827</v>
      </c>
      <c r="P37" s="4">
        <v>34418</v>
      </c>
      <c r="Q37" s="4">
        <v>35440</v>
      </c>
      <c r="R37" s="86">
        <f t="shared" si="11"/>
        <v>0.28452337803552014</v>
      </c>
      <c r="S37" s="93">
        <f t="shared" si="12"/>
        <v>0.1923025164849953</v>
      </c>
      <c r="T37" s="93">
        <f t="shared" si="13"/>
        <v>2.9693764890464294E-2</v>
      </c>
      <c r="U37" s="95">
        <f t="shared" si="14"/>
        <v>0.12304914674582922</v>
      </c>
    </row>
    <row r="38" spans="1:21" x14ac:dyDescent="0.2">
      <c r="A38" s="28" t="s">
        <v>435</v>
      </c>
      <c r="B38" s="28">
        <v>14220</v>
      </c>
      <c r="C38" s="28">
        <v>15138</v>
      </c>
      <c r="D38" s="28">
        <v>17516</v>
      </c>
      <c r="E38" s="28">
        <v>17191</v>
      </c>
      <c r="F38" s="28">
        <v>17394</v>
      </c>
      <c r="G38" s="4">
        <v>18934</v>
      </c>
      <c r="H38" s="4">
        <v>20600</v>
      </c>
      <c r="I38" s="4">
        <v>21727</v>
      </c>
      <c r="J38" s="4">
        <v>22769</v>
      </c>
      <c r="K38" s="4">
        <v>22507</v>
      </c>
      <c r="L38" s="4">
        <v>30315</v>
      </c>
      <c r="M38" s="4">
        <v>29335</v>
      </c>
      <c r="N38" s="4">
        <v>33611</v>
      </c>
      <c r="O38" s="4">
        <v>31847</v>
      </c>
      <c r="P38" s="4">
        <v>40229</v>
      </c>
      <c r="Q38" s="4">
        <v>53655</v>
      </c>
      <c r="R38" s="86">
        <f t="shared" si="11"/>
        <v>1.6046116504854369</v>
      </c>
      <c r="S38" s="93">
        <f t="shared" si="12"/>
        <v>0.82904380432929947</v>
      </c>
      <c r="T38" s="93">
        <f t="shared" si="13"/>
        <v>0.33373934226552981</v>
      </c>
      <c r="U38" s="95">
        <f t="shared" si="14"/>
        <v>0.1862923806051768</v>
      </c>
    </row>
    <row r="39" spans="1:21" x14ac:dyDescent="0.2">
      <c r="A39" s="28" t="s">
        <v>229</v>
      </c>
      <c r="B39" s="28">
        <v>27378</v>
      </c>
      <c r="C39" s="28">
        <v>32932</v>
      </c>
      <c r="D39" s="28">
        <v>37819</v>
      </c>
      <c r="E39" s="28">
        <v>36278</v>
      </c>
      <c r="F39" s="28">
        <v>40216</v>
      </c>
      <c r="G39" s="4">
        <v>46481</v>
      </c>
      <c r="H39" s="4">
        <v>57962</v>
      </c>
      <c r="I39" s="4">
        <v>63082</v>
      </c>
      <c r="J39" s="4">
        <v>65299</v>
      </c>
      <c r="K39" s="4">
        <v>68831</v>
      </c>
      <c r="L39" s="4">
        <v>69350</v>
      </c>
      <c r="M39" s="4">
        <v>75101</v>
      </c>
      <c r="N39" s="4">
        <v>72959</v>
      </c>
      <c r="O39" s="4">
        <v>58436</v>
      </c>
      <c r="P39" s="4">
        <v>86978</v>
      </c>
      <c r="Q39" s="4">
        <v>83067</v>
      </c>
      <c r="R39" s="86">
        <f t="shared" si="11"/>
        <v>0.43312860149753285</v>
      </c>
      <c r="S39" s="93">
        <f t="shared" si="12"/>
        <v>0.10607049173779311</v>
      </c>
      <c r="T39" s="93">
        <f t="shared" si="13"/>
        <v>-4.4965393547793692E-2</v>
      </c>
      <c r="U39" s="95">
        <f t="shared" si="14"/>
        <v>0.28841206187177754</v>
      </c>
    </row>
    <row r="40" spans="1:21" x14ac:dyDescent="0.2">
      <c r="A40" s="5" t="s">
        <v>4</v>
      </c>
      <c r="B40" s="5">
        <v>95295</v>
      </c>
      <c r="C40" s="5">
        <v>110322</v>
      </c>
      <c r="D40" s="5">
        <v>122889</v>
      </c>
      <c r="E40" s="5">
        <v>118612</v>
      </c>
      <c r="F40" s="5">
        <v>136590</v>
      </c>
      <c r="G40" s="5">
        <v>155621</v>
      </c>
      <c r="H40" s="5">
        <v>181684</v>
      </c>
      <c r="I40" s="5">
        <v>197103</v>
      </c>
      <c r="J40" s="5">
        <v>216306</v>
      </c>
      <c r="K40" s="5">
        <v>229988</v>
      </c>
      <c r="L40" s="5">
        <v>242622</v>
      </c>
      <c r="M40" s="5">
        <v>249335</v>
      </c>
      <c r="N40" s="5">
        <v>245495</v>
      </c>
      <c r="O40" s="5">
        <v>201864</v>
      </c>
      <c r="P40" s="5">
        <v>280473</v>
      </c>
      <c r="Q40" s="5">
        <v>288015</v>
      </c>
      <c r="R40" s="70">
        <f t="shared" si="11"/>
        <v>0.585252416283217</v>
      </c>
      <c r="S40" s="94">
        <f t="shared" si="12"/>
        <v>0.15513265285659855</v>
      </c>
      <c r="T40" s="94">
        <f t="shared" si="13"/>
        <v>2.6890288904814368E-2</v>
      </c>
      <c r="U40" s="96">
        <f t="shared" si="14"/>
        <v>1</v>
      </c>
    </row>
    <row r="41" spans="1:21" x14ac:dyDescent="0.2">
      <c r="A41" s="118" t="s">
        <v>436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</row>
    <row r="42" spans="1:21" x14ac:dyDescent="0.2">
      <c r="A42" s="10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</row>
    <row r="43" spans="1:21" ht="15.75" x14ac:dyDescent="0.2">
      <c r="A43" s="23" t="s">
        <v>211</v>
      </c>
      <c r="B43" s="23"/>
      <c r="C43" s="23"/>
      <c r="D43" s="23"/>
      <c r="E43" s="23"/>
      <c r="F43" s="23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</row>
    <row r="44" spans="1:21" ht="25.5" x14ac:dyDescent="0.2">
      <c r="A44" s="75" t="s">
        <v>23</v>
      </c>
      <c r="B44" s="3">
        <v>2007</v>
      </c>
      <c r="C44" s="3">
        <v>2008</v>
      </c>
      <c r="D44" s="3">
        <v>2009</v>
      </c>
      <c r="E44" s="3">
        <v>2010</v>
      </c>
      <c r="F44" s="3">
        <v>2011</v>
      </c>
      <c r="G44" s="3">
        <v>2012</v>
      </c>
      <c r="H44" s="3">
        <v>2013</v>
      </c>
      <c r="I44" s="3">
        <v>2014</v>
      </c>
      <c r="J44" s="3">
        <v>2015</v>
      </c>
      <c r="K44" s="3">
        <v>2016</v>
      </c>
      <c r="L44" s="3">
        <v>2017</v>
      </c>
      <c r="M44" s="3">
        <v>2018</v>
      </c>
      <c r="N44" s="3">
        <v>2019</v>
      </c>
      <c r="O44" s="3">
        <v>2020</v>
      </c>
      <c r="P44" s="3">
        <v>2021</v>
      </c>
      <c r="Q44" s="3">
        <v>2022</v>
      </c>
      <c r="R44" s="12" t="s">
        <v>406</v>
      </c>
      <c r="S44" s="12" t="s">
        <v>407</v>
      </c>
      <c r="T44" s="12" t="s">
        <v>408</v>
      </c>
      <c r="U44" s="12" t="s">
        <v>409</v>
      </c>
    </row>
    <row r="45" spans="1:21" x14ac:dyDescent="0.2">
      <c r="A45" s="5" t="s">
        <v>270</v>
      </c>
      <c r="B45" s="5">
        <v>12670</v>
      </c>
      <c r="C45" s="5">
        <v>19215</v>
      </c>
      <c r="D45" s="5">
        <v>16556</v>
      </c>
      <c r="E45" s="5">
        <v>14059</v>
      </c>
      <c r="F45" s="5">
        <v>22327</v>
      </c>
      <c r="G45" s="21">
        <v>25505</v>
      </c>
      <c r="H45" s="21">
        <v>28193</v>
      </c>
      <c r="I45" s="21">
        <v>27677</v>
      </c>
      <c r="J45" s="21">
        <v>30559</v>
      </c>
      <c r="K45" s="21">
        <v>33796</v>
      </c>
      <c r="L45" s="21">
        <v>32670</v>
      </c>
      <c r="M45" s="21">
        <v>35144</v>
      </c>
      <c r="N45" s="21">
        <v>33514</v>
      </c>
      <c r="O45" s="21">
        <v>23447</v>
      </c>
      <c r="P45" s="21">
        <v>35147</v>
      </c>
      <c r="Q45" s="21">
        <v>36005</v>
      </c>
      <c r="R45" s="70">
        <f t="shared" ref="R45:R65" si="15">(Q45-H45)/H45</f>
        <v>0.2770900578157699</v>
      </c>
      <c r="S45" s="94">
        <f t="shared" ref="S45:S65" si="16">(Q45-M45)/M45</f>
        <v>2.449920327794218E-2</v>
      </c>
      <c r="T45" s="94">
        <f t="shared" ref="T45:T65" si="17">(Q45-P45)/P45</f>
        <v>2.4411756337667512E-2</v>
      </c>
      <c r="U45" s="96">
        <f t="shared" ref="U45:U65" si="18">Q45/Q$9</f>
        <v>0.12501085012933355</v>
      </c>
    </row>
    <row r="46" spans="1:21" x14ac:dyDescent="0.2">
      <c r="A46" s="72" t="s">
        <v>1</v>
      </c>
      <c r="B46" s="72">
        <v>12670</v>
      </c>
      <c r="C46" s="72">
        <v>19215</v>
      </c>
      <c r="D46" s="72">
        <v>16546</v>
      </c>
      <c r="E46" s="72">
        <v>14048</v>
      </c>
      <c r="F46" s="72">
        <v>22314</v>
      </c>
      <c r="G46" s="4">
        <v>25497</v>
      </c>
      <c r="H46" s="4">
        <v>28183</v>
      </c>
      <c r="I46" s="4">
        <v>27677</v>
      </c>
      <c r="J46" s="4">
        <v>30559</v>
      </c>
      <c r="K46" s="4">
        <v>33787</v>
      </c>
      <c r="L46" s="4">
        <v>32660</v>
      </c>
      <c r="M46" s="4">
        <v>35139</v>
      </c>
      <c r="N46" s="4">
        <v>33511</v>
      </c>
      <c r="O46" s="4">
        <v>23444</v>
      </c>
      <c r="P46" s="4">
        <v>35140</v>
      </c>
      <c r="Q46" s="4">
        <v>35996</v>
      </c>
      <c r="R46" s="86">
        <f t="shared" si="15"/>
        <v>0.27722385835432706</v>
      </c>
      <c r="S46" s="93">
        <f t="shared" si="16"/>
        <v>2.4388855687412846E-2</v>
      </c>
      <c r="T46" s="93">
        <f t="shared" si="17"/>
        <v>2.4359704040978942E-2</v>
      </c>
      <c r="U46" s="95">
        <f t="shared" si="18"/>
        <v>0.12497960175685294</v>
      </c>
    </row>
    <row r="47" spans="1:21" x14ac:dyDescent="0.2">
      <c r="A47" s="72" t="s">
        <v>3</v>
      </c>
      <c r="B47" s="72">
        <v>0</v>
      </c>
      <c r="C47" s="72">
        <v>0</v>
      </c>
      <c r="D47" s="72">
        <v>10</v>
      </c>
      <c r="E47" s="72">
        <v>11</v>
      </c>
      <c r="F47" s="72">
        <v>13</v>
      </c>
      <c r="G47" s="4">
        <v>8</v>
      </c>
      <c r="H47" s="4">
        <v>10</v>
      </c>
      <c r="I47" s="4">
        <v>0</v>
      </c>
      <c r="J47" s="4">
        <v>0</v>
      </c>
      <c r="K47" s="4">
        <v>9</v>
      </c>
      <c r="L47" s="4">
        <v>10</v>
      </c>
      <c r="M47" s="4">
        <v>5</v>
      </c>
      <c r="N47" s="4">
        <v>3</v>
      </c>
      <c r="O47" s="4">
        <v>3</v>
      </c>
      <c r="P47" s="4">
        <v>7</v>
      </c>
      <c r="Q47" s="4">
        <v>9</v>
      </c>
      <c r="R47" s="86">
        <f t="shared" si="15"/>
        <v>-0.1</v>
      </c>
      <c r="S47" s="93">
        <f t="shared" si="16"/>
        <v>0.8</v>
      </c>
      <c r="T47" s="93">
        <f t="shared" si="17"/>
        <v>0.2857142857142857</v>
      </c>
      <c r="U47" s="95">
        <f t="shared" si="18"/>
        <v>3.1248372480599969E-5</v>
      </c>
    </row>
    <row r="48" spans="1:21" x14ac:dyDescent="0.2">
      <c r="A48" s="5" t="s">
        <v>271</v>
      </c>
      <c r="B48" s="72">
        <v>0</v>
      </c>
      <c r="C48" s="72">
        <v>0</v>
      </c>
      <c r="D48" s="72">
        <v>0</v>
      </c>
      <c r="E48" s="72">
        <v>0</v>
      </c>
      <c r="F48" s="72">
        <v>0</v>
      </c>
      <c r="G48" s="72">
        <v>0</v>
      </c>
      <c r="H48" s="72">
        <v>0</v>
      </c>
      <c r="I48" s="72">
        <v>0</v>
      </c>
      <c r="J48" s="72">
        <v>0</v>
      </c>
      <c r="K48" s="72">
        <v>0</v>
      </c>
      <c r="L48" s="72">
        <v>0</v>
      </c>
      <c r="M48" s="72">
        <v>0</v>
      </c>
      <c r="N48" s="4">
        <v>17</v>
      </c>
      <c r="O48" s="4">
        <v>82</v>
      </c>
      <c r="P48" s="4">
        <v>1025</v>
      </c>
      <c r="Q48" s="4">
        <v>1545</v>
      </c>
      <c r="R48" s="70" t="s">
        <v>416</v>
      </c>
      <c r="S48" s="70" t="s">
        <v>416</v>
      </c>
      <c r="T48" s="94">
        <f t="shared" si="17"/>
        <v>0.50731707317073171</v>
      </c>
      <c r="U48" s="96">
        <f t="shared" si="18"/>
        <v>5.3643039425029949E-3</v>
      </c>
    </row>
    <row r="49" spans="1:21" x14ac:dyDescent="0.2">
      <c r="A49" s="72" t="s">
        <v>1</v>
      </c>
      <c r="B49" s="72">
        <v>0</v>
      </c>
      <c r="C49" s="72">
        <v>0</v>
      </c>
      <c r="D49" s="72">
        <v>0</v>
      </c>
      <c r="E49" s="72">
        <v>0</v>
      </c>
      <c r="F49" s="72">
        <v>0</v>
      </c>
      <c r="G49" s="72">
        <v>0</v>
      </c>
      <c r="H49" s="72">
        <v>0</v>
      </c>
      <c r="I49" s="72">
        <v>0</v>
      </c>
      <c r="J49" s="72">
        <v>0</v>
      </c>
      <c r="K49" s="72">
        <v>0</v>
      </c>
      <c r="L49" s="72">
        <v>0</v>
      </c>
      <c r="M49" s="72">
        <v>0</v>
      </c>
      <c r="N49" s="4">
        <v>17</v>
      </c>
      <c r="O49" s="4">
        <v>82</v>
      </c>
      <c r="P49" s="4">
        <v>1025</v>
      </c>
      <c r="Q49" s="4">
        <v>1545</v>
      </c>
      <c r="R49" s="86" t="s">
        <v>416</v>
      </c>
      <c r="S49" s="86" t="s">
        <v>416</v>
      </c>
      <c r="T49" s="93">
        <f t="shared" si="17"/>
        <v>0.50731707317073171</v>
      </c>
      <c r="U49" s="95">
        <f t="shared" si="18"/>
        <v>5.3643039425029949E-3</v>
      </c>
    </row>
    <row r="50" spans="1:21" x14ac:dyDescent="0.2">
      <c r="A50" s="5" t="s">
        <v>6</v>
      </c>
      <c r="B50" s="5">
        <v>17170</v>
      </c>
      <c r="C50" s="5">
        <v>18688</v>
      </c>
      <c r="D50" s="5">
        <v>23665</v>
      </c>
      <c r="E50" s="5">
        <v>23683</v>
      </c>
      <c r="F50" s="5">
        <v>30696</v>
      </c>
      <c r="G50" s="21">
        <v>38129</v>
      </c>
      <c r="H50" s="21">
        <v>47339</v>
      </c>
      <c r="I50" s="21">
        <v>56386</v>
      </c>
      <c r="J50" s="21">
        <v>68481</v>
      </c>
      <c r="K50" s="21">
        <v>76425</v>
      </c>
      <c r="L50" s="21">
        <v>80053</v>
      </c>
      <c r="M50" s="21">
        <v>80031</v>
      </c>
      <c r="N50" s="21">
        <v>75590</v>
      </c>
      <c r="O50" s="21">
        <v>64225</v>
      </c>
      <c r="P50" s="21">
        <v>82676</v>
      </c>
      <c r="Q50" s="21">
        <v>78303</v>
      </c>
      <c r="R50" s="70">
        <f t="shared" si="15"/>
        <v>0.65409070745051645</v>
      </c>
      <c r="S50" s="94">
        <f t="shared" si="16"/>
        <v>-2.1591633242118678E-2</v>
      </c>
      <c r="T50" s="94">
        <f t="shared" si="17"/>
        <v>-5.2893221733030141E-2</v>
      </c>
      <c r="U50" s="96">
        <f t="shared" si="18"/>
        <v>0.27187125670537993</v>
      </c>
    </row>
    <row r="51" spans="1:21" x14ac:dyDescent="0.2">
      <c r="A51" s="72" t="s">
        <v>1</v>
      </c>
      <c r="B51" s="72">
        <v>17170</v>
      </c>
      <c r="C51" s="72">
        <v>18688</v>
      </c>
      <c r="D51" s="72">
        <v>23637</v>
      </c>
      <c r="E51" s="72">
        <v>23683</v>
      </c>
      <c r="F51" s="72">
        <v>30696</v>
      </c>
      <c r="G51" s="4">
        <v>38129</v>
      </c>
      <c r="H51" s="4">
        <v>47334</v>
      </c>
      <c r="I51" s="4">
        <v>56365</v>
      </c>
      <c r="J51" s="4">
        <v>68225</v>
      </c>
      <c r="K51" s="4">
        <v>73784</v>
      </c>
      <c r="L51" s="4">
        <v>78891</v>
      </c>
      <c r="M51" s="4">
        <v>79155</v>
      </c>
      <c r="N51" s="4">
        <v>74182</v>
      </c>
      <c r="O51" s="4">
        <v>63160</v>
      </c>
      <c r="P51" s="4">
        <v>81527</v>
      </c>
      <c r="Q51" s="4">
        <v>77109</v>
      </c>
      <c r="R51" s="86">
        <f t="shared" si="15"/>
        <v>0.62904043605019644</v>
      </c>
      <c r="S51" s="93">
        <f t="shared" si="16"/>
        <v>-2.5848019708167521E-2</v>
      </c>
      <c r="T51" s="93">
        <f t="shared" si="17"/>
        <v>-5.4190636230941898E-2</v>
      </c>
      <c r="U51" s="95">
        <f t="shared" si="18"/>
        <v>0.26772563928962034</v>
      </c>
    </row>
    <row r="52" spans="1:21" x14ac:dyDescent="0.2">
      <c r="A52" s="72" t="s">
        <v>3</v>
      </c>
      <c r="B52" s="72">
        <v>0</v>
      </c>
      <c r="C52" s="72">
        <v>0</v>
      </c>
      <c r="D52" s="72">
        <v>28</v>
      </c>
      <c r="E52" s="72">
        <v>0</v>
      </c>
      <c r="F52" s="72">
        <v>0</v>
      </c>
      <c r="G52" s="4">
        <v>0</v>
      </c>
      <c r="H52" s="4">
        <v>5</v>
      </c>
      <c r="I52" s="4">
        <v>21</v>
      </c>
      <c r="J52" s="4">
        <v>256</v>
      </c>
      <c r="K52" s="4">
        <v>2641</v>
      </c>
      <c r="L52" s="4">
        <v>1162</v>
      </c>
      <c r="M52" s="4">
        <v>876</v>
      </c>
      <c r="N52" s="4">
        <v>1408</v>
      </c>
      <c r="O52" s="4">
        <v>1065</v>
      </c>
      <c r="P52" s="4">
        <v>1149</v>
      </c>
      <c r="Q52" s="4">
        <v>1194</v>
      </c>
      <c r="R52" s="86">
        <f t="shared" si="15"/>
        <v>237.8</v>
      </c>
      <c r="S52" s="93">
        <f t="shared" si="16"/>
        <v>0.36301369863013699</v>
      </c>
      <c r="T52" s="93">
        <f t="shared" si="17"/>
        <v>3.91644908616188E-2</v>
      </c>
      <c r="U52" s="95">
        <f t="shared" si="18"/>
        <v>4.1456174157595959E-3</v>
      </c>
    </row>
    <row r="53" spans="1:21" x14ac:dyDescent="0.2">
      <c r="A53" s="5" t="s">
        <v>437</v>
      </c>
      <c r="B53" s="5">
        <v>23857</v>
      </c>
      <c r="C53" s="5">
        <v>24349</v>
      </c>
      <c r="D53" s="5">
        <v>27333</v>
      </c>
      <c r="E53" s="5">
        <v>27401</v>
      </c>
      <c r="F53" s="5">
        <v>25957</v>
      </c>
      <c r="G53" s="21">
        <v>26572</v>
      </c>
      <c r="H53" s="21">
        <v>27590</v>
      </c>
      <c r="I53" s="21">
        <v>28231</v>
      </c>
      <c r="J53" s="21">
        <v>29198</v>
      </c>
      <c r="K53" s="21">
        <v>28429</v>
      </c>
      <c r="L53" s="21">
        <v>30234</v>
      </c>
      <c r="M53" s="21">
        <v>29724</v>
      </c>
      <c r="N53" s="21">
        <v>29804</v>
      </c>
      <c r="O53" s="21">
        <v>23827</v>
      </c>
      <c r="P53" s="21">
        <v>34418</v>
      </c>
      <c r="Q53" s="21">
        <v>35440</v>
      </c>
      <c r="R53" s="70">
        <f t="shared" si="15"/>
        <v>0.28452337803552014</v>
      </c>
      <c r="S53" s="94">
        <f t="shared" si="16"/>
        <v>0.1923025164849953</v>
      </c>
      <c r="T53" s="94">
        <f t="shared" si="17"/>
        <v>2.9693764890464294E-2</v>
      </c>
      <c r="U53" s="96">
        <f t="shared" si="18"/>
        <v>0.12304914674582922</v>
      </c>
    </row>
    <row r="54" spans="1:21" x14ac:dyDescent="0.2">
      <c r="A54" s="72" t="s">
        <v>1</v>
      </c>
      <c r="B54" s="72">
        <v>20835</v>
      </c>
      <c r="C54" s="72">
        <v>20848</v>
      </c>
      <c r="D54" s="72">
        <v>23500</v>
      </c>
      <c r="E54" s="72">
        <v>23147</v>
      </c>
      <c r="F54" s="72">
        <v>21624</v>
      </c>
      <c r="G54" s="4">
        <v>21615</v>
      </c>
      <c r="H54" s="4">
        <v>21805</v>
      </c>
      <c r="I54" s="4">
        <v>22310</v>
      </c>
      <c r="J54" s="4">
        <v>23261</v>
      </c>
      <c r="K54" s="4">
        <v>22450</v>
      </c>
      <c r="L54" s="4">
        <v>24273</v>
      </c>
      <c r="M54" s="4">
        <v>23355</v>
      </c>
      <c r="N54" s="4">
        <v>23595</v>
      </c>
      <c r="O54" s="4">
        <v>19462</v>
      </c>
      <c r="P54" s="4">
        <v>26999</v>
      </c>
      <c r="Q54" s="4">
        <v>28239</v>
      </c>
      <c r="R54" s="86">
        <f t="shared" si="15"/>
        <v>0.29506993808759457</v>
      </c>
      <c r="S54" s="93">
        <f t="shared" si="16"/>
        <v>0.20912010276172127</v>
      </c>
      <c r="T54" s="93">
        <f t="shared" si="17"/>
        <v>4.5927626949146268E-2</v>
      </c>
      <c r="U54" s="95">
        <f t="shared" si="18"/>
        <v>9.80469767199625E-2</v>
      </c>
    </row>
    <row r="55" spans="1:21" x14ac:dyDescent="0.2">
      <c r="A55" s="119" t="s">
        <v>2</v>
      </c>
      <c r="B55" s="72">
        <v>1648</v>
      </c>
      <c r="C55" s="72">
        <v>1920</v>
      </c>
      <c r="D55" s="72">
        <v>2327</v>
      </c>
      <c r="E55" s="72">
        <v>2421</v>
      </c>
      <c r="F55" s="72">
        <v>2696</v>
      </c>
      <c r="G55" s="4">
        <v>2990</v>
      </c>
      <c r="H55" s="4">
        <v>3331</v>
      </c>
      <c r="I55" s="4">
        <v>3547</v>
      </c>
      <c r="J55" s="4">
        <v>3709</v>
      </c>
      <c r="K55" s="4">
        <v>3532</v>
      </c>
      <c r="L55" s="4">
        <v>4053</v>
      </c>
      <c r="M55" s="4">
        <v>4198</v>
      </c>
      <c r="N55" s="4">
        <v>3991</v>
      </c>
      <c r="O55" s="4">
        <v>2882</v>
      </c>
      <c r="P55" s="4">
        <v>4413</v>
      </c>
      <c r="Q55" s="4">
        <v>3228</v>
      </c>
      <c r="R55" s="86">
        <f t="shared" si="15"/>
        <v>-3.0921645151606125E-2</v>
      </c>
      <c r="S55" s="93">
        <f t="shared" si="16"/>
        <v>-0.23106241067174846</v>
      </c>
      <c r="T55" s="93">
        <f t="shared" si="17"/>
        <v>-0.26852481305234532</v>
      </c>
      <c r="U55" s="95">
        <f t="shared" si="18"/>
        <v>1.1207749596375188E-2</v>
      </c>
    </row>
    <row r="56" spans="1:21" x14ac:dyDescent="0.2">
      <c r="A56" s="72" t="s">
        <v>3</v>
      </c>
      <c r="B56" s="72">
        <v>1374</v>
      </c>
      <c r="C56" s="72">
        <v>1581</v>
      </c>
      <c r="D56" s="72">
        <v>1506</v>
      </c>
      <c r="E56" s="72">
        <v>1833</v>
      </c>
      <c r="F56" s="72">
        <v>1637</v>
      </c>
      <c r="G56" s="4">
        <v>1967</v>
      </c>
      <c r="H56" s="4">
        <v>2454</v>
      </c>
      <c r="I56" s="4">
        <v>2374</v>
      </c>
      <c r="J56" s="4">
        <v>2228</v>
      </c>
      <c r="K56" s="4">
        <v>2447</v>
      </c>
      <c r="L56" s="4">
        <v>1908</v>
      </c>
      <c r="M56" s="4">
        <v>2171</v>
      </c>
      <c r="N56" s="4">
        <v>2218</v>
      </c>
      <c r="O56" s="4">
        <v>1483</v>
      </c>
      <c r="P56" s="4">
        <v>3006</v>
      </c>
      <c r="Q56" s="4">
        <v>3973</v>
      </c>
      <c r="R56" s="86">
        <f t="shared" si="15"/>
        <v>0.61898940505297473</v>
      </c>
      <c r="S56" s="93">
        <f t="shared" si="16"/>
        <v>0.83003224320589586</v>
      </c>
      <c r="T56" s="93">
        <f t="shared" si="17"/>
        <v>0.32168995342648038</v>
      </c>
      <c r="U56" s="95">
        <f t="shared" si="18"/>
        <v>1.3794420429491519E-2</v>
      </c>
    </row>
    <row r="57" spans="1:21" x14ac:dyDescent="0.2">
      <c r="A57" s="5" t="s">
        <v>435</v>
      </c>
      <c r="B57" s="5">
        <v>14220</v>
      </c>
      <c r="C57" s="5">
        <v>15138</v>
      </c>
      <c r="D57" s="5">
        <v>17516</v>
      </c>
      <c r="E57" s="5">
        <v>17191</v>
      </c>
      <c r="F57" s="5">
        <v>17394</v>
      </c>
      <c r="G57" s="21">
        <v>18934</v>
      </c>
      <c r="H57" s="21">
        <v>20600</v>
      </c>
      <c r="I57" s="21">
        <v>21727</v>
      </c>
      <c r="J57" s="21">
        <v>22769</v>
      </c>
      <c r="K57" s="89">
        <v>22507</v>
      </c>
      <c r="L57" s="89">
        <v>30315</v>
      </c>
      <c r="M57" s="89">
        <v>29335</v>
      </c>
      <c r="N57" s="89">
        <v>33611</v>
      </c>
      <c r="O57" s="89">
        <v>31847</v>
      </c>
      <c r="P57" s="89">
        <v>40229</v>
      </c>
      <c r="Q57" s="89">
        <v>53655</v>
      </c>
      <c r="R57" s="70">
        <f t="shared" si="15"/>
        <v>1.6046116504854369</v>
      </c>
      <c r="S57" s="94">
        <f t="shared" si="16"/>
        <v>0.82904380432929947</v>
      </c>
      <c r="T57" s="94">
        <f t="shared" si="17"/>
        <v>0.33373934226552981</v>
      </c>
      <c r="U57" s="96">
        <f t="shared" si="18"/>
        <v>0.1862923806051768</v>
      </c>
    </row>
    <row r="58" spans="1:21" x14ac:dyDescent="0.2">
      <c r="A58" s="72" t="s">
        <v>1</v>
      </c>
      <c r="B58" s="72">
        <v>11378</v>
      </c>
      <c r="C58" s="72">
        <v>11877</v>
      </c>
      <c r="D58" s="72">
        <v>13532</v>
      </c>
      <c r="E58" s="72">
        <v>13044</v>
      </c>
      <c r="F58" s="72">
        <v>12982</v>
      </c>
      <c r="G58" s="4">
        <v>14598</v>
      </c>
      <c r="H58" s="4">
        <v>15841</v>
      </c>
      <c r="I58" s="4">
        <v>16362</v>
      </c>
      <c r="J58" s="4">
        <v>17011</v>
      </c>
      <c r="K58" s="4">
        <v>16409</v>
      </c>
      <c r="L58" s="4">
        <v>18372</v>
      </c>
      <c r="M58" s="4">
        <v>17137</v>
      </c>
      <c r="N58" s="4">
        <v>19227</v>
      </c>
      <c r="O58" s="4">
        <v>17477</v>
      </c>
      <c r="P58" s="4">
        <v>25898</v>
      </c>
      <c r="Q58" s="4">
        <v>26949</v>
      </c>
      <c r="R58" s="86">
        <f t="shared" si="15"/>
        <v>0.70121835742693017</v>
      </c>
      <c r="S58" s="93">
        <f t="shared" si="16"/>
        <v>0.57256229211647314</v>
      </c>
      <c r="T58" s="93">
        <f t="shared" si="17"/>
        <v>4.0582284346281569E-2</v>
      </c>
      <c r="U58" s="95">
        <f t="shared" si="18"/>
        <v>9.3568043331076503E-2</v>
      </c>
    </row>
    <row r="59" spans="1:21" x14ac:dyDescent="0.2">
      <c r="A59" s="119" t="s">
        <v>2</v>
      </c>
      <c r="B59" s="72">
        <v>1565</v>
      </c>
      <c r="C59" s="72">
        <v>1478</v>
      </c>
      <c r="D59" s="72">
        <v>1909</v>
      </c>
      <c r="E59" s="72">
        <v>1865</v>
      </c>
      <c r="F59" s="72">
        <v>2099</v>
      </c>
      <c r="G59" s="4">
        <v>2085</v>
      </c>
      <c r="H59" s="4">
        <v>2814</v>
      </c>
      <c r="I59" s="4">
        <v>3018</v>
      </c>
      <c r="J59" s="4">
        <v>2931</v>
      </c>
      <c r="K59" s="4">
        <v>3106</v>
      </c>
      <c r="L59" s="4">
        <v>3410</v>
      </c>
      <c r="M59" s="4">
        <v>3489</v>
      </c>
      <c r="N59" s="4">
        <v>3780</v>
      </c>
      <c r="O59" s="4">
        <v>3488</v>
      </c>
      <c r="P59" s="4">
        <v>4992</v>
      </c>
      <c r="Q59" s="4">
        <v>5124</v>
      </c>
      <c r="R59" s="86">
        <f t="shared" si="15"/>
        <v>0.82089552238805974</v>
      </c>
      <c r="S59" s="93">
        <f t="shared" si="16"/>
        <v>0.46861564918314702</v>
      </c>
      <c r="T59" s="93">
        <f t="shared" si="17"/>
        <v>2.6442307692307692E-2</v>
      </c>
      <c r="U59" s="95">
        <f t="shared" si="18"/>
        <v>1.7790740065621584E-2</v>
      </c>
    </row>
    <row r="60" spans="1:21" x14ac:dyDescent="0.2">
      <c r="A60" s="72" t="s">
        <v>3</v>
      </c>
      <c r="B60" s="72">
        <v>1277</v>
      </c>
      <c r="C60" s="72">
        <v>1783</v>
      </c>
      <c r="D60" s="72">
        <v>2075</v>
      </c>
      <c r="E60" s="72">
        <v>2282</v>
      </c>
      <c r="F60" s="72">
        <v>2313</v>
      </c>
      <c r="G60" s="4">
        <v>2251</v>
      </c>
      <c r="H60" s="4">
        <v>1945</v>
      </c>
      <c r="I60" s="4">
        <v>2347</v>
      </c>
      <c r="J60" s="4">
        <v>2827</v>
      </c>
      <c r="K60" s="4">
        <v>2992</v>
      </c>
      <c r="L60" s="4">
        <v>8533</v>
      </c>
      <c r="M60" s="4">
        <v>8709</v>
      </c>
      <c r="N60" s="4">
        <v>10604</v>
      </c>
      <c r="O60" s="4">
        <v>10882</v>
      </c>
      <c r="P60" s="4">
        <v>9339</v>
      </c>
      <c r="Q60" s="4">
        <v>21582</v>
      </c>
      <c r="R60" s="86">
        <f t="shared" si="15"/>
        <v>10.096143958868895</v>
      </c>
      <c r="S60" s="93">
        <f t="shared" si="16"/>
        <v>1.4781260764726145</v>
      </c>
      <c r="T60" s="93">
        <f t="shared" si="17"/>
        <v>1.3109540636042403</v>
      </c>
      <c r="U60" s="95">
        <f t="shared" si="18"/>
        <v>7.4933597208478725E-2</v>
      </c>
    </row>
    <row r="61" spans="1:21" x14ac:dyDescent="0.2">
      <c r="A61" s="5" t="s">
        <v>229</v>
      </c>
      <c r="B61" s="5">
        <v>27378</v>
      </c>
      <c r="C61" s="5">
        <v>32932</v>
      </c>
      <c r="D61" s="5">
        <v>37819</v>
      </c>
      <c r="E61" s="5">
        <v>36278</v>
      </c>
      <c r="F61" s="5">
        <v>40216</v>
      </c>
      <c r="G61" s="21">
        <v>46481</v>
      </c>
      <c r="H61" s="21">
        <v>57962</v>
      </c>
      <c r="I61" s="21">
        <v>63082</v>
      </c>
      <c r="J61" s="21">
        <v>65299</v>
      </c>
      <c r="K61" s="21">
        <v>68831</v>
      </c>
      <c r="L61" s="21">
        <v>69350</v>
      </c>
      <c r="M61" s="21">
        <v>75101</v>
      </c>
      <c r="N61" s="21">
        <v>72959</v>
      </c>
      <c r="O61" s="21">
        <v>58436</v>
      </c>
      <c r="P61" s="21">
        <v>86978</v>
      </c>
      <c r="Q61" s="21">
        <v>83067</v>
      </c>
      <c r="R61" s="70">
        <f t="shared" si="15"/>
        <v>0.43312860149753285</v>
      </c>
      <c r="S61" s="94">
        <f t="shared" si="16"/>
        <v>0.10607049173779311</v>
      </c>
      <c r="T61" s="94">
        <f t="shared" si="17"/>
        <v>-4.4965393547793692E-2</v>
      </c>
      <c r="U61" s="96">
        <f t="shared" si="18"/>
        <v>0.28841206187177754</v>
      </c>
    </row>
    <row r="62" spans="1:21" x14ac:dyDescent="0.2">
      <c r="A62" s="72" t="s">
        <v>1</v>
      </c>
      <c r="B62" s="72">
        <v>22745</v>
      </c>
      <c r="C62" s="72">
        <v>25803</v>
      </c>
      <c r="D62" s="72">
        <v>28285</v>
      </c>
      <c r="E62" s="72">
        <v>27749</v>
      </c>
      <c r="F62" s="72">
        <v>30233</v>
      </c>
      <c r="G62" s="4">
        <v>35503</v>
      </c>
      <c r="H62" s="4">
        <v>43337</v>
      </c>
      <c r="I62" s="4">
        <v>48492</v>
      </c>
      <c r="J62" s="4">
        <v>49750</v>
      </c>
      <c r="K62" s="4">
        <v>50630</v>
      </c>
      <c r="L62" s="4">
        <v>51006</v>
      </c>
      <c r="M62" s="4">
        <v>53286</v>
      </c>
      <c r="N62" s="4">
        <v>49556</v>
      </c>
      <c r="O62" s="4">
        <v>35662</v>
      </c>
      <c r="P62" s="4">
        <v>57194</v>
      </c>
      <c r="Q62" s="4">
        <v>53212</v>
      </c>
      <c r="R62" s="86">
        <f t="shared" si="15"/>
        <v>0.22786533447169854</v>
      </c>
      <c r="S62" s="93">
        <f t="shared" si="16"/>
        <v>-1.3887325000938333E-3</v>
      </c>
      <c r="T62" s="93">
        <f t="shared" si="17"/>
        <v>-6.9622687694513408E-2</v>
      </c>
      <c r="U62" s="95">
        <f t="shared" si="18"/>
        <v>0.18475426627085395</v>
      </c>
    </row>
    <row r="63" spans="1:21" x14ac:dyDescent="0.2">
      <c r="A63" s="119" t="s">
        <v>2</v>
      </c>
      <c r="B63" s="72">
        <v>2268</v>
      </c>
      <c r="C63" s="72">
        <v>2841</v>
      </c>
      <c r="D63" s="72">
        <v>4370</v>
      </c>
      <c r="E63" s="72">
        <v>3802</v>
      </c>
      <c r="F63" s="72">
        <v>5216</v>
      </c>
      <c r="G63" s="4">
        <v>5514</v>
      </c>
      <c r="H63" s="4">
        <v>6464</v>
      </c>
      <c r="I63" s="4">
        <v>6437</v>
      </c>
      <c r="J63" s="4">
        <v>7343</v>
      </c>
      <c r="K63" s="4">
        <v>7339</v>
      </c>
      <c r="L63" s="4">
        <v>7347</v>
      </c>
      <c r="M63" s="4">
        <v>8641</v>
      </c>
      <c r="N63" s="4">
        <v>8413</v>
      </c>
      <c r="O63" s="4">
        <v>8871</v>
      </c>
      <c r="P63" s="4">
        <v>9891</v>
      </c>
      <c r="Q63" s="4">
        <v>10951</v>
      </c>
      <c r="R63" s="86">
        <f t="shared" si="15"/>
        <v>0.6941522277227723</v>
      </c>
      <c r="S63" s="93">
        <f t="shared" si="16"/>
        <v>0.26733017011919918</v>
      </c>
      <c r="T63" s="93">
        <f t="shared" si="17"/>
        <v>0.10716813264583966</v>
      </c>
      <c r="U63" s="95">
        <f t="shared" si="18"/>
        <v>3.8022325226116697E-2</v>
      </c>
    </row>
    <row r="64" spans="1:21" x14ac:dyDescent="0.2">
      <c r="A64" s="72" t="s">
        <v>3</v>
      </c>
      <c r="B64" s="72">
        <v>2365</v>
      </c>
      <c r="C64" s="72">
        <v>4288</v>
      </c>
      <c r="D64" s="72">
        <v>5164</v>
      </c>
      <c r="E64" s="72">
        <v>4727</v>
      </c>
      <c r="F64" s="72">
        <v>4767</v>
      </c>
      <c r="G64" s="4">
        <v>5464</v>
      </c>
      <c r="H64" s="4">
        <v>8161</v>
      </c>
      <c r="I64" s="4">
        <v>8153</v>
      </c>
      <c r="J64" s="4">
        <v>8206</v>
      </c>
      <c r="K64" s="4">
        <v>10862</v>
      </c>
      <c r="L64" s="4">
        <v>10997</v>
      </c>
      <c r="M64" s="4">
        <v>13174</v>
      </c>
      <c r="N64" s="4">
        <v>14990</v>
      </c>
      <c r="O64" s="4">
        <v>13903</v>
      </c>
      <c r="P64" s="4">
        <v>19893</v>
      </c>
      <c r="Q64" s="4">
        <v>18904</v>
      </c>
      <c r="R64" s="86">
        <f t="shared" si="15"/>
        <v>1.3163827962259527</v>
      </c>
      <c r="S64" s="93">
        <f t="shared" si="16"/>
        <v>0.43494762410809168</v>
      </c>
      <c r="T64" s="93">
        <f t="shared" si="17"/>
        <v>-4.9715980495651735E-2</v>
      </c>
      <c r="U64" s="95">
        <f t="shared" si="18"/>
        <v>6.5635470374806867E-2</v>
      </c>
    </row>
    <row r="65" spans="1:27" x14ac:dyDescent="0.2">
      <c r="A65" s="5" t="s">
        <v>4</v>
      </c>
      <c r="B65" s="5">
        <v>95295</v>
      </c>
      <c r="C65" s="5">
        <v>110322</v>
      </c>
      <c r="D65" s="5">
        <v>122889</v>
      </c>
      <c r="E65" s="5">
        <v>118612</v>
      </c>
      <c r="F65" s="5">
        <v>136590</v>
      </c>
      <c r="G65" s="5">
        <v>155621</v>
      </c>
      <c r="H65" s="5">
        <v>181684</v>
      </c>
      <c r="I65" s="5">
        <v>197103</v>
      </c>
      <c r="J65" s="5">
        <v>216306</v>
      </c>
      <c r="K65" s="5">
        <v>229988</v>
      </c>
      <c r="L65" s="5">
        <v>242622</v>
      </c>
      <c r="M65" s="5">
        <v>249335</v>
      </c>
      <c r="N65" s="5">
        <v>245495</v>
      </c>
      <c r="O65" s="5">
        <v>201864</v>
      </c>
      <c r="P65" s="5">
        <v>280473</v>
      </c>
      <c r="Q65" s="5">
        <v>288015</v>
      </c>
      <c r="R65" s="70">
        <f t="shared" si="15"/>
        <v>0.585252416283217</v>
      </c>
      <c r="S65" s="94">
        <f t="shared" si="16"/>
        <v>0.15513265285659855</v>
      </c>
      <c r="T65" s="94">
        <f t="shared" si="17"/>
        <v>2.6890288904814368E-2</v>
      </c>
      <c r="U65" s="96">
        <f t="shared" si="18"/>
        <v>1</v>
      </c>
    </row>
    <row r="66" spans="1:27" x14ac:dyDescent="0.2">
      <c r="A66" s="118" t="s">
        <v>436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</row>
    <row r="67" spans="1:27" x14ac:dyDescent="0.2">
      <c r="A67" s="101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</row>
    <row r="68" spans="1:27" ht="15.75" x14ac:dyDescent="0.2">
      <c r="A68" s="23" t="s">
        <v>202</v>
      </c>
      <c r="B68" s="23"/>
      <c r="C68" s="23"/>
      <c r="D68" s="23"/>
      <c r="E68" s="23"/>
      <c r="F68" s="23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</row>
    <row r="69" spans="1:27" ht="25.5" x14ac:dyDescent="0.2">
      <c r="A69" s="75" t="s">
        <v>219</v>
      </c>
      <c r="B69" s="3">
        <v>2007</v>
      </c>
      <c r="C69" s="3">
        <v>2008</v>
      </c>
      <c r="D69" s="3">
        <v>2009</v>
      </c>
      <c r="E69" s="3">
        <v>2010</v>
      </c>
      <c r="F69" s="3">
        <v>2011</v>
      </c>
      <c r="G69" s="3">
        <v>2012</v>
      </c>
      <c r="H69" s="3">
        <v>2013</v>
      </c>
      <c r="I69" s="3">
        <v>2014</v>
      </c>
      <c r="J69" s="3">
        <v>2015</v>
      </c>
      <c r="K69" s="3">
        <v>2016</v>
      </c>
      <c r="L69" s="3">
        <v>2017</v>
      </c>
      <c r="M69" s="3">
        <v>2018</v>
      </c>
      <c r="N69" s="3">
        <v>2019</v>
      </c>
      <c r="O69" s="3">
        <v>2020</v>
      </c>
      <c r="P69" s="3">
        <v>2021</v>
      </c>
      <c r="Q69" s="3">
        <v>2022</v>
      </c>
      <c r="R69" s="12" t="s">
        <v>406</v>
      </c>
      <c r="S69" s="12" t="s">
        <v>407</v>
      </c>
      <c r="T69" s="12" t="s">
        <v>408</v>
      </c>
      <c r="U69" s="12" t="s">
        <v>409</v>
      </c>
    </row>
    <row r="70" spans="1:27" x14ac:dyDescent="0.2">
      <c r="A70" s="28" t="s">
        <v>200</v>
      </c>
      <c r="B70" s="28">
        <v>51547</v>
      </c>
      <c r="C70" s="28">
        <v>61841</v>
      </c>
      <c r="D70" s="28">
        <v>67608</v>
      </c>
      <c r="E70" s="28">
        <v>64518</v>
      </c>
      <c r="F70" s="28">
        <v>76217</v>
      </c>
      <c r="G70" s="4">
        <v>87567</v>
      </c>
      <c r="H70" s="4">
        <v>102595</v>
      </c>
      <c r="I70" s="4">
        <v>110146</v>
      </c>
      <c r="J70" s="4">
        <v>120354</v>
      </c>
      <c r="K70" s="4">
        <v>129987</v>
      </c>
      <c r="L70" s="4">
        <v>137568</v>
      </c>
      <c r="M70" s="4">
        <v>141175</v>
      </c>
      <c r="N70" s="4">
        <v>139656</v>
      </c>
      <c r="O70" s="4">
        <v>114348</v>
      </c>
      <c r="P70" s="4">
        <v>162909</v>
      </c>
      <c r="Q70" s="4">
        <v>164576</v>
      </c>
      <c r="R70" s="86">
        <f t="shared" ref="R70:R72" si="19">(Q70-H70)/H70</f>
        <v>0.60413275500755392</v>
      </c>
      <c r="S70" s="93">
        <f t="shared" ref="S70:S72" si="20">(Q70-M70)/M70</f>
        <v>0.16575880998760403</v>
      </c>
      <c r="T70" s="93">
        <f t="shared" ref="T70:T72" si="21">(Q70-P70)/P70</f>
        <v>1.0232706603072881E-2</v>
      </c>
      <c r="U70" s="95">
        <f t="shared" ref="U70:U72" si="22">Q70/Q$9</f>
        <v>0.57141468326302447</v>
      </c>
      <c r="V70" s="92"/>
      <c r="W70" s="125"/>
    </row>
    <row r="71" spans="1:27" x14ac:dyDescent="0.2">
      <c r="A71" s="28" t="s">
        <v>201</v>
      </c>
      <c r="B71" s="28">
        <v>43748</v>
      </c>
      <c r="C71" s="28">
        <v>48481</v>
      </c>
      <c r="D71" s="28">
        <v>55281</v>
      </c>
      <c r="E71" s="28">
        <v>54094</v>
      </c>
      <c r="F71" s="28">
        <v>60373</v>
      </c>
      <c r="G71" s="4">
        <v>68054</v>
      </c>
      <c r="H71" s="4">
        <v>79089</v>
      </c>
      <c r="I71" s="4">
        <v>86957</v>
      </c>
      <c r="J71" s="4">
        <v>95952</v>
      </c>
      <c r="K71" s="4">
        <v>100001</v>
      </c>
      <c r="L71" s="4">
        <v>105054</v>
      </c>
      <c r="M71" s="4">
        <v>108160</v>
      </c>
      <c r="N71" s="4">
        <v>105839</v>
      </c>
      <c r="O71" s="4">
        <v>87516</v>
      </c>
      <c r="P71" s="4">
        <v>117564</v>
      </c>
      <c r="Q71" s="4">
        <v>123439</v>
      </c>
      <c r="R71" s="86">
        <f t="shared" si="19"/>
        <v>0.56076066203896879</v>
      </c>
      <c r="S71" s="93">
        <f t="shared" si="20"/>
        <v>0.14126294378698226</v>
      </c>
      <c r="T71" s="93">
        <f t="shared" si="21"/>
        <v>4.9972780783232959E-2</v>
      </c>
      <c r="U71" s="95">
        <f t="shared" si="22"/>
        <v>0.42858531673697553</v>
      </c>
    </row>
    <row r="72" spans="1:27" x14ac:dyDescent="0.2">
      <c r="A72" s="5" t="s">
        <v>4</v>
      </c>
      <c r="B72" s="5">
        <v>95295</v>
      </c>
      <c r="C72" s="5">
        <v>110322</v>
      </c>
      <c r="D72" s="5">
        <v>122889</v>
      </c>
      <c r="E72" s="5">
        <v>118612</v>
      </c>
      <c r="F72" s="5">
        <v>136590</v>
      </c>
      <c r="G72" s="5">
        <v>155621</v>
      </c>
      <c r="H72" s="5">
        <v>181684</v>
      </c>
      <c r="I72" s="5">
        <v>197103</v>
      </c>
      <c r="J72" s="5">
        <v>216306</v>
      </c>
      <c r="K72" s="5">
        <v>229988</v>
      </c>
      <c r="L72" s="5">
        <v>242622</v>
      </c>
      <c r="M72" s="5">
        <v>249335</v>
      </c>
      <c r="N72" s="5">
        <v>245495</v>
      </c>
      <c r="O72" s="5">
        <v>201864</v>
      </c>
      <c r="P72" s="5">
        <v>280473</v>
      </c>
      <c r="Q72" s="5">
        <v>288015</v>
      </c>
      <c r="R72" s="70">
        <f t="shared" si="19"/>
        <v>0.585252416283217</v>
      </c>
      <c r="S72" s="94">
        <f t="shared" si="20"/>
        <v>0.15513265285659855</v>
      </c>
      <c r="T72" s="94">
        <f t="shared" si="21"/>
        <v>2.6890288904814368E-2</v>
      </c>
      <c r="U72" s="96">
        <f t="shared" si="22"/>
        <v>1</v>
      </c>
    </row>
    <row r="73" spans="1:27" x14ac:dyDescent="0.2">
      <c r="A73" s="32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32"/>
      <c r="S73" s="105"/>
      <c r="T73" s="32"/>
      <c r="U73" s="32"/>
    </row>
    <row r="74" spans="1:27" ht="15.75" x14ac:dyDescent="0.2">
      <c r="A74" s="23" t="s">
        <v>24</v>
      </c>
      <c r="B74" s="23"/>
      <c r="C74" s="23"/>
      <c r="D74" s="23"/>
      <c r="E74" s="23"/>
      <c r="F74" s="23"/>
      <c r="G74" s="32"/>
      <c r="L74" s="92"/>
      <c r="M74" s="92"/>
      <c r="N74" s="92"/>
      <c r="O74" s="92"/>
      <c r="P74" s="92"/>
      <c r="Q74" s="92"/>
      <c r="S74" s="105"/>
    </row>
    <row r="75" spans="1:27" ht="25.5" x14ac:dyDescent="0.2">
      <c r="A75" s="75" t="s">
        <v>25</v>
      </c>
      <c r="B75" s="3">
        <v>2007</v>
      </c>
      <c r="C75" s="3">
        <v>2008</v>
      </c>
      <c r="D75" s="3">
        <v>2009</v>
      </c>
      <c r="E75" s="3">
        <v>2010</v>
      </c>
      <c r="F75" s="3">
        <v>2011</v>
      </c>
      <c r="G75" s="3">
        <v>2012</v>
      </c>
      <c r="H75" s="3">
        <v>2013</v>
      </c>
      <c r="I75" s="3">
        <v>2014</v>
      </c>
      <c r="J75" s="3">
        <v>2015</v>
      </c>
      <c r="K75" s="3">
        <v>2016</v>
      </c>
      <c r="L75" s="3">
        <v>2017</v>
      </c>
      <c r="M75" s="3">
        <v>2018</v>
      </c>
      <c r="N75" s="3">
        <v>2019</v>
      </c>
      <c r="O75" s="3">
        <v>2020</v>
      </c>
      <c r="P75" s="3">
        <v>2021</v>
      </c>
      <c r="Q75" s="3">
        <v>2022</v>
      </c>
      <c r="R75" s="12" t="s">
        <v>406</v>
      </c>
      <c r="S75" s="12" t="s">
        <v>407</v>
      </c>
      <c r="T75" s="12" t="s">
        <v>408</v>
      </c>
      <c r="U75" s="12" t="s">
        <v>409</v>
      </c>
    </row>
    <row r="76" spans="1:27" x14ac:dyDescent="0.2">
      <c r="A76" s="4" t="s">
        <v>26</v>
      </c>
      <c r="B76" s="4">
        <v>69</v>
      </c>
      <c r="C76" s="4">
        <v>821</v>
      </c>
      <c r="D76" s="4">
        <v>678</v>
      </c>
      <c r="E76" s="4">
        <v>81</v>
      </c>
      <c r="F76" s="4">
        <v>133</v>
      </c>
      <c r="G76" s="4">
        <v>170</v>
      </c>
      <c r="H76" s="4">
        <v>227</v>
      </c>
      <c r="I76" s="4">
        <v>320</v>
      </c>
      <c r="J76" s="4">
        <v>452</v>
      </c>
      <c r="K76" s="4">
        <v>518</v>
      </c>
      <c r="L76" s="4">
        <v>632</v>
      </c>
      <c r="M76" s="4">
        <v>538</v>
      </c>
      <c r="N76" s="4">
        <v>430</v>
      </c>
      <c r="O76" s="4">
        <v>319</v>
      </c>
      <c r="P76" s="4">
        <v>645</v>
      </c>
      <c r="Q76" s="4">
        <v>687</v>
      </c>
      <c r="R76" s="86">
        <f t="shared" ref="R76:R83" si="23">(Q76-H76)/H76</f>
        <v>2.0264317180616742</v>
      </c>
      <c r="S76" s="93">
        <f t="shared" ref="S76:S83" si="24">(Q76-M76)/M76</f>
        <v>0.27695167286245354</v>
      </c>
      <c r="T76" s="93">
        <f t="shared" ref="T76:T83" si="25">(Q76-P76)/P76</f>
        <v>6.5116279069767441E-2</v>
      </c>
      <c r="U76" s="95">
        <f t="shared" ref="U76:U83" si="26">Q76/Q$9</f>
        <v>2.3852924326857976E-3</v>
      </c>
      <c r="V76" s="92"/>
      <c r="W76" s="125"/>
      <c r="X76" s="125"/>
      <c r="Y76" s="125"/>
      <c r="Z76" s="125"/>
      <c r="AA76" s="125"/>
    </row>
    <row r="77" spans="1:27" x14ac:dyDescent="0.2">
      <c r="A77" s="4" t="s">
        <v>27</v>
      </c>
      <c r="B77" s="4">
        <v>36177</v>
      </c>
      <c r="C77" s="4">
        <v>41338</v>
      </c>
      <c r="D77" s="4">
        <v>44572</v>
      </c>
      <c r="E77" s="4">
        <v>43527</v>
      </c>
      <c r="F77" s="4">
        <v>54195</v>
      </c>
      <c r="G77" s="4">
        <v>62941</v>
      </c>
      <c r="H77" s="4">
        <v>71583</v>
      </c>
      <c r="I77" s="4">
        <v>76351</v>
      </c>
      <c r="J77" s="4">
        <v>82897</v>
      </c>
      <c r="K77" s="4">
        <v>85740</v>
      </c>
      <c r="L77" s="4">
        <v>89628</v>
      </c>
      <c r="M77" s="4">
        <v>88899</v>
      </c>
      <c r="N77" s="4">
        <v>87023</v>
      </c>
      <c r="O77" s="4">
        <v>65413</v>
      </c>
      <c r="P77" s="4">
        <v>94899</v>
      </c>
      <c r="Q77" s="4">
        <v>94054</v>
      </c>
      <c r="R77" s="86">
        <f t="shared" si="23"/>
        <v>0.31391531508877807</v>
      </c>
      <c r="S77" s="93">
        <f t="shared" si="24"/>
        <v>5.7987153961236909E-2</v>
      </c>
      <c r="T77" s="93">
        <f t="shared" si="25"/>
        <v>-8.9042034162636063E-3</v>
      </c>
      <c r="U77" s="95">
        <f>Q77/Q$9</f>
        <v>0.32655938058781658</v>
      </c>
      <c r="V77" s="92"/>
      <c r="W77" s="125"/>
      <c r="X77" s="125"/>
      <c r="Y77" s="125"/>
      <c r="Z77" s="125"/>
      <c r="AA77" s="125"/>
    </row>
    <row r="78" spans="1:27" x14ac:dyDescent="0.2">
      <c r="A78" s="4" t="s">
        <v>28</v>
      </c>
      <c r="B78" s="4">
        <v>34252</v>
      </c>
      <c r="C78" s="4">
        <v>37472</v>
      </c>
      <c r="D78" s="4">
        <v>41367</v>
      </c>
      <c r="E78" s="4">
        <v>40650</v>
      </c>
      <c r="F78" s="4">
        <v>44093</v>
      </c>
      <c r="G78" s="4">
        <v>49355</v>
      </c>
      <c r="H78" s="4">
        <v>58062</v>
      </c>
      <c r="I78" s="4">
        <v>63821</v>
      </c>
      <c r="J78" s="4">
        <v>69496</v>
      </c>
      <c r="K78" s="4">
        <v>72895</v>
      </c>
      <c r="L78" s="4">
        <v>77239</v>
      </c>
      <c r="M78" s="4">
        <v>78205</v>
      </c>
      <c r="N78" s="4">
        <v>74836</v>
      </c>
      <c r="O78" s="4">
        <v>59508</v>
      </c>
      <c r="P78" s="4">
        <v>85243</v>
      </c>
      <c r="Q78" s="4">
        <v>85265</v>
      </c>
      <c r="R78" s="86">
        <f t="shared" si="23"/>
        <v>0.46851641348902895</v>
      </c>
      <c r="S78" s="93">
        <f t="shared" si="24"/>
        <v>9.0275557828783326E-2</v>
      </c>
      <c r="T78" s="93">
        <f t="shared" si="25"/>
        <v>2.5808570791736564E-4</v>
      </c>
      <c r="U78" s="95">
        <f t="shared" si="26"/>
        <v>0.2960436088398174</v>
      </c>
      <c r="V78" s="92"/>
      <c r="W78" s="125"/>
      <c r="X78" s="125"/>
      <c r="Y78" s="125"/>
      <c r="Z78" s="125"/>
      <c r="AA78" s="125"/>
    </row>
    <row r="79" spans="1:27" x14ac:dyDescent="0.2">
      <c r="A79" s="4" t="s">
        <v>29</v>
      </c>
      <c r="B79" s="4">
        <v>11461</v>
      </c>
      <c r="C79" s="4">
        <v>13260</v>
      </c>
      <c r="D79" s="4">
        <v>15183</v>
      </c>
      <c r="E79" s="4">
        <v>14683</v>
      </c>
      <c r="F79" s="4">
        <v>16574</v>
      </c>
      <c r="G79" s="4">
        <v>19105</v>
      </c>
      <c r="H79" s="4">
        <v>23500</v>
      </c>
      <c r="I79" s="4">
        <v>26147</v>
      </c>
      <c r="J79" s="4">
        <v>28805</v>
      </c>
      <c r="K79" s="4">
        <v>31878</v>
      </c>
      <c r="L79" s="4">
        <v>33323</v>
      </c>
      <c r="M79" s="4">
        <v>36121</v>
      </c>
      <c r="N79" s="4">
        <v>36005</v>
      </c>
      <c r="O79" s="4">
        <v>32544</v>
      </c>
      <c r="P79" s="4">
        <v>41762</v>
      </c>
      <c r="Q79" s="4">
        <v>44283</v>
      </c>
      <c r="R79" s="86">
        <f t="shared" si="23"/>
        <v>0.88438297872340421</v>
      </c>
      <c r="S79" s="93">
        <f t="shared" si="24"/>
        <v>0.2259627363583511</v>
      </c>
      <c r="T79" s="93">
        <f t="shared" si="25"/>
        <v>6.0365882860016283E-2</v>
      </c>
      <c r="U79" s="95">
        <f t="shared" si="26"/>
        <v>0.15375240872871204</v>
      </c>
      <c r="V79" s="92"/>
      <c r="W79" s="125"/>
      <c r="X79" s="125"/>
      <c r="Y79" s="125"/>
      <c r="Z79" s="125"/>
      <c r="AA79" s="125"/>
    </row>
    <row r="80" spans="1:27" x14ac:dyDescent="0.2">
      <c r="A80" s="4" t="s">
        <v>30</v>
      </c>
      <c r="B80" s="4">
        <v>5596</v>
      </c>
      <c r="C80" s="4">
        <v>7062</v>
      </c>
      <c r="D80" s="4">
        <v>8679</v>
      </c>
      <c r="E80" s="4">
        <v>8401</v>
      </c>
      <c r="F80" s="4">
        <v>9215</v>
      </c>
      <c r="G80" s="4">
        <v>10473</v>
      </c>
      <c r="H80" s="4">
        <v>12459</v>
      </c>
      <c r="I80" s="4">
        <v>13629</v>
      </c>
      <c r="J80" s="4">
        <v>15254</v>
      </c>
      <c r="K80" s="4">
        <v>17259</v>
      </c>
      <c r="L80" s="4">
        <v>18837</v>
      </c>
      <c r="M80" s="4">
        <v>20859</v>
      </c>
      <c r="N80" s="4">
        <v>21218</v>
      </c>
      <c r="O80" s="4">
        <v>19639</v>
      </c>
      <c r="P80" s="4">
        <v>25278</v>
      </c>
      <c r="Q80" s="4">
        <v>27364</v>
      </c>
      <c r="R80" s="86">
        <f t="shared" si="23"/>
        <v>1.1963239425315033</v>
      </c>
      <c r="S80" s="93">
        <f t="shared" si="24"/>
        <v>0.31185579366220817</v>
      </c>
      <c r="T80" s="93">
        <f t="shared" si="25"/>
        <v>8.2522351451855366E-2</v>
      </c>
      <c r="U80" s="95">
        <f t="shared" si="26"/>
        <v>9.5008940506570841E-2</v>
      </c>
      <c r="V80" s="92"/>
      <c r="W80" s="125"/>
      <c r="X80" s="125"/>
      <c r="Y80" s="125"/>
      <c r="Z80" s="125"/>
      <c r="AA80" s="125"/>
    </row>
    <row r="81" spans="1:27" x14ac:dyDescent="0.2">
      <c r="A81" s="4" t="s">
        <v>31</v>
      </c>
      <c r="B81" s="4">
        <v>7408</v>
      </c>
      <c r="C81" s="4">
        <v>10141</v>
      </c>
      <c r="D81" s="4">
        <v>12351</v>
      </c>
      <c r="E81" s="4">
        <v>11190</v>
      </c>
      <c r="F81" s="4">
        <v>12295</v>
      </c>
      <c r="G81" s="4">
        <v>13462</v>
      </c>
      <c r="H81" s="4">
        <v>15732</v>
      </c>
      <c r="I81" s="4">
        <v>16446</v>
      </c>
      <c r="J81" s="4">
        <v>19263</v>
      </c>
      <c r="K81" s="4">
        <v>21693</v>
      </c>
      <c r="L81" s="4">
        <v>22955</v>
      </c>
      <c r="M81" s="4">
        <v>24705</v>
      </c>
      <c r="N81" s="4">
        <v>25974</v>
      </c>
      <c r="O81" s="4">
        <v>24440</v>
      </c>
      <c r="P81" s="4">
        <v>32629</v>
      </c>
      <c r="Q81" s="4">
        <v>36326</v>
      </c>
      <c r="R81" s="86">
        <f t="shared" si="23"/>
        <v>1.3090516145436053</v>
      </c>
      <c r="S81" s="93">
        <f t="shared" si="24"/>
        <v>0.4703906091884234</v>
      </c>
      <c r="T81" s="93">
        <f t="shared" si="25"/>
        <v>0.11330411597045573</v>
      </c>
      <c r="U81" s="95">
        <f t="shared" si="26"/>
        <v>0.12612537541447494</v>
      </c>
      <c r="V81" s="92"/>
      <c r="W81" s="125"/>
      <c r="X81" s="125"/>
      <c r="Y81" s="125"/>
      <c r="Z81" s="125"/>
      <c r="AA81" s="125"/>
    </row>
    <row r="82" spans="1:27" x14ac:dyDescent="0.2">
      <c r="A82" s="4" t="s">
        <v>32</v>
      </c>
      <c r="B82" s="4">
        <v>332</v>
      </c>
      <c r="C82" s="4">
        <v>228</v>
      </c>
      <c r="D82" s="4">
        <v>59</v>
      </c>
      <c r="E82" s="4">
        <v>80</v>
      </c>
      <c r="F82" s="4">
        <v>85</v>
      </c>
      <c r="G82" s="4">
        <v>115</v>
      </c>
      <c r="H82" s="4">
        <v>121</v>
      </c>
      <c r="I82" s="4">
        <v>389</v>
      </c>
      <c r="J82" s="4">
        <v>139</v>
      </c>
      <c r="K82" s="4">
        <v>5</v>
      </c>
      <c r="L82" s="4">
        <v>8</v>
      </c>
      <c r="M82" s="4">
        <v>8</v>
      </c>
      <c r="N82" s="4">
        <v>9</v>
      </c>
      <c r="O82" s="4">
        <v>1</v>
      </c>
      <c r="P82" s="4">
        <v>17</v>
      </c>
      <c r="Q82" s="4">
        <v>36</v>
      </c>
      <c r="R82" s="86">
        <f t="shared" si="23"/>
        <v>-0.7024793388429752</v>
      </c>
      <c r="S82" s="93">
        <f t="shared" si="24"/>
        <v>3.5</v>
      </c>
      <c r="T82" s="93">
        <f t="shared" si="25"/>
        <v>1.1176470588235294</v>
      </c>
      <c r="U82" s="95">
        <f t="shared" si="26"/>
        <v>1.2499348992239988E-4</v>
      </c>
      <c r="V82" s="92"/>
      <c r="W82" s="125"/>
      <c r="X82" s="125"/>
      <c r="Y82" s="125"/>
      <c r="Z82" s="125"/>
      <c r="AA82" s="125"/>
    </row>
    <row r="83" spans="1:27" x14ac:dyDescent="0.2">
      <c r="A83" s="5" t="s">
        <v>4</v>
      </c>
      <c r="B83" s="5">
        <v>95295</v>
      </c>
      <c r="C83" s="5">
        <v>110322</v>
      </c>
      <c r="D83" s="5">
        <v>122889</v>
      </c>
      <c r="E83" s="5">
        <v>118612</v>
      </c>
      <c r="F83" s="5">
        <v>136590</v>
      </c>
      <c r="G83" s="5">
        <v>155621</v>
      </c>
      <c r="H83" s="5">
        <v>181684</v>
      </c>
      <c r="I83" s="5">
        <v>197103</v>
      </c>
      <c r="J83" s="5">
        <v>216306</v>
      </c>
      <c r="K83" s="5">
        <v>229988</v>
      </c>
      <c r="L83" s="5">
        <v>242622</v>
      </c>
      <c r="M83" s="5">
        <v>249335</v>
      </c>
      <c r="N83" s="5">
        <v>245495</v>
      </c>
      <c r="O83" s="5">
        <v>201864</v>
      </c>
      <c r="P83" s="5">
        <v>280473</v>
      </c>
      <c r="Q83" s="5">
        <v>288015</v>
      </c>
      <c r="R83" s="70">
        <f t="shared" si="23"/>
        <v>0.585252416283217</v>
      </c>
      <c r="S83" s="94">
        <f t="shared" si="24"/>
        <v>0.15513265285659855</v>
      </c>
      <c r="T83" s="94">
        <f t="shared" si="25"/>
        <v>2.6890288904814368E-2</v>
      </c>
      <c r="U83" s="96">
        <f t="shared" si="26"/>
        <v>1</v>
      </c>
      <c r="V83" s="92"/>
    </row>
    <row r="84" spans="1:27" x14ac:dyDescent="0.2">
      <c r="A84" s="75" t="s">
        <v>34</v>
      </c>
      <c r="B84" s="80">
        <v>27.835782357339191</v>
      </c>
      <c r="C84" s="123">
        <v>28.162283139862502</v>
      </c>
      <c r="D84" s="123">
        <v>28.394082878775635</v>
      </c>
      <c r="E84" s="123">
        <v>28.251129652752109</v>
      </c>
      <c r="F84" s="123">
        <v>27.941369180616149</v>
      </c>
      <c r="G84" s="123">
        <v>28.023896827132177</v>
      </c>
      <c r="H84" s="123">
        <v>28.113552320682356</v>
      </c>
      <c r="I84" s="123">
        <v>28.066103073497747</v>
      </c>
      <c r="J84" s="123">
        <v>28.1891532935187</v>
      </c>
      <c r="K84" s="123">
        <v>28.411993060356757</v>
      </c>
      <c r="L84" s="123">
        <v>28.457273694016248</v>
      </c>
      <c r="M84" s="123">
        <v>28.717744568378304</v>
      </c>
      <c r="N84" s="123">
        <v>28.918948534743485</v>
      </c>
      <c r="O84" s="123">
        <v>29.518547727914576</v>
      </c>
      <c r="P84" s="123">
        <v>29.25211726616666</v>
      </c>
      <c r="Q84" s="123">
        <v>29.552132273534067</v>
      </c>
      <c r="R84" s="113"/>
      <c r="S84" s="114"/>
      <c r="T84" s="114"/>
      <c r="U84" s="115"/>
    </row>
    <row r="85" spans="1:27" x14ac:dyDescent="0.2">
      <c r="A85" s="131"/>
      <c r="B85" s="132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4"/>
      <c r="S85" s="135"/>
      <c r="T85" s="135"/>
      <c r="U85" s="136"/>
    </row>
    <row r="86" spans="1:27" ht="15.75" x14ac:dyDescent="0.2">
      <c r="A86" s="23" t="s">
        <v>33</v>
      </c>
      <c r="B86" s="23"/>
      <c r="C86" s="23"/>
      <c r="D86" s="23"/>
      <c r="E86" s="23"/>
      <c r="F86" s="23"/>
      <c r="G86" s="32"/>
      <c r="H86" s="32"/>
      <c r="I86" s="32"/>
      <c r="J86" s="32"/>
      <c r="K86" s="32"/>
    </row>
    <row r="87" spans="1:27" ht="25.5" x14ac:dyDescent="0.2">
      <c r="A87" s="75" t="s">
        <v>9</v>
      </c>
      <c r="B87" s="3">
        <v>2007</v>
      </c>
      <c r="C87" s="3">
        <v>2008</v>
      </c>
      <c r="D87" s="3">
        <v>2009</v>
      </c>
      <c r="E87" s="3">
        <v>2010</v>
      </c>
      <c r="F87" s="3">
        <v>2011</v>
      </c>
      <c r="G87" s="3">
        <v>2012</v>
      </c>
      <c r="H87" s="3">
        <v>2013</v>
      </c>
      <c r="I87" s="3">
        <v>2014</v>
      </c>
      <c r="J87" s="3">
        <v>2015</v>
      </c>
      <c r="K87" s="3">
        <v>2016</v>
      </c>
      <c r="L87" s="3">
        <v>2017</v>
      </c>
      <c r="M87" s="3">
        <v>2018</v>
      </c>
      <c r="N87" s="3">
        <v>2019</v>
      </c>
      <c r="O87" s="3">
        <v>2020</v>
      </c>
      <c r="P87" s="3">
        <v>2021</v>
      </c>
      <c r="Q87" s="3">
        <v>2022</v>
      </c>
      <c r="R87" s="12" t="s">
        <v>406</v>
      </c>
      <c r="S87" s="12" t="s">
        <v>407</v>
      </c>
      <c r="T87" s="12" t="s">
        <v>408</v>
      </c>
      <c r="U87" s="12" t="s">
        <v>409</v>
      </c>
    </row>
    <row r="88" spans="1:27" x14ac:dyDescent="0.2">
      <c r="A88" s="4" t="s">
        <v>237</v>
      </c>
      <c r="B88" s="4">
        <v>1716</v>
      </c>
      <c r="C88" s="4">
        <v>1793</v>
      </c>
      <c r="D88" s="4">
        <v>1933</v>
      </c>
      <c r="E88" s="4">
        <v>1866</v>
      </c>
      <c r="F88" s="4">
        <v>2076</v>
      </c>
      <c r="G88" s="16">
        <v>2070</v>
      </c>
      <c r="H88" s="16">
        <v>2355</v>
      </c>
      <c r="I88" s="16">
        <v>2760</v>
      </c>
      <c r="J88" s="16">
        <v>2568</v>
      </c>
      <c r="K88" s="16">
        <v>2513</v>
      </c>
      <c r="L88" s="16">
        <v>2759</v>
      </c>
      <c r="M88" s="4">
        <v>3112</v>
      </c>
      <c r="N88" s="4">
        <v>3020</v>
      </c>
      <c r="O88" s="4">
        <v>2470</v>
      </c>
      <c r="P88" s="4">
        <v>3617</v>
      </c>
      <c r="Q88" s="4">
        <v>3042</v>
      </c>
      <c r="R88" s="86">
        <f t="shared" ref="R88:R104" si="27">(Q88-H88)/H88</f>
        <v>0.29171974522292993</v>
      </c>
      <c r="S88" s="93">
        <f t="shared" ref="S88:S104" si="28">(Q88-M88)/M88</f>
        <v>-2.2493573264781491E-2</v>
      </c>
      <c r="T88" s="93">
        <f t="shared" ref="T88:T104" si="29">(Q88-P88)/P88</f>
        <v>-0.15897152336190212</v>
      </c>
      <c r="U88" s="95">
        <f t="shared" ref="U88:U104" si="30">Q88/Q$9</f>
        <v>1.056194989844279E-2</v>
      </c>
    </row>
    <row r="89" spans="1:27" x14ac:dyDescent="0.2">
      <c r="A89" s="4" t="s">
        <v>238</v>
      </c>
      <c r="B89" s="4">
        <v>1114</v>
      </c>
      <c r="C89" s="4">
        <v>1475</v>
      </c>
      <c r="D89" s="4">
        <v>1411</v>
      </c>
      <c r="E89" s="4">
        <v>1311</v>
      </c>
      <c r="F89" s="4">
        <v>1535</v>
      </c>
      <c r="G89" s="16">
        <v>1595</v>
      </c>
      <c r="H89" s="16">
        <v>1911</v>
      </c>
      <c r="I89" s="16">
        <v>2206</v>
      </c>
      <c r="J89" s="16">
        <v>2549</v>
      </c>
      <c r="K89" s="16">
        <v>2545</v>
      </c>
      <c r="L89" s="16">
        <v>2878</v>
      </c>
      <c r="M89" s="4">
        <v>3390</v>
      </c>
      <c r="N89" s="4">
        <v>2967</v>
      </c>
      <c r="O89" s="4">
        <v>2582</v>
      </c>
      <c r="P89" s="4">
        <v>4289</v>
      </c>
      <c r="Q89" s="4">
        <v>3619</v>
      </c>
      <c r="R89" s="86">
        <f t="shared" si="27"/>
        <v>0.89377289377289382</v>
      </c>
      <c r="S89" s="93">
        <f t="shared" si="28"/>
        <v>6.7551622418879062E-2</v>
      </c>
      <c r="T89" s="93">
        <f t="shared" si="29"/>
        <v>-0.15621356959664257</v>
      </c>
      <c r="U89" s="95">
        <f t="shared" si="30"/>
        <v>1.2565317778587921E-2</v>
      </c>
    </row>
    <row r="90" spans="1:27" x14ac:dyDescent="0.2">
      <c r="A90" s="4" t="s">
        <v>239</v>
      </c>
      <c r="B90" s="4">
        <v>3415</v>
      </c>
      <c r="C90" s="4">
        <v>3546</v>
      </c>
      <c r="D90" s="4">
        <v>4211</v>
      </c>
      <c r="E90" s="4">
        <v>4051</v>
      </c>
      <c r="F90" s="4">
        <v>4368</v>
      </c>
      <c r="G90" s="16">
        <v>5182</v>
      </c>
      <c r="H90" s="16">
        <v>6106</v>
      </c>
      <c r="I90" s="16">
        <v>6596</v>
      </c>
      <c r="J90" s="16">
        <v>8260</v>
      </c>
      <c r="K90" s="16">
        <v>7556</v>
      </c>
      <c r="L90" s="16">
        <v>7135</v>
      </c>
      <c r="M90" s="4">
        <v>7542</v>
      </c>
      <c r="N90" s="4">
        <v>7064</v>
      </c>
      <c r="O90" s="4">
        <v>5820</v>
      </c>
      <c r="P90" s="4">
        <v>7426</v>
      </c>
      <c r="Q90" s="4">
        <v>7869</v>
      </c>
      <c r="R90" s="86">
        <f t="shared" si="27"/>
        <v>0.28873239436619719</v>
      </c>
      <c r="S90" s="93">
        <f t="shared" si="28"/>
        <v>4.3357199681782019E-2</v>
      </c>
      <c r="T90" s="93">
        <f t="shared" si="29"/>
        <v>5.9655265284136817E-2</v>
      </c>
      <c r="U90" s="95">
        <f t="shared" si="30"/>
        <v>2.7321493672204572E-2</v>
      </c>
    </row>
    <row r="91" spans="1:27" x14ac:dyDescent="0.2">
      <c r="A91" s="4" t="s">
        <v>240</v>
      </c>
      <c r="B91" s="4">
        <v>640</v>
      </c>
      <c r="C91" s="4">
        <v>736</v>
      </c>
      <c r="D91" s="4">
        <v>941</v>
      </c>
      <c r="E91" s="4">
        <v>1074</v>
      </c>
      <c r="F91" s="4">
        <v>831</v>
      </c>
      <c r="G91" s="16">
        <v>1061</v>
      </c>
      <c r="H91" s="16">
        <v>1173</v>
      </c>
      <c r="I91" s="16">
        <v>1357</v>
      </c>
      <c r="J91" s="16">
        <v>1586</v>
      </c>
      <c r="K91" s="16">
        <v>1924</v>
      </c>
      <c r="L91" s="16">
        <v>1982</v>
      </c>
      <c r="M91" s="4">
        <v>1875</v>
      </c>
      <c r="N91" s="4">
        <v>2110</v>
      </c>
      <c r="O91" s="4">
        <v>1877</v>
      </c>
      <c r="P91" s="4">
        <v>2631</v>
      </c>
      <c r="Q91" s="4">
        <v>2766</v>
      </c>
      <c r="R91" s="86">
        <f t="shared" si="27"/>
        <v>1.3580562659846547</v>
      </c>
      <c r="S91" s="93">
        <f t="shared" si="28"/>
        <v>0.47520000000000001</v>
      </c>
      <c r="T91" s="93">
        <f t="shared" si="29"/>
        <v>5.1311288483466361E-2</v>
      </c>
      <c r="U91" s="95">
        <f t="shared" si="30"/>
        <v>9.6036664757043911E-3</v>
      </c>
    </row>
    <row r="92" spans="1:27" x14ac:dyDescent="0.2">
      <c r="A92" s="4" t="s">
        <v>241</v>
      </c>
      <c r="B92" s="4">
        <v>2933</v>
      </c>
      <c r="C92" s="4">
        <v>4102</v>
      </c>
      <c r="D92" s="4">
        <v>3732</v>
      </c>
      <c r="E92" s="4">
        <v>3374</v>
      </c>
      <c r="F92" s="4">
        <v>3634</v>
      </c>
      <c r="G92" s="16">
        <v>4470</v>
      </c>
      <c r="H92" s="16">
        <v>6114</v>
      </c>
      <c r="I92" s="16">
        <v>6108</v>
      </c>
      <c r="J92" s="16">
        <v>6486</v>
      </c>
      <c r="K92" s="16">
        <v>7028</v>
      </c>
      <c r="L92" s="16">
        <v>7535</v>
      </c>
      <c r="M92" s="4">
        <v>8260</v>
      </c>
      <c r="N92" s="4">
        <v>8464</v>
      </c>
      <c r="O92" s="4">
        <v>5824</v>
      </c>
      <c r="P92" s="4">
        <v>9911</v>
      </c>
      <c r="Q92" s="4">
        <v>9248</v>
      </c>
      <c r="R92" s="86">
        <f t="shared" si="27"/>
        <v>0.51259404645076878</v>
      </c>
      <c r="S92" s="93">
        <f t="shared" si="28"/>
        <v>0.11961259079903147</v>
      </c>
      <c r="T92" s="93">
        <f t="shared" si="29"/>
        <v>-6.6895368782161235E-2</v>
      </c>
      <c r="U92" s="95">
        <f t="shared" si="30"/>
        <v>3.2109438744509833E-2</v>
      </c>
    </row>
    <row r="93" spans="1:27" x14ac:dyDescent="0.2">
      <c r="A93" s="4" t="s">
        <v>242</v>
      </c>
      <c r="B93" s="4">
        <v>11071</v>
      </c>
      <c r="C93" s="4">
        <v>12306</v>
      </c>
      <c r="D93" s="4">
        <v>13897</v>
      </c>
      <c r="E93" s="4">
        <v>12554</v>
      </c>
      <c r="F93" s="4">
        <v>14057</v>
      </c>
      <c r="G93" s="16">
        <v>17565</v>
      </c>
      <c r="H93" s="16">
        <v>18986</v>
      </c>
      <c r="I93" s="16">
        <v>21072</v>
      </c>
      <c r="J93" s="16">
        <v>22730</v>
      </c>
      <c r="K93" s="16">
        <v>23604</v>
      </c>
      <c r="L93" s="16">
        <v>24892</v>
      </c>
      <c r="M93" s="4">
        <v>24070</v>
      </c>
      <c r="N93" s="4">
        <v>23131</v>
      </c>
      <c r="O93" s="4">
        <v>18968</v>
      </c>
      <c r="P93" s="4">
        <v>25193</v>
      </c>
      <c r="Q93" s="4">
        <v>26192</v>
      </c>
      <c r="R93" s="86">
        <f t="shared" si="27"/>
        <v>0.37954282102601916</v>
      </c>
      <c r="S93" s="93">
        <f t="shared" si="28"/>
        <v>8.8159534690486083E-2</v>
      </c>
      <c r="T93" s="93">
        <f t="shared" si="29"/>
        <v>3.96538721073314E-2</v>
      </c>
      <c r="U93" s="95">
        <f t="shared" si="30"/>
        <v>9.0939708001319369E-2</v>
      </c>
    </row>
    <row r="94" spans="1:27" x14ac:dyDescent="0.2">
      <c r="A94" s="28" t="s">
        <v>253</v>
      </c>
      <c r="B94" s="28">
        <v>47462</v>
      </c>
      <c r="C94" s="28">
        <v>53473</v>
      </c>
      <c r="D94" s="28">
        <v>59876</v>
      </c>
      <c r="E94" s="28">
        <v>61108</v>
      </c>
      <c r="F94" s="28">
        <v>70195</v>
      </c>
      <c r="G94" s="16">
        <v>77920</v>
      </c>
      <c r="H94" s="16">
        <v>91219</v>
      </c>
      <c r="I94" s="16">
        <v>97209</v>
      </c>
      <c r="J94" s="16">
        <v>105280</v>
      </c>
      <c r="K94" s="16">
        <v>113070</v>
      </c>
      <c r="L94" s="16">
        <v>121851</v>
      </c>
      <c r="M94" s="28">
        <v>125558</v>
      </c>
      <c r="N94" s="28">
        <v>127153</v>
      </c>
      <c r="O94" s="28">
        <v>110015</v>
      </c>
      <c r="P94" s="28">
        <v>148486</v>
      </c>
      <c r="Q94" s="28">
        <v>157167</v>
      </c>
      <c r="R94" s="86">
        <f t="shared" si="27"/>
        <v>0.72296341770902994</v>
      </c>
      <c r="S94" s="93">
        <f t="shared" si="28"/>
        <v>0.25174819605282023</v>
      </c>
      <c r="T94" s="93">
        <f t="shared" si="29"/>
        <v>5.8463424161200379E-2</v>
      </c>
      <c r="U94" s="95">
        <f t="shared" si="30"/>
        <v>0.54569032862871725</v>
      </c>
    </row>
    <row r="95" spans="1:27" x14ac:dyDescent="0.2">
      <c r="A95" s="28" t="s">
        <v>283</v>
      </c>
      <c r="B95" s="4">
        <v>1675</v>
      </c>
      <c r="C95" s="4">
        <v>2257</v>
      </c>
      <c r="D95" s="4">
        <v>2390</v>
      </c>
      <c r="E95" s="4">
        <v>2332</v>
      </c>
      <c r="F95" s="4">
        <v>3384</v>
      </c>
      <c r="G95" s="16">
        <v>3847</v>
      </c>
      <c r="H95" s="16">
        <v>4635</v>
      </c>
      <c r="I95" s="16">
        <v>5235</v>
      </c>
      <c r="J95" s="16">
        <v>6437</v>
      </c>
      <c r="K95" s="16">
        <v>7169</v>
      </c>
      <c r="L95" s="16">
        <v>6768</v>
      </c>
      <c r="M95" s="4">
        <v>6526</v>
      </c>
      <c r="N95" s="4">
        <v>6309</v>
      </c>
      <c r="O95" s="4">
        <v>4730</v>
      </c>
      <c r="P95" s="4">
        <v>5812</v>
      </c>
      <c r="Q95" s="4">
        <v>5667</v>
      </c>
      <c r="R95" s="86">
        <f t="shared" si="27"/>
        <v>0.22265372168284789</v>
      </c>
      <c r="S95" s="93">
        <f t="shared" si="28"/>
        <v>-0.13162733680661967</v>
      </c>
      <c r="T95" s="93">
        <f t="shared" si="29"/>
        <v>-2.4948382656572607E-2</v>
      </c>
      <c r="U95" s="95">
        <f t="shared" si="30"/>
        <v>1.9676058538617779E-2</v>
      </c>
    </row>
    <row r="96" spans="1:27" x14ac:dyDescent="0.2">
      <c r="A96" s="4" t="s">
        <v>243</v>
      </c>
      <c r="B96" s="4">
        <v>3159</v>
      </c>
      <c r="C96" s="4">
        <v>4430</v>
      </c>
      <c r="D96" s="4">
        <v>6241</v>
      </c>
      <c r="E96" s="4">
        <v>4355</v>
      </c>
      <c r="F96" s="4">
        <v>5148</v>
      </c>
      <c r="G96" s="16">
        <v>6664</v>
      </c>
      <c r="H96" s="16">
        <v>7548</v>
      </c>
      <c r="I96" s="16">
        <v>8306</v>
      </c>
      <c r="J96" s="16">
        <v>9210</v>
      </c>
      <c r="K96" s="16">
        <v>9936</v>
      </c>
      <c r="L96" s="16">
        <v>10088</v>
      </c>
      <c r="M96" s="4">
        <v>10471</v>
      </c>
      <c r="N96" s="4">
        <v>10050</v>
      </c>
      <c r="O96" s="4">
        <v>8193</v>
      </c>
      <c r="P96" s="4">
        <v>11533</v>
      </c>
      <c r="Q96" s="4">
        <v>12017</v>
      </c>
      <c r="R96" s="86">
        <f t="shared" si="27"/>
        <v>0.59207737148913619</v>
      </c>
      <c r="S96" s="93">
        <f t="shared" si="28"/>
        <v>0.14764587909464236</v>
      </c>
      <c r="T96" s="93">
        <f t="shared" si="29"/>
        <v>4.1966530824590308E-2</v>
      </c>
      <c r="U96" s="95">
        <f t="shared" si="30"/>
        <v>4.1723521344374424E-2</v>
      </c>
    </row>
    <row r="97" spans="1:22" x14ac:dyDescent="0.2">
      <c r="A97" s="4" t="s">
        <v>256</v>
      </c>
      <c r="B97" s="4">
        <v>1880</v>
      </c>
      <c r="C97" s="4">
        <v>2046</v>
      </c>
      <c r="D97" s="4">
        <v>2519</v>
      </c>
      <c r="E97" s="4">
        <v>2196</v>
      </c>
      <c r="F97" s="4">
        <v>3085</v>
      </c>
      <c r="G97" s="16">
        <v>3369</v>
      </c>
      <c r="H97" s="16">
        <v>4214</v>
      </c>
      <c r="I97" s="16">
        <v>4400</v>
      </c>
      <c r="J97" s="16">
        <v>4849</v>
      </c>
      <c r="K97" s="16">
        <v>5103</v>
      </c>
      <c r="L97" s="16">
        <v>5250</v>
      </c>
      <c r="M97" s="4">
        <v>5724</v>
      </c>
      <c r="N97" s="4">
        <v>4863</v>
      </c>
      <c r="O97" s="4">
        <v>3285</v>
      </c>
      <c r="P97" s="4">
        <v>5384</v>
      </c>
      <c r="Q97" s="4">
        <v>5189</v>
      </c>
      <c r="R97" s="86">
        <f t="shared" si="27"/>
        <v>0.23137161841480777</v>
      </c>
      <c r="S97" s="93">
        <f t="shared" si="28"/>
        <v>-9.3466107617051014E-2</v>
      </c>
      <c r="T97" s="93">
        <f t="shared" si="29"/>
        <v>-3.6218424962852901E-2</v>
      </c>
      <c r="U97" s="95">
        <f t="shared" si="30"/>
        <v>1.8016422755759248E-2</v>
      </c>
    </row>
    <row r="98" spans="1:22" x14ac:dyDescent="0.2">
      <c r="A98" s="4" t="s">
        <v>244</v>
      </c>
      <c r="B98" s="4">
        <v>10801</v>
      </c>
      <c r="C98" s="4">
        <v>12940</v>
      </c>
      <c r="D98" s="4">
        <v>12853</v>
      </c>
      <c r="E98" s="4">
        <v>12303</v>
      </c>
      <c r="F98" s="4">
        <v>14464</v>
      </c>
      <c r="G98" s="16">
        <v>16792</v>
      </c>
      <c r="H98" s="16">
        <v>20405</v>
      </c>
      <c r="I98" s="16">
        <v>22167</v>
      </c>
      <c r="J98" s="16">
        <v>24407</v>
      </c>
      <c r="K98" s="16">
        <v>25111</v>
      </c>
      <c r="L98" s="16">
        <v>26095</v>
      </c>
      <c r="M98" s="4">
        <v>26823</v>
      </c>
      <c r="N98" s="4">
        <v>25701</v>
      </c>
      <c r="O98" s="4">
        <v>19798</v>
      </c>
      <c r="P98" s="4">
        <v>28149</v>
      </c>
      <c r="Q98" s="4">
        <v>26622</v>
      </c>
      <c r="R98" s="86">
        <f t="shared" si="27"/>
        <v>0.30468022543494244</v>
      </c>
      <c r="S98" s="93">
        <f t="shared" si="28"/>
        <v>-7.4935689520187901E-3</v>
      </c>
      <c r="T98" s="93">
        <f t="shared" si="29"/>
        <v>-5.4247042523713096E-2</v>
      </c>
      <c r="U98" s="95">
        <f t="shared" si="30"/>
        <v>9.2432685797614711E-2</v>
      </c>
    </row>
    <row r="99" spans="1:22" x14ac:dyDescent="0.2">
      <c r="A99" s="4" t="s">
        <v>245</v>
      </c>
      <c r="B99" s="4">
        <v>4746</v>
      </c>
      <c r="C99" s="4">
        <v>5806</v>
      </c>
      <c r="D99" s="4">
        <v>5891</v>
      </c>
      <c r="E99" s="4">
        <v>5913</v>
      </c>
      <c r="F99" s="4">
        <v>6354</v>
      </c>
      <c r="G99" s="16">
        <v>6814</v>
      </c>
      <c r="H99" s="16">
        <v>7750</v>
      </c>
      <c r="I99" s="16">
        <v>9360</v>
      </c>
      <c r="J99" s="16">
        <v>10350</v>
      </c>
      <c r="K99" s="16">
        <v>11491</v>
      </c>
      <c r="L99" s="16">
        <v>10910</v>
      </c>
      <c r="M99" s="4">
        <v>11210</v>
      </c>
      <c r="N99" s="4">
        <v>11113</v>
      </c>
      <c r="O99" s="4">
        <v>7580</v>
      </c>
      <c r="P99" s="4">
        <v>12796</v>
      </c>
      <c r="Q99" s="4">
        <v>14100</v>
      </c>
      <c r="R99" s="86">
        <f t="shared" si="27"/>
        <v>0.8193548387096774</v>
      </c>
      <c r="S99" s="93">
        <f t="shared" si="28"/>
        <v>0.25780553077609275</v>
      </c>
      <c r="T99" s="93">
        <f t="shared" si="29"/>
        <v>0.10190684588934042</v>
      </c>
      <c r="U99" s="95">
        <f t="shared" si="30"/>
        <v>4.8955783552939953E-2</v>
      </c>
    </row>
    <row r="100" spans="1:22" x14ac:dyDescent="0.2">
      <c r="A100" s="4" t="s">
        <v>246</v>
      </c>
      <c r="B100" s="4">
        <v>1634</v>
      </c>
      <c r="C100" s="4">
        <v>1759</v>
      </c>
      <c r="D100" s="4">
        <v>2304</v>
      </c>
      <c r="E100" s="4">
        <v>1833</v>
      </c>
      <c r="F100" s="4">
        <v>2311</v>
      </c>
      <c r="G100" s="16">
        <v>2256</v>
      </c>
      <c r="H100" s="16">
        <v>2755</v>
      </c>
      <c r="I100" s="16">
        <v>3063</v>
      </c>
      <c r="J100" s="16">
        <v>3308</v>
      </c>
      <c r="K100" s="16">
        <v>3487</v>
      </c>
      <c r="L100" s="16">
        <v>3828</v>
      </c>
      <c r="M100" s="4">
        <v>3764</v>
      </c>
      <c r="N100" s="4">
        <v>4068</v>
      </c>
      <c r="O100" s="4">
        <v>2980</v>
      </c>
      <c r="P100" s="4">
        <v>4736</v>
      </c>
      <c r="Q100" s="4">
        <v>4846</v>
      </c>
      <c r="R100" s="86">
        <f t="shared" si="27"/>
        <v>0.75898366606170597</v>
      </c>
      <c r="S100" s="93">
        <f t="shared" si="28"/>
        <v>0.28746014877789583</v>
      </c>
      <c r="T100" s="93">
        <f t="shared" si="29"/>
        <v>2.322635135135135E-2</v>
      </c>
      <c r="U100" s="95">
        <f t="shared" si="30"/>
        <v>1.6825512560109716E-2</v>
      </c>
    </row>
    <row r="101" spans="1:22" x14ac:dyDescent="0.2">
      <c r="A101" s="4" t="s">
        <v>247</v>
      </c>
      <c r="B101" s="4">
        <v>2156</v>
      </c>
      <c r="C101" s="4">
        <v>2745</v>
      </c>
      <c r="D101" s="4">
        <v>3462</v>
      </c>
      <c r="E101" s="4">
        <v>3325</v>
      </c>
      <c r="F101" s="4">
        <v>3840</v>
      </c>
      <c r="G101" s="16">
        <v>4840</v>
      </c>
      <c r="H101" s="16">
        <v>5087</v>
      </c>
      <c r="I101" s="16">
        <v>5618</v>
      </c>
      <c r="J101" s="16">
        <v>6475</v>
      </c>
      <c r="K101" s="16">
        <v>7801</v>
      </c>
      <c r="L101" s="16">
        <v>8592</v>
      </c>
      <c r="M101" s="4">
        <v>8857</v>
      </c>
      <c r="N101" s="4">
        <v>7807</v>
      </c>
      <c r="O101" s="4">
        <v>6409</v>
      </c>
      <c r="P101" s="4">
        <v>8593</v>
      </c>
      <c r="Q101" s="4">
        <v>7925</v>
      </c>
      <c r="R101" s="86">
        <f t="shared" si="27"/>
        <v>0.55789266758403777</v>
      </c>
      <c r="S101" s="93">
        <f t="shared" si="28"/>
        <v>-0.10522750366941402</v>
      </c>
      <c r="T101" s="93">
        <f t="shared" si="29"/>
        <v>-7.7737693471430239E-2</v>
      </c>
      <c r="U101" s="95">
        <f t="shared" si="30"/>
        <v>2.751592798986164E-2</v>
      </c>
    </row>
    <row r="102" spans="1:22" x14ac:dyDescent="0.2">
      <c r="A102" s="4" t="s">
        <v>248</v>
      </c>
      <c r="B102" s="4">
        <v>157</v>
      </c>
      <c r="C102" s="4">
        <v>133</v>
      </c>
      <c r="D102" s="4">
        <v>199</v>
      </c>
      <c r="E102" s="4">
        <v>265</v>
      </c>
      <c r="F102" s="4">
        <v>223</v>
      </c>
      <c r="G102" s="16">
        <v>173</v>
      </c>
      <c r="H102" s="16">
        <v>211</v>
      </c>
      <c r="I102" s="16">
        <v>408</v>
      </c>
      <c r="J102" s="16">
        <v>402</v>
      </c>
      <c r="K102" s="16">
        <v>446</v>
      </c>
      <c r="L102" s="16">
        <v>553</v>
      </c>
      <c r="M102" s="4">
        <v>580</v>
      </c>
      <c r="N102" s="4">
        <v>512</v>
      </c>
      <c r="O102" s="4">
        <v>473</v>
      </c>
      <c r="P102" s="4">
        <v>556</v>
      </c>
      <c r="Q102" s="4">
        <v>498</v>
      </c>
      <c r="R102" s="86">
        <f t="shared" si="27"/>
        <v>1.3601895734597156</v>
      </c>
      <c r="S102" s="93">
        <f t="shared" si="28"/>
        <v>-0.14137931034482759</v>
      </c>
      <c r="T102" s="93">
        <f t="shared" si="29"/>
        <v>-0.10431654676258993</v>
      </c>
      <c r="U102" s="95">
        <f t="shared" si="30"/>
        <v>1.7290766105931984E-3</v>
      </c>
    </row>
    <row r="103" spans="1:22" x14ac:dyDescent="0.2">
      <c r="A103" s="4" t="s">
        <v>249</v>
      </c>
      <c r="B103" s="4">
        <v>736</v>
      </c>
      <c r="C103" s="4">
        <v>775</v>
      </c>
      <c r="D103" s="4">
        <v>1029</v>
      </c>
      <c r="E103" s="4">
        <v>752</v>
      </c>
      <c r="F103" s="4">
        <v>1085</v>
      </c>
      <c r="G103" s="16">
        <v>1003</v>
      </c>
      <c r="H103" s="16">
        <v>1215</v>
      </c>
      <c r="I103" s="16">
        <v>1238</v>
      </c>
      <c r="J103" s="16">
        <v>1409</v>
      </c>
      <c r="K103" s="16">
        <v>1204</v>
      </c>
      <c r="L103" s="16">
        <v>1506</v>
      </c>
      <c r="M103" s="4">
        <v>1573</v>
      </c>
      <c r="N103" s="4">
        <v>1163</v>
      </c>
      <c r="O103" s="4">
        <v>860</v>
      </c>
      <c r="P103" s="4">
        <v>1361</v>
      </c>
      <c r="Q103" s="4">
        <v>1248</v>
      </c>
      <c r="R103" s="86">
        <f t="shared" si="27"/>
        <v>2.7160493827160494E-2</v>
      </c>
      <c r="S103" s="93">
        <f t="shared" si="28"/>
        <v>-0.20661157024793389</v>
      </c>
      <c r="T103" s="93">
        <f t="shared" si="29"/>
        <v>-8.3027185892725938E-2</v>
      </c>
      <c r="U103" s="95">
        <f t="shared" si="30"/>
        <v>4.3331076506431957E-3</v>
      </c>
    </row>
    <row r="104" spans="1:22" x14ac:dyDescent="0.2">
      <c r="A104" s="5" t="s">
        <v>4</v>
      </c>
      <c r="B104" s="5">
        <v>95295</v>
      </c>
      <c r="C104" s="5">
        <v>110322</v>
      </c>
      <c r="D104" s="5">
        <v>122889</v>
      </c>
      <c r="E104" s="5">
        <v>118612</v>
      </c>
      <c r="F104" s="5">
        <v>136590</v>
      </c>
      <c r="G104" s="5">
        <v>155621</v>
      </c>
      <c r="H104" s="5">
        <v>181684</v>
      </c>
      <c r="I104" s="5">
        <v>197103</v>
      </c>
      <c r="J104" s="5">
        <v>216306</v>
      </c>
      <c r="K104" s="5">
        <v>229988</v>
      </c>
      <c r="L104" s="5">
        <v>242622</v>
      </c>
      <c r="M104" s="5">
        <v>249335</v>
      </c>
      <c r="N104" s="5">
        <v>245495</v>
      </c>
      <c r="O104" s="5">
        <v>201864</v>
      </c>
      <c r="P104" s="5">
        <v>280473</v>
      </c>
      <c r="Q104" s="5">
        <v>288015</v>
      </c>
      <c r="R104" s="70">
        <f t="shared" si="27"/>
        <v>0.585252416283217</v>
      </c>
      <c r="S104" s="94">
        <f t="shared" si="28"/>
        <v>0.15513265285659855</v>
      </c>
      <c r="T104" s="94">
        <f t="shared" si="29"/>
        <v>2.6890288904814368E-2</v>
      </c>
      <c r="U104" s="96">
        <f t="shared" si="30"/>
        <v>1</v>
      </c>
    </row>
    <row r="105" spans="1:22" x14ac:dyDescent="0.2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</row>
    <row r="106" spans="1:22" ht="15.75" x14ac:dyDescent="0.2">
      <c r="A106" s="23" t="s">
        <v>285</v>
      </c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</row>
    <row r="107" spans="1:22" ht="25.5" x14ac:dyDescent="0.2">
      <c r="A107" s="75" t="s">
        <v>40</v>
      </c>
      <c r="B107" s="3">
        <v>2007</v>
      </c>
      <c r="C107" s="3">
        <v>2008</v>
      </c>
      <c r="D107" s="3">
        <v>2009</v>
      </c>
      <c r="E107" s="3">
        <v>2010</v>
      </c>
      <c r="F107" s="3">
        <v>2011</v>
      </c>
      <c r="G107" s="3">
        <v>2012</v>
      </c>
      <c r="H107" s="3">
        <v>2013</v>
      </c>
      <c r="I107" s="3">
        <v>2014</v>
      </c>
      <c r="J107" s="3">
        <v>2015</v>
      </c>
      <c r="K107" s="3">
        <v>2016</v>
      </c>
      <c r="L107" s="3">
        <v>2017</v>
      </c>
      <c r="M107" s="3">
        <v>2018</v>
      </c>
      <c r="N107" s="3">
        <v>2019</v>
      </c>
      <c r="O107" s="3">
        <v>2020</v>
      </c>
      <c r="P107" s="3">
        <v>2021</v>
      </c>
      <c r="Q107" s="3">
        <v>2022</v>
      </c>
      <c r="R107" s="12" t="s">
        <v>406</v>
      </c>
      <c r="S107" s="12" t="s">
        <v>407</v>
      </c>
      <c r="T107" s="12" t="s">
        <v>408</v>
      </c>
      <c r="U107" s="12" t="s">
        <v>409</v>
      </c>
    </row>
    <row r="108" spans="1:22" x14ac:dyDescent="0.2">
      <c r="A108" s="4" t="s">
        <v>41</v>
      </c>
      <c r="B108" s="4">
        <v>69684</v>
      </c>
      <c r="C108" s="4">
        <v>81347</v>
      </c>
      <c r="D108" s="4">
        <v>84696</v>
      </c>
      <c r="E108" s="4">
        <v>81325</v>
      </c>
      <c r="F108" s="4">
        <v>90548</v>
      </c>
      <c r="G108" s="4">
        <v>102920</v>
      </c>
      <c r="H108" s="4">
        <v>114635</v>
      </c>
      <c r="I108" s="4">
        <v>121616</v>
      </c>
      <c r="J108" s="4">
        <v>129563</v>
      </c>
      <c r="K108" s="4">
        <v>136268</v>
      </c>
      <c r="L108" s="4">
        <v>144371</v>
      </c>
      <c r="M108" s="4">
        <v>142899</v>
      </c>
      <c r="N108" s="4">
        <v>142921</v>
      </c>
      <c r="O108" s="4">
        <v>106819</v>
      </c>
      <c r="P108" s="4">
        <v>163094</v>
      </c>
      <c r="Q108" s="4">
        <v>160757</v>
      </c>
      <c r="R108" s="86">
        <f t="shared" ref="R108:R113" si="31">(Q108-H108)/H108</f>
        <v>0.40233785493086754</v>
      </c>
      <c r="S108" s="93">
        <f t="shared" ref="S108:S113" si="32">(Q108-M108)/M108</f>
        <v>0.12496938397049664</v>
      </c>
      <c r="T108" s="93">
        <f t="shared" ref="T108:T113" si="33">(Q108-P108)/P108</f>
        <v>-1.432915987099464E-2</v>
      </c>
      <c r="U108" s="95">
        <f t="shared" ref="U108:U113" si="34">Q108/Q$9</f>
        <v>0.55815495720708996</v>
      </c>
      <c r="V108" s="145"/>
    </row>
    <row r="109" spans="1:22" x14ac:dyDescent="0.2">
      <c r="A109" s="4" t="s">
        <v>42</v>
      </c>
      <c r="B109" s="4">
        <v>23346</v>
      </c>
      <c r="C109" s="4">
        <v>26059</v>
      </c>
      <c r="D109" s="4">
        <v>33292</v>
      </c>
      <c r="E109" s="4">
        <v>32920</v>
      </c>
      <c r="F109" s="4">
        <v>39765</v>
      </c>
      <c r="G109" s="4">
        <v>47258</v>
      </c>
      <c r="H109" s="4">
        <v>57929</v>
      </c>
      <c r="I109" s="4">
        <v>65201</v>
      </c>
      <c r="J109" s="4">
        <v>72973</v>
      </c>
      <c r="K109" s="4">
        <v>74685</v>
      </c>
      <c r="L109" s="4">
        <v>79481</v>
      </c>
      <c r="M109" s="4">
        <v>82419</v>
      </c>
      <c r="N109" s="4">
        <v>74196</v>
      </c>
      <c r="O109" s="4">
        <v>64351</v>
      </c>
      <c r="P109" s="4">
        <v>75922</v>
      </c>
      <c r="Q109" s="4">
        <v>75269</v>
      </c>
      <c r="R109" s="86">
        <f t="shared" si="31"/>
        <v>0.2993319408241123</v>
      </c>
      <c r="S109" s="93">
        <f t="shared" si="32"/>
        <v>-8.6751841201664667E-2</v>
      </c>
      <c r="T109" s="93">
        <f t="shared" si="33"/>
        <v>-8.6009325360238142E-3</v>
      </c>
      <c r="U109" s="95">
        <f t="shared" si="34"/>
        <v>0.261337083138031</v>
      </c>
      <c r="V109" s="145"/>
    </row>
    <row r="110" spans="1:22" x14ac:dyDescent="0.2">
      <c r="A110" s="4" t="s">
        <v>221</v>
      </c>
      <c r="B110" s="4">
        <v>296</v>
      </c>
      <c r="C110" s="4">
        <v>340</v>
      </c>
      <c r="D110" s="4">
        <v>252</v>
      </c>
      <c r="E110" s="4">
        <v>416</v>
      </c>
      <c r="F110" s="4">
        <v>1466</v>
      </c>
      <c r="G110" s="4">
        <v>882</v>
      </c>
      <c r="H110" s="4">
        <v>1233</v>
      </c>
      <c r="I110" s="4">
        <v>1542</v>
      </c>
      <c r="J110" s="4">
        <v>2136</v>
      </c>
      <c r="K110" s="4">
        <v>3371</v>
      </c>
      <c r="L110" s="4">
        <v>3559</v>
      </c>
      <c r="M110" s="4">
        <v>7576</v>
      </c>
      <c r="N110" s="4">
        <v>7631</v>
      </c>
      <c r="O110" s="4">
        <v>5807</v>
      </c>
      <c r="P110" s="4">
        <v>7405</v>
      </c>
      <c r="Q110" s="4">
        <v>9657</v>
      </c>
      <c r="R110" s="86">
        <f t="shared" si="31"/>
        <v>6.8321167883211675</v>
      </c>
      <c r="S110" s="93">
        <f t="shared" si="32"/>
        <v>0.27468321013727559</v>
      </c>
      <c r="T110" s="93">
        <f t="shared" si="33"/>
        <v>0.30411883862255235</v>
      </c>
      <c r="U110" s="95">
        <f t="shared" si="34"/>
        <v>3.3529503671683766E-2</v>
      </c>
      <c r="V110" s="145"/>
    </row>
    <row r="111" spans="1:22" x14ac:dyDescent="0.2">
      <c r="A111" s="4" t="s">
        <v>222</v>
      </c>
      <c r="B111" s="4">
        <v>887</v>
      </c>
      <c r="C111" s="4">
        <v>1037</v>
      </c>
      <c r="D111" s="4">
        <v>2210</v>
      </c>
      <c r="E111" s="4">
        <v>1317</v>
      </c>
      <c r="F111" s="4">
        <v>1301</v>
      </c>
      <c r="G111" s="4">
        <v>2337</v>
      </c>
      <c r="H111" s="4">
        <v>4722</v>
      </c>
      <c r="I111" s="4">
        <v>4612</v>
      </c>
      <c r="J111" s="4">
        <v>6357</v>
      </c>
      <c r="K111" s="4">
        <v>9696</v>
      </c>
      <c r="L111" s="4">
        <v>9199</v>
      </c>
      <c r="M111" s="4">
        <v>10296</v>
      </c>
      <c r="N111" s="4">
        <v>13078</v>
      </c>
      <c r="O111" s="4">
        <v>19350</v>
      </c>
      <c r="P111" s="4">
        <v>28229</v>
      </c>
      <c r="Q111" s="4">
        <v>38405</v>
      </c>
      <c r="R111" s="86">
        <f t="shared" si="31"/>
        <v>7.1332062685302837</v>
      </c>
      <c r="S111" s="93">
        <f t="shared" si="32"/>
        <v>2.7300893550893552</v>
      </c>
      <c r="T111" s="93">
        <f t="shared" si="33"/>
        <v>0.36048035707959897</v>
      </c>
      <c r="U111" s="95">
        <f t="shared" si="34"/>
        <v>0.13334374945749353</v>
      </c>
      <c r="V111" s="145"/>
    </row>
    <row r="112" spans="1:22" x14ac:dyDescent="0.2">
      <c r="A112" s="4" t="s">
        <v>43</v>
      </c>
      <c r="B112" s="4">
        <v>1082</v>
      </c>
      <c r="C112" s="4">
        <v>1539</v>
      </c>
      <c r="D112" s="4">
        <v>2439</v>
      </c>
      <c r="E112" s="4">
        <v>2634</v>
      </c>
      <c r="F112" s="4">
        <v>3510</v>
      </c>
      <c r="G112" s="4">
        <v>2224</v>
      </c>
      <c r="H112" s="4">
        <v>3165</v>
      </c>
      <c r="I112" s="4">
        <v>4132</v>
      </c>
      <c r="J112" s="4">
        <v>5277</v>
      </c>
      <c r="K112" s="4">
        <v>5968</v>
      </c>
      <c r="L112" s="4">
        <v>6012</v>
      </c>
      <c r="M112" s="4">
        <v>6145</v>
      </c>
      <c r="N112" s="4">
        <v>7669</v>
      </c>
      <c r="O112" s="4">
        <v>5537</v>
      </c>
      <c r="P112" s="4">
        <v>5823</v>
      </c>
      <c r="Q112" s="4">
        <v>3927</v>
      </c>
      <c r="R112" s="86">
        <f t="shared" si="31"/>
        <v>0.24075829383886255</v>
      </c>
      <c r="S112" s="93">
        <f t="shared" si="32"/>
        <v>-0.36094385679414159</v>
      </c>
      <c r="T112" s="93">
        <f t="shared" si="33"/>
        <v>-0.32560535806285418</v>
      </c>
      <c r="U112" s="95">
        <f t="shared" si="34"/>
        <v>1.3634706525701786E-2</v>
      </c>
      <c r="V112" s="145"/>
    </row>
    <row r="113" spans="1:21" x14ac:dyDescent="0.2">
      <c r="A113" s="5" t="s">
        <v>4</v>
      </c>
      <c r="B113" s="5">
        <v>95295</v>
      </c>
      <c r="C113" s="5">
        <v>110322</v>
      </c>
      <c r="D113" s="5">
        <v>122889</v>
      </c>
      <c r="E113" s="5">
        <v>118612</v>
      </c>
      <c r="F113" s="5">
        <v>136590</v>
      </c>
      <c r="G113" s="5">
        <v>155621</v>
      </c>
      <c r="H113" s="5">
        <v>181684</v>
      </c>
      <c r="I113" s="5">
        <v>197103</v>
      </c>
      <c r="J113" s="5">
        <v>216306</v>
      </c>
      <c r="K113" s="5">
        <v>229988</v>
      </c>
      <c r="L113" s="5">
        <v>242622</v>
      </c>
      <c r="M113" s="5">
        <v>249335</v>
      </c>
      <c r="N113" s="5">
        <v>245495</v>
      </c>
      <c r="O113" s="5">
        <v>201864</v>
      </c>
      <c r="P113" s="5">
        <v>280473</v>
      </c>
      <c r="Q113" s="5">
        <v>288015</v>
      </c>
      <c r="R113" s="70">
        <f t="shared" si="31"/>
        <v>0.585252416283217</v>
      </c>
      <c r="S113" s="94">
        <f t="shared" si="32"/>
        <v>0.15513265285659855</v>
      </c>
      <c r="T113" s="94">
        <f t="shared" si="33"/>
        <v>2.6890288904814368E-2</v>
      </c>
      <c r="U113" s="96">
        <f t="shared" si="34"/>
        <v>1</v>
      </c>
    </row>
    <row r="114" spans="1:21" x14ac:dyDescent="0.2">
      <c r="A114" s="32"/>
      <c r="B114" s="32"/>
      <c r="C114" s="32"/>
      <c r="D114" s="32"/>
      <c r="E114" s="32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32"/>
      <c r="S114" s="32"/>
      <c r="T114" s="32"/>
      <c r="U114" s="32"/>
    </row>
    <row r="115" spans="1:21" x14ac:dyDescent="0.2">
      <c r="A115" s="58" t="s">
        <v>230</v>
      </c>
      <c r="B115" s="58"/>
      <c r="C115" s="58"/>
      <c r="D115" s="58"/>
      <c r="E115" s="58"/>
      <c r="F115" s="108"/>
      <c r="G115" s="108"/>
      <c r="R115" s="32"/>
      <c r="S115" s="32"/>
      <c r="T115" s="32"/>
      <c r="U115" s="32"/>
    </row>
    <row r="116" spans="1:21" x14ac:dyDescent="0.2">
      <c r="A116" s="32"/>
      <c r="B116" s="32"/>
      <c r="C116" s="32"/>
      <c r="D116" s="32"/>
      <c r="E116" s="32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32"/>
      <c r="T116" s="32"/>
      <c r="U116" s="32"/>
    </row>
    <row r="117" spans="1:21" x14ac:dyDescent="0.2">
      <c r="A117" s="59" t="s">
        <v>21</v>
      </c>
      <c r="B117" s="59"/>
      <c r="C117" s="59"/>
      <c r="D117" s="59"/>
      <c r="E117" s="59"/>
      <c r="F117" s="59"/>
      <c r="G117" s="32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32"/>
      <c r="S117" s="32"/>
      <c r="T117" s="32"/>
      <c r="U117" s="32"/>
    </row>
    <row r="118" spans="1:21" x14ac:dyDescent="0.2">
      <c r="A118" s="32"/>
      <c r="B118" s="32"/>
      <c r="C118" s="32"/>
      <c r="D118" s="32"/>
      <c r="E118" s="32"/>
      <c r="F118" s="32"/>
      <c r="G118" s="32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32"/>
      <c r="S118" s="32"/>
      <c r="T118" s="32"/>
      <c r="U118" s="32"/>
    </row>
    <row r="119" spans="1:21" x14ac:dyDescent="0.2"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</row>
    <row r="120" spans="1:21" x14ac:dyDescent="0.2"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</row>
    <row r="121" spans="1:21" x14ac:dyDescent="0.2"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</row>
  </sheetData>
  <hyperlinks>
    <hyperlink ref="A117" location="Indice!A5" display="Volver al índice"/>
  </hyperlinks>
  <pageMargins left="0.7" right="0.7" top="0.75" bottom="0.75" header="0.3" footer="0.3"/>
  <pageSetup orientation="portrait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"/>
  <sheetViews>
    <sheetView showGridLines="0" zoomScale="80" zoomScaleNormal="80" workbookViewId="0">
      <pane ySplit="2" topLeftCell="A3" activePane="bottomLeft" state="frozen"/>
      <selection pane="bottomLeft" activeCell="A3" sqref="A3"/>
    </sheetView>
  </sheetViews>
  <sheetFormatPr baseColWidth="10" defaultColWidth="10.85546875" defaultRowHeight="15" x14ac:dyDescent="0.2"/>
  <cols>
    <col min="1" max="1" width="37.140625" style="1" customWidth="1"/>
    <col min="2" max="5" width="17" style="36" customWidth="1"/>
    <col min="6" max="9" width="12.42578125" style="1" customWidth="1"/>
    <col min="10" max="16384" width="10.85546875" style="1"/>
  </cols>
  <sheetData>
    <row r="1" spans="1:5" ht="21" x14ac:dyDescent="0.2">
      <c r="A1" s="55" t="s">
        <v>369</v>
      </c>
      <c r="B1" s="37"/>
      <c r="C1" s="37"/>
      <c r="D1" s="37"/>
      <c r="E1" s="37"/>
    </row>
    <row r="2" spans="1:5" ht="24.75" customHeight="1" x14ac:dyDescent="0.2">
      <c r="A2" s="32"/>
      <c r="B2" s="37"/>
      <c r="C2" s="37"/>
      <c r="D2" s="37"/>
      <c r="E2" s="37"/>
    </row>
    <row r="3" spans="1:5" x14ac:dyDescent="0.2">
      <c r="A3" s="32"/>
      <c r="B3" s="37"/>
      <c r="C3" s="37"/>
      <c r="D3" s="37"/>
      <c r="E3" s="37"/>
    </row>
    <row r="4" spans="1:5" ht="15.75" x14ac:dyDescent="0.2">
      <c r="A4" s="23" t="s">
        <v>370</v>
      </c>
      <c r="B4" s="37"/>
      <c r="C4" s="37"/>
      <c r="D4" s="37"/>
      <c r="E4" s="37"/>
    </row>
    <row r="5" spans="1:5" ht="25.5" x14ac:dyDescent="0.2">
      <c r="A5" s="76" t="s">
        <v>219</v>
      </c>
      <c r="B5" s="38" t="s">
        <v>5</v>
      </c>
      <c r="C5" s="38" t="s">
        <v>6</v>
      </c>
      <c r="D5" s="38" t="s">
        <v>7</v>
      </c>
      <c r="E5" s="38" t="s">
        <v>8</v>
      </c>
    </row>
    <row r="6" spans="1:5" x14ac:dyDescent="0.2">
      <c r="A6" s="4" t="s">
        <v>371</v>
      </c>
      <c r="B6" s="34">
        <v>21957</v>
      </c>
      <c r="C6" s="34">
        <v>42515</v>
      </c>
      <c r="D6" s="34">
        <v>62968</v>
      </c>
      <c r="E6" s="34">
        <v>127440</v>
      </c>
    </row>
    <row r="7" spans="1:5" x14ac:dyDescent="0.2">
      <c r="A7" s="4" t="s">
        <v>372</v>
      </c>
      <c r="B7" s="34">
        <v>15584</v>
      </c>
      <c r="C7" s="34">
        <v>34594</v>
      </c>
      <c r="D7" s="34">
        <v>45432</v>
      </c>
      <c r="E7" s="34">
        <v>95610</v>
      </c>
    </row>
    <row r="8" spans="1:5" x14ac:dyDescent="0.2">
      <c r="A8" s="5" t="s">
        <v>373</v>
      </c>
      <c r="B8" s="35">
        <v>37541</v>
      </c>
      <c r="C8" s="35">
        <v>77109</v>
      </c>
      <c r="D8" s="35">
        <v>108400</v>
      </c>
      <c r="E8" s="35">
        <v>223050</v>
      </c>
    </row>
    <row r="9" spans="1:5" x14ac:dyDescent="0.2">
      <c r="A9" s="32"/>
      <c r="B9" s="37"/>
      <c r="C9" s="37"/>
      <c r="D9" s="37"/>
      <c r="E9" s="37"/>
    </row>
    <row r="10" spans="1:5" ht="15.75" x14ac:dyDescent="0.2">
      <c r="A10" s="23" t="s">
        <v>374</v>
      </c>
      <c r="B10" s="37"/>
      <c r="C10" s="37"/>
      <c r="D10" s="37"/>
      <c r="E10" s="37"/>
    </row>
    <row r="11" spans="1:5" ht="25.5" x14ac:dyDescent="0.2">
      <c r="A11" s="76" t="s">
        <v>25</v>
      </c>
      <c r="B11" s="38" t="s">
        <v>5</v>
      </c>
      <c r="C11" s="38" t="s">
        <v>6</v>
      </c>
      <c r="D11" s="38" t="s">
        <v>7</v>
      </c>
      <c r="E11" s="38" t="s">
        <v>8</v>
      </c>
    </row>
    <row r="12" spans="1:5" x14ac:dyDescent="0.2">
      <c r="A12" s="4" t="s">
        <v>26</v>
      </c>
      <c r="B12" s="110">
        <v>301</v>
      </c>
      <c r="C12" s="110">
        <v>148</v>
      </c>
      <c r="D12" s="110">
        <v>148</v>
      </c>
      <c r="E12" s="110">
        <v>597</v>
      </c>
    </row>
    <row r="13" spans="1:5" x14ac:dyDescent="0.2">
      <c r="A13" s="4" t="s">
        <v>27</v>
      </c>
      <c r="B13" s="110">
        <v>18164</v>
      </c>
      <c r="C13" s="110">
        <v>29081</v>
      </c>
      <c r="D13" s="110">
        <v>43992</v>
      </c>
      <c r="E13" s="110">
        <v>91237</v>
      </c>
    </row>
    <row r="14" spans="1:5" x14ac:dyDescent="0.2">
      <c r="A14" s="4" t="s">
        <v>28</v>
      </c>
      <c r="B14" s="110">
        <v>8108</v>
      </c>
      <c r="C14" s="110">
        <v>19247</v>
      </c>
      <c r="D14" s="110">
        <v>43231</v>
      </c>
      <c r="E14" s="110">
        <v>70586</v>
      </c>
    </row>
    <row r="15" spans="1:5" x14ac:dyDescent="0.2">
      <c r="A15" s="4" t="s">
        <v>29</v>
      </c>
      <c r="B15" s="110">
        <v>4479</v>
      </c>
      <c r="C15" s="110">
        <v>11723</v>
      </c>
      <c r="D15" s="110">
        <v>10619</v>
      </c>
      <c r="E15" s="110">
        <v>26821</v>
      </c>
    </row>
    <row r="16" spans="1:5" x14ac:dyDescent="0.2">
      <c r="A16" s="4" t="s">
        <v>30</v>
      </c>
      <c r="B16" s="110">
        <v>2688</v>
      </c>
      <c r="C16" s="110">
        <v>7550</v>
      </c>
      <c r="D16" s="110">
        <v>4861</v>
      </c>
      <c r="E16" s="110">
        <v>15099</v>
      </c>
    </row>
    <row r="17" spans="1:9" x14ac:dyDescent="0.2">
      <c r="A17" s="4" t="s">
        <v>31</v>
      </c>
      <c r="B17" s="110">
        <v>3801</v>
      </c>
      <c r="C17" s="110">
        <v>9346</v>
      </c>
      <c r="D17" s="110">
        <v>5546</v>
      </c>
      <c r="E17" s="110">
        <v>18693</v>
      </c>
    </row>
    <row r="18" spans="1:9" x14ac:dyDescent="0.2">
      <c r="A18" s="4" t="s">
        <v>32</v>
      </c>
      <c r="B18" s="110">
        <v>0</v>
      </c>
      <c r="C18" s="110">
        <v>14</v>
      </c>
      <c r="D18" s="110">
        <v>3</v>
      </c>
      <c r="E18" s="110">
        <v>17</v>
      </c>
    </row>
    <row r="19" spans="1:9" x14ac:dyDescent="0.2">
      <c r="A19" s="5" t="s">
        <v>4</v>
      </c>
      <c r="B19" s="111">
        <v>37541</v>
      </c>
      <c r="C19" s="111">
        <v>77109</v>
      </c>
      <c r="D19" s="111">
        <v>108400</v>
      </c>
      <c r="E19" s="111">
        <v>223050</v>
      </c>
    </row>
    <row r="20" spans="1:9" x14ac:dyDescent="0.2">
      <c r="A20" s="75" t="s">
        <v>34</v>
      </c>
      <c r="B20" s="81">
        <v>27.626570949095647</v>
      </c>
      <c r="C20" s="81">
        <v>29.124394578118004</v>
      </c>
      <c r="D20" s="81">
        <v>27.008168122734016</v>
      </c>
      <c r="E20" s="87">
        <v>27.843766169132159</v>
      </c>
    </row>
    <row r="21" spans="1:9" x14ac:dyDescent="0.2">
      <c r="A21" s="32"/>
      <c r="B21" s="32"/>
      <c r="C21" s="32"/>
      <c r="D21" s="32"/>
      <c r="E21" s="32"/>
    </row>
    <row r="22" spans="1:9" ht="15.75" x14ac:dyDescent="0.2">
      <c r="A22" s="23" t="s">
        <v>375</v>
      </c>
      <c r="B22" s="37"/>
      <c r="C22" s="37"/>
      <c r="D22" s="37"/>
      <c r="E22" s="37"/>
    </row>
    <row r="23" spans="1:9" ht="25.5" x14ac:dyDescent="0.2">
      <c r="A23" s="76" t="s">
        <v>35</v>
      </c>
      <c r="B23" s="38" t="s">
        <v>5</v>
      </c>
      <c r="C23" s="38" t="s">
        <v>6</v>
      </c>
      <c r="D23" s="38" t="s">
        <v>7</v>
      </c>
      <c r="E23" s="38" t="s">
        <v>8</v>
      </c>
    </row>
    <row r="24" spans="1:9" x14ac:dyDescent="0.2">
      <c r="A24" s="4" t="s">
        <v>36</v>
      </c>
      <c r="B24" s="34">
        <v>37541</v>
      </c>
      <c r="C24" s="34">
        <v>36881</v>
      </c>
      <c r="D24" s="34">
        <v>6153</v>
      </c>
      <c r="E24" s="34">
        <v>80575</v>
      </c>
    </row>
    <row r="25" spans="1:9" x14ac:dyDescent="0.2">
      <c r="A25" s="4" t="s">
        <v>37</v>
      </c>
      <c r="B25" s="34">
        <v>0</v>
      </c>
      <c r="C25" s="34">
        <v>40228</v>
      </c>
      <c r="D25" s="34">
        <v>5652</v>
      </c>
      <c r="E25" s="34">
        <v>45880</v>
      </c>
    </row>
    <row r="26" spans="1:9" x14ac:dyDescent="0.2">
      <c r="A26" s="4" t="s">
        <v>38</v>
      </c>
      <c r="B26" s="34">
        <v>0</v>
      </c>
      <c r="C26" s="34">
        <v>0</v>
      </c>
      <c r="D26" s="34">
        <v>3526</v>
      </c>
      <c r="E26" s="34">
        <v>3526</v>
      </c>
    </row>
    <row r="27" spans="1:9" x14ac:dyDescent="0.2">
      <c r="A27" s="4" t="s">
        <v>39</v>
      </c>
      <c r="B27" s="35">
        <v>0</v>
      </c>
      <c r="C27" s="35">
        <v>0</v>
      </c>
      <c r="D27" s="34">
        <v>93069</v>
      </c>
      <c r="E27" s="34">
        <v>93069</v>
      </c>
    </row>
    <row r="28" spans="1:9" x14ac:dyDescent="0.2">
      <c r="A28" s="5" t="s">
        <v>4</v>
      </c>
      <c r="B28" s="54">
        <v>37541</v>
      </c>
      <c r="C28" s="54">
        <v>77109</v>
      </c>
      <c r="D28" s="54">
        <v>108400</v>
      </c>
      <c r="E28" s="54">
        <v>223050</v>
      </c>
    </row>
    <row r="29" spans="1:9" x14ac:dyDescent="0.2">
      <c r="A29" s="32"/>
      <c r="B29" s="37"/>
      <c r="C29" s="37"/>
      <c r="D29" s="37"/>
      <c r="E29" s="37"/>
    </row>
    <row r="30" spans="1:9" ht="15.75" x14ac:dyDescent="0.2">
      <c r="A30" s="23" t="s">
        <v>376</v>
      </c>
      <c r="B30" s="37"/>
      <c r="C30" s="37"/>
      <c r="D30" s="37"/>
      <c r="E30" s="37"/>
    </row>
    <row r="31" spans="1:9" ht="25.5" x14ac:dyDescent="0.2">
      <c r="A31" s="76" t="s">
        <v>10</v>
      </c>
      <c r="B31" s="38" t="s">
        <v>5</v>
      </c>
      <c r="C31" s="38" t="s">
        <v>6</v>
      </c>
      <c r="D31" s="38" t="s">
        <v>7</v>
      </c>
      <c r="E31" s="38" t="s">
        <v>8</v>
      </c>
      <c r="G31" s="141"/>
      <c r="H31" s="141"/>
      <c r="I31" s="141"/>
    </row>
    <row r="32" spans="1:9" x14ac:dyDescent="0.2">
      <c r="A32" s="4" t="s">
        <v>11</v>
      </c>
      <c r="B32" s="34">
        <v>10111</v>
      </c>
      <c r="C32" s="34">
        <v>23916</v>
      </c>
      <c r="D32" s="34">
        <v>17426</v>
      </c>
      <c r="E32" s="34">
        <v>51453</v>
      </c>
      <c r="G32" s="92"/>
      <c r="H32" s="92"/>
      <c r="I32" s="92"/>
    </row>
    <row r="33" spans="1:9" x14ac:dyDescent="0.2">
      <c r="A33" s="4" t="s">
        <v>12</v>
      </c>
      <c r="B33" s="34">
        <v>1398</v>
      </c>
      <c r="C33" s="34">
        <v>1166</v>
      </c>
      <c r="D33" s="34">
        <v>2600</v>
      </c>
      <c r="E33" s="34">
        <v>5164</v>
      </c>
      <c r="G33" s="92"/>
      <c r="H33" s="92"/>
      <c r="I33" s="92"/>
    </row>
    <row r="34" spans="1:9" x14ac:dyDescent="0.2">
      <c r="A34" s="4" t="s">
        <v>13</v>
      </c>
      <c r="B34" s="34">
        <v>566</v>
      </c>
      <c r="C34" s="34">
        <v>4396</v>
      </c>
      <c r="D34" s="34">
        <v>4053</v>
      </c>
      <c r="E34" s="34">
        <v>9015</v>
      </c>
      <c r="G34" s="92"/>
      <c r="H34" s="92"/>
      <c r="I34" s="92"/>
    </row>
    <row r="35" spans="1:9" x14ac:dyDescent="0.2">
      <c r="A35" s="4" t="s">
        <v>14</v>
      </c>
      <c r="B35" s="34">
        <v>201</v>
      </c>
      <c r="C35" s="34">
        <v>307</v>
      </c>
      <c r="D35" s="34">
        <v>1912</v>
      </c>
      <c r="E35" s="34">
        <v>2420</v>
      </c>
      <c r="G35" s="92"/>
      <c r="H35" s="92"/>
      <c r="I35" s="92"/>
    </row>
    <row r="36" spans="1:9" x14ac:dyDescent="0.2">
      <c r="A36" s="4" t="s">
        <v>15</v>
      </c>
      <c r="B36" s="34">
        <v>1775</v>
      </c>
      <c r="C36" s="34">
        <v>7639</v>
      </c>
      <c r="D36" s="34">
        <v>14460</v>
      </c>
      <c r="E36" s="34">
        <v>23874</v>
      </c>
      <c r="G36" s="92"/>
      <c r="H36" s="92"/>
      <c r="I36" s="92"/>
    </row>
    <row r="37" spans="1:9" x14ac:dyDescent="0.2">
      <c r="A37" s="4" t="s">
        <v>16</v>
      </c>
      <c r="B37" s="34">
        <v>273</v>
      </c>
      <c r="C37" s="34">
        <v>524</v>
      </c>
      <c r="D37" s="34">
        <v>3834</v>
      </c>
      <c r="E37" s="34">
        <v>4631</v>
      </c>
      <c r="G37" s="92"/>
      <c r="H37" s="92"/>
      <c r="I37" s="92"/>
    </row>
    <row r="38" spans="1:9" x14ac:dyDescent="0.2">
      <c r="A38" s="4" t="s">
        <v>17</v>
      </c>
      <c r="B38" s="34">
        <v>5882</v>
      </c>
      <c r="C38" s="34">
        <v>7282</v>
      </c>
      <c r="D38" s="34">
        <v>13722</v>
      </c>
      <c r="E38" s="34">
        <v>26886</v>
      </c>
      <c r="G38" s="92"/>
      <c r="H38" s="92"/>
      <c r="I38" s="92"/>
    </row>
    <row r="39" spans="1:9" x14ac:dyDescent="0.2">
      <c r="A39" s="4" t="s">
        <v>18</v>
      </c>
      <c r="B39" s="34">
        <v>55</v>
      </c>
      <c r="C39" s="34">
        <v>206</v>
      </c>
      <c r="D39" s="34">
        <v>1116</v>
      </c>
      <c r="E39" s="34">
        <v>1377</v>
      </c>
      <c r="G39" s="92"/>
      <c r="H39" s="92"/>
      <c r="I39" s="92"/>
    </row>
    <row r="40" spans="1:9" x14ac:dyDescent="0.2">
      <c r="A40" s="4" t="s">
        <v>19</v>
      </c>
      <c r="B40" s="34">
        <v>7510</v>
      </c>
      <c r="C40" s="34">
        <v>8625</v>
      </c>
      <c r="D40" s="34">
        <v>27692</v>
      </c>
      <c r="E40" s="34">
        <v>43827</v>
      </c>
      <c r="G40" s="92"/>
      <c r="H40" s="92"/>
      <c r="I40" s="92"/>
    </row>
    <row r="41" spans="1:9" x14ac:dyDescent="0.2">
      <c r="A41" s="4" t="s">
        <v>20</v>
      </c>
      <c r="B41" s="34">
        <v>9770</v>
      </c>
      <c r="C41" s="34">
        <v>23048</v>
      </c>
      <c r="D41" s="34">
        <v>21585</v>
      </c>
      <c r="E41" s="34">
        <v>54403</v>
      </c>
      <c r="G41" s="92"/>
      <c r="H41" s="92"/>
      <c r="I41" s="92"/>
    </row>
    <row r="42" spans="1:9" x14ac:dyDescent="0.2">
      <c r="A42" s="5" t="s">
        <v>4</v>
      </c>
      <c r="B42" s="35">
        <v>37541</v>
      </c>
      <c r="C42" s="35">
        <v>77109</v>
      </c>
      <c r="D42" s="35">
        <v>108400</v>
      </c>
      <c r="E42" s="35">
        <v>223050</v>
      </c>
    </row>
    <row r="43" spans="1:9" x14ac:dyDescent="0.2">
      <c r="A43" s="32"/>
      <c r="B43" s="37"/>
      <c r="C43" s="37"/>
      <c r="D43" s="37"/>
      <c r="E43" s="37"/>
    </row>
    <row r="44" spans="1:9" ht="15.75" x14ac:dyDescent="0.2">
      <c r="A44" s="23" t="s">
        <v>377</v>
      </c>
      <c r="B44" s="37"/>
      <c r="C44" s="37"/>
      <c r="D44" s="37"/>
      <c r="E44" s="37"/>
    </row>
    <row r="45" spans="1:9" x14ac:dyDescent="0.2">
      <c r="A45" s="76" t="s">
        <v>10</v>
      </c>
      <c r="B45" s="38" t="s">
        <v>200</v>
      </c>
      <c r="C45" s="38" t="s">
        <v>201</v>
      </c>
      <c r="D45" s="38" t="s">
        <v>8</v>
      </c>
      <c r="E45" s="37"/>
    </row>
    <row r="46" spans="1:9" x14ac:dyDescent="0.2">
      <c r="A46" s="4" t="s">
        <v>11</v>
      </c>
      <c r="B46" s="34">
        <v>30651</v>
      </c>
      <c r="C46" s="34">
        <v>20802</v>
      </c>
      <c r="D46" s="34">
        <v>51453</v>
      </c>
      <c r="E46" s="105"/>
      <c r="F46" s="105"/>
    </row>
    <row r="47" spans="1:9" x14ac:dyDescent="0.2">
      <c r="A47" s="4" t="s">
        <v>12</v>
      </c>
      <c r="B47" s="34">
        <v>2808</v>
      </c>
      <c r="C47" s="34">
        <v>2356</v>
      </c>
      <c r="D47" s="34">
        <v>5164</v>
      </c>
      <c r="E47" s="105"/>
      <c r="F47" s="105"/>
    </row>
    <row r="48" spans="1:9" x14ac:dyDescent="0.2">
      <c r="A48" s="4" t="s">
        <v>13</v>
      </c>
      <c r="B48" s="34">
        <v>5685</v>
      </c>
      <c r="C48" s="34">
        <v>3330</v>
      </c>
      <c r="D48" s="34">
        <v>9015</v>
      </c>
      <c r="E48" s="105"/>
      <c r="F48" s="105"/>
    </row>
    <row r="49" spans="1:6" x14ac:dyDescent="0.2">
      <c r="A49" s="4" t="s">
        <v>14</v>
      </c>
      <c r="B49" s="34">
        <v>1050</v>
      </c>
      <c r="C49" s="34">
        <v>1370</v>
      </c>
      <c r="D49" s="34">
        <v>2420</v>
      </c>
      <c r="E49" s="105"/>
      <c r="F49" s="105"/>
    </row>
    <row r="50" spans="1:6" x14ac:dyDescent="0.2">
      <c r="A50" s="4" t="s">
        <v>15</v>
      </c>
      <c r="B50" s="34">
        <v>17442</v>
      </c>
      <c r="C50" s="34">
        <v>6432</v>
      </c>
      <c r="D50" s="34">
        <v>23874</v>
      </c>
      <c r="E50" s="105"/>
      <c r="F50" s="105"/>
    </row>
    <row r="51" spans="1:6" x14ac:dyDescent="0.2">
      <c r="A51" s="4" t="s">
        <v>16</v>
      </c>
      <c r="B51" s="34">
        <v>2642</v>
      </c>
      <c r="C51" s="34">
        <v>1989</v>
      </c>
      <c r="D51" s="34">
        <v>4631</v>
      </c>
      <c r="E51" s="105"/>
      <c r="F51" s="105"/>
    </row>
    <row r="52" spans="1:6" x14ac:dyDescent="0.2">
      <c r="A52" s="4" t="s">
        <v>17</v>
      </c>
      <c r="B52" s="34">
        <v>21338</v>
      </c>
      <c r="C52" s="34">
        <v>5548</v>
      </c>
      <c r="D52" s="34">
        <v>26886</v>
      </c>
      <c r="E52" s="105"/>
      <c r="F52" s="105"/>
    </row>
    <row r="53" spans="1:6" x14ac:dyDescent="0.2">
      <c r="A53" s="4" t="s">
        <v>18</v>
      </c>
      <c r="B53" s="34">
        <v>869</v>
      </c>
      <c r="C53" s="34">
        <v>508</v>
      </c>
      <c r="D53" s="34">
        <v>1377</v>
      </c>
      <c r="E53" s="105"/>
      <c r="F53" s="105"/>
    </row>
    <row r="54" spans="1:6" x14ac:dyDescent="0.2">
      <c r="A54" s="4" t="s">
        <v>19</v>
      </c>
      <c r="B54" s="34">
        <v>34438</v>
      </c>
      <c r="C54" s="34">
        <v>9389</v>
      </c>
      <c r="D54" s="34">
        <v>43827</v>
      </c>
      <c r="E54" s="105"/>
      <c r="F54" s="105"/>
    </row>
    <row r="55" spans="1:6" x14ac:dyDescent="0.2">
      <c r="A55" s="4" t="s">
        <v>20</v>
      </c>
      <c r="B55" s="34">
        <v>10517</v>
      </c>
      <c r="C55" s="34">
        <v>43886</v>
      </c>
      <c r="D55" s="34">
        <v>54403</v>
      </c>
      <c r="E55" s="105"/>
      <c r="F55" s="105"/>
    </row>
    <row r="56" spans="1:6" x14ac:dyDescent="0.2">
      <c r="A56" s="5" t="s">
        <v>4</v>
      </c>
      <c r="B56" s="35">
        <v>127440</v>
      </c>
      <c r="C56" s="35">
        <v>95610</v>
      </c>
      <c r="D56" s="35">
        <v>223050</v>
      </c>
      <c r="E56" s="37"/>
    </row>
    <row r="57" spans="1:6" x14ac:dyDescent="0.2">
      <c r="A57" s="32"/>
      <c r="B57" s="37"/>
      <c r="C57" s="37"/>
      <c r="D57" s="37"/>
      <c r="E57" s="37"/>
    </row>
    <row r="58" spans="1:6" ht="15.75" x14ac:dyDescent="0.2">
      <c r="A58" s="23" t="s">
        <v>378</v>
      </c>
      <c r="B58" s="37"/>
      <c r="C58" s="37"/>
      <c r="D58" s="37"/>
      <c r="E58" s="37"/>
    </row>
    <row r="59" spans="1:6" ht="25.5" x14ac:dyDescent="0.2">
      <c r="A59" s="76" t="s">
        <v>40</v>
      </c>
      <c r="B59" s="38" t="s">
        <v>5</v>
      </c>
      <c r="C59" s="38" t="s">
        <v>6</v>
      </c>
      <c r="D59" s="38" t="s">
        <v>7</v>
      </c>
      <c r="E59" s="38" t="s">
        <v>8</v>
      </c>
    </row>
    <row r="60" spans="1:6" x14ac:dyDescent="0.2">
      <c r="A60" s="4" t="s">
        <v>41</v>
      </c>
      <c r="B60" s="34">
        <v>22249</v>
      </c>
      <c r="C60" s="34">
        <v>35034</v>
      </c>
      <c r="D60" s="34">
        <v>87204</v>
      </c>
      <c r="E60" s="34">
        <v>144487</v>
      </c>
    </row>
    <row r="61" spans="1:6" x14ac:dyDescent="0.2">
      <c r="A61" s="4" t="s">
        <v>42</v>
      </c>
      <c r="B61" s="34">
        <v>13084</v>
      </c>
      <c r="C61" s="34">
        <v>28811</v>
      </c>
      <c r="D61" s="34">
        <v>16499</v>
      </c>
      <c r="E61" s="34">
        <v>58394</v>
      </c>
    </row>
    <row r="62" spans="1:6" x14ac:dyDescent="0.2">
      <c r="A62" s="28" t="s">
        <v>221</v>
      </c>
      <c r="B62" s="34">
        <v>219</v>
      </c>
      <c r="C62" s="34">
        <v>2214</v>
      </c>
      <c r="D62" s="34">
        <v>530</v>
      </c>
      <c r="E62" s="34">
        <v>2963</v>
      </c>
    </row>
    <row r="63" spans="1:6" x14ac:dyDescent="0.2">
      <c r="A63" s="28" t="s">
        <v>222</v>
      </c>
      <c r="B63" s="34">
        <v>1989</v>
      </c>
      <c r="C63" s="34">
        <v>10992</v>
      </c>
      <c r="D63" s="34">
        <v>2858</v>
      </c>
      <c r="E63" s="34">
        <v>15839</v>
      </c>
    </row>
    <row r="64" spans="1:6" x14ac:dyDescent="0.2">
      <c r="A64" s="4" t="s">
        <v>43</v>
      </c>
      <c r="B64" s="34">
        <v>0</v>
      </c>
      <c r="C64" s="34">
        <v>58</v>
      </c>
      <c r="D64" s="34">
        <v>1309</v>
      </c>
      <c r="E64" s="34">
        <v>1367</v>
      </c>
    </row>
    <row r="65" spans="1:5" x14ac:dyDescent="0.2">
      <c r="A65" s="5" t="s">
        <v>4</v>
      </c>
      <c r="B65" s="35">
        <v>37541</v>
      </c>
      <c r="C65" s="35">
        <v>77109</v>
      </c>
      <c r="D65" s="35">
        <v>108400</v>
      </c>
      <c r="E65" s="35">
        <v>223050</v>
      </c>
    </row>
    <row r="66" spans="1:5" x14ac:dyDescent="0.2">
      <c r="A66" s="32"/>
      <c r="B66" s="37"/>
      <c r="C66" s="37"/>
      <c r="D66" s="37"/>
      <c r="E66" s="37"/>
    </row>
    <row r="67" spans="1:5" ht="15.75" x14ac:dyDescent="0.2">
      <c r="A67" s="23" t="s">
        <v>342</v>
      </c>
      <c r="B67" s="37"/>
      <c r="C67" s="37"/>
      <c r="D67" s="37"/>
      <c r="E67" s="37"/>
    </row>
    <row r="68" spans="1:5" ht="25.5" x14ac:dyDescent="0.2">
      <c r="A68" s="76" t="s">
        <v>9</v>
      </c>
      <c r="B68" s="38" t="s">
        <v>5</v>
      </c>
      <c r="C68" s="38" t="s">
        <v>6</v>
      </c>
      <c r="D68" s="38" t="s">
        <v>7</v>
      </c>
      <c r="E68" s="38" t="s">
        <v>8</v>
      </c>
    </row>
    <row r="69" spans="1:5" x14ac:dyDescent="0.2">
      <c r="A69" s="4" t="s">
        <v>237</v>
      </c>
      <c r="B69" s="34">
        <v>1178</v>
      </c>
      <c r="C69" s="34">
        <v>232</v>
      </c>
      <c r="D69" s="34">
        <v>1557</v>
      </c>
      <c r="E69" s="34">
        <v>2967</v>
      </c>
    </row>
    <row r="70" spans="1:5" x14ac:dyDescent="0.2">
      <c r="A70" s="4" t="s">
        <v>238</v>
      </c>
      <c r="B70" s="34">
        <v>960</v>
      </c>
      <c r="C70" s="34">
        <v>658</v>
      </c>
      <c r="D70" s="34">
        <v>1900</v>
      </c>
      <c r="E70" s="34">
        <v>3518</v>
      </c>
    </row>
    <row r="71" spans="1:5" x14ac:dyDescent="0.2">
      <c r="A71" s="4" t="s">
        <v>239</v>
      </c>
      <c r="B71" s="34">
        <v>1740</v>
      </c>
      <c r="C71" s="34">
        <v>2306</v>
      </c>
      <c r="D71" s="34">
        <v>3505</v>
      </c>
      <c r="E71" s="34">
        <v>7551</v>
      </c>
    </row>
    <row r="72" spans="1:5" x14ac:dyDescent="0.2">
      <c r="A72" s="4" t="s">
        <v>240</v>
      </c>
      <c r="B72" s="34">
        <v>618</v>
      </c>
      <c r="C72" s="34">
        <v>533</v>
      </c>
      <c r="D72" s="34">
        <v>1553</v>
      </c>
      <c r="E72" s="34">
        <v>2704</v>
      </c>
    </row>
    <row r="73" spans="1:5" x14ac:dyDescent="0.2">
      <c r="A73" s="4" t="s">
        <v>241</v>
      </c>
      <c r="B73" s="34">
        <v>2729</v>
      </c>
      <c r="C73" s="34">
        <v>2684</v>
      </c>
      <c r="D73" s="34">
        <v>3329</v>
      </c>
      <c r="E73" s="34">
        <v>8742</v>
      </c>
    </row>
    <row r="74" spans="1:5" x14ac:dyDescent="0.2">
      <c r="A74" s="4" t="s">
        <v>242</v>
      </c>
      <c r="B74" s="34">
        <v>3290</v>
      </c>
      <c r="C74" s="34">
        <v>7820</v>
      </c>
      <c r="D74" s="34">
        <v>12884</v>
      </c>
      <c r="E74" s="34">
        <v>23994</v>
      </c>
    </row>
    <row r="75" spans="1:5" x14ac:dyDescent="0.2">
      <c r="A75" s="28" t="s">
        <v>253</v>
      </c>
      <c r="B75" s="34">
        <v>11924</v>
      </c>
      <c r="C75" s="34">
        <v>42222</v>
      </c>
      <c r="D75" s="34">
        <v>50531</v>
      </c>
      <c r="E75" s="34">
        <v>104677</v>
      </c>
    </row>
    <row r="76" spans="1:5" x14ac:dyDescent="0.2">
      <c r="A76" s="28" t="s">
        <v>283</v>
      </c>
      <c r="B76" s="34">
        <v>1350</v>
      </c>
      <c r="C76" s="34">
        <v>3309</v>
      </c>
      <c r="D76" s="34">
        <v>1008</v>
      </c>
      <c r="E76" s="34">
        <v>5667</v>
      </c>
    </row>
    <row r="77" spans="1:5" x14ac:dyDescent="0.2">
      <c r="A77" s="4" t="s">
        <v>243</v>
      </c>
      <c r="B77" s="34">
        <v>3762</v>
      </c>
      <c r="C77" s="34">
        <v>2372</v>
      </c>
      <c r="D77" s="34">
        <v>5137</v>
      </c>
      <c r="E77" s="34">
        <v>11271</v>
      </c>
    </row>
    <row r="78" spans="1:5" x14ac:dyDescent="0.2">
      <c r="A78" s="4" t="s">
        <v>256</v>
      </c>
      <c r="B78" s="34">
        <v>1130</v>
      </c>
      <c r="C78" s="34">
        <v>1429</v>
      </c>
      <c r="D78" s="34">
        <v>2385</v>
      </c>
      <c r="E78" s="34">
        <v>4944</v>
      </c>
    </row>
    <row r="79" spans="1:5" x14ac:dyDescent="0.2">
      <c r="A79" s="4" t="s">
        <v>244</v>
      </c>
      <c r="B79" s="34">
        <v>3191</v>
      </c>
      <c r="C79" s="34">
        <v>7497</v>
      </c>
      <c r="D79" s="34">
        <v>12562</v>
      </c>
      <c r="E79" s="34">
        <v>23250</v>
      </c>
    </row>
    <row r="80" spans="1:5" x14ac:dyDescent="0.2">
      <c r="A80" s="4" t="s">
        <v>245</v>
      </c>
      <c r="B80" s="34">
        <v>2136</v>
      </c>
      <c r="C80" s="34">
        <v>2468</v>
      </c>
      <c r="D80" s="34">
        <v>5549</v>
      </c>
      <c r="E80" s="34">
        <v>10153</v>
      </c>
    </row>
    <row r="81" spans="1:5" x14ac:dyDescent="0.2">
      <c r="A81" s="4" t="s">
        <v>246</v>
      </c>
      <c r="B81" s="34">
        <v>1113</v>
      </c>
      <c r="C81" s="34">
        <v>797</v>
      </c>
      <c r="D81" s="34">
        <v>2369</v>
      </c>
      <c r="E81" s="34">
        <v>4279</v>
      </c>
    </row>
    <row r="82" spans="1:5" x14ac:dyDescent="0.2">
      <c r="A82" s="4" t="s">
        <v>247</v>
      </c>
      <c r="B82" s="34">
        <v>1594</v>
      </c>
      <c r="C82" s="34">
        <v>2519</v>
      </c>
      <c r="D82" s="34">
        <v>3474</v>
      </c>
      <c r="E82" s="34">
        <v>7587</v>
      </c>
    </row>
    <row r="83" spans="1:5" x14ac:dyDescent="0.2">
      <c r="A83" s="4" t="s">
        <v>248</v>
      </c>
      <c r="B83" s="34">
        <v>279</v>
      </c>
      <c r="C83" s="34">
        <v>49</v>
      </c>
      <c r="D83" s="34">
        <v>170</v>
      </c>
      <c r="E83" s="34">
        <v>498</v>
      </c>
    </row>
    <row r="84" spans="1:5" x14ac:dyDescent="0.2">
      <c r="A84" s="4" t="s">
        <v>249</v>
      </c>
      <c r="B84" s="34">
        <v>547</v>
      </c>
      <c r="C84" s="34">
        <v>214</v>
      </c>
      <c r="D84" s="34">
        <v>487</v>
      </c>
      <c r="E84" s="34">
        <v>1248</v>
      </c>
    </row>
    <row r="85" spans="1:5" x14ac:dyDescent="0.2">
      <c r="A85" s="5" t="s">
        <v>4</v>
      </c>
      <c r="B85" s="35">
        <v>37541</v>
      </c>
      <c r="C85" s="35">
        <v>77109</v>
      </c>
      <c r="D85" s="35">
        <v>108400</v>
      </c>
      <c r="E85" s="35">
        <v>223050</v>
      </c>
    </row>
    <row r="86" spans="1:5" x14ac:dyDescent="0.2">
      <c r="A86" s="32"/>
      <c r="B86" s="37"/>
      <c r="C86" s="37"/>
      <c r="D86" s="37"/>
      <c r="E86" s="37"/>
    </row>
    <row r="87" spans="1:5" ht="15.75" x14ac:dyDescent="0.2">
      <c r="A87" s="23" t="s">
        <v>379</v>
      </c>
      <c r="B87" s="37"/>
      <c r="C87" s="37"/>
      <c r="D87" s="37"/>
      <c r="E87" s="37"/>
    </row>
    <row r="88" spans="1:5" x14ac:dyDescent="0.2">
      <c r="A88" s="76" t="s">
        <v>9</v>
      </c>
      <c r="B88" s="38" t="s">
        <v>200</v>
      </c>
      <c r="C88" s="38" t="s">
        <v>201</v>
      </c>
      <c r="D88" s="38" t="s">
        <v>8</v>
      </c>
    </row>
    <row r="89" spans="1:5" x14ac:dyDescent="0.2">
      <c r="A89" s="4" t="s">
        <v>237</v>
      </c>
      <c r="B89" s="34">
        <v>1792</v>
      </c>
      <c r="C89" s="34">
        <v>1175</v>
      </c>
      <c r="D89" s="34">
        <v>2967</v>
      </c>
    </row>
    <row r="90" spans="1:5" x14ac:dyDescent="0.2">
      <c r="A90" s="4" t="s">
        <v>238</v>
      </c>
      <c r="B90" s="34">
        <v>2105</v>
      </c>
      <c r="C90" s="34">
        <v>1413</v>
      </c>
      <c r="D90" s="34">
        <v>3518</v>
      </c>
    </row>
    <row r="91" spans="1:5" x14ac:dyDescent="0.2">
      <c r="A91" s="4" t="s">
        <v>239</v>
      </c>
      <c r="B91" s="34">
        <v>4083</v>
      </c>
      <c r="C91" s="34">
        <v>3468</v>
      </c>
      <c r="D91" s="34">
        <v>7551</v>
      </c>
    </row>
    <row r="92" spans="1:5" x14ac:dyDescent="0.2">
      <c r="A92" s="4" t="s">
        <v>240</v>
      </c>
      <c r="B92" s="34">
        <v>1437</v>
      </c>
      <c r="C92" s="34">
        <v>1267</v>
      </c>
      <c r="D92" s="34">
        <v>2704</v>
      </c>
    </row>
    <row r="93" spans="1:5" x14ac:dyDescent="0.2">
      <c r="A93" s="4" t="s">
        <v>241</v>
      </c>
      <c r="B93" s="34">
        <v>5153</v>
      </c>
      <c r="C93" s="34">
        <v>3589</v>
      </c>
      <c r="D93" s="34">
        <v>8742</v>
      </c>
    </row>
    <row r="94" spans="1:5" x14ac:dyDescent="0.2">
      <c r="A94" s="4" t="s">
        <v>242</v>
      </c>
      <c r="B94" s="34">
        <v>13495</v>
      </c>
      <c r="C94" s="34">
        <v>10499</v>
      </c>
      <c r="D94" s="34">
        <v>23994</v>
      </c>
    </row>
    <row r="95" spans="1:5" x14ac:dyDescent="0.2">
      <c r="A95" s="28" t="s">
        <v>253</v>
      </c>
      <c r="B95" s="34">
        <v>58013</v>
      </c>
      <c r="C95" s="34">
        <v>46664</v>
      </c>
      <c r="D95" s="34">
        <v>104677</v>
      </c>
    </row>
    <row r="96" spans="1:5" x14ac:dyDescent="0.2">
      <c r="A96" s="28" t="s">
        <v>283</v>
      </c>
      <c r="B96" s="34">
        <v>3313</v>
      </c>
      <c r="C96" s="34">
        <v>2354</v>
      </c>
      <c r="D96" s="34">
        <v>5667</v>
      </c>
    </row>
    <row r="97" spans="1:5" x14ac:dyDescent="0.2">
      <c r="A97" s="4" t="s">
        <v>243</v>
      </c>
      <c r="B97" s="34">
        <v>6955</v>
      </c>
      <c r="C97" s="34">
        <v>4316</v>
      </c>
      <c r="D97" s="34">
        <v>11271</v>
      </c>
    </row>
    <row r="98" spans="1:5" x14ac:dyDescent="0.2">
      <c r="A98" s="4" t="s">
        <v>256</v>
      </c>
      <c r="B98" s="34">
        <v>3041</v>
      </c>
      <c r="C98" s="34">
        <v>1903</v>
      </c>
      <c r="D98" s="34">
        <v>4944</v>
      </c>
    </row>
    <row r="99" spans="1:5" x14ac:dyDescent="0.2">
      <c r="A99" s="4" t="s">
        <v>244</v>
      </c>
      <c r="B99" s="34">
        <v>13553</v>
      </c>
      <c r="C99" s="34">
        <v>9697</v>
      </c>
      <c r="D99" s="34">
        <v>23250</v>
      </c>
    </row>
    <row r="100" spans="1:5" x14ac:dyDescent="0.2">
      <c r="A100" s="4" t="s">
        <v>245</v>
      </c>
      <c r="B100" s="34">
        <v>6213</v>
      </c>
      <c r="C100" s="34">
        <v>3940</v>
      </c>
      <c r="D100" s="34">
        <v>10153</v>
      </c>
    </row>
    <row r="101" spans="1:5" x14ac:dyDescent="0.2">
      <c r="A101" s="4" t="s">
        <v>246</v>
      </c>
      <c r="B101" s="34">
        <v>2523</v>
      </c>
      <c r="C101" s="34">
        <v>1756</v>
      </c>
      <c r="D101" s="34">
        <v>4279</v>
      </c>
    </row>
    <row r="102" spans="1:5" x14ac:dyDescent="0.2">
      <c r="A102" s="4" t="s">
        <v>247</v>
      </c>
      <c r="B102" s="34">
        <v>4712</v>
      </c>
      <c r="C102" s="34">
        <v>2875</v>
      </c>
      <c r="D102" s="34">
        <v>7587</v>
      </c>
    </row>
    <row r="103" spans="1:5" x14ac:dyDescent="0.2">
      <c r="A103" s="4" t="s">
        <v>248</v>
      </c>
      <c r="B103" s="34">
        <v>343</v>
      </c>
      <c r="C103" s="34">
        <v>155</v>
      </c>
      <c r="D103" s="34">
        <v>498</v>
      </c>
    </row>
    <row r="104" spans="1:5" x14ac:dyDescent="0.2">
      <c r="A104" s="4" t="s">
        <v>249</v>
      </c>
      <c r="B104" s="34">
        <v>709</v>
      </c>
      <c r="C104" s="34">
        <v>539</v>
      </c>
      <c r="D104" s="34">
        <v>1248</v>
      </c>
    </row>
    <row r="105" spans="1:5" x14ac:dyDescent="0.2">
      <c r="A105" s="5" t="s">
        <v>4</v>
      </c>
      <c r="B105" s="35">
        <v>127440</v>
      </c>
      <c r="C105" s="35">
        <v>95610</v>
      </c>
      <c r="D105" s="35">
        <v>223050</v>
      </c>
      <c r="E105" s="37"/>
    </row>
    <row r="106" spans="1:5" x14ac:dyDescent="0.2">
      <c r="A106" s="32"/>
      <c r="B106" s="37"/>
      <c r="C106" s="37"/>
      <c r="D106" s="37"/>
      <c r="E106" s="37"/>
    </row>
    <row r="107" spans="1:5" x14ac:dyDescent="0.2">
      <c r="A107" s="32"/>
      <c r="B107" s="37"/>
      <c r="C107" s="37"/>
      <c r="D107" s="37"/>
      <c r="E107" s="37"/>
    </row>
    <row r="108" spans="1:5" x14ac:dyDescent="0.2">
      <c r="A108" s="58" t="s">
        <v>230</v>
      </c>
      <c r="B108" s="37"/>
      <c r="C108" s="37"/>
      <c r="D108" s="37"/>
      <c r="E108" s="37"/>
    </row>
    <row r="109" spans="1:5" x14ac:dyDescent="0.2">
      <c r="A109" s="32"/>
      <c r="B109" s="37"/>
      <c r="C109" s="37"/>
      <c r="D109" s="37"/>
      <c r="E109" s="37"/>
    </row>
    <row r="110" spans="1:5" x14ac:dyDescent="0.2">
      <c r="A110" s="59" t="s">
        <v>21</v>
      </c>
      <c r="B110" s="37"/>
      <c r="C110" s="37"/>
      <c r="D110" s="37"/>
      <c r="E110" s="37"/>
    </row>
    <row r="111" spans="1:5" x14ac:dyDescent="0.2">
      <c r="A111" s="32"/>
      <c r="B111" s="37"/>
      <c r="C111" s="37"/>
      <c r="D111" s="37"/>
      <c r="E111" s="37"/>
    </row>
  </sheetData>
  <hyperlinks>
    <hyperlink ref="A110" location="Indice!A5" display="Volver al índice"/>
  </hyperlinks>
  <pageMargins left="0.7" right="0.7" top="0.75" bottom="0.75" header="0.3" footer="0.3"/>
  <pageSetup paperSize="3" orientation="portrait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9"/>
  <sheetViews>
    <sheetView showGridLines="0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baseColWidth="10" defaultColWidth="10.85546875" defaultRowHeight="15" x14ac:dyDescent="0.2"/>
  <cols>
    <col min="1" max="1" width="37" style="29" customWidth="1"/>
    <col min="2" max="6" width="9.5703125" style="29" customWidth="1"/>
    <col min="7" max="13" width="9.5703125" style="1" customWidth="1"/>
    <col min="14" max="17" width="10.85546875" style="1" customWidth="1"/>
    <col min="18" max="18" width="12.5703125" style="1" customWidth="1"/>
    <col min="19" max="19" width="13" style="1" customWidth="1"/>
    <col min="20" max="20" width="12.42578125" style="1" customWidth="1"/>
    <col min="21" max="21" width="14.5703125" style="1" customWidth="1"/>
    <col min="22" max="16384" width="10.85546875" style="1"/>
  </cols>
  <sheetData>
    <row r="1" spans="1:22" ht="21" x14ac:dyDescent="0.2">
      <c r="A1" s="73" t="s">
        <v>380</v>
      </c>
      <c r="B1" s="73"/>
      <c r="C1" s="73"/>
      <c r="D1" s="73"/>
      <c r="E1" s="73"/>
      <c r="F1" s="73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spans="1:22" ht="24" customHeight="1" x14ac:dyDescent="0.2">
      <c r="A2" s="65"/>
      <c r="B2" s="65"/>
      <c r="C2" s="65"/>
      <c r="D2" s="65"/>
      <c r="E2" s="65"/>
      <c r="F2" s="65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</row>
    <row r="3" spans="1:22" x14ac:dyDescent="0.2">
      <c r="A3" s="64"/>
      <c r="B3" s="64"/>
      <c r="C3" s="64"/>
      <c r="D3" s="64"/>
      <c r="E3" s="64"/>
      <c r="F3" s="64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</row>
    <row r="4" spans="1:22" ht="15.75" x14ac:dyDescent="0.2">
      <c r="A4" s="33" t="s">
        <v>288</v>
      </c>
      <c r="B4" s="33"/>
      <c r="C4" s="33"/>
      <c r="D4" s="33"/>
      <c r="E4" s="33"/>
      <c r="F4" s="33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</row>
    <row r="5" spans="1:22" ht="25.5" x14ac:dyDescent="0.2">
      <c r="A5" s="75" t="s">
        <v>0</v>
      </c>
      <c r="B5" s="3">
        <v>2007</v>
      </c>
      <c r="C5" s="3">
        <v>2008</v>
      </c>
      <c r="D5" s="3">
        <v>2009</v>
      </c>
      <c r="E5" s="3">
        <v>2010</v>
      </c>
      <c r="F5" s="3">
        <v>2011</v>
      </c>
      <c r="G5" s="3">
        <v>2012</v>
      </c>
      <c r="H5" s="3">
        <v>2013</v>
      </c>
      <c r="I5" s="3">
        <v>2014</v>
      </c>
      <c r="J5" s="3">
        <v>2015</v>
      </c>
      <c r="K5" s="3">
        <v>2016</v>
      </c>
      <c r="L5" s="3">
        <v>2017</v>
      </c>
      <c r="M5" s="3">
        <v>2018</v>
      </c>
      <c r="N5" s="3">
        <v>2019</v>
      </c>
      <c r="O5" s="3">
        <v>2020</v>
      </c>
      <c r="P5" s="3">
        <v>2021</v>
      </c>
      <c r="Q5" s="3">
        <v>2022</v>
      </c>
      <c r="R5" s="12" t="s">
        <v>406</v>
      </c>
      <c r="S5" s="12" t="s">
        <v>407</v>
      </c>
      <c r="T5" s="12" t="s">
        <v>408</v>
      </c>
      <c r="U5" s="12" t="s">
        <v>409</v>
      </c>
    </row>
    <row r="6" spans="1:22" x14ac:dyDescent="0.2">
      <c r="A6" s="4" t="s">
        <v>5</v>
      </c>
      <c r="B6" s="4">
        <v>12670</v>
      </c>
      <c r="C6" s="4">
        <v>19215</v>
      </c>
      <c r="D6" s="4">
        <v>16546</v>
      </c>
      <c r="E6" s="4">
        <v>14048</v>
      </c>
      <c r="F6" s="4">
        <v>22314</v>
      </c>
      <c r="G6" s="4">
        <v>25497</v>
      </c>
      <c r="H6" s="4">
        <v>28183</v>
      </c>
      <c r="I6" s="4">
        <v>27677</v>
      </c>
      <c r="J6" s="4">
        <v>30559</v>
      </c>
      <c r="K6" s="4">
        <v>33787</v>
      </c>
      <c r="L6" s="4">
        <v>32660</v>
      </c>
      <c r="M6" s="4">
        <v>35139</v>
      </c>
      <c r="N6" s="4">
        <v>33528</v>
      </c>
      <c r="O6" s="4">
        <v>23526</v>
      </c>
      <c r="P6" s="4">
        <v>36165</v>
      </c>
      <c r="Q6" s="4">
        <v>37541</v>
      </c>
      <c r="R6" s="86">
        <f>(Q6-H6)/H6</f>
        <v>0.33204414008444805</v>
      </c>
      <c r="S6" s="93">
        <f>(Q6-M6)/M6</f>
        <v>6.8357096104043946E-2</v>
      </c>
      <c r="T6" s="93">
        <f>(Q6-P6)/P6</f>
        <v>3.8047836305820544E-2</v>
      </c>
      <c r="U6" s="95">
        <f>Q6/Q$9</f>
        <v>0.16830755436000897</v>
      </c>
      <c r="V6" s="92"/>
    </row>
    <row r="7" spans="1:22" x14ac:dyDescent="0.2">
      <c r="A7" s="4" t="s">
        <v>6</v>
      </c>
      <c r="B7" s="4">
        <v>17170</v>
      </c>
      <c r="C7" s="4">
        <v>18688</v>
      </c>
      <c r="D7" s="4">
        <v>23637</v>
      </c>
      <c r="E7" s="4">
        <v>23683</v>
      </c>
      <c r="F7" s="4">
        <v>30696</v>
      </c>
      <c r="G7" s="4">
        <v>38129</v>
      </c>
      <c r="H7" s="4">
        <v>47334</v>
      </c>
      <c r="I7" s="4">
        <v>56365</v>
      </c>
      <c r="J7" s="4">
        <v>68225</v>
      </c>
      <c r="K7" s="4">
        <v>73784</v>
      </c>
      <c r="L7" s="4">
        <v>78891</v>
      </c>
      <c r="M7" s="4">
        <v>79155</v>
      </c>
      <c r="N7" s="4">
        <v>74182</v>
      </c>
      <c r="O7" s="4">
        <v>63160</v>
      </c>
      <c r="P7" s="4">
        <v>81527</v>
      </c>
      <c r="Q7" s="4">
        <v>77109</v>
      </c>
      <c r="R7" s="86">
        <f t="shared" ref="R7:R9" si="0">(Q7-H7)/H7</f>
        <v>0.62904043605019644</v>
      </c>
      <c r="S7" s="93">
        <f t="shared" ref="S7:S9" si="1">(Q7-M7)/M7</f>
        <v>-2.5848019708167521E-2</v>
      </c>
      <c r="T7" s="93">
        <f t="shared" ref="T7:T9" si="2">(Q7-P7)/P7</f>
        <v>-5.4190636230941898E-2</v>
      </c>
      <c r="U7" s="95">
        <f t="shared" ref="U7:U9" si="3">Q7/Q$9</f>
        <v>0.34570275722932076</v>
      </c>
    </row>
    <row r="8" spans="1:22" x14ac:dyDescent="0.2">
      <c r="A8" s="4" t="s">
        <v>7</v>
      </c>
      <c r="B8" s="4">
        <v>54958</v>
      </c>
      <c r="C8" s="4">
        <v>58528</v>
      </c>
      <c r="D8" s="4">
        <v>65317</v>
      </c>
      <c r="E8" s="4">
        <v>63940</v>
      </c>
      <c r="F8" s="4">
        <v>64839</v>
      </c>
      <c r="G8" s="4">
        <v>71716</v>
      </c>
      <c r="H8" s="4">
        <v>80983</v>
      </c>
      <c r="I8" s="4">
        <v>87164</v>
      </c>
      <c r="J8" s="4">
        <v>90022</v>
      </c>
      <c r="K8" s="4">
        <v>89489</v>
      </c>
      <c r="L8" s="4">
        <v>93651</v>
      </c>
      <c r="M8" s="4">
        <v>93778</v>
      </c>
      <c r="N8" s="4">
        <v>92378</v>
      </c>
      <c r="O8" s="4">
        <v>72601</v>
      </c>
      <c r="P8" s="4">
        <v>110091</v>
      </c>
      <c r="Q8" s="4">
        <v>108400</v>
      </c>
      <c r="R8" s="86">
        <f t="shared" si="0"/>
        <v>0.33855253571737276</v>
      </c>
      <c r="S8" s="93">
        <f t="shared" si="1"/>
        <v>0.1559214314658022</v>
      </c>
      <c r="T8" s="93">
        <f t="shared" si="2"/>
        <v>-1.5360020346804008E-2</v>
      </c>
      <c r="U8" s="95">
        <f t="shared" si="3"/>
        <v>0.48598968841067025</v>
      </c>
    </row>
    <row r="9" spans="1:22" x14ac:dyDescent="0.2">
      <c r="A9" s="5" t="s">
        <v>4</v>
      </c>
      <c r="B9" s="5">
        <v>84798</v>
      </c>
      <c r="C9" s="5">
        <v>96431</v>
      </c>
      <c r="D9" s="5">
        <v>105500</v>
      </c>
      <c r="E9" s="5">
        <v>101671</v>
      </c>
      <c r="F9" s="5">
        <v>117849</v>
      </c>
      <c r="G9" s="5">
        <v>135342</v>
      </c>
      <c r="H9" s="5">
        <v>156500</v>
      </c>
      <c r="I9" s="5">
        <v>171206</v>
      </c>
      <c r="J9" s="5">
        <v>188806</v>
      </c>
      <c r="K9" s="5">
        <v>197060</v>
      </c>
      <c r="L9" s="5">
        <v>205202</v>
      </c>
      <c r="M9" s="5">
        <v>208072</v>
      </c>
      <c r="N9" s="5">
        <v>200088</v>
      </c>
      <c r="O9" s="5">
        <v>159287</v>
      </c>
      <c r="P9" s="5">
        <v>227783</v>
      </c>
      <c r="Q9" s="5">
        <v>223050</v>
      </c>
      <c r="R9" s="70">
        <f t="shared" si="0"/>
        <v>0.42523961661341853</v>
      </c>
      <c r="S9" s="94">
        <f t="shared" si="1"/>
        <v>7.198469760467531E-2</v>
      </c>
      <c r="T9" s="94">
        <f t="shared" si="2"/>
        <v>-2.0778548004021371E-2</v>
      </c>
      <c r="U9" s="96">
        <f t="shared" si="3"/>
        <v>1</v>
      </c>
    </row>
    <row r="10" spans="1:22" x14ac:dyDescent="0.2"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2"/>
    </row>
    <row r="11" spans="1:22" ht="15.75" x14ac:dyDescent="0.2">
      <c r="A11" s="33" t="s">
        <v>289</v>
      </c>
      <c r="B11" s="33"/>
      <c r="C11" s="33"/>
      <c r="D11" s="33"/>
      <c r="E11" s="33"/>
      <c r="F11" s="33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</row>
    <row r="12" spans="1:22" ht="25.5" x14ac:dyDescent="0.2">
      <c r="A12" s="75" t="s">
        <v>0</v>
      </c>
      <c r="B12" s="3">
        <v>2007</v>
      </c>
      <c r="C12" s="3">
        <v>2008</v>
      </c>
      <c r="D12" s="3">
        <v>2009</v>
      </c>
      <c r="E12" s="3">
        <v>2010</v>
      </c>
      <c r="F12" s="3">
        <v>2011</v>
      </c>
      <c r="G12" s="3">
        <v>2012</v>
      </c>
      <c r="H12" s="3">
        <v>2013</v>
      </c>
      <c r="I12" s="3">
        <v>2014</v>
      </c>
      <c r="J12" s="3">
        <v>2015</v>
      </c>
      <c r="K12" s="3">
        <v>2016</v>
      </c>
      <c r="L12" s="3">
        <v>2017</v>
      </c>
      <c r="M12" s="3">
        <v>2018</v>
      </c>
      <c r="N12" s="3">
        <v>2019</v>
      </c>
      <c r="O12" s="3">
        <v>2020</v>
      </c>
      <c r="P12" s="3">
        <v>2021</v>
      </c>
      <c r="Q12" s="3">
        <v>2022</v>
      </c>
      <c r="R12" s="12" t="s">
        <v>406</v>
      </c>
      <c r="S12" s="12" t="s">
        <v>407</v>
      </c>
      <c r="T12" s="12" t="s">
        <v>408</v>
      </c>
      <c r="U12" s="12" t="s">
        <v>409</v>
      </c>
    </row>
    <row r="13" spans="1:22" x14ac:dyDescent="0.2">
      <c r="A13" s="4" t="s">
        <v>270</v>
      </c>
      <c r="B13" s="4">
        <v>12670</v>
      </c>
      <c r="C13" s="4">
        <v>19215</v>
      </c>
      <c r="D13" s="4">
        <v>16546</v>
      </c>
      <c r="E13" s="4">
        <v>14048</v>
      </c>
      <c r="F13" s="4">
        <v>22314</v>
      </c>
      <c r="G13" s="4">
        <v>25497</v>
      </c>
      <c r="H13" s="4">
        <v>28183</v>
      </c>
      <c r="I13" s="4">
        <v>27677</v>
      </c>
      <c r="J13" s="4">
        <v>30559</v>
      </c>
      <c r="K13" s="4">
        <v>33787</v>
      </c>
      <c r="L13" s="4">
        <v>32660</v>
      </c>
      <c r="M13" s="4">
        <v>35139</v>
      </c>
      <c r="N13" s="4">
        <v>33511</v>
      </c>
      <c r="O13" s="4">
        <v>23444</v>
      </c>
      <c r="P13" s="4">
        <v>35140</v>
      </c>
      <c r="Q13" s="4">
        <v>35996</v>
      </c>
      <c r="R13" s="86">
        <f>(Q13-H13)/H13</f>
        <v>0.27722385835432706</v>
      </c>
      <c r="S13" s="93">
        <f t="shared" ref="S13:S19" si="4">(Q13-M13)/M13</f>
        <v>2.4388855687412846E-2</v>
      </c>
      <c r="T13" s="93">
        <f t="shared" ref="T13:T19" si="5">(Q13-P13)/P13</f>
        <v>2.4359704040978942E-2</v>
      </c>
      <c r="U13" s="95">
        <f>Q13/Q$9</f>
        <v>0.16138085631024435</v>
      </c>
      <c r="V13" s="92"/>
    </row>
    <row r="14" spans="1:22" x14ac:dyDescent="0.2">
      <c r="A14" s="4" t="s">
        <v>271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17</v>
      </c>
      <c r="O14" s="4">
        <v>82</v>
      </c>
      <c r="P14" s="4">
        <v>1025</v>
      </c>
      <c r="Q14" s="4">
        <v>1545</v>
      </c>
      <c r="R14" s="86" t="s">
        <v>416</v>
      </c>
      <c r="S14" s="86" t="s">
        <v>416</v>
      </c>
      <c r="T14" s="93">
        <f t="shared" si="5"/>
        <v>0.50731707317073171</v>
      </c>
      <c r="U14" s="95">
        <f t="shared" ref="U14:U19" si="6">Q14/Q$9</f>
        <v>6.9266980497646267E-3</v>
      </c>
      <c r="V14" s="125"/>
    </row>
    <row r="15" spans="1:22" x14ac:dyDescent="0.2">
      <c r="A15" s="4" t="s">
        <v>6</v>
      </c>
      <c r="B15" s="4">
        <v>17170</v>
      </c>
      <c r="C15" s="4">
        <v>18688</v>
      </c>
      <c r="D15" s="4">
        <v>23637</v>
      </c>
      <c r="E15" s="4">
        <v>23683</v>
      </c>
      <c r="F15" s="4">
        <v>30696</v>
      </c>
      <c r="G15" s="4">
        <v>38129</v>
      </c>
      <c r="H15" s="4">
        <v>47334</v>
      </c>
      <c r="I15" s="4">
        <v>56365</v>
      </c>
      <c r="J15" s="4">
        <v>68225</v>
      </c>
      <c r="K15" s="4">
        <v>73784</v>
      </c>
      <c r="L15" s="4">
        <v>78891</v>
      </c>
      <c r="M15" s="4">
        <v>79155</v>
      </c>
      <c r="N15" s="4">
        <v>74182</v>
      </c>
      <c r="O15" s="4">
        <v>63160</v>
      </c>
      <c r="P15" s="4">
        <v>81527</v>
      </c>
      <c r="Q15" s="4">
        <v>77109</v>
      </c>
      <c r="R15" s="86">
        <f t="shared" ref="R15:R19" si="7">(Q15-H15)/H15</f>
        <v>0.62904043605019644</v>
      </c>
      <c r="S15" s="93">
        <f t="shared" si="4"/>
        <v>-2.5848019708167521E-2</v>
      </c>
      <c r="T15" s="93">
        <f t="shared" si="5"/>
        <v>-5.4190636230941898E-2</v>
      </c>
      <c r="U15" s="95">
        <f t="shared" si="6"/>
        <v>0.34570275722932076</v>
      </c>
    </row>
    <row r="16" spans="1:22" x14ac:dyDescent="0.2">
      <c r="A16" s="28" t="s">
        <v>434</v>
      </c>
      <c r="B16" s="28">
        <v>20835</v>
      </c>
      <c r="C16" s="28">
        <v>20848</v>
      </c>
      <c r="D16" s="28">
        <v>23500</v>
      </c>
      <c r="E16" s="28">
        <v>23147</v>
      </c>
      <c r="F16" s="28">
        <v>21624</v>
      </c>
      <c r="G16" s="4">
        <v>21615</v>
      </c>
      <c r="H16" s="4">
        <v>21805</v>
      </c>
      <c r="I16" s="4">
        <v>22310</v>
      </c>
      <c r="J16" s="4">
        <v>23261</v>
      </c>
      <c r="K16" s="4">
        <v>22450</v>
      </c>
      <c r="L16" s="4">
        <v>24273</v>
      </c>
      <c r="M16" s="28">
        <v>23355</v>
      </c>
      <c r="N16" s="28">
        <v>23595</v>
      </c>
      <c r="O16" s="28">
        <v>19462</v>
      </c>
      <c r="P16" s="28">
        <v>26999</v>
      </c>
      <c r="Q16" s="28">
        <v>28239</v>
      </c>
      <c r="R16" s="86">
        <f t="shared" si="7"/>
        <v>0.29506993808759457</v>
      </c>
      <c r="S16" s="93">
        <f t="shared" si="4"/>
        <v>0.20912010276172127</v>
      </c>
      <c r="T16" s="93">
        <f t="shared" si="5"/>
        <v>4.5927626949146268E-2</v>
      </c>
      <c r="U16" s="95">
        <f t="shared" si="6"/>
        <v>0.12660390047074646</v>
      </c>
    </row>
    <row r="17" spans="1:22" x14ac:dyDescent="0.2">
      <c r="A17" s="28" t="s">
        <v>435</v>
      </c>
      <c r="B17" s="28">
        <v>11378</v>
      </c>
      <c r="C17" s="28">
        <v>11877</v>
      </c>
      <c r="D17" s="28">
        <v>13532</v>
      </c>
      <c r="E17" s="28">
        <v>13044</v>
      </c>
      <c r="F17" s="28">
        <v>12982</v>
      </c>
      <c r="G17" s="4">
        <v>14598</v>
      </c>
      <c r="H17" s="4">
        <v>15841</v>
      </c>
      <c r="I17" s="4">
        <v>16362</v>
      </c>
      <c r="J17" s="4">
        <v>17011</v>
      </c>
      <c r="K17" s="4">
        <v>16409</v>
      </c>
      <c r="L17" s="4">
        <v>18372</v>
      </c>
      <c r="M17" s="28">
        <v>17137</v>
      </c>
      <c r="N17" s="28">
        <v>19227</v>
      </c>
      <c r="O17" s="28">
        <v>17477</v>
      </c>
      <c r="P17" s="28">
        <v>25898</v>
      </c>
      <c r="Q17" s="28">
        <v>26949</v>
      </c>
      <c r="R17" s="86">
        <f t="shared" si="7"/>
        <v>0.70121835742693017</v>
      </c>
      <c r="S17" s="93">
        <f t="shared" si="4"/>
        <v>0.57256229211647314</v>
      </c>
      <c r="T17" s="93">
        <f t="shared" si="5"/>
        <v>4.0582284346281569E-2</v>
      </c>
      <c r="U17" s="95">
        <f t="shared" si="6"/>
        <v>0.12082044384667115</v>
      </c>
    </row>
    <row r="18" spans="1:22" x14ac:dyDescent="0.2">
      <c r="A18" s="28" t="s">
        <v>229</v>
      </c>
      <c r="B18" s="28">
        <v>22745</v>
      </c>
      <c r="C18" s="28">
        <v>25803</v>
      </c>
      <c r="D18" s="28">
        <v>28285</v>
      </c>
      <c r="E18" s="28">
        <v>27749</v>
      </c>
      <c r="F18" s="28">
        <v>30233</v>
      </c>
      <c r="G18" s="4">
        <v>35503</v>
      </c>
      <c r="H18" s="4">
        <v>43337</v>
      </c>
      <c r="I18" s="4">
        <v>48492</v>
      </c>
      <c r="J18" s="4">
        <v>49750</v>
      </c>
      <c r="K18" s="4">
        <v>50630</v>
      </c>
      <c r="L18" s="4">
        <v>51006</v>
      </c>
      <c r="M18" s="28">
        <v>53286</v>
      </c>
      <c r="N18" s="28">
        <v>49556</v>
      </c>
      <c r="O18" s="28">
        <v>35662</v>
      </c>
      <c r="P18" s="28">
        <v>57194</v>
      </c>
      <c r="Q18" s="28">
        <v>53212</v>
      </c>
      <c r="R18" s="86">
        <f t="shared" si="7"/>
        <v>0.22786533447169854</v>
      </c>
      <c r="S18" s="93">
        <f t="shared" si="4"/>
        <v>-1.3887325000938333E-3</v>
      </c>
      <c r="T18" s="93">
        <f t="shared" si="5"/>
        <v>-6.9622687694513408E-2</v>
      </c>
      <c r="U18" s="95">
        <f t="shared" si="6"/>
        <v>0.23856534409325264</v>
      </c>
    </row>
    <row r="19" spans="1:22" x14ac:dyDescent="0.2">
      <c r="A19" s="5" t="s">
        <v>4</v>
      </c>
      <c r="B19" s="5">
        <v>84798</v>
      </c>
      <c r="C19" s="5">
        <v>96431</v>
      </c>
      <c r="D19" s="5">
        <v>105500</v>
      </c>
      <c r="E19" s="5">
        <v>101671</v>
      </c>
      <c r="F19" s="5">
        <v>117849</v>
      </c>
      <c r="G19" s="5">
        <v>135342</v>
      </c>
      <c r="H19" s="5">
        <v>156500</v>
      </c>
      <c r="I19" s="5">
        <v>171206</v>
      </c>
      <c r="J19" s="5">
        <v>188806</v>
      </c>
      <c r="K19" s="5">
        <v>197060</v>
      </c>
      <c r="L19" s="5">
        <v>205202</v>
      </c>
      <c r="M19" s="5">
        <v>208072</v>
      </c>
      <c r="N19" s="5">
        <v>200088</v>
      </c>
      <c r="O19" s="5">
        <v>159287</v>
      </c>
      <c r="P19" s="5">
        <v>227783</v>
      </c>
      <c r="Q19" s="5">
        <v>223050</v>
      </c>
      <c r="R19" s="70">
        <f t="shared" si="7"/>
        <v>0.42523961661341853</v>
      </c>
      <c r="S19" s="94">
        <f t="shared" si="4"/>
        <v>7.198469760467531E-2</v>
      </c>
      <c r="T19" s="94">
        <f t="shared" si="5"/>
        <v>-2.0778548004021371E-2</v>
      </c>
      <c r="U19" s="96">
        <f t="shared" si="6"/>
        <v>1</v>
      </c>
    </row>
    <row r="20" spans="1:22" x14ac:dyDescent="0.2">
      <c r="A20" s="118" t="s">
        <v>436</v>
      </c>
      <c r="G20" s="29"/>
      <c r="H20" s="29"/>
      <c r="I20" s="29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29"/>
    </row>
    <row r="21" spans="1:22" x14ac:dyDescent="0.2">
      <c r="G21" s="29"/>
      <c r="H21" s="29"/>
      <c r="I21" s="29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29"/>
    </row>
    <row r="22" spans="1:22" ht="15.75" x14ac:dyDescent="0.2">
      <c r="A22" s="33" t="s">
        <v>290</v>
      </c>
      <c r="B22" s="33"/>
      <c r="C22" s="33"/>
      <c r="D22" s="33"/>
      <c r="E22" s="33"/>
      <c r="F22" s="33"/>
      <c r="G22" s="32"/>
      <c r="H22" s="32"/>
      <c r="I22" s="32"/>
      <c r="J22" s="100"/>
      <c r="K22" s="100"/>
      <c r="L22" s="100"/>
      <c r="M22" s="100"/>
      <c r="N22" s="100"/>
      <c r="O22" s="100"/>
      <c r="P22" s="100"/>
      <c r="Q22" s="100"/>
      <c r="R22" s="32"/>
      <c r="S22" s="32"/>
      <c r="T22" s="32"/>
      <c r="U22" s="32"/>
    </row>
    <row r="23" spans="1:22" ht="25.5" x14ac:dyDescent="0.2">
      <c r="A23" s="75" t="s">
        <v>35</v>
      </c>
      <c r="B23" s="3">
        <v>2007</v>
      </c>
      <c r="C23" s="3">
        <v>2008</v>
      </c>
      <c r="D23" s="3">
        <v>2009</v>
      </c>
      <c r="E23" s="3">
        <v>2010</v>
      </c>
      <c r="F23" s="3">
        <v>2011</v>
      </c>
      <c r="G23" s="3">
        <v>2012</v>
      </c>
      <c r="H23" s="3">
        <v>2013</v>
      </c>
      <c r="I23" s="3">
        <v>2014</v>
      </c>
      <c r="J23" s="3">
        <v>2015</v>
      </c>
      <c r="K23" s="3">
        <v>2016</v>
      </c>
      <c r="L23" s="3">
        <v>2017</v>
      </c>
      <c r="M23" s="3">
        <v>2018</v>
      </c>
      <c r="N23" s="3">
        <v>2019</v>
      </c>
      <c r="O23" s="3">
        <v>2020</v>
      </c>
      <c r="P23" s="3">
        <v>2021</v>
      </c>
      <c r="Q23" s="3">
        <v>2022</v>
      </c>
      <c r="R23" s="12" t="s">
        <v>406</v>
      </c>
      <c r="S23" s="12" t="s">
        <v>407</v>
      </c>
      <c r="T23" s="12" t="s">
        <v>408</v>
      </c>
      <c r="U23" s="12" t="s">
        <v>409</v>
      </c>
    </row>
    <row r="24" spans="1:22" x14ac:dyDescent="0.2">
      <c r="A24" s="4" t="s">
        <v>36</v>
      </c>
      <c r="B24" s="4">
        <v>22337</v>
      </c>
      <c r="C24" s="4">
        <v>31723</v>
      </c>
      <c r="D24" s="4">
        <v>32944</v>
      </c>
      <c r="E24" s="4">
        <v>30528</v>
      </c>
      <c r="F24" s="4">
        <v>42756</v>
      </c>
      <c r="G24" s="4">
        <v>51009</v>
      </c>
      <c r="H24" s="4">
        <v>58425</v>
      </c>
      <c r="I24" s="4">
        <v>63878</v>
      </c>
      <c r="J24" s="4">
        <v>74892</v>
      </c>
      <c r="K24" s="4">
        <v>82175</v>
      </c>
      <c r="L24" s="4">
        <v>83160</v>
      </c>
      <c r="M24" s="4">
        <v>85393</v>
      </c>
      <c r="N24" s="4">
        <v>81142</v>
      </c>
      <c r="O24" s="4">
        <v>63657</v>
      </c>
      <c r="P24" s="4">
        <v>86269</v>
      </c>
      <c r="Q24" s="4">
        <v>80575</v>
      </c>
      <c r="R24" s="86">
        <f>(Q24-H24)/H24</f>
        <v>0.37911852802738555</v>
      </c>
      <c r="S24" s="93">
        <f t="shared" ref="S24:S28" si="8">(Q24-M24)/M24</f>
        <v>-5.6421486538709265E-2</v>
      </c>
      <c r="T24" s="93">
        <f t="shared" ref="T24:T28" si="9">(Q24-P24)/P24</f>
        <v>-6.6002851545746449E-2</v>
      </c>
      <c r="U24" s="95">
        <f t="shared" ref="U24:U28" si="10">Q24/Q$9</f>
        <v>0.36124187401927821</v>
      </c>
    </row>
    <row r="25" spans="1:22" x14ac:dyDescent="0.2">
      <c r="A25" s="28" t="s">
        <v>205</v>
      </c>
      <c r="B25" s="28">
        <v>16658</v>
      </c>
      <c r="C25" s="28">
        <v>16218</v>
      </c>
      <c r="D25" s="28">
        <v>17959</v>
      </c>
      <c r="E25" s="28">
        <v>16789</v>
      </c>
      <c r="F25" s="28">
        <v>20226</v>
      </c>
      <c r="G25" s="4">
        <v>23818</v>
      </c>
      <c r="H25" s="4">
        <v>29857</v>
      </c>
      <c r="I25" s="4">
        <v>33746</v>
      </c>
      <c r="J25" s="4">
        <v>39105</v>
      </c>
      <c r="K25" s="4">
        <v>40135</v>
      </c>
      <c r="L25" s="4">
        <v>43203</v>
      </c>
      <c r="M25" s="4">
        <v>43934</v>
      </c>
      <c r="N25" s="4">
        <v>39438</v>
      </c>
      <c r="O25" s="4">
        <v>34098</v>
      </c>
      <c r="P25" s="4">
        <v>44508</v>
      </c>
      <c r="Q25" s="4">
        <v>45880</v>
      </c>
      <c r="R25" s="86">
        <f t="shared" ref="R25:R28" si="11">(Q25-H25)/H25</f>
        <v>0.53665807013430689</v>
      </c>
      <c r="S25" s="93">
        <f t="shared" si="8"/>
        <v>4.4293713297218554E-2</v>
      </c>
      <c r="T25" s="93">
        <f t="shared" si="9"/>
        <v>3.0825918935921633E-2</v>
      </c>
      <c r="U25" s="95">
        <f t="shared" si="10"/>
        <v>0.20569379062990362</v>
      </c>
    </row>
    <row r="26" spans="1:22" x14ac:dyDescent="0.2">
      <c r="A26" s="4" t="s">
        <v>38</v>
      </c>
      <c r="B26" s="4">
        <v>1459</v>
      </c>
      <c r="C26" s="4">
        <v>1073</v>
      </c>
      <c r="D26" s="4">
        <v>1198</v>
      </c>
      <c r="E26" s="4">
        <v>1370</v>
      </c>
      <c r="F26" s="4">
        <v>1285</v>
      </c>
      <c r="G26" s="4">
        <v>1368</v>
      </c>
      <c r="H26" s="4">
        <v>1390</v>
      </c>
      <c r="I26" s="4">
        <v>1434</v>
      </c>
      <c r="J26" s="4">
        <v>1532</v>
      </c>
      <c r="K26" s="4">
        <v>1868</v>
      </c>
      <c r="L26" s="4">
        <v>2365</v>
      </c>
      <c r="M26" s="4">
        <v>2685</v>
      </c>
      <c r="N26" s="4">
        <v>2578</v>
      </c>
      <c r="O26" s="4">
        <v>2414</v>
      </c>
      <c r="P26" s="4">
        <v>3297</v>
      </c>
      <c r="Q26" s="4">
        <v>3526</v>
      </c>
      <c r="R26" s="86">
        <f t="shared" si="11"/>
        <v>1.5366906474820143</v>
      </c>
      <c r="S26" s="93">
        <f t="shared" si="8"/>
        <v>0.31322160148975792</v>
      </c>
      <c r="T26" s="93">
        <f t="shared" si="9"/>
        <v>6.9457082195935702E-2</v>
      </c>
      <c r="U26" s="95">
        <f t="shared" si="10"/>
        <v>1.5808114772472539E-2</v>
      </c>
    </row>
    <row r="27" spans="1:22" x14ac:dyDescent="0.2">
      <c r="A27" s="28" t="s">
        <v>206</v>
      </c>
      <c r="B27" s="28">
        <v>44344</v>
      </c>
      <c r="C27" s="28">
        <v>47417</v>
      </c>
      <c r="D27" s="28">
        <v>53399</v>
      </c>
      <c r="E27" s="28">
        <v>52984</v>
      </c>
      <c r="F27" s="28">
        <v>53582</v>
      </c>
      <c r="G27" s="4">
        <v>59147</v>
      </c>
      <c r="H27" s="4">
        <v>66828</v>
      </c>
      <c r="I27" s="4">
        <v>72148</v>
      </c>
      <c r="J27" s="4">
        <v>73277</v>
      </c>
      <c r="K27" s="4">
        <v>72882</v>
      </c>
      <c r="L27" s="4">
        <v>76474</v>
      </c>
      <c r="M27" s="4">
        <v>76060</v>
      </c>
      <c r="N27" s="4">
        <v>76930</v>
      </c>
      <c r="O27" s="4">
        <v>59118</v>
      </c>
      <c r="P27" s="4">
        <v>93709</v>
      </c>
      <c r="Q27" s="4">
        <v>93069</v>
      </c>
      <c r="R27" s="86">
        <f t="shared" si="11"/>
        <v>0.39266475130184952</v>
      </c>
      <c r="S27" s="93">
        <f t="shared" si="8"/>
        <v>0.22362608466999737</v>
      </c>
      <c r="T27" s="93">
        <f t="shared" si="9"/>
        <v>-6.8296535017981193E-3</v>
      </c>
      <c r="U27" s="95">
        <f t="shared" si="10"/>
        <v>0.41725622057834566</v>
      </c>
    </row>
    <row r="28" spans="1:22" x14ac:dyDescent="0.2">
      <c r="A28" s="5" t="s">
        <v>4</v>
      </c>
      <c r="B28" s="5">
        <v>84798</v>
      </c>
      <c r="C28" s="5">
        <v>96431</v>
      </c>
      <c r="D28" s="5">
        <v>105500</v>
      </c>
      <c r="E28" s="5">
        <v>101671</v>
      </c>
      <c r="F28" s="5">
        <v>117849</v>
      </c>
      <c r="G28" s="5">
        <v>135342</v>
      </c>
      <c r="H28" s="5">
        <v>156500</v>
      </c>
      <c r="I28" s="5">
        <v>171206</v>
      </c>
      <c r="J28" s="5">
        <v>188806</v>
      </c>
      <c r="K28" s="5">
        <v>197060</v>
      </c>
      <c r="L28" s="5">
        <v>205202</v>
      </c>
      <c r="M28" s="5">
        <v>208072</v>
      </c>
      <c r="N28" s="5">
        <v>200088</v>
      </c>
      <c r="O28" s="5">
        <v>159287</v>
      </c>
      <c r="P28" s="5">
        <v>227783</v>
      </c>
      <c r="Q28" s="5">
        <v>223050</v>
      </c>
      <c r="R28" s="70">
        <f t="shared" si="11"/>
        <v>0.42523961661341853</v>
      </c>
      <c r="S28" s="94">
        <f t="shared" si="8"/>
        <v>7.198469760467531E-2</v>
      </c>
      <c r="T28" s="94">
        <f t="shared" si="9"/>
        <v>-2.0778548004021371E-2</v>
      </c>
      <c r="U28" s="96">
        <f t="shared" si="10"/>
        <v>1</v>
      </c>
    </row>
    <row r="29" spans="1:22" x14ac:dyDescent="0.2">
      <c r="A29" s="64"/>
      <c r="B29" s="64"/>
      <c r="C29" s="64"/>
      <c r="D29" s="64"/>
      <c r="E29" s="64"/>
      <c r="F29" s="6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47"/>
      <c r="S29" s="137"/>
      <c r="T29" s="137"/>
      <c r="U29" s="32"/>
    </row>
    <row r="30" spans="1:22" ht="15.75" x14ac:dyDescent="0.2">
      <c r="A30" s="33" t="s">
        <v>291</v>
      </c>
      <c r="B30" s="33"/>
      <c r="C30" s="33"/>
      <c r="D30" s="33"/>
      <c r="E30" s="33"/>
      <c r="F30" s="33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</row>
    <row r="31" spans="1:22" ht="25.5" x14ac:dyDescent="0.2">
      <c r="A31" s="75" t="s">
        <v>35</v>
      </c>
      <c r="B31" s="3">
        <v>2007</v>
      </c>
      <c r="C31" s="3">
        <v>2008</v>
      </c>
      <c r="D31" s="3">
        <v>2009</v>
      </c>
      <c r="E31" s="3">
        <v>2010</v>
      </c>
      <c r="F31" s="3">
        <v>2011</v>
      </c>
      <c r="G31" s="3">
        <v>2012</v>
      </c>
      <c r="H31" s="3">
        <v>2013</v>
      </c>
      <c r="I31" s="3">
        <v>2014</v>
      </c>
      <c r="J31" s="3">
        <v>2015</v>
      </c>
      <c r="K31" s="3">
        <v>2016</v>
      </c>
      <c r="L31" s="3">
        <v>2017</v>
      </c>
      <c r="M31" s="3">
        <v>2018</v>
      </c>
      <c r="N31" s="3">
        <v>2019</v>
      </c>
      <c r="O31" s="3">
        <v>2020</v>
      </c>
      <c r="P31" s="3">
        <v>2021</v>
      </c>
      <c r="Q31" s="3">
        <v>2022</v>
      </c>
      <c r="R31" s="12" t="s">
        <v>406</v>
      </c>
      <c r="S31" s="12" t="s">
        <v>407</v>
      </c>
      <c r="T31" s="12" t="s">
        <v>408</v>
      </c>
      <c r="U31" s="12" t="s">
        <v>409</v>
      </c>
    </row>
    <row r="32" spans="1:22" x14ac:dyDescent="0.2">
      <c r="A32" s="28" t="s">
        <v>286</v>
      </c>
      <c r="B32" s="4">
        <v>38995</v>
      </c>
      <c r="C32" s="4">
        <v>47941</v>
      </c>
      <c r="D32" s="4">
        <v>50903</v>
      </c>
      <c r="E32" s="4">
        <v>47317</v>
      </c>
      <c r="F32" s="4">
        <v>62982</v>
      </c>
      <c r="G32" s="4">
        <v>74827</v>
      </c>
      <c r="H32" s="4">
        <v>88282</v>
      </c>
      <c r="I32" s="4">
        <v>97624</v>
      </c>
      <c r="J32" s="4">
        <v>113997</v>
      </c>
      <c r="K32" s="4">
        <v>122310</v>
      </c>
      <c r="L32" s="4">
        <v>126363</v>
      </c>
      <c r="M32" s="4">
        <v>129327</v>
      </c>
      <c r="N32" s="4">
        <v>120580</v>
      </c>
      <c r="O32" s="4">
        <v>97755</v>
      </c>
      <c r="P32" s="4">
        <v>130777</v>
      </c>
      <c r="Q32" s="4">
        <v>126455</v>
      </c>
      <c r="R32" s="86">
        <f>(Q32-H32)/H32</f>
        <v>0.43239845042024422</v>
      </c>
      <c r="S32" s="93">
        <f>(Q32-M32)/M32</f>
        <v>-2.2207273036566222E-2</v>
      </c>
      <c r="T32" s="93">
        <f t="shared" ref="T32:T34" si="12">(Q32-P32)/P32</f>
        <v>-3.3048624758176132E-2</v>
      </c>
      <c r="U32" s="95">
        <f t="shared" ref="U32:U34" si="13">Q32/Q$9</f>
        <v>0.56693566464918177</v>
      </c>
    </row>
    <row r="33" spans="1:21" x14ac:dyDescent="0.2">
      <c r="A33" s="4" t="s">
        <v>46</v>
      </c>
      <c r="B33" s="4">
        <v>45803</v>
      </c>
      <c r="C33" s="4">
        <v>48490</v>
      </c>
      <c r="D33" s="4">
        <v>54597</v>
      </c>
      <c r="E33" s="4">
        <v>54354</v>
      </c>
      <c r="F33" s="4">
        <v>54867</v>
      </c>
      <c r="G33" s="4">
        <v>60515</v>
      </c>
      <c r="H33" s="4">
        <v>68218</v>
      </c>
      <c r="I33" s="4">
        <v>73582</v>
      </c>
      <c r="J33" s="4">
        <v>74809</v>
      </c>
      <c r="K33" s="4">
        <v>74750</v>
      </c>
      <c r="L33" s="4">
        <v>78839</v>
      </c>
      <c r="M33" s="4">
        <v>78745</v>
      </c>
      <c r="N33" s="4">
        <v>79508</v>
      </c>
      <c r="O33" s="4">
        <v>61532</v>
      </c>
      <c r="P33" s="4">
        <v>97006</v>
      </c>
      <c r="Q33" s="4">
        <v>96595</v>
      </c>
      <c r="R33" s="86">
        <f t="shared" ref="R33:R34" si="14">(Q33-H33)/H33</f>
        <v>0.41597525579759009</v>
      </c>
      <c r="S33" s="93">
        <f t="shared" ref="S33:S34" si="15">(Q33-M33)/M33</f>
        <v>0.22668105911486444</v>
      </c>
      <c r="T33" s="93">
        <f t="shared" si="12"/>
        <v>-4.2368513287837865E-3</v>
      </c>
      <c r="U33" s="95">
        <f t="shared" si="13"/>
        <v>0.43306433535081817</v>
      </c>
    </row>
    <row r="34" spans="1:21" x14ac:dyDescent="0.2">
      <c r="A34" s="5" t="s">
        <v>4</v>
      </c>
      <c r="B34" s="5">
        <v>84798</v>
      </c>
      <c r="C34" s="5">
        <v>96431</v>
      </c>
      <c r="D34" s="5">
        <v>105500</v>
      </c>
      <c r="E34" s="5">
        <v>101671</v>
      </c>
      <c r="F34" s="5">
        <v>117849</v>
      </c>
      <c r="G34" s="5">
        <v>135342</v>
      </c>
      <c r="H34" s="5">
        <v>156500</v>
      </c>
      <c r="I34" s="5">
        <v>171206</v>
      </c>
      <c r="J34" s="5">
        <v>188806</v>
      </c>
      <c r="K34" s="5">
        <v>197060</v>
      </c>
      <c r="L34" s="5">
        <v>205202</v>
      </c>
      <c r="M34" s="5">
        <v>208072</v>
      </c>
      <c r="N34" s="5">
        <v>200088</v>
      </c>
      <c r="O34" s="5">
        <v>159287</v>
      </c>
      <c r="P34" s="5">
        <v>227783</v>
      </c>
      <c r="Q34" s="5">
        <v>223050</v>
      </c>
      <c r="R34" s="70">
        <f t="shared" si="14"/>
        <v>0.42523961661341853</v>
      </c>
      <c r="S34" s="94">
        <f t="shared" si="15"/>
        <v>7.198469760467531E-2</v>
      </c>
      <c r="T34" s="94">
        <f t="shared" si="12"/>
        <v>-2.0778548004021371E-2</v>
      </c>
      <c r="U34" s="96">
        <f t="shared" si="13"/>
        <v>1</v>
      </c>
    </row>
    <row r="35" spans="1:21" x14ac:dyDescent="0.2">
      <c r="A35" s="63" t="s">
        <v>269</v>
      </c>
      <c r="B35" s="63"/>
      <c r="C35" s="63"/>
      <c r="D35" s="63"/>
      <c r="E35" s="63"/>
      <c r="F35" s="63"/>
      <c r="G35" s="32"/>
      <c r="H35" s="32"/>
      <c r="I35" s="32"/>
      <c r="J35" s="105"/>
      <c r="K35" s="105"/>
      <c r="L35" s="105"/>
      <c r="M35" s="105"/>
      <c r="N35" s="105"/>
      <c r="O35" s="105"/>
      <c r="P35" s="105"/>
      <c r="Q35" s="105"/>
      <c r="R35" s="104"/>
      <c r="S35" s="32"/>
      <c r="T35" s="32"/>
      <c r="U35" s="32"/>
    </row>
    <row r="36" spans="1:21" x14ac:dyDescent="0.2">
      <c r="A36" s="63" t="s">
        <v>231</v>
      </c>
      <c r="B36" s="63"/>
      <c r="C36" s="63"/>
      <c r="D36" s="63"/>
      <c r="E36" s="63"/>
      <c r="F36" s="63"/>
      <c r="G36" s="32"/>
      <c r="H36" s="32"/>
      <c r="I36" s="32"/>
      <c r="J36" s="105"/>
      <c r="K36" s="105"/>
      <c r="L36" s="105"/>
      <c r="M36" s="105"/>
      <c r="N36" s="105"/>
      <c r="O36" s="105"/>
      <c r="P36" s="105"/>
      <c r="Q36" s="105"/>
      <c r="R36" s="104"/>
      <c r="S36" s="32"/>
      <c r="T36" s="32"/>
      <c r="U36" s="32"/>
    </row>
    <row r="37" spans="1:21" x14ac:dyDescent="0.2">
      <c r="A37" s="64"/>
      <c r="B37" s="64"/>
      <c r="C37" s="64"/>
      <c r="D37" s="64"/>
      <c r="E37" s="64"/>
      <c r="F37" s="64"/>
      <c r="G37" s="32"/>
      <c r="H37" s="32"/>
      <c r="I37" s="32"/>
      <c r="J37" s="105"/>
      <c r="K37" s="105"/>
      <c r="L37" s="105"/>
      <c r="M37" s="105"/>
      <c r="N37" s="105"/>
      <c r="O37" s="105"/>
      <c r="P37" s="105"/>
      <c r="Q37" s="105"/>
      <c r="R37" s="32"/>
      <c r="S37" s="32"/>
      <c r="T37" s="32"/>
      <c r="U37" s="32"/>
    </row>
    <row r="38" spans="1:21" ht="15.75" x14ac:dyDescent="0.2">
      <c r="A38" s="33" t="s">
        <v>292</v>
      </c>
      <c r="B38" s="33"/>
      <c r="C38" s="33"/>
      <c r="D38" s="33"/>
      <c r="E38" s="33"/>
      <c r="F38" s="33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</row>
    <row r="39" spans="1:21" ht="25.5" x14ac:dyDescent="0.2">
      <c r="A39" s="75" t="s">
        <v>47</v>
      </c>
      <c r="B39" s="3">
        <v>2007</v>
      </c>
      <c r="C39" s="3">
        <v>2008</v>
      </c>
      <c r="D39" s="3">
        <v>2009</v>
      </c>
      <c r="E39" s="3">
        <v>2010</v>
      </c>
      <c r="F39" s="3">
        <v>2011</v>
      </c>
      <c r="G39" s="3">
        <v>2012</v>
      </c>
      <c r="H39" s="3">
        <v>2013</v>
      </c>
      <c r="I39" s="3">
        <v>2014</v>
      </c>
      <c r="J39" s="3">
        <v>2015</v>
      </c>
      <c r="K39" s="3">
        <v>2016</v>
      </c>
      <c r="L39" s="3">
        <v>2017</v>
      </c>
      <c r="M39" s="3">
        <v>2018</v>
      </c>
      <c r="N39" s="3">
        <v>2019</v>
      </c>
      <c r="O39" s="3">
        <v>2020</v>
      </c>
      <c r="P39" s="3">
        <v>2021</v>
      </c>
      <c r="Q39" s="3">
        <v>2022</v>
      </c>
      <c r="R39" s="12" t="s">
        <v>406</v>
      </c>
      <c r="S39" s="12" t="s">
        <v>407</v>
      </c>
      <c r="T39" s="12" t="s">
        <v>408</v>
      </c>
      <c r="U39" s="12" t="s">
        <v>409</v>
      </c>
    </row>
    <row r="40" spans="1:21" s="11" customFormat="1" x14ac:dyDescent="0.2">
      <c r="A40" s="5" t="s">
        <v>5</v>
      </c>
      <c r="B40" s="5">
        <v>12670</v>
      </c>
      <c r="C40" s="5">
        <v>19215</v>
      </c>
      <c r="D40" s="5">
        <v>16546</v>
      </c>
      <c r="E40" s="5">
        <v>14048</v>
      </c>
      <c r="F40" s="5">
        <v>22314</v>
      </c>
      <c r="G40" s="21">
        <v>25497</v>
      </c>
      <c r="H40" s="21">
        <v>28183</v>
      </c>
      <c r="I40" s="21">
        <v>27677</v>
      </c>
      <c r="J40" s="21">
        <v>30559</v>
      </c>
      <c r="K40" s="21">
        <v>33787</v>
      </c>
      <c r="L40" s="21">
        <v>32660</v>
      </c>
      <c r="M40" s="21">
        <v>35139</v>
      </c>
      <c r="N40" s="21">
        <v>33528</v>
      </c>
      <c r="O40" s="21">
        <v>23526</v>
      </c>
      <c r="P40" s="21">
        <v>36165</v>
      </c>
      <c r="Q40" s="21">
        <v>37541</v>
      </c>
      <c r="R40" s="70">
        <f t="shared" ref="R40:R50" si="16">(Q40-H40)/H40</f>
        <v>0.33204414008444805</v>
      </c>
      <c r="S40" s="94">
        <f t="shared" ref="S40:S50" si="17">(Q40-M40)/M40</f>
        <v>6.8357096104043946E-2</v>
      </c>
      <c r="T40" s="94">
        <f t="shared" ref="T40:T50" si="18">(Q40-P40)/P40</f>
        <v>3.8047836305820544E-2</v>
      </c>
      <c r="U40" s="96">
        <f t="shared" ref="U40:U50" si="19">Q40/Q$9</f>
        <v>0.16830755436000897</v>
      </c>
    </row>
    <row r="41" spans="1:21" x14ac:dyDescent="0.2">
      <c r="A41" s="72" t="s">
        <v>36</v>
      </c>
      <c r="B41" s="72">
        <v>12670</v>
      </c>
      <c r="C41" s="72">
        <v>19215</v>
      </c>
      <c r="D41" s="72">
        <v>16546</v>
      </c>
      <c r="E41" s="72">
        <v>14048</v>
      </c>
      <c r="F41" s="72">
        <v>22314</v>
      </c>
      <c r="G41" s="4">
        <v>25497</v>
      </c>
      <c r="H41" s="4">
        <v>28183</v>
      </c>
      <c r="I41" s="4">
        <v>27677</v>
      </c>
      <c r="J41" s="4">
        <v>30559</v>
      </c>
      <c r="K41" s="4">
        <v>33787</v>
      </c>
      <c r="L41" s="4">
        <v>32660</v>
      </c>
      <c r="M41" s="4">
        <v>35139</v>
      </c>
      <c r="N41" s="4">
        <v>33528</v>
      </c>
      <c r="O41" s="4">
        <v>23526</v>
      </c>
      <c r="P41" s="4">
        <v>36165</v>
      </c>
      <c r="Q41" s="4">
        <v>37541</v>
      </c>
      <c r="R41" s="86">
        <f t="shared" si="16"/>
        <v>0.33204414008444805</v>
      </c>
      <c r="S41" s="93">
        <f t="shared" si="17"/>
        <v>6.8357096104043946E-2</v>
      </c>
      <c r="T41" s="93">
        <f t="shared" si="18"/>
        <v>3.8047836305820544E-2</v>
      </c>
      <c r="U41" s="95">
        <f t="shared" si="19"/>
        <v>0.16830755436000897</v>
      </c>
    </row>
    <row r="42" spans="1:21" s="11" customFormat="1" x14ac:dyDescent="0.2">
      <c r="A42" s="5" t="s">
        <v>6</v>
      </c>
      <c r="B42" s="5">
        <v>17170</v>
      </c>
      <c r="C42" s="5">
        <v>18688</v>
      </c>
      <c r="D42" s="5">
        <v>23637</v>
      </c>
      <c r="E42" s="5">
        <v>23683</v>
      </c>
      <c r="F42" s="5">
        <v>30696</v>
      </c>
      <c r="G42" s="21">
        <v>38129</v>
      </c>
      <c r="H42" s="21">
        <v>47334</v>
      </c>
      <c r="I42" s="21">
        <v>56365</v>
      </c>
      <c r="J42" s="21">
        <v>68225</v>
      </c>
      <c r="K42" s="21">
        <v>73784</v>
      </c>
      <c r="L42" s="21">
        <v>78891</v>
      </c>
      <c r="M42" s="21">
        <v>79155</v>
      </c>
      <c r="N42" s="21">
        <v>74182</v>
      </c>
      <c r="O42" s="21">
        <v>63160</v>
      </c>
      <c r="P42" s="21">
        <v>81527</v>
      </c>
      <c r="Q42" s="21">
        <v>77109</v>
      </c>
      <c r="R42" s="70">
        <f t="shared" si="16"/>
        <v>0.62904043605019644</v>
      </c>
      <c r="S42" s="94">
        <f t="shared" si="17"/>
        <v>-2.5848019708167521E-2</v>
      </c>
      <c r="T42" s="94">
        <f t="shared" si="18"/>
        <v>-5.4190636230941898E-2</v>
      </c>
      <c r="U42" s="96">
        <f t="shared" si="19"/>
        <v>0.34570275722932076</v>
      </c>
    </row>
    <row r="43" spans="1:21" x14ac:dyDescent="0.2">
      <c r="A43" s="72" t="s">
        <v>36</v>
      </c>
      <c r="B43" s="72">
        <v>6885</v>
      </c>
      <c r="C43" s="72">
        <v>9186</v>
      </c>
      <c r="D43" s="72">
        <v>12112</v>
      </c>
      <c r="E43" s="72">
        <v>12512</v>
      </c>
      <c r="F43" s="72">
        <v>16762</v>
      </c>
      <c r="G43" s="16">
        <v>21042</v>
      </c>
      <c r="H43" s="16">
        <v>24988</v>
      </c>
      <c r="I43" s="16">
        <v>30750</v>
      </c>
      <c r="J43" s="16">
        <v>37902</v>
      </c>
      <c r="K43" s="16">
        <v>41363</v>
      </c>
      <c r="L43" s="16">
        <v>43493</v>
      </c>
      <c r="M43" s="16">
        <v>43121</v>
      </c>
      <c r="N43" s="16">
        <v>40999</v>
      </c>
      <c r="O43" s="16">
        <v>34557</v>
      </c>
      <c r="P43" s="16">
        <v>43369</v>
      </c>
      <c r="Q43" s="16">
        <v>36881</v>
      </c>
      <c r="R43" s="86">
        <f t="shared" si="16"/>
        <v>0.47594845525852408</v>
      </c>
      <c r="S43" s="93">
        <f t="shared" si="17"/>
        <v>-0.14470907446487791</v>
      </c>
      <c r="T43" s="93">
        <f t="shared" si="18"/>
        <v>-0.14959994466093293</v>
      </c>
      <c r="U43" s="95">
        <f t="shared" si="19"/>
        <v>0.16534857655234253</v>
      </c>
    </row>
    <row r="44" spans="1:21" x14ac:dyDescent="0.2">
      <c r="A44" s="72" t="s">
        <v>37</v>
      </c>
      <c r="B44" s="72">
        <v>10285</v>
      </c>
      <c r="C44" s="72">
        <v>9502</v>
      </c>
      <c r="D44" s="72">
        <v>11525</v>
      </c>
      <c r="E44" s="72">
        <v>11171</v>
      </c>
      <c r="F44" s="72">
        <v>13934</v>
      </c>
      <c r="G44" s="16">
        <v>17087</v>
      </c>
      <c r="H44" s="16">
        <v>22346</v>
      </c>
      <c r="I44" s="16">
        <v>25615</v>
      </c>
      <c r="J44" s="16">
        <v>30323</v>
      </c>
      <c r="K44" s="16">
        <v>32421</v>
      </c>
      <c r="L44" s="16">
        <v>35398</v>
      </c>
      <c r="M44" s="16">
        <v>36034</v>
      </c>
      <c r="N44" s="16">
        <v>33183</v>
      </c>
      <c r="O44" s="16">
        <v>28603</v>
      </c>
      <c r="P44" s="16">
        <v>38158</v>
      </c>
      <c r="Q44" s="16">
        <v>40228</v>
      </c>
      <c r="R44" s="86">
        <f t="shared" si="16"/>
        <v>0.80023270383961331</v>
      </c>
      <c r="S44" s="93">
        <f t="shared" si="17"/>
        <v>0.11639007603929621</v>
      </c>
      <c r="T44" s="93">
        <f t="shared" si="18"/>
        <v>5.4248126212065623E-2</v>
      </c>
      <c r="U44" s="95">
        <f t="shared" si="19"/>
        <v>0.18035418067697825</v>
      </c>
    </row>
    <row r="45" spans="1:21" s="11" customFormat="1" x14ac:dyDescent="0.2">
      <c r="A45" s="5" t="s">
        <v>7</v>
      </c>
      <c r="B45" s="5">
        <v>54958</v>
      </c>
      <c r="C45" s="5">
        <v>58528</v>
      </c>
      <c r="D45" s="5">
        <v>65317</v>
      </c>
      <c r="E45" s="5">
        <v>63940</v>
      </c>
      <c r="F45" s="5">
        <v>64839</v>
      </c>
      <c r="G45" s="21">
        <v>71716</v>
      </c>
      <c r="H45" s="21">
        <v>80983</v>
      </c>
      <c r="I45" s="21">
        <v>87164</v>
      </c>
      <c r="J45" s="21">
        <v>90022</v>
      </c>
      <c r="K45" s="21">
        <v>89489</v>
      </c>
      <c r="L45" s="21">
        <v>93651</v>
      </c>
      <c r="M45" s="21">
        <v>93778</v>
      </c>
      <c r="N45" s="21">
        <v>92378</v>
      </c>
      <c r="O45" s="21">
        <v>72601</v>
      </c>
      <c r="P45" s="21">
        <v>110091</v>
      </c>
      <c r="Q45" s="21">
        <v>108400</v>
      </c>
      <c r="R45" s="70">
        <f t="shared" si="16"/>
        <v>0.33855253571737276</v>
      </c>
      <c r="S45" s="94">
        <f t="shared" si="17"/>
        <v>0.1559214314658022</v>
      </c>
      <c r="T45" s="94">
        <f t="shared" si="18"/>
        <v>-1.5360020346804008E-2</v>
      </c>
      <c r="U45" s="96">
        <f t="shared" si="19"/>
        <v>0.48598968841067025</v>
      </c>
    </row>
    <row r="46" spans="1:21" x14ac:dyDescent="0.2">
      <c r="A46" s="72" t="s">
        <v>36</v>
      </c>
      <c r="B46" s="72">
        <v>2782</v>
      </c>
      <c r="C46" s="72">
        <v>3322</v>
      </c>
      <c r="D46" s="72">
        <v>4286</v>
      </c>
      <c r="E46" s="72">
        <v>3968</v>
      </c>
      <c r="F46" s="72">
        <v>3680</v>
      </c>
      <c r="G46" s="16">
        <v>4470</v>
      </c>
      <c r="H46" s="16">
        <v>5254</v>
      </c>
      <c r="I46" s="16">
        <v>5451</v>
      </c>
      <c r="J46" s="16">
        <v>6431</v>
      </c>
      <c r="K46" s="16">
        <v>7025</v>
      </c>
      <c r="L46" s="16">
        <v>7007</v>
      </c>
      <c r="M46" s="16">
        <v>7133</v>
      </c>
      <c r="N46" s="16">
        <v>6615</v>
      </c>
      <c r="O46" s="16">
        <v>5574</v>
      </c>
      <c r="P46" s="16">
        <v>6735</v>
      </c>
      <c r="Q46" s="16">
        <v>6153</v>
      </c>
      <c r="R46" s="86">
        <f t="shared" si="16"/>
        <v>0.17110772744575561</v>
      </c>
      <c r="S46" s="93">
        <f t="shared" si="17"/>
        <v>-0.13738959764474976</v>
      </c>
      <c r="T46" s="93">
        <f t="shared" si="18"/>
        <v>-8.6414253897550114E-2</v>
      </c>
      <c r="U46" s="95">
        <f t="shared" si="19"/>
        <v>2.75857431069267E-2</v>
      </c>
    </row>
    <row r="47" spans="1:21" x14ac:dyDescent="0.2">
      <c r="A47" s="72" t="s">
        <v>37</v>
      </c>
      <c r="B47" s="72">
        <v>6373</v>
      </c>
      <c r="C47" s="72">
        <v>6716</v>
      </c>
      <c r="D47" s="72">
        <v>6434</v>
      </c>
      <c r="E47" s="72">
        <v>5618</v>
      </c>
      <c r="F47" s="72">
        <v>6292</v>
      </c>
      <c r="G47" s="16">
        <v>6731</v>
      </c>
      <c r="H47" s="16">
        <v>7511</v>
      </c>
      <c r="I47" s="16">
        <v>8131</v>
      </c>
      <c r="J47" s="16">
        <v>8782</v>
      </c>
      <c r="K47" s="16">
        <v>7714</v>
      </c>
      <c r="L47" s="16">
        <v>7805</v>
      </c>
      <c r="M47" s="16">
        <v>7900</v>
      </c>
      <c r="N47" s="16">
        <v>6255</v>
      </c>
      <c r="O47" s="16">
        <v>5495</v>
      </c>
      <c r="P47" s="16">
        <v>6350</v>
      </c>
      <c r="Q47" s="16">
        <v>5652</v>
      </c>
      <c r="R47" s="86">
        <f t="shared" si="16"/>
        <v>-0.24750366129676474</v>
      </c>
      <c r="S47" s="93">
        <f t="shared" si="17"/>
        <v>-0.28455696202531644</v>
      </c>
      <c r="T47" s="93">
        <f t="shared" si="18"/>
        <v>-0.10992125984251969</v>
      </c>
      <c r="U47" s="95">
        <f t="shared" si="19"/>
        <v>2.5339609952925352E-2</v>
      </c>
    </row>
    <row r="48" spans="1:21" x14ac:dyDescent="0.2">
      <c r="A48" s="72" t="s">
        <v>38</v>
      </c>
      <c r="B48" s="72">
        <v>1459</v>
      </c>
      <c r="C48" s="72">
        <v>1073</v>
      </c>
      <c r="D48" s="72">
        <v>1198</v>
      </c>
      <c r="E48" s="72">
        <v>1370</v>
      </c>
      <c r="F48" s="72">
        <v>1285</v>
      </c>
      <c r="G48" s="16">
        <v>1368</v>
      </c>
      <c r="H48" s="16">
        <v>1390</v>
      </c>
      <c r="I48" s="16">
        <v>1434</v>
      </c>
      <c r="J48" s="16">
        <v>1532</v>
      </c>
      <c r="K48" s="16">
        <v>1868</v>
      </c>
      <c r="L48" s="16">
        <v>2365</v>
      </c>
      <c r="M48" s="16">
        <v>2685</v>
      </c>
      <c r="N48" s="16">
        <v>2578</v>
      </c>
      <c r="O48" s="16">
        <v>2414</v>
      </c>
      <c r="P48" s="16">
        <v>3297</v>
      </c>
      <c r="Q48" s="16">
        <v>3526</v>
      </c>
      <c r="R48" s="86">
        <f t="shared" si="16"/>
        <v>1.5366906474820143</v>
      </c>
      <c r="S48" s="93">
        <f t="shared" si="17"/>
        <v>0.31322160148975792</v>
      </c>
      <c r="T48" s="93">
        <f t="shared" si="18"/>
        <v>6.9457082195935702E-2</v>
      </c>
      <c r="U48" s="95">
        <f t="shared" si="19"/>
        <v>1.5808114772472539E-2</v>
      </c>
    </row>
    <row r="49" spans="1:21" x14ac:dyDescent="0.2">
      <c r="A49" s="72" t="s">
        <v>39</v>
      </c>
      <c r="B49" s="72">
        <v>44344</v>
      </c>
      <c r="C49" s="72">
        <v>47417</v>
      </c>
      <c r="D49" s="72">
        <v>53399</v>
      </c>
      <c r="E49" s="72">
        <v>52984</v>
      </c>
      <c r="F49" s="72">
        <v>53582</v>
      </c>
      <c r="G49" s="16">
        <v>59147</v>
      </c>
      <c r="H49" s="16">
        <v>66828</v>
      </c>
      <c r="I49" s="16">
        <v>72148</v>
      </c>
      <c r="J49" s="16">
        <v>73277</v>
      </c>
      <c r="K49" s="16">
        <v>72882</v>
      </c>
      <c r="L49" s="16">
        <v>76474</v>
      </c>
      <c r="M49" s="16">
        <v>76060</v>
      </c>
      <c r="N49" s="16">
        <v>76930</v>
      </c>
      <c r="O49" s="16">
        <v>59118</v>
      </c>
      <c r="P49" s="16">
        <v>93709</v>
      </c>
      <c r="Q49" s="16">
        <v>93069</v>
      </c>
      <c r="R49" s="86">
        <f t="shared" si="16"/>
        <v>0.39266475130184952</v>
      </c>
      <c r="S49" s="93">
        <f t="shared" si="17"/>
        <v>0.22362608466999737</v>
      </c>
      <c r="T49" s="93">
        <f t="shared" si="18"/>
        <v>-6.8296535017981193E-3</v>
      </c>
      <c r="U49" s="95">
        <f t="shared" si="19"/>
        <v>0.41725622057834566</v>
      </c>
    </row>
    <row r="50" spans="1:21" x14ac:dyDescent="0.2">
      <c r="A50" s="5" t="s">
        <v>4</v>
      </c>
      <c r="B50" s="5">
        <v>84798</v>
      </c>
      <c r="C50" s="5">
        <v>96431</v>
      </c>
      <c r="D50" s="5">
        <v>105500</v>
      </c>
      <c r="E50" s="5">
        <v>101671</v>
      </c>
      <c r="F50" s="5">
        <v>117849</v>
      </c>
      <c r="G50" s="5">
        <v>135342</v>
      </c>
      <c r="H50" s="5">
        <v>156500</v>
      </c>
      <c r="I50" s="5">
        <v>171206</v>
      </c>
      <c r="J50" s="5">
        <v>188806</v>
      </c>
      <c r="K50" s="5">
        <v>197060</v>
      </c>
      <c r="L50" s="5">
        <v>205202</v>
      </c>
      <c r="M50" s="5">
        <v>208072</v>
      </c>
      <c r="N50" s="5">
        <v>200088</v>
      </c>
      <c r="O50" s="5">
        <v>159287</v>
      </c>
      <c r="P50" s="5">
        <v>227783</v>
      </c>
      <c r="Q50" s="5">
        <v>223050</v>
      </c>
      <c r="R50" s="70">
        <f t="shared" si="16"/>
        <v>0.42523961661341853</v>
      </c>
      <c r="S50" s="94">
        <f t="shared" si="17"/>
        <v>7.198469760467531E-2</v>
      </c>
      <c r="T50" s="94">
        <f t="shared" si="18"/>
        <v>-2.0778548004021371E-2</v>
      </c>
      <c r="U50" s="96">
        <f t="shared" si="19"/>
        <v>1</v>
      </c>
    </row>
    <row r="51" spans="1:21" x14ac:dyDescent="0.2">
      <c r="A51" s="64"/>
      <c r="B51" s="64"/>
      <c r="C51" s="64"/>
      <c r="D51" s="64"/>
      <c r="E51" s="64"/>
      <c r="F51" s="64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</row>
    <row r="52" spans="1:21" ht="15.75" x14ac:dyDescent="0.2">
      <c r="A52" s="33" t="s">
        <v>293</v>
      </c>
      <c r="B52" s="33"/>
      <c r="C52" s="33"/>
      <c r="D52" s="33"/>
      <c r="E52" s="33"/>
      <c r="F52" s="33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</row>
    <row r="53" spans="1:21" ht="25.5" x14ac:dyDescent="0.2">
      <c r="A53" s="75" t="s">
        <v>47</v>
      </c>
      <c r="B53" s="3">
        <v>2007</v>
      </c>
      <c r="C53" s="3">
        <v>2008</v>
      </c>
      <c r="D53" s="3">
        <v>2009</v>
      </c>
      <c r="E53" s="3">
        <v>2010</v>
      </c>
      <c r="F53" s="3">
        <v>2011</v>
      </c>
      <c r="G53" s="3">
        <v>2012</v>
      </c>
      <c r="H53" s="3">
        <v>2013</v>
      </c>
      <c r="I53" s="3">
        <v>2014</v>
      </c>
      <c r="J53" s="3">
        <v>2015</v>
      </c>
      <c r="K53" s="3">
        <v>2016</v>
      </c>
      <c r="L53" s="3">
        <v>2017</v>
      </c>
      <c r="M53" s="3">
        <v>2018</v>
      </c>
      <c r="N53" s="3">
        <v>2019</v>
      </c>
      <c r="O53" s="3">
        <v>2020</v>
      </c>
      <c r="P53" s="3">
        <v>2021</v>
      </c>
      <c r="Q53" s="3">
        <v>2022</v>
      </c>
      <c r="R53" s="12" t="s">
        <v>406</v>
      </c>
      <c r="S53" s="12" t="s">
        <v>407</v>
      </c>
      <c r="T53" s="12" t="s">
        <v>408</v>
      </c>
      <c r="U53" s="12" t="s">
        <v>409</v>
      </c>
    </row>
    <row r="54" spans="1:21" s="11" customFormat="1" x14ac:dyDescent="0.2">
      <c r="A54" s="5" t="s">
        <v>270</v>
      </c>
      <c r="B54" s="5">
        <v>12670</v>
      </c>
      <c r="C54" s="5">
        <v>19215</v>
      </c>
      <c r="D54" s="5">
        <v>16546</v>
      </c>
      <c r="E54" s="5">
        <v>14048</v>
      </c>
      <c r="F54" s="5">
        <v>22314</v>
      </c>
      <c r="G54" s="21">
        <v>25497</v>
      </c>
      <c r="H54" s="21">
        <v>28183</v>
      </c>
      <c r="I54" s="21">
        <v>27677</v>
      </c>
      <c r="J54" s="21">
        <v>30559</v>
      </c>
      <c r="K54" s="21">
        <v>33787</v>
      </c>
      <c r="L54" s="21">
        <v>32660</v>
      </c>
      <c r="M54" s="21">
        <v>35139</v>
      </c>
      <c r="N54" s="21">
        <v>33511</v>
      </c>
      <c r="O54" s="21">
        <v>23444</v>
      </c>
      <c r="P54" s="21">
        <v>35140</v>
      </c>
      <c r="Q54" s="21">
        <v>35996</v>
      </c>
      <c r="R54" s="70">
        <f t="shared" ref="R54:R76" si="20">(Q54-H54)/H54</f>
        <v>0.27722385835432706</v>
      </c>
      <c r="S54" s="94">
        <f t="shared" ref="S54:S76" si="21">(Q54-M54)/M54</f>
        <v>2.4388855687412846E-2</v>
      </c>
      <c r="T54" s="94">
        <f t="shared" ref="T54:T76" si="22">(Q54-P54)/P54</f>
        <v>2.4359704040978942E-2</v>
      </c>
      <c r="U54" s="96">
        <f t="shared" ref="U54:U76" si="23">Q54/Q$9</f>
        <v>0.16138085631024435</v>
      </c>
    </row>
    <row r="55" spans="1:21" x14ac:dyDescent="0.2">
      <c r="A55" s="72" t="s">
        <v>36</v>
      </c>
      <c r="B55" s="72">
        <v>12670</v>
      </c>
      <c r="C55" s="72">
        <v>19215</v>
      </c>
      <c r="D55" s="72">
        <v>16546</v>
      </c>
      <c r="E55" s="72">
        <v>14048</v>
      </c>
      <c r="F55" s="72">
        <v>22314</v>
      </c>
      <c r="G55" s="4">
        <v>25497</v>
      </c>
      <c r="H55" s="4">
        <v>28183</v>
      </c>
      <c r="I55" s="4">
        <v>27677</v>
      </c>
      <c r="J55" s="4">
        <v>30559</v>
      </c>
      <c r="K55" s="4">
        <v>33787</v>
      </c>
      <c r="L55" s="4">
        <v>32660</v>
      </c>
      <c r="M55" s="4">
        <v>35139</v>
      </c>
      <c r="N55" s="22">
        <v>33511</v>
      </c>
      <c r="O55" s="22">
        <v>23444</v>
      </c>
      <c r="P55" s="22">
        <v>35140</v>
      </c>
      <c r="Q55" s="22">
        <v>35996</v>
      </c>
      <c r="R55" s="86">
        <f t="shared" si="20"/>
        <v>0.27722385835432706</v>
      </c>
      <c r="S55" s="93">
        <f t="shared" si="21"/>
        <v>2.4388855687412846E-2</v>
      </c>
      <c r="T55" s="93">
        <f t="shared" si="22"/>
        <v>2.4359704040978942E-2</v>
      </c>
      <c r="U55" s="95">
        <f t="shared" si="23"/>
        <v>0.16138085631024435</v>
      </c>
    </row>
    <row r="56" spans="1:21" x14ac:dyDescent="0.2">
      <c r="A56" s="5" t="s">
        <v>271</v>
      </c>
      <c r="B56" s="128">
        <v>0</v>
      </c>
      <c r="C56" s="128">
        <v>0</v>
      </c>
      <c r="D56" s="128">
        <v>0</v>
      </c>
      <c r="E56" s="128">
        <v>0</v>
      </c>
      <c r="F56" s="128">
        <v>0</v>
      </c>
      <c r="G56" s="128">
        <v>0</v>
      </c>
      <c r="H56" s="128">
        <v>0</v>
      </c>
      <c r="I56" s="128">
        <v>0</v>
      </c>
      <c r="J56" s="128">
        <v>0</v>
      </c>
      <c r="K56" s="128">
        <v>0</v>
      </c>
      <c r="L56" s="128">
        <v>0</v>
      </c>
      <c r="M56" s="128">
        <v>0</v>
      </c>
      <c r="N56" s="21">
        <v>17</v>
      </c>
      <c r="O56" s="21">
        <v>82</v>
      </c>
      <c r="P56" s="21">
        <v>1025</v>
      </c>
      <c r="Q56" s="21">
        <v>1545</v>
      </c>
      <c r="R56" s="70" t="s">
        <v>416</v>
      </c>
      <c r="S56" s="70" t="s">
        <v>416</v>
      </c>
      <c r="T56" s="94">
        <f t="shared" si="22"/>
        <v>0.50731707317073171</v>
      </c>
      <c r="U56" s="96">
        <f t="shared" si="23"/>
        <v>6.9266980497646267E-3</v>
      </c>
    </row>
    <row r="57" spans="1:21" x14ac:dyDescent="0.2">
      <c r="A57" s="72" t="s">
        <v>36</v>
      </c>
      <c r="B57" s="72">
        <v>0</v>
      </c>
      <c r="C57" s="72">
        <v>0</v>
      </c>
      <c r="D57" s="72">
        <v>0</v>
      </c>
      <c r="E57" s="72">
        <v>0</v>
      </c>
      <c r="F57" s="72">
        <v>0</v>
      </c>
      <c r="G57" s="72">
        <v>0</v>
      </c>
      <c r="H57" s="72">
        <v>0</v>
      </c>
      <c r="I57" s="72">
        <v>0</v>
      </c>
      <c r="J57" s="72">
        <v>0</v>
      </c>
      <c r="K57" s="72">
        <v>0</v>
      </c>
      <c r="L57" s="72">
        <v>0</v>
      </c>
      <c r="M57" s="72">
        <v>0</v>
      </c>
      <c r="N57" s="22">
        <v>17</v>
      </c>
      <c r="O57" s="22">
        <v>82</v>
      </c>
      <c r="P57" s="22">
        <v>1025</v>
      </c>
      <c r="Q57" s="22">
        <v>1545</v>
      </c>
      <c r="R57" s="86" t="s">
        <v>416</v>
      </c>
      <c r="S57" s="86" t="s">
        <v>416</v>
      </c>
      <c r="T57" s="93">
        <f t="shared" si="22"/>
        <v>0.50731707317073171</v>
      </c>
      <c r="U57" s="95">
        <f t="shared" si="23"/>
        <v>6.9266980497646267E-3</v>
      </c>
    </row>
    <row r="58" spans="1:21" s="11" customFormat="1" x14ac:dyDescent="0.2">
      <c r="A58" s="5" t="s">
        <v>6</v>
      </c>
      <c r="B58" s="5">
        <v>17170</v>
      </c>
      <c r="C58" s="5">
        <v>18688</v>
      </c>
      <c r="D58" s="5">
        <v>23637</v>
      </c>
      <c r="E58" s="5">
        <v>23683</v>
      </c>
      <c r="F58" s="5">
        <v>30696</v>
      </c>
      <c r="G58" s="21">
        <v>38129</v>
      </c>
      <c r="H58" s="21">
        <v>47334</v>
      </c>
      <c r="I58" s="21">
        <v>56365</v>
      </c>
      <c r="J58" s="21">
        <v>68225</v>
      </c>
      <c r="K58" s="21">
        <v>73784</v>
      </c>
      <c r="L58" s="21">
        <v>78891</v>
      </c>
      <c r="M58" s="21">
        <v>79155</v>
      </c>
      <c r="N58" s="21">
        <v>74182</v>
      </c>
      <c r="O58" s="21">
        <v>63160</v>
      </c>
      <c r="P58" s="21">
        <v>81527</v>
      </c>
      <c r="Q58" s="21">
        <v>77109</v>
      </c>
      <c r="R58" s="70">
        <f t="shared" si="20"/>
        <v>0.62904043605019644</v>
      </c>
      <c r="S58" s="94">
        <f t="shared" si="21"/>
        <v>-2.5848019708167521E-2</v>
      </c>
      <c r="T58" s="94">
        <f t="shared" si="22"/>
        <v>-5.4190636230941898E-2</v>
      </c>
      <c r="U58" s="96">
        <f t="shared" si="23"/>
        <v>0.34570275722932076</v>
      </c>
    </row>
    <row r="59" spans="1:21" x14ac:dyDescent="0.2">
      <c r="A59" s="72" t="s">
        <v>36</v>
      </c>
      <c r="B59" s="72">
        <v>6885</v>
      </c>
      <c r="C59" s="72">
        <v>9186</v>
      </c>
      <c r="D59" s="72">
        <v>12112</v>
      </c>
      <c r="E59" s="72">
        <v>12512</v>
      </c>
      <c r="F59" s="72">
        <v>16762</v>
      </c>
      <c r="G59" s="16">
        <v>21042</v>
      </c>
      <c r="H59" s="16">
        <v>24988</v>
      </c>
      <c r="I59" s="16">
        <v>30750</v>
      </c>
      <c r="J59" s="16">
        <v>37902</v>
      </c>
      <c r="K59" s="16">
        <v>41363</v>
      </c>
      <c r="L59" s="16">
        <v>43493</v>
      </c>
      <c r="M59" s="16">
        <v>43121</v>
      </c>
      <c r="N59" s="16">
        <v>40999</v>
      </c>
      <c r="O59" s="16">
        <v>34557</v>
      </c>
      <c r="P59" s="16">
        <v>43369</v>
      </c>
      <c r="Q59" s="16">
        <v>36881</v>
      </c>
      <c r="R59" s="86">
        <f t="shared" si="20"/>
        <v>0.47594845525852408</v>
      </c>
      <c r="S59" s="93">
        <f t="shared" si="21"/>
        <v>-0.14470907446487791</v>
      </c>
      <c r="T59" s="93">
        <f t="shared" si="22"/>
        <v>-0.14959994466093293</v>
      </c>
      <c r="U59" s="95">
        <f t="shared" si="23"/>
        <v>0.16534857655234253</v>
      </c>
    </row>
    <row r="60" spans="1:21" x14ac:dyDescent="0.2">
      <c r="A60" s="72" t="s">
        <v>37</v>
      </c>
      <c r="B60" s="72">
        <v>10285</v>
      </c>
      <c r="C60" s="72">
        <v>9502</v>
      </c>
      <c r="D60" s="72">
        <v>11525</v>
      </c>
      <c r="E60" s="72">
        <v>11171</v>
      </c>
      <c r="F60" s="72">
        <v>13934</v>
      </c>
      <c r="G60" s="16">
        <v>17087</v>
      </c>
      <c r="H60" s="16">
        <v>22346</v>
      </c>
      <c r="I60" s="16">
        <v>25615</v>
      </c>
      <c r="J60" s="16">
        <v>30323</v>
      </c>
      <c r="K60" s="16">
        <v>32421</v>
      </c>
      <c r="L60" s="16">
        <v>35398</v>
      </c>
      <c r="M60" s="16">
        <v>36034</v>
      </c>
      <c r="N60" s="16">
        <v>33183</v>
      </c>
      <c r="O60" s="16">
        <v>28603</v>
      </c>
      <c r="P60" s="16">
        <v>38158</v>
      </c>
      <c r="Q60" s="16">
        <v>40228</v>
      </c>
      <c r="R60" s="86">
        <f t="shared" si="20"/>
        <v>0.80023270383961331</v>
      </c>
      <c r="S60" s="93">
        <f t="shared" si="21"/>
        <v>0.11639007603929621</v>
      </c>
      <c r="T60" s="93">
        <f t="shared" si="22"/>
        <v>5.4248126212065623E-2</v>
      </c>
      <c r="U60" s="95">
        <f t="shared" si="23"/>
        <v>0.18035418067697825</v>
      </c>
    </row>
    <row r="61" spans="1:21" s="11" customFormat="1" x14ac:dyDescent="0.2">
      <c r="A61" s="5" t="s">
        <v>437</v>
      </c>
      <c r="B61" s="5">
        <v>20835</v>
      </c>
      <c r="C61" s="5">
        <v>20848</v>
      </c>
      <c r="D61" s="5">
        <v>23500</v>
      </c>
      <c r="E61" s="5">
        <v>23147</v>
      </c>
      <c r="F61" s="5">
        <v>21624</v>
      </c>
      <c r="G61" s="21">
        <v>21615</v>
      </c>
      <c r="H61" s="21">
        <v>21805</v>
      </c>
      <c r="I61" s="21">
        <v>22310</v>
      </c>
      <c r="J61" s="21">
        <v>23261</v>
      </c>
      <c r="K61" s="21">
        <v>22450</v>
      </c>
      <c r="L61" s="21">
        <v>24273</v>
      </c>
      <c r="M61" s="21">
        <v>23355</v>
      </c>
      <c r="N61" s="21">
        <v>23595</v>
      </c>
      <c r="O61" s="21">
        <v>19462</v>
      </c>
      <c r="P61" s="21">
        <v>26999</v>
      </c>
      <c r="Q61" s="21">
        <v>28239</v>
      </c>
      <c r="R61" s="70">
        <f t="shared" si="20"/>
        <v>0.29506993808759457</v>
      </c>
      <c r="S61" s="94">
        <f t="shared" si="21"/>
        <v>0.20912010276172127</v>
      </c>
      <c r="T61" s="94">
        <f t="shared" si="22"/>
        <v>4.5927626949146268E-2</v>
      </c>
      <c r="U61" s="96">
        <f t="shared" si="23"/>
        <v>0.12660390047074646</v>
      </c>
    </row>
    <row r="62" spans="1:21" x14ac:dyDescent="0.2">
      <c r="A62" s="72" t="s">
        <v>36</v>
      </c>
      <c r="B62" s="72">
        <v>1066</v>
      </c>
      <c r="C62" s="72">
        <v>922</v>
      </c>
      <c r="D62" s="72">
        <v>1301</v>
      </c>
      <c r="E62" s="72">
        <v>1489</v>
      </c>
      <c r="F62" s="72">
        <v>1273</v>
      </c>
      <c r="G62" s="16">
        <v>1050</v>
      </c>
      <c r="H62" s="16">
        <v>1176</v>
      </c>
      <c r="I62" s="16">
        <v>1677</v>
      </c>
      <c r="J62" s="16">
        <v>2311</v>
      </c>
      <c r="K62" s="16">
        <v>2736</v>
      </c>
      <c r="L62" s="16">
        <v>2902</v>
      </c>
      <c r="M62" s="16">
        <v>3244</v>
      </c>
      <c r="N62" s="16">
        <v>3074</v>
      </c>
      <c r="O62" s="16">
        <v>2722</v>
      </c>
      <c r="P62" s="16">
        <v>2941</v>
      </c>
      <c r="Q62" s="16">
        <v>2445</v>
      </c>
      <c r="R62" s="86">
        <f t="shared" si="20"/>
        <v>1.0790816326530612</v>
      </c>
      <c r="S62" s="93">
        <f t="shared" si="21"/>
        <v>-0.24630086313193589</v>
      </c>
      <c r="T62" s="93">
        <f t="shared" si="22"/>
        <v>-0.16865011900714044</v>
      </c>
      <c r="U62" s="95">
        <f t="shared" si="23"/>
        <v>1.0961667787491594E-2</v>
      </c>
    </row>
    <row r="63" spans="1:21" x14ac:dyDescent="0.2">
      <c r="A63" s="72" t="s">
        <v>37</v>
      </c>
      <c r="B63" s="72">
        <v>3013</v>
      </c>
      <c r="C63" s="72">
        <v>3409</v>
      </c>
      <c r="D63" s="72">
        <v>3397</v>
      </c>
      <c r="E63" s="72">
        <v>2561</v>
      </c>
      <c r="F63" s="72">
        <v>2705</v>
      </c>
      <c r="G63" s="16">
        <v>2206</v>
      </c>
      <c r="H63" s="16">
        <v>2309</v>
      </c>
      <c r="I63" s="16">
        <v>2389</v>
      </c>
      <c r="J63" s="16">
        <v>3133</v>
      </c>
      <c r="K63" s="16">
        <v>2451</v>
      </c>
      <c r="L63" s="16">
        <v>2567</v>
      </c>
      <c r="M63" s="16">
        <v>2626</v>
      </c>
      <c r="N63" s="16">
        <v>2116</v>
      </c>
      <c r="O63" s="16">
        <v>1935</v>
      </c>
      <c r="P63" s="16">
        <v>2023</v>
      </c>
      <c r="Q63" s="16">
        <v>1797</v>
      </c>
      <c r="R63" s="86">
        <f t="shared" si="20"/>
        <v>-0.22174101342572541</v>
      </c>
      <c r="S63" s="93">
        <f t="shared" si="21"/>
        <v>-0.31568926123381569</v>
      </c>
      <c r="T63" s="93">
        <f t="shared" si="22"/>
        <v>-0.11171527434503213</v>
      </c>
      <c r="U63" s="95">
        <f t="shared" si="23"/>
        <v>8.0564895763281779E-3</v>
      </c>
    </row>
    <row r="64" spans="1:21" x14ac:dyDescent="0.2">
      <c r="A64" s="72" t="s">
        <v>38</v>
      </c>
      <c r="B64" s="72">
        <v>449</v>
      </c>
      <c r="C64" s="72">
        <v>436</v>
      </c>
      <c r="D64" s="72">
        <v>428</v>
      </c>
      <c r="E64" s="72">
        <v>484</v>
      </c>
      <c r="F64" s="72">
        <v>397</v>
      </c>
      <c r="G64" s="16">
        <v>524</v>
      </c>
      <c r="H64" s="16">
        <v>379</v>
      </c>
      <c r="I64" s="16">
        <v>395</v>
      </c>
      <c r="J64" s="16">
        <v>335</v>
      </c>
      <c r="K64" s="16">
        <v>359</v>
      </c>
      <c r="L64" s="16">
        <v>426</v>
      </c>
      <c r="M64" s="16">
        <v>334</v>
      </c>
      <c r="N64" s="16">
        <v>523</v>
      </c>
      <c r="O64" s="16">
        <v>616</v>
      </c>
      <c r="P64" s="16">
        <v>556</v>
      </c>
      <c r="Q64" s="16">
        <v>508</v>
      </c>
      <c r="R64" s="86">
        <f t="shared" si="20"/>
        <v>0.34036939313984171</v>
      </c>
      <c r="S64" s="93">
        <f t="shared" si="21"/>
        <v>0.52095808383233533</v>
      </c>
      <c r="T64" s="93">
        <f t="shared" si="22"/>
        <v>-8.6330935251798566E-2</v>
      </c>
      <c r="U64" s="95">
        <f t="shared" si="23"/>
        <v>2.2775162519614437E-3</v>
      </c>
    </row>
    <row r="65" spans="1:21" x14ac:dyDescent="0.2">
      <c r="A65" s="72" t="s">
        <v>39</v>
      </c>
      <c r="B65" s="72">
        <v>16307</v>
      </c>
      <c r="C65" s="72">
        <v>16081</v>
      </c>
      <c r="D65" s="72">
        <v>18374</v>
      </c>
      <c r="E65" s="72">
        <v>18613</v>
      </c>
      <c r="F65" s="72">
        <v>17249</v>
      </c>
      <c r="G65" s="16">
        <v>17835</v>
      </c>
      <c r="H65" s="16">
        <v>17941</v>
      </c>
      <c r="I65" s="16">
        <v>17849</v>
      </c>
      <c r="J65" s="16">
        <v>17482</v>
      </c>
      <c r="K65" s="16">
        <v>16904</v>
      </c>
      <c r="L65" s="16">
        <v>18378</v>
      </c>
      <c r="M65" s="16">
        <v>17151</v>
      </c>
      <c r="N65" s="16">
        <v>17882</v>
      </c>
      <c r="O65" s="16">
        <v>14189</v>
      </c>
      <c r="P65" s="16">
        <v>21479</v>
      </c>
      <c r="Q65" s="16">
        <v>23489</v>
      </c>
      <c r="R65" s="86">
        <f t="shared" si="20"/>
        <v>0.30923582854913328</v>
      </c>
      <c r="S65" s="93">
        <f t="shared" si="21"/>
        <v>0.36954113462771848</v>
      </c>
      <c r="T65" s="93">
        <f t="shared" si="22"/>
        <v>9.3579775594766976E-2</v>
      </c>
      <c r="U65" s="95">
        <f t="shared" si="23"/>
        <v>0.10530822685496526</v>
      </c>
    </row>
    <row r="66" spans="1:21" s="11" customFormat="1" x14ac:dyDescent="0.2">
      <c r="A66" s="5" t="s">
        <v>435</v>
      </c>
      <c r="B66" s="5">
        <v>11378</v>
      </c>
      <c r="C66" s="5">
        <v>11877</v>
      </c>
      <c r="D66" s="5">
        <v>13532</v>
      </c>
      <c r="E66" s="5">
        <v>13044</v>
      </c>
      <c r="F66" s="5">
        <v>12982</v>
      </c>
      <c r="G66" s="21">
        <v>14598</v>
      </c>
      <c r="H66" s="21">
        <v>15841</v>
      </c>
      <c r="I66" s="21">
        <v>16362</v>
      </c>
      <c r="J66" s="21">
        <v>17011</v>
      </c>
      <c r="K66" s="21">
        <v>16409</v>
      </c>
      <c r="L66" s="21">
        <v>18372</v>
      </c>
      <c r="M66" s="21">
        <v>17137</v>
      </c>
      <c r="N66" s="21">
        <v>19227</v>
      </c>
      <c r="O66" s="21">
        <v>17477</v>
      </c>
      <c r="P66" s="21">
        <v>25898</v>
      </c>
      <c r="Q66" s="21">
        <v>26949</v>
      </c>
      <c r="R66" s="70">
        <f t="shared" si="20"/>
        <v>0.70121835742693017</v>
      </c>
      <c r="S66" s="94">
        <f t="shared" si="21"/>
        <v>0.57256229211647314</v>
      </c>
      <c r="T66" s="94">
        <f t="shared" si="22"/>
        <v>4.0582284346281569E-2</v>
      </c>
      <c r="U66" s="96">
        <f t="shared" si="23"/>
        <v>0.12082044384667115</v>
      </c>
    </row>
    <row r="67" spans="1:21" x14ac:dyDescent="0.2">
      <c r="A67" s="72" t="s">
        <v>36</v>
      </c>
      <c r="B67" s="72">
        <v>657</v>
      </c>
      <c r="C67" s="72">
        <v>686</v>
      </c>
      <c r="D67" s="72">
        <v>814</v>
      </c>
      <c r="E67" s="72">
        <v>704</v>
      </c>
      <c r="F67" s="72">
        <v>730</v>
      </c>
      <c r="G67" s="16">
        <v>934</v>
      </c>
      <c r="H67" s="16">
        <v>1309</v>
      </c>
      <c r="I67" s="16">
        <v>1173</v>
      </c>
      <c r="J67" s="16">
        <v>1705</v>
      </c>
      <c r="K67" s="16">
        <v>2101</v>
      </c>
      <c r="L67" s="16">
        <v>2376</v>
      </c>
      <c r="M67" s="16">
        <v>2170</v>
      </c>
      <c r="N67" s="16">
        <v>1957</v>
      </c>
      <c r="O67" s="16">
        <v>1737</v>
      </c>
      <c r="P67" s="16">
        <v>2381</v>
      </c>
      <c r="Q67" s="16">
        <v>2159</v>
      </c>
      <c r="R67" s="86">
        <f t="shared" si="20"/>
        <v>0.64935064935064934</v>
      </c>
      <c r="S67" s="93">
        <f t="shared" si="21"/>
        <v>-5.0691244239631341E-3</v>
      </c>
      <c r="T67" s="93">
        <f t="shared" si="22"/>
        <v>-9.3238135237295253E-2</v>
      </c>
      <c r="U67" s="95">
        <f t="shared" si="23"/>
        <v>9.6794440708361362E-3</v>
      </c>
    </row>
    <row r="68" spans="1:21" x14ac:dyDescent="0.2">
      <c r="A68" s="72" t="s">
        <v>37</v>
      </c>
      <c r="B68" s="72">
        <v>803</v>
      </c>
      <c r="C68" s="72">
        <v>1059</v>
      </c>
      <c r="D68" s="72">
        <v>840</v>
      </c>
      <c r="E68" s="72">
        <v>703</v>
      </c>
      <c r="F68" s="72">
        <v>775</v>
      </c>
      <c r="G68" s="16">
        <v>1058</v>
      </c>
      <c r="H68" s="16">
        <v>1054</v>
      </c>
      <c r="I68" s="16">
        <v>1196</v>
      </c>
      <c r="J68" s="16">
        <v>1352</v>
      </c>
      <c r="K68" s="16">
        <v>1103</v>
      </c>
      <c r="L68" s="16">
        <v>1040</v>
      </c>
      <c r="M68" s="16">
        <v>1181</v>
      </c>
      <c r="N68" s="16">
        <v>996</v>
      </c>
      <c r="O68" s="16">
        <v>1135</v>
      </c>
      <c r="P68" s="16">
        <v>1026</v>
      </c>
      <c r="Q68" s="16">
        <v>978</v>
      </c>
      <c r="R68" s="86">
        <f t="shared" si="20"/>
        <v>-7.2106261859582549E-2</v>
      </c>
      <c r="S68" s="93">
        <f t="shared" si="21"/>
        <v>-0.17188823031329381</v>
      </c>
      <c r="T68" s="93">
        <f t="shared" si="22"/>
        <v>-4.6783625730994149E-2</v>
      </c>
      <c r="U68" s="95">
        <f t="shared" si="23"/>
        <v>4.3846671149966373E-3</v>
      </c>
    </row>
    <row r="69" spans="1:21" x14ac:dyDescent="0.2">
      <c r="A69" s="72" t="s">
        <v>38</v>
      </c>
      <c r="B69" s="72">
        <v>503</v>
      </c>
      <c r="C69" s="72">
        <v>314</v>
      </c>
      <c r="D69" s="72">
        <v>415</v>
      </c>
      <c r="E69" s="72">
        <v>470</v>
      </c>
      <c r="F69" s="72">
        <v>475</v>
      </c>
      <c r="G69" s="16">
        <v>455</v>
      </c>
      <c r="H69" s="16">
        <v>385</v>
      </c>
      <c r="I69" s="16">
        <v>404</v>
      </c>
      <c r="J69" s="16">
        <v>388</v>
      </c>
      <c r="K69" s="16">
        <v>471</v>
      </c>
      <c r="L69" s="16">
        <v>519</v>
      </c>
      <c r="M69" s="16">
        <v>400</v>
      </c>
      <c r="N69" s="16">
        <v>473</v>
      </c>
      <c r="O69" s="16">
        <v>559</v>
      </c>
      <c r="P69" s="16">
        <v>858</v>
      </c>
      <c r="Q69" s="16">
        <v>850</v>
      </c>
      <c r="R69" s="86">
        <f t="shared" si="20"/>
        <v>1.2077922077922079</v>
      </c>
      <c r="S69" s="93">
        <f t="shared" si="21"/>
        <v>1.125</v>
      </c>
      <c r="T69" s="93">
        <f t="shared" si="22"/>
        <v>-9.324009324009324E-3</v>
      </c>
      <c r="U69" s="95">
        <f t="shared" si="23"/>
        <v>3.8108047522976913E-3</v>
      </c>
    </row>
    <row r="70" spans="1:21" x14ac:dyDescent="0.2">
      <c r="A70" s="72" t="s">
        <v>39</v>
      </c>
      <c r="B70" s="72">
        <v>9415</v>
      </c>
      <c r="C70" s="72">
        <v>9818</v>
      </c>
      <c r="D70" s="72">
        <v>11463</v>
      </c>
      <c r="E70" s="72">
        <v>11167</v>
      </c>
      <c r="F70" s="72">
        <v>11002</v>
      </c>
      <c r="G70" s="16">
        <v>12151</v>
      </c>
      <c r="H70" s="16">
        <v>13093</v>
      </c>
      <c r="I70" s="16">
        <v>13589</v>
      </c>
      <c r="J70" s="16">
        <v>13566</v>
      </c>
      <c r="K70" s="16">
        <v>12734</v>
      </c>
      <c r="L70" s="16">
        <v>14437</v>
      </c>
      <c r="M70" s="16">
        <v>13386</v>
      </c>
      <c r="N70" s="16">
        <v>15801</v>
      </c>
      <c r="O70" s="16">
        <v>14046</v>
      </c>
      <c r="P70" s="16">
        <v>21633</v>
      </c>
      <c r="Q70" s="16">
        <v>22962</v>
      </c>
      <c r="R70" s="86">
        <f t="shared" si="20"/>
        <v>0.75376155197433747</v>
      </c>
      <c r="S70" s="93">
        <f t="shared" si="21"/>
        <v>0.71537427162707301</v>
      </c>
      <c r="T70" s="93">
        <f t="shared" si="22"/>
        <v>6.1433920399389823E-2</v>
      </c>
      <c r="U70" s="95">
        <f t="shared" si="23"/>
        <v>0.10294552790854068</v>
      </c>
    </row>
    <row r="71" spans="1:21" s="11" customFormat="1" x14ac:dyDescent="0.2">
      <c r="A71" s="5" t="s">
        <v>229</v>
      </c>
      <c r="B71" s="5">
        <v>22745</v>
      </c>
      <c r="C71" s="5">
        <v>25803</v>
      </c>
      <c r="D71" s="5">
        <v>28285</v>
      </c>
      <c r="E71" s="5">
        <v>27749</v>
      </c>
      <c r="F71" s="5">
        <v>30233</v>
      </c>
      <c r="G71" s="21">
        <v>35503</v>
      </c>
      <c r="H71" s="21">
        <v>43337</v>
      </c>
      <c r="I71" s="21">
        <v>48492</v>
      </c>
      <c r="J71" s="21">
        <v>49750</v>
      </c>
      <c r="K71" s="21">
        <v>50630</v>
      </c>
      <c r="L71" s="21">
        <v>51006</v>
      </c>
      <c r="M71" s="21">
        <v>53286</v>
      </c>
      <c r="N71" s="21">
        <v>49556</v>
      </c>
      <c r="O71" s="21">
        <v>35662</v>
      </c>
      <c r="P71" s="21">
        <v>57194</v>
      </c>
      <c r="Q71" s="21">
        <v>53212</v>
      </c>
      <c r="R71" s="70">
        <f t="shared" si="20"/>
        <v>0.22786533447169854</v>
      </c>
      <c r="S71" s="94">
        <f t="shared" si="21"/>
        <v>-1.3887325000938333E-3</v>
      </c>
      <c r="T71" s="94">
        <f t="shared" si="22"/>
        <v>-6.9622687694513408E-2</v>
      </c>
      <c r="U71" s="96">
        <f t="shared" si="23"/>
        <v>0.23856534409325264</v>
      </c>
    </row>
    <row r="72" spans="1:21" x14ac:dyDescent="0.2">
      <c r="A72" s="72" t="s">
        <v>36</v>
      </c>
      <c r="B72" s="72">
        <v>1059</v>
      </c>
      <c r="C72" s="72">
        <v>1714</v>
      </c>
      <c r="D72" s="72">
        <v>2171</v>
      </c>
      <c r="E72" s="72">
        <v>1775</v>
      </c>
      <c r="F72" s="72">
        <v>1677</v>
      </c>
      <c r="G72" s="16">
        <v>2486</v>
      </c>
      <c r="H72" s="16">
        <v>2769</v>
      </c>
      <c r="I72" s="16">
        <v>2601</v>
      </c>
      <c r="J72" s="16">
        <v>2415</v>
      </c>
      <c r="K72" s="16">
        <v>2188</v>
      </c>
      <c r="L72" s="16">
        <v>1729</v>
      </c>
      <c r="M72" s="16">
        <v>1719</v>
      </c>
      <c r="N72" s="16">
        <v>1584</v>
      </c>
      <c r="O72" s="16">
        <v>1115</v>
      </c>
      <c r="P72" s="16">
        <v>1413</v>
      </c>
      <c r="Q72" s="16">
        <v>1549</v>
      </c>
      <c r="R72" s="86">
        <f t="shared" si="20"/>
        <v>-0.44059227157818709</v>
      </c>
      <c r="S72" s="93">
        <f t="shared" si="21"/>
        <v>-9.8894706224549156E-2</v>
      </c>
      <c r="T72" s="93">
        <f t="shared" si="22"/>
        <v>9.6249115357395609E-2</v>
      </c>
      <c r="U72" s="95">
        <f t="shared" si="23"/>
        <v>6.9446312485989693E-3</v>
      </c>
    </row>
    <row r="73" spans="1:21" x14ac:dyDescent="0.2">
      <c r="A73" s="72" t="s">
        <v>37</v>
      </c>
      <c r="B73" s="72">
        <v>2557</v>
      </c>
      <c r="C73" s="72">
        <v>2248</v>
      </c>
      <c r="D73" s="72">
        <v>2197</v>
      </c>
      <c r="E73" s="72">
        <v>2354</v>
      </c>
      <c r="F73" s="72">
        <v>2812</v>
      </c>
      <c r="G73" s="16">
        <v>3467</v>
      </c>
      <c r="H73" s="16">
        <v>4148</v>
      </c>
      <c r="I73" s="16">
        <v>4546</v>
      </c>
      <c r="J73" s="16">
        <v>4297</v>
      </c>
      <c r="K73" s="16">
        <v>4160</v>
      </c>
      <c r="L73" s="16">
        <v>4198</v>
      </c>
      <c r="M73" s="16">
        <v>4093</v>
      </c>
      <c r="N73" s="16">
        <v>3143</v>
      </c>
      <c r="O73" s="16">
        <v>2425</v>
      </c>
      <c r="P73" s="16">
        <v>3301</v>
      </c>
      <c r="Q73" s="16">
        <v>2877</v>
      </c>
      <c r="R73" s="86">
        <f t="shared" si="20"/>
        <v>-0.30641272902603667</v>
      </c>
      <c r="S73" s="93">
        <f t="shared" si="21"/>
        <v>-0.29709259711702907</v>
      </c>
      <c r="T73" s="93">
        <f t="shared" si="22"/>
        <v>-0.12844592547712813</v>
      </c>
      <c r="U73" s="95">
        <f t="shared" si="23"/>
        <v>1.2898453261600539E-2</v>
      </c>
    </row>
    <row r="74" spans="1:21" x14ac:dyDescent="0.2">
      <c r="A74" s="72" t="s">
        <v>38</v>
      </c>
      <c r="B74" s="72">
        <v>507</v>
      </c>
      <c r="C74" s="72">
        <v>323</v>
      </c>
      <c r="D74" s="72">
        <v>355</v>
      </c>
      <c r="E74" s="72">
        <v>416</v>
      </c>
      <c r="F74" s="72">
        <v>413</v>
      </c>
      <c r="G74" s="16">
        <v>389</v>
      </c>
      <c r="H74" s="16">
        <v>626</v>
      </c>
      <c r="I74" s="16">
        <v>635</v>
      </c>
      <c r="J74" s="16">
        <v>809</v>
      </c>
      <c r="K74" s="16">
        <v>1038</v>
      </c>
      <c r="L74" s="16">
        <v>1420</v>
      </c>
      <c r="M74" s="16">
        <v>1951</v>
      </c>
      <c r="N74" s="16">
        <v>1582</v>
      </c>
      <c r="O74" s="16">
        <v>1239</v>
      </c>
      <c r="P74" s="16">
        <v>1883</v>
      </c>
      <c r="Q74" s="16">
        <v>2168</v>
      </c>
      <c r="R74" s="86">
        <f t="shared" si="20"/>
        <v>2.4632587859424921</v>
      </c>
      <c r="S74" s="93">
        <f t="shared" si="21"/>
        <v>0.11122501281394157</v>
      </c>
      <c r="T74" s="93">
        <f t="shared" si="22"/>
        <v>0.15135422198619225</v>
      </c>
      <c r="U74" s="95">
        <f t="shared" si="23"/>
        <v>9.7197937682134052E-3</v>
      </c>
    </row>
    <row r="75" spans="1:21" x14ac:dyDescent="0.2">
      <c r="A75" s="72" t="s">
        <v>39</v>
      </c>
      <c r="B75" s="72">
        <v>18622</v>
      </c>
      <c r="C75" s="72">
        <v>21518</v>
      </c>
      <c r="D75" s="72">
        <v>23562</v>
      </c>
      <c r="E75" s="72">
        <v>23204</v>
      </c>
      <c r="F75" s="72">
        <v>25331</v>
      </c>
      <c r="G75" s="16">
        <v>29161</v>
      </c>
      <c r="H75" s="16">
        <v>35794</v>
      </c>
      <c r="I75" s="16">
        <v>40710</v>
      </c>
      <c r="J75" s="16">
        <v>42229</v>
      </c>
      <c r="K75" s="16">
        <v>43244</v>
      </c>
      <c r="L75" s="16">
        <v>43659</v>
      </c>
      <c r="M75" s="16">
        <v>45523</v>
      </c>
      <c r="N75" s="16">
        <v>43247</v>
      </c>
      <c r="O75" s="16">
        <v>30883</v>
      </c>
      <c r="P75" s="16">
        <v>50597</v>
      </c>
      <c r="Q75" s="16">
        <v>46618</v>
      </c>
      <c r="R75" s="86">
        <f t="shared" si="20"/>
        <v>0.30239704978488013</v>
      </c>
      <c r="S75" s="93">
        <f t="shared" si="21"/>
        <v>2.405377501482767E-2</v>
      </c>
      <c r="T75" s="93">
        <f t="shared" si="22"/>
        <v>-7.864102614779532E-2</v>
      </c>
      <c r="U75" s="95">
        <f t="shared" si="23"/>
        <v>0.20900246581483972</v>
      </c>
    </row>
    <row r="76" spans="1:21" x14ac:dyDescent="0.2">
      <c r="A76" s="5" t="s">
        <v>4</v>
      </c>
      <c r="B76" s="5">
        <v>84798</v>
      </c>
      <c r="C76" s="5">
        <v>96431</v>
      </c>
      <c r="D76" s="5">
        <v>105500</v>
      </c>
      <c r="E76" s="5">
        <v>101671</v>
      </c>
      <c r="F76" s="5">
        <v>117849</v>
      </c>
      <c r="G76" s="5">
        <v>135342</v>
      </c>
      <c r="H76" s="5">
        <v>156500</v>
      </c>
      <c r="I76" s="5">
        <v>171206</v>
      </c>
      <c r="J76" s="5">
        <v>188806</v>
      </c>
      <c r="K76" s="5">
        <v>197060</v>
      </c>
      <c r="L76" s="5">
        <v>205202</v>
      </c>
      <c r="M76" s="5">
        <v>208072</v>
      </c>
      <c r="N76" s="5">
        <v>200088</v>
      </c>
      <c r="O76" s="5">
        <v>159287</v>
      </c>
      <c r="P76" s="5">
        <v>227783</v>
      </c>
      <c r="Q76" s="5">
        <v>223050</v>
      </c>
      <c r="R76" s="70">
        <f t="shared" si="20"/>
        <v>0.42523961661341853</v>
      </c>
      <c r="S76" s="94">
        <f t="shared" si="21"/>
        <v>7.198469760467531E-2</v>
      </c>
      <c r="T76" s="94">
        <f t="shared" si="22"/>
        <v>-2.0778548004021371E-2</v>
      </c>
      <c r="U76" s="96">
        <f t="shared" si="23"/>
        <v>1</v>
      </c>
    </row>
    <row r="77" spans="1:21" x14ac:dyDescent="0.2">
      <c r="A77" s="118" t="s">
        <v>436</v>
      </c>
      <c r="B77" s="64"/>
      <c r="C77" s="64"/>
      <c r="D77" s="64"/>
      <c r="E77" s="64"/>
      <c r="F77" s="64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</row>
    <row r="78" spans="1:21" x14ac:dyDescent="0.2">
      <c r="A78" s="64"/>
      <c r="B78" s="64"/>
      <c r="C78" s="64"/>
      <c r="D78" s="64"/>
      <c r="E78" s="64"/>
      <c r="F78" s="64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</row>
    <row r="79" spans="1:21" ht="15.75" x14ac:dyDescent="0.2">
      <c r="A79" s="33" t="s">
        <v>294</v>
      </c>
      <c r="B79" s="33"/>
      <c r="C79" s="33"/>
      <c r="D79" s="33"/>
      <c r="E79" s="33"/>
      <c r="F79" s="33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</row>
    <row r="80" spans="1:21" ht="25.5" x14ac:dyDescent="0.2">
      <c r="A80" s="75" t="s">
        <v>40</v>
      </c>
      <c r="B80" s="3">
        <v>2007</v>
      </c>
      <c r="C80" s="3">
        <v>2008</v>
      </c>
      <c r="D80" s="3">
        <v>2009</v>
      </c>
      <c r="E80" s="3">
        <v>2010</v>
      </c>
      <c r="F80" s="3">
        <v>2011</v>
      </c>
      <c r="G80" s="3">
        <v>2012</v>
      </c>
      <c r="H80" s="3">
        <v>2013</v>
      </c>
      <c r="I80" s="3">
        <v>2014</v>
      </c>
      <c r="J80" s="3">
        <v>2015</v>
      </c>
      <c r="K80" s="3">
        <v>2016</v>
      </c>
      <c r="L80" s="3">
        <v>2017</v>
      </c>
      <c r="M80" s="3">
        <v>2018</v>
      </c>
      <c r="N80" s="3">
        <v>2019</v>
      </c>
      <c r="O80" s="3">
        <v>2020</v>
      </c>
      <c r="P80" s="3">
        <v>2021</v>
      </c>
      <c r="Q80" s="3">
        <v>2022</v>
      </c>
      <c r="R80" s="12" t="s">
        <v>406</v>
      </c>
      <c r="S80" s="12" t="s">
        <v>407</v>
      </c>
      <c r="T80" s="12" t="s">
        <v>408</v>
      </c>
      <c r="U80" s="12" t="s">
        <v>409</v>
      </c>
    </row>
    <row r="81" spans="1:22" x14ac:dyDescent="0.2">
      <c r="A81" s="4" t="s">
        <v>41</v>
      </c>
      <c r="B81" s="4">
        <v>63600</v>
      </c>
      <c r="C81" s="4">
        <v>74078</v>
      </c>
      <c r="D81" s="4">
        <v>76225</v>
      </c>
      <c r="E81" s="4">
        <v>73096</v>
      </c>
      <c r="F81" s="4">
        <v>82501</v>
      </c>
      <c r="G81" s="16">
        <v>93818</v>
      </c>
      <c r="H81" s="16">
        <v>104713</v>
      </c>
      <c r="I81" s="16">
        <v>111409</v>
      </c>
      <c r="J81" s="16">
        <v>118811</v>
      </c>
      <c r="K81" s="16">
        <v>124008</v>
      </c>
      <c r="L81" s="16">
        <v>128773</v>
      </c>
      <c r="M81" s="16">
        <v>128858</v>
      </c>
      <c r="N81" s="16">
        <v>127890</v>
      </c>
      <c r="O81" s="16">
        <v>94374</v>
      </c>
      <c r="P81" s="16">
        <v>146935</v>
      </c>
      <c r="Q81" s="16">
        <v>144487</v>
      </c>
      <c r="R81" s="93">
        <f t="shared" ref="R81:R86" si="24">(Q81-H81)/H81</f>
        <v>0.37983822448024601</v>
      </c>
      <c r="S81" s="93">
        <f t="shared" ref="S81:S86" si="25">(Q81-M81)/M81</f>
        <v>0.12128855018702758</v>
      </c>
      <c r="T81" s="93">
        <f t="shared" ref="T81:T86" si="26">(Q81-P81)/P81</f>
        <v>-1.6660428080443733E-2</v>
      </c>
      <c r="U81" s="95">
        <f t="shared" ref="U81:U86" si="27">Q81/Q$9</f>
        <v>0.64777852499439592</v>
      </c>
    </row>
    <row r="82" spans="1:22" x14ac:dyDescent="0.2">
      <c r="A82" s="4" t="s">
        <v>42</v>
      </c>
      <c r="B82" s="4">
        <v>19833</v>
      </c>
      <c r="C82" s="4">
        <v>20945</v>
      </c>
      <c r="D82" s="4">
        <v>27349</v>
      </c>
      <c r="E82" s="4">
        <v>26790</v>
      </c>
      <c r="F82" s="4">
        <v>32877</v>
      </c>
      <c r="G82" s="16">
        <v>39498</v>
      </c>
      <c r="H82" s="16">
        <v>48329</v>
      </c>
      <c r="I82" s="16">
        <v>55322</v>
      </c>
      <c r="J82" s="16">
        <v>62421</v>
      </c>
      <c r="K82" s="16">
        <v>65178</v>
      </c>
      <c r="L82" s="16">
        <v>68749</v>
      </c>
      <c r="M82" s="16">
        <v>69768</v>
      </c>
      <c r="N82" s="16">
        <v>61152</v>
      </c>
      <c r="O82" s="16">
        <v>52405</v>
      </c>
      <c r="P82" s="16">
        <v>64248</v>
      </c>
      <c r="Q82" s="16">
        <v>58394</v>
      </c>
      <c r="R82" s="86">
        <f t="shared" si="24"/>
        <v>0.20826005090111527</v>
      </c>
      <c r="S82" s="93">
        <f t="shared" si="25"/>
        <v>-0.16302602912510034</v>
      </c>
      <c r="T82" s="93">
        <f t="shared" si="26"/>
        <v>-9.1115676752583738E-2</v>
      </c>
      <c r="U82" s="95">
        <f t="shared" si="27"/>
        <v>0.26179780318314277</v>
      </c>
    </row>
    <row r="83" spans="1:22" x14ac:dyDescent="0.2">
      <c r="A83" s="4" t="s">
        <v>221</v>
      </c>
      <c r="B83" s="4">
        <v>156</v>
      </c>
      <c r="C83" s="4">
        <v>3</v>
      </c>
      <c r="D83" s="4">
        <v>43</v>
      </c>
      <c r="E83" s="4">
        <v>95</v>
      </c>
      <c r="F83" s="4">
        <v>914</v>
      </c>
      <c r="G83" s="16">
        <v>391</v>
      </c>
      <c r="H83" s="16">
        <v>612</v>
      </c>
      <c r="I83" s="16">
        <v>716</v>
      </c>
      <c r="J83" s="16">
        <v>1418</v>
      </c>
      <c r="K83" s="16">
        <v>1587</v>
      </c>
      <c r="L83" s="16">
        <v>1979</v>
      </c>
      <c r="M83" s="16">
        <v>2477</v>
      </c>
      <c r="N83" s="16">
        <v>1985</v>
      </c>
      <c r="O83" s="16">
        <v>2458</v>
      </c>
      <c r="P83" s="16">
        <v>2450</v>
      </c>
      <c r="Q83" s="16">
        <v>2963</v>
      </c>
      <c r="R83" s="86">
        <f t="shared" si="24"/>
        <v>3.8415032679738563</v>
      </c>
      <c r="S83" s="93">
        <f t="shared" si="25"/>
        <v>0.19620508679854662</v>
      </c>
      <c r="T83" s="93">
        <f t="shared" si="26"/>
        <v>0.20938775510204083</v>
      </c>
      <c r="U83" s="95">
        <f t="shared" si="27"/>
        <v>1.3284017036538892E-2</v>
      </c>
    </row>
    <row r="84" spans="1:22" x14ac:dyDescent="0.2">
      <c r="A84" s="97" t="s">
        <v>222</v>
      </c>
      <c r="B84" s="97">
        <v>624</v>
      </c>
      <c r="C84" s="97">
        <v>663</v>
      </c>
      <c r="D84" s="97">
        <v>722</v>
      </c>
      <c r="E84" s="97">
        <v>709</v>
      </c>
      <c r="F84" s="97">
        <v>731</v>
      </c>
      <c r="G84" s="16">
        <v>991</v>
      </c>
      <c r="H84" s="16">
        <v>1722</v>
      </c>
      <c r="I84" s="16">
        <v>1721</v>
      </c>
      <c r="J84" s="16">
        <v>3213</v>
      </c>
      <c r="K84" s="16">
        <v>3772</v>
      </c>
      <c r="L84" s="16">
        <v>3560</v>
      </c>
      <c r="M84" s="16">
        <v>4744</v>
      </c>
      <c r="N84" s="16">
        <v>6077</v>
      </c>
      <c r="O84" s="16">
        <v>7501</v>
      </c>
      <c r="P84" s="16">
        <v>11848</v>
      </c>
      <c r="Q84" s="16">
        <v>15839</v>
      </c>
      <c r="R84" s="93">
        <f t="shared" si="24"/>
        <v>8.1980255516840881</v>
      </c>
      <c r="S84" s="93">
        <f t="shared" si="25"/>
        <v>2.338743676222597</v>
      </c>
      <c r="T84" s="93">
        <f t="shared" si="26"/>
        <v>0.33685010128291692</v>
      </c>
      <c r="U84" s="95">
        <f t="shared" si="27"/>
        <v>7.1010984084286036E-2</v>
      </c>
    </row>
    <row r="85" spans="1:22" x14ac:dyDescent="0.2">
      <c r="A85" s="4" t="s">
        <v>43</v>
      </c>
      <c r="B85" s="4">
        <v>585</v>
      </c>
      <c r="C85" s="4">
        <v>742</v>
      </c>
      <c r="D85" s="4">
        <v>1161</v>
      </c>
      <c r="E85" s="4">
        <v>981</v>
      </c>
      <c r="F85" s="4">
        <v>826</v>
      </c>
      <c r="G85" s="16">
        <v>644</v>
      </c>
      <c r="H85" s="16">
        <v>1124</v>
      </c>
      <c r="I85" s="16">
        <v>2038</v>
      </c>
      <c r="J85" s="16">
        <v>2943</v>
      </c>
      <c r="K85" s="16">
        <v>2515</v>
      </c>
      <c r="L85" s="16">
        <v>2141</v>
      </c>
      <c r="M85" s="16">
        <v>2225</v>
      </c>
      <c r="N85" s="16">
        <v>2984</v>
      </c>
      <c r="O85" s="16">
        <v>2549</v>
      </c>
      <c r="P85" s="16">
        <v>2302</v>
      </c>
      <c r="Q85" s="16">
        <v>1367</v>
      </c>
      <c r="R85" s="86">
        <f t="shared" si="24"/>
        <v>0.21619217081850534</v>
      </c>
      <c r="S85" s="93">
        <f t="shared" si="25"/>
        <v>-0.38561797752808991</v>
      </c>
      <c r="T85" s="93">
        <f t="shared" si="26"/>
        <v>-0.4061685490877498</v>
      </c>
      <c r="U85" s="95">
        <f t="shared" si="27"/>
        <v>6.1286707016364045E-3</v>
      </c>
    </row>
    <row r="86" spans="1:22" x14ac:dyDescent="0.2">
      <c r="A86" s="5" t="s">
        <v>4</v>
      </c>
      <c r="B86" s="5">
        <v>84798</v>
      </c>
      <c r="C86" s="5">
        <v>96431</v>
      </c>
      <c r="D86" s="5">
        <v>105500</v>
      </c>
      <c r="E86" s="5">
        <v>101671</v>
      </c>
      <c r="F86" s="5">
        <v>117849</v>
      </c>
      <c r="G86" s="5">
        <v>135342</v>
      </c>
      <c r="H86" s="5">
        <v>156500</v>
      </c>
      <c r="I86" s="5">
        <v>171206</v>
      </c>
      <c r="J86" s="5">
        <v>188806</v>
      </c>
      <c r="K86" s="5">
        <v>197060</v>
      </c>
      <c r="L86" s="5">
        <v>205202</v>
      </c>
      <c r="M86" s="5">
        <v>208072</v>
      </c>
      <c r="N86" s="5">
        <v>200088</v>
      </c>
      <c r="O86" s="5">
        <v>159287</v>
      </c>
      <c r="P86" s="5">
        <v>227783</v>
      </c>
      <c r="Q86" s="5">
        <v>223050</v>
      </c>
      <c r="R86" s="70">
        <f t="shared" si="24"/>
        <v>0.42523961661341853</v>
      </c>
      <c r="S86" s="94">
        <f t="shared" si="25"/>
        <v>7.198469760467531E-2</v>
      </c>
      <c r="T86" s="94">
        <f t="shared" si="26"/>
        <v>-2.0778548004021371E-2</v>
      </c>
      <c r="U86" s="96">
        <f t="shared" si="27"/>
        <v>1</v>
      </c>
    </row>
    <row r="87" spans="1:22" x14ac:dyDescent="0.2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32"/>
      <c r="S87" s="32"/>
      <c r="T87" s="32"/>
      <c r="U87" s="32"/>
    </row>
    <row r="88" spans="1:22" ht="15.75" x14ac:dyDescent="0.2">
      <c r="A88" s="33" t="s">
        <v>295</v>
      </c>
      <c r="B88" s="33"/>
      <c r="C88" s="33"/>
      <c r="D88" s="33"/>
      <c r="E88" s="33"/>
      <c r="F88" s="33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</row>
    <row r="89" spans="1:22" ht="25.5" x14ac:dyDescent="0.2">
      <c r="A89" s="75" t="s">
        <v>10</v>
      </c>
      <c r="B89" s="3">
        <v>2007</v>
      </c>
      <c r="C89" s="3">
        <v>2008</v>
      </c>
      <c r="D89" s="3">
        <v>2009</v>
      </c>
      <c r="E89" s="3">
        <v>2010</v>
      </c>
      <c r="F89" s="3">
        <v>2011</v>
      </c>
      <c r="G89" s="3">
        <v>2012</v>
      </c>
      <c r="H89" s="3">
        <v>2013</v>
      </c>
      <c r="I89" s="3">
        <v>2014</v>
      </c>
      <c r="J89" s="3">
        <v>2015</v>
      </c>
      <c r="K89" s="3">
        <v>2016</v>
      </c>
      <c r="L89" s="3">
        <v>2017</v>
      </c>
      <c r="M89" s="3">
        <v>2018</v>
      </c>
      <c r="N89" s="3">
        <v>2019</v>
      </c>
      <c r="O89" s="3">
        <v>2020</v>
      </c>
      <c r="P89" s="3">
        <v>2021</v>
      </c>
      <c r="Q89" s="3">
        <v>2022</v>
      </c>
      <c r="R89" s="12" t="s">
        <v>406</v>
      </c>
      <c r="S89" s="12" t="s">
        <v>407</v>
      </c>
      <c r="T89" s="12" t="s">
        <v>408</v>
      </c>
      <c r="U89" s="12" t="s">
        <v>409</v>
      </c>
    </row>
    <row r="90" spans="1:22" x14ac:dyDescent="0.2">
      <c r="A90" s="4" t="s">
        <v>11</v>
      </c>
      <c r="B90" s="4">
        <v>15291</v>
      </c>
      <c r="C90" s="4">
        <v>15783</v>
      </c>
      <c r="D90" s="4">
        <v>17729</v>
      </c>
      <c r="E90" s="4">
        <v>18120</v>
      </c>
      <c r="F90" s="4">
        <v>22019</v>
      </c>
      <c r="G90" s="16">
        <v>25788</v>
      </c>
      <c r="H90" s="16">
        <v>30195</v>
      </c>
      <c r="I90" s="16">
        <v>33977</v>
      </c>
      <c r="J90" s="16">
        <v>37570</v>
      </c>
      <c r="K90" s="16">
        <v>41869</v>
      </c>
      <c r="L90" s="16">
        <v>44000</v>
      </c>
      <c r="M90" s="16">
        <v>46861</v>
      </c>
      <c r="N90" s="16">
        <v>46141</v>
      </c>
      <c r="O90" s="16">
        <v>41054</v>
      </c>
      <c r="P90" s="16">
        <v>52363</v>
      </c>
      <c r="Q90" s="16">
        <v>51453</v>
      </c>
      <c r="R90" s="86">
        <f t="shared" ref="R90:R100" si="28">(Q90-H90)/H90</f>
        <v>0.70402384500745152</v>
      </c>
      <c r="S90" s="93">
        <f t="shared" ref="S90:S100" si="29">(Q90-M90)/M90</f>
        <v>9.7991933590832456E-2</v>
      </c>
      <c r="T90" s="93">
        <f t="shared" ref="T90:T100" si="30">(Q90-P90)/P90</f>
        <v>-1.7378683421499914E-2</v>
      </c>
      <c r="U90" s="95">
        <f>Q90/Q$9</f>
        <v>0.23067921990585072</v>
      </c>
      <c r="V90" s="92"/>
    </row>
    <row r="91" spans="1:22" x14ac:dyDescent="0.2">
      <c r="A91" s="4" t="s">
        <v>12</v>
      </c>
      <c r="B91" s="4">
        <v>2704</v>
      </c>
      <c r="C91" s="4">
        <v>3323</v>
      </c>
      <c r="D91" s="4">
        <v>3229</v>
      </c>
      <c r="E91" s="4">
        <v>3003</v>
      </c>
      <c r="F91" s="4">
        <v>3201</v>
      </c>
      <c r="G91" s="16">
        <v>3532</v>
      </c>
      <c r="H91" s="16">
        <v>3714</v>
      </c>
      <c r="I91" s="16">
        <v>3983</v>
      </c>
      <c r="J91" s="16">
        <v>4046</v>
      </c>
      <c r="K91" s="16">
        <v>4033</v>
      </c>
      <c r="L91" s="16">
        <v>3927</v>
      </c>
      <c r="M91" s="16">
        <v>3856</v>
      </c>
      <c r="N91" s="16">
        <v>3892</v>
      </c>
      <c r="O91" s="16">
        <v>3077</v>
      </c>
      <c r="P91" s="16">
        <v>4839</v>
      </c>
      <c r="Q91" s="16">
        <v>5164</v>
      </c>
      <c r="R91" s="86">
        <f t="shared" si="28"/>
        <v>0.39041464728056002</v>
      </c>
      <c r="S91" s="93">
        <f t="shared" si="29"/>
        <v>0.33921161825726143</v>
      </c>
      <c r="T91" s="93">
        <f t="shared" si="30"/>
        <v>6.7162636908452159E-2</v>
      </c>
      <c r="U91" s="95">
        <f t="shared" ref="U91:U100" si="31">Q91/Q$9</f>
        <v>2.315175969513562E-2</v>
      </c>
      <c r="V91" s="92"/>
    </row>
    <row r="92" spans="1:22" x14ac:dyDescent="0.2">
      <c r="A92" s="4" t="s">
        <v>13</v>
      </c>
      <c r="B92" s="4">
        <v>4889</v>
      </c>
      <c r="C92" s="4">
        <v>4996</v>
      </c>
      <c r="D92" s="4">
        <v>5652</v>
      </c>
      <c r="E92" s="4">
        <v>5221</v>
      </c>
      <c r="F92" s="4">
        <v>5900</v>
      </c>
      <c r="G92" s="16">
        <v>6396</v>
      </c>
      <c r="H92" s="16">
        <v>7403</v>
      </c>
      <c r="I92" s="16">
        <v>7221</v>
      </c>
      <c r="J92" s="16">
        <v>7337</v>
      </c>
      <c r="K92" s="16">
        <v>6765</v>
      </c>
      <c r="L92" s="16">
        <v>7433</v>
      </c>
      <c r="M92" s="16">
        <v>7212</v>
      </c>
      <c r="N92" s="16">
        <v>6618</v>
      </c>
      <c r="O92" s="16">
        <v>5782</v>
      </c>
      <c r="P92" s="16">
        <v>8391</v>
      </c>
      <c r="Q92" s="16">
        <v>9015</v>
      </c>
      <c r="R92" s="86">
        <f t="shared" si="28"/>
        <v>0.21774956098878834</v>
      </c>
      <c r="S92" s="93">
        <f t="shared" si="29"/>
        <v>0.25</v>
      </c>
      <c r="T92" s="93">
        <f t="shared" si="30"/>
        <v>7.4365391490883087E-2</v>
      </c>
      <c r="U92" s="95">
        <f t="shared" si="31"/>
        <v>4.041694687289845E-2</v>
      </c>
      <c r="V92" s="92"/>
    </row>
    <row r="93" spans="1:22" x14ac:dyDescent="0.2">
      <c r="A93" s="4" t="s">
        <v>14</v>
      </c>
      <c r="B93" s="4">
        <v>1394</v>
      </c>
      <c r="C93" s="4">
        <v>1383</v>
      </c>
      <c r="D93" s="4">
        <v>1378</v>
      </c>
      <c r="E93" s="4">
        <v>1282</v>
      </c>
      <c r="F93" s="4">
        <v>1393</v>
      </c>
      <c r="G93" s="16">
        <v>1594</v>
      </c>
      <c r="H93" s="16">
        <v>1503</v>
      </c>
      <c r="I93" s="16">
        <v>1685</v>
      </c>
      <c r="J93" s="16">
        <v>1909</v>
      </c>
      <c r="K93" s="16">
        <v>1896</v>
      </c>
      <c r="L93" s="16">
        <v>1892</v>
      </c>
      <c r="M93" s="16">
        <v>1822</v>
      </c>
      <c r="N93" s="16">
        <v>1890</v>
      </c>
      <c r="O93" s="16">
        <v>1545</v>
      </c>
      <c r="P93" s="16">
        <v>1927</v>
      </c>
      <c r="Q93" s="16">
        <v>2420</v>
      </c>
      <c r="R93" s="86">
        <f t="shared" si="28"/>
        <v>0.61011310711909517</v>
      </c>
      <c r="S93" s="93">
        <f t="shared" si="29"/>
        <v>0.32821075740944017</v>
      </c>
      <c r="T93" s="93">
        <f t="shared" si="30"/>
        <v>0.25583809029579657</v>
      </c>
      <c r="U93" s="95">
        <f t="shared" si="31"/>
        <v>1.0849585294776956E-2</v>
      </c>
      <c r="V93" s="92"/>
    </row>
    <row r="94" spans="1:22" x14ac:dyDescent="0.2">
      <c r="A94" s="4" t="s">
        <v>15</v>
      </c>
      <c r="B94" s="4">
        <v>9202</v>
      </c>
      <c r="C94" s="4">
        <v>10144</v>
      </c>
      <c r="D94" s="4">
        <v>10980</v>
      </c>
      <c r="E94" s="4">
        <v>9941</v>
      </c>
      <c r="F94" s="4">
        <v>11527</v>
      </c>
      <c r="G94" s="16">
        <v>13026</v>
      </c>
      <c r="H94" s="16">
        <v>14436</v>
      </c>
      <c r="I94" s="16">
        <v>15718</v>
      </c>
      <c r="J94" s="16">
        <v>16760</v>
      </c>
      <c r="K94" s="16">
        <v>16803</v>
      </c>
      <c r="L94" s="16">
        <v>17941</v>
      </c>
      <c r="M94" s="16">
        <v>18270</v>
      </c>
      <c r="N94" s="16">
        <v>17129</v>
      </c>
      <c r="O94" s="16">
        <v>16630</v>
      </c>
      <c r="P94" s="16">
        <v>23675</v>
      </c>
      <c r="Q94" s="16">
        <v>23874</v>
      </c>
      <c r="R94" s="86">
        <f t="shared" si="28"/>
        <v>0.65378221113881962</v>
      </c>
      <c r="S94" s="93">
        <f t="shared" si="29"/>
        <v>0.30673234811165845</v>
      </c>
      <c r="T94" s="93">
        <f t="shared" si="30"/>
        <v>8.4054910242872226E-3</v>
      </c>
      <c r="U94" s="95">
        <f t="shared" si="31"/>
        <v>0.10703429724277068</v>
      </c>
      <c r="V94" s="92"/>
    </row>
    <row r="95" spans="1:22" x14ac:dyDescent="0.2">
      <c r="A95" s="4" t="s">
        <v>16</v>
      </c>
      <c r="B95" s="4">
        <v>4525</v>
      </c>
      <c r="C95" s="4">
        <v>5589</v>
      </c>
      <c r="D95" s="4">
        <v>5846</v>
      </c>
      <c r="E95" s="4">
        <v>4542</v>
      </c>
      <c r="F95" s="4">
        <v>4558</v>
      </c>
      <c r="G95" s="16">
        <v>4295</v>
      </c>
      <c r="H95" s="16">
        <v>4151</v>
      </c>
      <c r="I95" s="16">
        <v>4397</v>
      </c>
      <c r="J95" s="16">
        <v>4296</v>
      </c>
      <c r="K95" s="16">
        <v>4393</v>
      </c>
      <c r="L95" s="16">
        <v>4906</v>
      </c>
      <c r="M95" s="16">
        <v>4402</v>
      </c>
      <c r="N95" s="16">
        <v>4537</v>
      </c>
      <c r="O95" s="16">
        <v>3345</v>
      </c>
      <c r="P95" s="16">
        <v>4290</v>
      </c>
      <c r="Q95" s="16">
        <v>4631</v>
      </c>
      <c r="R95" s="86">
        <f t="shared" si="28"/>
        <v>0.11563478679836184</v>
      </c>
      <c r="S95" s="93">
        <f t="shared" si="29"/>
        <v>5.2021808268968649E-2</v>
      </c>
      <c r="T95" s="93">
        <f t="shared" si="30"/>
        <v>7.9487179487179482E-2</v>
      </c>
      <c r="U95" s="95">
        <f t="shared" si="31"/>
        <v>2.0762160950459539E-2</v>
      </c>
      <c r="V95" s="92"/>
    </row>
    <row r="96" spans="1:22" x14ac:dyDescent="0.2">
      <c r="A96" s="4" t="s">
        <v>17</v>
      </c>
      <c r="B96" s="4">
        <v>16836</v>
      </c>
      <c r="C96" s="4">
        <v>17856</v>
      </c>
      <c r="D96" s="4">
        <v>19952</v>
      </c>
      <c r="E96" s="4">
        <v>19571</v>
      </c>
      <c r="F96" s="4">
        <v>20273</v>
      </c>
      <c r="G96" s="16">
        <v>22539</v>
      </c>
      <c r="H96" s="16">
        <v>25956</v>
      </c>
      <c r="I96" s="16">
        <v>26578</v>
      </c>
      <c r="J96" s="16">
        <v>28129</v>
      </c>
      <c r="K96" s="16">
        <v>28284</v>
      </c>
      <c r="L96" s="16">
        <v>30140</v>
      </c>
      <c r="M96" s="16">
        <v>29123</v>
      </c>
      <c r="N96" s="16">
        <v>31204</v>
      </c>
      <c r="O96" s="16">
        <v>25628</v>
      </c>
      <c r="P96" s="16">
        <v>31836</v>
      </c>
      <c r="Q96" s="16">
        <v>26886</v>
      </c>
      <c r="R96" s="86">
        <f t="shared" si="28"/>
        <v>3.5829865926953308E-2</v>
      </c>
      <c r="S96" s="93">
        <f t="shared" si="29"/>
        <v>-7.681214160629056E-2</v>
      </c>
      <c r="T96" s="93">
        <f t="shared" si="30"/>
        <v>-0.15548435733132304</v>
      </c>
      <c r="U96" s="95">
        <f t="shared" si="31"/>
        <v>0.12053799596503026</v>
      </c>
      <c r="V96" s="92"/>
    </row>
    <row r="97" spans="1:22" x14ac:dyDescent="0.2">
      <c r="A97" s="4" t="s">
        <v>18</v>
      </c>
      <c r="B97" s="4">
        <v>662</v>
      </c>
      <c r="C97" s="4">
        <v>993</v>
      </c>
      <c r="D97" s="4">
        <v>1057</v>
      </c>
      <c r="E97" s="4">
        <v>1036</v>
      </c>
      <c r="F97" s="4">
        <v>1113</v>
      </c>
      <c r="G97" s="16">
        <v>1189</v>
      </c>
      <c r="H97" s="16">
        <v>1102</v>
      </c>
      <c r="I97" s="16">
        <v>1214</v>
      </c>
      <c r="J97" s="16">
        <v>1363</v>
      </c>
      <c r="K97" s="16">
        <v>1203</v>
      </c>
      <c r="L97" s="16">
        <v>1358</v>
      </c>
      <c r="M97" s="16">
        <v>1238</v>
      </c>
      <c r="N97" s="16">
        <v>1334</v>
      </c>
      <c r="O97" s="16">
        <v>1197</v>
      </c>
      <c r="P97" s="16">
        <v>1460</v>
      </c>
      <c r="Q97" s="16">
        <v>1377</v>
      </c>
      <c r="R97" s="86">
        <f t="shared" si="28"/>
        <v>0.24954627949183303</v>
      </c>
      <c r="S97" s="93">
        <f t="shared" si="29"/>
        <v>0.1122778675282714</v>
      </c>
      <c r="T97" s="93">
        <f t="shared" si="30"/>
        <v>-5.6849315068493153E-2</v>
      </c>
      <c r="U97" s="95">
        <f t="shared" si="31"/>
        <v>6.1735036987222592E-3</v>
      </c>
      <c r="V97" s="92"/>
    </row>
    <row r="98" spans="1:22" x14ac:dyDescent="0.2">
      <c r="A98" s="4" t="s">
        <v>19</v>
      </c>
      <c r="B98" s="4">
        <v>9646</v>
      </c>
      <c r="C98" s="4">
        <v>16004</v>
      </c>
      <c r="D98" s="4">
        <v>16208</v>
      </c>
      <c r="E98" s="4">
        <v>15638</v>
      </c>
      <c r="F98" s="4">
        <v>21408</v>
      </c>
      <c r="G98" s="16">
        <v>25735</v>
      </c>
      <c r="H98" s="16">
        <v>29821</v>
      </c>
      <c r="I98" s="16">
        <v>32194</v>
      </c>
      <c r="J98" s="16">
        <v>34733</v>
      </c>
      <c r="K98" s="16">
        <v>36072</v>
      </c>
      <c r="L98" s="16">
        <v>36029</v>
      </c>
      <c r="M98" s="16">
        <v>37245</v>
      </c>
      <c r="N98" s="16">
        <v>35491</v>
      </c>
      <c r="O98" s="16">
        <v>19117</v>
      </c>
      <c r="P98" s="16">
        <v>44732</v>
      </c>
      <c r="Q98" s="16">
        <v>43827</v>
      </c>
      <c r="R98" s="86">
        <f t="shared" si="28"/>
        <v>0.46966902518359543</v>
      </c>
      <c r="S98" s="93">
        <f t="shared" si="29"/>
        <v>0.17672170761175998</v>
      </c>
      <c r="T98" s="93">
        <f t="shared" si="30"/>
        <v>-2.0231601538048823E-2</v>
      </c>
      <c r="U98" s="95">
        <f t="shared" si="31"/>
        <v>0.19648957632817754</v>
      </c>
      <c r="V98" s="92"/>
    </row>
    <row r="99" spans="1:22" x14ac:dyDescent="0.2">
      <c r="A99" s="4" t="s">
        <v>20</v>
      </c>
      <c r="B99" s="4">
        <v>19649</v>
      </c>
      <c r="C99" s="4">
        <v>20360</v>
      </c>
      <c r="D99" s="4">
        <v>23469</v>
      </c>
      <c r="E99" s="4">
        <v>23317</v>
      </c>
      <c r="F99" s="4">
        <v>26457</v>
      </c>
      <c r="G99" s="16">
        <v>31248</v>
      </c>
      <c r="H99" s="16">
        <v>38219</v>
      </c>
      <c r="I99" s="16">
        <v>44239</v>
      </c>
      <c r="J99" s="16">
        <v>52663</v>
      </c>
      <c r="K99" s="16">
        <v>55742</v>
      </c>
      <c r="L99" s="16">
        <v>57576</v>
      </c>
      <c r="M99" s="16">
        <v>58043</v>
      </c>
      <c r="N99" s="16">
        <v>51852</v>
      </c>
      <c r="O99" s="16">
        <v>41912</v>
      </c>
      <c r="P99" s="16">
        <v>54270</v>
      </c>
      <c r="Q99" s="16">
        <v>54403</v>
      </c>
      <c r="R99" s="86">
        <f t="shared" si="28"/>
        <v>0.42345430283366914</v>
      </c>
      <c r="S99" s="93">
        <f t="shared" si="29"/>
        <v>-6.2712127216029492E-2</v>
      </c>
      <c r="T99" s="93">
        <f t="shared" si="30"/>
        <v>2.4507094158835452E-3</v>
      </c>
      <c r="U99" s="95">
        <f t="shared" si="31"/>
        <v>0.24390495404617799</v>
      </c>
      <c r="V99" s="92"/>
    </row>
    <row r="100" spans="1:22" x14ac:dyDescent="0.2">
      <c r="A100" s="5" t="s">
        <v>4</v>
      </c>
      <c r="B100" s="5">
        <v>84798</v>
      </c>
      <c r="C100" s="5">
        <v>96431</v>
      </c>
      <c r="D100" s="5">
        <v>105500</v>
      </c>
      <c r="E100" s="5">
        <v>101671</v>
      </c>
      <c r="F100" s="5">
        <v>117849</v>
      </c>
      <c r="G100" s="5">
        <v>135342</v>
      </c>
      <c r="H100" s="5">
        <v>156500</v>
      </c>
      <c r="I100" s="5">
        <v>171206</v>
      </c>
      <c r="J100" s="5">
        <v>188806</v>
      </c>
      <c r="K100" s="5">
        <v>197060</v>
      </c>
      <c r="L100" s="5">
        <v>205202</v>
      </c>
      <c r="M100" s="5">
        <v>208072</v>
      </c>
      <c r="N100" s="5">
        <v>200088</v>
      </c>
      <c r="O100" s="5">
        <v>159287</v>
      </c>
      <c r="P100" s="5">
        <v>227783</v>
      </c>
      <c r="Q100" s="5">
        <v>223050</v>
      </c>
      <c r="R100" s="70">
        <f t="shared" si="28"/>
        <v>0.42523961661341853</v>
      </c>
      <c r="S100" s="94">
        <f t="shared" si="29"/>
        <v>7.198469760467531E-2</v>
      </c>
      <c r="T100" s="94">
        <f t="shared" si="30"/>
        <v>-2.0778548004021371E-2</v>
      </c>
      <c r="U100" s="96">
        <f t="shared" si="31"/>
        <v>1</v>
      </c>
    </row>
    <row r="101" spans="1:22" x14ac:dyDescent="0.2">
      <c r="A101" s="64"/>
      <c r="B101" s="64"/>
      <c r="C101" s="64"/>
      <c r="D101" s="64"/>
      <c r="E101" s="64"/>
      <c r="F101" s="64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</row>
    <row r="102" spans="1:22" ht="15.75" x14ac:dyDescent="0.2">
      <c r="A102" s="33" t="s">
        <v>430</v>
      </c>
      <c r="B102" s="33"/>
      <c r="C102" s="33"/>
      <c r="D102" s="33"/>
      <c r="E102" s="33"/>
      <c r="F102" s="33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</row>
    <row r="103" spans="1:22" ht="25.5" x14ac:dyDescent="0.2">
      <c r="A103" s="75" t="s">
        <v>10</v>
      </c>
      <c r="B103" s="3">
        <v>2007</v>
      </c>
      <c r="C103" s="3">
        <v>2008</v>
      </c>
      <c r="D103" s="3">
        <v>2009</v>
      </c>
      <c r="E103" s="3">
        <v>2010</v>
      </c>
      <c r="F103" s="3">
        <v>2011</v>
      </c>
      <c r="G103" s="3">
        <v>2012</v>
      </c>
      <c r="H103" s="3">
        <v>2013</v>
      </c>
      <c r="I103" s="3">
        <v>2014</v>
      </c>
      <c r="J103" s="3">
        <v>2015</v>
      </c>
      <c r="K103" s="3">
        <v>2016</v>
      </c>
      <c r="L103" s="3">
        <v>2017</v>
      </c>
      <c r="M103" s="3">
        <v>2018</v>
      </c>
      <c r="N103" s="3">
        <v>2019</v>
      </c>
      <c r="O103" s="3">
        <v>2020</v>
      </c>
      <c r="P103" s="3">
        <v>2021</v>
      </c>
      <c r="Q103" s="3">
        <v>2022</v>
      </c>
      <c r="R103" s="12" t="s">
        <v>406</v>
      </c>
      <c r="S103" s="12" t="s">
        <v>407</v>
      </c>
      <c r="T103" s="12" t="s">
        <v>408</v>
      </c>
      <c r="U103" s="12" t="s">
        <v>409</v>
      </c>
    </row>
    <row r="104" spans="1:22" x14ac:dyDescent="0.2">
      <c r="A104" s="4" t="s">
        <v>11</v>
      </c>
      <c r="B104" s="4">
        <v>8082</v>
      </c>
      <c r="C104" s="4">
        <v>8403</v>
      </c>
      <c r="D104" s="4">
        <v>9791</v>
      </c>
      <c r="E104" s="4">
        <v>10017</v>
      </c>
      <c r="F104" s="4">
        <v>12478</v>
      </c>
      <c r="G104" s="16">
        <v>14937</v>
      </c>
      <c r="H104" s="16">
        <v>17748</v>
      </c>
      <c r="I104" s="16">
        <v>19999</v>
      </c>
      <c r="J104" s="16">
        <v>22074</v>
      </c>
      <c r="K104" s="16">
        <v>25527</v>
      </c>
      <c r="L104" s="16">
        <v>26386</v>
      </c>
      <c r="M104" s="16">
        <v>28102</v>
      </c>
      <c r="N104" s="16">
        <v>27770</v>
      </c>
      <c r="O104" s="16">
        <v>24696</v>
      </c>
      <c r="P104" s="16">
        <v>31342</v>
      </c>
      <c r="Q104" s="16">
        <v>30651</v>
      </c>
      <c r="R104" s="86">
        <f>(Q104-H104)/H104</f>
        <v>0.72701149425287359</v>
      </c>
      <c r="S104" s="93">
        <f>(Q104-M104)/M104</f>
        <v>9.0705287879866203E-2</v>
      </c>
      <c r="T104" s="93">
        <f>(Q104-P104)/P104</f>
        <v>-2.204709335715653E-2</v>
      </c>
      <c r="U104" s="95">
        <f>Q104/Q$114</f>
        <v>0.24051318267419963</v>
      </c>
    </row>
    <row r="105" spans="1:22" x14ac:dyDescent="0.2">
      <c r="A105" s="4" t="s">
        <v>12</v>
      </c>
      <c r="B105" s="4">
        <v>1142</v>
      </c>
      <c r="C105" s="4">
        <v>1427</v>
      </c>
      <c r="D105" s="4">
        <v>1391</v>
      </c>
      <c r="E105" s="4">
        <v>1342</v>
      </c>
      <c r="F105" s="4">
        <v>1372</v>
      </c>
      <c r="G105" s="16">
        <v>1596</v>
      </c>
      <c r="H105" s="16">
        <v>1710</v>
      </c>
      <c r="I105" s="16">
        <v>1855</v>
      </c>
      <c r="J105" s="16">
        <v>1919</v>
      </c>
      <c r="K105" s="16">
        <v>1888</v>
      </c>
      <c r="L105" s="16">
        <v>1860</v>
      </c>
      <c r="M105" s="16">
        <v>1848</v>
      </c>
      <c r="N105" s="16">
        <v>1931</v>
      </c>
      <c r="O105" s="16">
        <v>1521</v>
      </c>
      <c r="P105" s="16">
        <v>2638</v>
      </c>
      <c r="Q105" s="16">
        <v>2808</v>
      </c>
      <c r="R105" s="86">
        <f t="shared" ref="R105:R114" si="32">(Q105-H105)/H105</f>
        <v>0.64210526315789473</v>
      </c>
      <c r="S105" s="93">
        <f t="shared" ref="S105:S114" si="33">(Q105-M105)/M105</f>
        <v>0.51948051948051943</v>
      </c>
      <c r="T105" s="93">
        <f t="shared" ref="T105:T114" si="34">(Q105-P105)/P105</f>
        <v>6.4442759666413954E-2</v>
      </c>
      <c r="U105" s="95">
        <f t="shared" ref="U105:U113" si="35">Q105/Q$114</f>
        <v>2.2033898305084745E-2</v>
      </c>
    </row>
    <row r="106" spans="1:22" x14ac:dyDescent="0.2">
      <c r="A106" s="4" t="s">
        <v>13</v>
      </c>
      <c r="B106" s="4">
        <v>2502</v>
      </c>
      <c r="C106" s="4">
        <v>2513</v>
      </c>
      <c r="D106" s="4">
        <v>2880</v>
      </c>
      <c r="E106" s="4">
        <v>2629</v>
      </c>
      <c r="F106" s="4">
        <v>2932</v>
      </c>
      <c r="G106" s="16">
        <v>3406</v>
      </c>
      <c r="H106" s="16">
        <v>4008</v>
      </c>
      <c r="I106" s="16">
        <v>3875</v>
      </c>
      <c r="J106" s="16">
        <v>4126</v>
      </c>
      <c r="K106" s="16">
        <v>3809</v>
      </c>
      <c r="L106" s="16">
        <v>4331</v>
      </c>
      <c r="M106" s="16">
        <v>4140</v>
      </c>
      <c r="N106" s="16">
        <v>3910</v>
      </c>
      <c r="O106" s="16">
        <v>3466</v>
      </c>
      <c r="P106" s="16">
        <v>5043</v>
      </c>
      <c r="Q106" s="16">
        <v>5685</v>
      </c>
      <c r="R106" s="86">
        <f t="shared" si="32"/>
        <v>0.41841317365269459</v>
      </c>
      <c r="S106" s="93">
        <f t="shared" si="33"/>
        <v>0.37318840579710144</v>
      </c>
      <c r="T106" s="93">
        <f t="shared" si="34"/>
        <v>0.1273051754907793</v>
      </c>
      <c r="U106" s="95">
        <f t="shared" si="35"/>
        <v>4.4609227871939737E-2</v>
      </c>
    </row>
    <row r="107" spans="1:22" x14ac:dyDescent="0.2">
      <c r="A107" s="4" t="s">
        <v>14</v>
      </c>
      <c r="B107" s="4">
        <v>735</v>
      </c>
      <c r="C107" s="4">
        <v>678</v>
      </c>
      <c r="D107" s="4">
        <v>688</v>
      </c>
      <c r="E107" s="4">
        <v>623</v>
      </c>
      <c r="F107" s="4">
        <v>695</v>
      </c>
      <c r="G107" s="16">
        <v>821</v>
      </c>
      <c r="H107" s="16">
        <v>765</v>
      </c>
      <c r="I107" s="16">
        <v>795</v>
      </c>
      <c r="J107" s="16">
        <v>889</v>
      </c>
      <c r="K107" s="16">
        <v>851</v>
      </c>
      <c r="L107" s="16">
        <v>844</v>
      </c>
      <c r="M107" s="16">
        <v>817</v>
      </c>
      <c r="N107" s="16">
        <v>819</v>
      </c>
      <c r="O107" s="16">
        <v>619</v>
      </c>
      <c r="P107" s="16">
        <v>792</v>
      </c>
      <c r="Q107" s="16">
        <v>1050</v>
      </c>
      <c r="R107" s="86">
        <f t="shared" si="32"/>
        <v>0.37254901960784315</v>
      </c>
      <c r="S107" s="93">
        <f t="shared" si="33"/>
        <v>0.28518971848225216</v>
      </c>
      <c r="T107" s="93">
        <f t="shared" si="34"/>
        <v>0.32575757575757575</v>
      </c>
      <c r="U107" s="95">
        <f t="shared" si="35"/>
        <v>8.2391713747645944E-3</v>
      </c>
    </row>
    <row r="108" spans="1:22" x14ac:dyDescent="0.2">
      <c r="A108" s="4" t="s">
        <v>15</v>
      </c>
      <c r="B108" s="4">
        <v>6586</v>
      </c>
      <c r="C108" s="4">
        <v>7093</v>
      </c>
      <c r="D108" s="4">
        <v>7625</v>
      </c>
      <c r="E108" s="4">
        <v>6857</v>
      </c>
      <c r="F108" s="4">
        <v>7988</v>
      </c>
      <c r="G108" s="16">
        <v>9114</v>
      </c>
      <c r="H108" s="16">
        <v>9977</v>
      </c>
      <c r="I108" s="16">
        <v>11030</v>
      </c>
      <c r="J108" s="16">
        <v>11687</v>
      </c>
      <c r="K108" s="16">
        <v>11891</v>
      </c>
      <c r="L108" s="16">
        <v>12790</v>
      </c>
      <c r="M108" s="16">
        <v>13346</v>
      </c>
      <c r="N108" s="16">
        <v>12358</v>
      </c>
      <c r="O108" s="16">
        <v>12118</v>
      </c>
      <c r="P108" s="16">
        <v>17373</v>
      </c>
      <c r="Q108" s="16">
        <v>17442</v>
      </c>
      <c r="R108" s="86">
        <f t="shared" si="32"/>
        <v>0.74822090808860375</v>
      </c>
      <c r="S108" s="93">
        <f t="shared" si="33"/>
        <v>0.30690843698486436</v>
      </c>
      <c r="T108" s="93">
        <f t="shared" si="34"/>
        <v>3.9716801934035571E-3</v>
      </c>
      <c r="U108" s="95">
        <f t="shared" si="35"/>
        <v>0.13686440677966102</v>
      </c>
    </row>
    <row r="109" spans="1:22" x14ac:dyDescent="0.2">
      <c r="A109" s="4" t="s">
        <v>16</v>
      </c>
      <c r="B109" s="4">
        <v>2687</v>
      </c>
      <c r="C109" s="4">
        <v>3435</v>
      </c>
      <c r="D109" s="4">
        <v>3437</v>
      </c>
      <c r="E109" s="4">
        <v>2599</v>
      </c>
      <c r="F109" s="4">
        <v>2586</v>
      </c>
      <c r="G109" s="16">
        <v>2533</v>
      </c>
      <c r="H109" s="16">
        <v>2365</v>
      </c>
      <c r="I109" s="16">
        <v>2345</v>
      </c>
      <c r="J109" s="16">
        <v>2348</v>
      </c>
      <c r="K109" s="16">
        <v>2381</v>
      </c>
      <c r="L109" s="16">
        <v>2595</v>
      </c>
      <c r="M109" s="16">
        <v>2429</v>
      </c>
      <c r="N109" s="16">
        <v>2512</v>
      </c>
      <c r="O109" s="16">
        <v>1826</v>
      </c>
      <c r="P109" s="16">
        <v>2355</v>
      </c>
      <c r="Q109" s="16">
        <v>2642</v>
      </c>
      <c r="R109" s="86">
        <f t="shared" si="32"/>
        <v>0.11712473572938689</v>
      </c>
      <c r="S109" s="93">
        <f t="shared" si="33"/>
        <v>8.76904075751338E-2</v>
      </c>
      <c r="T109" s="93">
        <f t="shared" si="34"/>
        <v>0.12186836518046709</v>
      </c>
      <c r="U109" s="95">
        <f t="shared" si="35"/>
        <v>2.0731324544883866E-2</v>
      </c>
    </row>
    <row r="110" spans="1:22" x14ac:dyDescent="0.2">
      <c r="A110" s="4" t="s">
        <v>17</v>
      </c>
      <c r="B110" s="4">
        <v>12719</v>
      </c>
      <c r="C110" s="4">
        <v>13518</v>
      </c>
      <c r="D110" s="4">
        <v>14785</v>
      </c>
      <c r="E110" s="4">
        <v>14322</v>
      </c>
      <c r="F110" s="4">
        <v>15012</v>
      </c>
      <c r="G110" s="16">
        <v>16481</v>
      </c>
      <c r="H110" s="16">
        <v>19653</v>
      </c>
      <c r="I110" s="16">
        <v>19951</v>
      </c>
      <c r="J110" s="16">
        <v>21365</v>
      </c>
      <c r="K110" s="16">
        <v>21775</v>
      </c>
      <c r="L110" s="16">
        <v>23878</v>
      </c>
      <c r="M110" s="16">
        <v>23627</v>
      </c>
      <c r="N110" s="16">
        <v>25267</v>
      </c>
      <c r="O110" s="16">
        <v>21353</v>
      </c>
      <c r="P110" s="16">
        <v>26293</v>
      </c>
      <c r="Q110" s="16">
        <v>21338</v>
      </c>
      <c r="R110" s="86">
        <f t="shared" si="32"/>
        <v>8.5737546430570397E-2</v>
      </c>
      <c r="S110" s="93">
        <f t="shared" si="33"/>
        <v>-9.6880687349219119E-2</v>
      </c>
      <c r="T110" s="93">
        <f t="shared" si="34"/>
        <v>-0.18845320047160841</v>
      </c>
      <c r="U110" s="95">
        <f t="shared" si="35"/>
        <v>0.16743565599497803</v>
      </c>
    </row>
    <row r="111" spans="1:22" x14ac:dyDescent="0.2">
      <c r="A111" s="4" t="s">
        <v>18</v>
      </c>
      <c r="B111" s="4">
        <v>446</v>
      </c>
      <c r="C111" s="4">
        <v>705</v>
      </c>
      <c r="D111" s="4">
        <v>674</v>
      </c>
      <c r="E111" s="4">
        <v>643</v>
      </c>
      <c r="F111" s="4">
        <v>726</v>
      </c>
      <c r="G111" s="16">
        <v>783</v>
      </c>
      <c r="H111" s="16">
        <v>695</v>
      </c>
      <c r="I111" s="16">
        <v>782</v>
      </c>
      <c r="J111" s="16">
        <v>831</v>
      </c>
      <c r="K111" s="16">
        <v>767</v>
      </c>
      <c r="L111" s="16">
        <v>886</v>
      </c>
      <c r="M111" s="16">
        <v>794</v>
      </c>
      <c r="N111" s="16">
        <v>828</v>
      </c>
      <c r="O111" s="16">
        <v>803</v>
      </c>
      <c r="P111" s="16">
        <v>942</v>
      </c>
      <c r="Q111" s="16">
        <v>869</v>
      </c>
      <c r="R111" s="86">
        <f t="shared" si="32"/>
        <v>0.2503597122302158</v>
      </c>
      <c r="S111" s="93">
        <f t="shared" si="33"/>
        <v>9.4458438287153654E-2</v>
      </c>
      <c r="T111" s="93">
        <f t="shared" si="34"/>
        <v>-7.749469214437367E-2</v>
      </c>
      <c r="U111" s="95">
        <f t="shared" si="35"/>
        <v>6.8188951663527937E-3</v>
      </c>
    </row>
    <row r="112" spans="1:22" x14ac:dyDescent="0.2">
      <c r="A112" s="4" t="s">
        <v>19</v>
      </c>
      <c r="B112" s="4">
        <v>7281</v>
      </c>
      <c r="C112" s="4">
        <v>12653</v>
      </c>
      <c r="D112" s="4">
        <v>12658</v>
      </c>
      <c r="E112" s="4">
        <v>12209</v>
      </c>
      <c r="F112" s="4">
        <v>16954</v>
      </c>
      <c r="G112" s="16">
        <v>20454</v>
      </c>
      <c r="H112" s="16">
        <v>23584</v>
      </c>
      <c r="I112" s="16">
        <v>25315</v>
      </c>
      <c r="J112" s="16">
        <v>27420</v>
      </c>
      <c r="K112" s="16">
        <v>28779</v>
      </c>
      <c r="L112" s="16">
        <v>28578</v>
      </c>
      <c r="M112" s="16">
        <v>29669</v>
      </c>
      <c r="N112" s="16">
        <v>27944</v>
      </c>
      <c r="O112" s="16">
        <v>15561</v>
      </c>
      <c r="P112" s="16">
        <v>35422</v>
      </c>
      <c r="Q112" s="16">
        <v>34438</v>
      </c>
      <c r="R112" s="86">
        <f t="shared" si="32"/>
        <v>0.46022727272727271</v>
      </c>
      <c r="S112" s="93">
        <f t="shared" si="33"/>
        <v>0.16074016650375814</v>
      </c>
      <c r="T112" s="93">
        <f t="shared" si="34"/>
        <v>-2.7779346169047484E-2</v>
      </c>
      <c r="U112" s="95">
        <f t="shared" si="35"/>
        <v>0.27022912743251726</v>
      </c>
    </row>
    <row r="113" spans="1:21" x14ac:dyDescent="0.2">
      <c r="A113" s="4" t="s">
        <v>20</v>
      </c>
      <c r="B113" s="4">
        <v>3975</v>
      </c>
      <c r="C113" s="4">
        <v>3778</v>
      </c>
      <c r="D113" s="4">
        <v>4388</v>
      </c>
      <c r="E113" s="4">
        <v>4315</v>
      </c>
      <c r="F113" s="4">
        <v>5084</v>
      </c>
      <c r="G113" s="16">
        <v>6477</v>
      </c>
      <c r="H113" s="16">
        <v>8176</v>
      </c>
      <c r="I113" s="16">
        <v>9858</v>
      </c>
      <c r="J113" s="16">
        <v>12625</v>
      </c>
      <c r="K113" s="16">
        <v>13824</v>
      </c>
      <c r="L113" s="16">
        <v>13736</v>
      </c>
      <c r="M113" s="16">
        <v>13133</v>
      </c>
      <c r="N113" s="16">
        <v>10735</v>
      </c>
      <c r="O113" s="16">
        <v>8536</v>
      </c>
      <c r="P113" s="16">
        <v>10296</v>
      </c>
      <c r="Q113" s="16">
        <v>10517</v>
      </c>
      <c r="R113" s="86">
        <f t="shared" si="32"/>
        <v>0.28632583170254405</v>
      </c>
      <c r="S113" s="93">
        <f t="shared" si="33"/>
        <v>-0.19919287291555623</v>
      </c>
      <c r="T113" s="93">
        <f t="shared" si="34"/>
        <v>2.1464646464646464E-2</v>
      </c>
      <c r="U113" s="95">
        <f t="shared" si="35"/>
        <v>8.2525109855618325E-2</v>
      </c>
    </row>
    <row r="114" spans="1:21" x14ac:dyDescent="0.2">
      <c r="A114" s="5" t="s">
        <v>4</v>
      </c>
      <c r="B114" s="5">
        <v>46155</v>
      </c>
      <c r="C114" s="5">
        <v>54203</v>
      </c>
      <c r="D114" s="5">
        <v>58317</v>
      </c>
      <c r="E114" s="5">
        <v>55556</v>
      </c>
      <c r="F114" s="5">
        <v>65827</v>
      </c>
      <c r="G114" s="5">
        <v>76602</v>
      </c>
      <c r="H114" s="5">
        <v>88681</v>
      </c>
      <c r="I114" s="5">
        <v>95805</v>
      </c>
      <c r="J114" s="5">
        <v>105284</v>
      </c>
      <c r="K114" s="5">
        <v>111492</v>
      </c>
      <c r="L114" s="5">
        <v>115884</v>
      </c>
      <c r="M114" s="5">
        <v>117905</v>
      </c>
      <c r="N114" s="5">
        <v>114074</v>
      </c>
      <c r="O114" s="5">
        <v>90499</v>
      </c>
      <c r="P114" s="5">
        <v>132496</v>
      </c>
      <c r="Q114" s="5">
        <v>127440</v>
      </c>
      <c r="R114" s="70">
        <f t="shared" si="32"/>
        <v>0.43706092624124671</v>
      </c>
      <c r="S114" s="94">
        <f t="shared" si="33"/>
        <v>8.0870192103812397E-2</v>
      </c>
      <c r="T114" s="94">
        <f t="shared" si="34"/>
        <v>-3.8159642555246953E-2</v>
      </c>
      <c r="U114" s="96">
        <f>Q114/Q$114</f>
        <v>1</v>
      </c>
    </row>
    <row r="115" spans="1:21" x14ac:dyDescent="0.2">
      <c r="A115" s="64"/>
      <c r="B115" s="64"/>
      <c r="C115" s="64"/>
      <c r="D115" s="64"/>
      <c r="E115" s="64"/>
      <c r="F115" s="64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</row>
    <row r="116" spans="1:21" ht="15.75" x14ac:dyDescent="0.2">
      <c r="A116" s="33" t="s">
        <v>431</v>
      </c>
      <c r="B116" s="33"/>
      <c r="C116" s="33"/>
      <c r="D116" s="33"/>
      <c r="E116" s="33"/>
      <c r="F116" s="33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</row>
    <row r="117" spans="1:21" ht="25.5" x14ac:dyDescent="0.2">
      <c r="A117" s="75" t="s">
        <v>10</v>
      </c>
      <c r="B117" s="3">
        <v>2007</v>
      </c>
      <c r="C117" s="3">
        <v>2008</v>
      </c>
      <c r="D117" s="3">
        <v>2009</v>
      </c>
      <c r="E117" s="3">
        <v>2010</v>
      </c>
      <c r="F117" s="3">
        <v>2011</v>
      </c>
      <c r="G117" s="3">
        <v>2012</v>
      </c>
      <c r="H117" s="3">
        <v>2013</v>
      </c>
      <c r="I117" s="3">
        <v>2014</v>
      </c>
      <c r="J117" s="3">
        <v>2015</v>
      </c>
      <c r="K117" s="3">
        <v>2016</v>
      </c>
      <c r="L117" s="3">
        <v>2017</v>
      </c>
      <c r="M117" s="3">
        <v>2018</v>
      </c>
      <c r="N117" s="3">
        <v>2019</v>
      </c>
      <c r="O117" s="3">
        <v>2020</v>
      </c>
      <c r="P117" s="3">
        <v>2021</v>
      </c>
      <c r="Q117" s="3">
        <v>2022</v>
      </c>
      <c r="R117" s="12" t="s">
        <v>406</v>
      </c>
      <c r="S117" s="12" t="s">
        <v>407</v>
      </c>
      <c r="T117" s="12" t="s">
        <v>408</v>
      </c>
      <c r="U117" s="12" t="s">
        <v>409</v>
      </c>
    </row>
    <row r="118" spans="1:21" x14ac:dyDescent="0.2">
      <c r="A118" s="4" t="s">
        <v>11</v>
      </c>
      <c r="B118" s="4">
        <v>7209</v>
      </c>
      <c r="C118" s="4">
        <v>7380</v>
      </c>
      <c r="D118" s="4">
        <v>7938</v>
      </c>
      <c r="E118" s="4">
        <v>8103</v>
      </c>
      <c r="F118" s="4">
        <v>9541</v>
      </c>
      <c r="G118" s="16">
        <v>10851</v>
      </c>
      <c r="H118" s="16">
        <v>12447</v>
      </c>
      <c r="I118" s="16">
        <v>13978</v>
      </c>
      <c r="J118" s="16">
        <v>15496</v>
      </c>
      <c r="K118" s="16">
        <v>16342</v>
      </c>
      <c r="L118" s="16">
        <v>17614</v>
      </c>
      <c r="M118" s="16">
        <v>18759</v>
      </c>
      <c r="N118" s="16">
        <v>18371</v>
      </c>
      <c r="O118" s="16">
        <v>16358</v>
      </c>
      <c r="P118" s="16">
        <v>21021</v>
      </c>
      <c r="Q118" s="16">
        <v>20802</v>
      </c>
      <c r="R118" s="86">
        <f t="shared" ref="R118:R128" si="36">(Q118-H118)/H118</f>
        <v>0.67124608339358882</v>
      </c>
      <c r="S118" s="93">
        <f t="shared" ref="S118:S128" si="37">(Q118-M118)/M118</f>
        <v>0.10890772429233968</v>
      </c>
      <c r="T118" s="93">
        <f t="shared" ref="T118:T128" si="38">(Q118-P118)/P118</f>
        <v>-1.0418153275296133E-2</v>
      </c>
      <c r="U118" s="95">
        <f>Q118/Q$128</f>
        <v>0.21757138374647003</v>
      </c>
    </row>
    <row r="119" spans="1:21" x14ac:dyDescent="0.2">
      <c r="A119" s="4" t="s">
        <v>12</v>
      </c>
      <c r="B119" s="4">
        <v>1562</v>
      </c>
      <c r="C119" s="4">
        <v>1896</v>
      </c>
      <c r="D119" s="4">
        <v>1838</v>
      </c>
      <c r="E119" s="4">
        <v>1661</v>
      </c>
      <c r="F119" s="4">
        <v>1829</v>
      </c>
      <c r="G119" s="16">
        <v>1936</v>
      </c>
      <c r="H119" s="16">
        <v>2004</v>
      </c>
      <c r="I119" s="16">
        <v>2128</v>
      </c>
      <c r="J119" s="16">
        <v>2127</v>
      </c>
      <c r="K119" s="16">
        <v>2145</v>
      </c>
      <c r="L119" s="16">
        <v>2067</v>
      </c>
      <c r="M119" s="16">
        <v>2008</v>
      </c>
      <c r="N119" s="16">
        <v>1961</v>
      </c>
      <c r="O119" s="16">
        <v>1556</v>
      </c>
      <c r="P119" s="16">
        <v>2201</v>
      </c>
      <c r="Q119" s="16">
        <v>2356</v>
      </c>
      <c r="R119" s="86">
        <f t="shared" si="36"/>
        <v>0.17564870259481039</v>
      </c>
      <c r="S119" s="93">
        <f t="shared" si="37"/>
        <v>0.17330677290836655</v>
      </c>
      <c r="T119" s="93">
        <f t="shared" si="38"/>
        <v>7.0422535211267609E-2</v>
      </c>
      <c r="U119" s="95">
        <f t="shared" ref="U119:U128" si="39">Q119/Q$128</f>
        <v>2.4641773873025834E-2</v>
      </c>
    </row>
    <row r="120" spans="1:21" x14ac:dyDescent="0.2">
      <c r="A120" s="4" t="s">
        <v>13</v>
      </c>
      <c r="B120" s="4">
        <v>2387</v>
      </c>
      <c r="C120" s="4">
        <v>2483</v>
      </c>
      <c r="D120" s="4">
        <v>2772</v>
      </c>
      <c r="E120" s="4">
        <v>2592</v>
      </c>
      <c r="F120" s="4">
        <v>2968</v>
      </c>
      <c r="G120" s="16">
        <v>2990</v>
      </c>
      <c r="H120" s="16">
        <v>3395</v>
      </c>
      <c r="I120" s="16">
        <v>3346</v>
      </c>
      <c r="J120" s="16">
        <v>3211</v>
      </c>
      <c r="K120" s="16">
        <v>2956</v>
      </c>
      <c r="L120" s="16">
        <v>3102</v>
      </c>
      <c r="M120" s="16">
        <v>3072</v>
      </c>
      <c r="N120" s="16">
        <v>2708</v>
      </c>
      <c r="O120" s="16">
        <v>2316</v>
      </c>
      <c r="P120" s="16">
        <v>3348</v>
      </c>
      <c r="Q120" s="16">
        <v>3330</v>
      </c>
      <c r="R120" s="86">
        <f t="shared" si="36"/>
        <v>-1.9145802650957292E-2</v>
      </c>
      <c r="S120" s="93">
        <f t="shared" si="37"/>
        <v>8.3984375E-2</v>
      </c>
      <c r="T120" s="93">
        <f t="shared" si="38"/>
        <v>-5.3763440860215058E-3</v>
      </c>
      <c r="U120" s="95">
        <f t="shared" si="39"/>
        <v>3.4828992783181675E-2</v>
      </c>
    </row>
    <row r="121" spans="1:21" x14ac:dyDescent="0.2">
      <c r="A121" s="4" t="s">
        <v>14</v>
      </c>
      <c r="B121" s="4">
        <v>659</v>
      </c>
      <c r="C121" s="4">
        <v>705</v>
      </c>
      <c r="D121" s="4">
        <v>690</v>
      </c>
      <c r="E121" s="4">
        <v>659</v>
      </c>
      <c r="F121" s="4">
        <v>698</v>
      </c>
      <c r="G121" s="16">
        <v>773</v>
      </c>
      <c r="H121" s="16">
        <v>738</v>
      </c>
      <c r="I121" s="16">
        <v>890</v>
      </c>
      <c r="J121" s="16">
        <v>1020</v>
      </c>
      <c r="K121" s="16">
        <v>1045</v>
      </c>
      <c r="L121" s="16">
        <v>1048</v>
      </c>
      <c r="M121" s="16">
        <v>1005</v>
      </c>
      <c r="N121" s="16">
        <v>1071</v>
      </c>
      <c r="O121" s="16">
        <v>926</v>
      </c>
      <c r="P121" s="16">
        <v>1135</v>
      </c>
      <c r="Q121" s="16">
        <v>1370</v>
      </c>
      <c r="R121" s="86">
        <f t="shared" si="36"/>
        <v>0.85636856368563685</v>
      </c>
      <c r="S121" s="93">
        <f t="shared" si="37"/>
        <v>0.36318407960199006</v>
      </c>
      <c r="T121" s="93">
        <f t="shared" si="38"/>
        <v>0.20704845814977973</v>
      </c>
      <c r="U121" s="95">
        <f t="shared" si="39"/>
        <v>1.4329045078966636E-2</v>
      </c>
    </row>
    <row r="122" spans="1:21" x14ac:dyDescent="0.2">
      <c r="A122" s="4" t="s">
        <v>15</v>
      </c>
      <c r="B122" s="4">
        <v>2616</v>
      </c>
      <c r="C122" s="4">
        <v>3051</v>
      </c>
      <c r="D122" s="4">
        <v>3355</v>
      </c>
      <c r="E122" s="4">
        <v>3084</v>
      </c>
      <c r="F122" s="4">
        <v>3539</v>
      </c>
      <c r="G122" s="16">
        <v>3912</v>
      </c>
      <c r="H122" s="16">
        <v>4459</v>
      </c>
      <c r="I122" s="16">
        <v>4688</v>
      </c>
      <c r="J122" s="16">
        <v>5073</v>
      </c>
      <c r="K122" s="16">
        <v>4912</v>
      </c>
      <c r="L122" s="16">
        <v>5151</v>
      </c>
      <c r="M122" s="16">
        <v>4924</v>
      </c>
      <c r="N122" s="16">
        <v>4771</v>
      </c>
      <c r="O122" s="16">
        <v>4512</v>
      </c>
      <c r="P122" s="16">
        <v>6302</v>
      </c>
      <c r="Q122" s="16">
        <v>6432</v>
      </c>
      <c r="R122" s="86">
        <f t="shared" si="36"/>
        <v>0.44247589145548327</v>
      </c>
      <c r="S122" s="93">
        <f t="shared" si="37"/>
        <v>0.30625507717303008</v>
      </c>
      <c r="T122" s="93">
        <f t="shared" si="38"/>
        <v>2.0628371945414153E-2</v>
      </c>
      <c r="U122" s="95">
        <f t="shared" si="39"/>
        <v>6.7273297772199564E-2</v>
      </c>
    </row>
    <row r="123" spans="1:21" x14ac:dyDescent="0.2">
      <c r="A123" s="4" t="s">
        <v>16</v>
      </c>
      <c r="B123" s="4">
        <v>1838</v>
      </c>
      <c r="C123" s="4">
        <v>2154</v>
      </c>
      <c r="D123" s="4">
        <v>2409</v>
      </c>
      <c r="E123" s="4">
        <v>1943</v>
      </c>
      <c r="F123" s="4">
        <v>1972</v>
      </c>
      <c r="G123" s="16">
        <v>1762</v>
      </c>
      <c r="H123" s="16">
        <v>1786</v>
      </c>
      <c r="I123" s="16">
        <v>2052</v>
      </c>
      <c r="J123" s="16">
        <v>1948</v>
      </c>
      <c r="K123" s="16">
        <v>2012</v>
      </c>
      <c r="L123" s="16">
        <v>2311</v>
      </c>
      <c r="M123" s="16">
        <v>1973</v>
      </c>
      <c r="N123" s="16">
        <v>2025</v>
      </c>
      <c r="O123" s="16">
        <v>1519</v>
      </c>
      <c r="P123" s="16">
        <v>1935</v>
      </c>
      <c r="Q123" s="16">
        <v>1989</v>
      </c>
      <c r="R123" s="86">
        <f t="shared" si="36"/>
        <v>0.11366181410974244</v>
      </c>
      <c r="S123" s="93">
        <f t="shared" si="37"/>
        <v>8.109477952356817E-3</v>
      </c>
      <c r="T123" s="93">
        <f t="shared" si="38"/>
        <v>2.7906976744186046E-2</v>
      </c>
      <c r="U123" s="95">
        <f t="shared" si="39"/>
        <v>2.0803263256981487E-2</v>
      </c>
    </row>
    <row r="124" spans="1:21" x14ac:dyDescent="0.2">
      <c r="A124" s="4" t="s">
        <v>17</v>
      </c>
      <c r="B124" s="4">
        <v>4117</v>
      </c>
      <c r="C124" s="4">
        <v>4338</v>
      </c>
      <c r="D124" s="4">
        <v>5167</v>
      </c>
      <c r="E124" s="4">
        <v>5249</v>
      </c>
      <c r="F124" s="4">
        <v>5261</v>
      </c>
      <c r="G124" s="16">
        <v>6058</v>
      </c>
      <c r="H124" s="16">
        <v>6303</v>
      </c>
      <c r="I124" s="16">
        <v>6627</v>
      </c>
      <c r="J124" s="16">
        <v>6764</v>
      </c>
      <c r="K124" s="16">
        <v>6509</v>
      </c>
      <c r="L124" s="16">
        <v>6262</v>
      </c>
      <c r="M124" s="16">
        <v>5496</v>
      </c>
      <c r="N124" s="16">
        <v>5937</v>
      </c>
      <c r="O124" s="16">
        <v>4275</v>
      </c>
      <c r="P124" s="16">
        <v>5543</v>
      </c>
      <c r="Q124" s="16">
        <v>5548</v>
      </c>
      <c r="R124" s="86">
        <f t="shared" si="36"/>
        <v>-0.11978422973187371</v>
      </c>
      <c r="S124" s="93">
        <f t="shared" si="37"/>
        <v>9.4614264919941782E-3</v>
      </c>
      <c r="T124" s="93">
        <f t="shared" si="38"/>
        <v>9.0203860725239038E-4</v>
      </c>
      <c r="U124" s="95">
        <f t="shared" si="39"/>
        <v>5.8027402991318901E-2</v>
      </c>
    </row>
    <row r="125" spans="1:21" x14ac:dyDescent="0.2">
      <c r="A125" s="4" t="s">
        <v>18</v>
      </c>
      <c r="B125" s="4">
        <v>216</v>
      </c>
      <c r="C125" s="4">
        <v>288</v>
      </c>
      <c r="D125" s="4">
        <v>383</v>
      </c>
      <c r="E125" s="4">
        <v>393</v>
      </c>
      <c r="F125" s="4">
        <v>387</v>
      </c>
      <c r="G125" s="16">
        <v>406</v>
      </c>
      <c r="H125" s="16">
        <v>407</v>
      </c>
      <c r="I125" s="16">
        <v>432</v>
      </c>
      <c r="J125" s="16">
        <v>532</v>
      </c>
      <c r="K125" s="16">
        <v>436</v>
      </c>
      <c r="L125" s="16">
        <v>472</v>
      </c>
      <c r="M125" s="16">
        <v>444</v>
      </c>
      <c r="N125" s="16">
        <v>506</v>
      </c>
      <c r="O125" s="16">
        <v>394</v>
      </c>
      <c r="P125" s="16">
        <v>518</v>
      </c>
      <c r="Q125" s="16">
        <v>508</v>
      </c>
      <c r="R125" s="86">
        <f t="shared" si="36"/>
        <v>0.24815724815724816</v>
      </c>
      <c r="S125" s="93">
        <f t="shared" si="37"/>
        <v>0.14414414414414414</v>
      </c>
      <c r="T125" s="93">
        <f t="shared" si="38"/>
        <v>-1.9305019305019305E-2</v>
      </c>
      <c r="U125" s="95">
        <f t="shared" si="39"/>
        <v>5.3132517519087962E-3</v>
      </c>
    </row>
    <row r="126" spans="1:21" x14ac:dyDescent="0.2">
      <c r="A126" s="4" t="s">
        <v>19</v>
      </c>
      <c r="B126" s="4">
        <v>2365</v>
      </c>
      <c r="C126" s="4">
        <v>3351</v>
      </c>
      <c r="D126" s="4">
        <v>3550</v>
      </c>
      <c r="E126" s="4">
        <v>3429</v>
      </c>
      <c r="F126" s="4">
        <v>4454</v>
      </c>
      <c r="G126" s="16">
        <v>5281</v>
      </c>
      <c r="H126" s="16">
        <v>6237</v>
      </c>
      <c r="I126" s="16">
        <v>6879</v>
      </c>
      <c r="J126" s="16">
        <v>7313</v>
      </c>
      <c r="K126" s="16">
        <v>7293</v>
      </c>
      <c r="L126" s="16">
        <v>7451</v>
      </c>
      <c r="M126" s="16">
        <v>7576</v>
      </c>
      <c r="N126" s="16">
        <v>7547</v>
      </c>
      <c r="O126" s="16">
        <v>3556</v>
      </c>
      <c r="P126" s="16">
        <v>9310</v>
      </c>
      <c r="Q126" s="16">
        <v>9389</v>
      </c>
      <c r="R126" s="86">
        <f t="shared" si="36"/>
        <v>0.50537117203783866</v>
      </c>
      <c r="S126" s="93">
        <f t="shared" si="37"/>
        <v>0.23930834213305174</v>
      </c>
      <c r="T126" s="93">
        <f t="shared" si="38"/>
        <v>8.4854994629430715E-3</v>
      </c>
      <c r="U126" s="95">
        <f t="shared" si="39"/>
        <v>9.8201024997385214E-2</v>
      </c>
    </row>
    <row r="127" spans="1:21" x14ac:dyDescent="0.2">
      <c r="A127" s="4" t="s">
        <v>20</v>
      </c>
      <c r="B127" s="4">
        <v>15674</v>
      </c>
      <c r="C127" s="4">
        <v>16582</v>
      </c>
      <c r="D127" s="4">
        <v>19081</v>
      </c>
      <c r="E127" s="4">
        <v>19002</v>
      </c>
      <c r="F127" s="4">
        <v>21373</v>
      </c>
      <c r="G127" s="16">
        <v>24771</v>
      </c>
      <c r="H127" s="16">
        <v>30043</v>
      </c>
      <c r="I127" s="16">
        <v>34381</v>
      </c>
      <c r="J127" s="16">
        <v>40038</v>
      </c>
      <c r="K127" s="16">
        <v>41918</v>
      </c>
      <c r="L127" s="16">
        <v>43840</v>
      </c>
      <c r="M127" s="16">
        <v>44910</v>
      </c>
      <c r="N127" s="16">
        <v>41117</v>
      </c>
      <c r="O127" s="16">
        <v>33376</v>
      </c>
      <c r="P127" s="16">
        <v>43974</v>
      </c>
      <c r="Q127" s="16">
        <v>43886</v>
      </c>
      <c r="R127" s="86">
        <f t="shared" si="36"/>
        <v>0.46077289218786405</v>
      </c>
      <c r="S127" s="93">
        <f t="shared" si="37"/>
        <v>-2.2801157871298151E-2</v>
      </c>
      <c r="T127" s="93">
        <f t="shared" si="38"/>
        <v>-2.0011825169418294E-3</v>
      </c>
      <c r="U127" s="95">
        <f t="shared" si="39"/>
        <v>0.45901056374856186</v>
      </c>
    </row>
    <row r="128" spans="1:21" x14ac:dyDescent="0.2">
      <c r="A128" s="5" t="s">
        <v>4</v>
      </c>
      <c r="B128" s="5">
        <v>38643</v>
      </c>
      <c r="C128" s="5">
        <v>42228</v>
      </c>
      <c r="D128" s="5">
        <v>47183</v>
      </c>
      <c r="E128" s="5">
        <v>46115</v>
      </c>
      <c r="F128" s="5">
        <v>52022</v>
      </c>
      <c r="G128" s="5">
        <v>58740</v>
      </c>
      <c r="H128" s="5">
        <v>67819</v>
      </c>
      <c r="I128" s="5">
        <v>75401</v>
      </c>
      <c r="J128" s="5">
        <v>83522</v>
      </c>
      <c r="K128" s="5">
        <v>85568</v>
      </c>
      <c r="L128" s="5">
        <v>89318</v>
      </c>
      <c r="M128" s="5">
        <v>90167</v>
      </c>
      <c r="N128" s="5">
        <v>86014</v>
      </c>
      <c r="O128" s="5">
        <v>68788</v>
      </c>
      <c r="P128" s="5">
        <v>95287</v>
      </c>
      <c r="Q128" s="5">
        <v>95610</v>
      </c>
      <c r="R128" s="70">
        <f t="shared" si="36"/>
        <v>0.40978191952107818</v>
      </c>
      <c r="S128" s="94">
        <f t="shared" si="37"/>
        <v>6.0365765745782826E-2</v>
      </c>
      <c r="T128" s="94">
        <f t="shared" si="38"/>
        <v>3.3897593585693747E-3</v>
      </c>
      <c r="U128" s="96">
        <f t="shared" si="39"/>
        <v>1</v>
      </c>
    </row>
    <row r="129" spans="1:22" x14ac:dyDescent="0.2">
      <c r="A129" s="64"/>
      <c r="B129" s="64"/>
      <c r="C129" s="64"/>
      <c r="D129" s="64"/>
      <c r="E129" s="64"/>
      <c r="F129" s="64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</row>
    <row r="130" spans="1:22" ht="15.75" x14ac:dyDescent="0.2">
      <c r="A130" s="112" t="s">
        <v>296</v>
      </c>
      <c r="B130" s="33"/>
      <c r="C130" s="33"/>
      <c r="D130" s="33"/>
      <c r="E130" s="33"/>
      <c r="F130" s="33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</row>
    <row r="131" spans="1:22" ht="25.5" x14ac:dyDescent="0.2">
      <c r="A131" s="75" t="s">
        <v>50</v>
      </c>
      <c r="B131" s="3">
        <v>2007</v>
      </c>
      <c r="C131" s="3">
        <v>2008</v>
      </c>
      <c r="D131" s="3">
        <v>2009</v>
      </c>
      <c r="E131" s="3">
        <v>2010</v>
      </c>
      <c r="F131" s="3">
        <v>2011</v>
      </c>
      <c r="G131" s="3">
        <v>2012</v>
      </c>
      <c r="H131" s="3">
        <v>2013</v>
      </c>
      <c r="I131" s="3">
        <v>2014</v>
      </c>
      <c r="J131" s="3">
        <v>2015</v>
      </c>
      <c r="K131" s="3">
        <v>2016</v>
      </c>
      <c r="L131" s="3">
        <v>2017</v>
      </c>
      <c r="M131" s="3">
        <v>2018</v>
      </c>
      <c r="N131" s="3">
        <v>2019</v>
      </c>
      <c r="O131" s="3">
        <v>2020</v>
      </c>
      <c r="P131" s="3">
        <v>2021</v>
      </c>
      <c r="Q131" s="3">
        <v>2022</v>
      </c>
      <c r="R131" s="12" t="s">
        <v>406</v>
      </c>
      <c r="S131" s="12" t="s">
        <v>407</v>
      </c>
      <c r="T131" s="12" t="s">
        <v>408</v>
      </c>
      <c r="U131" s="12" t="s">
        <v>409</v>
      </c>
      <c r="V131" s="142"/>
    </row>
    <row r="132" spans="1:22" x14ac:dyDescent="0.2">
      <c r="A132" s="4" t="s">
        <v>51</v>
      </c>
      <c r="B132" s="4">
        <v>2188</v>
      </c>
      <c r="C132" s="4">
        <v>4774</v>
      </c>
      <c r="D132" s="4">
        <v>3886</v>
      </c>
      <c r="E132" s="4">
        <v>2344</v>
      </c>
      <c r="F132" s="4">
        <v>5298</v>
      </c>
      <c r="G132" s="4">
        <v>6497</v>
      </c>
      <c r="H132" s="4">
        <v>6712</v>
      </c>
      <c r="I132" s="4">
        <v>6104</v>
      </c>
      <c r="J132" s="4">
        <v>5950</v>
      </c>
      <c r="K132" s="4">
        <v>5856</v>
      </c>
      <c r="L132" s="4">
        <v>4622</v>
      </c>
      <c r="M132" s="4">
        <v>5281</v>
      </c>
      <c r="N132" s="4">
        <v>4714</v>
      </c>
      <c r="O132" s="4">
        <v>3239</v>
      </c>
      <c r="P132" s="4">
        <v>4901</v>
      </c>
      <c r="Q132" s="97">
        <v>4851</v>
      </c>
      <c r="R132" s="86">
        <f t="shared" ref="R132:R151" si="40">(Q132-H132)/H132</f>
        <v>-0.27726460071513709</v>
      </c>
      <c r="S132" s="93">
        <f t="shared" ref="S132:S151" si="41">(Q132-M132)/M132</f>
        <v>-8.1423972732437039E-2</v>
      </c>
      <c r="T132" s="93">
        <f t="shared" ref="T132:T151" si="42">(Q132-P132)/P132</f>
        <v>-1.0201999591920016E-2</v>
      </c>
      <c r="U132" s="95">
        <f t="shared" ref="U132:U151" si="43">Q132/Q$6</f>
        <v>0.1292187208651874</v>
      </c>
    </row>
    <row r="133" spans="1:22" x14ac:dyDescent="0.2">
      <c r="A133" s="4" t="s">
        <v>52</v>
      </c>
      <c r="B133" s="4">
        <v>512</v>
      </c>
      <c r="C133" s="4">
        <v>772</v>
      </c>
      <c r="D133" s="4">
        <v>809</v>
      </c>
      <c r="E133" s="4">
        <v>985</v>
      </c>
      <c r="F133" s="4">
        <v>1465</v>
      </c>
      <c r="G133" s="4">
        <v>1598</v>
      </c>
      <c r="H133" s="4">
        <v>1942</v>
      </c>
      <c r="I133" s="4">
        <v>1817</v>
      </c>
      <c r="J133" s="4">
        <v>2344</v>
      </c>
      <c r="K133" s="4">
        <v>3745</v>
      </c>
      <c r="L133" s="4">
        <v>3217</v>
      </c>
      <c r="M133" s="4">
        <v>3411</v>
      </c>
      <c r="N133" s="4">
        <v>3651</v>
      </c>
      <c r="O133" s="4">
        <v>2789</v>
      </c>
      <c r="P133" s="4">
        <v>3881</v>
      </c>
      <c r="Q133" s="97">
        <v>3858</v>
      </c>
      <c r="R133" s="86">
        <f t="shared" si="40"/>
        <v>0.98661174047373845</v>
      </c>
      <c r="S133" s="93">
        <f t="shared" si="41"/>
        <v>0.13104661389621811</v>
      </c>
      <c r="T133" s="93">
        <f t="shared" si="42"/>
        <v>-5.9263076526668386E-3</v>
      </c>
      <c r="U133" s="95">
        <f t="shared" si="43"/>
        <v>0.10276764071282064</v>
      </c>
    </row>
    <row r="134" spans="1:22" x14ac:dyDescent="0.2">
      <c r="A134" s="4" t="s">
        <v>53</v>
      </c>
      <c r="B134" s="4">
        <v>243</v>
      </c>
      <c r="C134" s="4">
        <v>356</v>
      </c>
      <c r="D134" s="4">
        <v>342</v>
      </c>
      <c r="E134" s="4">
        <v>401</v>
      </c>
      <c r="F134" s="4">
        <v>831</v>
      </c>
      <c r="G134" s="4">
        <v>1140</v>
      </c>
      <c r="H134" s="4">
        <v>1671</v>
      </c>
      <c r="I134" s="4">
        <v>1709</v>
      </c>
      <c r="J134" s="4">
        <v>1734</v>
      </c>
      <c r="K134" s="4">
        <v>1911</v>
      </c>
      <c r="L134" s="4">
        <v>1949</v>
      </c>
      <c r="M134" s="4">
        <v>2794</v>
      </c>
      <c r="N134" s="4">
        <v>2950</v>
      </c>
      <c r="O134" s="4">
        <v>2479</v>
      </c>
      <c r="P134" s="4">
        <v>3566</v>
      </c>
      <c r="Q134" s="97">
        <v>3043</v>
      </c>
      <c r="R134" s="86">
        <f t="shared" si="40"/>
        <v>0.82106523040095747</v>
      </c>
      <c r="S134" s="93">
        <f t="shared" si="41"/>
        <v>8.9119541875447392E-2</v>
      </c>
      <c r="T134" s="93">
        <f t="shared" si="42"/>
        <v>-0.14666292765002803</v>
      </c>
      <c r="U134" s="95">
        <f t="shared" si="43"/>
        <v>8.1058043206094665E-2</v>
      </c>
    </row>
    <row r="135" spans="1:22" x14ac:dyDescent="0.2">
      <c r="A135" s="4" t="s">
        <v>54</v>
      </c>
      <c r="B135" s="4">
        <v>919</v>
      </c>
      <c r="C135" s="4">
        <v>1065</v>
      </c>
      <c r="D135" s="4">
        <v>866</v>
      </c>
      <c r="E135" s="4">
        <v>712</v>
      </c>
      <c r="F135" s="4">
        <v>982</v>
      </c>
      <c r="G135" s="4">
        <v>1283</v>
      </c>
      <c r="H135" s="4">
        <v>1441</v>
      </c>
      <c r="I135" s="4">
        <v>1341</v>
      </c>
      <c r="J135" s="4">
        <v>1349</v>
      </c>
      <c r="K135" s="4">
        <v>1610</v>
      </c>
      <c r="L135" s="4">
        <v>2192</v>
      </c>
      <c r="M135" s="4">
        <v>2275</v>
      </c>
      <c r="N135" s="4">
        <v>2063</v>
      </c>
      <c r="O135" s="4">
        <v>930</v>
      </c>
      <c r="P135" s="4">
        <v>1876</v>
      </c>
      <c r="Q135" s="4">
        <v>2229</v>
      </c>
      <c r="R135" s="86">
        <f t="shared" si="40"/>
        <v>0.54684247050659263</v>
      </c>
      <c r="S135" s="93">
        <f t="shared" si="41"/>
        <v>-2.0219780219780221E-2</v>
      </c>
      <c r="T135" s="93">
        <f t="shared" si="42"/>
        <v>0.18816631130063965</v>
      </c>
      <c r="U135" s="95">
        <f t="shared" si="43"/>
        <v>5.9375083242321727E-2</v>
      </c>
    </row>
    <row r="136" spans="1:22" x14ac:dyDescent="0.2">
      <c r="A136" s="28" t="s">
        <v>55</v>
      </c>
      <c r="B136" s="28">
        <v>152</v>
      </c>
      <c r="C136" s="4">
        <v>656</v>
      </c>
      <c r="D136" s="4">
        <v>683</v>
      </c>
      <c r="E136" s="4">
        <v>694</v>
      </c>
      <c r="F136" s="4">
        <v>891</v>
      </c>
      <c r="G136" s="4">
        <v>1071</v>
      </c>
      <c r="H136" s="4">
        <v>1143</v>
      </c>
      <c r="I136" s="4">
        <v>1405</v>
      </c>
      <c r="J136" s="4">
        <v>1756</v>
      </c>
      <c r="K136" s="4">
        <v>1917</v>
      </c>
      <c r="L136" s="4">
        <v>2015</v>
      </c>
      <c r="M136" s="4">
        <v>2038</v>
      </c>
      <c r="N136" s="4">
        <v>1988</v>
      </c>
      <c r="O136" s="4">
        <v>1082</v>
      </c>
      <c r="P136" s="4">
        <v>1821</v>
      </c>
      <c r="Q136" s="4">
        <v>1885</v>
      </c>
      <c r="R136" s="86">
        <f t="shared" si="40"/>
        <v>0.64916885389326329</v>
      </c>
      <c r="S136" s="93">
        <f t="shared" si="41"/>
        <v>-7.5073601570166834E-2</v>
      </c>
      <c r="T136" s="93">
        <f t="shared" si="42"/>
        <v>3.5145524437122461E-2</v>
      </c>
      <c r="U136" s="95">
        <f t="shared" si="43"/>
        <v>5.0211768466476653E-2</v>
      </c>
    </row>
    <row r="137" spans="1:22" x14ac:dyDescent="0.2">
      <c r="A137" s="28" t="s">
        <v>57</v>
      </c>
      <c r="B137" s="28">
        <v>306</v>
      </c>
      <c r="C137" s="4">
        <v>680</v>
      </c>
      <c r="D137" s="4">
        <v>374</v>
      </c>
      <c r="E137" s="4">
        <v>31</v>
      </c>
      <c r="F137" s="4">
        <v>495</v>
      </c>
      <c r="G137" s="4">
        <v>577</v>
      </c>
      <c r="H137" s="4">
        <v>688</v>
      </c>
      <c r="I137" s="4">
        <v>802</v>
      </c>
      <c r="J137" s="4">
        <v>811</v>
      </c>
      <c r="K137" s="4">
        <v>829</v>
      </c>
      <c r="L137" s="4">
        <v>899</v>
      </c>
      <c r="M137" s="4">
        <v>1100</v>
      </c>
      <c r="N137" s="4">
        <v>1111</v>
      </c>
      <c r="O137" s="4">
        <v>824</v>
      </c>
      <c r="P137" s="4">
        <v>1371</v>
      </c>
      <c r="Q137" s="4">
        <v>1301</v>
      </c>
      <c r="R137" s="86">
        <f t="shared" si="40"/>
        <v>0.89098837209302328</v>
      </c>
      <c r="S137" s="93">
        <f t="shared" si="41"/>
        <v>0.18272727272727274</v>
      </c>
      <c r="T137" s="93">
        <f t="shared" si="42"/>
        <v>-5.1057622173595912E-2</v>
      </c>
      <c r="U137" s="95">
        <f t="shared" si="43"/>
        <v>3.4655443381902455E-2</v>
      </c>
    </row>
    <row r="138" spans="1:22" x14ac:dyDescent="0.2">
      <c r="A138" s="4" t="s">
        <v>312</v>
      </c>
      <c r="B138" s="4">
        <v>86</v>
      </c>
      <c r="C138" s="4">
        <v>292</v>
      </c>
      <c r="D138" s="4">
        <v>275</v>
      </c>
      <c r="E138" s="4">
        <v>154</v>
      </c>
      <c r="F138" s="4">
        <v>362</v>
      </c>
      <c r="G138" s="4">
        <v>519</v>
      </c>
      <c r="H138" s="4">
        <v>576</v>
      </c>
      <c r="I138" s="4">
        <v>524</v>
      </c>
      <c r="J138" s="4">
        <v>556</v>
      </c>
      <c r="K138" s="4">
        <v>582</v>
      </c>
      <c r="L138" s="4">
        <v>541</v>
      </c>
      <c r="M138" s="4">
        <v>701</v>
      </c>
      <c r="N138" s="4">
        <v>774</v>
      </c>
      <c r="O138" s="4">
        <v>286</v>
      </c>
      <c r="P138" s="4">
        <v>746</v>
      </c>
      <c r="Q138" s="4">
        <v>1289</v>
      </c>
      <c r="R138" s="86">
        <f t="shared" si="40"/>
        <v>1.2378472222222223</v>
      </c>
      <c r="S138" s="93">
        <f t="shared" si="41"/>
        <v>0.83880171184022823</v>
      </c>
      <c r="T138" s="93">
        <f t="shared" si="42"/>
        <v>0.72788203753351211</v>
      </c>
      <c r="U138" s="95">
        <f t="shared" si="43"/>
        <v>3.4335792866466E-2</v>
      </c>
    </row>
    <row r="139" spans="1:22" x14ac:dyDescent="0.2">
      <c r="A139" s="4" t="s">
        <v>58</v>
      </c>
      <c r="B139" s="4">
        <v>204</v>
      </c>
      <c r="C139" s="4">
        <v>230</v>
      </c>
      <c r="D139" s="4">
        <v>310</v>
      </c>
      <c r="E139" s="4">
        <v>359</v>
      </c>
      <c r="F139" s="4">
        <v>537</v>
      </c>
      <c r="G139" s="4">
        <v>450</v>
      </c>
      <c r="H139" s="4">
        <v>598</v>
      </c>
      <c r="I139" s="4">
        <v>725</v>
      </c>
      <c r="J139" s="4">
        <v>794</v>
      </c>
      <c r="K139" s="4">
        <v>1187</v>
      </c>
      <c r="L139" s="4">
        <v>1445</v>
      </c>
      <c r="M139" s="4">
        <v>1444</v>
      </c>
      <c r="N139" s="4">
        <v>1403</v>
      </c>
      <c r="O139" s="4">
        <v>823</v>
      </c>
      <c r="P139" s="4">
        <v>1293</v>
      </c>
      <c r="Q139" s="4">
        <v>1247</v>
      </c>
      <c r="R139" s="86">
        <f t="shared" si="40"/>
        <v>1.0852842809364549</v>
      </c>
      <c r="S139" s="93">
        <f t="shared" si="41"/>
        <v>-0.13642659279778394</v>
      </c>
      <c r="T139" s="93">
        <f t="shared" si="42"/>
        <v>-3.5576179427687551E-2</v>
      </c>
      <c r="U139" s="95">
        <f t="shared" si="43"/>
        <v>3.3217016062438404E-2</v>
      </c>
    </row>
    <row r="140" spans="1:22" x14ac:dyDescent="0.2">
      <c r="A140" s="4" t="s">
        <v>223</v>
      </c>
      <c r="B140" s="4">
        <v>274</v>
      </c>
      <c r="C140" s="4">
        <v>218</v>
      </c>
      <c r="D140" s="4">
        <v>199</v>
      </c>
      <c r="E140" s="4">
        <v>264</v>
      </c>
      <c r="F140" s="4">
        <v>314</v>
      </c>
      <c r="G140" s="4">
        <v>353</v>
      </c>
      <c r="H140" s="4">
        <v>345</v>
      </c>
      <c r="I140" s="4">
        <v>399</v>
      </c>
      <c r="J140" s="4">
        <v>430</v>
      </c>
      <c r="K140" s="4">
        <v>431</v>
      </c>
      <c r="L140" s="4">
        <v>507</v>
      </c>
      <c r="M140" s="4">
        <v>563</v>
      </c>
      <c r="N140" s="4">
        <v>660</v>
      </c>
      <c r="O140" s="4">
        <v>525</v>
      </c>
      <c r="P140" s="4">
        <v>846</v>
      </c>
      <c r="Q140" s="4">
        <v>1106</v>
      </c>
      <c r="R140" s="86">
        <f t="shared" si="40"/>
        <v>2.2057971014492752</v>
      </c>
      <c r="S140" s="93">
        <f t="shared" si="41"/>
        <v>0.96447602131438726</v>
      </c>
      <c r="T140" s="93">
        <f t="shared" si="42"/>
        <v>0.30732860520094563</v>
      </c>
      <c r="U140" s="95">
        <f t="shared" si="43"/>
        <v>2.946112250606004E-2</v>
      </c>
    </row>
    <row r="141" spans="1:22" x14ac:dyDescent="0.2">
      <c r="A141" s="4" t="s">
        <v>254</v>
      </c>
      <c r="B141" s="4">
        <v>61</v>
      </c>
      <c r="C141" s="4">
        <v>140</v>
      </c>
      <c r="D141" s="4">
        <v>213</v>
      </c>
      <c r="E141" s="4">
        <v>117</v>
      </c>
      <c r="F141" s="4">
        <v>141</v>
      </c>
      <c r="G141" s="4">
        <v>275</v>
      </c>
      <c r="H141" s="4">
        <v>271</v>
      </c>
      <c r="I141" s="4">
        <v>284</v>
      </c>
      <c r="J141" s="4">
        <v>366</v>
      </c>
      <c r="K141" s="4">
        <v>348</v>
      </c>
      <c r="L141" s="4">
        <v>486</v>
      </c>
      <c r="M141" s="4">
        <v>733</v>
      </c>
      <c r="N141" s="4">
        <v>743</v>
      </c>
      <c r="O141" s="4">
        <v>738</v>
      </c>
      <c r="P141" s="4">
        <v>1034</v>
      </c>
      <c r="Q141" s="4">
        <v>1095</v>
      </c>
      <c r="R141" s="86">
        <f t="shared" si="40"/>
        <v>3.0405904059040592</v>
      </c>
      <c r="S141" s="93">
        <f t="shared" si="41"/>
        <v>0.49386084583901774</v>
      </c>
      <c r="T141" s="93">
        <f t="shared" si="42"/>
        <v>5.8994197292069631E-2</v>
      </c>
      <c r="U141" s="95">
        <f t="shared" si="43"/>
        <v>2.9168109533576621E-2</v>
      </c>
    </row>
    <row r="142" spans="1:22" x14ac:dyDescent="0.2">
      <c r="A142" s="4" t="s">
        <v>60</v>
      </c>
      <c r="B142" s="4">
        <v>56</v>
      </c>
      <c r="C142" s="4">
        <v>236</v>
      </c>
      <c r="D142" s="4">
        <v>210</v>
      </c>
      <c r="E142" s="4">
        <v>280</v>
      </c>
      <c r="F142" s="4">
        <v>408</v>
      </c>
      <c r="G142" s="4">
        <v>403</v>
      </c>
      <c r="H142" s="4">
        <v>465</v>
      </c>
      <c r="I142" s="4">
        <v>594</v>
      </c>
      <c r="J142" s="4">
        <v>598</v>
      </c>
      <c r="K142" s="4">
        <v>822</v>
      </c>
      <c r="L142" s="4">
        <v>851</v>
      </c>
      <c r="M142" s="4">
        <v>989</v>
      </c>
      <c r="N142" s="4">
        <v>1023</v>
      </c>
      <c r="O142" s="4">
        <v>686</v>
      </c>
      <c r="P142" s="4">
        <v>1072</v>
      </c>
      <c r="Q142" s="4">
        <v>1029</v>
      </c>
      <c r="R142" s="86">
        <f t="shared" si="40"/>
        <v>1.2129032258064516</v>
      </c>
      <c r="S142" s="93">
        <f t="shared" si="41"/>
        <v>4.0444893832153689E-2</v>
      </c>
      <c r="T142" s="93">
        <f t="shared" si="42"/>
        <v>-4.0111940298507461E-2</v>
      </c>
      <c r="U142" s="95">
        <f t="shared" si="43"/>
        <v>2.7410031698676115E-2</v>
      </c>
    </row>
    <row r="143" spans="1:22" x14ac:dyDescent="0.2">
      <c r="A143" s="4" t="s">
        <v>63</v>
      </c>
      <c r="B143" s="4">
        <v>364</v>
      </c>
      <c r="C143" s="4">
        <v>387</v>
      </c>
      <c r="D143" s="4">
        <v>343</v>
      </c>
      <c r="E143" s="4">
        <v>330</v>
      </c>
      <c r="F143" s="4">
        <v>396</v>
      </c>
      <c r="G143" s="4">
        <v>346</v>
      </c>
      <c r="H143" s="4">
        <v>404</v>
      </c>
      <c r="I143" s="4">
        <v>366</v>
      </c>
      <c r="J143" s="4">
        <v>423</v>
      </c>
      <c r="K143" s="4">
        <v>571</v>
      </c>
      <c r="L143" s="4">
        <v>591</v>
      </c>
      <c r="M143" s="4">
        <v>795</v>
      </c>
      <c r="N143" s="4">
        <v>697</v>
      </c>
      <c r="O143" s="4">
        <v>656</v>
      </c>
      <c r="P143" s="4">
        <v>904</v>
      </c>
      <c r="Q143" s="4">
        <v>989</v>
      </c>
      <c r="R143" s="86">
        <f t="shared" si="40"/>
        <v>1.448019801980198</v>
      </c>
      <c r="S143" s="93">
        <f t="shared" si="41"/>
        <v>0.2440251572327044</v>
      </c>
      <c r="T143" s="93">
        <f t="shared" si="42"/>
        <v>9.4026548672566365E-2</v>
      </c>
      <c r="U143" s="95">
        <f t="shared" si="43"/>
        <v>2.6344529980554594E-2</v>
      </c>
    </row>
    <row r="144" spans="1:22" x14ac:dyDescent="0.2">
      <c r="A144" s="4" t="s">
        <v>62</v>
      </c>
      <c r="B144" s="4">
        <v>213</v>
      </c>
      <c r="C144" s="4">
        <v>241</v>
      </c>
      <c r="D144" s="4">
        <v>206</v>
      </c>
      <c r="E144" s="4">
        <v>218</v>
      </c>
      <c r="F144" s="4">
        <v>410</v>
      </c>
      <c r="G144" s="4">
        <v>371</v>
      </c>
      <c r="H144" s="4">
        <v>477</v>
      </c>
      <c r="I144" s="4">
        <v>513</v>
      </c>
      <c r="J144" s="4">
        <v>609</v>
      </c>
      <c r="K144" s="4">
        <v>702</v>
      </c>
      <c r="L144" s="4">
        <v>759</v>
      </c>
      <c r="M144" s="4">
        <v>1028</v>
      </c>
      <c r="N144" s="4">
        <v>1125</v>
      </c>
      <c r="O144" s="4">
        <v>781</v>
      </c>
      <c r="P144" s="4">
        <v>872</v>
      </c>
      <c r="Q144" s="4">
        <v>973</v>
      </c>
      <c r="R144" s="86">
        <f t="shared" si="40"/>
        <v>1.0398322851153039</v>
      </c>
      <c r="S144" s="93">
        <f t="shared" si="41"/>
        <v>-5.3501945525291826E-2</v>
      </c>
      <c r="T144" s="93">
        <f t="shared" si="42"/>
        <v>0.11582568807339449</v>
      </c>
      <c r="U144" s="95">
        <f t="shared" si="43"/>
        <v>2.5918329293305984E-2</v>
      </c>
    </row>
    <row r="145" spans="1:21" x14ac:dyDescent="0.2">
      <c r="A145" s="4" t="s">
        <v>64</v>
      </c>
      <c r="B145" s="4">
        <v>195</v>
      </c>
      <c r="C145" s="4">
        <v>173</v>
      </c>
      <c r="D145" s="4">
        <v>201</v>
      </c>
      <c r="E145" s="4">
        <v>228</v>
      </c>
      <c r="F145" s="4">
        <v>352</v>
      </c>
      <c r="G145" s="4">
        <v>382</v>
      </c>
      <c r="H145" s="4">
        <v>388</v>
      </c>
      <c r="I145" s="4">
        <v>369</v>
      </c>
      <c r="J145" s="4">
        <v>485</v>
      </c>
      <c r="K145" s="4">
        <v>480</v>
      </c>
      <c r="L145" s="4">
        <v>611</v>
      </c>
      <c r="M145" s="4">
        <v>724</v>
      </c>
      <c r="N145" s="4">
        <v>843</v>
      </c>
      <c r="O145" s="4">
        <v>574</v>
      </c>
      <c r="P145" s="4">
        <v>935</v>
      </c>
      <c r="Q145" s="4">
        <v>948</v>
      </c>
      <c r="R145" s="86">
        <f t="shared" si="40"/>
        <v>1.4432989690721649</v>
      </c>
      <c r="S145" s="93">
        <f t="shared" si="41"/>
        <v>0.30939226519337015</v>
      </c>
      <c r="T145" s="93">
        <f t="shared" si="42"/>
        <v>1.3903743315508022E-2</v>
      </c>
      <c r="U145" s="95">
        <f t="shared" si="43"/>
        <v>2.5252390719480034E-2</v>
      </c>
    </row>
    <row r="146" spans="1:21" x14ac:dyDescent="0.2">
      <c r="A146" s="4" t="s">
        <v>72</v>
      </c>
      <c r="B146" s="4">
        <v>80</v>
      </c>
      <c r="C146" s="4">
        <v>72</v>
      </c>
      <c r="D146" s="4">
        <v>99</v>
      </c>
      <c r="E146" s="4">
        <v>84</v>
      </c>
      <c r="F146" s="4">
        <v>113</v>
      </c>
      <c r="G146" s="4">
        <v>102</v>
      </c>
      <c r="H146" s="4">
        <v>132</v>
      </c>
      <c r="I146" s="4">
        <v>180</v>
      </c>
      <c r="J146" s="4">
        <v>246</v>
      </c>
      <c r="K146" s="4">
        <v>317</v>
      </c>
      <c r="L146" s="4">
        <v>457</v>
      </c>
      <c r="M146" s="4">
        <v>423</v>
      </c>
      <c r="N146" s="4">
        <v>520</v>
      </c>
      <c r="O146" s="4">
        <v>640</v>
      </c>
      <c r="P146" s="4">
        <v>806</v>
      </c>
      <c r="Q146" s="4">
        <v>937</v>
      </c>
      <c r="R146" s="86">
        <f t="shared" si="40"/>
        <v>6.0984848484848486</v>
      </c>
      <c r="S146" s="93">
        <f t="shared" si="41"/>
        <v>1.2151300236406619</v>
      </c>
      <c r="T146" s="93">
        <f t="shared" si="42"/>
        <v>0.16253101736972705</v>
      </c>
      <c r="U146" s="95">
        <f t="shared" si="43"/>
        <v>2.4959377746996619E-2</v>
      </c>
    </row>
    <row r="147" spans="1:21" x14ac:dyDescent="0.2">
      <c r="A147" s="4" t="s">
        <v>61</v>
      </c>
      <c r="B147" s="4">
        <v>278</v>
      </c>
      <c r="C147" s="4">
        <v>542</v>
      </c>
      <c r="D147" s="4">
        <v>344</v>
      </c>
      <c r="E147" s="4">
        <v>167</v>
      </c>
      <c r="F147" s="4">
        <v>409</v>
      </c>
      <c r="G147" s="4">
        <v>487</v>
      </c>
      <c r="H147" s="4">
        <v>523</v>
      </c>
      <c r="I147" s="4">
        <v>511</v>
      </c>
      <c r="J147" s="4">
        <v>609</v>
      </c>
      <c r="K147" s="4">
        <v>728</v>
      </c>
      <c r="L147" s="4">
        <v>706</v>
      </c>
      <c r="M147" s="4">
        <v>890</v>
      </c>
      <c r="N147" s="4">
        <v>810</v>
      </c>
      <c r="O147" s="4">
        <v>640</v>
      </c>
      <c r="P147" s="4">
        <v>1014</v>
      </c>
      <c r="Q147" s="4">
        <v>898</v>
      </c>
      <c r="R147" s="86">
        <f t="shared" si="40"/>
        <v>0.71701720841300187</v>
      </c>
      <c r="S147" s="93">
        <f t="shared" si="41"/>
        <v>8.988764044943821E-3</v>
      </c>
      <c r="T147" s="93">
        <f t="shared" si="42"/>
        <v>-0.11439842209072978</v>
      </c>
      <c r="U147" s="95">
        <f t="shared" si="43"/>
        <v>2.3920513571828134E-2</v>
      </c>
    </row>
    <row r="148" spans="1:21" x14ac:dyDescent="0.2">
      <c r="A148" s="28" t="s">
        <v>59</v>
      </c>
      <c r="B148" s="28">
        <v>177</v>
      </c>
      <c r="C148" s="4">
        <v>255</v>
      </c>
      <c r="D148" s="4">
        <v>229</v>
      </c>
      <c r="E148" s="4">
        <v>224</v>
      </c>
      <c r="F148" s="4">
        <v>763</v>
      </c>
      <c r="G148" s="4">
        <v>703</v>
      </c>
      <c r="H148" s="4">
        <v>712</v>
      </c>
      <c r="I148" s="4">
        <v>655</v>
      </c>
      <c r="J148" s="4">
        <v>609</v>
      </c>
      <c r="K148" s="4">
        <v>645</v>
      </c>
      <c r="L148" s="4">
        <v>643</v>
      </c>
      <c r="M148" s="4">
        <v>648</v>
      </c>
      <c r="N148" s="4">
        <v>651</v>
      </c>
      <c r="O148" s="4">
        <v>425</v>
      </c>
      <c r="P148" s="4">
        <v>977</v>
      </c>
      <c r="Q148" s="4">
        <v>811</v>
      </c>
      <c r="R148" s="86">
        <f t="shared" si="40"/>
        <v>0.13904494382022473</v>
      </c>
      <c r="S148" s="93">
        <f t="shared" si="41"/>
        <v>0.25154320987654322</v>
      </c>
      <c r="T148" s="93">
        <f t="shared" si="42"/>
        <v>-0.1699078812691914</v>
      </c>
      <c r="U148" s="95">
        <f t="shared" si="43"/>
        <v>2.1603047334913826E-2</v>
      </c>
    </row>
    <row r="149" spans="1:21" x14ac:dyDescent="0.2">
      <c r="A149" s="28" t="s">
        <v>417</v>
      </c>
      <c r="B149" s="28">
        <v>8</v>
      </c>
      <c r="C149" s="4">
        <v>21</v>
      </c>
      <c r="D149" s="4">
        <v>29</v>
      </c>
      <c r="E149" s="4">
        <v>28</v>
      </c>
      <c r="F149" s="4">
        <v>29</v>
      </c>
      <c r="G149" s="4">
        <v>56</v>
      </c>
      <c r="H149" s="4">
        <v>45</v>
      </c>
      <c r="I149" s="4">
        <v>52</v>
      </c>
      <c r="J149" s="4">
        <v>135</v>
      </c>
      <c r="K149" s="4">
        <v>122</v>
      </c>
      <c r="L149" s="4">
        <v>151</v>
      </c>
      <c r="M149" s="4">
        <v>156</v>
      </c>
      <c r="N149" s="4">
        <v>111</v>
      </c>
      <c r="O149" s="4">
        <v>181</v>
      </c>
      <c r="P149" s="4">
        <v>434</v>
      </c>
      <c r="Q149" s="4">
        <v>776</v>
      </c>
      <c r="R149" s="86">
        <f t="shared" si="40"/>
        <v>16.244444444444444</v>
      </c>
      <c r="S149" s="93">
        <f t="shared" si="41"/>
        <v>3.9743589743589745</v>
      </c>
      <c r="T149" s="93">
        <f t="shared" si="42"/>
        <v>0.78801843317972353</v>
      </c>
      <c r="U149" s="95">
        <f t="shared" si="43"/>
        <v>2.0670733331557497E-2</v>
      </c>
    </row>
    <row r="150" spans="1:21" x14ac:dyDescent="0.2">
      <c r="A150" s="4" t="s">
        <v>56</v>
      </c>
      <c r="B150" s="4">
        <v>523</v>
      </c>
      <c r="C150" s="4">
        <v>453</v>
      </c>
      <c r="D150" s="4">
        <v>537</v>
      </c>
      <c r="E150" s="4">
        <v>733</v>
      </c>
      <c r="F150" s="4">
        <v>655</v>
      </c>
      <c r="G150" s="4">
        <v>713</v>
      </c>
      <c r="H150" s="4">
        <v>794</v>
      </c>
      <c r="I150" s="4">
        <v>781</v>
      </c>
      <c r="J150" s="4">
        <v>781</v>
      </c>
      <c r="K150" s="4">
        <v>815</v>
      </c>
      <c r="L150" s="4">
        <v>821</v>
      </c>
      <c r="M150" s="4">
        <v>601</v>
      </c>
      <c r="N150" s="4">
        <v>562</v>
      </c>
      <c r="O150" s="4">
        <v>433</v>
      </c>
      <c r="P150" s="4">
        <v>639</v>
      </c>
      <c r="Q150" s="4">
        <v>744</v>
      </c>
      <c r="R150" s="86">
        <f t="shared" si="40"/>
        <v>-6.2972292191435769E-2</v>
      </c>
      <c r="S150" s="93">
        <f t="shared" si="41"/>
        <v>0.23793677204658903</v>
      </c>
      <c r="T150" s="93">
        <f t="shared" si="42"/>
        <v>0.16431924882629109</v>
      </c>
      <c r="U150" s="95">
        <f t="shared" si="43"/>
        <v>1.981833195706028E-2</v>
      </c>
    </row>
    <row r="151" spans="1:21" x14ac:dyDescent="0.2">
      <c r="A151" s="4" t="s">
        <v>418</v>
      </c>
      <c r="B151" s="4">
        <v>105</v>
      </c>
      <c r="C151" s="4">
        <v>24</v>
      </c>
      <c r="D151" s="4">
        <v>10</v>
      </c>
      <c r="E151" s="4">
        <v>86</v>
      </c>
      <c r="F151" s="4">
        <v>166</v>
      </c>
      <c r="G151" s="4">
        <v>217</v>
      </c>
      <c r="H151" s="4">
        <v>338</v>
      </c>
      <c r="I151" s="4">
        <v>373</v>
      </c>
      <c r="J151" s="4">
        <v>527</v>
      </c>
      <c r="K151" s="4">
        <v>605</v>
      </c>
      <c r="L151" s="4">
        <v>622</v>
      </c>
      <c r="M151" s="4">
        <v>555</v>
      </c>
      <c r="N151" s="4">
        <v>476</v>
      </c>
      <c r="O151" s="4">
        <v>394</v>
      </c>
      <c r="P151" s="4">
        <v>475</v>
      </c>
      <c r="Q151" s="4">
        <v>475</v>
      </c>
      <c r="R151" s="86">
        <f t="shared" si="40"/>
        <v>0.40532544378698226</v>
      </c>
      <c r="S151" s="93">
        <f t="shared" si="41"/>
        <v>-0.14414414414414414</v>
      </c>
      <c r="T151" s="93">
        <f t="shared" si="42"/>
        <v>0</v>
      </c>
      <c r="U151" s="95">
        <f t="shared" si="43"/>
        <v>1.2652832902693055E-2</v>
      </c>
    </row>
    <row r="152" spans="1:21" x14ac:dyDescent="0.2">
      <c r="U152" s="125"/>
    </row>
    <row r="153" spans="1:21" ht="15.75" x14ac:dyDescent="0.2">
      <c r="A153" s="112" t="s">
        <v>297</v>
      </c>
      <c r="B153" s="33"/>
      <c r="C153" s="33"/>
      <c r="D153" s="33"/>
      <c r="E153" s="33"/>
      <c r="F153" s="33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</row>
    <row r="154" spans="1:21" ht="25.5" x14ac:dyDescent="0.2">
      <c r="A154" s="75" t="s">
        <v>50</v>
      </c>
      <c r="B154" s="3">
        <v>2007</v>
      </c>
      <c r="C154" s="3">
        <v>2008</v>
      </c>
      <c r="D154" s="3">
        <v>2009</v>
      </c>
      <c r="E154" s="3">
        <v>2010</v>
      </c>
      <c r="F154" s="3">
        <v>2011</v>
      </c>
      <c r="G154" s="3">
        <v>2012</v>
      </c>
      <c r="H154" s="3">
        <v>2013</v>
      </c>
      <c r="I154" s="3">
        <v>2014</v>
      </c>
      <c r="J154" s="3">
        <v>2015</v>
      </c>
      <c r="K154" s="3">
        <v>2016</v>
      </c>
      <c r="L154" s="3">
        <v>2017</v>
      </c>
      <c r="M154" s="3">
        <v>2018</v>
      </c>
      <c r="N154" s="3">
        <v>2019</v>
      </c>
      <c r="O154" s="3">
        <v>2020</v>
      </c>
      <c r="P154" s="3">
        <v>2021</v>
      </c>
      <c r="Q154" s="3">
        <v>2022</v>
      </c>
      <c r="R154" s="12" t="s">
        <v>406</v>
      </c>
      <c r="S154" s="12" t="s">
        <v>407</v>
      </c>
      <c r="T154" s="12" t="s">
        <v>408</v>
      </c>
      <c r="U154" s="12" t="s">
        <v>409</v>
      </c>
    </row>
    <row r="155" spans="1:21" x14ac:dyDescent="0.2">
      <c r="A155" s="4" t="s">
        <v>51</v>
      </c>
      <c r="B155" s="4">
        <v>993</v>
      </c>
      <c r="C155" s="4">
        <v>2390</v>
      </c>
      <c r="D155" s="4">
        <v>3063</v>
      </c>
      <c r="E155" s="4">
        <v>3446</v>
      </c>
      <c r="F155" s="4">
        <v>3750</v>
      </c>
      <c r="G155" s="4">
        <v>4629</v>
      </c>
      <c r="H155" s="4">
        <v>5488</v>
      </c>
      <c r="I155" s="4">
        <v>6202</v>
      </c>
      <c r="J155" s="4">
        <v>6843</v>
      </c>
      <c r="K155" s="4">
        <v>6898</v>
      </c>
      <c r="L155" s="4">
        <v>6671</v>
      </c>
      <c r="M155" s="4">
        <v>6402</v>
      </c>
      <c r="N155" s="4">
        <v>6175</v>
      </c>
      <c r="O155" s="4">
        <v>5000</v>
      </c>
      <c r="P155" s="4">
        <v>6460</v>
      </c>
      <c r="Q155" s="4">
        <v>5149</v>
      </c>
      <c r="R155" s="86">
        <f t="shared" ref="R155:R174" si="44">(Q155-H155)/H155</f>
        <v>-6.177113702623907E-2</v>
      </c>
      <c r="S155" s="93">
        <f t="shared" ref="S155:S174" si="45">(Q155-M155)/M155</f>
        <v>-0.19572008747266478</v>
      </c>
      <c r="T155" s="93">
        <f t="shared" ref="T155:T174" si="46">(Q155-P155)/P155</f>
        <v>-0.20294117647058824</v>
      </c>
      <c r="U155" s="95">
        <f t="shared" ref="U155:U174" si="47">Q155/Q$7</f>
        <v>6.6775603366662772E-2</v>
      </c>
    </row>
    <row r="156" spans="1:21" x14ac:dyDescent="0.2">
      <c r="A156" s="4" t="s">
        <v>66</v>
      </c>
      <c r="B156" s="4">
        <v>453</v>
      </c>
      <c r="C156" s="4">
        <v>447</v>
      </c>
      <c r="D156" s="4">
        <v>404</v>
      </c>
      <c r="E156" s="4">
        <v>507</v>
      </c>
      <c r="F156" s="4">
        <v>878</v>
      </c>
      <c r="G156" s="4">
        <v>1379</v>
      </c>
      <c r="H156" s="4">
        <v>1631</v>
      </c>
      <c r="I156" s="4">
        <v>2128</v>
      </c>
      <c r="J156" s="4">
        <v>2773</v>
      </c>
      <c r="K156" s="4">
        <v>3064</v>
      </c>
      <c r="L156" s="4">
        <v>3288</v>
      </c>
      <c r="M156" s="4">
        <v>3902</v>
      </c>
      <c r="N156" s="4">
        <v>4327</v>
      </c>
      <c r="O156" s="4">
        <v>4223</v>
      </c>
      <c r="P156" s="4">
        <v>4430</v>
      </c>
      <c r="Q156" s="4">
        <v>4629</v>
      </c>
      <c r="R156" s="86">
        <f t="shared" si="44"/>
        <v>1.8381361128142244</v>
      </c>
      <c r="S156" s="93">
        <f t="shared" si="45"/>
        <v>0.18631471040492056</v>
      </c>
      <c r="T156" s="93">
        <f t="shared" si="46"/>
        <v>4.4920993227990973E-2</v>
      </c>
      <c r="U156" s="95">
        <f t="shared" si="47"/>
        <v>6.0031902890713147E-2</v>
      </c>
    </row>
    <row r="157" spans="1:21" x14ac:dyDescent="0.2">
      <c r="A157" s="4" t="s">
        <v>52</v>
      </c>
      <c r="B157" s="4">
        <v>357</v>
      </c>
      <c r="C157" s="4">
        <v>437</v>
      </c>
      <c r="D157" s="4">
        <v>756</v>
      </c>
      <c r="E157" s="4">
        <v>987</v>
      </c>
      <c r="F157" s="4">
        <v>1492</v>
      </c>
      <c r="G157" s="4">
        <v>2159</v>
      </c>
      <c r="H157" s="4">
        <v>2694</v>
      </c>
      <c r="I157" s="4">
        <v>3824</v>
      </c>
      <c r="J157" s="4">
        <v>4537</v>
      </c>
      <c r="K157" s="4">
        <v>5749</v>
      </c>
      <c r="L157" s="4">
        <v>5440</v>
      </c>
      <c r="M157" s="4">
        <v>5531</v>
      </c>
      <c r="N157" s="4">
        <v>5030</v>
      </c>
      <c r="O157" s="4">
        <v>4694</v>
      </c>
      <c r="P157" s="4">
        <v>4537</v>
      </c>
      <c r="Q157" s="4">
        <v>3889</v>
      </c>
      <c r="R157" s="86">
        <f t="shared" si="44"/>
        <v>0.44357832219747589</v>
      </c>
      <c r="S157" s="93">
        <f t="shared" si="45"/>
        <v>-0.29687217501355995</v>
      </c>
      <c r="T157" s="93">
        <f t="shared" si="46"/>
        <v>-0.14282565571963854</v>
      </c>
      <c r="U157" s="95">
        <f t="shared" si="47"/>
        <v>5.0435098367246363E-2</v>
      </c>
    </row>
    <row r="158" spans="1:21" x14ac:dyDescent="0.2">
      <c r="A158" s="4" t="s">
        <v>67</v>
      </c>
      <c r="B158" s="4">
        <v>621</v>
      </c>
      <c r="C158" s="4">
        <v>390</v>
      </c>
      <c r="D158" s="4">
        <v>605</v>
      </c>
      <c r="E158" s="4">
        <v>551</v>
      </c>
      <c r="F158" s="4">
        <v>770</v>
      </c>
      <c r="G158" s="4">
        <v>1251</v>
      </c>
      <c r="H158" s="4">
        <v>1747</v>
      </c>
      <c r="I158" s="4">
        <v>2048</v>
      </c>
      <c r="J158" s="4">
        <v>2400</v>
      </c>
      <c r="K158" s="4">
        <v>2546</v>
      </c>
      <c r="L158" s="4">
        <v>2735</v>
      </c>
      <c r="M158" s="4">
        <v>3060</v>
      </c>
      <c r="N158" s="4">
        <v>1666</v>
      </c>
      <c r="O158" s="4">
        <v>1900</v>
      </c>
      <c r="P158" s="4">
        <v>2507</v>
      </c>
      <c r="Q158" s="4">
        <v>3248</v>
      </c>
      <c r="R158" s="86">
        <f t="shared" si="44"/>
        <v>0.85918717801946198</v>
      </c>
      <c r="S158" s="93">
        <f t="shared" si="45"/>
        <v>6.1437908496732023E-2</v>
      </c>
      <c r="T158" s="93">
        <f t="shared" si="46"/>
        <v>0.29557239728759471</v>
      </c>
      <c r="U158" s="95">
        <f t="shared" si="47"/>
        <v>4.2122190665162304E-2</v>
      </c>
    </row>
    <row r="159" spans="1:21" x14ac:dyDescent="0.2">
      <c r="A159" s="28" t="s">
        <v>53</v>
      </c>
      <c r="B159" s="28">
        <v>136</v>
      </c>
      <c r="C159" s="4">
        <v>123</v>
      </c>
      <c r="D159" s="4">
        <v>158</v>
      </c>
      <c r="E159" s="4">
        <v>305</v>
      </c>
      <c r="F159" s="4">
        <v>771</v>
      </c>
      <c r="G159" s="4">
        <v>1004</v>
      </c>
      <c r="H159" s="4">
        <v>1383</v>
      </c>
      <c r="I159" s="4">
        <v>1606</v>
      </c>
      <c r="J159" s="4">
        <v>1979</v>
      </c>
      <c r="K159" s="4">
        <v>2171</v>
      </c>
      <c r="L159" s="4">
        <v>3325</v>
      </c>
      <c r="M159" s="4">
        <v>3673</v>
      </c>
      <c r="N159" s="4">
        <v>4454</v>
      </c>
      <c r="O159" s="4">
        <v>4165</v>
      </c>
      <c r="P159" s="4">
        <v>4699</v>
      </c>
      <c r="Q159" s="4">
        <v>3171</v>
      </c>
      <c r="R159" s="86">
        <f t="shared" si="44"/>
        <v>1.2928416485900216</v>
      </c>
      <c r="S159" s="93">
        <f t="shared" si="45"/>
        <v>-0.13667301933024775</v>
      </c>
      <c r="T159" s="93">
        <f t="shared" si="46"/>
        <v>-0.32517556927005747</v>
      </c>
      <c r="U159" s="95">
        <f t="shared" si="47"/>
        <v>4.1123604248531301E-2</v>
      </c>
    </row>
    <row r="160" spans="1:21" x14ac:dyDescent="0.2">
      <c r="A160" s="28" t="s">
        <v>71</v>
      </c>
      <c r="B160" s="28">
        <v>484</v>
      </c>
      <c r="C160" s="4">
        <v>519</v>
      </c>
      <c r="D160" s="4">
        <v>867</v>
      </c>
      <c r="E160" s="4">
        <v>864</v>
      </c>
      <c r="F160" s="4">
        <v>906</v>
      </c>
      <c r="G160" s="4">
        <v>921</v>
      </c>
      <c r="H160" s="4">
        <v>1101</v>
      </c>
      <c r="I160" s="4">
        <v>1275</v>
      </c>
      <c r="J160" s="4">
        <v>1405</v>
      </c>
      <c r="K160" s="4">
        <v>1546</v>
      </c>
      <c r="L160" s="4">
        <v>1795</v>
      </c>
      <c r="M160" s="4">
        <v>2022</v>
      </c>
      <c r="N160" s="4">
        <v>2078</v>
      </c>
      <c r="O160" s="4">
        <v>1509</v>
      </c>
      <c r="P160" s="4">
        <v>2891</v>
      </c>
      <c r="Q160" s="4">
        <v>2671</v>
      </c>
      <c r="R160" s="86">
        <f t="shared" si="44"/>
        <v>1.4259763851044505</v>
      </c>
      <c r="S160" s="93">
        <f t="shared" si="45"/>
        <v>0.32096933728981208</v>
      </c>
      <c r="T160" s="93">
        <f t="shared" si="46"/>
        <v>-7.6098235904531297E-2</v>
      </c>
      <c r="U160" s="95">
        <f t="shared" si="47"/>
        <v>3.4639276867810501E-2</v>
      </c>
    </row>
    <row r="161" spans="1:21" x14ac:dyDescent="0.2">
      <c r="A161" s="4" t="s">
        <v>68</v>
      </c>
      <c r="B161" s="4">
        <v>812</v>
      </c>
      <c r="C161" s="4">
        <v>777</v>
      </c>
      <c r="D161" s="4">
        <v>760</v>
      </c>
      <c r="E161" s="4">
        <v>809</v>
      </c>
      <c r="F161" s="4">
        <v>1013</v>
      </c>
      <c r="G161" s="4">
        <v>1288</v>
      </c>
      <c r="H161" s="4">
        <v>1345</v>
      </c>
      <c r="I161" s="4">
        <v>1552</v>
      </c>
      <c r="J161" s="4">
        <v>1839</v>
      </c>
      <c r="K161" s="4">
        <v>1694</v>
      </c>
      <c r="L161" s="4">
        <v>1836</v>
      </c>
      <c r="M161" s="4">
        <v>2072</v>
      </c>
      <c r="N161" s="4">
        <v>2006</v>
      </c>
      <c r="O161" s="4">
        <v>1760</v>
      </c>
      <c r="P161" s="4">
        <v>2180</v>
      </c>
      <c r="Q161" s="4">
        <v>2369</v>
      </c>
      <c r="R161" s="86">
        <f t="shared" si="44"/>
        <v>0.76133828996282527</v>
      </c>
      <c r="S161" s="93">
        <f t="shared" si="45"/>
        <v>0.14333976833976833</v>
      </c>
      <c r="T161" s="93">
        <f t="shared" si="46"/>
        <v>8.6697247706422023E-2</v>
      </c>
      <c r="U161" s="95">
        <f t="shared" si="47"/>
        <v>3.0722743129855141E-2</v>
      </c>
    </row>
    <row r="162" spans="1:21" x14ac:dyDescent="0.2">
      <c r="A162" s="4" t="s">
        <v>65</v>
      </c>
      <c r="B162" s="4">
        <v>785</v>
      </c>
      <c r="C162" s="4">
        <v>748</v>
      </c>
      <c r="D162" s="4">
        <v>847</v>
      </c>
      <c r="E162" s="4">
        <v>949</v>
      </c>
      <c r="F162" s="4">
        <v>1423</v>
      </c>
      <c r="G162" s="4">
        <v>1868</v>
      </c>
      <c r="H162" s="4">
        <v>2990</v>
      </c>
      <c r="I162" s="4">
        <v>3470</v>
      </c>
      <c r="J162" s="4">
        <v>4494</v>
      </c>
      <c r="K162" s="4">
        <v>5414</v>
      </c>
      <c r="L162" s="4">
        <v>6008</v>
      </c>
      <c r="M162" s="4">
        <v>6257</v>
      </c>
      <c r="N162" s="4">
        <v>4399</v>
      </c>
      <c r="O162" s="4">
        <v>3043</v>
      </c>
      <c r="P162" s="4">
        <v>2749</v>
      </c>
      <c r="Q162" s="4">
        <v>2208</v>
      </c>
      <c r="R162" s="86">
        <f t="shared" si="44"/>
        <v>-0.26153846153846155</v>
      </c>
      <c r="S162" s="93">
        <f t="shared" si="45"/>
        <v>-0.64711523094134571</v>
      </c>
      <c r="T162" s="93">
        <f t="shared" si="46"/>
        <v>-0.19679883594034195</v>
      </c>
      <c r="U162" s="95">
        <f t="shared" si="47"/>
        <v>2.8634789713263043E-2</v>
      </c>
    </row>
    <row r="163" spans="1:21" x14ac:dyDescent="0.2">
      <c r="A163" s="4" t="s">
        <v>72</v>
      </c>
      <c r="B163" s="4">
        <v>139</v>
      </c>
      <c r="C163" s="4">
        <v>253</v>
      </c>
      <c r="D163" s="4">
        <v>325</v>
      </c>
      <c r="E163" s="4">
        <v>256</v>
      </c>
      <c r="F163" s="4">
        <v>504</v>
      </c>
      <c r="G163" s="4">
        <v>811</v>
      </c>
      <c r="H163" s="4">
        <v>924</v>
      </c>
      <c r="I163" s="4">
        <v>1079</v>
      </c>
      <c r="J163" s="4">
        <v>1308</v>
      </c>
      <c r="K163" s="4">
        <v>1664</v>
      </c>
      <c r="L163" s="4">
        <v>2082</v>
      </c>
      <c r="M163" s="4">
        <v>2319</v>
      </c>
      <c r="N163" s="4">
        <v>2582</v>
      </c>
      <c r="O163" s="4">
        <v>2322</v>
      </c>
      <c r="P163" s="4">
        <v>3083</v>
      </c>
      <c r="Q163" s="4">
        <v>2194</v>
      </c>
      <c r="R163" s="86">
        <f t="shared" si="44"/>
        <v>1.3744588744588744</v>
      </c>
      <c r="S163" s="93">
        <f t="shared" si="45"/>
        <v>-5.3902544200086243E-2</v>
      </c>
      <c r="T163" s="93">
        <f t="shared" si="46"/>
        <v>-0.28835549789166398</v>
      </c>
      <c r="U163" s="95">
        <f t="shared" si="47"/>
        <v>2.8453228546602861E-2</v>
      </c>
    </row>
    <row r="164" spans="1:21" x14ac:dyDescent="0.2">
      <c r="A164" s="4" t="s">
        <v>70</v>
      </c>
      <c r="B164" s="4">
        <v>806</v>
      </c>
      <c r="C164" s="4">
        <v>616</v>
      </c>
      <c r="D164" s="4">
        <v>637</v>
      </c>
      <c r="E164" s="4">
        <v>563</v>
      </c>
      <c r="F164" s="4">
        <v>649</v>
      </c>
      <c r="G164" s="4">
        <v>828</v>
      </c>
      <c r="H164" s="4">
        <v>969</v>
      </c>
      <c r="I164" s="4">
        <v>1175</v>
      </c>
      <c r="J164" s="4">
        <v>1350</v>
      </c>
      <c r="K164" s="4">
        <v>1519</v>
      </c>
      <c r="L164" s="4">
        <v>1522</v>
      </c>
      <c r="M164" s="4">
        <v>1452</v>
      </c>
      <c r="N164" s="4">
        <v>1460</v>
      </c>
      <c r="O164" s="4">
        <v>1512</v>
      </c>
      <c r="P164" s="4">
        <v>1821</v>
      </c>
      <c r="Q164" s="4">
        <v>2080</v>
      </c>
      <c r="R164" s="86">
        <f t="shared" si="44"/>
        <v>1.1465428276573788</v>
      </c>
      <c r="S164" s="93">
        <f t="shared" si="45"/>
        <v>0.43250688705234158</v>
      </c>
      <c r="T164" s="93">
        <f t="shared" si="46"/>
        <v>0.14222954420647996</v>
      </c>
      <c r="U164" s="95">
        <f t="shared" si="47"/>
        <v>2.6974801903798518E-2</v>
      </c>
    </row>
    <row r="165" spans="1:21" x14ac:dyDescent="0.2">
      <c r="A165" s="4" t="s">
        <v>73</v>
      </c>
      <c r="B165" s="4">
        <v>313</v>
      </c>
      <c r="C165" s="4">
        <v>241</v>
      </c>
      <c r="D165" s="4">
        <v>293</v>
      </c>
      <c r="E165" s="4">
        <v>267</v>
      </c>
      <c r="F165" s="4">
        <v>395</v>
      </c>
      <c r="G165" s="4">
        <v>479</v>
      </c>
      <c r="H165" s="4">
        <v>682</v>
      </c>
      <c r="I165" s="4">
        <v>791</v>
      </c>
      <c r="J165" s="4">
        <v>1034</v>
      </c>
      <c r="K165" s="4">
        <v>1082</v>
      </c>
      <c r="L165" s="4">
        <v>1395</v>
      </c>
      <c r="M165" s="4">
        <v>1629</v>
      </c>
      <c r="N165" s="4">
        <v>1723</v>
      </c>
      <c r="O165" s="4">
        <v>1565</v>
      </c>
      <c r="P165" s="4">
        <v>2054</v>
      </c>
      <c r="Q165" s="4">
        <v>1691</v>
      </c>
      <c r="R165" s="86">
        <f t="shared" si="44"/>
        <v>1.4794721407624634</v>
      </c>
      <c r="S165" s="93">
        <f t="shared" si="45"/>
        <v>3.8060159607120933E-2</v>
      </c>
      <c r="T165" s="93">
        <f t="shared" si="46"/>
        <v>-0.17672833495618306</v>
      </c>
      <c r="U165" s="95">
        <f t="shared" si="47"/>
        <v>2.1929995201597739E-2</v>
      </c>
    </row>
    <row r="166" spans="1:21" x14ac:dyDescent="0.2">
      <c r="A166" s="4" t="s">
        <v>228</v>
      </c>
      <c r="B166" s="4">
        <v>83</v>
      </c>
      <c r="C166" s="4">
        <v>79</v>
      </c>
      <c r="D166" s="4">
        <v>106</v>
      </c>
      <c r="E166" s="4">
        <v>175</v>
      </c>
      <c r="F166" s="4">
        <v>200</v>
      </c>
      <c r="G166" s="4">
        <v>316</v>
      </c>
      <c r="H166" s="4">
        <v>384</v>
      </c>
      <c r="I166" s="4">
        <v>499</v>
      </c>
      <c r="J166" s="4">
        <v>598</v>
      </c>
      <c r="K166" s="4">
        <v>1251</v>
      </c>
      <c r="L166" s="4">
        <v>1109</v>
      </c>
      <c r="M166" s="4">
        <v>1551</v>
      </c>
      <c r="N166" s="4">
        <v>1370</v>
      </c>
      <c r="O166" s="4">
        <v>1343</v>
      </c>
      <c r="P166" s="4">
        <v>1850</v>
      </c>
      <c r="Q166" s="4">
        <v>1666</v>
      </c>
      <c r="R166" s="86">
        <f t="shared" si="44"/>
        <v>3.3385416666666665</v>
      </c>
      <c r="S166" s="93">
        <f t="shared" si="45"/>
        <v>7.4145712443584783E-2</v>
      </c>
      <c r="T166" s="93">
        <f t="shared" si="46"/>
        <v>-9.9459459459459457E-2</v>
      </c>
      <c r="U166" s="95">
        <f t="shared" si="47"/>
        <v>2.1605778832561699E-2</v>
      </c>
    </row>
    <row r="167" spans="1:21" x14ac:dyDescent="0.2">
      <c r="A167" s="4" t="s">
        <v>69</v>
      </c>
      <c r="B167" s="4">
        <v>217</v>
      </c>
      <c r="C167" s="4">
        <v>291</v>
      </c>
      <c r="D167" s="4">
        <v>388</v>
      </c>
      <c r="E167" s="4">
        <v>549</v>
      </c>
      <c r="F167" s="4">
        <v>570</v>
      </c>
      <c r="G167" s="4">
        <v>589</v>
      </c>
      <c r="H167" s="4">
        <v>1056</v>
      </c>
      <c r="I167" s="4">
        <v>1358</v>
      </c>
      <c r="J167" s="4">
        <v>1529</v>
      </c>
      <c r="K167" s="4">
        <v>1637</v>
      </c>
      <c r="L167" s="4">
        <v>2174</v>
      </c>
      <c r="M167" s="4">
        <v>1559</v>
      </c>
      <c r="N167" s="4">
        <v>1521</v>
      </c>
      <c r="O167" s="4">
        <v>1312</v>
      </c>
      <c r="P167" s="4">
        <v>1401</v>
      </c>
      <c r="Q167" s="4">
        <v>1548</v>
      </c>
      <c r="R167" s="86">
        <f t="shared" si="44"/>
        <v>0.46590909090909088</v>
      </c>
      <c r="S167" s="93">
        <f t="shared" si="45"/>
        <v>-7.0558050032071837E-3</v>
      </c>
      <c r="T167" s="93">
        <f t="shared" si="46"/>
        <v>0.10492505353319058</v>
      </c>
      <c r="U167" s="95">
        <f t="shared" si="47"/>
        <v>2.007547757071159E-2</v>
      </c>
    </row>
    <row r="168" spans="1:21" x14ac:dyDescent="0.2">
      <c r="A168" s="4" t="s">
        <v>57</v>
      </c>
      <c r="B168" s="4">
        <v>41</v>
      </c>
      <c r="C168" s="4">
        <v>25</v>
      </c>
      <c r="D168" s="4">
        <v>63</v>
      </c>
      <c r="E168" s="4">
        <v>162</v>
      </c>
      <c r="F168" s="4">
        <v>232</v>
      </c>
      <c r="G168" s="4">
        <v>433</v>
      </c>
      <c r="H168" s="4">
        <v>512</v>
      </c>
      <c r="I168" s="4">
        <v>682</v>
      </c>
      <c r="J168" s="4">
        <v>914</v>
      </c>
      <c r="K168" s="4">
        <v>996</v>
      </c>
      <c r="L168" s="4">
        <v>1081</v>
      </c>
      <c r="M168" s="4">
        <v>1058</v>
      </c>
      <c r="N168" s="4">
        <v>1256</v>
      </c>
      <c r="O168" s="4">
        <v>1308</v>
      </c>
      <c r="P168" s="4">
        <v>1889</v>
      </c>
      <c r="Q168" s="4">
        <v>1349</v>
      </c>
      <c r="R168" s="86">
        <f t="shared" si="44"/>
        <v>1.634765625</v>
      </c>
      <c r="S168" s="93">
        <f t="shared" si="45"/>
        <v>0.27504725897920607</v>
      </c>
      <c r="T168" s="93">
        <f t="shared" si="46"/>
        <v>-0.28586553732133402</v>
      </c>
      <c r="U168" s="95">
        <f t="shared" si="47"/>
        <v>1.7494715273184712E-2</v>
      </c>
    </row>
    <row r="169" spans="1:21" x14ac:dyDescent="0.2">
      <c r="A169" s="4" t="s">
        <v>223</v>
      </c>
      <c r="B169" s="4">
        <v>519</v>
      </c>
      <c r="C169" s="4">
        <v>431</v>
      </c>
      <c r="D169" s="4">
        <v>573</v>
      </c>
      <c r="E169" s="4">
        <v>225</v>
      </c>
      <c r="F169" s="4">
        <v>488</v>
      </c>
      <c r="G169" s="4">
        <v>496</v>
      </c>
      <c r="H169" s="4">
        <v>684</v>
      </c>
      <c r="I169" s="4">
        <v>683</v>
      </c>
      <c r="J169" s="4">
        <v>848</v>
      </c>
      <c r="K169" s="4">
        <v>951</v>
      </c>
      <c r="L169" s="4">
        <v>925</v>
      </c>
      <c r="M169" s="4">
        <v>1026</v>
      </c>
      <c r="N169" s="4">
        <v>969</v>
      </c>
      <c r="O169" s="4">
        <v>836</v>
      </c>
      <c r="P169" s="4">
        <v>1099</v>
      </c>
      <c r="Q169" s="4">
        <v>1347</v>
      </c>
      <c r="R169" s="86">
        <f t="shared" si="44"/>
        <v>0.9692982456140351</v>
      </c>
      <c r="S169" s="93">
        <f t="shared" si="45"/>
        <v>0.3128654970760234</v>
      </c>
      <c r="T169" s="93">
        <f t="shared" si="46"/>
        <v>0.2256596906278435</v>
      </c>
      <c r="U169" s="95">
        <f t="shared" si="47"/>
        <v>1.7468777963661829E-2</v>
      </c>
    </row>
    <row r="170" spans="1:21" x14ac:dyDescent="0.2">
      <c r="A170" s="28" t="s">
        <v>419</v>
      </c>
      <c r="B170" s="28">
        <v>119</v>
      </c>
      <c r="C170" s="4">
        <v>144</v>
      </c>
      <c r="D170" s="4">
        <v>209</v>
      </c>
      <c r="E170" s="4">
        <v>230</v>
      </c>
      <c r="F170" s="4">
        <v>279</v>
      </c>
      <c r="G170" s="4">
        <v>317</v>
      </c>
      <c r="H170" s="4">
        <v>409</v>
      </c>
      <c r="I170" s="4">
        <v>555</v>
      </c>
      <c r="J170" s="4">
        <v>633</v>
      </c>
      <c r="K170" s="4">
        <v>593</v>
      </c>
      <c r="L170" s="4">
        <v>585</v>
      </c>
      <c r="M170" s="4">
        <v>624</v>
      </c>
      <c r="N170" s="4">
        <v>703</v>
      </c>
      <c r="O170" s="4">
        <v>348</v>
      </c>
      <c r="P170" s="4">
        <v>1002</v>
      </c>
      <c r="Q170" s="4">
        <v>1309</v>
      </c>
      <c r="R170" s="86">
        <f t="shared" si="44"/>
        <v>2.2004889975550124</v>
      </c>
      <c r="S170" s="93">
        <f t="shared" si="45"/>
        <v>1.0977564102564104</v>
      </c>
      <c r="T170" s="93">
        <f t="shared" si="46"/>
        <v>0.30638722554890219</v>
      </c>
      <c r="U170" s="95">
        <f t="shared" si="47"/>
        <v>1.6975969082727048E-2</v>
      </c>
    </row>
    <row r="171" spans="1:21" x14ac:dyDescent="0.2">
      <c r="A171" s="4" t="s">
        <v>272</v>
      </c>
      <c r="B171" s="4">
        <v>315</v>
      </c>
      <c r="C171" s="4">
        <v>368</v>
      </c>
      <c r="D171" s="4">
        <v>358</v>
      </c>
      <c r="E171" s="4">
        <v>392</v>
      </c>
      <c r="F171" s="4">
        <v>461</v>
      </c>
      <c r="G171" s="4">
        <v>543</v>
      </c>
      <c r="H171" s="4">
        <v>522</v>
      </c>
      <c r="I171" s="4">
        <v>635</v>
      </c>
      <c r="J171" s="4">
        <v>771</v>
      </c>
      <c r="K171" s="4">
        <v>828</v>
      </c>
      <c r="L171" s="4">
        <v>937</v>
      </c>
      <c r="M171" s="4">
        <v>1022</v>
      </c>
      <c r="N171" s="4">
        <v>1011</v>
      </c>
      <c r="O171" s="4">
        <v>1065</v>
      </c>
      <c r="P171" s="4">
        <v>1513</v>
      </c>
      <c r="Q171" s="4">
        <v>1309</v>
      </c>
      <c r="R171" s="86">
        <f t="shared" si="44"/>
        <v>1.5076628352490422</v>
      </c>
      <c r="S171" s="93">
        <f t="shared" si="45"/>
        <v>0.28082191780821919</v>
      </c>
      <c r="T171" s="93">
        <f t="shared" si="46"/>
        <v>-0.1348314606741573</v>
      </c>
      <c r="U171" s="95">
        <f t="shared" si="47"/>
        <v>1.6975969082727048E-2</v>
      </c>
    </row>
    <row r="172" spans="1:21" x14ac:dyDescent="0.2">
      <c r="A172" s="28" t="s">
        <v>62</v>
      </c>
      <c r="B172" s="28">
        <v>259</v>
      </c>
      <c r="C172" s="4">
        <v>262</v>
      </c>
      <c r="D172" s="4">
        <v>342</v>
      </c>
      <c r="E172" s="4">
        <v>541</v>
      </c>
      <c r="F172" s="4">
        <v>603</v>
      </c>
      <c r="G172" s="4">
        <v>770</v>
      </c>
      <c r="H172" s="4">
        <v>933</v>
      </c>
      <c r="I172" s="4">
        <v>1274</v>
      </c>
      <c r="J172" s="4">
        <v>1531</v>
      </c>
      <c r="K172" s="4">
        <v>1695</v>
      </c>
      <c r="L172" s="4">
        <v>1793</v>
      </c>
      <c r="M172" s="4">
        <v>1624</v>
      </c>
      <c r="N172" s="4">
        <v>1653</v>
      </c>
      <c r="O172" s="4">
        <v>1292</v>
      </c>
      <c r="P172" s="4">
        <v>1435</v>
      </c>
      <c r="Q172" s="4">
        <v>1183</v>
      </c>
      <c r="R172" s="86">
        <f t="shared" si="44"/>
        <v>0.26795284030010719</v>
      </c>
      <c r="S172" s="93">
        <f t="shared" si="45"/>
        <v>-0.27155172413793105</v>
      </c>
      <c r="T172" s="93">
        <f t="shared" si="46"/>
        <v>-0.17560975609756097</v>
      </c>
      <c r="U172" s="95">
        <f t="shared" si="47"/>
        <v>1.5341918582785408E-2</v>
      </c>
    </row>
    <row r="173" spans="1:21" x14ac:dyDescent="0.2">
      <c r="A173" s="4" t="s">
        <v>63</v>
      </c>
      <c r="B173" s="4">
        <v>98</v>
      </c>
      <c r="C173" s="4">
        <v>200</v>
      </c>
      <c r="D173" s="4">
        <v>364</v>
      </c>
      <c r="E173" s="4">
        <v>405</v>
      </c>
      <c r="F173" s="4">
        <v>512</v>
      </c>
      <c r="G173" s="4">
        <v>565</v>
      </c>
      <c r="H173" s="4">
        <v>827</v>
      </c>
      <c r="I173" s="4">
        <v>906</v>
      </c>
      <c r="J173" s="4">
        <v>940</v>
      </c>
      <c r="K173" s="4">
        <v>1018</v>
      </c>
      <c r="L173" s="4">
        <v>1236</v>
      </c>
      <c r="M173" s="4">
        <v>1250</v>
      </c>
      <c r="N173" s="4">
        <v>1073</v>
      </c>
      <c r="O173" s="4">
        <v>920</v>
      </c>
      <c r="P173" s="4">
        <v>1312</v>
      </c>
      <c r="Q173" s="4">
        <v>1146</v>
      </c>
      <c r="R173" s="86">
        <f t="shared" si="44"/>
        <v>0.38573155985489721</v>
      </c>
      <c r="S173" s="93">
        <f t="shared" si="45"/>
        <v>-8.3199999999999996E-2</v>
      </c>
      <c r="T173" s="93">
        <f t="shared" si="46"/>
        <v>-0.12652439024390244</v>
      </c>
      <c r="U173" s="95">
        <f t="shared" si="47"/>
        <v>1.4862078356612069E-2</v>
      </c>
    </row>
    <row r="174" spans="1:21" x14ac:dyDescent="0.2">
      <c r="A174" s="4" t="s">
        <v>420</v>
      </c>
      <c r="B174" s="4">
        <v>45</v>
      </c>
      <c r="C174" s="4">
        <v>59</v>
      </c>
      <c r="D174" s="4">
        <v>49</v>
      </c>
      <c r="E174" s="4">
        <v>55</v>
      </c>
      <c r="F174" s="4">
        <v>100</v>
      </c>
      <c r="G174" s="4">
        <v>120</v>
      </c>
      <c r="H174" s="4">
        <v>192</v>
      </c>
      <c r="I174" s="4">
        <v>339</v>
      </c>
      <c r="J174" s="4">
        <v>511</v>
      </c>
      <c r="K174" s="4">
        <v>516</v>
      </c>
      <c r="L174" s="4">
        <v>602</v>
      </c>
      <c r="M174" s="4">
        <v>753</v>
      </c>
      <c r="N174" s="4">
        <v>701</v>
      </c>
      <c r="O174" s="4">
        <v>633</v>
      </c>
      <c r="P174" s="4">
        <v>856</v>
      </c>
      <c r="Q174" s="4">
        <v>1118</v>
      </c>
      <c r="R174" s="86">
        <f t="shared" si="44"/>
        <v>4.822916666666667</v>
      </c>
      <c r="S174" s="93">
        <f t="shared" si="45"/>
        <v>0.48472775564409032</v>
      </c>
      <c r="T174" s="93">
        <f t="shared" si="46"/>
        <v>0.30607476635514019</v>
      </c>
      <c r="U174" s="95">
        <f t="shared" si="47"/>
        <v>1.4498956023291704E-2</v>
      </c>
    </row>
    <row r="175" spans="1:21" x14ac:dyDescent="0.2">
      <c r="U175" s="125"/>
    </row>
    <row r="176" spans="1:21" ht="15.75" x14ac:dyDescent="0.2">
      <c r="A176" s="33" t="s">
        <v>298</v>
      </c>
      <c r="B176" s="33"/>
      <c r="C176" s="33"/>
      <c r="D176" s="33"/>
      <c r="E176" s="33"/>
      <c r="F176" s="33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</row>
    <row r="177" spans="1:21" ht="25.5" x14ac:dyDescent="0.2">
      <c r="A177" s="75" t="s">
        <v>50</v>
      </c>
      <c r="B177" s="3">
        <v>2007</v>
      </c>
      <c r="C177" s="3">
        <v>2008</v>
      </c>
      <c r="D177" s="3">
        <v>2009</v>
      </c>
      <c r="E177" s="3">
        <v>2010</v>
      </c>
      <c r="F177" s="3">
        <v>2011</v>
      </c>
      <c r="G177" s="3">
        <v>2012</v>
      </c>
      <c r="H177" s="3">
        <v>2013</v>
      </c>
      <c r="I177" s="3">
        <v>2014</v>
      </c>
      <c r="J177" s="3">
        <v>2015</v>
      </c>
      <c r="K177" s="3">
        <v>2016</v>
      </c>
      <c r="L177" s="3">
        <v>2017</v>
      </c>
      <c r="M177" s="3">
        <v>2018</v>
      </c>
      <c r="N177" s="3">
        <v>2019</v>
      </c>
      <c r="O177" s="3">
        <v>2020</v>
      </c>
      <c r="P177" s="3">
        <v>2021</v>
      </c>
      <c r="Q177" s="3">
        <v>2022</v>
      </c>
      <c r="R177" s="12" t="s">
        <v>406</v>
      </c>
      <c r="S177" s="12" t="s">
        <v>407</v>
      </c>
      <c r="T177" s="12" t="s">
        <v>408</v>
      </c>
      <c r="U177" s="12" t="s">
        <v>409</v>
      </c>
    </row>
    <row r="178" spans="1:21" x14ac:dyDescent="0.2">
      <c r="A178" s="4" t="s">
        <v>74</v>
      </c>
      <c r="B178" s="4">
        <v>3572</v>
      </c>
      <c r="C178" s="4">
        <v>3681</v>
      </c>
      <c r="D178" s="4">
        <v>3878</v>
      </c>
      <c r="E178" s="4">
        <v>3691</v>
      </c>
      <c r="F178" s="4">
        <v>4053</v>
      </c>
      <c r="G178" s="4">
        <v>4615</v>
      </c>
      <c r="H178" s="4">
        <v>5459</v>
      </c>
      <c r="I178" s="4">
        <v>6080</v>
      </c>
      <c r="J178" s="4">
        <v>6671</v>
      </c>
      <c r="K178" s="4">
        <v>6743</v>
      </c>
      <c r="L178" s="4">
        <v>7280</v>
      </c>
      <c r="M178" s="4">
        <v>7176</v>
      </c>
      <c r="N178" s="4">
        <v>7032</v>
      </c>
      <c r="O178" s="4">
        <v>6641</v>
      </c>
      <c r="P178" s="4">
        <v>8602</v>
      </c>
      <c r="Q178" s="4">
        <v>8362</v>
      </c>
      <c r="R178" s="86">
        <f t="shared" ref="R178:R197" si="48">(Q178-H178)/H178</f>
        <v>0.53178237772485804</v>
      </c>
      <c r="S178" s="93">
        <f t="shared" ref="S178:S197" si="49">(Q178-M178)/M178</f>
        <v>0.16527313266443702</v>
      </c>
      <c r="T178" s="93">
        <f t="shared" ref="T178:T197" si="50">(Q178-P178)/P178</f>
        <v>-2.7900488258544524E-2</v>
      </c>
      <c r="U178" s="95">
        <f t="shared" ref="U178:U197" si="51">Q178/Q$8</f>
        <v>7.7140221402214021E-2</v>
      </c>
    </row>
    <row r="179" spans="1:21" x14ac:dyDescent="0.2">
      <c r="A179" s="4" t="s">
        <v>76</v>
      </c>
      <c r="B179" s="4">
        <v>1287</v>
      </c>
      <c r="C179" s="4">
        <v>1549</v>
      </c>
      <c r="D179" s="4">
        <v>1662</v>
      </c>
      <c r="E179" s="4">
        <v>1777</v>
      </c>
      <c r="F179" s="4">
        <v>2107</v>
      </c>
      <c r="G179" s="4">
        <v>2623</v>
      </c>
      <c r="H179" s="4">
        <v>3430</v>
      </c>
      <c r="I179" s="4">
        <v>4384</v>
      </c>
      <c r="J179" s="4">
        <v>4806</v>
      </c>
      <c r="K179" s="4">
        <v>5314</v>
      </c>
      <c r="L179" s="4">
        <v>5603</v>
      </c>
      <c r="M179" s="4">
        <v>5911</v>
      </c>
      <c r="N179" s="4">
        <v>5346</v>
      </c>
      <c r="O179" s="4">
        <v>2122</v>
      </c>
      <c r="P179" s="4">
        <v>7534</v>
      </c>
      <c r="Q179" s="4">
        <v>7325</v>
      </c>
      <c r="R179" s="86">
        <f t="shared" si="48"/>
        <v>1.1355685131195334</v>
      </c>
      <c r="S179" s="93">
        <f t="shared" si="49"/>
        <v>0.23921502283877516</v>
      </c>
      <c r="T179" s="93">
        <f t="shared" si="50"/>
        <v>-2.774090788425803E-2</v>
      </c>
      <c r="U179" s="95">
        <f t="shared" si="51"/>
        <v>6.7573800738007381E-2</v>
      </c>
    </row>
    <row r="180" spans="1:21" x14ac:dyDescent="0.2">
      <c r="A180" s="4" t="s">
        <v>77</v>
      </c>
      <c r="B180" s="4">
        <v>2530</v>
      </c>
      <c r="C180" s="4">
        <v>3086</v>
      </c>
      <c r="D180" s="4">
        <v>3296</v>
      </c>
      <c r="E180" s="4">
        <v>2849</v>
      </c>
      <c r="F180" s="4">
        <v>3025</v>
      </c>
      <c r="G180" s="4">
        <v>3053</v>
      </c>
      <c r="H180" s="4">
        <v>3411</v>
      </c>
      <c r="I180" s="4">
        <v>3720</v>
      </c>
      <c r="J180" s="4">
        <v>4060</v>
      </c>
      <c r="K180" s="4">
        <v>3953</v>
      </c>
      <c r="L180" s="4">
        <v>4064</v>
      </c>
      <c r="M180" s="4">
        <v>4389</v>
      </c>
      <c r="N180" s="4">
        <v>4896</v>
      </c>
      <c r="O180" s="4">
        <v>4245</v>
      </c>
      <c r="P180" s="4">
        <v>6257</v>
      </c>
      <c r="Q180" s="4">
        <v>6207</v>
      </c>
      <c r="R180" s="86">
        <f t="shared" si="48"/>
        <v>0.81970096745822341</v>
      </c>
      <c r="S180" s="93">
        <f t="shared" si="49"/>
        <v>0.41421736158578265</v>
      </c>
      <c r="T180" s="93">
        <f t="shared" si="50"/>
        <v>-7.9910500239731494E-3</v>
      </c>
      <c r="U180" s="95">
        <f t="shared" si="51"/>
        <v>5.7260147601476012E-2</v>
      </c>
    </row>
    <row r="181" spans="1:21" x14ac:dyDescent="0.2">
      <c r="A181" s="4" t="s">
        <v>75</v>
      </c>
      <c r="B181" s="4">
        <v>1724</v>
      </c>
      <c r="C181" s="4">
        <v>1574</v>
      </c>
      <c r="D181" s="4">
        <v>2129</v>
      </c>
      <c r="E181" s="4">
        <v>2054</v>
      </c>
      <c r="F181" s="4">
        <v>1953</v>
      </c>
      <c r="G181" s="4">
        <v>2618</v>
      </c>
      <c r="H181" s="4">
        <v>3551</v>
      </c>
      <c r="I181" s="4">
        <v>3770</v>
      </c>
      <c r="J181" s="4">
        <v>4324</v>
      </c>
      <c r="K181" s="4">
        <v>4359</v>
      </c>
      <c r="L181" s="4">
        <v>4463</v>
      </c>
      <c r="M181" s="4">
        <v>4473</v>
      </c>
      <c r="N181" s="4">
        <v>4079</v>
      </c>
      <c r="O181" s="4">
        <v>3924</v>
      </c>
      <c r="P181" s="4">
        <v>4589</v>
      </c>
      <c r="Q181" s="4">
        <v>5194</v>
      </c>
      <c r="R181" s="86">
        <f t="shared" si="48"/>
        <v>0.46268656716417911</v>
      </c>
      <c r="S181" s="93">
        <f t="shared" si="49"/>
        <v>0.16118935837245696</v>
      </c>
      <c r="T181" s="93">
        <f t="shared" si="50"/>
        <v>0.1318370015253868</v>
      </c>
      <c r="U181" s="95">
        <f t="shared" si="51"/>
        <v>4.7915129151291515E-2</v>
      </c>
    </row>
    <row r="182" spans="1:21" x14ac:dyDescent="0.2">
      <c r="A182" s="4" t="s">
        <v>16</v>
      </c>
      <c r="B182" s="4">
        <v>1881</v>
      </c>
      <c r="C182" s="4">
        <v>2102</v>
      </c>
      <c r="D182" s="4">
        <v>2416</v>
      </c>
      <c r="E182" s="4">
        <v>2382</v>
      </c>
      <c r="F182" s="4">
        <v>2476</v>
      </c>
      <c r="G182" s="4">
        <v>2602</v>
      </c>
      <c r="H182" s="4">
        <v>2818</v>
      </c>
      <c r="I182" s="4">
        <v>3477</v>
      </c>
      <c r="J182" s="4">
        <v>3481</v>
      </c>
      <c r="K182" s="4">
        <v>3641</v>
      </c>
      <c r="L182" s="4">
        <v>4277</v>
      </c>
      <c r="M182" s="4">
        <v>3814</v>
      </c>
      <c r="N182" s="4">
        <v>3970</v>
      </c>
      <c r="O182" s="4">
        <v>2869</v>
      </c>
      <c r="P182" s="4">
        <v>3569</v>
      </c>
      <c r="Q182" s="4">
        <v>3818</v>
      </c>
      <c r="R182" s="86">
        <f t="shared" si="48"/>
        <v>0.35486160397444999</v>
      </c>
      <c r="S182" s="93">
        <f t="shared" si="49"/>
        <v>1.048767697954903E-3</v>
      </c>
      <c r="T182" s="93">
        <f t="shared" si="50"/>
        <v>6.9767441860465115E-2</v>
      </c>
      <c r="U182" s="95">
        <f t="shared" si="51"/>
        <v>3.5221402214022139E-2</v>
      </c>
    </row>
    <row r="183" spans="1:21" x14ac:dyDescent="0.2">
      <c r="A183" s="4" t="s">
        <v>66</v>
      </c>
      <c r="B183" s="4">
        <v>1248</v>
      </c>
      <c r="C183" s="4">
        <v>1408</v>
      </c>
      <c r="D183" s="4">
        <v>1788</v>
      </c>
      <c r="E183" s="4">
        <v>1817</v>
      </c>
      <c r="F183" s="4">
        <v>2415</v>
      </c>
      <c r="G183" s="4">
        <v>2352</v>
      </c>
      <c r="H183" s="4">
        <v>3062</v>
      </c>
      <c r="I183" s="4">
        <v>3414</v>
      </c>
      <c r="J183" s="4">
        <v>3361</v>
      </c>
      <c r="K183" s="4">
        <v>3368</v>
      </c>
      <c r="L183" s="4">
        <v>3415</v>
      </c>
      <c r="M183" s="4">
        <v>3623</v>
      </c>
      <c r="N183" s="4">
        <v>3537</v>
      </c>
      <c r="O183" s="4">
        <v>3062</v>
      </c>
      <c r="P183" s="4">
        <v>4068</v>
      </c>
      <c r="Q183" s="4">
        <v>3652</v>
      </c>
      <c r="R183" s="86">
        <f t="shared" si="48"/>
        <v>0.19268451992161986</v>
      </c>
      <c r="S183" s="93">
        <f t="shared" si="49"/>
        <v>8.0044162296439413E-3</v>
      </c>
      <c r="T183" s="93">
        <f t="shared" si="50"/>
        <v>-0.10226155358898721</v>
      </c>
      <c r="U183" s="95">
        <f t="shared" si="51"/>
        <v>3.3690036900369001E-2</v>
      </c>
    </row>
    <row r="184" spans="1:21" x14ac:dyDescent="0.2">
      <c r="A184" s="4" t="s">
        <v>67</v>
      </c>
      <c r="B184" s="4">
        <v>1769</v>
      </c>
      <c r="C184" s="4">
        <v>1667</v>
      </c>
      <c r="D184" s="4">
        <v>1627</v>
      </c>
      <c r="E184" s="4">
        <v>1588</v>
      </c>
      <c r="F184" s="4">
        <v>1875</v>
      </c>
      <c r="G184" s="4">
        <v>1952</v>
      </c>
      <c r="H184" s="4">
        <v>1958</v>
      </c>
      <c r="I184" s="4">
        <v>2421</v>
      </c>
      <c r="J184" s="4">
        <v>2190</v>
      </c>
      <c r="K184" s="4">
        <v>2175</v>
      </c>
      <c r="L184" s="4">
        <v>2378</v>
      </c>
      <c r="M184" s="4">
        <v>2331</v>
      </c>
      <c r="N184" s="4">
        <v>2129</v>
      </c>
      <c r="O184" s="4">
        <v>2248</v>
      </c>
      <c r="P184" s="4">
        <v>3413</v>
      </c>
      <c r="Q184" s="4">
        <v>3502</v>
      </c>
      <c r="R184" s="86">
        <f t="shared" si="48"/>
        <v>0.78855975485188967</v>
      </c>
      <c r="S184" s="93">
        <f t="shared" si="49"/>
        <v>0.50235950235950233</v>
      </c>
      <c r="T184" s="93">
        <f t="shared" si="50"/>
        <v>2.6076765309112217E-2</v>
      </c>
      <c r="U184" s="95">
        <f t="shared" si="51"/>
        <v>3.230627306273063E-2</v>
      </c>
    </row>
    <row r="185" spans="1:21" x14ac:dyDescent="0.2">
      <c r="A185" s="4" t="s">
        <v>313</v>
      </c>
      <c r="B185" s="4">
        <v>632</v>
      </c>
      <c r="C185" s="4">
        <v>838</v>
      </c>
      <c r="D185" s="4">
        <v>1001</v>
      </c>
      <c r="E185" s="4">
        <v>1109</v>
      </c>
      <c r="F185" s="4">
        <v>1511</v>
      </c>
      <c r="G185" s="4">
        <v>1805</v>
      </c>
      <c r="H185" s="4">
        <v>2431</v>
      </c>
      <c r="I185" s="4">
        <v>2832</v>
      </c>
      <c r="J185" s="4">
        <v>2963</v>
      </c>
      <c r="K185" s="4">
        <v>2846</v>
      </c>
      <c r="L185" s="4">
        <v>3094</v>
      </c>
      <c r="M185" s="4">
        <v>2838</v>
      </c>
      <c r="N185" s="4">
        <v>2555</v>
      </c>
      <c r="O185" s="4">
        <v>790</v>
      </c>
      <c r="P185" s="4">
        <v>3199</v>
      </c>
      <c r="Q185" s="4">
        <v>3486</v>
      </c>
      <c r="R185" s="86">
        <f t="shared" si="48"/>
        <v>0.43397778691896338</v>
      </c>
      <c r="S185" s="93">
        <f t="shared" si="49"/>
        <v>0.22832980972515857</v>
      </c>
      <c r="T185" s="93">
        <f t="shared" si="50"/>
        <v>8.9715536105032828E-2</v>
      </c>
      <c r="U185" s="95">
        <f t="shared" si="51"/>
        <v>3.215867158671587E-2</v>
      </c>
    </row>
    <row r="186" spans="1:21" x14ac:dyDescent="0.2">
      <c r="A186" s="4" t="s">
        <v>80</v>
      </c>
      <c r="B186" s="4">
        <v>319</v>
      </c>
      <c r="C186" s="4">
        <v>412</v>
      </c>
      <c r="D186" s="4">
        <v>507</v>
      </c>
      <c r="E186" s="4">
        <v>617</v>
      </c>
      <c r="F186" s="4">
        <v>722</v>
      </c>
      <c r="G186" s="4">
        <v>784</v>
      </c>
      <c r="H186" s="4">
        <v>1163</v>
      </c>
      <c r="I186" s="4">
        <v>1407</v>
      </c>
      <c r="J186" s="4">
        <v>1420</v>
      </c>
      <c r="K186" s="4">
        <v>1625</v>
      </c>
      <c r="L186" s="4">
        <v>1839</v>
      </c>
      <c r="M186" s="4">
        <v>2006</v>
      </c>
      <c r="N186" s="4">
        <v>1744</v>
      </c>
      <c r="O186" s="4">
        <v>827</v>
      </c>
      <c r="P186" s="4">
        <v>2707</v>
      </c>
      <c r="Q186" s="4">
        <v>2493</v>
      </c>
      <c r="R186" s="86">
        <f t="shared" si="48"/>
        <v>1.1435941530524505</v>
      </c>
      <c r="S186" s="93">
        <f t="shared" si="49"/>
        <v>0.24277168494516452</v>
      </c>
      <c r="T186" s="93">
        <f t="shared" si="50"/>
        <v>-7.9054303657185077E-2</v>
      </c>
      <c r="U186" s="95">
        <f t="shared" si="51"/>
        <v>2.2998154981549817E-2</v>
      </c>
    </row>
    <row r="187" spans="1:21" x14ac:dyDescent="0.2">
      <c r="A187" s="4" t="s">
        <v>317</v>
      </c>
      <c r="B187" s="4">
        <v>108</v>
      </c>
      <c r="C187" s="4">
        <v>162</v>
      </c>
      <c r="D187" s="4">
        <v>188</v>
      </c>
      <c r="E187" s="4">
        <v>195</v>
      </c>
      <c r="F187" s="4">
        <v>211</v>
      </c>
      <c r="G187" s="4">
        <v>292</v>
      </c>
      <c r="H187" s="4">
        <v>346</v>
      </c>
      <c r="I187" s="4">
        <v>494</v>
      </c>
      <c r="J187" s="4">
        <v>673</v>
      </c>
      <c r="K187" s="4">
        <v>870</v>
      </c>
      <c r="L187" s="4">
        <v>1059</v>
      </c>
      <c r="M187" s="4">
        <v>1189</v>
      </c>
      <c r="N187" s="4">
        <v>1325</v>
      </c>
      <c r="O187" s="4">
        <v>500</v>
      </c>
      <c r="P187" s="4">
        <v>2279</v>
      </c>
      <c r="Q187" s="4">
        <v>2435</v>
      </c>
      <c r="R187" s="86">
        <f t="shared" si="48"/>
        <v>6.0375722543352603</v>
      </c>
      <c r="S187" s="93">
        <f t="shared" si="49"/>
        <v>1.0479394449116906</v>
      </c>
      <c r="T187" s="93">
        <f t="shared" si="50"/>
        <v>6.8451075032909175E-2</v>
      </c>
      <c r="U187" s="95">
        <f t="shared" si="51"/>
        <v>2.2463099630996311E-2</v>
      </c>
    </row>
    <row r="188" spans="1:21" x14ac:dyDescent="0.2">
      <c r="A188" s="4" t="s">
        <v>314</v>
      </c>
      <c r="B188" s="4">
        <v>909</v>
      </c>
      <c r="C188" s="4">
        <v>1096</v>
      </c>
      <c r="D188" s="4">
        <v>1136</v>
      </c>
      <c r="E188" s="4">
        <v>1254</v>
      </c>
      <c r="F188" s="4">
        <v>1283</v>
      </c>
      <c r="G188" s="4">
        <v>1318</v>
      </c>
      <c r="H188" s="4">
        <v>1502</v>
      </c>
      <c r="I188" s="4">
        <v>1564</v>
      </c>
      <c r="J188" s="4">
        <v>1632</v>
      </c>
      <c r="K188" s="4">
        <v>1598</v>
      </c>
      <c r="L188" s="4">
        <v>1637</v>
      </c>
      <c r="M188" s="4">
        <v>1801</v>
      </c>
      <c r="N188" s="4">
        <v>1817</v>
      </c>
      <c r="O188" s="4">
        <v>501</v>
      </c>
      <c r="P188" s="4">
        <v>2613</v>
      </c>
      <c r="Q188" s="4">
        <v>2414</v>
      </c>
      <c r="R188" s="86">
        <f t="shared" si="48"/>
        <v>0.60719041278295605</v>
      </c>
      <c r="S188" s="93">
        <f t="shared" si="49"/>
        <v>0.34036646307606883</v>
      </c>
      <c r="T188" s="93">
        <f t="shared" si="50"/>
        <v>-7.6157673172598542E-2</v>
      </c>
      <c r="U188" s="95">
        <f t="shared" si="51"/>
        <v>2.2269372693726936E-2</v>
      </c>
    </row>
    <row r="189" spans="1:21" x14ac:dyDescent="0.2">
      <c r="A189" s="4" t="s">
        <v>318</v>
      </c>
      <c r="B189" s="4">
        <v>426</v>
      </c>
      <c r="C189" s="4">
        <v>414</v>
      </c>
      <c r="D189" s="4">
        <v>424</v>
      </c>
      <c r="E189" s="4">
        <v>494</v>
      </c>
      <c r="F189" s="4">
        <v>655</v>
      </c>
      <c r="G189" s="4">
        <v>592</v>
      </c>
      <c r="H189" s="4">
        <v>861</v>
      </c>
      <c r="I189" s="4">
        <v>905</v>
      </c>
      <c r="J189" s="4">
        <v>954</v>
      </c>
      <c r="K189" s="4">
        <v>1066</v>
      </c>
      <c r="L189" s="4">
        <v>1174</v>
      </c>
      <c r="M189" s="4">
        <v>1339</v>
      </c>
      <c r="N189" s="4">
        <v>1355</v>
      </c>
      <c r="O189" s="4">
        <v>752</v>
      </c>
      <c r="P189" s="4">
        <v>1805</v>
      </c>
      <c r="Q189" s="4">
        <v>2402</v>
      </c>
      <c r="R189" s="86">
        <f t="shared" si="48"/>
        <v>1.7897793263646922</v>
      </c>
      <c r="S189" s="93">
        <f t="shared" si="49"/>
        <v>0.79387602688573566</v>
      </c>
      <c r="T189" s="93">
        <f t="shared" si="50"/>
        <v>0.33074792243767315</v>
      </c>
      <c r="U189" s="95">
        <f t="shared" si="51"/>
        <v>2.2158671586715868E-2</v>
      </c>
    </row>
    <row r="190" spans="1:21" x14ac:dyDescent="0.2">
      <c r="A190" s="4" t="s">
        <v>68</v>
      </c>
      <c r="B190" s="4">
        <v>1634</v>
      </c>
      <c r="C190" s="4">
        <v>1497</v>
      </c>
      <c r="D190" s="4">
        <v>1435</v>
      </c>
      <c r="E190" s="4">
        <v>1448</v>
      </c>
      <c r="F190" s="4">
        <v>1555</v>
      </c>
      <c r="G190" s="4">
        <v>1846</v>
      </c>
      <c r="H190" s="4">
        <v>2033</v>
      </c>
      <c r="I190" s="4">
        <v>2142</v>
      </c>
      <c r="J190" s="4">
        <v>2224</v>
      </c>
      <c r="K190" s="4">
        <v>1958</v>
      </c>
      <c r="L190" s="4">
        <v>1900</v>
      </c>
      <c r="M190" s="4">
        <v>1723</v>
      </c>
      <c r="N190" s="4">
        <v>1748</v>
      </c>
      <c r="O190" s="4">
        <v>1729</v>
      </c>
      <c r="P190" s="4">
        <v>2452</v>
      </c>
      <c r="Q190" s="4">
        <v>2342</v>
      </c>
      <c r="R190" s="86">
        <f t="shared" si="48"/>
        <v>0.15199212985735366</v>
      </c>
      <c r="S190" s="93">
        <f t="shared" si="49"/>
        <v>0.35925710969239699</v>
      </c>
      <c r="T190" s="93">
        <f t="shared" si="50"/>
        <v>-4.4861337683523655E-2</v>
      </c>
      <c r="U190" s="95">
        <f t="shared" si="51"/>
        <v>2.1605166051660518E-2</v>
      </c>
    </row>
    <row r="191" spans="1:21" x14ac:dyDescent="0.2">
      <c r="A191" s="4" t="s">
        <v>315</v>
      </c>
      <c r="B191" s="4">
        <v>526</v>
      </c>
      <c r="C191" s="4">
        <v>679</v>
      </c>
      <c r="D191" s="4">
        <v>786</v>
      </c>
      <c r="E191" s="4">
        <v>794</v>
      </c>
      <c r="F191" s="4">
        <v>855</v>
      </c>
      <c r="G191" s="4">
        <v>1119</v>
      </c>
      <c r="H191" s="4">
        <v>1222</v>
      </c>
      <c r="I191" s="4">
        <v>1246</v>
      </c>
      <c r="J191" s="4">
        <v>1407</v>
      </c>
      <c r="K191" s="4">
        <v>1525</v>
      </c>
      <c r="L191" s="4">
        <v>1650</v>
      </c>
      <c r="M191" s="4">
        <v>1598</v>
      </c>
      <c r="N191" s="4">
        <v>1709</v>
      </c>
      <c r="O191" s="4">
        <v>418</v>
      </c>
      <c r="P191" s="4">
        <v>2585</v>
      </c>
      <c r="Q191" s="4">
        <v>2186</v>
      </c>
      <c r="R191" s="86">
        <f t="shared" si="48"/>
        <v>0.78887070376432078</v>
      </c>
      <c r="S191" s="93">
        <f t="shared" si="49"/>
        <v>0.36795994993742176</v>
      </c>
      <c r="T191" s="93">
        <f t="shared" si="50"/>
        <v>-0.15435203094777564</v>
      </c>
      <c r="U191" s="95">
        <f t="shared" si="51"/>
        <v>2.0166051660516604E-2</v>
      </c>
    </row>
    <row r="192" spans="1:21" x14ac:dyDescent="0.2">
      <c r="A192" s="4" t="s">
        <v>79</v>
      </c>
      <c r="B192" s="4">
        <v>994</v>
      </c>
      <c r="C192" s="4">
        <v>1337</v>
      </c>
      <c r="D192" s="4">
        <v>1144</v>
      </c>
      <c r="E192" s="4">
        <v>1150</v>
      </c>
      <c r="F192" s="4">
        <v>1180</v>
      </c>
      <c r="G192" s="4">
        <v>1277</v>
      </c>
      <c r="H192" s="4">
        <v>1920</v>
      </c>
      <c r="I192" s="4">
        <v>1864</v>
      </c>
      <c r="J192" s="4">
        <v>2845</v>
      </c>
      <c r="K192" s="4">
        <v>2645</v>
      </c>
      <c r="L192" s="4">
        <v>2783</v>
      </c>
      <c r="M192" s="4">
        <v>3884</v>
      </c>
      <c r="N192" s="4">
        <v>5003</v>
      </c>
      <c r="O192" s="4">
        <v>2991</v>
      </c>
      <c r="P192" s="4">
        <v>3368</v>
      </c>
      <c r="Q192" s="4">
        <v>2092</v>
      </c>
      <c r="R192" s="86">
        <f t="shared" si="48"/>
        <v>8.9583333333333334E-2</v>
      </c>
      <c r="S192" s="93">
        <f t="shared" si="49"/>
        <v>-0.46138002059732236</v>
      </c>
      <c r="T192" s="93">
        <f t="shared" si="50"/>
        <v>-0.37885985748218526</v>
      </c>
      <c r="U192" s="95">
        <f t="shared" si="51"/>
        <v>1.9298892988929891E-2</v>
      </c>
    </row>
    <row r="193" spans="1:22" x14ac:dyDescent="0.2">
      <c r="A193" s="4" t="s">
        <v>316</v>
      </c>
      <c r="B193" s="4">
        <v>244</v>
      </c>
      <c r="C193" s="4">
        <v>380</v>
      </c>
      <c r="D193" s="4">
        <v>462</v>
      </c>
      <c r="E193" s="4">
        <v>571</v>
      </c>
      <c r="F193" s="4">
        <v>567</v>
      </c>
      <c r="G193" s="4">
        <v>915</v>
      </c>
      <c r="H193" s="4">
        <v>926</v>
      </c>
      <c r="I193" s="4">
        <v>1278</v>
      </c>
      <c r="J193" s="4">
        <v>1379</v>
      </c>
      <c r="K193" s="4">
        <v>1628</v>
      </c>
      <c r="L193" s="4">
        <v>1647</v>
      </c>
      <c r="M193" s="4">
        <v>1670</v>
      </c>
      <c r="N193" s="4">
        <v>1719</v>
      </c>
      <c r="O193" s="4">
        <v>606</v>
      </c>
      <c r="P193" s="4">
        <v>2398</v>
      </c>
      <c r="Q193" s="4">
        <v>1751</v>
      </c>
      <c r="R193" s="86">
        <f t="shared" si="48"/>
        <v>0.89092872570194381</v>
      </c>
      <c r="S193" s="93">
        <f t="shared" si="49"/>
        <v>4.8502994011976046E-2</v>
      </c>
      <c r="T193" s="93">
        <f t="shared" si="50"/>
        <v>-0.26980817347789826</v>
      </c>
      <c r="U193" s="95">
        <f t="shared" si="51"/>
        <v>1.6153136531365315E-2</v>
      </c>
    </row>
    <row r="194" spans="1:22" x14ac:dyDescent="0.2">
      <c r="A194" s="4" t="s">
        <v>257</v>
      </c>
      <c r="B194" s="4">
        <v>626</v>
      </c>
      <c r="C194" s="4">
        <v>602</v>
      </c>
      <c r="D194" s="4">
        <v>716</v>
      </c>
      <c r="E194" s="4">
        <v>658</v>
      </c>
      <c r="F194" s="4">
        <v>686</v>
      </c>
      <c r="G194" s="4">
        <v>768</v>
      </c>
      <c r="H194" s="4">
        <v>989</v>
      </c>
      <c r="I194" s="4">
        <v>1184</v>
      </c>
      <c r="J194" s="4">
        <v>1200</v>
      </c>
      <c r="K194" s="4">
        <v>1073</v>
      </c>
      <c r="L194" s="4">
        <v>1133</v>
      </c>
      <c r="M194" s="4">
        <v>1436</v>
      </c>
      <c r="N194" s="4">
        <v>1445</v>
      </c>
      <c r="O194" s="4">
        <v>1363</v>
      </c>
      <c r="P194" s="4">
        <v>1720</v>
      </c>
      <c r="Q194" s="4">
        <v>1737</v>
      </c>
      <c r="R194" s="86">
        <f t="shared" si="48"/>
        <v>0.75631951466127401</v>
      </c>
      <c r="S194" s="93">
        <f t="shared" si="49"/>
        <v>0.2096100278551532</v>
      </c>
      <c r="T194" s="93">
        <f t="shared" si="50"/>
        <v>9.883720930232558E-3</v>
      </c>
      <c r="U194" s="95">
        <f t="shared" si="51"/>
        <v>1.6023985239852399E-2</v>
      </c>
    </row>
    <row r="195" spans="1:22" x14ac:dyDescent="0.2">
      <c r="A195" s="4" t="s">
        <v>273</v>
      </c>
      <c r="B195" s="4">
        <v>1290</v>
      </c>
      <c r="C195" s="4">
        <v>1185</v>
      </c>
      <c r="D195" s="4">
        <v>1416</v>
      </c>
      <c r="E195" s="4">
        <v>1363</v>
      </c>
      <c r="F195" s="4">
        <v>1141</v>
      </c>
      <c r="G195" s="4">
        <v>1201</v>
      </c>
      <c r="H195" s="4">
        <v>1407</v>
      </c>
      <c r="I195" s="4">
        <v>1274</v>
      </c>
      <c r="J195" s="4">
        <v>1282</v>
      </c>
      <c r="K195" s="4">
        <v>1218</v>
      </c>
      <c r="L195" s="4">
        <v>1308</v>
      </c>
      <c r="M195" s="4">
        <v>1144</v>
      </c>
      <c r="N195" s="4">
        <v>1127</v>
      </c>
      <c r="O195" s="4">
        <v>1171</v>
      </c>
      <c r="P195" s="4">
        <v>1517</v>
      </c>
      <c r="Q195" s="4">
        <v>1586</v>
      </c>
      <c r="R195" s="86">
        <f t="shared" si="48"/>
        <v>0.12722103766879886</v>
      </c>
      <c r="S195" s="93">
        <f t="shared" si="49"/>
        <v>0.38636363636363635</v>
      </c>
      <c r="T195" s="93">
        <f t="shared" si="50"/>
        <v>4.5484508899143045E-2</v>
      </c>
      <c r="U195" s="95">
        <f t="shared" si="51"/>
        <v>1.4630996309963099E-2</v>
      </c>
    </row>
    <row r="196" spans="1:22" x14ac:dyDescent="0.2">
      <c r="A196" s="4" t="s">
        <v>421</v>
      </c>
      <c r="B196" s="4">
        <v>5469</v>
      </c>
      <c r="C196" s="4">
        <v>5385</v>
      </c>
      <c r="D196" s="4">
        <v>5695</v>
      </c>
      <c r="E196" s="4">
        <v>5182</v>
      </c>
      <c r="F196" s="4">
        <v>4224</v>
      </c>
      <c r="G196" s="4">
        <v>3160</v>
      </c>
      <c r="H196" s="4">
        <v>2856</v>
      </c>
      <c r="I196" s="4">
        <v>2691</v>
      </c>
      <c r="J196" s="4">
        <v>2431</v>
      </c>
      <c r="K196" s="4">
        <v>2085</v>
      </c>
      <c r="L196" s="4">
        <v>2027</v>
      </c>
      <c r="M196" s="4">
        <v>1452</v>
      </c>
      <c r="N196" s="4">
        <v>1394</v>
      </c>
      <c r="O196" s="4">
        <v>1195</v>
      </c>
      <c r="P196" s="4">
        <v>1480</v>
      </c>
      <c r="Q196" s="4">
        <v>1577</v>
      </c>
      <c r="R196" s="86">
        <f t="shared" si="48"/>
        <v>-0.44782913165266108</v>
      </c>
      <c r="S196" s="93">
        <f t="shared" si="49"/>
        <v>8.6088154269972447E-2</v>
      </c>
      <c r="T196" s="93">
        <f t="shared" si="50"/>
        <v>6.5540540540540537E-2</v>
      </c>
      <c r="U196" s="95">
        <f t="shared" si="51"/>
        <v>1.4547970479704797E-2</v>
      </c>
    </row>
    <row r="197" spans="1:22" x14ac:dyDescent="0.2">
      <c r="A197" s="4" t="s">
        <v>78</v>
      </c>
      <c r="B197" s="4">
        <v>1519</v>
      </c>
      <c r="C197" s="4">
        <v>1625</v>
      </c>
      <c r="D197" s="4">
        <v>1984</v>
      </c>
      <c r="E197" s="4">
        <v>2051</v>
      </c>
      <c r="F197" s="4">
        <v>2256</v>
      </c>
      <c r="G197" s="4">
        <v>2605</v>
      </c>
      <c r="H197" s="4">
        <v>2771</v>
      </c>
      <c r="I197" s="4">
        <v>3001</v>
      </c>
      <c r="J197" s="4">
        <v>2911</v>
      </c>
      <c r="K197" s="4">
        <v>2716</v>
      </c>
      <c r="L197" s="4">
        <v>2371</v>
      </c>
      <c r="M197" s="4">
        <v>1993</v>
      </c>
      <c r="N197" s="4">
        <v>2099</v>
      </c>
      <c r="O197" s="4">
        <v>1721</v>
      </c>
      <c r="P197" s="4">
        <v>1615</v>
      </c>
      <c r="Q197" s="4">
        <v>1562</v>
      </c>
      <c r="R197" s="86">
        <f t="shared" si="48"/>
        <v>-0.43630458318296644</v>
      </c>
      <c r="S197" s="93">
        <f t="shared" si="49"/>
        <v>-0.21625689914701454</v>
      </c>
      <c r="T197" s="93">
        <f t="shared" si="50"/>
        <v>-3.2817337461300312E-2</v>
      </c>
      <c r="U197" s="95">
        <f t="shared" si="51"/>
        <v>1.440959409594096E-2</v>
      </c>
    </row>
    <row r="198" spans="1:22" x14ac:dyDescent="0.2">
      <c r="U198" s="125"/>
    </row>
    <row r="199" spans="1:22" ht="15.75" x14ac:dyDescent="0.2">
      <c r="A199" s="33" t="s">
        <v>299</v>
      </c>
      <c r="B199" s="33"/>
      <c r="C199" s="33"/>
      <c r="D199" s="33"/>
      <c r="E199" s="33"/>
      <c r="F199" s="33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</row>
    <row r="200" spans="1:22" ht="25.5" x14ac:dyDescent="0.2">
      <c r="A200" s="75" t="s">
        <v>219</v>
      </c>
      <c r="B200" s="3">
        <v>2007</v>
      </c>
      <c r="C200" s="3">
        <v>2008</v>
      </c>
      <c r="D200" s="3">
        <v>2009</v>
      </c>
      <c r="E200" s="3">
        <v>2010</v>
      </c>
      <c r="F200" s="3">
        <v>2011</v>
      </c>
      <c r="G200" s="3">
        <v>2012</v>
      </c>
      <c r="H200" s="3">
        <v>2013</v>
      </c>
      <c r="I200" s="3">
        <v>2014</v>
      </c>
      <c r="J200" s="3">
        <v>2015</v>
      </c>
      <c r="K200" s="3">
        <v>2016</v>
      </c>
      <c r="L200" s="3">
        <v>2017</v>
      </c>
      <c r="M200" s="3">
        <v>2018</v>
      </c>
      <c r="N200" s="3">
        <v>2019</v>
      </c>
      <c r="O200" s="3">
        <v>2020</v>
      </c>
      <c r="P200" s="3">
        <v>2021</v>
      </c>
      <c r="Q200" s="3">
        <v>2022</v>
      </c>
      <c r="R200" s="12" t="s">
        <v>406</v>
      </c>
      <c r="S200" s="12" t="s">
        <v>407</v>
      </c>
      <c r="T200" s="12" t="s">
        <v>408</v>
      </c>
      <c r="U200" s="12" t="s">
        <v>409</v>
      </c>
    </row>
    <row r="201" spans="1:22" x14ac:dyDescent="0.2">
      <c r="A201" s="4" t="s">
        <v>200</v>
      </c>
      <c r="B201" s="4">
        <v>46155</v>
      </c>
      <c r="C201" s="4">
        <v>54203</v>
      </c>
      <c r="D201" s="4">
        <v>58317</v>
      </c>
      <c r="E201" s="4">
        <v>55556</v>
      </c>
      <c r="F201" s="4">
        <v>65827</v>
      </c>
      <c r="G201" s="4">
        <v>76602</v>
      </c>
      <c r="H201" s="4">
        <v>88681</v>
      </c>
      <c r="I201" s="4">
        <v>95805</v>
      </c>
      <c r="J201" s="4">
        <v>105284</v>
      </c>
      <c r="K201" s="4">
        <v>111492</v>
      </c>
      <c r="L201" s="4">
        <v>115884</v>
      </c>
      <c r="M201" s="4">
        <v>117905</v>
      </c>
      <c r="N201" s="4">
        <v>114074</v>
      </c>
      <c r="O201" s="4">
        <v>90499</v>
      </c>
      <c r="P201" s="4">
        <v>132496</v>
      </c>
      <c r="Q201" s="4">
        <v>127440</v>
      </c>
      <c r="R201" s="86">
        <f t="shared" ref="R201:R203" si="52">(Q201-H201)/H201</f>
        <v>0.43706092624124671</v>
      </c>
      <c r="S201" s="93">
        <f t="shared" ref="S201:S203" si="53">(Q201-M201)/M201</f>
        <v>8.0870192103812397E-2</v>
      </c>
      <c r="T201" s="93">
        <f t="shared" ref="T201:T203" si="54">(Q201-P201)/P201</f>
        <v>-3.8159642555246953E-2</v>
      </c>
      <c r="U201" s="95">
        <f>Q201/Q$9</f>
        <v>0.57135171486213854</v>
      </c>
      <c r="V201" s="92"/>
    </row>
    <row r="202" spans="1:22" x14ac:dyDescent="0.2">
      <c r="A202" s="4" t="s">
        <v>201</v>
      </c>
      <c r="B202" s="4">
        <v>38643</v>
      </c>
      <c r="C202" s="4">
        <v>42228</v>
      </c>
      <c r="D202" s="4">
        <v>47183</v>
      </c>
      <c r="E202" s="4">
        <v>46115</v>
      </c>
      <c r="F202" s="4">
        <v>52022</v>
      </c>
      <c r="G202" s="4">
        <v>58740</v>
      </c>
      <c r="H202" s="4">
        <v>67819</v>
      </c>
      <c r="I202" s="4">
        <v>75401</v>
      </c>
      <c r="J202" s="4">
        <v>83522</v>
      </c>
      <c r="K202" s="4">
        <v>85568</v>
      </c>
      <c r="L202" s="4">
        <v>89318</v>
      </c>
      <c r="M202" s="4">
        <v>90167</v>
      </c>
      <c r="N202" s="4">
        <v>86014</v>
      </c>
      <c r="O202" s="4">
        <v>68788</v>
      </c>
      <c r="P202" s="4">
        <v>95287</v>
      </c>
      <c r="Q202" s="4">
        <v>95610</v>
      </c>
      <c r="R202" s="86">
        <f t="shared" si="52"/>
        <v>0.40978191952107818</v>
      </c>
      <c r="S202" s="93">
        <f t="shared" si="53"/>
        <v>6.0365765745782826E-2</v>
      </c>
      <c r="T202" s="93">
        <f t="shared" si="54"/>
        <v>3.3897593585693747E-3</v>
      </c>
      <c r="U202" s="95">
        <f t="shared" ref="U202:U203" si="55">Q202/Q$9</f>
        <v>0.42864828513786146</v>
      </c>
      <c r="V202" s="92"/>
    </row>
    <row r="203" spans="1:22" x14ac:dyDescent="0.2">
      <c r="A203" s="5" t="s">
        <v>4</v>
      </c>
      <c r="B203" s="5">
        <v>84798</v>
      </c>
      <c r="C203" s="5">
        <v>96431</v>
      </c>
      <c r="D203" s="5">
        <v>105500</v>
      </c>
      <c r="E203" s="5">
        <v>101671</v>
      </c>
      <c r="F203" s="5">
        <v>117849</v>
      </c>
      <c r="G203" s="5">
        <v>135342</v>
      </c>
      <c r="H203" s="5">
        <v>156500</v>
      </c>
      <c r="I203" s="5">
        <v>171206</v>
      </c>
      <c r="J203" s="5">
        <v>188806</v>
      </c>
      <c r="K203" s="5">
        <v>197060</v>
      </c>
      <c r="L203" s="5">
        <v>205202</v>
      </c>
      <c r="M203" s="5">
        <v>208072</v>
      </c>
      <c r="N203" s="5">
        <v>200088</v>
      </c>
      <c r="O203" s="5">
        <v>159287</v>
      </c>
      <c r="P203" s="5">
        <v>227783</v>
      </c>
      <c r="Q203" s="5">
        <v>223050</v>
      </c>
      <c r="R203" s="70">
        <f t="shared" si="52"/>
        <v>0.42523961661341853</v>
      </c>
      <c r="S203" s="94">
        <f t="shared" si="53"/>
        <v>7.198469760467531E-2</v>
      </c>
      <c r="T203" s="94">
        <f t="shared" si="54"/>
        <v>-2.0778548004021371E-2</v>
      </c>
      <c r="U203" s="96">
        <f t="shared" si="55"/>
        <v>1</v>
      </c>
      <c r="V203" s="92"/>
    </row>
    <row r="204" spans="1:22" x14ac:dyDescent="0.2">
      <c r="A204" s="138"/>
      <c r="B204" s="92">
        <f>B201/B203</f>
        <v>0.54429349748814826</v>
      </c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</row>
    <row r="205" spans="1:22" ht="15.75" x14ac:dyDescent="0.2">
      <c r="A205" s="33" t="s">
        <v>300</v>
      </c>
      <c r="B205" s="33"/>
      <c r="C205" s="33"/>
      <c r="D205" s="33"/>
      <c r="E205" s="33"/>
      <c r="F205" s="33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</row>
    <row r="206" spans="1:22" ht="25.5" x14ac:dyDescent="0.2">
      <c r="A206" s="75" t="s">
        <v>219</v>
      </c>
      <c r="B206" s="3">
        <v>2007</v>
      </c>
      <c r="C206" s="3">
        <v>2008</v>
      </c>
      <c r="D206" s="3">
        <v>2009</v>
      </c>
      <c r="E206" s="3">
        <v>2010</v>
      </c>
      <c r="F206" s="3">
        <v>2011</v>
      </c>
      <c r="G206" s="3">
        <v>2012</v>
      </c>
      <c r="H206" s="3">
        <v>2013</v>
      </c>
      <c r="I206" s="3">
        <v>2014</v>
      </c>
      <c r="J206" s="3">
        <v>2015</v>
      </c>
      <c r="K206" s="3">
        <v>2016</v>
      </c>
      <c r="L206" s="3">
        <v>2017</v>
      </c>
      <c r="M206" s="3">
        <v>2018</v>
      </c>
      <c r="N206" s="3">
        <v>2019</v>
      </c>
      <c r="O206" s="3">
        <v>2020</v>
      </c>
      <c r="P206" s="3">
        <v>2021</v>
      </c>
      <c r="Q206" s="3">
        <v>2022</v>
      </c>
      <c r="R206" s="12" t="s">
        <v>406</v>
      </c>
      <c r="S206" s="12" t="s">
        <v>407</v>
      </c>
      <c r="T206" s="12" t="s">
        <v>408</v>
      </c>
      <c r="U206" s="12" t="s">
        <v>409</v>
      </c>
    </row>
    <row r="207" spans="1:22" x14ac:dyDescent="0.2">
      <c r="A207" s="30" t="s">
        <v>200</v>
      </c>
      <c r="B207" s="30">
        <v>7445</v>
      </c>
      <c r="C207" s="30">
        <v>11849</v>
      </c>
      <c r="D207" s="30">
        <v>9824</v>
      </c>
      <c r="E207" s="30">
        <v>7931</v>
      </c>
      <c r="F207" s="30">
        <v>13671</v>
      </c>
      <c r="G207" s="4">
        <v>15767</v>
      </c>
      <c r="H207" s="4">
        <v>17258</v>
      </c>
      <c r="I207" s="4">
        <v>16598</v>
      </c>
      <c r="J207" s="4">
        <v>17677</v>
      </c>
      <c r="K207" s="4">
        <v>19582</v>
      </c>
      <c r="L207" s="4">
        <v>18174</v>
      </c>
      <c r="M207" s="4">
        <v>19778</v>
      </c>
      <c r="N207" s="4">
        <v>18611</v>
      </c>
      <c r="O207" s="4">
        <v>13875</v>
      </c>
      <c r="P207" s="4">
        <v>21501</v>
      </c>
      <c r="Q207" s="4">
        <v>21957</v>
      </c>
      <c r="R207" s="86">
        <f t="shared" ref="R207:R209" si="56">(Q207-H207)/H207</f>
        <v>0.27227952254027116</v>
      </c>
      <c r="S207" s="93">
        <f t="shared" ref="S207:S209" si="57">(Q207-M207)/M207</f>
        <v>0.11017291940539994</v>
      </c>
      <c r="T207" s="93">
        <f t="shared" ref="T207:T209" si="58">(Q207-P207)/P207</f>
        <v>2.1208315892284078E-2</v>
      </c>
      <c r="U207" s="95">
        <f>Q207/Q$6</f>
        <v>0.58488053061985568</v>
      </c>
      <c r="V207" s="92"/>
    </row>
    <row r="208" spans="1:22" x14ac:dyDescent="0.2">
      <c r="A208" s="30" t="s">
        <v>201</v>
      </c>
      <c r="B208" s="30">
        <v>5225</v>
      </c>
      <c r="C208" s="30">
        <v>7366</v>
      </c>
      <c r="D208" s="30">
        <v>6722</v>
      </c>
      <c r="E208" s="30">
        <v>6117</v>
      </c>
      <c r="F208" s="30">
        <v>8643</v>
      </c>
      <c r="G208" s="4">
        <v>9730</v>
      </c>
      <c r="H208" s="4">
        <v>10925</v>
      </c>
      <c r="I208" s="4">
        <v>11079</v>
      </c>
      <c r="J208" s="4">
        <v>12882</v>
      </c>
      <c r="K208" s="4">
        <v>14205</v>
      </c>
      <c r="L208" s="4">
        <v>14486</v>
      </c>
      <c r="M208" s="4">
        <v>15361</v>
      </c>
      <c r="N208" s="4">
        <v>14917</v>
      </c>
      <c r="O208" s="4">
        <v>9651</v>
      </c>
      <c r="P208" s="4">
        <v>14664</v>
      </c>
      <c r="Q208" s="4">
        <v>15584</v>
      </c>
      <c r="R208" s="86">
        <f t="shared" si="56"/>
        <v>0.42645308924485126</v>
      </c>
      <c r="S208" s="93">
        <f t="shared" si="57"/>
        <v>1.4517284030987567E-2</v>
      </c>
      <c r="T208" s="93">
        <f t="shared" si="58"/>
        <v>6.2738679759956353E-2</v>
      </c>
      <c r="U208" s="95">
        <f t="shared" ref="U208:U209" si="59">Q208/Q$6</f>
        <v>0.41511946938014438</v>
      </c>
      <c r="V208" s="92"/>
    </row>
    <row r="209" spans="1:23" x14ac:dyDescent="0.2">
      <c r="A209" s="5" t="s">
        <v>4</v>
      </c>
      <c r="B209" s="5">
        <v>12670</v>
      </c>
      <c r="C209" s="5">
        <v>19215</v>
      </c>
      <c r="D209" s="5">
        <v>16546</v>
      </c>
      <c r="E209" s="5">
        <v>14048</v>
      </c>
      <c r="F209" s="5">
        <v>22314</v>
      </c>
      <c r="G209" s="5">
        <v>25497</v>
      </c>
      <c r="H209" s="5">
        <v>28183</v>
      </c>
      <c r="I209" s="5">
        <v>27677</v>
      </c>
      <c r="J209" s="5">
        <v>30559</v>
      </c>
      <c r="K209" s="5">
        <v>33787</v>
      </c>
      <c r="L209" s="5">
        <v>32660</v>
      </c>
      <c r="M209" s="5">
        <v>35139</v>
      </c>
      <c r="N209" s="5">
        <v>33528</v>
      </c>
      <c r="O209" s="5">
        <v>23526</v>
      </c>
      <c r="P209" s="5">
        <v>36165</v>
      </c>
      <c r="Q209" s="5">
        <v>37541</v>
      </c>
      <c r="R209" s="70">
        <f t="shared" si="56"/>
        <v>0.33204414008444805</v>
      </c>
      <c r="S209" s="94">
        <f t="shared" si="57"/>
        <v>6.8357096104043946E-2</v>
      </c>
      <c r="T209" s="94">
        <f t="shared" si="58"/>
        <v>3.8047836305820544E-2</v>
      </c>
      <c r="U209" s="96">
        <f t="shared" si="59"/>
        <v>1</v>
      </c>
      <c r="V209" s="92"/>
    </row>
    <row r="211" spans="1:23" ht="15.75" x14ac:dyDescent="0.2">
      <c r="A211" s="33" t="s">
        <v>301</v>
      </c>
      <c r="B211" s="33"/>
      <c r="C211" s="33"/>
      <c r="D211" s="33"/>
      <c r="E211" s="33"/>
      <c r="F211" s="33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</row>
    <row r="212" spans="1:23" ht="25.5" x14ac:dyDescent="0.2">
      <c r="A212" s="75" t="s">
        <v>219</v>
      </c>
      <c r="B212" s="3">
        <v>2007</v>
      </c>
      <c r="C212" s="3">
        <v>2008</v>
      </c>
      <c r="D212" s="3">
        <v>2009</v>
      </c>
      <c r="E212" s="3">
        <v>2010</v>
      </c>
      <c r="F212" s="3">
        <v>2011</v>
      </c>
      <c r="G212" s="3">
        <v>2012</v>
      </c>
      <c r="H212" s="3">
        <v>2013</v>
      </c>
      <c r="I212" s="3">
        <v>2014</v>
      </c>
      <c r="J212" s="3">
        <v>2015</v>
      </c>
      <c r="K212" s="3">
        <v>2016</v>
      </c>
      <c r="L212" s="3">
        <v>2017</v>
      </c>
      <c r="M212" s="3">
        <v>2018</v>
      </c>
      <c r="N212" s="3">
        <v>2019</v>
      </c>
      <c r="O212" s="3">
        <v>2020</v>
      </c>
      <c r="P212" s="3">
        <v>2021</v>
      </c>
      <c r="Q212" s="3">
        <v>2022</v>
      </c>
      <c r="R212" s="12" t="s">
        <v>406</v>
      </c>
      <c r="S212" s="12" t="s">
        <v>407</v>
      </c>
      <c r="T212" s="12" t="s">
        <v>408</v>
      </c>
      <c r="U212" s="12" t="s">
        <v>409</v>
      </c>
    </row>
    <row r="213" spans="1:23" x14ac:dyDescent="0.2">
      <c r="A213" s="30" t="s">
        <v>200</v>
      </c>
      <c r="B213" s="30">
        <v>8028</v>
      </c>
      <c r="C213" s="30">
        <v>9357</v>
      </c>
      <c r="D213" s="30">
        <v>12190</v>
      </c>
      <c r="E213" s="30">
        <v>12592</v>
      </c>
      <c r="F213" s="30">
        <v>16573</v>
      </c>
      <c r="G213" s="4">
        <v>21346</v>
      </c>
      <c r="H213" s="4">
        <v>26977</v>
      </c>
      <c r="I213" s="4">
        <v>31676</v>
      </c>
      <c r="J213" s="4">
        <v>38431</v>
      </c>
      <c r="K213" s="4">
        <v>41743</v>
      </c>
      <c r="L213" s="4">
        <v>44878</v>
      </c>
      <c r="M213" s="4">
        <v>44212</v>
      </c>
      <c r="N213" s="4">
        <v>41541</v>
      </c>
      <c r="O213" s="4">
        <v>36226</v>
      </c>
      <c r="P213" s="4">
        <v>45593</v>
      </c>
      <c r="Q213" s="4">
        <v>42515</v>
      </c>
      <c r="R213" s="86">
        <f t="shared" ref="R213:R215" si="60">(Q213-H213)/H213</f>
        <v>0.57597212440226864</v>
      </c>
      <c r="S213" s="93">
        <f t="shared" ref="S213:S215" si="61">(Q213-M213)/M213</f>
        <v>-3.8383244368044876E-2</v>
      </c>
      <c r="T213" s="93">
        <f t="shared" ref="T213:T215" si="62">(Q213-P213)/P213</f>
        <v>-6.7510363432983139E-2</v>
      </c>
      <c r="U213" s="95">
        <f>Q213/Q$7</f>
        <v>0.55136235718268944</v>
      </c>
      <c r="V213" s="92"/>
    </row>
    <row r="214" spans="1:23" x14ac:dyDescent="0.2">
      <c r="A214" s="30" t="s">
        <v>201</v>
      </c>
      <c r="B214" s="30">
        <v>9142</v>
      </c>
      <c r="C214" s="30">
        <v>9331</v>
      </c>
      <c r="D214" s="30">
        <v>11447</v>
      </c>
      <c r="E214" s="30">
        <v>11091</v>
      </c>
      <c r="F214" s="30">
        <v>14123</v>
      </c>
      <c r="G214" s="4">
        <v>16783</v>
      </c>
      <c r="H214" s="4">
        <v>20357</v>
      </c>
      <c r="I214" s="4">
        <v>24689</v>
      </c>
      <c r="J214" s="4">
        <v>29794</v>
      </c>
      <c r="K214" s="4">
        <v>32041</v>
      </c>
      <c r="L214" s="4">
        <v>34013</v>
      </c>
      <c r="M214" s="4">
        <v>34943</v>
      </c>
      <c r="N214" s="4">
        <v>32641</v>
      </c>
      <c r="O214" s="4">
        <v>26934</v>
      </c>
      <c r="P214" s="4">
        <v>35934</v>
      </c>
      <c r="Q214" s="4">
        <v>34594</v>
      </c>
      <c r="R214" s="86">
        <f t="shared" si="60"/>
        <v>0.69936631134253568</v>
      </c>
      <c r="S214" s="93">
        <f t="shared" si="61"/>
        <v>-9.9876942449131437E-3</v>
      </c>
      <c r="T214" s="93">
        <f t="shared" si="62"/>
        <v>-3.7290588300773642E-2</v>
      </c>
      <c r="U214" s="95">
        <f t="shared" ref="U214:U215" si="63">Q214/Q$7</f>
        <v>0.44863764281731056</v>
      </c>
      <c r="V214" s="92"/>
    </row>
    <row r="215" spans="1:23" x14ac:dyDescent="0.2">
      <c r="A215" s="5" t="s">
        <v>4</v>
      </c>
      <c r="B215" s="5">
        <v>17170</v>
      </c>
      <c r="C215" s="5">
        <v>18688</v>
      </c>
      <c r="D215" s="5">
        <v>23637</v>
      </c>
      <c r="E215" s="5">
        <v>23683</v>
      </c>
      <c r="F215" s="5">
        <v>30696</v>
      </c>
      <c r="G215" s="5">
        <v>38129</v>
      </c>
      <c r="H215" s="5">
        <v>47334</v>
      </c>
      <c r="I215" s="5">
        <v>56365</v>
      </c>
      <c r="J215" s="5">
        <v>68225</v>
      </c>
      <c r="K215" s="5">
        <v>73784</v>
      </c>
      <c r="L215" s="5">
        <v>78891</v>
      </c>
      <c r="M215" s="5">
        <v>79155</v>
      </c>
      <c r="N215" s="5">
        <v>74182</v>
      </c>
      <c r="O215" s="5">
        <v>63160</v>
      </c>
      <c r="P215" s="5">
        <v>81527</v>
      </c>
      <c r="Q215" s="5">
        <v>77109</v>
      </c>
      <c r="R215" s="70">
        <f t="shared" si="60"/>
        <v>0.62904043605019644</v>
      </c>
      <c r="S215" s="94">
        <f t="shared" si="61"/>
        <v>-2.5848019708167521E-2</v>
      </c>
      <c r="T215" s="94">
        <f t="shared" si="62"/>
        <v>-5.4190636230941898E-2</v>
      </c>
      <c r="U215" s="96">
        <f t="shared" si="63"/>
        <v>1</v>
      </c>
      <c r="V215" s="92"/>
    </row>
    <row r="217" spans="1:23" ht="15.75" x14ac:dyDescent="0.2">
      <c r="A217" s="33" t="s">
        <v>302</v>
      </c>
      <c r="B217" s="33"/>
      <c r="C217" s="33"/>
      <c r="D217" s="33"/>
      <c r="E217" s="33"/>
      <c r="F217" s="33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</row>
    <row r="218" spans="1:23" ht="25.5" x14ac:dyDescent="0.2">
      <c r="A218" s="75" t="s">
        <v>219</v>
      </c>
      <c r="B218" s="3">
        <v>2007</v>
      </c>
      <c r="C218" s="3">
        <v>2008</v>
      </c>
      <c r="D218" s="3">
        <v>2009</v>
      </c>
      <c r="E218" s="3">
        <v>2010</v>
      </c>
      <c r="F218" s="3">
        <v>2011</v>
      </c>
      <c r="G218" s="3">
        <v>2012</v>
      </c>
      <c r="H218" s="3">
        <v>2013</v>
      </c>
      <c r="I218" s="3">
        <v>2014</v>
      </c>
      <c r="J218" s="3">
        <v>2015</v>
      </c>
      <c r="K218" s="3">
        <v>2016</v>
      </c>
      <c r="L218" s="3">
        <v>2017</v>
      </c>
      <c r="M218" s="3">
        <v>2018</v>
      </c>
      <c r="N218" s="3">
        <v>2019</v>
      </c>
      <c r="O218" s="3">
        <v>2020</v>
      </c>
      <c r="P218" s="3">
        <v>2021</v>
      </c>
      <c r="Q218" s="3">
        <v>2022</v>
      </c>
      <c r="R218" s="12" t="s">
        <v>406</v>
      </c>
      <c r="S218" s="12" t="s">
        <v>407</v>
      </c>
      <c r="T218" s="12" t="s">
        <v>408</v>
      </c>
      <c r="U218" s="12" t="s">
        <v>409</v>
      </c>
    </row>
    <row r="219" spans="1:23" x14ac:dyDescent="0.2">
      <c r="A219" s="30" t="s">
        <v>200</v>
      </c>
      <c r="B219" s="30">
        <v>30682</v>
      </c>
      <c r="C219" s="30">
        <v>32997</v>
      </c>
      <c r="D219" s="30">
        <v>36303</v>
      </c>
      <c r="E219" s="30">
        <v>35033</v>
      </c>
      <c r="F219" s="30">
        <v>35583</v>
      </c>
      <c r="G219" s="4">
        <v>39489</v>
      </c>
      <c r="H219" s="4">
        <v>44446</v>
      </c>
      <c r="I219" s="4">
        <v>47531</v>
      </c>
      <c r="J219" s="4">
        <v>49176</v>
      </c>
      <c r="K219" s="4">
        <v>50167</v>
      </c>
      <c r="L219" s="4">
        <v>52832</v>
      </c>
      <c r="M219" s="4">
        <v>53915</v>
      </c>
      <c r="N219" s="4">
        <v>53922</v>
      </c>
      <c r="O219" s="4">
        <v>40398</v>
      </c>
      <c r="P219" s="4">
        <v>65402</v>
      </c>
      <c r="Q219" s="4">
        <v>62968</v>
      </c>
      <c r="R219" s="86">
        <f t="shared" ref="R219:R221" si="64">(Q219-H219)/H219</f>
        <v>0.41673041443549474</v>
      </c>
      <c r="S219" s="93">
        <f t="shared" ref="S219:S221" si="65">(Q219-M219)/M219</f>
        <v>0.16791245478994715</v>
      </c>
      <c r="T219" s="93">
        <f t="shared" ref="T219:T221" si="66">(Q219-P219)/P219</f>
        <v>-3.7215987278676491E-2</v>
      </c>
      <c r="U219" s="95">
        <f>Q219/Q$8</f>
        <v>0.58088560885608853</v>
      </c>
      <c r="V219" s="92"/>
    </row>
    <row r="220" spans="1:23" x14ac:dyDescent="0.2">
      <c r="A220" s="30" t="s">
        <v>201</v>
      </c>
      <c r="B220" s="30">
        <v>24276</v>
      </c>
      <c r="C220" s="30">
        <v>25531</v>
      </c>
      <c r="D220" s="30">
        <v>29014</v>
      </c>
      <c r="E220" s="30">
        <v>28907</v>
      </c>
      <c r="F220" s="30">
        <v>29256</v>
      </c>
      <c r="G220" s="4">
        <v>32227</v>
      </c>
      <c r="H220" s="4">
        <v>36537</v>
      </c>
      <c r="I220" s="4">
        <v>39633</v>
      </c>
      <c r="J220" s="4">
        <v>40846</v>
      </c>
      <c r="K220" s="4">
        <v>39322</v>
      </c>
      <c r="L220" s="4">
        <v>40819</v>
      </c>
      <c r="M220" s="4">
        <v>39863</v>
      </c>
      <c r="N220" s="4">
        <v>38456</v>
      </c>
      <c r="O220" s="4">
        <v>32203</v>
      </c>
      <c r="P220" s="4">
        <v>44689</v>
      </c>
      <c r="Q220" s="4">
        <v>45432</v>
      </c>
      <c r="R220" s="86">
        <f t="shared" si="64"/>
        <v>0.24345184333689138</v>
      </c>
      <c r="S220" s="93">
        <f t="shared" si="65"/>
        <v>0.13970348443418709</v>
      </c>
      <c r="T220" s="93">
        <f t="shared" si="66"/>
        <v>1.662601535053369E-2</v>
      </c>
      <c r="U220" s="95">
        <f t="shared" ref="U220:U221" si="67">Q220/Q$8</f>
        <v>0.41911439114391141</v>
      </c>
      <c r="V220" s="92"/>
    </row>
    <row r="221" spans="1:23" x14ac:dyDescent="0.2">
      <c r="A221" s="5" t="s">
        <v>4</v>
      </c>
      <c r="B221" s="5">
        <v>54958</v>
      </c>
      <c r="C221" s="5">
        <v>58528</v>
      </c>
      <c r="D221" s="5">
        <v>65317</v>
      </c>
      <c r="E221" s="5">
        <v>63940</v>
      </c>
      <c r="F221" s="5">
        <v>64839</v>
      </c>
      <c r="G221" s="5">
        <v>71716</v>
      </c>
      <c r="H221" s="5">
        <v>80983</v>
      </c>
      <c r="I221" s="5">
        <v>87164</v>
      </c>
      <c r="J221" s="5">
        <v>90022</v>
      </c>
      <c r="K221" s="5">
        <v>89489</v>
      </c>
      <c r="L221" s="5">
        <v>93651</v>
      </c>
      <c r="M221" s="5">
        <v>93778</v>
      </c>
      <c r="N221" s="5">
        <v>92378</v>
      </c>
      <c r="O221" s="5">
        <v>72601</v>
      </c>
      <c r="P221" s="5">
        <v>110091</v>
      </c>
      <c r="Q221" s="5">
        <v>108400</v>
      </c>
      <c r="R221" s="70">
        <f t="shared" si="64"/>
        <v>0.33855253571737276</v>
      </c>
      <c r="S221" s="94">
        <f t="shared" si="65"/>
        <v>0.1559214314658022</v>
      </c>
      <c r="T221" s="94">
        <f t="shared" si="66"/>
        <v>-1.5360020346804008E-2</v>
      </c>
      <c r="U221" s="96">
        <f t="shared" si="67"/>
        <v>1</v>
      </c>
      <c r="V221" s="92"/>
    </row>
    <row r="222" spans="1:23" x14ac:dyDescent="0.2">
      <c r="A222" s="64"/>
      <c r="B222" s="64"/>
      <c r="C222" s="64"/>
      <c r="D222" s="64"/>
      <c r="E222" s="64"/>
      <c r="F222" s="64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</row>
    <row r="223" spans="1:23" ht="15.75" x14ac:dyDescent="0.2">
      <c r="A223" s="33" t="s">
        <v>303</v>
      </c>
      <c r="B223" s="33"/>
      <c r="C223" s="33"/>
      <c r="D223" s="33"/>
      <c r="E223" s="33"/>
      <c r="F223" s="33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</row>
    <row r="224" spans="1:23" ht="25.5" x14ac:dyDescent="0.2">
      <c r="A224" s="75" t="s">
        <v>25</v>
      </c>
      <c r="B224" s="3">
        <v>2007</v>
      </c>
      <c r="C224" s="3">
        <v>2008</v>
      </c>
      <c r="D224" s="3">
        <v>2009</v>
      </c>
      <c r="E224" s="3">
        <v>2010</v>
      </c>
      <c r="F224" s="3">
        <v>2011</v>
      </c>
      <c r="G224" s="3">
        <v>2012</v>
      </c>
      <c r="H224" s="3">
        <v>2013</v>
      </c>
      <c r="I224" s="3">
        <v>2014</v>
      </c>
      <c r="J224" s="3">
        <v>2015</v>
      </c>
      <c r="K224" s="3">
        <v>2016</v>
      </c>
      <c r="L224" s="3">
        <v>2017</v>
      </c>
      <c r="M224" s="3">
        <v>2018</v>
      </c>
      <c r="N224" s="3">
        <v>2019</v>
      </c>
      <c r="O224" s="3">
        <v>2020</v>
      </c>
      <c r="P224" s="3">
        <v>2021</v>
      </c>
      <c r="Q224" s="3">
        <v>2022</v>
      </c>
      <c r="R224" s="12" t="s">
        <v>406</v>
      </c>
      <c r="S224" s="12" t="s">
        <v>407</v>
      </c>
      <c r="T224" s="12" t="s">
        <v>408</v>
      </c>
      <c r="U224" s="12" t="s">
        <v>409</v>
      </c>
    </row>
    <row r="225" spans="1:22" x14ac:dyDescent="0.2">
      <c r="A225" s="4" t="s">
        <v>26</v>
      </c>
      <c r="B225" s="4">
        <v>61</v>
      </c>
      <c r="C225" s="4">
        <v>817</v>
      </c>
      <c r="D225" s="4">
        <v>677</v>
      </c>
      <c r="E225" s="4">
        <v>74</v>
      </c>
      <c r="F225" s="4">
        <v>120</v>
      </c>
      <c r="G225" s="4">
        <v>169</v>
      </c>
      <c r="H225" s="4">
        <v>225</v>
      </c>
      <c r="I225" s="4">
        <v>315</v>
      </c>
      <c r="J225" s="4">
        <v>443</v>
      </c>
      <c r="K225" s="4">
        <v>510</v>
      </c>
      <c r="L225" s="4">
        <v>606</v>
      </c>
      <c r="M225" s="4">
        <v>537</v>
      </c>
      <c r="N225" s="4">
        <v>423</v>
      </c>
      <c r="O225" s="4">
        <v>316</v>
      </c>
      <c r="P225" s="4">
        <v>643</v>
      </c>
      <c r="Q225" s="4">
        <v>597</v>
      </c>
      <c r="R225" s="86">
        <f t="shared" ref="R225:R232" si="68">(Q225-H225)/H225</f>
        <v>1.6533333333333333</v>
      </c>
      <c r="S225" s="93">
        <f t="shared" ref="S225:S232" si="69">(Q225-M225)/M225</f>
        <v>0.11173184357541899</v>
      </c>
      <c r="T225" s="93">
        <f t="shared" ref="T225:T232" si="70">(Q225-P225)/P225</f>
        <v>-7.1539657853810265E-2</v>
      </c>
      <c r="U225" s="95">
        <f>Q225/Q$9</f>
        <v>2.6765299260255548E-3</v>
      </c>
      <c r="V225" s="140"/>
    </row>
    <row r="226" spans="1:22" x14ac:dyDescent="0.2">
      <c r="A226" s="4" t="s">
        <v>27</v>
      </c>
      <c r="B226" s="4">
        <v>35344</v>
      </c>
      <c r="C226" s="4">
        <v>40585</v>
      </c>
      <c r="D226" s="4">
        <v>43656</v>
      </c>
      <c r="E226" s="4">
        <v>42608</v>
      </c>
      <c r="F226" s="4">
        <v>53314</v>
      </c>
      <c r="G226" s="4">
        <v>61918</v>
      </c>
      <c r="H226" s="4">
        <v>70140</v>
      </c>
      <c r="I226" s="4">
        <v>74867</v>
      </c>
      <c r="J226" s="4">
        <v>81482</v>
      </c>
      <c r="K226" s="4">
        <v>84245</v>
      </c>
      <c r="L226" s="4">
        <v>87785</v>
      </c>
      <c r="M226" s="4">
        <v>87156</v>
      </c>
      <c r="N226" s="4">
        <v>85444</v>
      </c>
      <c r="O226" s="4">
        <v>63612</v>
      </c>
      <c r="P226" s="4">
        <v>92742</v>
      </c>
      <c r="Q226" s="4">
        <v>91237</v>
      </c>
      <c r="R226" s="86">
        <f t="shared" si="68"/>
        <v>0.30078414599372683</v>
      </c>
      <c r="S226" s="93">
        <f t="shared" si="69"/>
        <v>4.6824085547753455E-2</v>
      </c>
      <c r="T226" s="93">
        <f t="shared" si="70"/>
        <v>-1.6227814798041879E-2</v>
      </c>
      <c r="U226" s="95">
        <f t="shared" ref="U226:U232" si="71">Q226/Q$9</f>
        <v>0.409042815512217</v>
      </c>
      <c r="V226" s="140"/>
    </row>
    <row r="227" spans="1:22" x14ac:dyDescent="0.2">
      <c r="A227" s="4" t="s">
        <v>28</v>
      </c>
      <c r="B227" s="4">
        <v>31655</v>
      </c>
      <c r="C227" s="4">
        <v>33855</v>
      </c>
      <c r="D227" s="4">
        <v>37023</v>
      </c>
      <c r="E227" s="4">
        <v>36000</v>
      </c>
      <c r="F227" s="4">
        <v>38856</v>
      </c>
      <c r="G227" s="4">
        <v>43952</v>
      </c>
      <c r="H227" s="4">
        <v>51493</v>
      </c>
      <c r="I227" s="4">
        <v>56789</v>
      </c>
      <c r="J227" s="4">
        <v>62112</v>
      </c>
      <c r="K227" s="4">
        <v>64110</v>
      </c>
      <c r="L227" s="4">
        <v>66641</v>
      </c>
      <c r="M227" s="4">
        <v>67189</v>
      </c>
      <c r="N227" s="4">
        <v>63728</v>
      </c>
      <c r="O227" s="4">
        <v>49658</v>
      </c>
      <c r="P227" s="4">
        <v>73975</v>
      </c>
      <c r="Q227" s="4">
        <v>70586</v>
      </c>
      <c r="R227" s="86">
        <f t="shared" si="68"/>
        <v>0.37078826248227914</v>
      </c>
      <c r="S227" s="93">
        <f t="shared" si="69"/>
        <v>5.0558871243804787E-2</v>
      </c>
      <c r="T227" s="93">
        <f t="shared" si="70"/>
        <v>-4.5812774586008784E-2</v>
      </c>
      <c r="U227" s="95">
        <f t="shared" si="71"/>
        <v>0.31645819323021745</v>
      </c>
      <c r="V227" s="140"/>
    </row>
    <row r="228" spans="1:22" x14ac:dyDescent="0.2">
      <c r="A228" s="4" t="s">
        <v>29</v>
      </c>
      <c r="B228" s="4">
        <v>9091</v>
      </c>
      <c r="C228" s="4">
        <v>10093</v>
      </c>
      <c r="D228" s="4">
        <v>11321</v>
      </c>
      <c r="E228" s="4">
        <v>10890</v>
      </c>
      <c r="F228" s="4">
        <v>12280</v>
      </c>
      <c r="G228" s="4">
        <v>14343</v>
      </c>
      <c r="H228" s="4">
        <v>17399</v>
      </c>
      <c r="I228" s="4">
        <v>19539</v>
      </c>
      <c r="J228" s="4">
        <v>21615</v>
      </c>
      <c r="K228" s="4">
        <v>22958</v>
      </c>
      <c r="L228" s="4">
        <v>23817</v>
      </c>
      <c r="M228" s="4">
        <v>25131</v>
      </c>
      <c r="N228" s="4">
        <v>23968</v>
      </c>
      <c r="O228" s="4">
        <v>20803</v>
      </c>
      <c r="P228" s="4">
        <v>27696</v>
      </c>
      <c r="Q228" s="4">
        <v>26821</v>
      </c>
      <c r="R228" s="86">
        <f t="shared" si="68"/>
        <v>0.54152537502155296</v>
      </c>
      <c r="S228" s="93">
        <f t="shared" si="69"/>
        <v>6.7247622458318418E-2</v>
      </c>
      <c r="T228" s="93">
        <f t="shared" si="70"/>
        <v>-3.1593009820912767E-2</v>
      </c>
      <c r="U228" s="95">
        <f t="shared" si="71"/>
        <v>0.1202465814839722</v>
      </c>
      <c r="V228" s="140"/>
    </row>
    <row r="229" spans="1:22" x14ac:dyDescent="0.2">
      <c r="A229" s="4" t="s">
        <v>30</v>
      </c>
      <c r="B229" s="4">
        <v>4064</v>
      </c>
      <c r="C229" s="4">
        <v>4929</v>
      </c>
      <c r="D229" s="4">
        <v>5938</v>
      </c>
      <c r="E229" s="4">
        <v>5780</v>
      </c>
      <c r="F229" s="4">
        <v>6337</v>
      </c>
      <c r="G229" s="4">
        <v>7167</v>
      </c>
      <c r="H229" s="4">
        <v>8410</v>
      </c>
      <c r="I229" s="4">
        <v>9616</v>
      </c>
      <c r="J229" s="4">
        <v>10948</v>
      </c>
      <c r="K229" s="4">
        <v>11877</v>
      </c>
      <c r="L229" s="4">
        <v>12802</v>
      </c>
      <c r="M229" s="4">
        <v>13624</v>
      </c>
      <c r="N229" s="4">
        <v>12729</v>
      </c>
      <c r="O229" s="4">
        <v>11527</v>
      </c>
      <c r="P229" s="4">
        <v>14889</v>
      </c>
      <c r="Q229" s="4">
        <v>15099</v>
      </c>
      <c r="R229" s="86">
        <f t="shared" si="68"/>
        <v>0.79536266349583828</v>
      </c>
      <c r="S229" s="93">
        <f t="shared" si="69"/>
        <v>0.10826482677627716</v>
      </c>
      <c r="T229" s="93">
        <f t="shared" si="70"/>
        <v>1.4104372355430184E-2</v>
      </c>
      <c r="U229" s="95">
        <f t="shared" si="71"/>
        <v>6.7693342299932749E-2</v>
      </c>
      <c r="V229" s="140"/>
    </row>
    <row r="230" spans="1:22" x14ac:dyDescent="0.2">
      <c r="A230" s="4" t="s">
        <v>31</v>
      </c>
      <c r="B230" s="4">
        <v>4399</v>
      </c>
      <c r="C230" s="4">
        <v>6020</v>
      </c>
      <c r="D230" s="4">
        <v>6860</v>
      </c>
      <c r="E230" s="4">
        <v>6301</v>
      </c>
      <c r="F230" s="4">
        <v>6923</v>
      </c>
      <c r="G230" s="4">
        <v>7776</v>
      </c>
      <c r="H230" s="4">
        <v>8823</v>
      </c>
      <c r="I230" s="4">
        <v>10005</v>
      </c>
      <c r="J230" s="4">
        <v>12185</v>
      </c>
      <c r="K230" s="4">
        <v>13357</v>
      </c>
      <c r="L230" s="4">
        <v>13550</v>
      </c>
      <c r="M230" s="4">
        <v>14433</v>
      </c>
      <c r="N230" s="4">
        <v>13794</v>
      </c>
      <c r="O230" s="4">
        <v>13371</v>
      </c>
      <c r="P230" s="4">
        <v>17834</v>
      </c>
      <c r="Q230" s="4">
        <v>18693</v>
      </c>
      <c r="R230" s="86">
        <f t="shared" si="68"/>
        <v>1.1186671200272016</v>
      </c>
      <c r="S230" s="93">
        <f t="shared" si="69"/>
        <v>0.29515693203076282</v>
      </c>
      <c r="T230" s="93">
        <f t="shared" si="70"/>
        <v>4.8166423685095883E-2</v>
      </c>
      <c r="U230" s="95">
        <f t="shared" si="71"/>
        <v>8.3806321452589108E-2</v>
      </c>
      <c r="V230" s="140"/>
    </row>
    <row r="231" spans="1:22" x14ac:dyDescent="0.2">
      <c r="A231" s="4" t="s">
        <v>32</v>
      </c>
      <c r="B231" s="4">
        <v>184</v>
      </c>
      <c r="C231" s="4">
        <v>132</v>
      </c>
      <c r="D231" s="4">
        <v>25</v>
      </c>
      <c r="E231" s="4">
        <v>18</v>
      </c>
      <c r="F231" s="4">
        <v>19</v>
      </c>
      <c r="G231" s="4">
        <v>17</v>
      </c>
      <c r="H231" s="4">
        <v>10</v>
      </c>
      <c r="I231" s="4">
        <v>75</v>
      </c>
      <c r="J231" s="4">
        <v>21</v>
      </c>
      <c r="K231" s="4">
        <v>3</v>
      </c>
      <c r="L231" s="4">
        <v>1</v>
      </c>
      <c r="M231" s="4">
        <v>2</v>
      </c>
      <c r="N231" s="4">
        <v>2</v>
      </c>
      <c r="O231" s="4"/>
      <c r="P231" s="4">
        <v>4</v>
      </c>
      <c r="Q231" s="4">
        <v>17</v>
      </c>
      <c r="R231" s="86">
        <f t="shared" si="68"/>
        <v>0.7</v>
      </c>
      <c r="S231" s="93">
        <f t="shared" si="69"/>
        <v>7.5</v>
      </c>
      <c r="T231" s="93">
        <f t="shared" si="70"/>
        <v>3.25</v>
      </c>
      <c r="U231" s="95">
        <f t="shared" si="71"/>
        <v>7.6216095045953818E-5</v>
      </c>
      <c r="V231" s="140"/>
    </row>
    <row r="232" spans="1:22" x14ac:dyDescent="0.2">
      <c r="A232" s="5" t="s">
        <v>4</v>
      </c>
      <c r="B232" s="5">
        <v>84798</v>
      </c>
      <c r="C232" s="5">
        <v>96431</v>
      </c>
      <c r="D232" s="5">
        <v>105500</v>
      </c>
      <c r="E232" s="5">
        <v>101671</v>
      </c>
      <c r="F232" s="5">
        <v>117849</v>
      </c>
      <c r="G232" s="5">
        <v>135342</v>
      </c>
      <c r="H232" s="5">
        <v>156500</v>
      </c>
      <c r="I232" s="5">
        <v>171206</v>
      </c>
      <c r="J232" s="5">
        <v>188806</v>
      </c>
      <c r="K232" s="5">
        <v>197060</v>
      </c>
      <c r="L232" s="5">
        <v>205202</v>
      </c>
      <c r="M232" s="5">
        <v>208072</v>
      </c>
      <c r="N232" s="5">
        <v>200088</v>
      </c>
      <c r="O232" s="5">
        <v>159287</v>
      </c>
      <c r="P232" s="5">
        <v>227783</v>
      </c>
      <c r="Q232" s="5">
        <v>223050</v>
      </c>
      <c r="R232" s="70">
        <f t="shared" si="68"/>
        <v>0.42523961661341853</v>
      </c>
      <c r="S232" s="94">
        <f t="shared" si="69"/>
        <v>7.198469760467531E-2</v>
      </c>
      <c r="T232" s="94">
        <f t="shared" si="70"/>
        <v>-2.0778548004021371E-2</v>
      </c>
      <c r="U232" s="96">
        <f t="shared" si="71"/>
        <v>1</v>
      </c>
      <c r="V232" s="140"/>
    </row>
    <row r="233" spans="1:22" x14ac:dyDescent="0.2">
      <c r="A233" s="80" t="s">
        <v>287</v>
      </c>
      <c r="B233" s="80">
        <v>26.920637246791326</v>
      </c>
      <c r="C233" s="87">
        <v>27.075415113344878</v>
      </c>
      <c r="D233" s="87">
        <v>27.132273050486038</v>
      </c>
      <c r="E233" s="87">
        <v>27.087748517013733</v>
      </c>
      <c r="F233" s="87">
        <v>26.782947466689365</v>
      </c>
      <c r="G233" s="87">
        <v>26.900872713837131</v>
      </c>
      <c r="H233" s="87">
        <v>26.954867403668199</v>
      </c>
      <c r="I233" s="87">
        <v>27.057238022333895</v>
      </c>
      <c r="J233" s="87">
        <v>27.193610721190939</v>
      </c>
      <c r="K233" s="87">
        <v>27.309051188234985</v>
      </c>
      <c r="L233" s="87">
        <v>27.293008806000106</v>
      </c>
      <c r="M233" s="87">
        <v>27.467540250877189</v>
      </c>
      <c r="N233" s="87">
        <v>27.406682126685496</v>
      </c>
      <c r="O233" s="87">
        <v>27.9697470603375</v>
      </c>
      <c r="P233" s="87">
        <v>27.746971845517056</v>
      </c>
      <c r="Q233" s="87">
        <v>27.843766169132081</v>
      </c>
      <c r="R233" s="87"/>
      <c r="S233" s="87"/>
      <c r="T233" s="87"/>
      <c r="U233" s="79"/>
    </row>
    <row r="234" spans="1:22" x14ac:dyDescent="0.2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</row>
    <row r="235" spans="1:22" x14ac:dyDescent="0.2">
      <c r="A235" s="64"/>
      <c r="B235" s="139"/>
      <c r="C235" s="139"/>
      <c r="D235" s="139"/>
      <c r="E235" s="139"/>
      <c r="F235" s="139"/>
      <c r="G235" s="139"/>
      <c r="H235" s="139"/>
      <c r="I235" s="139"/>
      <c r="J235" s="139"/>
      <c r="K235" s="139"/>
      <c r="L235" s="139"/>
      <c r="M235" s="139"/>
      <c r="N235" s="139"/>
      <c r="O235" s="139"/>
      <c r="P235" s="139"/>
      <c r="Q235" s="139"/>
      <c r="R235" s="64"/>
      <c r="S235" s="64"/>
      <c r="T235" s="64"/>
      <c r="U235" s="64"/>
      <c r="V235" s="64"/>
    </row>
    <row r="236" spans="1:22" x14ac:dyDescent="0.2">
      <c r="A236" s="58" t="s">
        <v>230</v>
      </c>
      <c r="B236" s="139"/>
      <c r="C236" s="139"/>
      <c r="D236" s="139"/>
      <c r="E236" s="139"/>
      <c r="F236" s="139"/>
      <c r="G236" s="139"/>
      <c r="H236" s="139"/>
      <c r="I236" s="139"/>
      <c r="J236" s="139"/>
      <c r="K236" s="139"/>
      <c r="L236" s="139"/>
      <c r="M236" s="139"/>
      <c r="N236" s="139"/>
      <c r="O236" s="139"/>
      <c r="P236" s="139"/>
      <c r="Q236" s="139"/>
      <c r="R236" s="109"/>
      <c r="S236" s="64"/>
      <c r="T236" s="32"/>
      <c r="U236" s="64"/>
      <c r="V236" s="32"/>
    </row>
    <row r="237" spans="1:22" x14ac:dyDescent="0.2">
      <c r="A237" s="64"/>
      <c r="B237" s="64"/>
      <c r="C237" s="64"/>
      <c r="D237" s="64"/>
      <c r="E237" s="64"/>
      <c r="F237" s="64"/>
      <c r="G237" s="32"/>
      <c r="H237" s="32"/>
      <c r="I237" s="32"/>
      <c r="J237" s="32"/>
      <c r="K237" s="32"/>
      <c r="L237" s="32"/>
      <c r="M237" s="32"/>
      <c r="N237" s="64"/>
      <c r="O237" s="64"/>
      <c r="P237" s="64"/>
      <c r="Q237" s="64"/>
      <c r="R237" s="64"/>
      <c r="S237" s="64"/>
      <c r="T237" s="64"/>
      <c r="U237" s="64"/>
    </row>
    <row r="238" spans="1:22" x14ac:dyDescent="0.2">
      <c r="A238" s="66" t="s">
        <v>21</v>
      </c>
      <c r="B238" s="66"/>
      <c r="C238" s="66"/>
      <c r="D238" s="66"/>
      <c r="E238" s="66"/>
      <c r="F238" s="66"/>
      <c r="G238" s="32"/>
      <c r="H238" s="32"/>
      <c r="I238" s="32"/>
      <c r="J238" s="32"/>
      <c r="K238" s="32"/>
      <c r="L238" s="32"/>
      <c r="M238" s="32"/>
      <c r="N238" s="64"/>
      <c r="O238" s="64"/>
      <c r="P238" s="64"/>
      <c r="Q238" s="64"/>
      <c r="R238" s="64"/>
      <c r="S238" s="64"/>
      <c r="T238" s="64"/>
      <c r="U238" s="64"/>
    </row>
    <row r="239" spans="1:22" x14ac:dyDescent="0.2">
      <c r="A239" s="64"/>
      <c r="B239" s="64"/>
      <c r="C239" s="64"/>
      <c r="D239" s="64"/>
      <c r="E239" s="64"/>
      <c r="F239" s="64"/>
      <c r="G239" s="32"/>
      <c r="H239" s="32"/>
      <c r="I239" s="32"/>
      <c r="J239" s="32"/>
      <c r="K239" s="32"/>
      <c r="L239" s="32"/>
      <c r="M239" s="32"/>
      <c r="N239" s="64"/>
      <c r="O239" s="64"/>
      <c r="P239" s="64"/>
      <c r="Q239" s="64"/>
      <c r="R239" s="64"/>
      <c r="S239" s="64"/>
      <c r="T239" s="64"/>
      <c r="U239" s="64"/>
    </row>
  </sheetData>
  <sortState ref="A178:U197">
    <sortCondition descending="1" ref="Q178:Q197"/>
  </sortState>
  <hyperlinks>
    <hyperlink ref="A238" location="Indice!A5" display="Volver al índice"/>
  </hyperlinks>
  <pageMargins left="0.7" right="0.7" top="0.75" bottom="0.75" header="0.3" footer="0.3"/>
  <pageSetup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"/>
  <sheetViews>
    <sheetView showGridLines="0" zoomScale="80" zoomScaleNormal="80" workbookViewId="0">
      <pane ySplit="2" topLeftCell="A3" activePane="bottomLeft" state="frozen"/>
      <selection pane="bottomLeft" activeCell="A3" sqref="A3"/>
    </sheetView>
  </sheetViews>
  <sheetFormatPr baseColWidth="10" defaultColWidth="10.85546875" defaultRowHeight="15" x14ac:dyDescent="0.25"/>
  <cols>
    <col min="1" max="1" width="37.140625" style="1" customWidth="1"/>
    <col min="2" max="3" width="12.85546875" style="36" customWidth="1"/>
    <col min="4" max="4" width="15.140625" style="36" customWidth="1"/>
    <col min="5" max="16384" width="10.85546875" style="2"/>
  </cols>
  <sheetData>
    <row r="1" spans="1:6" ht="21" x14ac:dyDescent="0.25">
      <c r="A1" s="55" t="s">
        <v>381</v>
      </c>
      <c r="B1" s="37"/>
      <c r="C1" s="37"/>
      <c r="D1" s="37"/>
    </row>
    <row r="2" spans="1:6" ht="26.25" customHeight="1" x14ac:dyDescent="0.25">
      <c r="A2" s="32"/>
      <c r="B2" s="37"/>
      <c r="C2" s="37"/>
      <c r="D2" s="37"/>
    </row>
    <row r="3" spans="1:6" x14ac:dyDescent="0.25">
      <c r="A3" s="32"/>
      <c r="B3" s="37"/>
      <c r="C3" s="37"/>
      <c r="D3" s="37"/>
    </row>
    <row r="4" spans="1:6" ht="15.75" x14ac:dyDescent="0.25">
      <c r="A4" s="23" t="s">
        <v>382</v>
      </c>
      <c r="B4" s="37"/>
      <c r="C4" s="37"/>
      <c r="D4" s="37"/>
    </row>
    <row r="5" spans="1:6" x14ac:dyDescent="0.25">
      <c r="A5" s="75" t="s">
        <v>232</v>
      </c>
      <c r="B5" s="38" t="s">
        <v>82</v>
      </c>
      <c r="C5" s="38" t="s">
        <v>83</v>
      </c>
      <c r="D5" s="38" t="s">
        <v>8</v>
      </c>
    </row>
    <row r="6" spans="1:6" x14ac:dyDescent="0.25">
      <c r="A6" s="28" t="s">
        <v>434</v>
      </c>
      <c r="B6" s="34">
        <v>354</v>
      </c>
      <c r="C6" s="34">
        <v>2874</v>
      </c>
      <c r="D6" s="34">
        <v>3228</v>
      </c>
      <c r="E6" s="146"/>
      <c r="F6" s="146"/>
    </row>
    <row r="7" spans="1:6" x14ac:dyDescent="0.25">
      <c r="A7" s="28" t="s">
        <v>435</v>
      </c>
      <c r="B7" s="34">
        <v>444</v>
      </c>
      <c r="C7" s="34">
        <v>4680</v>
      </c>
      <c r="D7" s="34">
        <v>5124</v>
      </c>
      <c r="E7" s="146"/>
      <c r="F7" s="146"/>
    </row>
    <row r="8" spans="1:6" x14ac:dyDescent="0.25">
      <c r="A8" s="28" t="s">
        <v>229</v>
      </c>
      <c r="B8" s="34">
        <v>92</v>
      </c>
      <c r="C8" s="34">
        <v>10859</v>
      </c>
      <c r="D8" s="34">
        <v>10951</v>
      </c>
      <c r="E8" s="146"/>
      <c r="F8" s="146"/>
    </row>
    <row r="9" spans="1:6" x14ac:dyDescent="0.25">
      <c r="A9" s="5" t="s">
        <v>4</v>
      </c>
      <c r="B9" s="35">
        <v>890</v>
      </c>
      <c r="C9" s="35">
        <v>18413</v>
      </c>
      <c r="D9" s="35">
        <v>19303</v>
      </c>
    </row>
    <row r="10" spans="1:6" x14ac:dyDescent="0.25">
      <c r="A10" s="118" t="s">
        <v>436</v>
      </c>
      <c r="B10" s="37"/>
      <c r="C10" s="37"/>
      <c r="D10" s="37"/>
    </row>
    <row r="11" spans="1:6" x14ac:dyDescent="0.25">
      <c r="A11" s="102"/>
      <c r="B11" s="37"/>
      <c r="C11" s="37"/>
      <c r="D11" s="37"/>
    </row>
    <row r="12" spans="1:6" ht="15.75" x14ac:dyDescent="0.25">
      <c r="A12" s="23" t="s">
        <v>383</v>
      </c>
      <c r="B12" s="37"/>
      <c r="C12" s="37"/>
      <c r="D12" s="37"/>
    </row>
    <row r="13" spans="1:6" x14ac:dyDescent="0.25">
      <c r="A13" s="75" t="s">
        <v>219</v>
      </c>
      <c r="B13" s="38" t="s">
        <v>82</v>
      </c>
      <c r="C13" s="38" t="s">
        <v>83</v>
      </c>
      <c r="D13" s="38" t="s">
        <v>8</v>
      </c>
    </row>
    <row r="14" spans="1:6" x14ac:dyDescent="0.25">
      <c r="A14" s="4" t="s">
        <v>384</v>
      </c>
      <c r="B14" s="34">
        <v>384</v>
      </c>
      <c r="C14" s="34">
        <v>9498</v>
      </c>
      <c r="D14" s="34">
        <v>9882</v>
      </c>
    </row>
    <row r="15" spans="1:6" x14ac:dyDescent="0.25">
      <c r="A15" s="4" t="s">
        <v>385</v>
      </c>
      <c r="B15" s="34">
        <v>506</v>
      </c>
      <c r="C15" s="34">
        <v>8915</v>
      </c>
      <c r="D15" s="34">
        <v>9421</v>
      </c>
    </row>
    <row r="16" spans="1:6" x14ac:dyDescent="0.25">
      <c r="A16" s="5" t="s">
        <v>410</v>
      </c>
      <c r="B16" s="35">
        <v>890</v>
      </c>
      <c r="C16" s="35">
        <v>18413</v>
      </c>
      <c r="D16" s="35">
        <v>19303</v>
      </c>
    </row>
    <row r="18" spans="1:7" ht="15.75" x14ac:dyDescent="0.25">
      <c r="A18" s="23" t="s">
        <v>386</v>
      </c>
      <c r="B18" s="37"/>
      <c r="C18" s="37"/>
      <c r="D18" s="37"/>
    </row>
    <row r="19" spans="1:7" x14ac:dyDescent="0.25">
      <c r="A19" s="75" t="s">
        <v>25</v>
      </c>
      <c r="B19" s="38" t="s">
        <v>82</v>
      </c>
      <c r="C19" s="38" t="s">
        <v>83</v>
      </c>
      <c r="D19" s="38" t="s">
        <v>8</v>
      </c>
    </row>
    <row r="20" spans="1:7" x14ac:dyDescent="0.25">
      <c r="A20" s="4" t="s">
        <v>27</v>
      </c>
      <c r="B20" s="110">
        <v>0</v>
      </c>
      <c r="C20" s="110">
        <v>1250</v>
      </c>
      <c r="D20" s="110">
        <v>1250</v>
      </c>
    </row>
    <row r="21" spans="1:7" x14ac:dyDescent="0.25">
      <c r="A21" s="4" t="s">
        <v>28</v>
      </c>
      <c r="B21" s="110">
        <v>57</v>
      </c>
      <c r="C21" s="110">
        <v>3575</v>
      </c>
      <c r="D21" s="110">
        <v>3632</v>
      </c>
    </row>
    <row r="22" spans="1:7" x14ac:dyDescent="0.25">
      <c r="A22" s="4" t="s">
        <v>29</v>
      </c>
      <c r="B22" s="110">
        <v>348</v>
      </c>
      <c r="C22" s="110">
        <v>4631</v>
      </c>
      <c r="D22" s="110">
        <v>4979</v>
      </c>
    </row>
    <row r="23" spans="1:7" x14ac:dyDescent="0.25">
      <c r="A23" s="4" t="s">
        <v>30</v>
      </c>
      <c r="B23" s="110">
        <v>252</v>
      </c>
      <c r="C23" s="110">
        <v>3806</v>
      </c>
      <c r="D23" s="110">
        <v>4058</v>
      </c>
    </row>
    <row r="24" spans="1:7" x14ac:dyDescent="0.25">
      <c r="A24" s="4" t="s">
        <v>31</v>
      </c>
      <c r="B24" s="110">
        <v>233</v>
      </c>
      <c r="C24" s="110">
        <v>5150</v>
      </c>
      <c r="D24" s="110">
        <v>5383</v>
      </c>
    </row>
    <row r="25" spans="1:7" x14ac:dyDescent="0.25">
      <c r="A25" s="4" t="s">
        <v>32</v>
      </c>
      <c r="B25" s="110">
        <v>0</v>
      </c>
      <c r="C25" s="110">
        <v>1</v>
      </c>
      <c r="D25" s="110">
        <v>1</v>
      </c>
    </row>
    <row r="26" spans="1:7" x14ac:dyDescent="0.25">
      <c r="A26" s="5" t="s">
        <v>4</v>
      </c>
      <c r="B26" s="111">
        <v>890</v>
      </c>
      <c r="C26" s="111">
        <v>18413</v>
      </c>
      <c r="D26" s="111">
        <v>19303</v>
      </c>
    </row>
    <row r="27" spans="1:7" x14ac:dyDescent="0.25">
      <c r="A27" s="80" t="s">
        <v>34</v>
      </c>
      <c r="B27" s="81">
        <v>36.927752808988778</v>
      </c>
      <c r="C27" s="81">
        <v>35.496594612209442</v>
      </c>
      <c r="D27" s="81">
        <v>35.562584188167015</v>
      </c>
    </row>
    <row r="28" spans="1:7" x14ac:dyDescent="0.25">
      <c r="B28" s="1"/>
      <c r="C28" s="1"/>
      <c r="D28" s="1"/>
    </row>
    <row r="29" spans="1:7" ht="15.75" x14ac:dyDescent="0.25">
      <c r="A29" s="23" t="s">
        <v>387</v>
      </c>
      <c r="B29" s="37"/>
      <c r="C29" s="37"/>
      <c r="D29" s="37"/>
    </row>
    <row r="30" spans="1:7" x14ac:dyDescent="0.25">
      <c r="A30" s="75" t="s">
        <v>10</v>
      </c>
      <c r="B30" s="38" t="s">
        <v>82</v>
      </c>
      <c r="C30" s="38" t="s">
        <v>83</v>
      </c>
      <c r="D30" s="38" t="s">
        <v>8</v>
      </c>
    </row>
    <row r="31" spans="1:7" x14ac:dyDescent="0.25">
      <c r="A31" s="4" t="s">
        <v>11</v>
      </c>
      <c r="B31" s="34">
        <v>6</v>
      </c>
      <c r="C31" s="34">
        <v>5919</v>
      </c>
      <c r="D31" s="34">
        <v>5925</v>
      </c>
      <c r="E31" s="143"/>
      <c r="F31" s="143"/>
      <c r="G31" s="143"/>
    </row>
    <row r="32" spans="1:7" x14ac:dyDescent="0.25">
      <c r="A32" s="4" t="s">
        <v>12</v>
      </c>
      <c r="B32" s="34">
        <v>54</v>
      </c>
      <c r="C32" s="34">
        <v>137</v>
      </c>
      <c r="D32" s="34">
        <v>191</v>
      </c>
      <c r="E32" s="143"/>
      <c r="F32" s="143"/>
      <c r="G32" s="143"/>
    </row>
    <row r="33" spans="1:7" x14ac:dyDescent="0.25">
      <c r="A33" s="4" t="s">
        <v>13</v>
      </c>
      <c r="B33" s="34">
        <v>15</v>
      </c>
      <c r="C33" s="34">
        <v>550</v>
      </c>
      <c r="D33" s="34">
        <v>565</v>
      </c>
      <c r="E33" s="143"/>
      <c r="F33" s="143"/>
      <c r="G33" s="143"/>
    </row>
    <row r="34" spans="1:7" x14ac:dyDescent="0.25">
      <c r="A34" s="4" t="s">
        <v>14</v>
      </c>
      <c r="B34" s="34">
        <v>310</v>
      </c>
      <c r="C34" s="34">
        <v>552</v>
      </c>
      <c r="D34" s="34">
        <v>862</v>
      </c>
      <c r="E34" s="143"/>
      <c r="F34" s="143"/>
      <c r="G34" s="143"/>
    </row>
    <row r="35" spans="1:7" x14ac:dyDescent="0.25">
      <c r="A35" s="4" t="s">
        <v>15</v>
      </c>
      <c r="B35" s="34">
        <v>135</v>
      </c>
      <c r="C35" s="34">
        <v>2347</v>
      </c>
      <c r="D35" s="34">
        <v>2482</v>
      </c>
      <c r="E35" s="143"/>
      <c r="F35" s="143"/>
      <c r="G35" s="143"/>
    </row>
    <row r="36" spans="1:7" x14ac:dyDescent="0.25">
      <c r="A36" s="4" t="s">
        <v>16</v>
      </c>
      <c r="B36" s="34">
        <v>16</v>
      </c>
      <c r="C36" s="34">
        <v>1236</v>
      </c>
      <c r="D36" s="34">
        <v>1252</v>
      </c>
      <c r="E36" s="143"/>
      <c r="F36" s="143"/>
      <c r="G36" s="143"/>
    </row>
    <row r="37" spans="1:7" x14ac:dyDescent="0.25">
      <c r="A37" s="4" t="s">
        <v>17</v>
      </c>
      <c r="B37" s="34">
        <v>53</v>
      </c>
      <c r="C37" s="34">
        <v>4434</v>
      </c>
      <c r="D37" s="34">
        <v>4487</v>
      </c>
      <c r="E37" s="143"/>
      <c r="F37" s="143"/>
      <c r="G37" s="143"/>
    </row>
    <row r="38" spans="1:7" x14ac:dyDescent="0.25">
      <c r="A38" s="4" t="s">
        <v>18</v>
      </c>
      <c r="B38" s="34">
        <v>88</v>
      </c>
      <c r="C38" s="34">
        <v>288</v>
      </c>
      <c r="D38" s="34">
        <v>376</v>
      </c>
      <c r="E38" s="143"/>
      <c r="F38" s="143"/>
      <c r="G38" s="143"/>
    </row>
    <row r="39" spans="1:7" x14ac:dyDescent="0.25">
      <c r="A39" s="4" t="s">
        <v>19</v>
      </c>
      <c r="B39" s="34">
        <v>78</v>
      </c>
      <c r="C39" s="34">
        <v>1235</v>
      </c>
      <c r="D39" s="34">
        <v>1313</v>
      </c>
      <c r="E39" s="143"/>
      <c r="F39" s="143"/>
      <c r="G39" s="143"/>
    </row>
    <row r="40" spans="1:7" x14ac:dyDescent="0.25">
      <c r="A40" s="4" t="s">
        <v>20</v>
      </c>
      <c r="B40" s="34">
        <v>135</v>
      </c>
      <c r="C40" s="34">
        <v>1715</v>
      </c>
      <c r="D40" s="34">
        <v>1850</v>
      </c>
      <c r="E40" s="143"/>
      <c r="F40" s="143"/>
      <c r="G40" s="143"/>
    </row>
    <row r="41" spans="1:7" x14ac:dyDescent="0.25">
      <c r="A41" s="5" t="s">
        <v>4</v>
      </c>
      <c r="B41" s="35">
        <v>890</v>
      </c>
      <c r="C41" s="35">
        <v>18413</v>
      </c>
      <c r="D41" s="35">
        <v>19303</v>
      </c>
    </row>
    <row r="42" spans="1:7" x14ac:dyDescent="0.25">
      <c r="A42" s="32"/>
      <c r="B42" s="37"/>
      <c r="C42" s="37"/>
      <c r="D42" s="37"/>
    </row>
    <row r="43" spans="1:7" ht="15.75" x14ac:dyDescent="0.25">
      <c r="A43" s="23" t="s">
        <v>388</v>
      </c>
      <c r="B43" s="37"/>
      <c r="C43" s="37"/>
      <c r="D43" s="37"/>
    </row>
    <row r="44" spans="1:7" x14ac:dyDescent="0.25">
      <c r="A44" s="75" t="s">
        <v>40</v>
      </c>
      <c r="B44" s="38" t="s">
        <v>82</v>
      </c>
      <c r="C44" s="38" t="s">
        <v>83</v>
      </c>
      <c r="D44" s="38" t="s">
        <v>8</v>
      </c>
    </row>
    <row r="45" spans="1:7" x14ac:dyDescent="0.25">
      <c r="A45" s="4" t="s">
        <v>41</v>
      </c>
      <c r="B45" s="34">
        <v>794</v>
      </c>
      <c r="C45" s="34">
        <v>7235</v>
      </c>
      <c r="D45" s="35">
        <v>8029</v>
      </c>
    </row>
    <row r="46" spans="1:7" x14ac:dyDescent="0.25">
      <c r="A46" s="4" t="s">
        <v>42</v>
      </c>
      <c r="B46" s="34">
        <v>58</v>
      </c>
      <c r="C46" s="34">
        <v>5401</v>
      </c>
      <c r="D46" s="35">
        <v>5459</v>
      </c>
    </row>
    <row r="47" spans="1:7" x14ac:dyDescent="0.25">
      <c r="A47" s="28" t="s">
        <v>221</v>
      </c>
      <c r="B47" s="34">
        <v>7</v>
      </c>
      <c r="C47" s="34">
        <v>565</v>
      </c>
      <c r="D47" s="35">
        <v>572</v>
      </c>
    </row>
    <row r="48" spans="1:7" x14ac:dyDescent="0.25">
      <c r="A48" s="28" t="s">
        <v>224</v>
      </c>
      <c r="B48" s="34">
        <v>27</v>
      </c>
      <c r="C48" s="34">
        <v>3609</v>
      </c>
      <c r="D48" s="35">
        <v>3636</v>
      </c>
    </row>
    <row r="49" spans="1:7" x14ac:dyDescent="0.25">
      <c r="A49" s="4" t="s">
        <v>43</v>
      </c>
      <c r="B49" s="34">
        <v>4</v>
      </c>
      <c r="C49" s="34">
        <v>1603</v>
      </c>
      <c r="D49" s="35">
        <v>1607</v>
      </c>
    </row>
    <row r="50" spans="1:7" x14ac:dyDescent="0.25">
      <c r="A50" s="5" t="s">
        <v>4</v>
      </c>
      <c r="B50" s="35">
        <v>890</v>
      </c>
      <c r="C50" s="35">
        <v>18413</v>
      </c>
      <c r="D50" s="35">
        <v>19303</v>
      </c>
    </row>
    <row r="51" spans="1:7" x14ac:dyDescent="0.25">
      <c r="A51" s="32"/>
      <c r="B51" s="37"/>
      <c r="C51" s="37"/>
      <c r="D51" s="37"/>
    </row>
    <row r="52" spans="1:7" ht="15.75" x14ac:dyDescent="0.25">
      <c r="A52" s="23" t="s">
        <v>389</v>
      </c>
      <c r="B52" s="37"/>
      <c r="C52" s="37"/>
      <c r="D52" s="37"/>
    </row>
    <row r="53" spans="1:7" x14ac:dyDescent="0.25">
      <c r="A53" s="75" t="s">
        <v>9</v>
      </c>
      <c r="B53" s="38" t="s">
        <v>82</v>
      </c>
      <c r="C53" s="38" t="s">
        <v>83</v>
      </c>
      <c r="D53" s="38" t="s">
        <v>8</v>
      </c>
    </row>
    <row r="54" spans="1:7" x14ac:dyDescent="0.25">
      <c r="A54" s="4" t="s">
        <v>237</v>
      </c>
      <c r="B54" s="34">
        <v>0</v>
      </c>
      <c r="C54" s="34">
        <v>74</v>
      </c>
      <c r="D54" s="34">
        <v>74</v>
      </c>
      <c r="E54" s="143"/>
      <c r="F54" s="143"/>
      <c r="G54" s="143"/>
    </row>
    <row r="55" spans="1:7" x14ac:dyDescent="0.25">
      <c r="A55" s="4" t="s">
        <v>238</v>
      </c>
      <c r="B55" s="34">
        <v>0</v>
      </c>
      <c r="C55" s="34">
        <v>101</v>
      </c>
      <c r="D55" s="34">
        <v>101</v>
      </c>
      <c r="E55" s="143"/>
      <c r="F55" s="143"/>
      <c r="G55" s="143"/>
    </row>
    <row r="56" spans="1:7" x14ac:dyDescent="0.25">
      <c r="A56" s="4" t="s">
        <v>239</v>
      </c>
      <c r="B56" s="34">
        <v>19</v>
      </c>
      <c r="C56" s="34">
        <v>154</v>
      </c>
      <c r="D56" s="34">
        <v>173</v>
      </c>
      <c r="E56" s="143"/>
      <c r="F56" s="143"/>
      <c r="G56" s="143"/>
    </row>
    <row r="57" spans="1:7" x14ac:dyDescent="0.25">
      <c r="A57" s="4" t="s">
        <v>240</v>
      </c>
      <c r="B57" s="34">
        <v>1</v>
      </c>
      <c r="C57" s="34">
        <v>19</v>
      </c>
      <c r="D57" s="34">
        <v>20</v>
      </c>
      <c r="E57" s="143"/>
      <c r="F57" s="143"/>
      <c r="G57" s="143"/>
    </row>
    <row r="58" spans="1:7" x14ac:dyDescent="0.25">
      <c r="A58" s="4" t="s">
        <v>241</v>
      </c>
      <c r="B58" s="34">
        <v>11</v>
      </c>
      <c r="C58" s="34">
        <v>170</v>
      </c>
      <c r="D58" s="34">
        <v>181</v>
      </c>
      <c r="E58" s="143"/>
      <c r="F58" s="143"/>
      <c r="G58" s="143"/>
    </row>
    <row r="59" spans="1:7" x14ac:dyDescent="0.25">
      <c r="A59" s="4" t="s">
        <v>242</v>
      </c>
      <c r="B59" s="34">
        <v>112</v>
      </c>
      <c r="C59" s="34">
        <v>1161</v>
      </c>
      <c r="D59" s="34">
        <v>1273</v>
      </c>
      <c r="E59" s="143"/>
      <c r="F59" s="143"/>
      <c r="G59" s="143"/>
    </row>
    <row r="60" spans="1:7" x14ac:dyDescent="0.25">
      <c r="A60" s="28" t="s">
        <v>253</v>
      </c>
      <c r="B60" s="34">
        <v>511</v>
      </c>
      <c r="C60" s="34">
        <v>13802</v>
      </c>
      <c r="D60" s="34">
        <v>14313</v>
      </c>
      <c r="E60" s="143"/>
      <c r="F60" s="143"/>
      <c r="G60" s="143"/>
    </row>
    <row r="61" spans="1:7" x14ac:dyDescent="0.25">
      <c r="A61" s="28" t="s">
        <v>283</v>
      </c>
      <c r="B61" s="120">
        <v>0</v>
      </c>
      <c r="C61" s="120">
        <v>0</v>
      </c>
      <c r="D61" s="120">
        <v>0</v>
      </c>
      <c r="E61" s="143"/>
      <c r="F61" s="143"/>
      <c r="G61" s="143"/>
    </row>
    <row r="62" spans="1:7" x14ac:dyDescent="0.25">
      <c r="A62" s="4" t="s">
        <v>243</v>
      </c>
      <c r="B62" s="34">
        <v>36</v>
      </c>
      <c r="C62" s="34">
        <v>341</v>
      </c>
      <c r="D62" s="34">
        <v>377</v>
      </c>
      <c r="E62" s="143"/>
      <c r="F62" s="143"/>
      <c r="G62" s="143"/>
    </row>
    <row r="63" spans="1:7" x14ac:dyDescent="0.25">
      <c r="A63" s="4" t="s">
        <v>256</v>
      </c>
      <c r="B63" s="34">
        <v>13</v>
      </c>
      <c r="C63" s="34">
        <v>90</v>
      </c>
      <c r="D63" s="34">
        <v>103</v>
      </c>
      <c r="E63" s="143"/>
      <c r="F63" s="143"/>
      <c r="G63" s="143"/>
    </row>
    <row r="64" spans="1:7" x14ac:dyDescent="0.25">
      <c r="A64" s="4" t="s">
        <v>244</v>
      </c>
      <c r="B64" s="34">
        <v>115</v>
      </c>
      <c r="C64" s="34">
        <v>1353</v>
      </c>
      <c r="D64" s="34">
        <v>1468</v>
      </c>
      <c r="E64" s="143"/>
      <c r="F64" s="143"/>
      <c r="G64" s="143"/>
    </row>
    <row r="65" spans="1:7" x14ac:dyDescent="0.25">
      <c r="A65" s="4" t="s">
        <v>245</v>
      </c>
      <c r="B65" s="34">
        <v>39</v>
      </c>
      <c r="C65" s="34">
        <v>671</v>
      </c>
      <c r="D65" s="34">
        <v>710</v>
      </c>
      <c r="E65" s="143"/>
      <c r="F65" s="143"/>
      <c r="G65" s="143"/>
    </row>
    <row r="66" spans="1:7" x14ac:dyDescent="0.25">
      <c r="A66" s="4" t="s">
        <v>246</v>
      </c>
      <c r="B66" s="34">
        <v>26</v>
      </c>
      <c r="C66" s="34">
        <v>275</v>
      </c>
      <c r="D66" s="34">
        <v>301</v>
      </c>
      <c r="E66" s="143"/>
      <c r="F66" s="143"/>
      <c r="G66" s="143"/>
    </row>
    <row r="67" spans="1:7" x14ac:dyDescent="0.25">
      <c r="A67" s="4" t="s">
        <v>247</v>
      </c>
      <c r="B67" s="34">
        <v>7</v>
      </c>
      <c r="C67" s="34">
        <v>202</v>
      </c>
      <c r="D67" s="34">
        <v>209</v>
      </c>
      <c r="E67" s="143"/>
      <c r="F67" s="143"/>
      <c r="G67" s="143"/>
    </row>
    <row r="68" spans="1:7" x14ac:dyDescent="0.25">
      <c r="A68" s="4" t="s">
        <v>248</v>
      </c>
      <c r="B68" s="120">
        <v>0</v>
      </c>
      <c r="C68" s="120">
        <v>0</v>
      </c>
      <c r="D68" s="120">
        <v>0</v>
      </c>
      <c r="E68" s="143"/>
      <c r="F68" s="143"/>
      <c r="G68" s="143"/>
    </row>
    <row r="69" spans="1:7" x14ac:dyDescent="0.25">
      <c r="A69" s="4" t="s">
        <v>250</v>
      </c>
      <c r="B69" s="120">
        <v>0</v>
      </c>
      <c r="C69" s="120">
        <v>0</v>
      </c>
      <c r="D69" s="120">
        <v>0</v>
      </c>
      <c r="E69" s="143"/>
      <c r="F69" s="143"/>
      <c r="G69" s="143"/>
    </row>
    <row r="70" spans="1:7" x14ac:dyDescent="0.25">
      <c r="A70" s="5" t="s">
        <v>4</v>
      </c>
      <c r="B70" s="35">
        <v>890</v>
      </c>
      <c r="C70" s="35">
        <v>18413</v>
      </c>
      <c r="D70" s="35">
        <v>19303</v>
      </c>
    </row>
    <row r="72" spans="1:7" ht="15.75" x14ac:dyDescent="0.25">
      <c r="A72" s="23" t="s">
        <v>390</v>
      </c>
      <c r="B72" s="37"/>
      <c r="C72" s="37"/>
      <c r="D72" s="37"/>
    </row>
    <row r="73" spans="1:7" x14ac:dyDescent="0.25">
      <c r="A73" s="75" t="s">
        <v>10</v>
      </c>
      <c r="B73" s="38" t="s">
        <v>200</v>
      </c>
      <c r="C73" s="38" t="s">
        <v>201</v>
      </c>
      <c r="D73" s="38" t="s">
        <v>8</v>
      </c>
    </row>
    <row r="74" spans="1:7" x14ac:dyDescent="0.25">
      <c r="A74" s="17" t="s">
        <v>11</v>
      </c>
      <c r="B74" s="39">
        <v>2557</v>
      </c>
      <c r="C74" s="39">
        <v>3368</v>
      </c>
      <c r="D74" s="39">
        <v>5925</v>
      </c>
      <c r="E74" s="143"/>
      <c r="F74" s="143"/>
      <c r="G74" s="143"/>
    </row>
    <row r="75" spans="1:7" x14ac:dyDescent="0.25">
      <c r="A75" s="17" t="s">
        <v>12</v>
      </c>
      <c r="B75" s="39">
        <v>88</v>
      </c>
      <c r="C75" s="39">
        <v>103</v>
      </c>
      <c r="D75" s="39">
        <v>191</v>
      </c>
      <c r="E75" s="143"/>
      <c r="F75" s="143"/>
      <c r="G75" s="143"/>
    </row>
    <row r="76" spans="1:7" x14ac:dyDescent="0.25">
      <c r="A76" s="17" t="s">
        <v>13</v>
      </c>
      <c r="B76" s="39">
        <v>303</v>
      </c>
      <c r="C76" s="39">
        <v>262</v>
      </c>
      <c r="D76" s="39">
        <v>565</v>
      </c>
      <c r="E76" s="143"/>
      <c r="F76" s="143"/>
      <c r="G76" s="143"/>
    </row>
    <row r="77" spans="1:7" x14ac:dyDescent="0.25">
      <c r="A77" s="17" t="s">
        <v>14</v>
      </c>
      <c r="B77" s="39">
        <v>320</v>
      </c>
      <c r="C77" s="39">
        <v>542</v>
      </c>
      <c r="D77" s="39">
        <v>862</v>
      </c>
      <c r="E77" s="143"/>
      <c r="F77" s="143"/>
      <c r="G77" s="143"/>
    </row>
    <row r="78" spans="1:7" x14ac:dyDescent="0.25">
      <c r="A78" s="17" t="s">
        <v>15</v>
      </c>
      <c r="B78" s="39">
        <v>1394</v>
      </c>
      <c r="C78" s="39">
        <v>1088</v>
      </c>
      <c r="D78" s="39">
        <v>2482</v>
      </c>
      <c r="E78" s="143"/>
      <c r="F78" s="143"/>
      <c r="G78" s="143"/>
    </row>
    <row r="79" spans="1:7" x14ac:dyDescent="0.25">
      <c r="A79" s="17" t="s">
        <v>16</v>
      </c>
      <c r="B79" s="39">
        <v>607</v>
      </c>
      <c r="C79" s="39">
        <v>645</v>
      </c>
      <c r="D79" s="39">
        <v>1252</v>
      </c>
      <c r="E79" s="143"/>
      <c r="F79" s="143"/>
      <c r="G79" s="143"/>
    </row>
    <row r="80" spans="1:7" x14ac:dyDescent="0.25">
      <c r="A80" s="17" t="s">
        <v>17</v>
      </c>
      <c r="B80" s="39">
        <v>3090</v>
      </c>
      <c r="C80" s="39">
        <v>1397</v>
      </c>
      <c r="D80" s="39">
        <v>4487</v>
      </c>
      <c r="E80" s="143"/>
      <c r="F80" s="143"/>
      <c r="G80" s="143"/>
    </row>
    <row r="81" spans="1:7" x14ac:dyDescent="0.25">
      <c r="A81" s="17" t="s">
        <v>18</v>
      </c>
      <c r="B81" s="39">
        <v>176</v>
      </c>
      <c r="C81" s="39">
        <v>200</v>
      </c>
      <c r="D81" s="39">
        <v>376</v>
      </c>
      <c r="E81" s="143"/>
      <c r="F81" s="143"/>
      <c r="G81" s="143"/>
    </row>
    <row r="82" spans="1:7" x14ac:dyDescent="0.25">
      <c r="A82" s="17" t="s">
        <v>19</v>
      </c>
      <c r="B82" s="39">
        <v>851</v>
      </c>
      <c r="C82" s="39">
        <v>462</v>
      </c>
      <c r="D82" s="39">
        <v>1313</v>
      </c>
      <c r="E82" s="143"/>
      <c r="F82" s="143"/>
      <c r="G82" s="143"/>
    </row>
    <row r="83" spans="1:7" x14ac:dyDescent="0.25">
      <c r="A83" s="17" t="s">
        <v>20</v>
      </c>
      <c r="B83" s="39">
        <v>496</v>
      </c>
      <c r="C83" s="39">
        <v>1354</v>
      </c>
      <c r="D83" s="39">
        <v>1850</v>
      </c>
      <c r="E83" s="143"/>
      <c r="F83" s="143"/>
      <c r="G83" s="143"/>
    </row>
    <row r="84" spans="1:7" x14ac:dyDescent="0.25">
      <c r="A84" s="18" t="s">
        <v>4</v>
      </c>
      <c r="B84" s="40">
        <v>9882</v>
      </c>
      <c r="C84" s="40">
        <v>9421</v>
      </c>
      <c r="D84" s="40">
        <v>19303</v>
      </c>
    </row>
    <row r="86" spans="1:7" ht="15.75" x14ac:dyDescent="0.25">
      <c r="A86" s="23" t="s">
        <v>391</v>
      </c>
      <c r="B86" s="37"/>
      <c r="C86" s="37"/>
      <c r="D86" s="37"/>
    </row>
    <row r="87" spans="1:7" x14ac:dyDescent="0.25">
      <c r="A87" s="75" t="s">
        <v>9</v>
      </c>
      <c r="B87" s="38" t="s">
        <v>200</v>
      </c>
      <c r="C87" s="38" t="s">
        <v>201</v>
      </c>
      <c r="D87" s="38" t="s">
        <v>8</v>
      </c>
    </row>
    <row r="88" spans="1:7" x14ac:dyDescent="0.25">
      <c r="A88" s="17" t="s">
        <v>237</v>
      </c>
      <c r="B88" s="53">
        <v>33</v>
      </c>
      <c r="C88" s="53">
        <v>41</v>
      </c>
      <c r="D88" s="53">
        <v>74</v>
      </c>
    </row>
    <row r="89" spans="1:7" x14ac:dyDescent="0.25">
      <c r="A89" s="17" t="s">
        <v>238</v>
      </c>
      <c r="B89" s="53">
        <v>55</v>
      </c>
      <c r="C89" s="53">
        <v>46</v>
      </c>
      <c r="D89" s="53">
        <v>101</v>
      </c>
    </row>
    <row r="90" spans="1:7" x14ac:dyDescent="0.25">
      <c r="A90" s="17" t="s">
        <v>239</v>
      </c>
      <c r="B90" s="53">
        <v>71</v>
      </c>
      <c r="C90" s="53">
        <v>102</v>
      </c>
      <c r="D90" s="53">
        <v>173</v>
      </c>
    </row>
    <row r="91" spans="1:7" x14ac:dyDescent="0.25">
      <c r="A91" s="17" t="s">
        <v>240</v>
      </c>
      <c r="B91" s="53">
        <v>12</v>
      </c>
      <c r="C91" s="53">
        <v>8</v>
      </c>
      <c r="D91" s="53">
        <v>20</v>
      </c>
    </row>
    <row r="92" spans="1:7" x14ac:dyDescent="0.25">
      <c r="A92" s="17" t="s">
        <v>241</v>
      </c>
      <c r="B92" s="53">
        <v>97</v>
      </c>
      <c r="C92" s="53">
        <v>84</v>
      </c>
      <c r="D92" s="53">
        <v>181</v>
      </c>
    </row>
    <row r="93" spans="1:7" x14ac:dyDescent="0.25">
      <c r="A93" s="17" t="s">
        <v>242</v>
      </c>
      <c r="B93" s="53">
        <v>626</v>
      </c>
      <c r="C93" s="53">
        <v>647</v>
      </c>
      <c r="D93" s="53">
        <v>1273</v>
      </c>
    </row>
    <row r="94" spans="1:7" x14ac:dyDescent="0.25">
      <c r="A94" s="82" t="s">
        <v>253</v>
      </c>
      <c r="B94" s="53">
        <v>7248</v>
      </c>
      <c r="C94" s="53">
        <v>7065</v>
      </c>
      <c r="D94" s="53">
        <v>14313</v>
      </c>
    </row>
    <row r="95" spans="1:7" x14ac:dyDescent="0.25">
      <c r="A95" s="82" t="s">
        <v>283</v>
      </c>
      <c r="B95" s="53">
        <v>0</v>
      </c>
      <c r="C95" s="53">
        <v>0</v>
      </c>
      <c r="D95" s="53">
        <v>0</v>
      </c>
    </row>
    <row r="96" spans="1:7" x14ac:dyDescent="0.25">
      <c r="A96" s="17" t="s">
        <v>243</v>
      </c>
      <c r="B96" s="53">
        <v>184</v>
      </c>
      <c r="C96" s="53">
        <v>193</v>
      </c>
      <c r="D96" s="53">
        <v>377</v>
      </c>
    </row>
    <row r="97" spans="1:4" x14ac:dyDescent="0.25">
      <c r="A97" s="17" t="s">
        <v>256</v>
      </c>
      <c r="B97" s="53">
        <v>61</v>
      </c>
      <c r="C97" s="53">
        <v>42</v>
      </c>
      <c r="D97" s="53">
        <v>103</v>
      </c>
    </row>
    <row r="98" spans="1:4" x14ac:dyDescent="0.25">
      <c r="A98" s="17" t="s">
        <v>244</v>
      </c>
      <c r="B98" s="53">
        <v>796</v>
      </c>
      <c r="C98" s="53">
        <v>672</v>
      </c>
      <c r="D98" s="53">
        <v>1468</v>
      </c>
    </row>
    <row r="99" spans="1:4" x14ac:dyDescent="0.25">
      <c r="A99" s="17" t="s">
        <v>245</v>
      </c>
      <c r="B99" s="53">
        <v>422</v>
      </c>
      <c r="C99" s="53">
        <v>288</v>
      </c>
      <c r="D99" s="53">
        <v>710</v>
      </c>
    </row>
    <row r="100" spans="1:4" x14ac:dyDescent="0.25">
      <c r="A100" s="17" t="s">
        <v>246</v>
      </c>
      <c r="B100" s="53">
        <v>161</v>
      </c>
      <c r="C100" s="53">
        <v>140</v>
      </c>
      <c r="D100" s="53">
        <v>301</v>
      </c>
    </row>
    <row r="101" spans="1:4" x14ac:dyDescent="0.25">
      <c r="A101" s="17" t="s">
        <v>247</v>
      </c>
      <c r="B101" s="53">
        <v>116</v>
      </c>
      <c r="C101" s="53">
        <v>93</v>
      </c>
      <c r="D101" s="53">
        <v>209</v>
      </c>
    </row>
    <row r="102" spans="1:4" x14ac:dyDescent="0.25">
      <c r="A102" s="17" t="s">
        <v>248</v>
      </c>
      <c r="B102" s="53">
        <v>0</v>
      </c>
      <c r="C102" s="53">
        <v>0</v>
      </c>
      <c r="D102" s="53">
        <v>0</v>
      </c>
    </row>
    <row r="103" spans="1:4" x14ac:dyDescent="0.25">
      <c r="A103" s="17" t="s">
        <v>250</v>
      </c>
      <c r="B103" s="53">
        <v>0</v>
      </c>
      <c r="C103" s="53">
        <v>0</v>
      </c>
      <c r="D103" s="53">
        <v>0</v>
      </c>
    </row>
    <row r="104" spans="1:4" x14ac:dyDescent="0.25">
      <c r="A104" s="18" t="s">
        <v>4</v>
      </c>
      <c r="B104" s="54">
        <v>9882</v>
      </c>
      <c r="C104" s="54">
        <v>9421</v>
      </c>
      <c r="D104" s="54">
        <v>19303</v>
      </c>
    </row>
    <row r="105" spans="1:4" x14ac:dyDescent="0.25">
      <c r="A105" s="32"/>
      <c r="B105" s="37"/>
      <c r="C105" s="37"/>
      <c r="D105" s="37"/>
    </row>
    <row r="106" spans="1:4" x14ac:dyDescent="0.25">
      <c r="A106" s="32"/>
      <c r="B106" s="37"/>
      <c r="C106" s="37"/>
      <c r="D106" s="37"/>
    </row>
    <row r="107" spans="1:4" x14ac:dyDescent="0.25">
      <c r="A107" s="58" t="s">
        <v>230</v>
      </c>
      <c r="B107" s="37"/>
      <c r="C107" s="37"/>
      <c r="D107" s="37"/>
    </row>
    <row r="108" spans="1:4" x14ac:dyDescent="0.25">
      <c r="A108" s="32"/>
      <c r="B108" s="37"/>
      <c r="C108" s="37"/>
      <c r="D108" s="37"/>
    </row>
    <row r="109" spans="1:4" x14ac:dyDescent="0.25">
      <c r="A109" s="59" t="s">
        <v>21</v>
      </c>
      <c r="B109" s="37"/>
      <c r="C109" s="37"/>
      <c r="D109" s="37"/>
    </row>
    <row r="110" spans="1:4" x14ac:dyDescent="0.25">
      <c r="A110" s="32"/>
      <c r="B110" s="37"/>
      <c r="C110" s="37"/>
      <c r="D110" s="37"/>
    </row>
  </sheetData>
  <hyperlinks>
    <hyperlink ref="A109" location="Indice!A5" display="Volver al índice"/>
  </hyperlink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6"/>
  <sheetViews>
    <sheetView showGridLines="0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baseColWidth="10" defaultColWidth="10.85546875" defaultRowHeight="15" x14ac:dyDescent="0.2"/>
  <cols>
    <col min="1" max="1" width="36.42578125" style="1" customWidth="1"/>
    <col min="2" max="17" width="10" style="1" customWidth="1"/>
    <col min="18" max="20" width="12.85546875" style="1" customWidth="1"/>
    <col min="21" max="21" width="13.85546875" style="1" customWidth="1"/>
    <col min="22" max="16384" width="10.85546875" style="1"/>
  </cols>
  <sheetData>
    <row r="1" spans="1:22" ht="21" x14ac:dyDescent="0.2">
      <c r="A1" s="55" t="s">
        <v>392</v>
      </c>
      <c r="B1" s="55"/>
      <c r="C1" s="55"/>
      <c r="D1" s="55"/>
      <c r="E1" s="55"/>
      <c r="F1" s="55"/>
      <c r="G1" s="55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spans="1:22" ht="26.25" customHeight="1" x14ac:dyDescent="0.2">
      <c r="A2" s="31"/>
      <c r="B2" s="31"/>
      <c r="C2" s="31"/>
      <c r="D2" s="31"/>
      <c r="E2" s="31"/>
      <c r="F2" s="31"/>
      <c r="G2" s="31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</row>
    <row r="3" spans="1:22" x14ac:dyDescent="0.2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</row>
    <row r="4" spans="1:22" ht="15.75" x14ac:dyDescent="0.2">
      <c r="A4" s="33" t="s">
        <v>304</v>
      </c>
      <c r="B4" s="33"/>
      <c r="C4" s="33"/>
      <c r="D4" s="33"/>
      <c r="E4" s="33"/>
      <c r="F4" s="33"/>
      <c r="G4" s="33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</row>
    <row r="5" spans="1:22" ht="25.5" x14ac:dyDescent="0.2">
      <c r="A5" s="75" t="s">
        <v>232</v>
      </c>
      <c r="B5" s="3">
        <v>2007</v>
      </c>
      <c r="C5" s="3">
        <v>2008</v>
      </c>
      <c r="D5" s="3">
        <v>2009</v>
      </c>
      <c r="E5" s="3">
        <v>2010</v>
      </c>
      <c r="F5" s="3">
        <v>2011</v>
      </c>
      <c r="G5" s="3">
        <v>2012</v>
      </c>
      <c r="H5" s="3">
        <v>2013</v>
      </c>
      <c r="I5" s="3">
        <v>2014</v>
      </c>
      <c r="J5" s="3">
        <v>2015</v>
      </c>
      <c r="K5" s="3">
        <v>2016</v>
      </c>
      <c r="L5" s="3">
        <v>2017</v>
      </c>
      <c r="M5" s="3">
        <v>2018</v>
      </c>
      <c r="N5" s="3">
        <v>2019</v>
      </c>
      <c r="O5" s="3">
        <v>2020</v>
      </c>
      <c r="P5" s="3">
        <v>2021</v>
      </c>
      <c r="Q5" s="3">
        <v>2022</v>
      </c>
      <c r="R5" s="12" t="s">
        <v>406</v>
      </c>
      <c r="S5" s="12" t="s">
        <v>407</v>
      </c>
      <c r="T5" s="12" t="s">
        <v>408</v>
      </c>
      <c r="U5" s="12" t="s">
        <v>409</v>
      </c>
    </row>
    <row r="6" spans="1:22" x14ac:dyDescent="0.2">
      <c r="A6" s="28" t="s">
        <v>434</v>
      </c>
      <c r="B6" s="28">
        <v>1648</v>
      </c>
      <c r="C6" s="4">
        <v>1920</v>
      </c>
      <c r="D6" s="4">
        <v>2327</v>
      </c>
      <c r="E6" s="4">
        <v>2421</v>
      </c>
      <c r="F6" s="4">
        <v>2696</v>
      </c>
      <c r="G6" s="4">
        <v>2990</v>
      </c>
      <c r="H6" s="4">
        <v>3331</v>
      </c>
      <c r="I6" s="4">
        <v>3547</v>
      </c>
      <c r="J6" s="4">
        <v>3709</v>
      </c>
      <c r="K6" s="4">
        <v>3532</v>
      </c>
      <c r="L6" s="4">
        <v>4053</v>
      </c>
      <c r="M6" s="4">
        <v>4198</v>
      </c>
      <c r="N6" s="4">
        <v>3991</v>
      </c>
      <c r="O6" s="110">
        <v>2882</v>
      </c>
      <c r="P6" s="110">
        <v>4413</v>
      </c>
      <c r="Q6" s="110">
        <v>3228</v>
      </c>
      <c r="R6" s="86">
        <f>(Q6-H6)/H6</f>
        <v>-3.0921645151606125E-2</v>
      </c>
      <c r="S6" s="93">
        <f>(Q6-M6)/M6</f>
        <v>-0.23106241067174846</v>
      </c>
      <c r="T6" s="93">
        <f>(Q6-P6)/P6</f>
        <v>-0.26852481305234532</v>
      </c>
      <c r="U6" s="95">
        <f>Q6/Q$9</f>
        <v>0.16722789203750713</v>
      </c>
    </row>
    <row r="7" spans="1:22" x14ac:dyDescent="0.2">
      <c r="A7" s="28" t="s">
        <v>435</v>
      </c>
      <c r="B7" s="28">
        <v>1565</v>
      </c>
      <c r="C7" s="28">
        <v>1478</v>
      </c>
      <c r="D7" s="28">
        <v>1909</v>
      </c>
      <c r="E7" s="28">
        <v>1865</v>
      </c>
      <c r="F7" s="28">
        <v>2099</v>
      </c>
      <c r="G7" s="28">
        <v>2085</v>
      </c>
      <c r="H7" s="19">
        <v>2814</v>
      </c>
      <c r="I7" s="19">
        <v>3018</v>
      </c>
      <c r="J7" s="19">
        <v>2931</v>
      </c>
      <c r="K7" s="19">
        <v>3106</v>
      </c>
      <c r="L7" s="19">
        <v>3410</v>
      </c>
      <c r="M7" s="19">
        <v>3489</v>
      </c>
      <c r="N7" s="19">
        <v>3780</v>
      </c>
      <c r="O7" s="110">
        <v>3488</v>
      </c>
      <c r="P7" s="110">
        <v>4992</v>
      </c>
      <c r="Q7" s="110">
        <v>5124</v>
      </c>
      <c r="R7" s="86">
        <f t="shared" ref="R7:R9" si="0">(Q7-H7)/H7</f>
        <v>0.82089552238805974</v>
      </c>
      <c r="S7" s="93">
        <f t="shared" ref="S7:S9" si="1">(Q7-M7)/M7</f>
        <v>0.46861564918314702</v>
      </c>
      <c r="T7" s="93">
        <f t="shared" ref="T7:T9" si="2">(Q7-P7)/P7</f>
        <v>2.6442307692307692E-2</v>
      </c>
      <c r="U7" s="95">
        <f t="shared" ref="U7:U8" si="3">Q7/Q$9</f>
        <v>0.26545096617106151</v>
      </c>
    </row>
    <row r="8" spans="1:22" x14ac:dyDescent="0.2">
      <c r="A8" s="28" t="s">
        <v>229</v>
      </c>
      <c r="B8" s="28">
        <v>2268</v>
      </c>
      <c r="C8" s="28">
        <v>2841</v>
      </c>
      <c r="D8" s="28">
        <v>4370</v>
      </c>
      <c r="E8" s="28">
        <v>3802</v>
      </c>
      <c r="F8" s="28">
        <v>5216</v>
      </c>
      <c r="G8" s="28">
        <v>5514</v>
      </c>
      <c r="H8" s="19">
        <v>6464</v>
      </c>
      <c r="I8" s="19">
        <v>6437</v>
      </c>
      <c r="J8" s="19">
        <v>7343</v>
      </c>
      <c r="K8" s="19">
        <v>7339</v>
      </c>
      <c r="L8" s="19">
        <v>7347</v>
      </c>
      <c r="M8" s="19">
        <v>8641</v>
      </c>
      <c r="N8" s="19">
        <v>8413</v>
      </c>
      <c r="O8" s="110">
        <v>8871</v>
      </c>
      <c r="P8" s="110">
        <v>9891</v>
      </c>
      <c r="Q8" s="110">
        <v>10951</v>
      </c>
      <c r="R8" s="86">
        <f t="shared" si="0"/>
        <v>0.6941522277227723</v>
      </c>
      <c r="S8" s="93">
        <f t="shared" si="1"/>
        <v>0.26733017011919918</v>
      </c>
      <c r="T8" s="93">
        <f t="shared" si="2"/>
        <v>0.10716813264583966</v>
      </c>
      <c r="U8" s="95">
        <f t="shared" si="3"/>
        <v>0.56732114179143134</v>
      </c>
    </row>
    <row r="9" spans="1:22" x14ac:dyDescent="0.2">
      <c r="A9" s="67" t="s">
        <v>4</v>
      </c>
      <c r="B9" s="67">
        <v>5481</v>
      </c>
      <c r="C9" s="67">
        <v>6239</v>
      </c>
      <c r="D9" s="67">
        <v>8606</v>
      </c>
      <c r="E9" s="67">
        <v>8088</v>
      </c>
      <c r="F9" s="67">
        <v>10011</v>
      </c>
      <c r="G9" s="67">
        <v>10589</v>
      </c>
      <c r="H9" s="68">
        <v>12609</v>
      </c>
      <c r="I9" s="68">
        <v>13002</v>
      </c>
      <c r="J9" s="68">
        <v>13983</v>
      </c>
      <c r="K9" s="68">
        <v>13977</v>
      </c>
      <c r="L9" s="68">
        <v>14810</v>
      </c>
      <c r="M9" s="68">
        <v>16328</v>
      </c>
      <c r="N9" s="68">
        <v>16184</v>
      </c>
      <c r="O9" s="111">
        <v>15241</v>
      </c>
      <c r="P9" s="111">
        <v>19296</v>
      </c>
      <c r="Q9" s="111">
        <v>19303</v>
      </c>
      <c r="R9" s="70">
        <f t="shared" si="0"/>
        <v>0.53089063367435962</v>
      </c>
      <c r="S9" s="94">
        <f t="shared" si="1"/>
        <v>0.18220235178833905</v>
      </c>
      <c r="T9" s="94">
        <f t="shared" si="2"/>
        <v>3.6276948590381424E-4</v>
      </c>
      <c r="U9" s="96">
        <f>Q9/Q$9</f>
        <v>1</v>
      </c>
    </row>
    <row r="10" spans="1:22" x14ac:dyDescent="0.2">
      <c r="A10" s="118" t="s">
        <v>436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</row>
    <row r="11" spans="1:22" x14ac:dyDescent="0.2">
      <c r="A11" s="10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</row>
    <row r="12" spans="1:22" ht="15.75" x14ac:dyDescent="0.2">
      <c r="A12" s="33" t="s">
        <v>305</v>
      </c>
      <c r="B12" s="33"/>
      <c r="C12" s="33"/>
      <c r="D12" s="33"/>
      <c r="E12" s="33"/>
      <c r="F12" s="33"/>
      <c r="G12" s="33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</row>
    <row r="13" spans="1:22" ht="25.5" x14ac:dyDescent="0.2">
      <c r="A13" s="75" t="s">
        <v>84</v>
      </c>
      <c r="B13" s="3">
        <v>2007</v>
      </c>
      <c r="C13" s="3">
        <v>2008</v>
      </c>
      <c r="D13" s="3">
        <v>2009</v>
      </c>
      <c r="E13" s="3">
        <v>2010</v>
      </c>
      <c r="F13" s="3">
        <v>2011</v>
      </c>
      <c r="G13" s="3">
        <v>2012</v>
      </c>
      <c r="H13" s="3">
        <v>2013</v>
      </c>
      <c r="I13" s="3">
        <v>2014</v>
      </c>
      <c r="J13" s="3">
        <v>2015</v>
      </c>
      <c r="K13" s="3">
        <v>2016</v>
      </c>
      <c r="L13" s="3">
        <v>2017</v>
      </c>
      <c r="M13" s="3">
        <v>2018</v>
      </c>
      <c r="N13" s="3">
        <v>2019</v>
      </c>
      <c r="O13" s="3">
        <v>2020</v>
      </c>
      <c r="P13" s="3">
        <v>2021</v>
      </c>
      <c r="Q13" s="3">
        <v>2022</v>
      </c>
      <c r="R13" s="12" t="s">
        <v>406</v>
      </c>
      <c r="S13" s="12" t="s">
        <v>407</v>
      </c>
      <c r="T13" s="12" t="s">
        <v>408</v>
      </c>
      <c r="U13" s="12" t="s">
        <v>409</v>
      </c>
    </row>
    <row r="14" spans="1:22" x14ac:dyDescent="0.2">
      <c r="A14" s="4" t="s">
        <v>82</v>
      </c>
      <c r="B14" s="4">
        <v>314</v>
      </c>
      <c r="C14" s="97">
        <v>320</v>
      </c>
      <c r="D14" s="97">
        <v>384</v>
      </c>
      <c r="E14" s="97">
        <v>394</v>
      </c>
      <c r="F14" s="97">
        <v>492</v>
      </c>
      <c r="G14" s="97">
        <v>603</v>
      </c>
      <c r="H14" s="98">
        <v>634</v>
      </c>
      <c r="I14" s="98">
        <v>612</v>
      </c>
      <c r="J14" s="98">
        <v>693</v>
      </c>
      <c r="K14" s="98">
        <v>706</v>
      </c>
      <c r="L14" s="98">
        <v>727</v>
      </c>
      <c r="M14" s="98">
        <v>832</v>
      </c>
      <c r="N14" s="98">
        <v>883</v>
      </c>
      <c r="O14" s="110">
        <v>775</v>
      </c>
      <c r="P14" s="110">
        <v>906</v>
      </c>
      <c r="Q14" s="110">
        <v>890</v>
      </c>
      <c r="R14" s="86">
        <f t="shared" ref="R14:R16" si="4">(Q14-H14)/H14</f>
        <v>0.40378548895899052</v>
      </c>
      <c r="S14" s="93">
        <f t="shared" ref="S14:S16" si="5">(Q14-M14)/M14</f>
        <v>6.9711538461538464E-2</v>
      </c>
      <c r="T14" s="93">
        <f t="shared" ref="T14:T16" si="6">(Q14-P14)/P14</f>
        <v>-1.7660044150110375E-2</v>
      </c>
      <c r="U14" s="95">
        <f t="shared" ref="U14:U16" si="7">Q14/Q$9</f>
        <v>4.6106822773662126E-2</v>
      </c>
    </row>
    <row r="15" spans="1:22" x14ac:dyDescent="0.2">
      <c r="A15" s="4" t="s">
        <v>83</v>
      </c>
      <c r="B15" s="4">
        <v>5167</v>
      </c>
      <c r="C15" s="97">
        <v>5919</v>
      </c>
      <c r="D15" s="97">
        <v>8222</v>
      </c>
      <c r="E15" s="97">
        <v>7694</v>
      </c>
      <c r="F15" s="97">
        <v>9519</v>
      </c>
      <c r="G15" s="97">
        <v>9986</v>
      </c>
      <c r="H15" s="98">
        <v>11975</v>
      </c>
      <c r="I15" s="98">
        <v>12390</v>
      </c>
      <c r="J15" s="98">
        <v>13290</v>
      </c>
      <c r="K15" s="98">
        <v>13271</v>
      </c>
      <c r="L15" s="98">
        <v>14083</v>
      </c>
      <c r="M15" s="98">
        <v>15496</v>
      </c>
      <c r="N15" s="98">
        <v>15301</v>
      </c>
      <c r="O15" s="110">
        <v>14466</v>
      </c>
      <c r="P15" s="110">
        <v>18390</v>
      </c>
      <c r="Q15" s="110">
        <v>18413</v>
      </c>
      <c r="R15" s="86">
        <f t="shared" si="4"/>
        <v>0.53762004175365341</v>
      </c>
      <c r="S15" s="93">
        <f t="shared" si="5"/>
        <v>0.18824212700051626</v>
      </c>
      <c r="T15" s="93">
        <f>(Q15-P15)/P15</f>
        <v>1.2506797172376291E-3</v>
      </c>
      <c r="U15" s="95">
        <f t="shared" si="7"/>
        <v>0.95389317722633793</v>
      </c>
    </row>
    <row r="16" spans="1:22" x14ac:dyDescent="0.2">
      <c r="A16" s="5" t="s">
        <v>4</v>
      </c>
      <c r="B16" s="5">
        <v>5481</v>
      </c>
      <c r="C16" s="5">
        <v>6239</v>
      </c>
      <c r="D16" s="5">
        <v>8606</v>
      </c>
      <c r="E16" s="5">
        <v>8088</v>
      </c>
      <c r="F16" s="5">
        <v>10011</v>
      </c>
      <c r="G16" s="5">
        <v>10589</v>
      </c>
      <c r="H16" s="20">
        <v>12609</v>
      </c>
      <c r="I16" s="20">
        <v>13002</v>
      </c>
      <c r="J16" s="20">
        <v>13983</v>
      </c>
      <c r="K16" s="20">
        <v>13977</v>
      </c>
      <c r="L16" s="20">
        <v>14810</v>
      </c>
      <c r="M16" s="20">
        <v>16328</v>
      </c>
      <c r="N16" s="20">
        <v>16184</v>
      </c>
      <c r="O16" s="111">
        <v>15241</v>
      </c>
      <c r="P16" s="111">
        <v>19296</v>
      </c>
      <c r="Q16" s="111">
        <v>19303</v>
      </c>
      <c r="R16" s="70">
        <f t="shared" si="4"/>
        <v>0.53089063367435962</v>
      </c>
      <c r="S16" s="94">
        <f t="shared" si="5"/>
        <v>0.18220235178833905</v>
      </c>
      <c r="T16" s="94">
        <f t="shared" si="6"/>
        <v>3.6276948590381424E-4</v>
      </c>
      <c r="U16" s="96">
        <f t="shared" si="7"/>
        <v>1</v>
      </c>
    </row>
    <row r="17" spans="1:22" x14ac:dyDescent="0.2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</row>
    <row r="18" spans="1:22" ht="15.75" x14ac:dyDescent="0.2">
      <c r="A18" s="33" t="s">
        <v>306</v>
      </c>
      <c r="B18" s="33"/>
      <c r="C18" s="33"/>
      <c r="D18" s="33"/>
      <c r="E18" s="33"/>
      <c r="F18" s="33"/>
      <c r="G18" s="33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</row>
    <row r="19" spans="1:22" ht="25.5" x14ac:dyDescent="0.2">
      <c r="A19" s="75" t="s">
        <v>234</v>
      </c>
      <c r="B19" s="3">
        <v>2007</v>
      </c>
      <c r="C19" s="3">
        <v>2008</v>
      </c>
      <c r="D19" s="3">
        <v>2009</v>
      </c>
      <c r="E19" s="3">
        <v>2010</v>
      </c>
      <c r="F19" s="3">
        <v>2011</v>
      </c>
      <c r="G19" s="3">
        <v>2012</v>
      </c>
      <c r="H19" s="3">
        <v>2013</v>
      </c>
      <c r="I19" s="3">
        <v>2014</v>
      </c>
      <c r="J19" s="3">
        <v>2015</v>
      </c>
      <c r="K19" s="3">
        <v>2016</v>
      </c>
      <c r="L19" s="3">
        <v>2017</v>
      </c>
      <c r="M19" s="3">
        <v>2018</v>
      </c>
      <c r="N19" s="3">
        <v>2019</v>
      </c>
      <c r="O19" s="3">
        <v>2020</v>
      </c>
      <c r="P19" s="3">
        <v>2021</v>
      </c>
      <c r="Q19" s="3">
        <v>2022</v>
      </c>
      <c r="R19" s="12" t="s">
        <v>406</v>
      </c>
      <c r="S19" s="12" t="s">
        <v>407</v>
      </c>
      <c r="T19" s="12" t="s">
        <v>408</v>
      </c>
      <c r="U19" s="12" t="s">
        <v>409</v>
      </c>
    </row>
    <row r="20" spans="1:22" s="11" customFormat="1" x14ac:dyDescent="0.2">
      <c r="A20" s="5" t="s">
        <v>437</v>
      </c>
      <c r="B20" s="5">
        <v>1648</v>
      </c>
      <c r="C20" s="67">
        <v>1920</v>
      </c>
      <c r="D20" s="67">
        <v>2327</v>
      </c>
      <c r="E20" s="67">
        <v>2421</v>
      </c>
      <c r="F20" s="67">
        <v>2696</v>
      </c>
      <c r="G20" s="67">
        <v>2990</v>
      </c>
      <c r="H20" s="21">
        <v>3331</v>
      </c>
      <c r="I20" s="21">
        <v>3547</v>
      </c>
      <c r="J20" s="21">
        <v>3709</v>
      </c>
      <c r="K20" s="21">
        <v>3532</v>
      </c>
      <c r="L20" s="21">
        <v>4053</v>
      </c>
      <c r="M20" s="21">
        <v>4198</v>
      </c>
      <c r="N20" s="21">
        <v>3991</v>
      </c>
      <c r="O20" s="111">
        <v>2882</v>
      </c>
      <c r="P20" s="111">
        <v>4413</v>
      </c>
      <c r="Q20" s="111">
        <v>3228</v>
      </c>
      <c r="R20" s="70">
        <f t="shared" ref="R20:R29" si="8">(Q20-H20)/H20</f>
        <v>-3.0921645151606125E-2</v>
      </c>
      <c r="S20" s="94">
        <f t="shared" ref="S20:S29" si="9">(Q20-M20)/M20</f>
        <v>-0.23106241067174846</v>
      </c>
      <c r="T20" s="94">
        <f t="shared" ref="T20:T29" si="10">(Q20-P20)/P20</f>
        <v>-0.26852481305234532</v>
      </c>
      <c r="U20" s="96">
        <f t="shared" ref="U20:U28" si="11">Q20/Q$9</f>
        <v>0.16722789203750713</v>
      </c>
      <c r="V20" s="1"/>
    </row>
    <row r="21" spans="1:22" x14ac:dyDescent="0.2">
      <c r="A21" s="72" t="s">
        <v>82</v>
      </c>
      <c r="B21" s="72">
        <v>143</v>
      </c>
      <c r="C21" s="99">
        <v>132</v>
      </c>
      <c r="D21" s="99">
        <v>169</v>
      </c>
      <c r="E21" s="99">
        <v>185</v>
      </c>
      <c r="F21" s="99">
        <v>213</v>
      </c>
      <c r="G21" s="99">
        <v>254</v>
      </c>
      <c r="H21" s="22">
        <v>247</v>
      </c>
      <c r="I21" s="22">
        <v>251</v>
      </c>
      <c r="J21" s="22">
        <v>328</v>
      </c>
      <c r="K21" s="22">
        <v>325</v>
      </c>
      <c r="L21" s="22">
        <v>320</v>
      </c>
      <c r="M21" s="22">
        <v>405</v>
      </c>
      <c r="N21" s="22">
        <v>406</v>
      </c>
      <c r="O21" s="110">
        <v>339</v>
      </c>
      <c r="P21" s="110">
        <v>377</v>
      </c>
      <c r="Q21" s="110">
        <v>354</v>
      </c>
      <c r="R21" s="86">
        <f t="shared" si="8"/>
        <v>0.4331983805668016</v>
      </c>
      <c r="S21" s="93">
        <f t="shared" si="9"/>
        <v>-0.12592592592592591</v>
      </c>
      <c r="T21" s="93">
        <f t="shared" si="10"/>
        <v>-6.1007957559681698E-2</v>
      </c>
      <c r="U21" s="95">
        <f t="shared" si="11"/>
        <v>1.8339118271771229E-2</v>
      </c>
    </row>
    <row r="22" spans="1:22" x14ac:dyDescent="0.2">
      <c r="A22" s="72" t="s">
        <v>83</v>
      </c>
      <c r="B22" s="72">
        <v>1505</v>
      </c>
      <c r="C22" s="99">
        <v>1788</v>
      </c>
      <c r="D22" s="99">
        <v>2158</v>
      </c>
      <c r="E22" s="99">
        <v>2236</v>
      </c>
      <c r="F22" s="99">
        <v>2483</v>
      </c>
      <c r="G22" s="99">
        <v>2736</v>
      </c>
      <c r="H22" s="22">
        <v>3084</v>
      </c>
      <c r="I22" s="22">
        <v>3296</v>
      </c>
      <c r="J22" s="22">
        <v>3381</v>
      </c>
      <c r="K22" s="22">
        <v>3207</v>
      </c>
      <c r="L22" s="22">
        <v>3733</v>
      </c>
      <c r="M22" s="22">
        <v>3793</v>
      </c>
      <c r="N22" s="22">
        <v>3585</v>
      </c>
      <c r="O22" s="110">
        <v>2543</v>
      </c>
      <c r="P22" s="110">
        <v>4036</v>
      </c>
      <c r="Q22" s="110">
        <v>2874</v>
      </c>
      <c r="R22" s="86">
        <f t="shared" si="8"/>
        <v>-6.8093385214007776E-2</v>
      </c>
      <c r="S22" s="93">
        <f t="shared" si="9"/>
        <v>-0.24228842604798312</v>
      </c>
      <c r="T22" s="93">
        <f t="shared" si="10"/>
        <v>-0.28790882061446976</v>
      </c>
      <c r="U22" s="95">
        <f t="shared" si="11"/>
        <v>0.14888877376573589</v>
      </c>
    </row>
    <row r="23" spans="1:22" s="11" customFormat="1" x14ac:dyDescent="0.2">
      <c r="A23" s="5" t="s">
        <v>435</v>
      </c>
      <c r="B23" s="5">
        <v>1565</v>
      </c>
      <c r="C23" s="67">
        <v>1478</v>
      </c>
      <c r="D23" s="67">
        <v>1909</v>
      </c>
      <c r="E23" s="67">
        <v>1865</v>
      </c>
      <c r="F23" s="67">
        <v>2099</v>
      </c>
      <c r="G23" s="67">
        <v>2085</v>
      </c>
      <c r="H23" s="21">
        <v>2814</v>
      </c>
      <c r="I23" s="21">
        <v>3018</v>
      </c>
      <c r="J23" s="21">
        <v>2931</v>
      </c>
      <c r="K23" s="21">
        <v>3106</v>
      </c>
      <c r="L23" s="21">
        <v>3410</v>
      </c>
      <c r="M23" s="21">
        <v>3489</v>
      </c>
      <c r="N23" s="21">
        <v>3780</v>
      </c>
      <c r="O23" s="111">
        <v>3488</v>
      </c>
      <c r="P23" s="111">
        <v>4992</v>
      </c>
      <c r="Q23" s="111">
        <v>5124</v>
      </c>
      <c r="R23" s="70">
        <f t="shared" si="8"/>
        <v>0.82089552238805974</v>
      </c>
      <c r="S23" s="94">
        <f t="shared" si="9"/>
        <v>0.46861564918314702</v>
      </c>
      <c r="T23" s="94">
        <f t="shared" si="10"/>
        <v>2.6442307692307692E-2</v>
      </c>
      <c r="U23" s="96">
        <f t="shared" si="11"/>
        <v>0.26545096617106151</v>
      </c>
      <c r="V23" s="1"/>
    </row>
    <row r="24" spans="1:22" x14ac:dyDescent="0.2">
      <c r="A24" s="72" t="s">
        <v>82</v>
      </c>
      <c r="B24" s="72">
        <v>166</v>
      </c>
      <c r="C24" s="99">
        <v>181</v>
      </c>
      <c r="D24" s="99">
        <v>202</v>
      </c>
      <c r="E24" s="99">
        <v>194</v>
      </c>
      <c r="F24" s="99">
        <v>240</v>
      </c>
      <c r="G24" s="99">
        <v>252</v>
      </c>
      <c r="H24" s="22">
        <v>286</v>
      </c>
      <c r="I24" s="22">
        <v>299</v>
      </c>
      <c r="J24" s="22">
        <v>307</v>
      </c>
      <c r="K24" s="22">
        <v>318</v>
      </c>
      <c r="L24" s="22">
        <v>342</v>
      </c>
      <c r="M24" s="22">
        <v>339</v>
      </c>
      <c r="N24" s="22">
        <v>394</v>
      </c>
      <c r="O24" s="110">
        <v>369</v>
      </c>
      <c r="P24" s="110">
        <v>421</v>
      </c>
      <c r="Q24" s="110">
        <v>444</v>
      </c>
      <c r="R24" s="86">
        <f t="shared" si="8"/>
        <v>0.55244755244755239</v>
      </c>
      <c r="S24" s="93">
        <f t="shared" si="9"/>
        <v>0.30973451327433627</v>
      </c>
      <c r="T24" s="93">
        <f t="shared" si="10"/>
        <v>5.4631828978622329E-2</v>
      </c>
      <c r="U24" s="95">
        <f t="shared" si="11"/>
        <v>2.300160596798425E-2</v>
      </c>
    </row>
    <row r="25" spans="1:22" x14ac:dyDescent="0.2">
      <c r="A25" s="72" t="s">
        <v>83</v>
      </c>
      <c r="B25" s="72">
        <v>1399</v>
      </c>
      <c r="C25" s="99">
        <v>1297</v>
      </c>
      <c r="D25" s="99">
        <v>1707</v>
      </c>
      <c r="E25" s="99">
        <v>1671</v>
      </c>
      <c r="F25" s="99">
        <v>1859</v>
      </c>
      <c r="G25" s="99">
        <v>1833</v>
      </c>
      <c r="H25" s="22">
        <v>2528</v>
      </c>
      <c r="I25" s="22">
        <v>2719</v>
      </c>
      <c r="J25" s="22">
        <v>2624</v>
      </c>
      <c r="K25" s="22">
        <v>2788</v>
      </c>
      <c r="L25" s="22">
        <v>3068</v>
      </c>
      <c r="M25" s="22">
        <v>3150</v>
      </c>
      <c r="N25" s="22">
        <v>3386</v>
      </c>
      <c r="O25" s="110">
        <v>3119</v>
      </c>
      <c r="P25" s="110">
        <v>4571</v>
      </c>
      <c r="Q25" s="110">
        <v>4680</v>
      </c>
      <c r="R25" s="86">
        <f t="shared" si="8"/>
        <v>0.85126582278481011</v>
      </c>
      <c r="S25" s="93">
        <f t="shared" si="9"/>
        <v>0.48571428571428571</v>
      </c>
      <c r="T25" s="93">
        <f t="shared" si="10"/>
        <v>2.3845985561146359E-2</v>
      </c>
      <c r="U25" s="95">
        <f t="shared" si="11"/>
        <v>0.24244936020307725</v>
      </c>
    </row>
    <row r="26" spans="1:22" s="11" customFormat="1" x14ac:dyDescent="0.2">
      <c r="A26" s="5" t="s">
        <v>229</v>
      </c>
      <c r="B26" s="5">
        <v>2268</v>
      </c>
      <c r="C26" s="67">
        <v>2841</v>
      </c>
      <c r="D26" s="67">
        <v>4370</v>
      </c>
      <c r="E26" s="67">
        <v>3802</v>
      </c>
      <c r="F26" s="67">
        <v>5216</v>
      </c>
      <c r="G26" s="67">
        <v>5514</v>
      </c>
      <c r="H26" s="21">
        <v>6464</v>
      </c>
      <c r="I26" s="21">
        <v>6437</v>
      </c>
      <c r="J26" s="21">
        <v>7343</v>
      </c>
      <c r="K26" s="21">
        <v>7339</v>
      </c>
      <c r="L26" s="21">
        <v>7347</v>
      </c>
      <c r="M26" s="21">
        <v>8641</v>
      </c>
      <c r="N26" s="21">
        <v>8413</v>
      </c>
      <c r="O26" s="111">
        <v>8871</v>
      </c>
      <c r="P26" s="111">
        <v>9891</v>
      </c>
      <c r="Q26" s="111">
        <v>10951</v>
      </c>
      <c r="R26" s="70">
        <f t="shared" si="8"/>
        <v>0.6941522277227723</v>
      </c>
      <c r="S26" s="94">
        <f t="shared" si="9"/>
        <v>0.26733017011919918</v>
      </c>
      <c r="T26" s="94">
        <f t="shared" si="10"/>
        <v>0.10716813264583966</v>
      </c>
      <c r="U26" s="96">
        <f t="shared" si="11"/>
        <v>0.56732114179143134</v>
      </c>
      <c r="V26" s="1"/>
    </row>
    <row r="27" spans="1:22" x14ac:dyDescent="0.2">
      <c r="A27" s="72" t="s">
        <v>82</v>
      </c>
      <c r="B27" s="72">
        <v>5</v>
      </c>
      <c r="C27" s="99">
        <v>7</v>
      </c>
      <c r="D27" s="99">
        <v>13</v>
      </c>
      <c r="E27" s="99">
        <v>15</v>
      </c>
      <c r="F27" s="99">
        <v>39</v>
      </c>
      <c r="G27" s="99">
        <v>97</v>
      </c>
      <c r="H27" s="22">
        <v>101</v>
      </c>
      <c r="I27" s="22">
        <v>62</v>
      </c>
      <c r="J27" s="22">
        <v>58</v>
      </c>
      <c r="K27" s="22">
        <v>63</v>
      </c>
      <c r="L27" s="22">
        <v>65</v>
      </c>
      <c r="M27" s="22">
        <v>88</v>
      </c>
      <c r="N27" s="22">
        <v>83</v>
      </c>
      <c r="O27" s="110">
        <v>67</v>
      </c>
      <c r="P27" s="110">
        <v>108</v>
      </c>
      <c r="Q27" s="110">
        <v>92</v>
      </c>
      <c r="R27" s="86">
        <f t="shared" si="8"/>
        <v>-8.9108910891089105E-2</v>
      </c>
      <c r="S27" s="93">
        <f t="shared" si="9"/>
        <v>4.5454545454545456E-2</v>
      </c>
      <c r="T27" s="93">
        <f t="shared" si="10"/>
        <v>-0.14814814814814814</v>
      </c>
      <c r="U27" s="95">
        <f t="shared" si="11"/>
        <v>4.7660985339066471E-3</v>
      </c>
    </row>
    <row r="28" spans="1:22" x14ac:dyDescent="0.2">
      <c r="A28" s="72" t="s">
        <v>83</v>
      </c>
      <c r="B28" s="72">
        <v>2263</v>
      </c>
      <c r="C28" s="99">
        <v>2834</v>
      </c>
      <c r="D28" s="99">
        <v>4357</v>
      </c>
      <c r="E28" s="99">
        <v>3787</v>
      </c>
      <c r="F28" s="99">
        <v>5177</v>
      </c>
      <c r="G28" s="99">
        <v>5417</v>
      </c>
      <c r="H28" s="22">
        <v>6363</v>
      </c>
      <c r="I28" s="22">
        <v>6375</v>
      </c>
      <c r="J28" s="22">
        <v>7285</v>
      </c>
      <c r="K28" s="22">
        <v>7276</v>
      </c>
      <c r="L28" s="22">
        <v>7282</v>
      </c>
      <c r="M28" s="22">
        <v>8553</v>
      </c>
      <c r="N28" s="22">
        <v>8330</v>
      </c>
      <c r="O28" s="110">
        <v>8804</v>
      </c>
      <c r="P28" s="110">
        <v>9783</v>
      </c>
      <c r="Q28" s="110">
        <v>10859</v>
      </c>
      <c r="R28" s="86">
        <f t="shared" si="8"/>
        <v>0.70658494420870654</v>
      </c>
      <c r="S28" s="93">
        <f t="shared" si="9"/>
        <v>0.26961300128609844</v>
      </c>
      <c r="T28" s="93">
        <f t="shared" si="10"/>
        <v>0.10998671164264541</v>
      </c>
      <c r="U28" s="95">
        <f t="shared" si="11"/>
        <v>0.5625550432575247</v>
      </c>
    </row>
    <row r="29" spans="1:22" s="11" customFormat="1" x14ac:dyDescent="0.2">
      <c r="A29" s="5" t="s">
        <v>4</v>
      </c>
      <c r="B29" s="5">
        <v>5481</v>
      </c>
      <c r="C29" s="67">
        <v>6239</v>
      </c>
      <c r="D29" s="67">
        <v>8606</v>
      </c>
      <c r="E29" s="67">
        <v>8088</v>
      </c>
      <c r="F29" s="67">
        <v>10011</v>
      </c>
      <c r="G29" s="67">
        <v>10589</v>
      </c>
      <c r="H29" s="21">
        <v>12609</v>
      </c>
      <c r="I29" s="21">
        <v>13002</v>
      </c>
      <c r="J29" s="21">
        <v>13983</v>
      </c>
      <c r="K29" s="21">
        <v>13977</v>
      </c>
      <c r="L29" s="21">
        <v>14810</v>
      </c>
      <c r="M29" s="21">
        <v>16328</v>
      </c>
      <c r="N29" s="21">
        <v>16184</v>
      </c>
      <c r="O29" s="111">
        <v>15241</v>
      </c>
      <c r="P29" s="111">
        <v>19296</v>
      </c>
      <c r="Q29" s="111">
        <v>19303</v>
      </c>
      <c r="R29" s="70">
        <f t="shared" si="8"/>
        <v>0.53089063367435962</v>
      </c>
      <c r="S29" s="94">
        <f t="shared" si="9"/>
        <v>0.18220235178833905</v>
      </c>
      <c r="T29" s="94">
        <f t="shared" si="10"/>
        <v>3.6276948590381424E-4</v>
      </c>
      <c r="U29" s="96">
        <f>Q29/Q$9</f>
        <v>1</v>
      </c>
    </row>
    <row r="30" spans="1:22" x14ac:dyDescent="0.2">
      <c r="A30" s="118" t="s">
        <v>436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</row>
    <row r="31" spans="1:22" x14ac:dyDescent="0.2">
      <c r="A31" s="10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</row>
    <row r="32" spans="1:22" ht="15.75" x14ac:dyDescent="0.2">
      <c r="A32" s="33" t="s">
        <v>307</v>
      </c>
      <c r="B32" s="33"/>
      <c r="C32" s="33"/>
      <c r="D32" s="33"/>
      <c r="E32" s="33"/>
      <c r="F32" s="33"/>
      <c r="G32" s="33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</row>
    <row r="33" spans="1:22" ht="25.5" x14ac:dyDescent="0.2">
      <c r="A33" s="75" t="s">
        <v>233</v>
      </c>
      <c r="B33" s="3">
        <v>2007</v>
      </c>
      <c r="C33" s="3">
        <v>2008</v>
      </c>
      <c r="D33" s="3">
        <v>2009</v>
      </c>
      <c r="E33" s="3">
        <v>2010</v>
      </c>
      <c r="F33" s="3">
        <v>2011</v>
      </c>
      <c r="G33" s="3">
        <v>2012</v>
      </c>
      <c r="H33" s="3">
        <v>2013</v>
      </c>
      <c r="I33" s="3">
        <v>2014</v>
      </c>
      <c r="J33" s="3">
        <v>2015</v>
      </c>
      <c r="K33" s="3">
        <v>2016</v>
      </c>
      <c r="L33" s="3">
        <v>2017</v>
      </c>
      <c r="M33" s="3">
        <v>2018</v>
      </c>
      <c r="N33" s="3">
        <v>2019</v>
      </c>
      <c r="O33" s="3">
        <v>2020</v>
      </c>
      <c r="P33" s="3">
        <v>2021</v>
      </c>
      <c r="Q33" s="3">
        <v>2022</v>
      </c>
      <c r="R33" s="12" t="s">
        <v>406</v>
      </c>
      <c r="S33" s="12" t="s">
        <v>407</v>
      </c>
      <c r="T33" s="12" t="s">
        <v>408</v>
      </c>
      <c r="U33" s="12" t="s">
        <v>409</v>
      </c>
    </row>
    <row r="34" spans="1:22" x14ac:dyDescent="0.2">
      <c r="A34" s="5" t="s">
        <v>200</v>
      </c>
      <c r="B34" s="5">
        <v>2261</v>
      </c>
      <c r="C34" s="5">
        <v>2625</v>
      </c>
      <c r="D34" s="5">
        <v>3739</v>
      </c>
      <c r="E34" s="5">
        <v>3659</v>
      </c>
      <c r="F34" s="5">
        <v>4814</v>
      </c>
      <c r="G34" s="5">
        <v>5088</v>
      </c>
      <c r="H34" s="5">
        <v>6099</v>
      </c>
      <c r="I34" s="5">
        <v>6211</v>
      </c>
      <c r="J34" s="5">
        <v>6783</v>
      </c>
      <c r="K34" s="5">
        <v>6832</v>
      </c>
      <c r="L34" s="5">
        <v>7357</v>
      </c>
      <c r="M34" s="5">
        <v>8085</v>
      </c>
      <c r="N34" s="5">
        <v>8162</v>
      </c>
      <c r="O34" s="49">
        <v>7814</v>
      </c>
      <c r="P34" s="49">
        <v>9782</v>
      </c>
      <c r="Q34" s="49">
        <v>9882</v>
      </c>
      <c r="R34" s="70">
        <f t="shared" ref="R34:R40" si="12">(Q34-H34)/H34</f>
        <v>0.62026561731431384</v>
      </c>
      <c r="S34" s="94">
        <f t="shared" ref="S34:S40" si="13">(Q34-M34)/M34</f>
        <v>0.22226345083487942</v>
      </c>
      <c r="T34" s="94">
        <f t="shared" ref="T34:T40" si="14">(Q34-P34)/P34</f>
        <v>1.0222858311183807E-2</v>
      </c>
      <c r="U34" s="96">
        <f t="shared" ref="U34:U40" si="15">Q34/Q$9</f>
        <v>0.51194114904418997</v>
      </c>
    </row>
    <row r="35" spans="1:22" x14ac:dyDescent="0.2">
      <c r="A35" s="72" t="s">
        <v>82</v>
      </c>
      <c r="B35" s="72">
        <v>138</v>
      </c>
      <c r="C35" s="72">
        <v>133</v>
      </c>
      <c r="D35" s="72">
        <v>155</v>
      </c>
      <c r="E35" s="72">
        <v>175</v>
      </c>
      <c r="F35" s="72">
        <v>212</v>
      </c>
      <c r="G35" s="72">
        <v>239</v>
      </c>
      <c r="H35" s="22">
        <v>293</v>
      </c>
      <c r="I35" s="22">
        <v>280</v>
      </c>
      <c r="J35" s="22">
        <v>307</v>
      </c>
      <c r="K35" s="22">
        <v>289</v>
      </c>
      <c r="L35" s="22">
        <v>319</v>
      </c>
      <c r="M35" s="22">
        <v>359</v>
      </c>
      <c r="N35" s="22">
        <v>383</v>
      </c>
      <c r="O35" s="110">
        <v>339</v>
      </c>
      <c r="P35" s="110">
        <v>380</v>
      </c>
      <c r="Q35" s="110">
        <v>384</v>
      </c>
      <c r="R35" s="86">
        <f t="shared" si="12"/>
        <v>0.31058020477815701</v>
      </c>
      <c r="S35" s="93">
        <f t="shared" si="13"/>
        <v>6.9637883008356549E-2</v>
      </c>
      <c r="T35" s="93">
        <f t="shared" si="14"/>
        <v>1.0526315789473684E-2</v>
      </c>
      <c r="U35" s="95">
        <f t="shared" si="15"/>
        <v>1.9893280837175568E-2</v>
      </c>
      <c r="V35" s="92"/>
    </row>
    <row r="36" spans="1:22" x14ac:dyDescent="0.2">
      <c r="A36" s="72" t="s">
        <v>83</v>
      </c>
      <c r="B36" s="72">
        <v>2123</v>
      </c>
      <c r="C36" s="72">
        <v>2492</v>
      </c>
      <c r="D36" s="72">
        <v>3584</v>
      </c>
      <c r="E36" s="72">
        <v>3484</v>
      </c>
      <c r="F36" s="72">
        <v>4602</v>
      </c>
      <c r="G36" s="72">
        <v>4849</v>
      </c>
      <c r="H36" s="22">
        <v>5806</v>
      </c>
      <c r="I36" s="22">
        <v>5931</v>
      </c>
      <c r="J36" s="22">
        <v>6476</v>
      </c>
      <c r="K36" s="22">
        <v>6543</v>
      </c>
      <c r="L36" s="22">
        <v>7038</v>
      </c>
      <c r="M36" s="22">
        <v>7726</v>
      </c>
      <c r="N36" s="22">
        <v>7779</v>
      </c>
      <c r="O36" s="110">
        <v>7475</v>
      </c>
      <c r="P36" s="110">
        <v>9402</v>
      </c>
      <c r="Q36" s="110">
        <v>9498</v>
      </c>
      <c r="R36" s="86">
        <f t="shared" si="12"/>
        <v>0.63589390285911129</v>
      </c>
      <c r="S36" s="93">
        <f t="shared" si="13"/>
        <v>0.22935542324618172</v>
      </c>
      <c r="T36" s="93">
        <f t="shared" si="14"/>
        <v>1.021059349074665E-2</v>
      </c>
      <c r="U36" s="95">
        <f t="shared" si="15"/>
        <v>0.49204786820701446</v>
      </c>
      <c r="V36" s="92"/>
    </row>
    <row r="37" spans="1:22" x14ac:dyDescent="0.2">
      <c r="A37" s="5" t="s">
        <v>201</v>
      </c>
      <c r="B37" s="5">
        <v>3220</v>
      </c>
      <c r="C37" s="5">
        <v>3614</v>
      </c>
      <c r="D37" s="5">
        <v>4867</v>
      </c>
      <c r="E37" s="5">
        <v>4429</v>
      </c>
      <c r="F37" s="5">
        <v>5197</v>
      </c>
      <c r="G37" s="5">
        <v>5501</v>
      </c>
      <c r="H37" s="5">
        <v>6510</v>
      </c>
      <c r="I37" s="5">
        <v>6791</v>
      </c>
      <c r="J37" s="5">
        <v>7200</v>
      </c>
      <c r="K37" s="5">
        <v>7145</v>
      </c>
      <c r="L37" s="5">
        <v>7453</v>
      </c>
      <c r="M37" s="5">
        <v>8243</v>
      </c>
      <c r="N37" s="5">
        <v>8022</v>
      </c>
      <c r="O37" s="49">
        <v>7427</v>
      </c>
      <c r="P37" s="49">
        <v>9514</v>
      </c>
      <c r="Q37" s="49">
        <v>9421</v>
      </c>
      <c r="R37" s="70">
        <f t="shared" si="12"/>
        <v>0.44715821812596007</v>
      </c>
      <c r="S37" s="94">
        <f t="shared" si="13"/>
        <v>0.14290913502365643</v>
      </c>
      <c r="T37" s="94">
        <f t="shared" si="14"/>
        <v>-9.7750683203699819E-3</v>
      </c>
      <c r="U37" s="96">
        <f t="shared" si="15"/>
        <v>0.48805885095580998</v>
      </c>
    </row>
    <row r="38" spans="1:22" x14ac:dyDescent="0.2">
      <c r="A38" s="72" t="s">
        <v>82</v>
      </c>
      <c r="B38" s="72">
        <v>176</v>
      </c>
      <c r="C38" s="72">
        <v>187</v>
      </c>
      <c r="D38" s="72">
        <v>229</v>
      </c>
      <c r="E38" s="72">
        <v>219</v>
      </c>
      <c r="F38" s="72">
        <v>280</v>
      </c>
      <c r="G38" s="72">
        <v>364</v>
      </c>
      <c r="H38" s="22">
        <v>341</v>
      </c>
      <c r="I38" s="22">
        <v>332</v>
      </c>
      <c r="J38" s="22">
        <v>386</v>
      </c>
      <c r="K38" s="22">
        <v>417</v>
      </c>
      <c r="L38" s="22">
        <v>408</v>
      </c>
      <c r="M38" s="22">
        <v>473</v>
      </c>
      <c r="N38" s="22">
        <v>500</v>
      </c>
      <c r="O38" s="110">
        <v>436</v>
      </c>
      <c r="P38" s="110">
        <v>526</v>
      </c>
      <c r="Q38" s="110">
        <v>506</v>
      </c>
      <c r="R38" s="86">
        <f t="shared" si="12"/>
        <v>0.4838709677419355</v>
      </c>
      <c r="S38" s="93">
        <f t="shared" si="13"/>
        <v>6.9767441860465115E-2</v>
      </c>
      <c r="T38" s="93">
        <f t="shared" si="14"/>
        <v>-3.8022813688212927E-2</v>
      </c>
      <c r="U38" s="95">
        <f t="shared" si="15"/>
        <v>2.6213541936486555E-2</v>
      </c>
    </row>
    <row r="39" spans="1:22" x14ac:dyDescent="0.2">
      <c r="A39" s="72" t="s">
        <v>83</v>
      </c>
      <c r="B39" s="72">
        <v>3044</v>
      </c>
      <c r="C39" s="72">
        <v>3427</v>
      </c>
      <c r="D39" s="72">
        <v>4638</v>
      </c>
      <c r="E39" s="72">
        <v>4210</v>
      </c>
      <c r="F39" s="72">
        <v>4917</v>
      </c>
      <c r="G39" s="72">
        <v>5137</v>
      </c>
      <c r="H39" s="22">
        <v>6169</v>
      </c>
      <c r="I39" s="22">
        <v>6459</v>
      </c>
      <c r="J39" s="22">
        <v>6814</v>
      </c>
      <c r="K39" s="22">
        <v>6728</v>
      </c>
      <c r="L39" s="22">
        <v>7045</v>
      </c>
      <c r="M39" s="22">
        <v>7770</v>
      </c>
      <c r="N39" s="22">
        <v>7522</v>
      </c>
      <c r="O39" s="110">
        <v>6991</v>
      </c>
      <c r="P39" s="110">
        <v>8988</v>
      </c>
      <c r="Q39" s="110">
        <v>8915</v>
      </c>
      <c r="R39" s="86">
        <f t="shared" si="12"/>
        <v>0.44512887015723779</v>
      </c>
      <c r="S39" s="93">
        <f t="shared" si="13"/>
        <v>0.14736164736164736</v>
      </c>
      <c r="T39" s="93">
        <f t="shared" si="14"/>
        <v>-8.1219403649310188E-3</v>
      </c>
      <c r="U39" s="95">
        <f t="shared" si="15"/>
        <v>0.46184530901932341</v>
      </c>
    </row>
    <row r="40" spans="1:22" x14ac:dyDescent="0.2">
      <c r="A40" s="5" t="s">
        <v>4</v>
      </c>
      <c r="B40" s="5">
        <v>5481</v>
      </c>
      <c r="C40" s="5">
        <v>6239</v>
      </c>
      <c r="D40" s="5">
        <v>8606</v>
      </c>
      <c r="E40" s="5">
        <v>8088</v>
      </c>
      <c r="F40" s="5">
        <v>10011</v>
      </c>
      <c r="G40" s="5">
        <v>10589</v>
      </c>
      <c r="H40" s="5">
        <v>12609</v>
      </c>
      <c r="I40" s="5">
        <v>13002</v>
      </c>
      <c r="J40" s="5">
        <v>13983</v>
      </c>
      <c r="K40" s="5">
        <v>13977</v>
      </c>
      <c r="L40" s="5">
        <v>14810</v>
      </c>
      <c r="M40" s="5">
        <v>16328</v>
      </c>
      <c r="N40" s="5">
        <v>16184</v>
      </c>
      <c r="O40" s="5">
        <v>15241</v>
      </c>
      <c r="P40" s="5">
        <v>19296</v>
      </c>
      <c r="Q40" s="5">
        <v>19303</v>
      </c>
      <c r="R40" s="70">
        <f t="shared" si="12"/>
        <v>0.53089063367435962</v>
      </c>
      <c r="S40" s="94">
        <f t="shared" si="13"/>
        <v>0.18220235178833905</v>
      </c>
      <c r="T40" s="94">
        <f t="shared" si="14"/>
        <v>3.6276948590381424E-4</v>
      </c>
      <c r="U40" s="96">
        <f t="shared" si="15"/>
        <v>1</v>
      </c>
    </row>
    <row r="41" spans="1:22" x14ac:dyDescent="0.2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</row>
    <row r="42" spans="1:22" x14ac:dyDescent="0.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</row>
    <row r="43" spans="1:22" x14ac:dyDescent="0.2">
      <c r="A43" s="58" t="s">
        <v>230</v>
      </c>
      <c r="B43" s="58"/>
      <c r="C43" s="58"/>
      <c r="D43" s="58"/>
      <c r="E43" s="58"/>
      <c r="F43" s="58"/>
      <c r="G43" s="58"/>
      <c r="H43" s="32"/>
      <c r="I43" s="32"/>
      <c r="J43" s="32"/>
      <c r="K43" s="32"/>
      <c r="L43" s="56"/>
      <c r="M43" s="56"/>
      <c r="N43" s="56"/>
      <c r="O43" s="32"/>
      <c r="P43" s="32"/>
      <c r="Q43" s="32"/>
      <c r="R43" s="32"/>
      <c r="S43" s="32"/>
      <c r="T43" s="32"/>
      <c r="U43" s="32"/>
    </row>
    <row r="44" spans="1:22" x14ac:dyDescent="0.2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</row>
    <row r="45" spans="1:22" x14ac:dyDescent="0.2">
      <c r="A45" s="59" t="s">
        <v>21</v>
      </c>
      <c r="B45" s="59"/>
      <c r="C45" s="59"/>
      <c r="D45" s="59"/>
      <c r="E45" s="59"/>
      <c r="F45" s="59"/>
      <c r="G45" s="59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</row>
    <row r="46" spans="1:22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</row>
  </sheetData>
  <hyperlinks>
    <hyperlink ref="A45" location="Indice!A5" display="Volver al índice"/>
  </hyperlinks>
  <pageMargins left="0.7" right="0.7" top="0.75" bottom="0.75" header="0.3" footer="0.3"/>
  <pageSetup orientation="portrait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3"/>
  <sheetViews>
    <sheetView showGridLines="0" zoomScale="80" zoomScaleNormal="80" workbookViewId="0">
      <pane ySplit="2" topLeftCell="A3" activePane="bottomLeft" state="frozen"/>
      <selection pane="bottomLeft" activeCell="A3" sqref="A3"/>
    </sheetView>
  </sheetViews>
  <sheetFormatPr baseColWidth="10" defaultColWidth="10.85546875" defaultRowHeight="15" x14ac:dyDescent="0.25"/>
  <cols>
    <col min="1" max="1" width="32.85546875" style="41" customWidth="1"/>
    <col min="2" max="5" width="20.85546875" style="41" customWidth="1"/>
    <col min="6" max="16384" width="10.85546875" style="2"/>
  </cols>
  <sheetData>
    <row r="1" spans="1:6" ht="21" x14ac:dyDescent="0.25">
      <c r="A1" s="74" t="s">
        <v>393</v>
      </c>
      <c r="B1" s="37"/>
      <c r="C1" s="37"/>
      <c r="D1" s="37"/>
      <c r="E1" s="37"/>
    </row>
    <row r="2" spans="1:6" ht="24" customHeight="1" x14ac:dyDescent="0.25">
      <c r="A2" s="52"/>
      <c r="B2" s="37"/>
      <c r="C2" s="37"/>
      <c r="D2" s="37"/>
      <c r="E2" s="37"/>
    </row>
    <row r="3" spans="1:6" x14ac:dyDescent="0.25">
      <c r="A3" s="37"/>
      <c r="B3" s="37"/>
      <c r="C3" s="37"/>
      <c r="D3" s="37"/>
      <c r="E3" s="37"/>
    </row>
    <row r="4" spans="1:6" ht="15.75" x14ac:dyDescent="0.25">
      <c r="A4" s="43" t="s">
        <v>394</v>
      </c>
      <c r="B4" s="37"/>
      <c r="C4" s="37"/>
      <c r="D4" s="37"/>
      <c r="E4" s="37"/>
    </row>
    <row r="5" spans="1:6" ht="27.95" customHeight="1" x14ac:dyDescent="0.25">
      <c r="A5" s="44" t="s">
        <v>227</v>
      </c>
      <c r="B5" s="38" t="s">
        <v>86</v>
      </c>
      <c r="C5" s="38" t="s">
        <v>3</v>
      </c>
      <c r="D5" s="38" t="s">
        <v>252</v>
      </c>
      <c r="E5" s="38" t="s">
        <v>8</v>
      </c>
    </row>
    <row r="6" spans="1:6" x14ac:dyDescent="0.25">
      <c r="A6" s="45" t="s">
        <v>5</v>
      </c>
      <c r="B6" s="34">
        <v>0</v>
      </c>
      <c r="C6" s="34">
        <v>0</v>
      </c>
      <c r="D6" s="34">
        <v>9</v>
      </c>
      <c r="E6" s="34">
        <v>9</v>
      </c>
      <c r="F6" s="143"/>
    </row>
    <row r="7" spans="1:6" x14ac:dyDescent="0.25">
      <c r="A7" s="45" t="s">
        <v>6</v>
      </c>
      <c r="B7" s="34">
        <v>0</v>
      </c>
      <c r="C7" s="34">
        <v>538</v>
      </c>
      <c r="D7" s="34">
        <v>656</v>
      </c>
      <c r="E7" s="34">
        <v>1194</v>
      </c>
      <c r="F7" s="143"/>
    </row>
    <row r="8" spans="1:6" x14ac:dyDescent="0.25">
      <c r="A8" s="45" t="s">
        <v>7</v>
      </c>
      <c r="B8" s="34">
        <v>2188</v>
      </c>
      <c r="C8" s="34">
        <v>2890</v>
      </c>
      <c r="D8" s="34">
        <v>39381</v>
      </c>
      <c r="E8" s="34">
        <v>44459</v>
      </c>
      <c r="F8" s="143"/>
    </row>
    <row r="9" spans="1:6" x14ac:dyDescent="0.25">
      <c r="A9" s="46" t="s">
        <v>4</v>
      </c>
      <c r="B9" s="35">
        <v>2188</v>
      </c>
      <c r="C9" s="35">
        <v>3428</v>
      </c>
      <c r="D9" s="35">
        <v>40046</v>
      </c>
      <c r="E9" s="35">
        <v>45662</v>
      </c>
    </row>
    <row r="10" spans="1:6" x14ac:dyDescent="0.25">
      <c r="A10" s="51"/>
      <c r="B10" s="51"/>
      <c r="C10" s="51"/>
      <c r="D10" s="51"/>
      <c r="E10" s="51"/>
    </row>
    <row r="11" spans="1:6" ht="15.75" x14ac:dyDescent="0.25">
      <c r="A11" s="43" t="s">
        <v>395</v>
      </c>
      <c r="B11" s="37"/>
      <c r="C11" s="37"/>
      <c r="D11" s="37"/>
      <c r="E11" s="37"/>
    </row>
    <row r="12" spans="1:6" ht="27.95" customHeight="1" x14ac:dyDescent="0.25">
      <c r="A12" s="44" t="s">
        <v>219</v>
      </c>
      <c r="B12" s="38" t="s">
        <v>86</v>
      </c>
      <c r="C12" s="38" t="s">
        <v>3</v>
      </c>
      <c r="D12" s="38" t="s">
        <v>235</v>
      </c>
      <c r="E12" s="38" t="s">
        <v>8</v>
      </c>
    </row>
    <row r="13" spans="1:6" x14ac:dyDescent="0.25">
      <c r="A13" s="45" t="s">
        <v>396</v>
      </c>
      <c r="B13" s="34">
        <v>1150</v>
      </c>
      <c r="C13" s="34">
        <v>2463</v>
      </c>
      <c r="D13" s="34">
        <v>23641</v>
      </c>
      <c r="E13" s="34">
        <v>27254</v>
      </c>
      <c r="F13" s="13"/>
    </row>
    <row r="14" spans="1:6" x14ac:dyDescent="0.25">
      <c r="A14" s="45" t="s">
        <v>397</v>
      </c>
      <c r="B14" s="34">
        <v>1038</v>
      </c>
      <c r="C14" s="34">
        <v>965</v>
      </c>
      <c r="D14" s="34">
        <v>16405</v>
      </c>
      <c r="E14" s="34">
        <v>18408</v>
      </c>
      <c r="F14" s="13"/>
    </row>
    <row r="15" spans="1:6" x14ac:dyDescent="0.25">
      <c r="A15" s="46" t="s">
        <v>411</v>
      </c>
      <c r="B15" s="35">
        <v>2188</v>
      </c>
      <c r="C15" s="35">
        <v>3428</v>
      </c>
      <c r="D15" s="35">
        <v>40046</v>
      </c>
      <c r="E15" s="35">
        <v>45662</v>
      </c>
    </row>
    <row r="16" spans="1:6" x14ac:dyDescent="0.25">
      <c r="A16" s="37"/>
      <c r="B16" s="37"/>
      <c r="C16" s="37"/>
      <c r="D16" s="37"/>
      <c r="E16" s="37"/>
    </row>
    <row r="17" spans="1:6" ht="15.75" x14ac:dyDescent="0.25">
      <c r="A17" s="43" t="s">
        <v>398</v>
      </c>
      <c r="B17" s="37"/>
      <c r="C17" s="37"/>
      <c r="D17" s="37"/>
      <c r="E17" s="37"/>
    </row>
    <row r="18" spans="1:6" ht="27.95" customHeight="1" x14ac:dyDescent="0.25">
      <c r="A18" s="47" t="s">
        <v>25</v>
      </c>
      <c r="B18" s="38" t="s">
        <v>86</v>
      </c>
      <c r="C18" s="38" t="s">
        <v>3</v>
      </c>
      <c r="D18" s="38" t="s">
        <v>235</v>
      </c>
      <c r="E18" s="38" t="s">
        <v>8</v>
      </c>
    </row>
    <row r="19" spans="1:6" x14ac:dyDescent="0.25">
      <c r="A19" s="48" t="s">
        <v>26</v>
      </c>
      <c r="B19" s="53">
        <v>0</v>
      </c>
      <c r="C19" s="53">
        <v>32</v>
      </c>
      <c r="D19" s="53">
        <v>58</v>
      </c>
      <c r="E19" s="53">
        <v>90</v>
      </c>
    </row>
    <row r="20" spans="1:6" x14ac:dyDescent="0.25">
      <c r="A20" s="48" t="s">
        <v>27</v>
      </c>
      <c r="B20" s="53">
        <v>1</v>
      </c>
      <c r="C20" s="53">
        <v>95</v>
      </c>
      <c r="D20" s="53">
        <v>1471</v>
      </c>
      <c r="E20" s="53">
        <v>1567</v>
      </c>
    </row>
    <row r="21" spans="1:6" x14ac:dyDescent="0.25">
      <c r="A21" s="48" t="s">
        <v>28</v>
      </c>
      <c r="B21" s="53">
        <v>450</v>
      </c>
      <c r="C21" s="53">
        <v>764</v>
      </c>
      <c r="D21" s="53">
        <v>9833</v>
      </c>
      <c r="E21" s="53">
        <v>11047</v>
      </c>
    </row>
    <row r="22" spans="1:6" x14ac:dyDescent="0.25">
      <c r="A22" s="48" t="s">
        <v>29</v>
      </c>
      <c r="B22" s="53">
        <v>1087</v>
      </c>
      <c r="C22" s="53">
        <v>888</v>
      </c>
      <c r="D22" s="53">
        <v>10508</v>
      </c>
      <c r="E22" s="53">
        <v>12483</v>
      </c>
    </row>
    <row r="23" spans="1:6" x14ac:dyDescent="0.25">
      <c r="A23" s="48" t="s">
        <v>30</v>
      </c>
      <c r="B23" s="53">
        <v>512</v>
      </c>
      <c r="C23" s="53">
        <v>639</v>
      </c>
      <c r="D23" s="53">
        <v>7056</v>
      </c>
      <c r="E23" s="53">
        <v>8207</v>
      </c>
    </row>
    <row r="24" spans="1:6" x14ac:dyDescent="0.25">
      <c r="A24" s="48" t="s">
        <v>31</v>
      </c>
      <c r="B24" s="53">
        <v>138</v>
      </c>
      <c r="C24" s="53">
        <v>1008</v>
      </c>
      <c r="D24" s="53">
        <v>11104</v>
      </c>
      <c r="E24" s="53">
        <v>12250</v>
      </c>
    </row>
    <row r="25" spans="1:6" x14ac:dyDescent="0.25">
      <c r="A25" s="48" t="s">
        <v>88</v>
      </c>
      <c r="B25" s="53">
        <v>0</v>
      </c>
      <c r="C25" s="53">
        <v>2</v>
      </c>
      <c r="D25" s="53">
        <v>16</v>
      </c>
      <c r="E25" s="53">
        <v>18</v>
      </c>
    </row>
    <row r="26" spans="1:6" x14ac:dyDescent="0.25">
      <c r="A26" s="49" t="s">
        <v>4</v>
      </c>
      <c r="B26" s="54">
        <v>2188</v>
      </c>
      <c r="C26" s="54">
        <v>3428</v>
      </c>
      <c r="D26" s="54">
        <v>40046</v>
      </c>
      <c r="E26" s="54">
        <v>45662</v>
      </c>
    </row>
    <row r="27" spans="1:6" x14ac:dyDescent="0.25">
      <c r="A27" s="50" t="s">
        <v>34</v>
      </c>
      <c r="B27" s="81">
        <v>32.97733089579522</v>
      </c>
      <c r="C27" s="81">
        <v>35.929743140688856</v>
      </c>
      <c r="D27" s="81">
        <v>35.439323007744186</v>
      </c>
      <c r="E27" s="81">
        <v>35.358114976776797</v>
      </c>
    </row>
    <row r="28" spans="1:6" x14ac:dyDescent="0.25">
      <c r="A28" s="37"/>
      <c r="B28" s="2"/>
      <c r="C28" s="2"/>
      <c r="D28" s="2"/>
      <c r="E28" s="2"/>
    </row>
    <row r="29" spans="1:6" ht="15.75" x14ac:dyDescent="0.25">
      <c r="A29" s="43" t="s">
        <v>399</v>
      </c>
      <c r="B29" s="37"/>
      <c r="C29" s="37"/>
      <c r="D29" s="37"/>
      <c r="E29" s="37"/>
    </row>
    <row r="30" spans="1:6" ht="27.95" customHeight="1" x14ac:dyDescent="0.25">
      <c r="A30" s="47" t="s">
        <v>10</v>
      </c>
      <c r="B30" s="38" t="s">
        <v>86</v>
      </c>
      <c r="C30" s="38" t="s">
        <v>3</v>
      </c>
      <c r="D30" s="38" t="s">
        <v>235</v>
      </c>
      <c r="E30" s="38" t="s">
        <v>8</v>
      </c>
    </row>
    <row r="31" spans="1:6" x14ac:dyDescent="0.25">
      <c r="A31" s="48" t="s">
        <v>11</v>
      </c>
      <c r="B31" s="34">
        <v>0</v>
      </c>
      <c r="C31" s="34">
        <v>49</v>
      </c>
      <c r="D31" s="34">
        <v>11599</v>
      </c>
      <c r="E31" s="34">
        <v>11648</v>
      </c>
      <c r="F31" s="13"/>
    </row>
    <row r="32" spans="1:6" x14ac:dyDescent="0.25">
      <c r="A32" s="48" t="s">
        <v>12</v>
      </c>
      <c r="B32" s="34">
        <v>0</v>
      </c>
      <c r="C32" s="34">
        <v>22</v>
      </c>
      <c r="D32" s="34">
        <v>414</v>
      </c>
      <c r="E32" s="34">
        <v>436</v>
      </c>
      <c r="F32" s="13"/>
    </row>
    <row r="33" spans="1:6" x14ac:dyDescent="0.25">
      <c r="A33" s="48" t="s">
        <v>13</v>
      </c>
      <c r="B33" s="34">
        <v>0</v>
      </c>
      <c r="C33" s="34">
        <v>28</v>
      </c>
      <c r="D33" s="34">
        <v>959</v>
      </c>
      <c r="E33" s="34">
        <v>987</v>
      </c>
      <c r="F33" s="13"/>
    </row>
    <row r="34" spans="1:6" x14ac:dyDescent="0.25">
      <c r="A34" s="48" t="s">
        <v>14</v>
      </c>
      <c r="B34" s="34">
        <v>0</v>
      </c>
      <c r="C34" s="34">
        <v>11</v>
      </c>
      <c r="D34" s="34">
        <v>1676</v>
      </c>
      <c r="E34" s="34">
        <v>1687</v>
      </c>
      <c r="F34" s="13"/>
    </row>
    <row r="35" spans="1:6" x14ac:dyDescent="0.25">
      <c r="A35" s="48" t="s">
        <v>15</v>
      </c>
      <c r="B35" s="34">
        <v>0</v>
      </c>
      <c r="C35" s="34">
        <v>314</v>
      </c>
      <c r="D35" s="34">
        <v>4889</v>
      </c>
      <c r="E35" s="34">
        <v>5203</v>
      </c>
      <c r="F35" s="13"/>
    </row>
    <row r="36" spans="1:6" x14ac:dyDescent="0.25">
      <c r="A36" s="48" t="s">
        <v>16</v>
      </c>
      <c r="B36" s="34">
        <v>0</v>
      </c>
      <c r="C36" s="34">
        <v>629</v>
      </c>
      <c r="D36" s="34">
        <v>3483</v>
      </c>
      <c r="E36" s="34">
        <v>4112</v>
      </c>
      <c r="F36" s="13"/>
    </row>
    <row r="37" spans="1:6" x14ac:dyDescent="0.25">
      <c r="A37" s="48" t="s">
        <v>17</v>
      </c>
      <c r="B37" s="34">
        <v>0</v>
      </c>
      <c r="C37" s="34">
        <v>1906</v>
      </c>
      <c r="D37" s="34">
        <v>5423</v>
      </c>
      <c r="E37" s="34">
        <v>7329</v>
      </c>
      <c r="F37" s="13"/>
    </row>
    <row r="38" spans="1:6" x14ac:dyDescent="0.25">
      <c r="A38" s="48" t="s">
        <v>18</v>
      </c>
      <c r="B38" s="34">
        <v>0</v>
      </c>
      <c r="C38" s="34">
        <v>7</v>
      </c>
      <c r="D38" s="34">
        <v>656</v>
      </c>
      <c r="E38" s="34">
        <v>663</v>
      </c>
      <c r="F38" s="13"/>
    </row>
    <row r="39" spans="1:6" x14ac:dyDescent="0.25">
      <c r="A39" s="48" t="s">
        <v>19</v>
      </c>
      <c r="B39" s="34">
        <v>2188</v>
      </c>
      <c r="C39" s="34">
        <v>414</v>
      </c>
      <c r="D39" s="34">
        <v>8428</v>
      </c>
      <c r="E39" s="34">
        <v>11030</v>
      </c>
      <c r="F39" s="13"/>
    </row>
    <row r="40" spans="1:6" x14ac:dyDescent="0.25">
      <c r="A40" s="48" t="s">
        <v>20</v>
      </c>
      <c r="B40" s="34">
        <v>0</v>
      </c>
      <c r="C40" s="34">
        <v>48</v>
      </c>
      <c r="D40" s="34">
        <v>2519</v>
      </c>
      <c r="E40" s="34">
        <v>2567</v>
      </c>
      <c r="F40" s="13"/>
    </row>
    <row r="41" spans="1:6" x14ac:dyDescent="0.25">
      <c r="A41" s="49" t="s">
        <v>4</v>
      </c>
      <c r="B41" s="35">
        <v>2188</v>
      </c>
      <c r="C41" s="35">
        <v>3428</v>
      </c>
      <c r="D41" s="35">
        <v>40046</v>
      </c>
      <c r="E41" s="35">
        <v>45662</v>
      </c>
      <c r="F41" s="13"/>
    </row>
    <row r="42" spans="1:6" x14ac:dyDescent="0.25">
      <c r="A42" s="37"/>
      <c r="B42" s="37"/>
      <c r="C42" s="37"/>
      <c r="D42" s="37"/>
      <c r="E42" s="37"/>
    </row>
    <row r="43" spans="1:6" ht="15.75" x14ac:dyDescent="0.25">
      <c r="A43" s="43" t="s">
        <v>400</v>
      </c>
      <c r="B43" s="37"/>
      <c r="C43" s="37"/>
      <c r="D43" s="37"/>
      <c r="E43" s="37"/>
    </row>
    <row r="44" spans="1:6" ht="27.95" customHeight="1" x14ac:dyDescent="0.25">
      <c r="A44" s="47" t="s">
        <v>40</v>
      </c>
      <c r="B44" s="38" t="s">
        <v>86</v>
      </c>
      <c r="C44" s="38" t="s">
        <v>3</v>
      </c>
      <c r="D44" s="38" t="s">
        <v>235</v>
      </c>
      <c r="E44" s="38" t="s">
        <v>8</v>
      </c>
    </row>
    <row r="45" spans="1:6" x14ac:dyDescent="0.25">
      <c r="A45" s="48" t="s">
        <v>41</v>
      </c>
      <c r="B45" s="34">
        <v>1966</v>
      </c>
      <c r="C45" s="34">
        <v>542</v>
      </c>
      <c r="D45" s="34">
        <v>5733</v>
      </c>
      <c r="E45" s="34">
        <v>8241</v>
      </c>
    </row>
    <row r="46" spans="1:6" x14ac:dyDescent="0.25">
      <c r="A46" s="48" t="s">
        <v>42</v>
      </c>
      <c r="B46" s="34">
        <v>101</v>
      </c>
      <c r="C46" s="34">
        <v>1155</v>
      </c>
      <c r="D46" s="34">
        <v>10160</v>
      </c>
      <c r="E46" s="34">
        <v>11416</v>
      </c>
    </row>
    <row r="47" spans="1:6" x14ac:dyDescent="0.25">
      <c r="A47" s="48" t="s">
        <v>221</v>
      </c>
      <c r="B47" s="34">
        <v>14</v>
      </c>
      <c r="C47" s="34">
        <v>351</v>
      </c>
      <c r="D47" s="34">
        <v>5757</v>
      </c>
      <c r="E47" s="34">
        <v>6122</v>
      </c>
    </row>
    <row r="48" spans="1:6" x14ac:dyDescent="0.25">
      <c r="A48" s="48" t="s">
        <v>224</v>
      </c>
      <c r="B48" s="34"/>
      <c r="C48" s="34">
        <v>1267</v>
      </c>
      <c r="D48" s="34">
        <v>17663</v>
      </c>
      <c r="E48" s="34">
        <v>18930</v>
      </c>
    </row>
    <row r="49" spans="1:5" x14ac:dyDescent="0.25">
      <c r="A49" s="48" t="s">
        <v>43</v>
      </c>
      <c r="B49" s="34">
        <v>107</v>
      </c>
      <c r="C49" s="34">
        <v>113</v>
      </c>
      <c r="D49" s="34">
        <v>733</v>
      </c>
      <c r="E49" s="34">
        <v>953</v>
      </c>
    </row>
    <row r="50" spans="1:5" x14ac:dyDescent="0.25">
      <c r="A50" s="49" t="s">
        <v>4</v>
      </c>
      <c r="B50" s="35">
        <v>2188</v>
      </c>
      <c r="C50" s="35">
        <v>3428</v>
      </c>
      <c r="D50" s="35">
        <v>40046</v>
      </c>
      <c r="E50" s="35">
        <v>45662</v>
      </c>
    </row>
    <row r="51" spans="1:5" x14ac:dyDescent="0.25">
      <c r="A51" s="37"/>
      <c r="B51" s="37"/>
      <c r="C51" s="37"/>
      <c r="D51" s="37"/>
      <c r="E51" s="37"/>
    </row>
    <row r="52" spans="1:5" ht="15.75" x14ac:dyDescent="0.25">
      <c r="A52" s="43" t="s">
        <v>401</v>
      </c>
      <c r="B52" s="37"/>
      <c r="C52" s="37"/>
      <c r="D52" s="37"/>
      <c r="E52" s="37"/>
    </row>
    <row r="53" spans="1:5" ht="27.95" customHeight="1" x14ac:dyDescent="0.25">
      <c r="A53" s="47" t="s">
        <v>9</v>
      </c>
      <c r="B53" s="38" t="s">
        <v>86</v>
      </c>
      <c r="C53" s="38" t="s">
        <v>3</v>
      </c>
      <c r="D53" s="38" t="s">
        <v>235</v>
      </c>
      <c r="E53" s="38" t="s">
        <v>8</v>
      </c>
    </row>
    <row r="54" spans="1:5" x14ac:dyDescent="0.25">
      <c r="A54" s="48" t="s">
        <v>237</v>
      </c>
      <c r="B54" s="34">
        <v>0</v>
      </c>
      <c r="C54" s="34">
        <v>1</v>
      </c>
      <c r="D54" s="34">
        <v>0</v>
      </c>
      <c r="E54" s="34">
        <v>1</v>
      </c>
    </row>
    <row r="55" spans="1:5" x14ac:dyDescent="0.25">
      <c r="A55" s="48" t="s">
        <v>238</v>
      </c>
      <c r="B55" s="122">
        <v>0</v>
      </c>
      <c r="C55" s="122">
        <v>0</v>
      </c>
      <c r="D55" s="122">
        <v>0</v>
      </c>
      <c r="E55" s="122">
        <v>0</v>
      </c>
    </row>
    <row r="56" spans="1:5" x14ac:dyDescent="0.25">
      <c r="A56" s="48" t="s">
        <v>239</v>
      </c>
      <c r="B56" s="122">
        <v>7</v>
      </c>
      <c r="C56" s="122">
        <v>9</v>
      </c>
      <c r="D56" s="122">
        <v>129</v>
      </c>
      <c r="E56" s="122">
        <v>145</v>
      </c>
    </row>
    <row r="57" spans="1:5" x14ac:dyDescent="0.25">
      <c r="A57" s="48" t="s">
        <v>240</v>
      </c>
      <c r="B57" s="34">
        <v>0</v>
      </c>
      <c r="C57" s="34">
        <v>3</v>
      </c>
      <c r="D57" s="34">
        <v>39</v>
      </c>
      <c r="E57" s="34">
        <v>42</v>
      </c>
    </row>
    <row r="58" spans="1:5" x14ac:dyDescent="0.25">
      <c r="A58" s="48" t="s">
        <v>241</v>
      </c>
      <c r="B58" s="34">
        <v>16</v>
      </c>
      <c r="C58" s="34">
        <v>33</v>
      </c>
      <c r="D58" s="34">
        <v>276</v>
      </c>
      <c r="E58" s="34">
        <v>325</v>
      </c>
    </row>
    <row r="59" spans="1:5" x14ac:dyDescent="0.25">
      <c r="A59" s="48" t="s">
        <v>242</v>
      </c>
      <c r="B59" s="34">
        <v>158</v>
      </c>
      <c r="C59" s="34">
        <v>173</v>
      </c>
      <c r="D59" s="34">
        <v>594</v>
      </c>
      <c r="E59" s="34">
        <v>925</v>
      </c>
    </row>
    <row r="60" spans="1:5" x14ac:dyDescent="0.25">
      <c r="A60" s="78" t="s">
        <v>253</v>
      </c>
      <c r="B60" s="34">
        <v>1535</v>
      </c>
      <c r="C60" s="34">
        <v>2872</v>
      </c>
      <c r="D60" s="34">
        <v>33770</v>
      </c>
      <c r="E60" s="34">
        <v>38177</v>
      </c>
    </row>
    <row r="61" spans="1:5" x14ac:dyDescent="0.25">
      <c r="A61" s="78" t="s">
        <v>283</v>
      </c>
      <c r="B61" s="122">
        <v>0</v>
      </c>
      <c r="C61" s="122">
        <v>0</v>
      </c>
      <c r="D61" s="122">
        <v>0</v>
      </c>
      <c r="E61" s="122">
        <v>0</v>
      </c>
    </row>
    <row r="62" spans="1:5" x14ac:dyDescent="0.25">
      <c r="A62" s="48" t="s">
        <v>243</v>
      </c>
      <c r="B62" s="34">
        <v>42</v>
      </c>
      <c r="C62" s="34">
        <v>10</v>
      </c>
      <c r="D62" s="34">
        <v>317</v>
      </c>
      <c r="E62" s="34">
        <v>369</v>
      </c>
    </row>
    <row r="63" spans="1:5" x14ac:dyDescent="0.25">
      <c r="A63" s="48" t="s">
        <v>256</v>
      </c>
      <c r="B63" s="122">
        <v>0</v>
      </c>
      <c r="C63" s="122">
        <v>50</v>
      </c>
      <c r="D63" s="122">
        <v>92</v>
      </c>
      <c r="E63" s="122">
        <v>142</v>
      </c>
    </row>
    <row r="64" spans="1:5" x14ac:dyDescent="0.25">
      <c r="A64" s="48" t="s">
        <v>244</v>
      </c>
      <c r="B64" s="34">
        <v>286</v>
      </c>
      <c r="C64" s="34">
        <v>175</v>
      </c>
      <c r="D64" s="34">
        <v>1443</v>
      </c>
      <c r="E64" s="34">
        <v>1904</v>
      </c>
    </row>
    <row r="65" spans="1:5" x14ac:dyDescent="0.25">
      <c r="A65" s="48" t="s">
        <v>245</v>
      </c>
      <c r="B65" s="34">
        <v>86</v>
      </c>
      <c r="C65" s="34">
        <v>56</v>
      </c>
      <c r="D65" s="34">
        <v>3095</v>
      </c>
      <c r="E65" s="34">
        <v>3237</v>
      </c>
    </row>
    <row r="66" spans="1:5" x14ac:dyDescent="0.25">
      <c r="A66" s="48" t="s">
        <v>246</v>
      </c>
      <c r="B66" s="34">
        <v>43</v>
      </c>
      <c r="C66" s="34">
        <v>22</v>
      </c>
      <c r="D66" s="34">
        <v>201</v>
      </c>
      <c r="E66" s="34">
        <v>266</v>
      </c>
    </row>
    <row r="67" spans="1:5" x14ac:dyDescent="0.25">
      <c r="A67" s="48" t="s">
        <v>247</v>
      </c>
      <c r="B67" s="34">
        <v>15</v>
      </c>
      <c r="C67" s="34">
        <v>24</v>
      </c>
      <c r="D67" s="34">
        <v>90</v>
      </c>
      <c r="E67" s="34">
        <v>129</v>
      </c>
    </row>
    <row r="68" spans="1:5" x14ac:dyDescent="0.25">
      <c r="A68" s="48" t="s">
        <v>248</v>
      </c>
      <c r="B68" s="34">
        <v>0</v>
      </c>
      <c r="C68" s="34">
        <v>0</v>
      </c>
      <c r="D68" s="34">
        <v>0</v>
      </c>
      <c r="E68" s="34">
        <v>0</v>
      </c>
    </row>
    <row r="69" spans="1:5" x14ac:dyDescent="0.25">
      <c r="A69" s="48" t="s">
        <v>250</v>
      </c>
      <c r="B69" s="34">
        <v>0</v>
      </c>
      <c r="C69" s="34">
        <v>0</v>
      </c>
      <c r="D69" s="34">
        <v>0</v>
      </c>
      <c r="E69" s="34">
        <v>0</v>
      </c>
    </row>
    <row r="70" spans="1:5" x14ac:dyDescent="0.25">
      <c r="A70" s="49" t="s">
        <v>4</v>
      </c>
      <c r="B70" s="35">
        <v>2188</v>
      </c>
      <c r="C70" s="35">
        <v>3428</v>
      </c>
      <c r="D70" s="35">
        <v>40046</v>
      </c>
      <c r="E70" s="35">
        <v>45662</v>
      </c>
    </row>
    <row r="71" spans="1:5" x14ac:dyDescent="0.25">
      <c r="A71" s="36"/>
      <c r="B71" s="36"/>
      <c r="C71" s="36"/>
      <c r="D71" s="36"/>
      <c r="E71" s="37"/>
    </row>
    <row r="72" spans="1:5" ht="15.75" x14ac:dyDescent="0.25">
      <c r="A72" s="43" t="s">
        <v>402</v>
      </c>
      <c r="B72" s="37"/>
      <c r="C72" s="37"/>
      <c r="D72" s="37"/>
      <c r="E72" s="37"/>
    </row>
    <row r="73" spans="1:5" x14ac:dyDescent="0.25">
      <c r="A73" s="50" t="s">
        <v>10</v>
      </c>
      <c r="B73" s="38" t="s">
        <v>200</v>
      </c>
      <c r="C73" s="38" t="s">
        <v>201</v>
      </c>
      <c r="D73" s="38" t="s">
        <v>8</v>
      </c>
      <c r="E73" s="37"/>
    </row>
    <row r="74" spans="1:5" x14ac:dyDescent="0.25">
      <c r="A74" s="48" t="s">
        <v>11</v>
      </c>
      <c r="B74" s="39">
        <v>6056</v>
      </c>
      <c r="C74" s="39">
        <v>5592</v>
      </c>
      <c r="D74" s="39">
        <v>11648</v>
      </c>
      <c r="E74" s="37"/>
    </row>
    <row r="75" spans="1:5" x14ac:dyDescent="0.25">
      <c r="A75" s="78" t="s">
        <v>12</v>
      </c>
      <c r="B75" s="39">
        <v>224</v>
      </c>
      <c r="C75" s="39">
        <v>212</v>
      </c>
      <c r="D75" s="39">
        <v>436</v>
      </c>
      <c r="E75" s="37"/>
    </row>
    <row r="76" spans="1:5" x14ac:dyDescent="0.25">
      <c r="A76" s="78" t="s">
        <v>13</v>
      </c>
      <c r="B76" s="39">
        <v>544</v>
      </c>
      <c r="C76" s="39">
        <v>443</v>
      </c>
      <c r="D76" s="39">
        <v>987</v>
      </c>
      <c r="E76" s="37"/>
    </row>
    <row r="77" spans="1:5" x14ac:dyDescent="0.25">
      <c r="A77" s="78" t="s">
        <v>14</v>
      </c>
      <c r="B77" s="39">
        <v>574</v>
      </c>
      <c r="C77" s="39">
        <v>1113</v>
      </c>
      <c r="D77" s="39">
        <v>1687</v>
      </c>
      <c r="E77" s="37"/>
    </row>
    <row r="78" spans="1:5" x14ac:dyDescent="0.25">
      <c r="A78" s="78" t="s">
        <v>15</v>
      </c>
      <c r="B78" s="39">
        <v>3552</v>
      </c>
      <c r="C78" s="39">
        <v>1651</v>
      </c>
      <c r="D78" s="39">
        <v>5203</v>
      </c>
      <c r="E78" s="37"/>
    </row>
    <row r="79" spans="1:5" x14ac:dyDescent="0.25">
      <c r="A79" s="78" t="s">
        <v>16</v>
      </c>
      <c r="B79" s="39">
        <v>2129</v>
      </c>
      <c r="C79" s="39">
        <v>1983</v>
      </c>
      <c r="D79" s="39">
        <v>4112</v>
      </c>
      <c r="E79" s="37"/>
    </row>
    <row r="80" spans="1:5" x14ac:dyDescent="0.25">
      <c r="A80" s="78" t="s">
        <v>17</v>
      </c>
      <c r="B80" s="39">
        <v>5543</v>
      </c>
      <c r="C80" s="39">
        <v>1786</v>
      </c>
      <c r="D80" s="39">
        <v>7329</v>
      </c>
      <c r="E80" s="37"/>
    </row>
    <row r="81" spans="1:5" x14ac:dyDescent="0.25">
      <c r="A81" s="78" t="s">
        <v>18</v>
      </c>
      <c r="B81" s="39">
        <v>366</v>
      </c>
      <c r="C81" s="39">
        <v>297</v>
      </c>
      <c r="D81" s="39">
        <v>663</v>
      </c>
      <c r="E81" s="37"/>
    </row>
    <row r="82" spans="1:5" x14ac:dyDescent="0.25">
      <c r="A82" s="78" t="s">
        <v>19</v>
      </c>
      <c r="B82" s="39">
        <v>7441</v>
      </c>
      <c r="C82" s="39">
        <v>3589</v>
      </c>
      <c r="D82" s="39">
        <v>11030</v>
      </c>
      <c r="E82" s="37"/>
    </row>
    <row r="83" spans="1:5" x14ac:dyDescent="0.25">
      <c r="A83" s="78" t="s">
        <v>20</v>
      </c>
      <c r="B83" s="39">
        <v>825</v>
      </c>
      <c r="C83" s="39">
        <v>1742</v>
      </c>
      <c r="D83" s="39">
        <v>2567</v>
      </c>
      <c r="E83" s="37"/>
    </row>
    <row r="84" spans="1:5" x14ac:dyDescent="0.25">
      <c r="A84" s="49" t="s">
        <v>251</v>
      </c>
      <c r="B84" s="40">
        <v>27254</v>
      </c>
      <c r="C84" s="40">
        <v>18408</v>
      </c>
      <c r="D84" s="40">
        <v>45662</v>
      </c>
      <c r="E84" s="37"/>
    </row>
    <row r="85" spans="1:5" x14ac:dyDescent="0.25">
      <c r="A85" s="37"/>
      <c r="B85" s="37"/>
      <c r="C85" s="37"/>
      <c r="D85" s="37"/>
      <c r="E85" s="37"/>
    </row>
    <row r="86" spans="1:5" ht="15.75" x14ac:dyDescent="0.25">
      <c r="A86" s="43" t="s">
        <v>403</v>
      </c>
      <c r="B86" s="37"/>
      <c r="C86" s="37"/>
      <c r="D86" s="37"/>
      <c r="E86" s="37"/>
    </row>
    <row r="87" spans="1:5" x14ac:dyDescent="0.25">
      <c r="A87" s="50" t="s">
        <v>9</v>
      </c>
      <c r="B87" s="38" t="s">
        <v>200</v>
      </c>
      <c r="C87" s="38" t="s">
        <v>201</v>
      </c>
      <c r="D87" s="38" t="s">
        <v>8</v>
      </c>
      <c r="E87" s="37"/>
    </row>
    <row r="88" spans="1:5" x14ac:dyDescent="0.25">
      <c r="A88" s="48" t="s">
        <v>237</v>
      </c>
      <c r="B88" s="121">
        <v>1</v>
      </c>
      <c r="C88" s="39">
        <v>0</v>
      </c>
      <c r="D88" s="39">
        <v>1</v>
      </c>
      <c r="E88" s="37"/>
    </row>
    <row r="89" spans="1:5" x14ac:dyDescent="0.25">
      <c r="A89" s="48" t="s">
        <v>238</v>
      </c>
      <c r="B89" s="39">
        <v>0</v>
      </c>
      <c r="C89" s="39">
        <v>0</v>
      </c>
      <c r="D89" s="39">
        <v>0</v>
      </c>
      <c r="E89" s="37"/>
    </row>
    <row r="90" spans="1:5" x14ac:dyDescent="0.25">
      <c r="A90" s="48" t="s">
        <v>239</v>
      </c>
      <c r="B90" s="39">
        <v>90</v>
      </c>
      <c r="C90" s="39">
        <v>55</v>
      </c>
      <c r="D90" s="39">
        <v>145</v>
      </c>
      <c r="E90" s="37"/>
    </row>
    <row r="91" spans="1:5" x14ac:dyDescent="0.25">
      <c r="A91" s="48" t="s">
        <v>240</v>
      </c>
      <c r="B91" s="39">
        <v>24</v>
      </c>
      <c r="C91" s="39">
        <v>18</v>
      </c>
      <c r="D91" s="39">
        <v>42</v>
      </c>
      <c r="E91" s="37"/>
    </row>
    <row r="92" spans="1:5" x14ac:dyDescent="0.25">
      <c r="A92" s="48" t="s">
        <v>241</v>
      </c>
      <c r="B92" s="39">
        <v>184</v>
      </c>
      <c r="C92" s="39">
        <v>141</v>
      </c>
      <c r="D92" s="39">
        <v>325</v>
      </c>
      <c r="E92" s="37"/>
    </row>
    <row r="93" spans="1:5" x14ac:dyDescent="0.25">
      <c r="A93" s="48" t="s">
        <v>242</v>
      </c>
      <c r="B93" s="39">
        <v>504</v>
      </c>
      <c r="C93" s="39">
        <v>421</v>
      </c>
      <c r="D93" s="39">
        <v>925</v>
      </c>
      <c r="E93" s="37"/>
    </row>
    <row r="94" spans="1:5" x14ac:dyDescent="0.25">
      <c r="A94" s="83" t="s">
        <v>253</v>
      </c>
      <c r="B94" s="39">
        <v>22466</v>
      </c>
      <c r="C94" s="39">
        <v>15711</v>
      </c>
      <c r="D94" s="39">
        <v>38177</v>
      </c>
      <c r="E94" s="37"/>
    </row>
    <row r="95" spans="1:5" x14ac:dyDescent="0.25">
      <c r="A95" s="78" t="s">
        <v>283</v>
      </c>
      <c r="B95" s="39">
        <v>0</v>
      </c>
      <c r="C95" s="39">
        <v>0</v>
      </c>
      <c r="D95" s="39">
        <v>0</v>
      </c>
      <c r="E95" s="37"/>
    </row>
    <row r="96" spans="1:5" x14ac:dyDescent="0.25">
      <c r="A96" s="48" t="s">
        <v>243</v>
      </c>
      <c r="B96" s="39">
        <v>212</v>
      </c>
      <c r="C96" s="39">
        <v>157</v>
      </c>
      <c r="D96" s="39">
        <v>369</v>
      </c>
      <c r="E96" s="37"/>
    </row>
    <row r="97" spans="1:5" x14ac:dyDescent="0.25">
      <c r="A97" s="48" t="s">
        <v>256</v>
      </c>
      <c r="B97" s="39">
        <v>108</v>
      </c>
      <c r="C97" s="39">
        <v>34</v>
      </c>
      <c r="D97" s="39">
        <v>142</v>
      </c>
      <c r="E97" s="37"/>
    </row>
    <row r="98" spans="1:5" x14ac:dyDescent="0.25">
      <c r="A98" s="48" t="s">
        <v>244</v>
      </c>
      <c r="B98" s="39">
        <v>1195</v>
      </c>
      <c r="C98" s="39">
        <v>709</v>
      </c>
      <c r="D98" s="39">
        <v>1904</v>
      </c>
      <c r="E98" s="37"/>
    </row>
    <row r="99" spans="1:5" x14ac:dyDescent="0.25">
      <c r="A99" s="48" t="s">
        <v>245</v>
      </c>
      <c r="B99" s="39">
        <v>2231</v>
      </c>
      <c r="C99" s="39">
        <v>1006</v>
      </c>
      <c r="D99" s="39">
        <v>3237</v>
      </c>
      <c r="E99" s="37"/>
    </row>
    <row r="100" spans="1:5" x14ac:dyDescent="0.25">
      <c r="A100" s="48" t="s">
        <v>246</v>
      </c>
      <c r="B100" s="39">
        <v>161</v>
      </c>
      <c r="C100" s="39">
        <v>105</v>
      </c>
      <c r="D100" s="39">
        <v>266</v>
      </c>
      <c r="E100" s="37"/>
    </row>
    <row r="101" spans="1:5" x14ac:dyDescent="0.25">
      <c r="A101" s="48" t="s">
        <v>247</v>
      </c>
      <c r="B101" s="39">
        <v>78</v>
      </c>
      <c r="C101" s="39">
        <v>51</v>
      </c>
      <c r="D101" s="39">
        <v>129</v>
      </c>
      <c r="E101" s="37"/>
    </row>
    <row r="102" spans="1:5" x14ac:dyDescent="0.25">
      <c r="A102" s="48" t="s">
        <v>248</v>
      </c>
      <c r="B102" s="39">
        <v>0</v>
      </c>
      <c r="C102" s="39">
        <v>0</v>
      </c>
      <c r="D102" s="39">
        <v>0</v>
      </c>
      <c r="E102" s="37"/>
    </row>
    <row r="103" spans="1:5" x14ac:dyDescent="0.25">
      <c r="A103" s="48" t="s">
        <v>250</v>
      </c>
      <c r="B103" s="39">
        <v>0</v>
      </c>
      <c r="C103" s="39">
        <v>0</v>
      </c>
      <c r="D103" s="39">
        <v>0</v>
      </c>
      <c r="E103" s="37"/>
    </row>
    <row r="104" spans="1:5" x14ac:dyDescent="0.25">
      <c r="A104" s="69" t="s">
        <v>4</v>
      </c>
      <c r="B104" s="40">
        <v>27254</v>
      </c>
      <c r="C104" s="40">
        <v>18408</v>
      </c>
      <c r="D104" s="40">
        <v>45662</v>
      </c>
      <c r="E104" s="37"/>
    </row>
    <row r="105" spans="1:5" x14ac:dyDescent="0.25">
      <c r="A105" s="37"/>
      <c r="B105" s="37"/>
      <c r="C105" s="37"/>
      <c r="D105" s="37"/>
      <c r="E105" s="37"/>
    </row>
    <row r="106" spans="1:5" x14ac:dyDescent="0.25">
      <c r="A106" s="37"/>
      <c r="B106" s="37"/>
      <c r="C106" s="37"/>
      <c r="D106" s="37"/>
      <c r="E106" s="37"/>
    </row>
    <row r="107" spans="1:5" x14ac:dyDescent="0.25">
      <c r="A107" s="58" t="s">
        <v>230</v>
      </c>
      <c r="B107" s="61"/>
      <c r="C107" s="61"/>
      <c r="D107" s="61"/>
      <c r="E107" s="61"/>
    </row>
    <row r="108" spans="1:5" x14ac:dyDescent="0.25">
      <c r="A108" s="61"/>
      <c r="B108" s="61"/>
      <c r="C108" s="61"/>
      <c r="D108" s="61"/>
      <c r="E108" s="61"/>
    </row>
    <row r="109" spans="1:5" x14ac:dyDescent="0.25">
      <c r="A109" s="62" t="s">
        <v>21</v>
      </c>
      <c r="B109" s="61"/>
      <c r="C109" s="61"/>
      <c r="D109" s="61"/>
      <c r="E109" s="61"/>
    </row>
    <row r="110" spans="1:5" x14ac:dyDescent="0.25">
      <c r="A110" s="61"/>
      <c r="B110" s="61"/>
      <c r="C110" s="61"/>
      <c r="D110" s="61"/>
      <c r="E110" s="61"/>
    </row>
    <row r="111" spans="1:5" x14ac:dyDescent="0.25">
      <c r="A111" s="61"/>
      <c r="B111" s="61"/>
      <c r="C111" s="61"/>
      <c r="D111" s="61"/>
    </row>
    <row r="112" spans="1:5" x14ac:dyDescent="0.25">
      <c r="A112" s="61"/>
      <c r="B112" s="61"/>
      <c r="C112" s="61"/>
      <c r="D112" s="61"/>
    </row>
    <row r="113" spans="1:4" x14ac:dyDescent="0.25">
      <c r="A113" s="61"/>
      <c r="B113" s="61"/>
      <c r="C113" s="61"/>
      <c r="D113" s="61"/>
    </row>
    <row r="114" spans="1:4" x14ac:dyDescent="0.25">
      <c r="A114" s="61"/>
      <c r="B114" s="61"/>
      <c r="C114" s="61"/>
      <c r="D114" s="61"/>
    </row>
    <row r="115" spans="1:4" x14ac:dyDescent="0.25">
      <c r="A115" s="61"/>
      <c r="B115" s="61"/>
      <c r="C115" s="61"/>
      <c r="D115" s="61"/>
    </row>
    <row r="116" spans="1:4" x14ac:dyDescent="0.25">
      <c r="A116" s="61"/>
      <c r="B116" s="61"/>
      <c r="C116" s="61"/>
      <c r="D116" s="61"/>
    </row>
    <row r="117" spans="1:4" x14ac:dyDescent="0.25">
      <c r="A117" s="61"/>
      <c r="B117" s="61"/>
      <c r="C117" s="61"/>
      <c r="D117" s="61"/>
    </row>
    <row r="118" spans="1:4" x14ac:dyDescent="0.25">
      <c r="A118" s="61"/>
      <c r="B118" s="61"/>
      <c r="C118" s="61"/>
      <c r="D118" s="61"/>
    </row>
    <row r="119" spans="1:4" x14ac:dyDescent="0.25">
      <c r="A119" s="61"/>
      <c r="B119" s="61"/>
      <c r="C119" s="61"/>
      <c r="D119" s="61"/>
    </row>
    <row r="120" spans="1:4" x14ac:dyDescent="0.25">
      <c r="A120" s="61"/>
      <c r="B120" s="61"/>
      <c r="C120" s="61"/>
      <c r="D120" s="61"/>
    </row>
    <row r="121" spans="1:4" x14ac:dyDescent="0.25">
      <c r="A121" s="61"/>
      <c r="B121" s="61"/>
      <c r="C121" s="61"/>
      <c r="D121" s="61"/>
    </row>
    <row r="122" spans="1:4" x14ac:dyDescent="0.25">
      <c r="A122" s="61"/>
      <c r="B122" s="61"/>
      <c r="C122" s="61"/>
      <c r="D122" s="61"/>
    </row>
    <row r="123" spans="1:4" x14ac:dyDescent="0.25">
      <c r="A123" s="61"/>
      <c r="B123" s="61"/>
      <c r="C123" s="61"/>
      <c r="D123" s="61"/>
    </row>
  </sheetData>
  <hyperlinks>
    <hyperlink ref="A109" location="Indice!A5" display="Volver al índice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2"/>
  <sheetViews>
    <sheetView showGridLines="0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baseColWidth="10" defaultColWidth="10.85546875" defaultRowHeight="15" x14ac:dyDescent="0.25"/>
  <cols>
    <col min="1" max="1" width="48.140625" style="1" customWidth="1"/>
    <col min="2" max="17" width="8.5703125" style="1" customWidth="1"/>
    <col min="18" max="21" width="12.85546875" style="1" customWidth="1"/>
    <col min="22" max="16384" width="10.85546875" style="2"/>
  </cols>
  <sheetData>
    <row r="1" spans="1:21" ht="21" x14ac:dyDescent="0.25">
      <c r="A1" s="55" t="s">
        <v>404</v>
      </c>
      <c r="B1" s="55"/>
      <c r="C1" s="55"/>
      <c r="D1" s="55"/>
      <c r="E1" s="55"/>
      <c r="F1" s="55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spans="1:21" ht="25.5" customHeight="1" x14ac:dyDescent="0.25">
      <c r="A2" s="31"/>
      <c r="B2" s="31"/>
      <c r="C2" s="31"/>
      <c r="D2" s="31"/>
      <c r="E2" s="31"/>
      <c r="F2" s="31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</row>
    <row r="3" spans="1:21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</row>
    <row r="4" spans="1:21" ht="15.75" x14ac:dyDescent="0.25">
      <c r="A4" s="23" t="s">
        <v>308</v>
      </c>
      <c r="B4" s="23"/>
      <c r="C4" s="23"/>
      <c r="D4" s="23"/>
      <c r="E4" s="23"/>
      <c r="F4" s="23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</row>
    <row r="5" spans="1:21" ht="25.5" x14ac:dyDescent="0.25">
      <c r="A5" s="75" t="s">
        <v>0</v>
      </c>
      <c r="B5" s="3">
        <v>2007</v>
      </c>
      <c r="C5" s="3">
        <v>2008</v>
      </c>
      <c r="D5" s="3">
        <v>2009</v>
      </c>
      <c r="E5" s="3">
        <v>2010</v>
      </c>
      <c r="F5" s="3">
        <v>2011</v>
      </c>
      <c r="G5" s="3">
        <v>2012</v>
      </c>
      <c r="H5" s="3">
        <v>2013</v>
      </c>
      <c r="I5" s="3">
        <v>2014</v>
      </c>
      <c r="J5" s="3">
        <v>2015</v>
      </c>
      <c r="K5" s="3">
        <v>2016</v>
      </c>
      <c r="L5" s="3">
        <v>2017</v>
      </c>
      <c r="M5" s="3">
        <v>2018</v>
      </c>
      <c r="N5" s="3">
        <v>2019</v>
      </c>
      <c r="O5" s="3">
        <v>2020</v>
      </c>
      <c r="P5" s="3">
        <v>2021</v>
      </c>
      <c r="Q5" s="3">
        <v>2022</v>
      </c>
      <c r="R5" s="12" t="s">
        <v>406</v>
      </c>
      <c r="S5" s="12" t="s">
        <v>407</v>
      </c>
      <c r="T5" s="12" t="s">
        <v>408</v>
      </c>
      <c r="U5" s="12" t="s">
        <v>409</v>
      </c>
    </row>
    <row r="6" spans="1:21" x14ac:dyDescent="0.25">
      <c r="A6" s="4" t="s">
        <v>5</v>
      </c>
      <c r="B6" s="4">
        <v>0</v>
      </c>
      <c r="C6" s="4">
        <v>0</v>
      </c>
      <c r="D6" s="4">
        <v>10</v>
      </c>
      <c r="E6" s="4">
        <v>11</v>
      </c>
      <c r="F6" s="4">
        <v>13</v>
      </c>
      <c r="G6" s="4">
        <v>8</v>
      </c>
      <c r="H6" s="4">
        <v>10</v>
      </c>
      <c r="I6" s="4">
        <v>0</v>
      </c>
      <c r="J6" s="4">
        <v>0</v>
      </c>
      <c r="K6" s="4">
        <v>9</v>
      </c>
      <c r="L6" s="4">
        <v>10</v>
      </c>
      <c r="M6" s="4">
        <v>5</v>
      </c>
      <c r="N6" s="4">
        <v>3</v>
      </c>
      <c r="O6" s="4">
        <v>3</v>
      </c>
      <c r="P6" s="4">
        <v>7</v>
      </c>
      <c r="Q6" s="4">
        <v>9</v>
      </c>
      <c r="R6" s="86">
        <f>(Q6-H6)/H6</f>
        <v>-0.1</v>
      </c>
      <c r="S6" s="93">
        <f>(Q6-M6)/M6</f>
        <v>0.8</v>
      </c>
      <c r="T6" s="93">
        <f>(Q6-P6)/P6</f>
        <v>0.2857142857142857</v>
      </c>
      <c r="U6" s="95">
        <f>Q6/Q$9</f>
        <v>1.9710043362095397E-4</v>
      </c>
    </row>
    <row r="7" spans="1:21" x14ac:dyDescent="0.25">
      <c r="A7" s="4" t="s">
        <v>6</v>
      </c>
      <c r="B7" s="4">
        <v>0</v>
      </c>
      <c r="C7" s="4">
        <v>0</v>
      </c>
      <c r="D7" s="4">
        <v>28</v>
      </c>
      <c r="E7" s="4">
        <v>0</v>
      </c>
      <c r="F7" s="4">
        <v>0</v>
      </c>
      <c r="G7" s="4">
        <v>0</v>
      </c>
      <c r="H7" s="4">
        <v>5</v>
      </c>
      <c r="I7" s="4">
        <v>21</v>
      </c>
      <c r="J7" s="4">
        <v>256</v>
      </c>
      <c r="K7" s="4">
        <v>2641</v>
      </c>
      <c r="L7" s="4">
        <v>1162</v>
      </c>
      <c r="M7" s="4">
        <v>876</v>
      </c>
      <c r="N7" s="4">
        <v>1408</v>
      </c>
      <c r="O7" s="4">
        <v>1065</v>
      </c>
      <c r="P7" s="4">
        <v>1149</v>
      </c>
      <c r="Q7" s="4">
        <v>1194</v>
      </c>
      <c r="R7" s="86">
        <f t="shared" ref="R7:R9" si="0">(Q7-H7)/H7</f>
        <v>237.8</v>
      </c>
      <c r="S7" s="93">
        <f t="shared" ref="S7:S9" si="1">(Q7-M7)/M7</f>
        <v>0.36301369863013699</v>
      </c>
      <c r="T7" s="93">
        <f t="shared" ref="T7:T9" si="2">(Q7-P7)/P7</f>
        <v>3.91644908616188E-2</v>
      </c>
      <c r="U7" s="95">
        <f t="shared" ref="U7:U9" si="3">Q7/Q$9</f>
        <v>2.6148657527046558E-2</v>
      </c>
    </row>
    <row r="8" spans="1:21" x14ac:dyDescent="0.25">
      <c r="A8" s="4" t="s">
        <v>7</v>
      </c>
      <c r="B8" s="4">
        <v>5016</v>
      </c>
      <c r="C8" s="4">
        <v>7652</v>
      </c>
      <c r="D8" s="4">
        <v>8745</v>
      </c>
      <c r="E8" s="4">
        <v>8842</v>
      </c>
      <c r="F8" s="4">
        <v>8717</v>
      </c>
      <c r="G8" s="4">
        <v>9682</v>
      </c>
      <c r="H8" s="4">
        <v>12560</v>
      </c>
      <c r="I8" s="4">
        <v>12874</v>
      </c>
      <c r="J8" s="4">
        <v>13261</v>
      </c>
      <c r="K8" s="4">
        <v>16301</v>
      </c>
      <c r="L8" s="4">
        <v>21438</v>
      </c>
      <c r="M8" s="4">
        <v>24054</v>
      </c>
      <c r="N8" s="4">
        <v>27812</v>
      </c>
      <c r="O8" s="4">
        <v>26268</v>
      </c>
      <c r="P8" s="4">
        <v>32238</v>
      </c>
      <c r="Q8" s="4">
        <v>44459</v>
      </c>
      <c r="R8" s="86">
        <f t="shared" si="0"/>
        <v>2.5397292993630574</v>
      </c>
      <c r="S8" s="93">
        <f t="shared" si="1"/>
        <v>0.84829965910035754</v>
      </c>
      <c r="T8" s="93">
        <f t="shared" si="2"/>
        <v>0.37908679198461442</v>
      </c>
      <c r="U8" s="95">
        <f t="shared" si="3"/>
        <v>0.97365424203933248</v>
      </c>
    </row>
    <row r="9" spans="1:21" x14ac:dyDescent="0.25">
      <c r="A9" s="5" t="s">
        <v>4</v>
      </c>
      <c r="B9" s="5">
        <v>5016</v>
      </c>
      <c r="C9" s="5">
        <v>7652</v>
      </c>
      <c r="D9" s="5">
        <v>8783</v>
      </c>
      <c r="E9" s="5">
        <v>8853</v>
      </c>
      <c r="F9" s="5">
        <v>8730</v>
      </c>
      <c r="G9" s="5">
        <v>9690</v>
      </c>
      <c r="H9" s="5">
        <v>12575</v>
      </c>
      <c r="I9" s="5">
        <v>12895</v>
      </c>
      <c r="J9" s="5">
        <v>13517</v>
      </c>
      <c r="K9" s="5">
        <v>18951</v>
      </c>
      <c r="L9" s="5">
        <v>22610</v>
      </c>
      <c r="M9" s="5">
        <v>24935</v>
      </c>
      <c r="N9" s="5">
        <v>29223</v>
      </c>
      <c r="O9" s="5">
        <v>27336</v>
      </c>
      <c r="P9" s="5">
        <v>33394</v>
      </c>
      <c r="Q9" s="5">
        <v>45662</v>
      </c>
      <c r="R9" s="70">
        <f t="shared" si="0"/>
        <v>2.63117296222664</v>
      </c>
      <c r="S9" s="94">
        <f t="shared" si="1"/>
        <v>0.83124122719069582</v>
      </c>
      <c r="T9" s="94">
        <f t="shared" si="2"/>
        <v>0.36737138408097264</v>
      </c>
      <c r="U9" s="96">
        <f t="shared" si="3"/>
        <v>1</v>
      </c>
    </row>
    <row r="10" spans="1:21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</row>
    <row r="11" spans="1:21" ht="15.75" x14ac:dyDescent="0.25">
      <c r="A11" s="23" t="s">
        <v>309</v>
      </c>
      <c r="B11" s="23"/>
      <c r="C11" s="23"/>
      <c r="D11" s="23"/>
      <c r="E11" s="23"/>
      <c r="F11" s="23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</row>
    <row r="12" spans="1:21" ht="25.5" x14ac:dyDescent="0.25">
      <c r="A12" s="75" t="s">
        <v>84</v>
      </c>
      <c r="B12" s="3">
        <v>2007</v>
      </c>
      <c r="C12" s="3">
        <v>2008</v>
      </c>
      <c r="D12" s="3">
        <v>2009</v>
      </c>
      <c r="E12" s="3">
        <v>2010</v>
      </c>
      <c r="F12" s="3">
        <v>2011</v>
      </c>
      <c r="G12" s="3">
        <v>2012</v>
      </c>
      <c r="H12" s="3">
        <v>2013</v>
      </c>
      <c r="I12" s="3">
        <v>2014</v>
      </c>
      <c r="J12" s="3">
        <v>2015</v>
      </c>
      <c r="K12" s="3">
        <v>2016</v>
      </c>
      <c r="L12" s="3">
        <v>2017</v>
      </c>
      <c r="M12" s="3">
        <v>2018</v>
      </c>
      <c r="N12" s="3">
        <v>2019</v>
      </c>
      <c r="O12" s="3">
        <v>2020</v>
      </c>
      <c r="P12" s="3">
        <v>2021</v>
      </c>
      <c r="Q12" s="3">
        <v>2022</v>
      </c>
      <c r="R12" s="12" t="s">
        <v>406</v>
      </c>
      <c r="S12" s="12" t="s">
        <v>407</v>
      </c>
      <c r="T12" s="12" t="s">
        <v>408</v>
      </c>
      <c r="U12" s="12" t="s">
        <v>409</v>
      </c>
    </row>
    <row r="13" spans="1:21" x14ac:dyDescent="0.25">
      <c r="A13" s="4" t="s">
        <v>86</v>
      </c>
      <c r="B13" s="4">
        <v>816</v>
      </c>
      <c r="C13" s="4">
        <v>912</v>
      </c>
      <c r="D13" s="4">
        <v>856</v>
      </c>
      <c r="E13" s="4">
        <v>979</v>
      </c>
      <c r="F13" s="4">
        <v>931</v>
      </c>
      <c r="G13" s="4">
        <v>1068</v>
      </c>
      <c r="H13" s="4">
        <v>1220</v>
      </c>
      <c r="I13" s="4">
        <v>1342</v>
      </c>
      <c r="J13" s="4">
        <v>1496</v>
      </c>
      <c r="K13" s="4">
        <v>1923</v>
      </c>
      <c r="L13" s="4">
        <v>1733</v>
      </c>
      <c r="M13" s="4">
        <v>2214</v>
      </c>
      <c r="N13" s="4">
        <v>2099</v>
      </c>
      <c r="O13" s="4">
        <v>1654</v>
      </c>
      <c r="P13" s="4">
        <v>1838</v>
      </c>
      <c r="Q13" s="4">
        <v>2188</v>
      </c>
      <c r="R13" s="86">
        <f t="shared" ref="R13:R16" si="4">(Q13-H13)/H13</f>
        <v>0.79344262295081969</v>
      </c>
      <c r="S13" s="93">
        <f t="shared" ref="S13:S16" si="5">(Q13-M13)/M13</f>
        <v>-1.1743450767841012E-2</v>
      </c>
      <c r="T13" s="93">
        <f t="shared" ref="T13:T16" si="6">(Q13-P13)/P13</f>
        <v>0.19042437431991294</v>
      </c>
      <c r="U13" s="95">
        <f t="shared" ref="U13:U16" si="7">Q13/Q$9</f>
        <v>4.7917305418071918E-2</v>
      </c>
    </row>
    <row r="14" spans="1:21" x14ac:dyDescent="0.25">
      <c r="A14" s="4" t="s">
        <v>3</v>
      </c>
      <c r="B14" s="4">
        <v>1765</v>
      </c>
      <c r="C14" s="4">
        <v>2833</v>
      </c>
      <c r="D14" s="4">
        <v>3064</v>
      </c>
      <c r="E14" s="4">
        <v>2664</v>
      </c>
      <c r="F14" s="4">
        <v>3680</v>
      </c>
      <c r="G14" s="4">
        <v>2578</v>
      </c>
      <c r="H14" s="4">
        <v>4117</v>
      </c>
      <c r="I14" s="4">
        <v>3813</v>
      </c>
      <c r="J14" s="4">
        <v>3194</v>
      </c>
      <c r="K14" s="4">
        <v>5321</v>
      </c>
      <c r="L14" s="4">
        <v>4144</v>
      </c>
      <c r="M14" s="4">
        <v>3473</v>
      </c>
      <c r="N14" s="4">
        <v>3791</v>
      </c>
      <c r="O14" s="4">
        <v>2616</v>
      </c>
      <c r="P14" s="4">
        <v>3970</v>
      </c>
      <c r="Q14" s="4">
        <v>3428</v>
      </c>
      <c r="R14" s="93">
        <f t="shared" si="4"/>
        <v>-0.16735487005100802</v>
      </c>
      <c r="S14" s="93">
        <f t="shared" si="5"/>
        <v>-1.295709761013533E-2</v>
      </c>
      <c r="T14" s="93">
        <f t="shared" si="6"/>
        <v>-0.13652392947103276</v>
      </c>
      <c r="U14" s="95">
        <f t="shared" si="7"/>
        <v>7.5073365161403352E-2</v>
      </c>
    </row>
    <row r="15" spans="1:21" x14ac:dyDescent="0.25">
      <c r="A15" s="4" t="s">
        <v>87</v>
      </c>
      <c r="B15" s="4">
        <v>2435</v>
      </c>
      <c r="C15" s="4">
        <v>3907</v>
      </c>
      <c r="D15" s="4">
        <v>4863</v>
      </c>
      <c r="E15" s="4">
        <v>5210</v>
      </c>
      <c r="F15" s="4">
        <v>4119</v>
      </c>
      <c r="G15" s="4">
        <v>6044</v>
      </c>
      <c r="H15" s="4">
        <v>7238</v>
      </c>
      <c r="I15" s="4">
        <v>7740</v>
      </c>
      <c r="J15" s="4">
        <v>8827</v>
      </c>
      <c r="K15" s="4">
        <v>11707</v>
      </c>
      <c r="L15" s="4">
        <v>16733</v>
      </c>
      <c r="M15" s="4">
        <v>19248</v>
      </c>
      <c r="N15" s="4">
        <v>23333</v>
      </c>
      <c r="O15" s="4">
        <v>23066</v>
      </c>
      <c r="P15" s="4">
        <v>27586</v>
      </c>
      <c r="Q15" s="4">
        <v>40046</v>
      </c>
      <c r="R15" s="93">
        <f t="shared" si="4"/>
        <v>4.5327438518927883</v>
      </c>
      <c r="S15" s="93">
        <f t="shared" si="5"/>
        <v>1.080527847049044</v>
      </c>
      <c r="T15" s="93">
        <f t="shared" si="6"/>
        <v>0.4516783875879069</v>
      </c>
      <c r="U15" s="95">
        <f t="shared" si="7"/>
        <v>0.87700932942052467</v>
      </c>
    </row>
    <row r="16" spans="1:21" x14ac:dyDescent="0.25">
      <c r="A16" s="5" t="s">
        <v>4</v>
      </c>
      <c r="B16" s="5">
        <v>5016</v>
      </c>
      <c r="C16" s="5">
        <v>7652</v>
      </c>
      <c r="D16" s="5">
        <v>8783</v>
      </c>
      <c r="E16" s="5">
        <v>8853</v>
      </c>
      <c r="F16" s="5">
        <v>8730</v>
      </c>
      <c r="G16" s="5">
        <v>9690</v>
      </c>
      <c r="H16" s="5">
        <v>12575</v>
      </c>
      <c r="I16" s="5">
        <v>12895</v>
      </c>
      <c r="J16" s="5">
        <v>13517</v>
      </c>
      <c r="K16" s="5">
        <v>18951</v>
      </c>
      <c r="L16" s="5">
        <v>22610</v>
      </c>
      <c r="M16" s="5">
        <v>24935</v>
      </c>
      <c r="N16" s="5">
        <v>29223</v>
      </c>
      <c r="O16" s="5">
        <v>27336</v>
      </c>
      <c r="P16" s="5">
        <v>33394</v>
      </c>
      <c r="Q16" s="5">
        <v>45662</v>
      </c>
      <c r="R16" s="70">
        <f t="shared" si="4"/>
        <v>2.63117296222664</v>
      </c>
      <c r="S16" s="70">
        <f t="shared" si="5"/>
        <v>0.83124122719069582</v>
      </c>
      <c r="T16" s="94">
        <f t="shared" si="6"/>
        <v>0.36737138408097264</v>
      </c>
      <c r="U16" s="14">
        <f t="shared" si="7"/>
        <v>1</v>
      </c>
    </row>
    <row r="17" spans="1:21" x14ac:dyDescent="0.25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</row>
    <row r="18" spans="1:21" ht="15.75" x14ac:dyDescent="0.25">
      <c r="A18" s="23" t="s">
        <v>310</v>
      </c>
      <c r="B18" s="23"/>
      <c r="C18" s="23"/>
      <c r="D18" s="23"/>
      <c r="E18" s="23"/>
      <c r="F18" s="23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</row>
    <row r="19" spans="1:21" ht="25.5" x14ac:dyDescent="0.25">
      <c r="A19" s="75" t="s">
        <v>85</v>
      </c>
      <c r="B19" s="3">
        <v>2007</v>
      </c>
      <c r="C19" s="3">
        <v>2008</v>
      </c>
      <c r="D19" s="3">
        <v>2009</v>
      </c>
      <c r="E19" s="3">
        <v>2010</v>
      </c>
      <c r="F19" s="3">
        <v>2011</v>
      </c>
      <c r="G19" s="3">
        <v>2012</v>
      </c>
      <c r="H19" s="3">
        <v>2013</v>
      </c>
      <c r="I19" s="3">
        <v>2014</v>
      </c>
      <c r="J19" s="3">
        <v>2015</v>
      </c>
      <c r="K19" s="3">
        <v>2016</v>
      </c>
      <c r="L19" s="3">
        <v>2017</v>
      </c>
      <c r="M19" s="3">
        <v>2018</v>
      </c>
      <c r="N19" s="3">
        <v>2019</v>
      </c>
      <c r="O19" s="3">
        <v>2020</v>
      </c>
      <c r="P19" s="3">
        <v>2021</v>
      </c>
      <c r="Q19" s="3">
        <v>2022</v>
      </c>
      <c r="R19" s="12" t="s">
        <v>406</v>
      </c>
      <c r="S19" s="12" t="s">
        <v>407</v>
      </c>
      <c r="T19" s="12" t="s">
        <v>408</v>
      </c>
      <c r="U19" s="12" t="s">
        <v>409</v>
      </c>
    </row>
    <row r="20" spans="1:21" x14ac:dyDescent="0.25">
      <c r="A20" s="5" t="s">
        <v>5</v>
      </c>
      <c r="B20" s="5">
        <v>0</v>
      </c>
      <c r="C20" s="5">
        <v>0</v>
      </c>
      <c r="D20" s="5">
        <v>10</v>
      </c>
      <c r="E20" s="5">
        <v>11</v>
      </c>
      <c r="F20" s="5">
        <v>13</v>
      </c>
      <c r="G20" s="15">
        <v>8</v>
      </c>
      <c r="H20" s="15">
        <v>10</v>
      </c>
      <c r="I20" s="15">
        <v>0</v>
      </c>
      <c r="J20" s="15">
        <v>0</v>
      </c>
      <c r="K20" s="15">
        <v>9</v>
      </c>
      <c r="L20" s="15">
        <v>10</v>
      </c>
      <c r="M20" s="15">
        <v>5</v>
      </c>
      <c r="N20" s="15">
        <v>3</v>
      </c>
      <c r="O20" s="15">
        <v>3</v>
      </c>
      <c r="P20" s="15">
        <v>7</v>
      </c>
      <c r="Q20" s="15">
        <v>9</v>
      </c>
      <c r="R20" s="70">
        <f t="shared" ref="R20:R29" si="8">(Q20-H20)/H20</f>
        <v>-0.1</v>
      </c>
      <c r="S20" s="94">
        <f t="shared" ref="S20:S29" si="9">(Q20-M20)/M20</f>
        <v>0.8</v>
      </c>
      <c r="T20" s="94">
        <f t="shared" ref="T20:T29" si="10">(Q20-P20)/P20</f>
        <v>0.2857142857142857</v>
      </c>
      <c r="U20" s="96">
        <f t="shared" ref="U20:U29" si="11">Q20/Q$9</f>
        <v>1.9710043362095397E-4</v>
      </c>
    </row>
    <row r="21" spans="1:21" x14ac:dyDescent="0.25">
      <c r="A21" s="72" t="s">
        <v>87</v>
      </c>
      <c r="B21" s="72">
        <v>0</v>
      </c>
      <c r="C21" s="72">
        <v>0</v>
      </c>
      <c r="D21" s="72">
        <v>10</v>
      </c>
      <c r="E21" s="72">
        <v>11</v>
      </c>
      <c r="F21" s="72">
        <v>13</v>
      </c>
      <c r="G21" s="16">
        <v>8</v>
      </c>
      <c r="H21" s="16">
        <v>10</v>
      </c>
      <c r="I21" s="16">
        <v>0</v>
      </c>
      <c r="J21" s="16">
        <v>0</v>
      </c>
      <c r="K21" s="16">
        <v>9</v>
      </c>
      <c r="L21" s="16">
        <v>10</v>
      </c>
      <c r="M21" s="16">
        <v>5</v>
      </c>
      <c r="N21" s="16">
        <v>3</v>
      </c>
      <c r="O21" s="16">
        <v>3</v>
      </c>
      <c r="P21" s="16">
        <v>7</v>
      </c>
      <c r="Q21" s="16">
        <v>9</v>
      </c>
      <c r="R21" s="86">
        <f t="shared" si="8"/>
        <v>-0.1</v>
      </c>
      <c r="S21" s="93">
        <f t="shared" si="9"/>
        <v>0.8</v>
      </c>
      <c r="T21" s="93">
        <f t="shared" si="10"/>
        <v>0.2857142857142857</v>
      </c>
      <c r="U21" s="95">
        <f t="shared" si="11"/>
        <v>1.9710043362095397E-4</v>
      </c>
    </row>
    <row r="22" spans="1:21" x14ac:dyDescent="0.25">
      <c r="A22" s="5" t="s">
        <v>6</v>
      </c>
      <c r="B22" s="5">
        <v>0</v>
      </c>
      <c r="C22" s="5">
        <v>0</v>
      </c>
      <c r="D22" s="5">
        <v>28</v>
      </c>
      <c r="E22" s="5">
        <v>0</v>
      </c>
      <c r="F22" s="5">
        <v>0</v>
      </c>
      <c r="G22" s="15">
        <v>0</v>
      </c>
      <c r="H22" s="15">
        <v>5</v>
      </c>
      <c r="I22" s="15">
        <v>21</v>
      </c>
      <c r="J22" s="15">
        <v>256</v>
      </c>
      <c r="K22" s="15">
        <v>2641</v>
      </c>
      <c r="L22" s="15">
        <v>1162</v>
      </c>
      <c r="M22" s="15">
        <v>876</v>
      </c>
      <c r="N22" s="15">
        <v>1408</v>
      </c>
      <c r="O22" s="15">
        <v>1065</v>
      </c>
      <c r="P22" s="15">
        <v>1149</v>
      </c>
      <c r="Q22" s="15">
        <v>1194</v>
      </c>
      <c r="R22" s="70">
        <f t="shared" si="8"/>
        <v>237.8</v>
      </c>
      <c r="S22" s="94">
        <f t="shared" si="9"/>
        <v>0.36301369863013699</v>
      </c>
      <c r="T22" s="94">
        <f t="shared" si="10"/>
        <v>3.91644908616188E-2</v>
      </c>
      <c r="U22" s="96">
        <f t="shared" si="11"/>
        <v>2.6148657527046558E-2</v>
      </c>
    </row>
    <row r="23" spans="1:21" x14ac:dyDescent="0.25">
      <c r="A23" s="72" t="s">
        <v>3</v>
      </c>
      <c r="B23" s="72">
        <v>0</v>
      </c>
      <c r="C23" s="72">
        <v>0</v>
      </c>
      <c r="D23" s="72">
        <v>28</v>
      </c>
      <c r="E23" s="72">
        <v>0</v>
      </c>
      <c r="F23" s="72">
        <v>0</v>
      </c>
      <c r="G23" s="16">
        <v>0</v>
      </c>
      <c r="H23" s="16">
        <v>0</v>
      </c>
      <c r="I23" s="16">
        <v>19</v>
      </c>
      <c r="J23" s="16">
        <v>129</v>
      </c>
      <c r="K23" s="16">
        <v>2267</v>
      </c>
      <c r="L23" s="16">
        <v>933</v>
      </c>
      <c r="M23" s="16">
        <v>765</v>
      </c>
      <c r="N23" s="16">
        <v>1045</v>
      </c>
      <c r="O23" s="16">
        <v>744</v>
      </c>
      <c r="P23" s="16">
        <v>903</v>
      </c>
      <c r="Q23" s="16">
        <v>538</v>
      </c>
      <c r="R23" s="86" t="e">
        <f t="shared" si="8"/>
        <v>#DIV/0!</v>
      </c>
      <c r="S23" s="93">
        <f t="shared" si="9"/>
        <v>-0.29673202614379085</v>
      </c>
      <c r="T23" s="93">
        <f t="shared" si="10"/>
        <v>-0.40420819490586934</v>
      </c>
      <c r="U23" s="95">
        <f t="shared" si="11"/>
        <v>1.1782225920897026E-2</v>
      </c>
    </row>
    <row r="24" spans="1:21" x14ac:dyDescent="0.25">
      <c r="A24" s="72" t="s">
        <v>87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16">
        <v>0</v>
      </c>
      <c r="H24" s="16">
        <v>5</v>
      </c>
      <c r="I24" s="16">
        <v>2</v>
      </c>
      <c r="J24" s="16">
        <v>127</v>
      </c>
      <c r="K24" s="16">
        <v>374</v>
      </c>
      <c r="L24" s="16">
        <v>229</v>
      </c>
      <c r="M24" s="16">
        <v>111</v>
      </c>
      <c r="N24" s="16">
        <v>363</v>
      </c>
      <c r="O24" s="16">
        <v>321</v>
      </c>
      <c r="P24" s="16">
        <v>246</v>
      </c>
      <c r="Q24" s="16">
        <v>656</v>
      </c>
      <c r="R24" s="86">
        <f t="shared" si="8"/>
        <v>130.19999999999999</v>
      </c>
      <c r="S24" s="93">
        <f t="shared" si="9"/>
        <v>4.9099099099099099</v>
      </c>
      <c r="T24" s="93">
        <f t="shared" si="10"/>
        <v>1.6666666666666667</v>
      </c>
      <c r="U24" s="95">
        <f t="shared" si="11"/>
        <v>1.4366431606149534E-2</v>
      </c>
    </row>
    <row r="25" spans="1:21" x14ac:dyDescent="0.25">
      <c r="A25" s="5" t="s">
        <v>7</v>
      </c>
      <c r="B25" s="5">
        <v>5016</v>
      </c>
      <c r="C25" s="5">
        <v>7652</v>
      </c>
      <c r="D25" s="5">
        <v>8745</v>
      </c>
      <c r="E25" s="5">
        <v>8842</v>
      </c>
      <c r="F25" s="5">
        <v>8717</v>
      </c>
      <c r="G25" s="15">
        <v>9682</v>
      </c>
      <c r="H25" s="15">
        <v>12560</v>
      </c>
      <c r="I25" s="15">
        <v>12874</v>
      </c>
      <c r="J25" s="15">
        <v>13261</v>
      </c>
      <c r="K25" s="15">
        <v>16301</v>
      </c>
      <c r="L25" s="15">
        <v>21438</v>
      </c>
      <c r="M25" s="15">
        <v>24054</v>
      </c>
      <c r="N25" s="15">
        <v>27812</v>
      </c>
      <c r="O25" s="15">
        <v>26268</v>
      </c>
      <c r="P25" s="15">
        <v>32238</v>
      </c>
      <c r="Q25" s="15">
        <v>44459</v>
      </c>
      <c r="R25" s="70">
        <f t="shared" si="8"/>
        <v>2.5397292993630574</v>
      </c>
      <c r="S25" s="94">
        <f t="shared" si="9"/>
        <v>0.84829965910035754</v>
      </c>
      <c r="T25" s="94">
        <f t="shared" si="10"/>
        <v>0.37908679198461442</v>
      </c>
      <c r="U25" s="96">
        <f t="shared" si="11"/>
        <v>0.97365424203933248</v>
      </c>
    </row>
    <row r="26" spans="1:21" x14ac:dyDescent="0.25">
      <c r="A26" s="72" t="s">
        <v>86</v>
      </c>
      <c r="B26" s="72">
        <v>816</v>
      </c>
      <c r="C26" s="72">
        <v>912</v>
      </c>
      <c r="D26" s="72">
        <v>856</v>
      </c>
      <c r="E26" s="72">
        <v>979</v>
      </c>
      <c r="F26" s="72">
        <v>931</v>
      </c>
      <c r="G26" s="16">
        <v>1068</v>
      </c>
      <c r="H26" s="16">
        <v>1220</v>
      </c>
      <c r="I26" s="16">
        <v>1342</v>
      </c>
      <c r="J26" s="16">
        <v>1496</v>
      </c>
      <c r="K26" s="16">
        <v>1923</v>
      </c>
      <c r="L26" s="16">
        <v>1733</v>
      </c>
      <c r="M26" s="16">
        <v>2214</v>
      </c>
      <c r="N26" s="16">
        <v>2099</v>
      </c>
      <c r="O26" s="16">
        <v>1654</v>
      </c>
      <c r="P26" s="16">
        <v>1838</v>
      </c>
      <c r="Q26" s="16">
        <v>2188</v>
      </c>
      <c r="R26" s="86">
        <f t="shared" si="8"/>
        <v>0.79344262295081969</v>
      </c>
      <c r="S26" s="93">
        <f t="shared" si="9"/>
        <v>-1.1743450767841012E-2</v>
      </c>
      <c r="T26" s="93">
        <f t="shared" si="10"/>
        <v>0.19042437431991294</v>
      </c>
      <c r="U26" s="95">
        <f t="shared" si="11"/>
        <v>4.7917305418071918E-2</v>
      </c>
    </row>
    <row r="27" spans="1:21" x14ac:dyDescent="0.25">
      <c r="A27" s="72" t="s">
        <v>3</v>
      </c>
      <c r="B27" s="72">
        <v>1765</v>
      </c>
      <c r="C27" s="72">
        <v>2833</v>
      </c>
      <c r="D27" s="72">
        <v>3036</v>
      </c>
      <c r="E27" s="72">
        <v>2664</v>
      </c>
      <c r="F27" s="72">
        <v>3680</v>
      </c>
      <c r="G27" s="16">
        <v>2578</v>
      </c>
      <c r="H27" s="16">
        <v>4117</v>
      </c>
      <c r="I27" s="16">
        <v>3794</v>
      </c>
      <c r="J27" s="16">
        <v>3065</v>
      </c>
      <c r="K27" s="16">
        <v>3054</v>
      </c>
      <c r="L27" s="16">
        <v>3211</v>
      </c>
      <c r="M27" s="16">
        <v>2708</v>
      </c>
      <c r="N27" s="16">
        <v>2746</v>
      </c>
      <c r="O27" s="16">
        <v>1872</v>
      </c>
      <c r="P27" s="16">
        <v>3067</v>
      </c>
      <c r="Q27" s="16">
        <v>2890</v>
      </c>
      <c r="R27" s="86">
        <f t="shared" si="8"/>
        <v>-0.29803254797182416</v>
      </c>
      <c r="S27" s="93">
        <f t="shared" si="9"/>
        <v>6.7208271787296894E-2</v>
      </c>
      <c r="T27" s="93">
        <f t="shared" si="10"/>
        <v>-5.7711118356700356E-2</v>
      </c>
      <c r="U27" s="95">
        <f t="shared" si="11"/>
        <v>6.3291139240506333E-2</v>
      </c>
    </row>
    <row r="28" spans="1:21" x14ac:dyDescent="0.25">
      <c r="A28" s="72" t="s">
        <v>87</v>
      </c>
      <c r="B28" s="72">
        <v>2435</v>
      </c>
      <c r="C28" s="72">
        <v>3907</v>
      </c>
      <c r="D28" s="72">
        <v>4853</v>
      </c>
      <c r="E28" s="72">
        <v>5199</v>
      </c>
      <c r="F28" s="72">
        <v>4106</v>
      </c>
      <c r="G28" s="16">
        <v>6036</v>
      </c>
      <c r="H28" s="16">
        <v>7223</v>
      </c>
      <c r="I28" s="16">
        <v>7738</v>
      </c>
      <c r="J28" s="16">
        <v>8700</v>
      </c>
      <c r="K28" s="16">
        <v>11324</v>
      </c>
      <c r="L28" s="16">
        <v>16494</v>
      </c>
      <c r="M28" s="16">
        <v>19132</v>
      </c>
      <c r="N28" s="16">
        <v>22967</v>
      </c>
      <c r="O28" s="16">
        <v>22742</v>
      </c>
      <c r="P28" s="16">
        <v>27333</v>
      </c>
      <c r="Q28" s="16">
        <v>39381</v>
      </c>
      <c r="R28" s="86">
        <f t="shared" si="8"/>
        <v>4.4521666897411052</v>
      </c>
      <c r="S28" s="93">
        <f t="shared" si="9"/>
        <v>1.0583838595024044</v>
      </c>
      <c r="T28" s="93">
        <f t="shared" si="10"/>
        <v>0.44078586324223468</v>
      </c>
      <c r="U28" s="95">
        <f t="shared" si="11"/>
        <v>0.86244579738075422</v>
      </c>
    </row>
    <row r="29" spans="1:21" x14ac:dyDescent="0.25">
      <c r="A29" s="5" t="s">
        <v>4</v>
      </c>
      <c r="B29" s="5">
        <v>5016</v>
      </c>
      <c r="C29" s="5">
        <v>7652</v>
      </c>
      <c r="D29" s="5">
        <v>8783</v>
      </c>
      <c r="E29" s="5">
        <v>8853</v>
      </c>
      <c r="F29" s="5">
        <v>8730</v>
      </c>
      <c r="G29" s="15">
        <v>9690</v>
      </c>
      <c r="H29" s="15">
        <v>12575</v>
      </c>
      <c r="I29" s="15">
        <v>12895</v>
      </c>
      <c r="J29" s="15">
        <v>13517</v>
      </c>
      <c r="K29" s="15">
        <v>18951</v>
      </c>
      <c r="L29" s="15">
        <v>22610</v>
      </c>
      <c r="M29" s="15">
        <v>24935</v>
      </c>
      <c r="N29" s="15">
        <v>29223</v>
      </c>
      <c r="O29" s="15">
        <v>27336</v>
      </c>
      <c r="P29" s="15">
        <v>33394</v>
      </c>
      <c r="Q29" s="15">
        <v>45662</v>
      </c>
      <c r="R29" s="70">
        <f t="shared" si="8"/>
        <v>2.63117296222664</v>
      </c>
      <c r="S29" s="94">
        <f t="shared" si="9"/>
        <v>0.83124122719069582</v>
      </c>
      <c r="T29" s="94">
        <f t="shared" si="10"/>
        <v>0.36737138408097264</v>
      </c>
      <c r="U29" s="96">
        <f t="shared" si="11"/>
        <v>1</v>
      </c>
    </row>
    <row r="30" spans="1:21" x14ac:dyDescent="0.2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</row>
    <row r="31" spans="1:21" ht="15.75" x14ac:dyDescent="0.25">
      <c r="A31" s="33" t="s">
        <v>311</v>
      </c>
      <c r="B31" s="33"/>
      <c r="C31" s="33"/>
      <c r="D31" s="33"/>
      <c r="E31" s="33"/>
      <c r="F31" s="33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</row>
    <row r="32" spans="1:21" ht="25.5" x14ac:dyDescent="0.25">
      <c r="A32" s="75" t="s">
        <v>85</v>
      </c>
      <c r="B32" s="3">
        <v>2007</v>
      </c>
      <c r="C32" s="3">
        <v>2008</v>
      </c>
      <c r="D32" s="3">
        <v>2009</v>
      </c>
      <c r="E32" s="3">
        <v>2010</v>
      </c>
      <c r="F32" s="3">
        <v>2011</v>
      </c>
      <c r="G32" s="3">
        <v>2012</v>
      </c>
      <c r="H32" s="3">
        <v>2013</v>
      </c>
      <c r="I32" s="3">
        <v>2014</v>
      </c>
      <c r="J32" s="3">
        <v>2015</v>
      </c>
      <c r="K32" s="3">
        <v>2016</v>
      </c>
      <c r="L32" s="3">
        <v>2017</v>
      </c>
      <c r="M32" s="3">
        <v>2018</v>
      </c>
      <c r="N32" s="3">
        <v>2019</v>
      </c>
      <c r="O32" s="3">
        <v>2020</v>
      </c>
      <c r="P32" s="3">
        <v>2021</v>
      </c>
      <c r="Q32" s="3">
        <v>2022</v>
      </c>
      <c r="R32" s="12" t="s">
        <v>406</v>
      </c>
      <c r="S32" s="12" t="s">
        <v>407</v>
      </c>
      <c r="T32" s="12" t="s">
        <v>408</v>
      </c>
      <c r="U32" s="12" t="s">
        <v>409</v>
      </c>
    </row>
    <row r="33" spans="1:21" x14ac:dyDescent="0.25">
      <c r="A33" s="5" t="s">
        <v>200</v>
      </c>
      <c r="B33" s="5">
        <v>3131</v>
      </c>
      <c r="C33" s="5">
        <v>5013</v>
      </c>
      <c r="D33" s="5">
        <v>5552</v>
      </c>
      <c r="E33" s="5">
        <v>5303</v>
      </c>
      <c r="F33" s="5">
        <v>5576</v>
      </c>
      <c r="G33" s="5">
        <v>5877</v>
      </c>
      <c r="H33" s="5">
        <v>7815</v>
      </c>
      <c r="I33" s="5">
        <v>8130</v>
      </c>
      <c r="J33" s="5">
        <v>8287</v>
      </c>
      <c r="K33" s="5">
        <v>11663</v>
      </c>
      <c r="L33" s="5">
        <v>14327</v>
      </c>
      <c r="M33" s="5">
        <v>15185</v>
      </c>
      <c r="N33" s="5">
        <v>17420</v>
      </c>
      <c r="O33" s="5">
        <v>16035</v>
      </c>
      <c r="P33" s="5">
        <v>20631</v>
      </c>
      <c r="Q33" s="5">
        <v>27254</v>
      </c>
      <c r="R33" s="70">
        <f t="shared" ref="R33:R41" si="12">(Q33-H33)/H33</f>
        <v>2.4873960332693539</v>
      </c>
      <c r="S33" s="94">
        <f t="shared" ref="S33:S41" si="13">(Q33-M33)/M33</f>
        <v>0.7947974975304577</v>
      </c>
      <c r="T33" s="94">
        <f t="shared" ref="T33:T41" si="14">(Q33-P33)/P33</f>
        <v>0.32102176336580873</v>
      </c>
      <c r="U33" s="96">
        <f t="shared" ref="U33:U41" si="15">Q33/Q$9</f>
        <v>0.59686391310060882</v>
      </c>
    </row>
    <row r="34" spans="1:21" x14ac:dyDescent="0.25">
      <c r="A34" s="72" t="s">
        <v>86</v>
      </c>
      <c r="B34" s="72">
        <v>376</v>
      </c>
      <c r="C34" s="72">
        <v>513</v>
      </c>
      <c r="D34" s="72">
        <v>448</v>
      </c>
      <c r="E34" s="72">
        <v>463</v>
      </c>
      <c r="F34" s="72">
        <v>456</v>
      </c>
      <c r="G34" s="22">
        <v>500</v>
      </c>
      <c r="H34" s="22">
        <v>607</v>
      </c>
      <c r="I34" s="22">
        <v>670</v>
      </c>
      <c r="J34" s="22">
        <v>741</v>
      </c>
      <c r="K34" s="22">
        <v>980</v>
      </c>
      <c r="L34" s="22">
        <v>936</v>
      </c>
      <c r="M34" s="22">
        <v>1098</v>
      </c>
      <c r="N34" s="22">
        <v>1106</v>
      </c>
      <c r="O34" s="22">
        <v>807</v>
      </c>
      <c r="P34" s="22">
        <v>952</v>
      </c>
      <c r="Q34" s="22">
        <v>1150</v>
      </c>
      <c r="R34" s="86">
        <f t="shared" si="12"/>
        <v>0.89456342668863265</v>
      </c>
      <c r="S34" s="93">
        <f t="shared" si="13"/>
        <v>4.7358834244080147E-2</v>
      </c>
      <c r="T34" s="93">
        <f t="shared" si="14"/>
        <v>0.20798319327731093</v>
      </c>
      <c r="U34" s="95">
        <f t="shared" si="15"/>
        <v>2.5185055407121897E-2</v>
      </c>
    </row>
    <row r="35" spans="1:21" x14ac:dyDescent="0.25">
      <c r="A35" s="72" t="s">
        <v>3</v>
      </c>
      <c r="B35" s="72">
        <v>1328</v>
      </c>
      <c r="C35" s="72">
        <v>2280</v>
      </c>
      <c r="D35" s="72">
        <v>2339</v>
      </c>
      <c r="E35" s="72">
        <v>1994</v>
      </c>
      <c r="F35" s="72">
        <v>2818</v>
      </c>
      <c r="G35" s="22">
        <v>2007</v>
      </c>
      <c r="H35" s="22">
        <v>3200</v>
      </c>
      <c r="I35" s="22">
        <v>2965</v>
      </c>
      <c r="J35" s="22">
        <v>2312</v>
      </c>
      <c r="K35" s="22">
        <v>4072</v>
      </c>
      <c r="L35" s="22">
        <v>3205</v>
      </c>
      <c r="M35" s="22">
        <v>2702</v>
      </c>
      <c r="N35" s="22">
        <v>2889</v>
      </c>
      <c r="O35" s="22">
        <v>2131</v>
      </c>
      <c r="P35" s="22">
        <v>3145</v>
      </c>
      <c r="Q35" s="22">
        <v>2463</v>
      </c>
      <c r="R35" s="86">
        <f t="shared" si="12"/>
        <v>-0.2303125</v>
      </c>
      <c r="S35" s="93">
        <f t="shared" si="13"/>
        <v>-8.8452997779422643E-2</v>
      </c>
      <c r="T35" s="93">
        <f t="shared" si="14"/>
        <v>-0.21685214626391097</v>
      </c>
      <c r="U35" s="95">
        <f t="shared" si="15"/>
        <v>5.3939818667601072E-2</v>
      </c>
    </row>
    <row r="36" spans="1:21" x14ac:dyDescent="0.25">
      <c r="A36" s="72" t="s">
        <v>87</v>
      </c>
      <c r="B36" s="72">
        <v>1427</v>
      </c>
      <c r="C36" s="72">
        <v>2220</v>
      </c>
      <c r="D36" s="72">
        <v>2765</v>
      </c>
      <c r="E36" s="72">
        <v>2846</v>
      </c>
      <c r="F36" s="72">
        <v>2302</v>
      </c>
      <c r="G36" s="22">
        <v>3370</v>
      </c>
      <c r="H36" s="22">
        <v>4008</v>
      </c>
      <c r="I36" s="22">
        <v>4495</v>
      </c>
      <c r="J36" s="22">
        <v>5234</v>
      </c>
      <c r="K36" s="22">
        <v>6611</v>
      </c>
      <c r="L36" s="22">
        <v>10186</v>
      </c>
      <c r="M36" s="22">
        <v>11385</v>
      </c>
      <c r="N36" s="22">
        <v>13425</v>
      </c>
      <c r="O36" s="22">
        <v>13097</v>
      </c>
      <c r="P36" s="22">
        <v>16534</v>
      </c>
      <c r="Q36" s="22">
        <v>23641</v>
      </c>
      <c r="R36" s="86">
        <f t="shared" si="12"/>
        <v>4.8984530938123756</v>
      </c>
      <c r="S36" s="93">
        <f t="shared" si="13"/>
        <v>1.076504172156346</v>
      </c>
      <c r="T36" s="93">
        <f t="shared" si="14"/>
        <v>0.42984153864763519</v>
      </c>
      <c r="U36" s="95">
        <f t="shared" si="15"/>
        <v>0.51773903902588581</v>
      </c>
    </row>
    <row r="37" spans="1:21" x14ac:dyDescent="0.25">
      <c r="A37" s="5" t="s">
        <v>201</v>
      </c>
      <c r="B37" s="5">
        <v>1885</v>
      </c>
      <c r="C37" s="5">
        <v>2639</v>
      </c>
      <c r="D37" s="5">
        <v>3231</v>
      </c>
      <c r="E37" s="5">
        <v>3550</v>
      </c>
      <c r="F37" s="5">
        <v>3154</v>
      </c>
      <c r="G37" s="5">
        <v>3813</v>
      </c>
      <c r="H37" s="5">
        <v>4760</v>
      </c>
      <c r="I37" s="5">
        <v>4765</v>
      </c>
      <c r="J37" s="5">
        <v>5230</v>
      </c>
      <c r="K37" s="5">
        <v>7288</v>
      </c>
      <c r="L37" s="5">
        <v>8283</v>
      </c>
      <c r="M37" s="5">
        <v>9750</v>
      </c>
      <c r="N37" s="5">
        <v>11803</v>
      </c>
      <c r="O37" s="5">
        <v>11301</v>
      </c>
      <c r="P37" s="5">
        <v>12763</v>
      </c>
      <c r="Q37" s="5">
        <v>18408</v>
      </c>
      <c r="R37" s="70">
        <f t="shared" si="12"/>
        <v>2.8672268907563025</v>
      </c>
      <c r="S37" s="94">
        <f t="shared" si="13"/>
        <v>0.88800000000000001</v>
      </c>
      <c r="T37" s="94">
        <f t="shared" si="14"/>
        <v>0.44229413147379143</v>
      </c>
      <c r="U37" s="96">
        <f t="shared" si="15"/>
        <v>0.40313608689939118</v>
      </c>
    </row>
    <row r="38" spans="1:21" x14ac:dyDescent="0.25">
      <c r="A38" s="72" t="s">
        <v>86</v>
      </c>
      <c r="B38" s="72">
        <v>440</v>
      </c>
      <c r="C38" s="72">
        <v>399</v>
      </c>
      <c r="D38" s="72">
        <v>408</v>
      </c>
      <c r="E38" s="72">
        <v>516</v>
      </c>
      <c r="F38" s="72">
        <v>475</v>
      </c>
      <c r="G38" s="22">
        <v>568</v>
      </c>
      <c r="H38" s="22">
        <v>613</v>
      </c>
      <c r="I38" s="22">
        <v>672</v>
      </c>
      <c r="J38" s="22">
        <v>755</v>
      </c>
      <c r="K38" s="22">
        <v>943</v>
      </c>
      <c r="L38" s="22">
        <v>797</v>
      </c>
      <c r="M38" s="22">
        <v>1116</v>
      </c>
      <c r="N38" s="22">
        <v>993</v>
      </c>
      <c r="O38" s="22">
        <v>847</v>
      </c>
      <c r="P38" s="22">
        <v>886</v>
      </c>
      <c r="Q38" s="22">
        <v>1038</v>
      </c>
      <c r="R38" s="86">
        <f t="shared" si="12"/>
        <v>0.69331158238172919</v>
      </c>
      <c r="S38" s="93">
        <f t="shared" si="13"/>
        <v>-6.9892473118279563E-2</v>
      </c>
      <c r="T38" s="93">
        <f t="shared" si="14"/>
        <v>0.17155756207674944</v>
      </c>
      <c r="U38" s="95">
        <f t="shared" si="15"/>
        <v>2.2732250010950025E-2</v>
      </c>
    </row>
    <row r="39" spans="1:21" x14ac:dyDescent="0.25">
      <c r="A39" s="72" t="s">
        <v>3</v>
      </c>
      <c r="B39" s="72">
        <v>437</v>
      </c>
      <c r="C39" s="72">
        <v>553</v>
      </c>
      <c r="D39" s="72">
        <v>725</v>
      </c>
      <c r="E39" s="72">
        <v>670</v>
      </c>
      <c r="F39" s="72">
        <v>862</v>
      </c>
      <c r="G39" s="22">
        <v>571</v>
      </c>
      <c r="H39" s="22">
        <v>917</v>
      </c>
      <c r="I39" s="22">
        <v>848</v>
      </c>
      <c r="J39" s="22">
        <v>882</v>
      </c>
      <c r="K39" s="22">
        <v>1249</v>
      </c>
      <c r="L39" s="22">
        <v>939</v>
      </c>
      <c r="M39" s="22">
        <v>771</v>
      </c>
      <c r="N39" s="22">
        <v>902</v>
      </c>
      <c r="O39" s="22">
        <v>485</v>
      </c>
      <c r="P39" s="22">
        <v>825</v>
      </c>
      <c r="Q39" s="22">
        <v>965</v>
      </c>
      <c r="R39" s="86">
        <f t="shared" si="12"/>
        <v>5.2344601962922573E-2</v>
      </c>
      <c r="S39" s="93">
        <f t="shared" si="13"/>
        <v>0.25162127107652399</v>
      </c>
      <c r="T39" s="93">
        <f t="shared" si="14"/>
        <v>0.16969696969696971</v>
      </c>
      <c r="U39" s="95">
        <f t="shared" si="15"/>
        <v>2.1133546493802287E-2</v>
      </c>
    </row>
    <row r="40" spans="1:21" x14ac:dyDescent="0.25">
      <c r="A40" s="72" t="s">
        <v>87</v>
      </c>
      <c r="B40" s="72">
        <v>1008</v>
      </c>
      <c r="C40" s="72">
        <v>1687</v>
      </c>
      <c r="D40" s="72">
        <v>2098</v>
      </c>
      <c r="E40" s="72">
        <v>2364</v>
      </c>
      <c r="F40" s="72">
        <v>1817</v>
      </c>
      <c r="G40" s="22">
        <v>2674</v>
      </c>
      <c r="H40" s="22">
        <v>3230</v>
      </c>
      <c r="I40" s="22">
        <v>3245</v>
      </c>
      <c r="J40" s="22">
        <v>3593</v>
      </c>
      <c r="K40" s="22">
        <v>5096</v>
      </c>
      <c r="L40" s="22">
        <v>6547</v>
      </c>
      <c r="M40" s="22">
        <v>7863</v>
      </c>
      <c r="N40" s="22">
        <v>9908</v>
      </c>
      <c r="O40" s="22">
        <v>9969</v>
      </c>
      <c r="P40" s="22">
        <v>11052</v>
      </c>
      <c r="Q40" s="22">
        <v>16405</v>
      </c>
      <c r="R40" s="86">
        <f t="shared" si="12"/>
        <v>4.0789473684210522</v>
      </c>
      <c r="S40" s="93">
        <f t="shared" si="13"/>
        <v>1.0863538089787612</v>
      </c>
      <c r="T40" s="93">
        <f t="shared" si="14"/>
        <v>0.4843467245747376</v>
      </c>
      <c r="U40" s="95">
        <f t="shared" si="15"/>
        <v>0.35927029039463887</v>
      </c>
    </row>
    <row r="41" spans="1:21" x14ac:dyDescent="0.25">
      <c r="A41" s="5" t="s">
        <v>4</v>
      </c>
      <c r="B41" s="5">
        <v>5016</v>
      </c>
      <c r="C41" s="5">
        <v>7652</v>
      </c>
      <c r="D41" s="5">
        <v>8783</v>
      </c>
      <c r="E41" s="5">
        <v>8853</v>
      </c>
      <c r="F41" s="5">
        <v>8730</v>
      </c>
      <c r="G41" s="5">
        <v>9690</v>
      </c>
      <c r="H41" s="5">
        <v>12575</v>
      </c>
      <c r="I41" s="5">
        <v>12895</v>
      </c>
      <c r="J41" s="5">
        <v>13517</v>
      </c>
      <c r="K41" s="5">
        <v>18951</v>
      </c>
      <c r="L41" s="5">
        <v>22610</v>
      </c>
      <c r="M41" s="5">
        <v>24935</v>
      </c>
      <c r="N41" s="5">
        <v>29223</v>
      </c>
      <c r="O41" s="5">
        <v>27336</v>
      </c>
      <c r="P41" s="5">
        <v>33394</v>
      </c>
      <c r="Q41" s="5">
        <v>45662</v>
      </c>
      <c r="R41" s="70">
        <f t="shared" si="12"/>
        <v>2.63117296222664</v>
      </c>
      <c r="S41" s="94">
        <f t="shared" si="13"/>
        <v>0.83124122719069582</v>
      </c>
      <c r="T41" s="94">
        <f t="shared" si="14"/>
        <v>0.36737138408097264</v>
      </c>
      <c r="U41" s="96">
        <f t="shared" si="15"/>
        <v>1</v>
      </c>
    </row>
    <row r="42" spans="1:21" x14ac:dyDescent="0.25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</row>
    <row r="43" spans="1:21" x14ac:dyDescent="0.2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</row>
    <row r="44" spans="1:21" x14ac:dyDescent="0.25">
      <c r="A44" s="58" t="s">
        <v>230</v>
      </c>
      <c r="B44" s="58"/>
      <c r="C44" s="58"/>
      <c r="D44" s="58"/>
      <c r="E44" s="58"/>
      <c r="F44" s="58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</row>
    <row r="45" spans="1:21" x14ac:dyDescent="0.2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</row>
    <row r="46" spans="1:21" x14ac:dyDescent="0.25">
      <c r="A46" s="59" t="s">
        <v>21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</row>
    <row r="47" spans="1:21" x14ac:dyDescent="0.25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</row>
    <row r="48" spans="1:21" x14ac:dyDescent="0.25"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</row>
    <row r="49" spans="2:21" x14ac:dyDescent="0.25"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</row>
    <row r="50" spans="2:21" x14ac:dyDescent="0.25"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</row>
    <row r="51" spans="2:21" x14ac:dyDescent="0.25"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</row>
    <row r="52" spans="2:21" x14ac:dyDescent="0.25"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</row>
  </sheetData>
  <hyperlinks>
    <hyperlink ref="A46" location="Indice!A5" display="Volver al índice"/>
  </hyperlinks>
  <pageMargins left="0.7" right="0.7" top="0.75" bottom="0.75" header="0.3" footer="0.3"/>
  <pageSetup orientation="portrait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1"/>
  <sheetViews>
    <sheetView showGridLines="0" zoomScale="80" zoomScaleNormal="80" workbookViewId="0">
      <pane ySplit="4" topLeftCell="A5" activePane="bottomLeft" state="frozen"/>
      <selection pane="bottomLeft" activeCell="A4" sqref="A4"/>
    </sheetView>
  </sheetViews>
  <sheetFormatPr baseColWidth="10" defaultColWidth="10.85546875" defaultRowHeight="15" x14ac:dyDescent="0.25"/>
  <cols>
    <col min="1" max="1" width="86.42578125" style="1" bestFit="1" customWidth="1"/>
    <col min="2" max="3" width="14" style="36" customWidth="1"/>
    <col min="4" max="4" width="13.140625" style="36" customWidth="1"/>
    <col min="5" max="5" width="16.140625" style="36" customWidth="1"/>
    <col min="6" max="7" width="10.85546875" style="2"/>
    <col min="8" max="8" width="12.85546875" style="2" bestFit="1" customWidth="1"/>
    <col min="9" max="9" width="10.85546875" style="2"/>
    <col min="10" max="10" width="12.42578125" style="2" customWidth="1"/>
    <col min="11" max="16384" width="10.85546875" style="2"/>
  </cols>
  <sheetData>
    <row r="1" spans="1:11" ht="21" x14ac:dyDescent="0.25">
      <c r="A1" s="55" t="s">
        <v>405</v>
      </c>
      <c r="B1" s="37"/>
      <c r="C1" s="37"/>
      <c r="D1" s="37"/>
      <c r="E1" s="37"/>
    </row>
    <row r="2" spans="1:11" ht="27" customHeight="1" x14ac:dyDescent="0.25">
      <c r="A2" s="31"/>
      <c r="B2" s="37"/>
      <c r="C2" s="37"/>
      <c r="D2" s="37"/>
      <c r="E2" s="37"/>
    </row>
    <row r="3" spans="1:11" x14ac:dyDescent="0.25">
      <c r="A3" s="32"/>
      <c r="B3" s="37"/>
      <c r="C3" s="37"/>
      <c r="D3" s="37"/>
      <c r="E3" s="37"/>
    </row>
    <row r="4" spans="1:11" ht="44.25" customHeight="1" x14ac:dyDescent="0.25">
      <c r="A4" s="116" t="s">
        <v>91</v>
      </c>
      <c r="B4" s="42" t="s">
        <v>412</v>
      </c>
      <c r="C4" s="42" t="s">
        <v>413</v>
      </c>
      <c r="D4" s="42" t="s">
        <v>414</v>
      </c>
      <c r="E4" s="42" t="s">
        <v>415</v>
      </c>
      <c r="K4" s="144"/>
    </row>
    <row r="5" spans="1:11" x14ac:dyDescent="0.25">
      <c r="A5" s="4" t="s">
        <v>260</v>
      </c>
      <c r="B5" s="34">
        <v>8</v>
      </c>
      <c r="C5" s="34">
        <v>0</v>
      </c>
      <c r="D5" s="34">
        <v>0</v>
      </c>
      <c r="E5" s="35">
        <v>8</v>
      </c>
      <c r="J5" s="144"/>
    </row>
    <row r="6" spans="1:11" x14ac:dyDescent="0.25">
      <c r="A6" s="4" t="s">
        <v>92</v>
      </c>
      <c r="B6" s="34">
        <v>26</v>
      </c>
      <c r="C6" s="34">
        <v>0</v>
      </c>
      <c r="D6" s="34">
        <v>0</v>
      </c>
      <c r="E6" s="35">
        <v>26</v>
      </c>
    </row>
    <row r="7" spans="1:11" x14ac:dyDescent="0.25">
      <c r="A7" s="4" t="s">
        <v>93</v>
      </c>
      <c r="B7" s="34">
        <v>477</v>
      </c>
      <c r="C7" s="34">
        <v>0</v>
      </c>
      <c r="D7" s="34">
        <v>0</v>
      </c>
      <c r="E7" s="35">
        <v>477</v>
      </c>
    </row>
    <row r="8" spans="1:11" x14ac:dyDescent="0.25">
      <c r="A8" s="4" t="s">
        <v>94</v>
      </c>
      <c r="B8" s="34">
        <v>1485</v>
      </c>
      <c r="C8" s="34">
        <v>0</v>
      </c>
      <c r="D8" s="34">
        <v>0</v>
      </c>
      <c r="E8" s="35">
        <v>1485</v>
      </c>
    </row>
    <row r="9" spans="1:11" x14ac:dyDescent="0.25">
      <c r="A9" s="4" t="s">
        <v>95</v>
      </c>
      <c r="B9" s="34">
        <v>23</v>
      </c>
      <c r="C9" s="34">
        <v>0</v>
      </c>
      <c r="D9" s="34">
        <v>0</v>
      </c>
      <c r="E9" s="35">
        <v>23</v>
      </c>
      <c r="J9" s="144"/>
    </row>
    <row r="10" spans="1:11" x14ac:dyDescent="0.25">
      <c r="A10" s="4" t="s">
        <v>96</v>
      </c>
      <c r="B10" s="34">
        <v>1555</v>
      </c>
      <c r="C10" s="34">
        <v>0</v>
      </c>
      <c r="D10" s="34">
        <v>0</v>
      </c>
      <c r="E10" s="35">
        <v>1555</v>
      </c>
    </row>
    <row r="11" spans="1:11" x14ac:dyDescent="0.25">
      <c r="A11" s="4" t="s">
        <v>97</v>
      </c>
      <c r="B11" s="34">
        <v>8</v>
      </c>
      <c r="C11" s="34">
        <v>0</v>
      </c>
      <c r="D11" s="34">
        <v>9</v>
      </c>
      <c r="E11" s="35">
        <v>17</v>
      </c>
      <c r="J11" s="144"/>
    </row>
    <row r="12" spans="1:11" x14ac:dyDescent="0.25">
      <c r="A12" s="4" t="s">
        <v>98</v>
      </c>
      <c r="B12" s="34">
        <v>2036</v>
      </c>
      <c r="C12" s="34">
        <v>0</v>
      </c>
      <c r="D12" s="34">
        <v>0</v>
      </c>
      <c r="E12" s="35">
        <v>2036</v>
      </c>
    </row>
    <row r="13" spans="1:11" x14ac:dyDescent="0.25">
      <c r="A13" s="4" t="s">
        <v>274</v>
      </c>
      <c r="B13" s="34">
        <v>2</v>
      </c>
      <c r="C13" s="34">
        <v>0</v>
      </c>
      <c r="D13" s="34">
        <v>0</v>
      </c>
      <c r="E13" s="35">
        <v>2</v>
      </c>
    </row>
    <row r="14" spans="1:11" x14ac:dyDescent="0.25">
      <c r="A14" s="4" t="s">
        <v>422</v>
      </c>
      <c r="B14" s="34">
        <v>44</v>
      </c>
      <c r="C14" s="34">
        <v>0</v>
      </c>
      <c r="D14" s="34">
        <v>0</v>
      </c>
      <c r="E14" s="35">
        <v>44</v>
      </c>
    </row>
    <row r="15" spans="1:11" x14ac:dyDescent="0.25">
      <c r="A15" s="4" t="s">
        <v>319</v>
      </c>
      <c r="B15" s="34">
        <v>710</v>
      </c>
      <c r="C15" s="34">
        <v>0</v>
      </c>
      <c r="D15" s="34">
        <v>0</v>
      </c>
      <c r="E15" s="35">
        <v>710</v>
      </c>
    </row>
    <row r="16" spans="1:11" x14ac:dyDescent="0.25">
      <c r="A16" s="4" t="s">
        <v>320</v>
      </c>
      <c r="B16" s="34">
        <v>99</v>
      </c>
      <c r="C16" s="34">
        <v>0</v>
      </c>
      <c r="D16" s="34">
        <v>0</v>
      </c>
      <c r="E16" s="35">
        <v>99</v>
      </c>
    </row>
    <row r="17" spans="1:10" x14ac:dyDescent="0.25">
      <c r="A17" s="4" t="s">
        <v>275</v>
      </c>
      <c r="B17" s="34">
        <v>53</v>
      </c>
      <c r="C17" s="34">
        <v>0</v>
      </c>
      <c r="D17" s="34">
        <v>0</v>
      </c>
      <c r="E17" s="35">
        <v>53</v>
      </c>
    </row>
    <row r="18" spans="1:10" x14ac:dyDescent="0.25">
      <c r="A18" s="4" t="s">
        <v>423</v>
      </c>
      <c r="B18" s="34">
        <v>44</v>
      </c>
      <c r="C18" s="34">
        <v>0</v>
      </c>
      <c r="D18" s="34">
        <v>0</v>
      </c>
      <c r="E18" s="35">
        <v>44</v>
      </c>
    </row>
    <row r="19" spans="1:10" x14ac:dyDescent="0.25">
      <c r="A19" s="4" t="s">
        <v>424</v>
      </c>
      <c r="B19" s="34">
        <v>91</v>
      </c>
      <c r="C19" s="34">
        <v>0</v>
      </c>
      <c r="D19" s="34">
        <v>0</v>
      </c>
      <c r="E19" s="35">
        <v>91</v>
      </c>
    </row>
    <row r="20" spans="1:10" x14ac:dyDescent="0.25">
      <c r="A20" s="4" t="s">
        <v>425</v>
      </c>
      <c r="B20" s="34">
        <v>9</v>
      </c>
      <c r="C20" s="34">
        <v>0</v>
      </c>
      <c r="D20" s="34">
        <v>0</v>
      </c>
      <c r="E20" s="35">
        <v>9</v>
      </c>
      <c r="J20" s="144"/>
    </row>
    <row r="21" spans="1:10" x14ac:dyDescent="0.25">
      <c r="A21" s="4" t="s">
        <v>321</v>
      </c>
      <c r="B21" s="34">
        <v>188</v>
      </c>
      <c r="C21" s="34">
        <v>0</v>
      </c>
      <c r="D21" s="34">
        <v>0</v>
      </c>
      <c r="E21" s="35">
        <v>188</v>
      </c>
      <c r="J21" s="144"/>
    </row>
    <row r="22" spans="1:10" x14ac:dyDescent="0.25">
      <c r="A22" s="4" t="s">
        <v>322</v>
      </c>
      <c r="B22" s="34">
        <v>170</v>
      </c>
      <c r="C22" s="34">
        <v>0</v>
      </c>
      <c r="D22" s="34">
        <v>0</v>
      </c>
      <c r="E22" s="35">
        <v>170</v>
      </c>
    </row>
    <row r="23" spans="1:10" x14ac:dyDescent="0.25">
      <c r="A23" s="4" t="s">
        <v>276</v>
      </c>
      <c r="B23" s="34">
        <v>121</v>
      </c>
      <c r="C23" s="34">
        <v>0</v>
      </c>
      <c r="D23" s="34">
        <v>0</v>
      </c>
      <c r="E23" s="35">
        <v>121</v>
      </c>
      <c r="J23" s="144"/>
    </row>
    <row r="24" spans="1:10" x14ac:dyDescent="0.25">
      <c r="A24" s="4" t="s">
        <v>426</v>
      </c>
      <c r="B24" s="34">
        <v>16</v>
      </c>
      <c r="C24" s="34">
        <v>0</v>
      </c>
      <c r="D24" s="34">
        <v>0</v>
      </c>
      <c r="E24" s="35">
        <v>16</v>
      </c>
    </row>
    <row r="25" spans="1:10" x14ac:dyDescent="0.25">
      <c r="A25" s="4" t="s">
        <v>99</v>
      </c>
      <c r="B25" s="34">
        <v>162</v>
      </c>
      <c r="C25" s="34">
        <v>0</v>
      </c>
      <c r="D25" s="34">
        <v>0</v>
      </c>
      <c r="E25" s="35">
        <v>162</v>
      </c>
    </row>
    <row r="26" spans="1:10" x14ac:dyDescent="0.25">
      <c r="A26" s="4" t="s">
        <v>100</v>
      </c>
      <c r="B26" s="34">
        <v>110</v>
      </c>
      <c r="C26" s="34">
        <v>0</v>
      </c>
      <c r="D26" s="34">
        <v>0</v>
      </c>
      <c r="E26" s="35">
        <v>110</v>
      </c>
    </row>
    <row r="27" spans="1:10" x14ac:dyDescent="0.25">
      <c r="A27" s="4" t="s">
        <v>323</v>
      </c>
      <c r="B27" s="34">
        <v>20</v>
      </c>
      <c r="C27" s="34">
        <v>0</v>
      </c>
      <c r="D27" s="34">
        <v>0</v>
      </c>
      <c r="E27" s="35">
        <v>20</v>
      </c>
    </row>
    <row r="28" spans="1:10" x14ac:dyDescent="0.25">
      <c r="A28" s="4" t="s">
        <v>261</v>
      </c>
      <c r="B28" s="34">
        <v>8</v>
      </c>
      <c r="C28" s="34">
        <v>0</v>
      </c>
      <c r="D28" s="34">
        <v>0</v>
      </c>
      <c r="E28" s="35">
        <v>8</v>
      </c>
      <c r="J28" s="144"/>
    </row>
    <row r="29" spans="1:10" x14ac:dyDescent="0.25">
      <c r="A29" s="4" t="s">
        <v>277</v>
      </c>
      <c r="B29" s="34">
        <v>225</v>
      </c>
      <c r="C29" s="34">
        <v>0</v>
      </c>
      <c r="D29" s="34">
        <v>0</v>
      </c>
      <c r="E29" s="35">
        <v>225</v>
      </c>
      <c r="J29" s="144"/>
    </row>
    <row r="30" spans="1:10" x14ac:dyDescent="0.25">
      <c r="A30" s="4" t="s">
        <v>101</v>
      </c>
      <c r="B30" s="34">
        <v>14070</v>
      </c>
      <c r="C30" s="34">
        <v>0</v>
      </c>
      <c r="D30" s="34">
        <v>0</v>
      </c>
      <c r="E30" s="35">
        <v>14070</v>
      </c>
    </row>
    <row r="31" spans="1:10" x14ac:dyDescent="0.25">
      <c r="A31" s="4" t="s">
        <v>102</v>
      </c>
      <c r="B31" s="34">
        <v>485</v>
      </c>
      <c r="C31" s="34">
        <v>0</v>
      </c>
      <c r="D31" s="34">
        <v>0</v>
      </c>
      <c r="E31" s="35">
        <v>485</v>
      </c>
    </row>
    <row r="32" spans="1:10" x14ac:dyDescent="0.25">
      <c r="A32" s="4" t="s">
        <v>265</v>
      </c>
      <c r="B32" s="34">
        <v>10</v>
      </c>
      <c r="C32" s="34">
        <v>0</v>
      </c>
      <c r="D32" s="34">
        <v>0</v>
      </c>
      <c r="E32" s="35">
        <v>10</v>
      </c>
    </row>
    <row r="33" spans="1:10" x14ac:dyDescent="0.25">
      <c r="A33" s="4" t="s">
        <v>103</v>
      </c>
      <c r="B33" s="34">
        <v>85</v>
      </c>
      <c r="C33" s="34">
        <v>0</v>
      </c>
      <c r="D33" s="34">
        <v>0</v>
      </c>
      <c r="E33" s="35">
        <v>85</v>
      </c>
      <c r="J33" s="144"/>
    </row>
    <row r="34" spans="1:10" x14ac:dyDescent="0.25">
      <c r="A34" s="4" t="s">
        <v>104</v>
      </c>
      <c r="B34" s="34">
        <v>105</v>
      </c>
      <c r="C34" s="34">
        <v>0</v>
      </c>
      <c r="D34" s="34">
        <v>0</v>
      </c>
      <c r="E34" s="35">
        <v>105</v>
      </c>
    </row>
    <row r="35" spans="1:10" x14ac:dyDescent="0.25">
      <c r="A35" s="4" t="s">
        <v>105</v>
      </c>
      <c r="B35" s="34">
        <v>318</v>
      </c>
      <c r="C35" s="34">
        <v>0</v>
      </c>
      <c r="D35" s="34">
        <v>0</v>
      </c>
      <c r="E35" s="35">
        <v>318</v>
      </c>
    </row>
    <row r="36" spans="1:10" x14ac:dyDescent="0.25">
      <c r="A36" s="4" t="s">
        <v>106</v>
      </c>
      <c r="B36" s="34">
        <v>129</v>
      </c>
      <c r="C36" s="34">
        <v>0</v>
      </c>
      <c r="D36" s="34">
        <v>0</v>
      </c>
      <c r="E36" s="35">
        <v>129</v>
      </c>
    </row>
    <row r="37" spans="1:10" x14ac:dyDescent="0.25">
      <c r="A37" s="4" t="s">
        <v>107</v>
      </c>
      <c r="B37" s="34">
        <v>615</v>
      </c>
      <c r="C37" s="34">
        <v>0</v>
      </c>
      <c r="D37" s="34">
        <v>0</v>
      </c>
      <c r="E37" s="35">
        <v>615</v>
      </c>
    </row>
    <row r="38" spans="1:10" x14ac:dyDescent="0.25">
      <c r="A38" s="4" t="s">
        <v>108</v>
      </c>
      <c r="B38" s="34">
        <v>479</v>
      </c>
      <c r="C38" s="34">
        <v>0</v>
      </c>
      <c r="D38" s="34">
        <v>0</v>
      </c>
      <c r="E38" s="35">
        <v>479</v>
      </c>
    </row>
    <row r="39" spans="1:10" x14ac:dyDescent="0.25">
      <c r="A39" s="4" t="s">
        <v>109</v>
      </c>
      <c r="B39" s="34">
        <v>145</v>
      </c>
      <c r="C39" s="34">
        <v>0</v>
      </c>
      <c r="D39" s="34">
        <v>0</v>
      </c>
      <c r="E39" s="35">
        <v>145</v>
      </c>
    </row>
    <row r="40" spans="1:10" x14ac:dyDescent="0.25">
      <c r="A40" s="4" t="s">
        <v>110</v>
      </c>
      <c r="B40" s="34">
        <v>101</v>
      </c>
      <c r="C40" s="34">
        <v>0</v>
      </c>
      <c r="D40" s="34">
        <v>0</v>
      </c>
      <c r="E40" s="35">
        <v>101</v>
      </c>
    </row>
    <row r="41" spans="1:10" x14ac:dyDescent="0.25">
      <c r="A41" s="4" t="s">
        <v>111</v>
      </c>
      <c r="B41" s="34">
        <v>50</v>
      </c>
      <c r="C41" s="34">
        <v>0</v>
      </c>
      <c r="D41" s="34">
        <v>0</v>
      </c>
      <c r="E41" s="35">
        <v>50</v>
      </c>
    </row>
    <row r="42" spans="1:10" x14ac:dyDescent="0.25">
      <c r="A42" s="4" t="s">
        <v>112</v>
      </c>
      <c r="B42" s="34">
        <v>8</v>
      </c>
      <c r="C42" s="34">
        <v>0</v>
      </c>
      <c r="D42" s="34">
        <v>0</v>
      </c>
      <c r="E42" s="35">
        <v>8</v>
      </c>
      <c r="J42" s="144"/>
    </row>
    <row r="43" spans="1:10" x14ac:dyDescent="0.25">
      <c r="A43" s="4" t="s">
        <v>262</v>
      </c>
      <c r="B43" s="34">
        <v>1454</v>
      </c>
      <c r="C43" s="34">
        <v>0</v>
      </c>
      <c r="D43" s="34">
        <v>0</v>
      </c>
      <c r="E43" s="35">
        <v>1454</v>
      </c>
      <c r="J43" s="144"/>
    </row>
    <row r="44" spans="1:10" x14ac:dyDescent="0.25">
      <c r="A44" s="4" t="s">
        <v>263</v>
      </c>
      <c r="B44" s="34">
        <v>1641</v>
      </c>
      <c r="C44" s="34">
        <v>0</v>
      </c>
      <c r="D44" s="34">
        <v>0</v>
      </c>
      <c r="E44" s="35">
        <v>1641</v>
      </c>
    </row>
    <row r="45" spans="1:10" x14ac:dyDescent="0.25">
      <c r="A45" s="4" t="s">
        <v>113</v>
      </c>
      <c r="B45" s="34">
        <v>9589</v>
      </c>
      <c r="C45" s="34">
        <v>0</v>
      </c>
      <c r="D45" s="34">
        <v>0</v>
      </c>
      <c r="E45" s="35">
        <v>9589</v>
      </c>
    </row>
    <row r="46" spans="1:10" x14ac:dyDescent="0.25">
      <c r="A46" s="4" t="s">
        <v>114</v>
      </c>
      <c r="B46" s="34">
        <v>567</v>
      </c>
      <c r="C46" s="34">
        <v>0</v>
      </c>
      <c r="D46" s="34">
        <v>0</v>
      </c>
      <c r="E46" s="35">
        <v>567</v>
      </c>
    </row>
    <row r="47" spans="1:10" x14ac:dyDescent="0.25">
      <c r="A47" s="4" t="s">
        <v>115</v>
      </c>
      <c r="B47" s="34">
        <v>126</v>
      </c>
      <c r="C47" s="34">
        <v>0</v>
      </c>
      <c r="D47" s="34">
        <v>0</v>
      </c>
      <c r="E47" s="35">
        <v>126</v>
      </c>
    </row>
    <row r="48" spans="1:10" x14ac:dyDescent="0.25">
      <c r="A48" s="4" t="s">
        <v>116</v>
      </c>
      <c r="B48" s="34">
        <v>18657</v>
      </c>
      <c r="C48" s="34">
        <v>0</v>
      </c>
      <c r="D48" s="34">
        <v>0</v>
      </c>
      <c r="E48" s="35">
        <v>18657</v>
      </c>
    </row>
    <row r="49" spans="1:10" x14ac:dyDescent="0.25">
      <c r="A49" s="4" t="s">
        <v>264</v>
      </c>
      <c r="B49" s="34">
        <v>53</v>
      </c>
      <c r="C49" s="34">
        <v>0</v>
      </c>
      <c r="D49" s="34">
        <v>0</v>
      </c>
      <c r="E49" s="35">
        <v>53</v>
      </c>
    </row>
    <row r="50" spans="1:10" x14ac:dyDescent="0.25">
      <c r="A50" s="4" t="s">
        <v>117</v>
      </c>
      <c r="B50" s="34">
        <v>283</v>
      </c>
      <c r="C50" s="34">
        <v>0</v>
      </c>
      <c r="D50" s="34">
        <v>0</v>
      </c>
      <c r="E50" s="35">
        <v>283</v>
      </c>
    </row>
    <row r="51" spans="1:10" x14ac:dyDescent="0.25">
      <c r="A51" s="4" t="s">
        <v>118</v>
      </c>
      <c r="B51" s="34">
        <v>549</v>
      </c>
      <c r="C51" s="34">
        <v>0</v>
      </c>
      <c r="D51" s="34">
        <v>0</v>
      </c>
      <c r="E51" s="35">
        <v>549</v>
      </c>
    </row>
    <row r="52" spans="1:10" x14ac:dyDescent="0.25">
      <c r="A52" s="4" t="s">
        <v>119</v>
      </c>
      <c r="B52" s="34">
        <v>3894</v>
      </c>
      <c r="C52" s="34">
        <v>0</v>
      </c>
      <c r="D52" s="34">
        <v>0</v>
      </c>
      <c r="E52" s="35">
        <v>3894</v>
      </c>
    </row>
    <row r="53" spans="1:10" x14ac:dyDescent="0.25">
      <c r="A53" s="4" t="s">
        <v>120</v>
      </c>
      <c r="B53" s="34">
        <v>24</v>
      </c>
      <c r="C53" s="34">
        <v>0</v>
      </c>
      <c r="D53" s="34">
        <v>0</v>
      </c>
      <c r="E53" s="35">
        <v>24</v>
      </c>
    </row>
    <row r="54" spans="1:10" x14ac:dyDescent="0.25">
      <c r="A54" s="4" t="s">
        <v>121</v>
      </c>
      <c r="B54" s="34">
        <v>1914</v>
      </c>
      <c r="C54" s="34">
        <v>0</v>
      </c>
      <c r="D54" s="34">
        <v>0</v>
      </c>
      <c r="E54" s="35">
        <v>1914</v>
      </c>
    </row>
    <row r="55" spans="1:10" x14ac:dyDescent="0.25">
      <c r="A55" s="4" t="s">
        <v>122</v>
      </c>
      <c r="B55" s="34">
        <v>648</v>
      </c>
      <c r="C55" s="34">
        <v>0</v>
      </c>
      <c r="D55" s="34">
        <v>0</v>
      </c>
      <c r="E55" s="35">
        <v>648</v>
      </c>
    </row>
    <row r="56" spans="1:10" x14ac:dyDescent="0.25">
      <c r="A56" s="4" t="s">
        <v>123</v>
      </c>
      <c r="B56" s="34">
        <v>1890</v>
      </c>
      <c r="C56" s="34">
        <v>0</v>
      </c>
      <c r="D56" s="34">
        <v>0</v>
      </c>
      <c r="E56" s="35">
        <v>1890</v>
      </c>
    </row>
    <row r="57" spans="1:10" x14ac:dyDescent="0.25">
      <c r="A57" s="4" t="s">
        <v>124</v>
      </c>
      <c r="B57" s="34">
        <v>21314</v>
      </c>
      <c r="C57" s="34">
        <v>0</v>
      </c>
      <c r="D57" s="34">
        <v>0</v>
      </c>
      <c r="E57" s="35">
        <v>21314</v>
      </c>
    </row>
    <row r="58" spans="1:10" x14ac:dyDescent="0.25">
      <c r="A58" s="4" t="s">
        <v>125</v>
      </c>
      <c r="B58" s="34">
        <v>120</v>
      </c>
      <c r="C58" s="34">
        <v>0</v>
      </c>
      <c r="D58" s="34">
        <v>7</v>
      </c>
      <c r="E58" s="35">
        <v>127</v>
      </c>
    </row>
    <row r="59" spans="1:10" x14ac:dyDescent="0.25">
      <c r="A59" s="4" t="s">
        <v>255</v>
      </c>
      <c r="B59" s="34">
        <v>18</v>
      </c>
      <c r="C59" s="34">
        <v>0</v>
      </c>
      <c r="D59" s="34">
        <v>0</v>
      </c>
      <c r="E59" s="35">
        <v>18</v>
      </c>
    </row>
    <row r="60" spans="1:10" x14ac:dyDescent="0.25">
      <c r="A60" s="4" t="s">
        <v>427</v>
      </c>
      <c r="B60" s="34">
        <v>367</v>
      </c>
      <c r="C60" s="34">
        <v>0</v>
      </c>
      <c r="D60" s="34">
        <v>0</v>
      </c>
      <c r="E60" s="35">
        <v>367</v>
      </c>
    </row>
    <row r="61" spans="1:10" x14ac:dyDescent="0.25">
      <c r="A61" s="4" t="s">
        <v>126</v>
      </c>
      <c r="B61" s="34">
        <v>339</v>
      </c>
      <c r="C61" s="34">
        <v>0</v>
      </c>
      <c r="D61" s="34">
        <v>0</v>
      </c>
      <c r="E61" s="35">
        <v>339</v>
      </c>
    </row>
    <row r="62" spans="1:10" x14ac:dyDescent="0.25">
      <c r="A62" s="4" t="s">
        <v>266</v>
      </c>
      <c r="B62" s="34">
        <v>16</v>
      </c>
      <c r="C62" s="34">
        <v>0</v>
      </c>
      <c r="D62" s="34">
        <v>0</v>
      </c>
      <c r="E62" s="35">
        <v>16</v>
      </c>
    </row>
    <row r="63" spans="1:10" x14ac:dyDescent="0.25">
      <c r="A63" s="4" t="s">
        <v>127</v>
      </c>
      <c r="B63" s="34">
        <v>89</v>
      </c>
      <c r="C63" s="34">
        <v>0</v>
      </c>
      <c r="D63" s="34">
        <v>0</v>
      </c>
      <c r="E63" s="35">
        <v>89</v>
      </c>
    </row>
    <row r="64" spans="1:10" x14ac:dyDescent="0.25">
      <c r="A64" s="4" t="s">
        <v>128</v>
      </c>
      <c r="B64" s="34">
        <v>914</v>
      </c>
      <c r="C64" s="34">
        <v>0</v>
      </c>
      <c r="D64" s="34">
        <v>0</v>
      </c>
      <c r="E64" s="35">
        <v>914</v>
      </c>
      <c r="J64" s="144"/>
    </row>
    <row r="65" spans="1:5" x14ac:dyDescent="0.25">
      <c r="A65" s="4" t="s">
        <v>129</v>
      </c>
      <c r="B65" s="34">
        <v>6387</v>
      </c>
      <c r="C65" s="34">
        <v>0</v>
      </c>
      <c r="D65" s="34">
        <v>0</v>
      </c>
      <c r="E65" s="35">
        <v>6387</v>
      </c>
    </row>
    <row r="66" spans="1:5" x14ac:dyDescent="0.25">
      <c r="A66" s="4" t="s">
        <v>130</v>
      </c>
      <c r="B66" s="34">
        <v>1513</v>
      </c>
      <c r="C66" s="34">
        <v>0</v>
      </c>
      <c r="D66" s="34">
        <v>0</v>
      </c>
      <c r="E66" s="35">
        <v>1513</v>
      </c>
    </row>
    <row r="67" spans="1:5" x14ac:dyDescent="0.25">
      <c r="A67" s="4" t="s">
        <v>131</v>
      </c>
      <c r="B67" s="34">
        <v>149</v>
      </c>
      <c r="C67" s="34">
        <v>0</v>
      </c>
      <c r="D67" s="34">
        <v>0</v>
      </c>
      <c r="E67" s="35">
        <v>149</v>
      </c>
    </row>
    <row r="68" spans="1:5" x14ac:dyDescent="0.25">
      <c r="A68" s="4" t="s">
        <v>132</v>
      </c>
      <c r="B68" s="34">
        <v>220</v>
      </c>
      <c r="C68" s="34">
        <v>0</v>
      </c>
      <c r="D68" s="34">
        <v>22</v>
      </c>
      <c r="E68" s="35">
        <v>242</v>
      </c>
    </row>
    <row r="69" spans="1:5" x14ac:dyDescent="0.25">
      <c r="A69" s="4" t="s">
        <v>133</v>
      </c>
      <c r="B69" s="34">
        <v>4311</v>
      </c>
      <c r="C69" s="34">
        <v>0</v>
      </c>
      <c r="D69" s="34">
        <v>0</v>
      </c>
      <c r="E69" s="35">
        <v>4311</v>
      </c>
    </row>
    <row r="70" spans="1:5" x14ac:dyDescent="0.25">
      <c r="A70" s="4" t="s">
        <v>134</v>
      </c>
      <c r="B70" s="34">
        <v>1077</v>
      </c>
      <c r="C70" s="34">
        <v>0</v>
      </c>
      <c r="D70" s="34">
        <v>0</v>
      </c>
      <c r="E70" s="35">
        <v>1077</v>
      </c>
    </row>
    <row r="71" spans="1:5" x14ac:dyDescent="0.25">
      <c r="A71" s="4" t="s">
        <v>258</v>
      </c>
      <c r="B71" s="34">
        <v>3753</v>
      </c>
      <c r="C71" s="34">
        <v>0</v>
      </c>
      <c r="D71" s="34">
        <v>1165</v>
      </c>
      <c r="E71" s="35">
        <v>4918</v>
      </c>
    </row>
    <row r="72" spans="1:5" x14ac:dyDescent="0.25">
      <c r="A72" s="4" t="s">
        <v>135</v>
      </c>
      <c r="B72" s="34">
        <v>145</v>
      </c>
      <c r="C72" s="34">
        <v>0</v>
      </c>
      <c r="D72" s="34">
        <v>0</v>
      </c>
      <c r="E72" s="35">
        <v>145</v>
      </c>
    </row>
    <row r="73" spans="1:5" x14ac:dyDescent="0.25">
      <c r="A73" s="4" t="s">
        <v>136</v>
      </c>
      <c r="B73" s="34">
        <v>835</v>
      </c>
      <c r="C73" s="34">
        <v>0</v>
      </c>
      <c r="D73" s="34">
        <v>0</v>
      </c>
      <c r="E73" s="35">
        <v>835</v>
      </c>
    </row>
    <row r="74" spans="1:5" x14ac:dyDescent="0.25">
      <c r="A74" s="4" t="s">
        <v>137</v>
      </c>
      <c r="B74" s="34">
        <v>1189</v>
      </c>
      <c r="C74" s="34">
        <v>0</v>
      </c>
      <c r="D74" s="34">
        <v>0</v>
      </c>
      <c r="E74" s="35">
        <v>1189</v>
      </c>
    </row>
    <row r="75" spans="1:5" x14ac:dyDescent="0.25">
      <c r="A75" s="4" t="s">
        <v>278</v>
      </c>
      <c r="B75" s="34">
        <v>67</v>
      </c>
      <c r="C75" s="34">
        <v>0</v>
      </c>
      <c r="D75" s="34">
        <v>0</v>
      </c>
      <c r="E75" s="35">
        <v>67</v>
      </c>
    </row>
    <row r="76" spans="1:5" x14ac:dyDescent="0.25">
      <c r="A76" s="4" t="s">
        <v>138</v>
      </c>
      <c r="B76" s="34">
        <v>912</v>
      </c>
      <c r="C76" s="34">
        <v>0</v>
      </c>
      <c r="D76" s="34">
        <v>0</v>
      </c>
      <c r="E76" s="35">
        <v>912</v>
      </c>
    </row>
    <row r="77" spans="1:5" x14ac:dyDescent="0.25">
      <c r="A77" s="4" t="s">
        <v>139</v>
      </c>
      <c r="B77" s="34">
        <v>5336</v>
      </c>
      <c r="C77" s="34">
        <v>0</v>
      </c>
      <c r="D77" s="34">
        <v>0</v>
      </c>
      <c r="E77" s="35">
        <v>5336</v>
      </c>
    </row>
    <row r="78" spans="1:5" x14ac:dyDescent="0.25">
      <c r="A78" s="4" t="s">
        <v>140</v>
      </c>
      <c r="B78" s="34">
        <v>4485</v>
      </c>
      <c r="C78" s="34">
        <v>1961</v>
      </c>
      <c r="D78" s="34">
        <v>8844</v>
      </c>
      <c r="E78" s="35">
        <v>15290</v>
      </c>
    </row>
    <row r="79" spans="1:5" x14ac:dyDescent="0.25">
      <c r="A79" s="4" t="s">
        <v>141</v>
      </c>
      <c r="B79" s="34">
        <v>2017</v>
      </c>
      <c r="C79" s="34">
        <v>499</v>
      </c>
      <c r="D79" s="34">
        <v>1</v>
      </c>
      <c r="E79" s="35">
        <v>2517</v>
      </c>
    </row>
    <row r="80" spans="1:5" x14ac:dyDescent="0.25">
      <c r="A80" s="4" t="s">
        <v>142</v>
      </c>
      <c r="B80" s="34">
        <v>684</v>
      </c>
      <c r="C80" s="34">
        <v>42</v>
      </c>
      <c r="D80" s="34">
        <v>127</v>
      </c>
      <c r="E80" s="35">
        <v>853</v>
      </c>
    </row>
    <row r="81" spans="1:5" x14ac:dyDescent="0.25">
      <c r="A81" s="4" t="s">
        <v>143</v>
      </c>
      <c r="B81" s="34">
        <v>1766</v>
      </c>
      <c r="C81" s="34">
        <v>2025</v>
      </c>
      <c r="D81" s="34">
        <v>2552</v>
      </c>
      <c r="E81" s="35">
        <v>6343</v>
      </c>
    </row>
    <row r="82" spans="1:5" x14ac:dyDescent="0.25">
      <c r="A82" s="4" t="s">
        <v>144</v>
      </c>
      <c r="B82" s="34">
        <v>375</v>
      </c>
      <c r="C82" s="34">
        <v>21</v>
      </c>
      <c r="D82" s="34">
        <v>0</v>
      </c>
      <c r="E82" s="35">
        <v>396</v>
      </c>
    </row>
    <row r="83" spans="1:5" x14ac:dyDescent="0.25">
      <c r="A83" s="4" t="s">
        <v>145</v>
      </c>
      <c r="B83" s="34">
        <v>1132</v>
      </c>
      <c r="C83" s="34">
        <v>268</v>
      </c>
      <c r="D83" s="34">
        <v>3474</v>
      </c>
      <c r="E83" s="35">
        <v>4874</v>
      </c>
    </row>
    <row r="84" spans="1:5" x14ac:dyDescent="0.25">
      <c r="A84" s="4" t="s">
        <v>146</v>
      </c>
      <c r="B84" s="34">
        <v>9142</v>
      </c>
      <c r="C84" s="34">
        <v>3738</v>
      </c>
      <c r="D84" s="34">
        <v>250</v>
      </c>
      <c r="E84" s="35">
        <v>13130</v>
      </c>
    </row>
    <row r="85" spans="1:5" x14ac:dyDescent="0.25">
      <c r="A85" s="4" t="s">
        <v>147</v>
      </c>
      <c r="B85" s="34">
        <v>1961</v>
      </c>
      <c r="C85" s="34">
        <v>151</v>
      </c>
      <c r="D85" s="34">
        <v>0</v>
      </c>
      <c r="E85" s="35">
        <v>2112</v>
      </c>
    </row>
    <row r="86" spans="1:5" x14ac:dyDescent="0.25">
      <c r="A86" s="4" t="s">
        <v>148</v>
      </c>
      <c r="B86" s="34">
        <v>1889</v>
      </c>
      <c r="C86" s="34">
        <v>174</v>
      </c>
      <c r="D86" s="34">
        <v>248</v>
      </c>
      <c r="E86" s="35">
        <v>2311</v>
      </c>
    </row>
    <row r="87" spans="1:5" x14ac:dyDescent="0.25">
      <c r="A87" s="4" t="s">
        <v>149</v>
      </c>
      <c r="B87" s="34">
        <v>3533</v>
      </c>
      <c r="C87" s="34">
        <v>132</v>
      </c>
      <c r="D87" s="34">
        <v>1514</v>
      </c>
      <c r="E87" s="35">
        <v>5179</v>
      </c>
    </row>
    <row r="88" spans="1:5" x14ac:dyDescent="0.25">
      <c r="A88" s="4" t="s">
        <v>150</v>
      </c>
      <c r="B88" s="34">
        <v>1171</v>
      </c>
      <c r="C88" s="34">
        <v>115</v>
      </c>
      <c r="D88" s="34">
        <v>249</v>
      </c>
      <c r="E88" s="35">
        <v>1535</v>
      </c>
    </row>
    <row r="89" spans="1:5" x14ac:dyDescent="0.25">
      <c r="A89" s="4" t="s">
        <v>151</v>
      </c>
      <c r="B89" s="34">
        <v>759</v>
      </c>
      <c r="C89" s="34">
        <v>39</v>
      </c>
      <c r="D89" s="34">
        <v>38</v>
      </c>
      <c r="E89" s="35">
        <v>836</v>
      </c>
    </row>
    <row r="90" spans="1:5" x14ac:dyDescent="0.25">
      <c r="A90" s="4" t="s">
        <v>259</v>
      </c>
      <c r="B90" s="34">
        <v>1018</v>
      </c>
      <c r="C90" s="34">
        <v>16</v>
      </c>
      <c r="D90" s="34">
        <v>42</v>
      </c>
      <c r="E90" s="35">
        <v>1076</v>
      </c>
    </row>
    <row r="91" spans="1:5" x14ac:dyDescent="0.25">
      <c r="A91" s="4" t="s">
        <v>152</v>
      </c>
      <c r="B91" s="34">
        <v>2805</v>
      </c>
      <c r="C91" s="34">
        <v>167</v>
      </c>
      <c r="D91" s="34">
        <v>470</v>
      </c>
      <c r="E91" s="35">
        <v>3442</v>
      </c>
    </row>
    <row r="92" spans="1:5" x14ac:dyDescent="0.25">
      <c r="A92" s="4" t="s">
        <v>153</v>
      </c>
      <c r="B92" s="34">
        <v>1524</v>
      </c>
      <c r="C92" s="34">
        <v>108</v>
      </c>
      <c r="D92" s="34">
        <v>1571</v>
      </c>
      <c r="E92" s="35">
        <v>3203</v>
      </c>
    </row>
    <row r="93" spans="1:5" x14ac:dyDescent="0.25">
      <c r="A93" s="4" t="s">
        <v>154</v>
      </c>
      <c r="B93" s="34">
        <v>1738</v>
      </c>
      <c r="C93" s="34">
        <v>83</v>
      </c>
      <c r="D93" s="34">
        <v>343</v>
      </c>
      <c r="E93" s="35">
        <v>2164</v>
      </c>
    </row>
    <row r="94" spans="1:5" x14ac:dyDescent="0.25">
      <c r="A94" s="4" t="s">
        <v>155</v>
      </c>
      <c r="B94" s="34">
        <v>1434</v>
      </c>
      <c r="C94" s="34">
        <v>154</v>
      </c>
      <c r="D94" s="34">
        <v>218</v>
      </c>
      <c r="E94" s="35">
        <v>1806</v>
      </c>
    </row>
    <row r="95" spans="1:5" x14ac:dyDescent="0.25">
      <c r="A95" s="4" t="s">
        <v>156</v>
      </c>
      <c r="B95" s="34">
        <v>1972</v>
      </c>
      <c r="C95" s="34">
        <v>604</v>
      </c>
      <c r="D95" s="34">
        <v>3337</v>
      </c>
      <c r="E95" s="35">
        <v>5913</v>
      </c>
    </row>
    <row r="96" spans="1:5" x14ac:dyDescent="0.25">
      <c r="A96" s="4" t="s">
        <v>157</v>
      </c>
      <c r="B96" s="34">
        <v>1061</v>
      </c>
      <c r="C96" s="34">
        <v>48</v>
      </c>
      <c r="D96" s="34">
        <v>0</v>
      </c>
      <c r="E96" s="35">
        <v>1109</v>
      </c>
    </row>
    <row r="97" spans="1:5" x14ac:dyDescent="0.25">
      <c r="A97" s="4" t="s">
        <v>158</v>
      </c>
      <c r="B97" s="34">
        <v>1453</v>
      </c>
      <c r="C97" s="34">
        <v>48</v>
      </c>
      <c r="D97" s="34">
        <v>7</v>
      </c>
      <c r="E97" s="35">
        <v>1508</v>
      </c>
    </row>
    <row r="98" spans="1:5" x14ac:dyDescent="0.25">
      <c r="A98" s="4" t="s">
        <v>279</v>
      </c>
      <c r="B98" s="34">
        <v>152</v>
      </c>
      <c r="C98" s="34">
        <v>77</v>
      </c>
      <c r="D98" s="34">
        <v>0</v>
      </c>
      <c r="E98" s="35">
        <v>229</v>
      </c>
    </row>
    <row r="99" spans="1:5" x14ac:dyDescent="0.25">
      <c r="A99" s="4" t="s">
        <v>159</v>
      </c>
      <c r="B99" s="34">
        <v>762</v>
      </c>
      <c r="C99" s="34">
        <v>136</v>
      </c>
      <c r="D99" s="34">
        <v>0</v>
      </c>
      <c r="E99" s="35">
        <v>898</v>
      </c>
    </row>
    <row r="100" spans="1:5" x14ac:dyDescent="0.25">
      <c r="A100" s="4" t="s">
        <v>160</v>
      </c>
      <c r="B100" s="34">
        <v>1347</v>
      </c>
      <c r="C100" s="34">
        <v>20</v>
      </c>
      <c r="D100" s="34">
        <v>42</v>
      </c>
      <c r="E100" s="35">
        <v>1409</v>
      </c>
    </row>
    <row r="101" spans="1:5" x14ac:dyDescent="0.25">
      <c r="A101" s="4" t="s">
        <v>324</v>
      </c>
      <c r="B101" s="34">
        <v>20</v>
      </c>
      <c r="C101" s="34">
        <v>0</v>
      </c>
      <c r="D101" s="34">
        <v>0</v>
      </c>
      <c r="E101" s="35">
        <v>20</v>
      </c>
    </row>
    <row r="102" spans="1:5" x14ac:dyDescent="0.25">
      <c r="A102" s="4" t="s">
        <v>161</v>
      </c>
      <c r="B102" s="34">
        <v>4321</v>
      </c>
      <c r="C102" s="34">
        <v>1595</v>
      </c>
      <c r="D102" s="34">
        <v>512</v>
      </c>
      <c r="E102" s="35">
        <v>6428</v>
      </c>
    </row>
    <row r="103" spans="1:5" x14ac:dyDescent="0.25">
      <c r="A103" s="4" t="s">
        <v>162</v>
      </c>
      <c r="B103" s="34">
        <v>3232</v>
      </c>
      <c r="C103" s="34">
        <v>538</v>
      </c>
      <c r="D103" s="34">
        <v>671</v>
      </c>
      <c r="E103" s="35">
        <v>4441</v>
      </c>
    </row>
    <row r="104" spans="1:5" x14ac:dyDescent="0.25">
      <c r="A104" s="4" t="s">
        <v>163</v>
      </c>
      <c r="B104" s="34">
        <v>1761</v>
      </c>
      <c r="C104" s="34">
        <v>186</v>
      </c>
      <c r="D104" s="34">
        <v>94</v>
      </c>
      <c r="E104" s="35">
        <v>2041</v>
      </c>
    </row>
    <row r="105" spans="1:5" x14ac:dyDescent="0.25">
      <c r="A105" s="4" t="s">
        <v>164</v>
      </c>
      <c r="B105" s="34">
        <v>1087</v>
      </c>
      <c r="C105" s="34">
        <v>41</v>
      </c>
      <c r="D105" s="34">
        <v>28</v>
      </c>
      <c r="E105" s="35">
        <v>1156</v>
      </c>
    </row>
    <row r="106" spans="1:5" x14ac:dyDescent="0.25">
      <c r="A106" s="4" t="s">
        <v>165</v>
      </c>
      <c r="B106" s="34">
        <v>3821</v>
      </c>
      <c r="C106" s="34">
        <v>58</v>
      </c>
      <c r="D106" s="34">
        <v>1091</v>
      </c>
      <c r="E106" s="35">
        <v>4970</v>
      </c>
    </row>
    <row r="107" spans="1:5" x14ac:dyDescent="0.25">
      <c r="A107" s="4" t="s">
        <v>166</v>
      </c>
      <c r="B107" s="34">
        <v>1310</v>
      </c>
      <c r="C107" s="34">
        <v>500</v>
      </c>
      <c r="D107" s="34">
        <v>3998</v>
      </c>
      <c r="E107" s="35">
        <v>5808</v>
      </c>
    </row>
    <row r="108" spans="1:5" x14ac:dyDescent="0.25">
      <c r="A108" s="4" t="s">
        <v>167</v>
      </c>
      <c r="B108" s="34">
        <v>1372</v>
      </c>
      <c r="C108" s="34">
        <v>28</v>
      </c>
      <c r="D108" s="34">
        <v>0</v>
      </c>
      <c r="E108" s="35">
        <v>1400</v>
      </c>
    </row>
    <row r="109" spans="1:5" x14ac:dyDescent="0.25">
      <c r="A109" s="4" t="s">
        <v>168</v>
      </c>
      <c r="B109" s="34">
        <v>431</v>
      </c>
      <c r="C109" s="34">
        <v>0</v>
      </c>
      <c r="D109" s="34">
        <v>0</v>
      </c>
      <c r="E109" s="35">
        <v>431</v>
      </c>
    </row>
    <row r="110" spans="1:5" x14ac:dyDescent="0.25">
      <c r="A110" s="4" t="s">
        <v>325</v>
      </c>
      <c r="B110" s="34">
        <v>288</v>
      </c>
      <c r="C110" s="34">
        <v>0</v>
      </c>
      <c r="D110" s="34">
        <v>0</v>
      </c>
      <c r="E110" s="35">
        <v>288</v>
      </c>
    </row>
    <row r="111" spans="1:5" x14ac:dyDescent="0.25">
      <c r="A111" s="4" t="s">
        <v>169</v>
      </c>
      <c r="B111" s="34">
        <v>1223</v>
      </c>
      <c r="C111" s="34">
        <v>110</v>
      </c>
      <c r="D111" s="34">
        <v>134</v>
      </c>
      <c r="E111" s="35">
        <v>1467</v>
      </c>
    </row>
    <row r="112" spans="1:5" x14ac:dyDescent="0.25">
      <c r="A112" s="4" t="s">
        <v>170</v>
      </c>
      <c r="B112" s="34">
        <v>3302</v>
      </c>
      <c r="C112" s="34">
        <v>326</v>
      </c>
      <c r="D112" s="34">
        <v>2185</v>
      </c>
      <c r="E112" s="35">
        <v>5813</v>
      </c>
    </row>
    <row r="113" spans="1:10" x14ac:dyDescent="0.25">
      <c r="A113" s="4" t="s">
        <v>171</v>
      </c>
      <c r="B113" s="34">
        <v>1633</v>
      </c>
      <c r="C113" s="34">
        <v>302</v>
      </c>
      <c r="D113" s="34">
        <v>23</v>
      </c>
      <c r="E113" s="35">
        <v>1958</v>
      </c>
    </row>
    <row r="114" spans="1:10" x14ac:dyDescent="0.25">
      <c r="A114" s="4" t="s">
        <v>172</v>
      </c>
      <c r="B114" s="34">
        <v>1312</v>
      </c>
      <c r="C114" s="34">
        <v>75</v>
      </c>
      <c r="D114" s="34">
        <v>1</v>
      </c>
      <c r="E114" s="35">
        <v>1388</v>
      </c>
    </row>
    <row r="115" spans="1:10" x14ac:dyDescent="0.25">
      <c r="A115" s="4" t="s">
        <v>173</v>
      </c>
      <c r="B115" s="34">
        <v>2428</v>
      </c>
      <c r="C115" s="34">
        <v>161</v>
      </c>
      <c r="D115" s="34">
        <v>509</v>
      </c>
      <c r="E115" s="35">
        <v>3098</v>
      </c>
    </row>
    <row r="116" spans="1:10" x14ac:dyDescent="0.25">
      <c r="A116" s="4" t="s">
        <v>174</v>
      </c>
      <c r="B116" s="34">
        <v>1571</v>
      </c>
      <c r="C116" s="34">
        <v>160</v>
      </c>
      <c r="D116" s="34">
        <v>0</v>
      </c>
      <c r="E116" s="35">
        <v>1731</v>
      </c>
    </row>
    <row r="117" spans="1:10" x14ac:dyDescent="0.25">
      <c r="A117" s="4" t="s">
        <v>428</v>
      </c>
      <c r="B117" s="34">
        <v>705</v>
      </c>
      <c r="C117" s="34">
        <v>14</v>
      </c>
      <c r="D117" s="34">
        <v>31</v>
      </c>
      <c r="E117" s="35">
        <v>750</v>
      </c>
      <c r="J117" s="144"/>
    </row>
    <row r="118" spans="1:10" x14ac:dyDescent="0.25">
      <c r="A118" s="4" t="s">
        <v>175</v>
      </c>
      <c r="B118" s="34">
        <v>2015</v>
      </c>
      <c r="C118" s="34">
        <v>131</v>
      </c>
      <c r="D118" s="34">
        <v>217</v>
      </c>
      <c r="E118" s="35">
        <v>2363</v>
      </c>
    </row>
    <row r="119" spans="1:10" x14ac:dyDescent="0.25">
      <c r="A119" s="4" t="s">
        <v>176</v>
      </c>
      <c r="B119" s="34">
        <v>2104</v>
      </c>
      <c r="C119" s="34">
        <v>574</v>
      </c>
      <c r="D119" s="34">
        <v>6884</v>
      </c>
      <c r="E119" s="35">
        <v>9562</v>
      </c>
    </row>
    <row r="120" spans="1:10" x14ac:dyDescent="0.25">
      <c r="A120" s="4" t="s">
        <v>280</v>
      </c>
      <c r="B120" s="34">
        <v>127</v>
      </c>
      <c r="C120" s="34">
        <v>2</v>
      </c>
      <c r="D120" s="34">
        <v>0</v>
      </c>
      <c r="E120" s="35">
        <v>129</v>
      </c>
    </row>
    <row r="121" spans="1:10" x14ac:dyDescent="0.25">
      <c r="A121" s="4" t="s">
        <v>177</v>
      </c>
      <c r="B121" s="34">
        <v>2673</v>
      </c>
      <c r="C121" s="34">
        <v>413</v>
      </c>
      <c r="D121" s="34">
        <v>1508</v>
      </c>
      <c r="E121" s="35">
        <v>4594</v>
      </c>
    </row>
    <row r="122" spans="1:10" x14ac:dyDescent="0.25">
      <c r="A122" s="4" t="s">
        <v>178</v>
      </c>
      <c r="B122" s="34">
        <v>1021</v>
      </c>
      <c r="C122" s="34">
        <v>579</v>
      </c>
      <c r="D122" s="34">
        <v>809</v>
      </c>
      <c r="E122" s="35">
        <v>2409</v>
      </c>
    </row>
    <row r="123" spans="1:10" x14ac:dyDescent="0.25">
      <c r="A123" s="4" t="s">
        <v>179</v>
      </c>
      <c r="B123" s="34">
        <v>273</v>
      </c>
      <c r="C123" s="34">
        <v>12</v>
      </c>
      <c r="D123" s="34">
        <v>91</v>
      </c>
      <c r="E123" s="35">
        <v>376</v>
      </c>
    </row>
    <row r="124" spans="1:10" x14ac:dyDescent="0.25">
      <c r="A124" s="4" t="s">
        <v>267</v>
      </c>
      <c r="B124" s="34">
        <v>251</v>
      </c>
      <c r="C124" s="34">
        <v>0</v>
      </c>
      <c r="D124" s="34">
        <v>0</v>
      </c>
      <c r="E124" s="35">
        <v>251</v>
      </c>
    </row>
    <row r="125" spans="1:10" x14ac:dyDescent="0.25">
      <c r="A125" s="4" t="s">
        <v>429</v>
      </c>
      <c r="B125" s="34">
        <v>722</v>
      </c>
      <c r="C125" s="34">
        <v>38</v>
      </c>
      <c r="D125" s="34">
        <v>1</v>
      </c>
      <c r="E125" s="35">
        <v>761</v>
      </c>
    </row>
    <row r="126" spans="1:10" x14ac:dyDescent="0.25">
      <c r="A126" s="4" t="s">
        <v>180</v>
      </c>
      <c r="B126" s="34">
        <v>219</v>
      </c>
      <c r="C126" s="34">
        <v>0</v>
      </c>
      <c r="D126" s="34">
        <v>0</v>
      </c>
      <c r="E126" s="35">
        <v>219</v>
      </c>
    </row>
    <row r="127" spans="1:10" x14ac:dyDescent="0.25">
      <c r="A127" s="4" t="s">
        <v>181</v>
      </c>
      <c r="B127" s="34">
        <v>2763</v>
      </c>
      <c r="C127" s="34">
        <v>999</v>
      </c>
      <c r="D127" s="34">
        <v>690</v>
      </c>
      <c r="E127" s="35">
        <v>4452</v>
      </c>
    </row>
    <row r="128" spans="1:10" x14ac:dyDescent="0.25">
      <c r="A128" s="4" t="s">
        <v>182</v>
      </c>
      <c r="B128" s="34">
        <v>870</v>
      </c>
      <c r="C128" s="34">
        <v>35</v>
      </c>
      <c r="D128" s="34">
        <v>25</v>
      </c>
      <c r="E128" s="35">
        <v>930</v>
      </c>
    </row>
    <row r="129" spans="1:10" x14ac:dyDescent="0.25">
      <c r="A129" s="4" t="s">
        <v>183</v>
      </c>
      <c r="B129" s="34">
        <v>224</v>
      </c>
      <c r="C129" s="34">
        <v>391</v>
      </c>
      <c r="D129" s="34">
        <v>456</v>
      </c>
      <c r="E129" s="35">
        <v>1071</v>
      </c>
    </row>
    <row r="130" spans="1:10" x14ac:dyDescent="0.25">
      <c r="A130" s="4" t="s">
        <v>184</v>
      </c>
      <c r="B130" s="34">
        <v>5620</v>
      </c>
      <c r="C130" s="34">
        <v>861</v>
      </c>
      <c r="D130" s="34">
        <v>742</v>
      </c>
      <c r="E130" s="35">
        <v>7223</v>
      </c>
    </row>
    <row r="131" spans="1:10" x14ac:dyDescent="0.25">
      <c r="A131" s="4" t="s">
        <v>185</v>
      </c>
      <c r="B131" s="34">
        <v>4418</v>
      </c>
      <c r="C131" s="34">
        <v>197</v>
      </c>
      <c r="D131" s="34">
        <v>0</v>
      </c>
      <c r="E131" s="35">
        <v>4615</v>
      </c>
    </row>
    <row r="132" spans="1:10" x14ac:dyDescent="0.25">
      <c r="A132" s="4" t="s">
        <v>186</v>
      </c>
      <c r="B132" s="34">
        <v>663</v>
      </c>
      <c r="C132" s="34">
        <v>72</v>
      </c>
      <c r="D132" s="34">
        <v>0</v>
      </c>
      <c r="E132" s="35">
        <v>735</v>
      </c>
    </row>
    <row r="133" spans="1:10" x14ac:dyDescent="0.25">
      <c r="A133" s="4" t="s">
        <v>187</v>
      </c>
      <c r="B133" s="34">
        <v>2710</v>
      </c>
      <c r="C133" s="34">
        <v>259</v>
      </c>
      <c r="D133" s="34">
        <v>236</v>
      </c>
      <c r="E133" s="35">
        <v>3205</v>
      </c>
    </row>
    <row r="134" spans="1:10" x14ac:dyDescent="0.25">
      <c r="A134" s="4" t="s">
        <v>188</v>
      </c>
      <c r="B134" s="34">
        <v>6315</v>
      </c>
      <c r="C134" s="34">
        <v>1</v>
      </c>
      <c r="D134" s="34">
        <v>0</v>
      </c>
      <c r="E134" s="35">
        <v>6316</v>
      </c>
    </row>
    <row r="135" spans="1:10" x14ac:dyDescent="0.25">
      <c r="A135" s="4" t="s">
        <v>189</v>
      </c>
      <c r="B135" s="34">
        <v>1415</v>
      </c>
      <c r="C135" s="34">
        <v>19</v>
      </c>
      <c r="D135" s="34">
        <v>196</v>
      </c>
      <c r="E135" s="35">
        <v>1630</v>
      </c>
    </row>
    <row r="136" spans="1:10" x14ac:dyDescent="0.25">
      <c r="A136" s="5" t="s">
        <v>4</v>
      </c>
      <c r="B136" s="35">
        <v>223050</v>
      </c>
      <c r="C136" s="35">
        <v>19303</v>
      </c>
      <c r="D136" s="35">
        <v>45662</v>
      </c>
      <c r="E136" s="35">
        <v>288015</v>
      </c>
    </row>
    <row r="137" spans="1:10" x14ac:dyDescent="0.25">
      <c r="A137" s="32"/>
      <c r="B137" s="37"/>
      <c r="C137" s="37"/>
      <c r="D137" s="37"/>
      <c r="E137" s="37"/>
      <c r="J137" s="144"/>
    </row>
    <row r="138" spans="1:10" x14ac:dyDescent="0.25">
      <c r="A138" s="58" t="s">
        <v>230</v>
      </c>
      <c r="B138" s="37"/>
      <c r="C138" s="37"/>
      <c r="D138" s="37"/>
      <c r="E138" s="37"/>
      <c r="J138" s="144"/>
    </row>
    <row r="139" spans="1:10" x14ac:dyDescent="0.25">
      <c r="A139" s="32"/>
      <c r="B139" s="37"/>
      <c r="C139" s="37"/>
      <c r="D139" s="37"/>
      <c r="E139" s="37"/>
      <c r="J139" s="144"/>
    </row>
    <row r="140" spans="1:10" x14ac:dyDescent="0.25">
      <c r="A140" s="59" t="s">
        <v>21</v>
      </c>
      <c r="B140" s="37"/>
      <c r="C140" s="37"/>
      <c r="D140" s="37"/>
      <c r="E140" s="37"/>
      <c r="J140" s="144"/>
    </row>
    <row r="141" spans="1:10" x14ac:dyDescent="0.25">
      <c r="A141" s="32"/>
      <c r="B141" s="37"/>
      <c r="C141" s="37"/>
      <c r="D141" s="37"/>
      <c r="E141" s="37"/>
      <c r="J141" s="144"/>
    </row>
  </sheetData>
  <sortState ref="H5:K144">
    <sortCondition ref="K4:K144"/>
  </sortState>
  <hyperlinks>
    <hyperlink ref="A140" location="Indice!A5" display="Volver al índice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Indice</vt:lpstr>
      <vt:lpstr>Titulación Total 2022</vt:lpstr>
      <vt:lpstr>Evolución Titulación Total</vt:lpstr>
      <vt:lpstr>Titulación Pregrado 2022</vt:lpstr>
      <vt:lpstr>Evolución Titulación Pregrado</vt:lpstr>
      <vt:lpstr>Titulación Posgrado 2022</vt:lpstr>
      <vt:lpstr>Evolución Titulación Posgrado</vt:lpstr>
      <vt:lpstr>Titulacion Postitulo 2022</vt:lpstr>
      <vt:lpstr>Evolucion Titulacion Postitulo</vt:lpstr>
      <vt:lpstr>Listado de Instituciones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Salamanca Velazquez</dc:creator>
  <cp:lastModifiedBy>Usuario de Windows</cp:lastModifiedBy>
  <dcterms:created xsi:type="dcterms:W3CDTF">2015-09-10T13:36:10Z</dcterms:created>
  <dcterms:modified xsi:type="dcterms:W3CDTF">2023-05-29T15:01:59Z</dcterms:modified>
</cp:coreProperties>
</file>