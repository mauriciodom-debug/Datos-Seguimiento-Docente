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autoCompressPictures="0" defaultThemeVersion="153222"/>
  <mc:AlternateContent xmlns:mc="http://schemas.openxmlformats.org/markup-compatibility/2006">
    <mc:Choice Requires="x15">
      <x15ac:absPath xmlns:x15ac="http://schemas.microsoft.com/office/spreadsheetml/2010/11/ac" url="C:\Users\CCEM\Desktop\SIES TELETRABAJO\Titulados 2019\"/>
    </mc:Choice>
  </mc:AlternateContent>
  <bookViews>
    <workbookView xWindow="0" yWindow="0" windowWidth="20490" windowHeight="7050" tabRatio="892"/>
  </bookViews>
  <sheets>
    <sheet name="Indice" sheetId="11" r:id="rId1"/>
    <sheet name="Titulación Total 2019" sheetId="2" r:id="rId2"/>
    <sheet name="Evolución Titulación Total" sheetId="3" r:id="rId3"/>
    <sheet name="Titulación Pregrado 2019" sheetId="4" r:id="rId4"/>
    <sheet name="Evolución Titulación Pregrado" sheetId="5" r:id="rId5"/>
    <sheet name="Titulación Posgrado 2019" sheetId="6" r:id="rId6"/>
    <sheet name="Evolución Titulación Posgrado" sheetId="7" r:id="rId7"/>
    <sheet name="Titulacion Postitulo 2019" sheetId="8" r:id="rId8"/>
    <sheet name="Evolucion Titulacion Postitulo" sheetId="9" r:id="rId9"/>
    <sheet name="Listado de Instituciones" sheetId="10" r:id="rId10"/>
  </sheets>
  <definedNames>
    <definedName name="_xlnm._FilterDatabase" localSheetId="4" hidden="1">'Evolución Titulación Pregrado'!$A$100:$P$120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N19" i="5" l="1"/>
  <c r="R19" i="5"/>
  <c r="R82" i="3"/>
  <c r="R148" i="5" l="1"/>
  <c r="R149" i="5"/>
  <c r="R150" i="5"/>
  <c r="R151" i="5"/>
  <c r="R152" i="5"/>
  <c r="R153" i="5"/>
  <c r="R154" i="5"/>
  <c r="R155" i="5"/>
  <c r="R156" i="5"/>
  <c r="R157" i="5"/>
  <c r="R158" i="5"/>
  <c r="R159" i="5"/>
  <c r="R160" i="5"/>
  <c r="R161" i="5"/>
  <c r="R162" i="5"/>
  <c r="R163" i="5"/>
  <c r="R164" i="5"/>
  <c r="R165" i="5"/>
  <c r="R166" i="5"/>
  <c r="R147" i="5"/>
  <c r="R125" i="5"/>
  <c r="R126" i="5"/>
  <c r="R127" i="5"/>
  <c r="R128" i="5"/>
  <c r="R129" i="5"/>
  <c r="R130" i="5"/>
  <c r="R131" i="5"/>
  <c r="R132" i="5"/>
  <c r="R133" i="5"/>
  <c r="R134" i="5"/>
  <c r="R135" i="5"/>
  <c r="R136" i="5"/>
  <c r="R137" i="5"/>
  <c r="R138" i="5"/>
  <c r="R139" i="5"/>
  <c r="R140" i="5"/>
  <c r="R141" i="5"/>
  <c r="R142" i="5"/>
  <c r="R143" i="5"/>
  <c r="R124" i="5"/>
  <c r="R102" i="5"/>
  <c r="R103" i="5"/>
  <c r="R104" i="5"/>
  <c r="R105" i="5"/>
  <c r="R106" i="5"/>
  <c r="R107" i="5"/>
  <c r="R108" i="5"/>
  <c r="R109" i="5"/>
  <c r="R110" i="5"/>
  <c r="R111" i="5"/>
  <c r="R112" i="5"/>
  <c r="R113" i="5"/>
  <c r="R114" i="5"/>
  <c r="R115" i="5"/>
  <c r="R116" i="5"/>
  <c r="R117" i="5"/>
  <c r="R118" i="5"/>
  <c r="R119" i="5"/>
  <c r="R120" i="5"/>
  <c r="R101" i="5"/>
  <c r="R6" i="9"/>
  <c r="Q6" i="9"/>
  <c r="R105" i="3" l="1"/>
  <c r="O105" i="3"/>
  <c r="R110" i="3"/>
  <c r="Q110" i="3"/>
  <c r="P110" i="3"/>
  <c r="O110" i="3"/>
  <c r="R109" i="3"/>
  <c r="Q109" i="3"/>
  <c r="P109" i="3"/>
  <c r="O109" i="3"/>
  <c r="R108" i="3"/>
  <c r="Q108" i="3"/>
  <c r="P108" i="3"/>
  <c r="O108" i="3"/>
  <c r="R107" i="3"/>
  <c r="Q107" i="3"/>
  <c r="P107" i="3"/>
  <c r="O107" i="3"/>
  <c r="R106" i="3"/>
  <c r="Q106" i="3"/>
  <c r="P106" i="3"/>
  <c r="O106" i="3"/>
  <c r="Q105" i="3"/>
  <c r="P105" i="3"/>
  <c r="P85" i="3" l="1"/>
  <c r="P14" i="7" l="1"/>
  <c r="P17" i="5"/>
  <c r="P6" i="3"/>
  <c r="O9" i="3"/>
  <c r="O6" i="3"/>
  <c r="Q102" i="5" l="1"/>
  <c r="Q103" i="5"/>
  <c r="Q104" i="5"/>
  <c r="Q105" i="5"/>
  <c r="Q106" i="5"/>
  <c r="Q107" i="5"/>
  <c r="Q108" i="5"/>
  <c r="Q109" i="5"/>
  <c r="Q110" i="5"/>
  <c r="Q111" i="5"/>
  <c r="Q112" i="5"/>
  <c r="Q113" i="5"/>
  <c r="Q114" i="5"/>
  <c r="Q115" i="5"/>
  <c r="Q116" i="5"/>
  <c r="Q117" i="5"/>
  <c r="Q118" i="5"/>
  <c r="Q119" i="5"/>
  <c r="Q120" i="5"/>
  <c r="P102" i="5"/>
  <c r="P103" i="5"/>
  <c r="P104" i="5"/>
  <c r="P105" i="5"/>
  <c r="P106" i="5"/>
  <c r="P107" i="5"/>
  <c r="P108" i="5"/>
  <c r="P109" i="5"/>
  <c r="P110" i="5"/>
  <c r="P111" i="5"/>
  <c r="P112" i="5"/>
  <c r="P113" i="5"/>
  <c r="P114" i="5"/>
  <c r="P115" i="5"/>
  <c r="P116" i="5"/>
  <c r="P117" i="5"/>
  <c r="P118" i="5"/>
  <c r="P119" i="5"/>
  <c r="P120" i="5"/>
  <c r="Q101" i="5"/>
  <c r="P101" i="5"/>
  <c r="Q189" i="5" l="1"/>
  <c r="P189" i="5"/>
  <c r="O189" i="5"/>
  <c r="Q188" i="5"/>
  <c r="P188" i="5"/>
  <c r="O188" i="5"/>
  <c r="Q35" i="7"/>
  <c r="Q36" i="7"/>
  <c r="Q37" i="7"/>
  <c r="Q38" i="7"/>
  <c r="Q39" i="7"/>
  <c r="P35" i="7"/>
  <c r="P36" i="7"/>
  <c r="P37" i="7"/>
  <c r="P38" i="7"/>
  <c r="P39" i="7"/>
  <c r="O35" i="7"/>
  <c r="O36" i="7"/>
  <c r="O37" i="7"/>
  <c r="O38" i="7"/>
  <c r="O39" i="7"/>
  <c r="Q34" i="7"/>
  <c r="P34" i="7"/>
  <c r="O34" i="7"/>
  <c r="Q34" i="9"/>
  <c r="Q35" i="9"/>
  <c r="Q36" i="9"/>
  <c r="Q37" i="9"/>
  <c r="Q38" i="9"/>
  <c r="Q39" i="9"/>
  <c r="Q40" i="9"/>
  <c r="P34" i="9"/>
  <c r="P35" i="9"/>
  <c r="P36" i="9"/>
  <c r="P37" i="9"/>
  <c r="P38" i="9"/>
  <c r="P39" i="9"/>
  <c r="P40" i="9"/>
  <c r="O34" i="9"/>
  <c r="O35" i="9"/>
  <c r="O36" i="9"/>
  <c r="O37" i="9"/>
  <c r="O38" i="9"/>
  <c r="O39" i="9"/>
  <c r="O40" i="9"/>
  <c r="Q33" i="9"/>
  <c r="P33" i="9"/>
  <c r="O33" i="9"/>
  <c r="Q21" i="9"/>
  <c r="Q22" i="9"/>
  <c r="Q23" i="9"/>
  <c r="Q24" i="9"/>
  <c r="Q25" i="9"/>
  <c r="Q26" i="9"/>
  <c r="Q27" i="9"/>
  <c r="Q28" i="9"/>
  <c r="Q29" i="9"/>
  <c r="P22" i="9"/>
  <c r="P23" i="9"/>
  <c r="P24" i="9"/>
  <c r="P25" i="9"/>
  <c r="P26" i="9"/>
  <c r="P27" i="9"/>
  <c r="P28" i="9"/>
  <c r="P29" i="9"/>
  <c r="O21" i="9"/>
  <c r="O25" i="9"/>
  <c r="O26" i="9"/>
  <c r="O27" i="9"/>
  <c r="O28" i="9"/>
  <c r="O29" i="9"/>
  <c r="Q20" i="9"/>
  <c r="O20" i="9"/>
  <c r="P14" i="9"/>
  <c r="P15" i="9"/>
  <c r="P16" i="9"/>
  <c r="P13" i="9"/>
  <c r="Q14" i="9"/>
  <c r="Q15" i="9"/>
  <c r="Q16" i="9"/>
  <c r="O14" i="9"/>
  <c r="O15" i="9"/>
  <c r="O16" i="9"/>
  <c r="Q13" i="9"/>
  <c r="O13" i="9"/>
  <c r="P8" i="9"/>
  <c r="P9" i="9"/>
  <c r="Q7" i="9"/>
  <c r="Q8" i="9"/>
  <c r="Q9" i="9"/>
  <c r="P7" i="9"/>
  <c r="O8" i="9"/>
  <c r="O9" i="9"/>
  <c r="O6" i="9"/>
  <c r="Q21" i="7"/>
  <c r="Q22" i="7"/>
  <c r="Q23" i="7"/>
  <c r="Q24" i="7"/>
  <c r="Q25" i="7"/>
  <c r="Q26" i="7"/>
  <c r="Q27" i="7"/>
  <c r="Q28" i="7"/>
  <c r="Q29" i="7"/>
  <c r="P21" i="7"/>
  <c r="P22" i="7"/>
  <c r="P23" i="7"/>
  <c r="P24" i="7"/>
  <c r="P25" i="7"/>
  <c r="P26" i="7"/>
  <c r="P27" i="7"/>
  <c r="P28" i="7"/>
  <c r="P29" i="7"/>
  <c r="O21" i="7"/>
  <c r="O22" i="7"/>
  <c r="O23" i="7"/>
  <c r="O24" i="7"/>
  <c r="O25" i="7"/>
  <c r="O26" i="7"/>
  <c r="O27" i="7"/>
  <c r="O28" i="7"/>
  <c r="O29" i="7"/>
  <c r="Q20" i="7"/>
  <c r="P20" i="7"/>
  <c r="O20" i="7"/>
  <c r="Q15" i="7"/>
  <c r="Q16" i="7"/>
  <c r="P15" i="7"/>
  <c r="P16" i="7"/>
  <c r="O15" i="7"/>
  <c r="O16" i="7"/>
  <c r="Q14" i="7"/>
  <c r="O14" i="7"/>
  <c r="Q7" i="7"/>
  <c r="Q8" i="7"/>
  <c r="Q9" i="7"/>
  <c r="P7" i="7"/>
  <c r="P8" i="7"/>
  <c r="P9" i="7"/>
  <c r="O7" i="7"/>
  <c r="O8" i="7"/>
  <c r="O9" i="7"/>
  <c r="Q6" i="7"/>
  <c r="P6" i="7"/>
  <c r="O6" i="7"/>
  <c r="Q195" i="5"/>
  <c r="Q196" i="5"/>
  <c r="Q197" i="5"/>
  <c r="Q198" i="5"/>
  <c r="Q199" i="5"/>
  <c r="Q200" i="5"/>
  <c r="P195" i="5"/>
  <c r="P196" i="5"/>
  <c r="P197" i="5"/>
  <c r="P198" i="5"/>
  <c r="P199" i="5"/>
  <c r="P200" i="5"/>
  <c r="O195" i="5"/>
  <c r="O196" i="5"/>
  <c r="O197" i="5"/>
  <c r="O198" i="5"/>
  <c r="O199" i="5"/>
  <c r="O200" i="5"/>
  <c r="Q194" i="5"/>
  <c r="P194" i="5"/>
  <c r="O194" i="5"/>
  <c r="Q183" i="5"/>
  <c r="P183" i="5"/>
  <c r="O183" i="5"/>
  <c r="Q182" i="5"/>
  <c r="P182" i="5"/>
  <c r="O182" i="5"/>
  <c r="Q177" i="5"/>
  <c r="P177" i="5"/>
  <c r="O177" i="5"/>
  <c r="Q176" i="5"/>
  <c r="P176" i="5"/>
  <c r="O176" i="5"/>
  <c r="Q171" i="5"/>
  <c r="P171" i="5"/>
  <c r="O171" i="5"/>
  <c r="Q170" i="5"/>
  <c r="P170" i="5"/>
  <c r="O170" i="5"/>
  <c r="Q148" i="5"/>
  <c r="Q149" i="5"/>
  <c r="Q150" i="5"/>
  <c r="Q151" i="5"/>
  <c r="Q152" i="5"/>
  <c r="Q153" i="5"/>
  <c r="Q154" i="5"/>
  <c r="Q155" i="5"/>
  <c r="Q156" i="5"/>
  <c r="Q157" i="5"/>
  <c r="Q158" i="5"/>
  <c r="Q159" i="5"/>
  <c r="Q160" i="5"/>
  <c r="Q161" i="5"/>
  <c r="Q162" i="5"/>
  <c r="Q163" i="5"/>
  <c r="Q164" i="5"/>
  <c r="Q165" i="5"/>
  <c r="Q166" i="5"/>
  <c r="P148" i="5"/>
  <c r="P149" i="5"/>
  <c r="P150" i="5"/>
  <c r="P151" i="5"/>
  <c r="P152" i="5"/>
  <c r="P153" i="5"/>
  <c r="P154" i="5"/>
  <c r="P155" i="5"/>
  <c r="P156" i="5"/>
  <c r="P157" i="5"/>
  <c r="P158" i="5"/>
  <c r="P159" i="5"/>
  <c r="P160" i="5"/>
  <c r="P161" i="5"/>
  <c r="P162" i="5"/>
  <c r="P163" i="5"/>
  <c r="P164" i="5"/>
  <c r="P165" i="5"/>
  <c r="P166" i="5"/>
  <c r="O148" i="5"/>
  <c r="O149" i="5"/>
  <c r="O150" i="5"/>
  <c r="O151" i="5"/>
  <c r="O152" i="5"/>
  <c r="O153" i="5"/>
  <c r="O154" i="5"/>
  <c r="O155" i="5"/>
  <c r="O156" i="5"/>
  <c r="O157" i="5"/>
  <c r="O158" i="5"/>
  <c r="O159" i="5"/>
  <c r="O160" i="5"/>
  <c r="O161" i="5"/>
  <c r="O162" i="5"/>
  <c r="O163" i="5"/>
  <c r="O164" i="5"/>
  <c r="O165" i="5"/>
  <c r="O166" i="5"/>
  <c r="Q147" i="5"/>
  <c r="P147" i="5"/>
  <c r="O147" i="5"/>
  <c r="Q125" i="5"/>
  <c r="Q126" i="5"/>
  <c r="Q127" i="5"/>
  <c r="Q128" i="5"/>
  <c r="Q129" i="5"/>
  <c r="Q130" i="5"/>
  <c r="Q131" i="5"/>
  <c r="Q132" i="5"/>
  <c r="Q133" i="5"/>
  <c r="Q134" i="5"/>
  <c r="Q135" i="5"/>
  <c r="Q136" i="5"/>
  <c r="Q137" i="5"/>
  <c r="Q138" i="5"/>
  <c r="Q139" i="5"/>
  <c r="Q140" i="5"/>
  <c r="Q141" i="5"/>
  <c r="Q142" i="5"/>
  <c r="Q143" i="5"/>
  <c r="P125" i="5"/>
  <c r="P126" i="5"/>
  <c r="P127" i="5"/>
  <c r="P128" i="5"/>
  <c r="P129" i="5"/>
  <c r="P130" i="5"/>
  <c r="P131" i="5"/>
  <c r="P132" i="5"/>
  <c r="P133" i="5"/>
  <c r="P134" i="5"/>
  <c r="P135" i="5"/>
  <c r="P136" i="5"/>
  <c r="P137" i="5"/>
  <c r="P138" i="5"/>
  <c r="P139" i="5"/>
  <c r="P140" i="5"/>
  <c r="P141" i="5"/>
  <c r="P142" i="5"/>
  <c r="P143" i="5"/>
  <c r="O125" i="5"/>
  <c r="O126" i="5"/>
  <c r="O127" i="5"/>
  <c r="O128" i="5"/>
  <c r="O129" i="5"/>
  <c r="O130" i="5"/>
  <c r="O131" i="5"/>
  <c r="O132" i="5"/>
  <c r="O133" i="5"/>
  <c r="O134" i="5"/>
  <c r="O135" i="5"/>
  <c r="O136" i="5"/>
  <c r="O137" i="5"/>
  <c r="O138" i="5"/>
  <c r="O139" i="5"/>
  <c r="O140" i="5"/>
  <c r="O141" i="5"/>
  <c r="O142" i="5"/>
  <c r="O143" i="5"/>
  <c r="Q124" i="5"/>
  <c r="P124" i="5"/>
  <c r="O124" i="5"/>
  <c r="O101" i="5"/>
  <c r="Q79" i="5"/>
  <c r="Q80" i="5"/>
  <c r="Q81" i="5"/>
  <c r="Q82" i="5"/>
  <c r="Q83" i="5"/>
  <c r="P79" i="5"/>
  <c r="P80" i="5"/>
  <c r="P81" i="5"/>
  <c r="P82" i="5"/>
  <c r="P83" i="5"/>
  <c r="O79" i="5"/>
  <c r="O80" i="5"/>
  <c r="O81" i="5"/>
  <c r="O82" i="5"/>
  <c r="O83" i="5"/>
  <c r="Q78" i="5"/>
  <c r="P78" i="5"/>
  <c r="O78" i="5"/>
  <c r="Q88" i="5"/>
  <c r="Q89" i="5"/>
  <c r="Q90" i="5"/>
  <c r="Q91" i="5"/>
  <c r="Q92" i="5"/>
  <c r="Q93" i="5"/>
  <c r="Q94" i="5"/>
  <c r="Q95" i="5"/>
  <c r="Q96" i="5"/>
  <c r="Q97" i="5"/>
  <c r="P88" i="5"/>
  <c r="P89" i="5"/>
  <c r="P90" i="5"/>
  <c r="P91" i="5"/>
  <c r="P92" i="5"/>
  <c r="P93" i="5"/>
  <c r="P94" i="5"/>
  <c r="P95" i="5"/>
  <c r="P96" i="5"/>
  <c r="P97" i="5"/>
  <c r="O88" i="5"/>
  <c r="O89" i="5"/>
  <c r="O90" i="5"/>
  <c r="O91" i="5"/>
  <c r="O92" i="5"/>
  <c r="O93" i="5"/>
  <c r="O94" i="5"/>
  <c r="O95" i="5"/>
  <c r="O96" i="5"/>
  <c r="O97" i="5"/>
  <c r="Q87" i="5"/>
  <c r="P87" i="5"/>
  <c r="O87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O7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R53" i="5"/>
  <c r="Q53" i="5"/>
  <c r="P53" i="5"/>
  <c r="O53" i="5"/>
  <c r="Q40" i="5"/>
  <c r="Q41" i="5"/>
  <c r="Q42" i="5"/>
  <c r="Q43" i="5"/>
  <c r="Q44" i="5"/>
  <c r="Q45" i="5"/>
  <c r="Q46" i="5"/>
  <c r="Q47" i="5"/>
  <c r="Q48" i="5"/>
  <c r="Q49" i="5"/>
  <c r="P40" i="5"/>
  <c r="P41" i="5"/>
  <c r="P42" i="5"/>
  <c r="P43" i="5"/>
  <c r="P44" i="5"/>
  <c r="P45" i="5"/>
  <c r="P46" i="5"/>
  <c r="P47" i="5"/>
  <c r="P48" i="5"/>
  <c r="P49" i="5"/>
  <c r="O40" i="5"/>
  <c r="O41" i="5"/>
  <c r="O42" i="5"/>
  <c r="O43" i="5"/>
  <c r="O44" i="5"/>
  <c r="O45" i="5"/>
  <c r="O46" i="5"/>
  <c r="O47" i="5"/>
  <c r="O48" i="5"/>
  <c r="O49" i="5"/>
  <c r="Q39" i="5"/>
  <c r="P39" i="5"/>
  <c r="O39" i="5"/>
  <c r="Q33" i="5"/>
  <c r="P33" i="5"/>
  <c r="O33" i="5"/>
  <c r="Q24" i="5"/>
  <c r="Q25" i="5"/>
  <c r="Q26" i="5"/>
  <c r="Q27" i="5"/>
  <c r="P24" i="5"/>
  <c r="P25" i="5"/>
  <c r="P26" i="5"/>
  <c r="P27" i="5"/>
  <c r="O24" i="5"/>
  <c r="O25" i="5"/>
  <c r="O26" i="5"/>
  <c r="O27" i="5"/>
  <c r="Q23" i="5"/>
  <c r="P23" i="5"/>
  <c r="O23" i="5"/>
  <c r="Q14" i="5"/>
  <c r="Q15" i="5"/>
  <c r="Q16" i="5"/>
  <c r="Q17" i="5"/>
  <c r="P14" i="5"/>
  <c r="P15" i="5"/>
  <c r="P16" i="5"/>
  <c r="O14" i="5"/>
  <c r="O15" i="5"/>
  <c r="O16" i="5"/>
  <c r="O17" i="5"/>
  <c r="Q13" i="5"/>
  <c r="P13" i="5"/>
  <c r="O13" i="5"/>
  <c r="Q7" i="5"/>
  <c r="Q8" i="5"/>
  <c r="Q9" i="5"/>
  <c r="P7" i="5"/>
  <c r="P8" i="5"/>
  <c r="P9" i="5"/>
  <c r="O7" i="5"/>
  <c r="O8" i="5"/>
  <c r="O9" i="5"/>
  <c r="Q6" i="5"/>
  <c r="P6" i="5"/>
  <c r="O6" i="5"/>
  <c r="B201" i="5"/>
  <c r="B190" i="5"/>
  <c r="B184" i="5"/>
  <c r="B178" i="5"/>
  <c r="B172" i="5"/>
  <c r="B32" i="5"/>
  <c r="B31" i="5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Q85" i="3"/>
  <c r="O85" i="3"/>
  <c r="Q74" i="3"/>
  <c r="Q75" i="3"/>
  <c r="Q76" i="3"/>
  <c r="Q77" i="3"/>
  <c r="Q78" i="3"/>
  <c r="Q79" i="3"/>
  <c r="P74" i="3"/>
  <c r="P75" i="3"/>
  <c r="P76" i="3"/>
  <c r="P77" i="3"/>
  <c r="P78" i="3"/>
  <c r="P79" i="3"/>
  <c r="O74" i="3"/>
  <c r="O75" i="3"/>
  <c r="O76" i="3"/>
  <c r="O77" i="3"/>
  <c r="O78" i="3"/>
  <c r="O79" i="3"/>
  <c r="Q73" i="3"/>
  <c r="P73" i="3"/>
  <c r="O73" i="3"/>
  <c r="Q68" i="3"/>
  <c r="P68" i="3"/>
  <c r="O68" i="3"/>
  <c r="Q67" i="3"/>
  <c r="P67" i="3"/>
  <c r="O67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P45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O45" i="3"/>
  <c r="O46" i="3"/>
  <c r="O47" i="3"/>
  <c r="O48" i="3"/>
  <c r="O50" i="3"/>
  <c r="O51" i="3"/>
  <c r="O52" i="3"/>
  <c r="O53" i="3"/>
  <c r="O54" i="3"/>
  <c r="O55" i="3"/>
  <c r="O56" i="3"/>
  <c r="O57" i="3"/>
  <c r="O58" i="3"/>
  <c r="O59" i="3"/>
  <c r="O60" i="3"/>
  <c r="O61" i="3"/>
  <c r="Q44" i="3"/>
  <c r="P44" i="3"/>
  <c r="O44" i="3"/>
  <c r="Q35" i="3"/>
  <c r="Q36" i="3"/>
  <c r="Q37" i="3"/>
  <c r="Q38" i="3"/>
  <c r="Q39" i="3"/>
  <c r="P35" i="3"/>
  <c r="P36" i="3"/>
  <c r="P37" i="3"/>
  <c r="P38" i="3"/>
  <c r="P39" i="3"/>
  <c r="O35" i="3"/>
  <c r="O36" i="3"/>
  <c r="O37" i="3"/>
  <c r="O38" i="3"/>
  <c r="O39" i="3"/>
  <c r="Q34" i="3"/>
  <c r="P34" i="3"/>
  <c r="O34" i="3"/>
  <c r="Q30" i="3"/>
  <c r="P30" i="3"/>
  <c r="O30" i="3"/>
  <c r="Q29" i="3"/>
  <c r="P29" i="3"/>
  <c r="O29" i="3"/>
  <c r="Q28" i="3"/>
  <c r="P28" i="3"/>
  <c r="O28" i="3"/>
  <c r="Q27" i="3"/>
  <c r="P27" i="3"/>
  <c r="O27" i="3"/>
  <c r="Q26" i="3"/>
  <c r="P26" i="3"/>
  <c r="O26" i="3"/>
  <c r="Q25" i="3"/>
  <c r="P25" i="3"/>
  <c r="Q24" i="3"/>
  <c r="P24" i="3"/>
  <c r="O24" i="3"/>
  <c r="Q23" i="3"/>
  <c r="P23" i="3"/>
  <c r="O23" i="3"/>
  <c r="Q22" i="3"/>
  <c r="O22" i="3"/>
  <c r="Q21" i="3"/>
  <c r="P21" i="3"/>
  <c r="O21" i="3"/>
  <c r="Q20" i="3"/>
  <c r="P20" i="3"/>
  <c r="O20" i="3"/>
  <c r="Q14" i="3"/>
  <c r="Q15" i="3"/>
  <c r="Q16" i="3"/>
  <c r="P14" i="3"/>
  <c r="P15" i="3"/>
  <c r="P16" i="3"/>
  <c r="O14" i="3"/>
  <c r="O15" i="3"/>
  <c r="O16" i="3"/>
  <c r="Q13" i="3"/>
  <c r="P13" i="3"/>
  <c r="O13" i="3"/>
  <c r="Q7" i="3"/>
  <c r="Q8" i="3"/>
  <c r="Q9" i="3"/>
  <c r="P7" i="3"/>
  <c r="P8" i="3"/>
  <c r="P9" i="3"/>
  <c r="O7" i="3"/>
  <c r="O8" i="3"/>
  <c r="B33" i="5" l="1"/>
  <c r="N41" i="9"/>
  <c r="R34" i="9"/>
  <c r="R35" i="9"/>
  <c r="R36" i="9"/>
  <c r="R37" i="9"/>
  <c r="R38" i="9"/>
  <c r="R39" i="9"/>
  <c r="R40" i="9"/>
  <c r="R33" i="9"/>
  <c r="R21" i="9"/>
  <c r="R22" i="9"/>
  <c r="R23" i="9"/>
  <c r="R24" i="9"/>
  <c r="R25" i="9"/>
  <c r="R26" i="9"/>
  <c r="R27" i="9"/>
  <c r="R28" i="9"/>
  <c r="R29" i="9"/>
  <c r="R20" i="9"/>
  <c r="R14" i="9"/>
  <c r="R15" i="9"/>
  <c r="R16" i="9"/>
  <c r="R13" i="9"/>
  <c r="R7" i="9"/>
  <c r="R8" i="9"/>
  <c r="R9" i="9"/>
  <c r="C84" i="8"/>
  <c r="B84" i="8"/>
  <c r="R41" i="9" l="1"/>
  <c r="N40" i="7"/>
  <c r="R35" i="7"/>
  <c r="R36" i="7"/>
  <c r="R37" i="7"/>
  <c r="R38" i="7"/>
  <c r="R39" i="7"/>
  <c r="R34" i="7"/>
  <c r="R21" i="7"/>
  <c r="R22" i="7"/>
  <c r="R23" i="7"/>
  <c r="R24" i="7"/>
  <c r="R25" i="7"/>
  <c r="R26" i="7"/>
  <c r="R27" i="7"/>
  <c r="R28" i="7"/>
  <c r="R29" i="7"/>
  <c r="R20" i="7"/>
  <c r="R15" i="7"/>
  <c r="R16" i="7"/>
  <c r="R14" i="7"/>
  <c r="R7" i="7"/>
  <c r="R8" i="7"/>
  <c r="R9" i="7"/>
  <c r="R6" i="7"/>
  <c r="D74" i="6"/>
  <c r="D75" i="6"/>
  <c r="D76" i="6"/>
  <c r="D77" i="6"/>
  <c r="D78" i="6"/>
  <c r="D79" i="6"/>
  <c r="D80" i="6"/>
  <c r="D81" i="6"/>
  <c r="D82" i="6"/>
  <c r="D83" i="6"/>
  <c r="D84" i="6"/>
  <c r="D201" i="5"/>
  <c r="E201" i="5"/>
  <c r="F201" i="5"/>
  <c r="G201" i="5"/>
  <c r="H201" i="5"/>
  <c r="I201" i="5"/>
  <c r="J201" i="5"/>
  <c r="K201" i="5"/>
  <c r="L201" i="5"/>
  <c r="M201" i="5"/>
  <c r="N201" i="5"/>
  <c r="C201" i="5"/>
  <c r="D190" i="5"/>
  <c r="E190" i="5"/>
  <c r="F190" i="5"/>
  <c r="G190" i="5"/>
  <c r="H190" i="5"/>
  <c r="I190" i="5"/>
  <c r="J190" i="5"/>
  <c r="K190" i="5"/>
  <c r="L190" i="5"/>
  <c r="M190" i="5"/>
  <c r="N190" i="5"/>
  <c r="C190" i="5"/>
  <c r="D184" i="5"/>
  <c r="E184" i="5"/>
  <c r="F184" i="5"/>
  <c r="G184" i="5"/>
  <c r="H184" i="5"/>
  <c r="I184" i="5"/>
  <c r="J184" i="5"/>
  <c r="K184" i="5"/>
  <c r="L184" i="5"/>
  <c r="M184" i="5"/>
  <c r="N184" i="5"/>
  <c r="C184" i="5"/>
  <c r="D178" i="5"/>
  <c r="E178" i="5"/>
  <c r="F178" i="5"/>
  <c r="G178" i="5"/>
  <c r="H178" i="5"/>
  <c r="I178" i="5"/>
  <c r="J178" i="5"/>
  <c r="K178" i="5"/>
  <c r="L178" i="5"/>
  <c r="M178" i="5"/>
  <c r="N178" i="5"/>
  <c r="C178" i="5"/>
  <c r="D172" i="5"/>
  <c r="E172" i="5"/>
  <c r="F172" i="5"/>
  <c r="G172" i="5"/>
  <c r="H172" i="5"/>
  <c r="I172" i="5"/>
  <c r="J172" i="5"/>
  <c r="K172" i="5"/>
  <c r="L172" i="5"/>
  <c r="M172" i="5"/>
  <c r="N172" i="5"/>
  <c r="C172" i="5"/>
  <c r="O102" i="5"/>
  <c r="O103" i="5"/>
  <c r="O104" i="5"/>
  <c r="O105" i="5"/>
  <c r="O106" i="5"/>
  <c r="O107" i="5"/>
  <c r="O108" i="5"/>
  <c r="O109" i="5"/>
  <c r="O110" i="5"/>
  <c r="O111" i="5"/>
  <c r="O112" i="5"/>
  <c r="O113" i="5"/>
  <c r="O114" i="5"/>
  <c r="O115" i="5"/>
  <c r="O116" i="5"/>
  <c r="O117" i="5"/>
  <c r="O118" i="5"/>
  <c r="O119" i="5"/>
  <c r="O120" i="5"/>
  <c r="Q190" i="5" l="1"/>
  <c r="P190" i="5"/>
  <c r="O190" i="5"/>
  <c r="R40" i="7"/>
  <c r="R177" i="5"/>
  <c r="P178" i="5"/>
  <c r="O178" i="5"/>
  <c r="Q178" i="5"/>
  <c r="R189" i="5"/>
  <c r="R171" i="5"/>
  <c r="Q172" i="5"/>
  <c r="P172" i="5"/>
  <c r="O172" i="5"/>
  <c r="R183" i="5"/>
  <c r="P184" i="5"/>
  <c r="O184" i="5"/>
  <c r="Q184" i="5"/>
  <c r="O201" i="5"/>
  <c r="P201" i="5"/>
  <c r="Q201" i="5"/>
  <c r="R182" i="5"/>
  <c r="R176" i="5"/>
  <c r="R178" i="5"/>
  <c r="R188" i="5"/>
  <c r="R190" i="5"/>
  <c r="R184" i="5"/>
  <c r="R170" i="5"/>
  <c r="R172" i="5"/>
  <c r="R54" i="5"/>
  <c r="R55" i="5"/>
  <c r="R56" i="5"/>
  <c r="R57" i="5"/>
  <c r="R58" i="5"/>
  <c r="R59" i="5"/>
  <c r="R60" i="5"/>
  <c r="R61" i="5"/>
  <c r="R62" i="5"/>
  <c r="R63" i="5"/>
  <c r="R64" i="5"/>
  <c r="R65" i="5"/>
  <c r="R66" i="5"/>
  <c r="R67" i="5"/>
  <c r="R68" i="5"/>
  <c r="R69" i="5"/>
  <c r="R70" i="5"/>
  <c r="R71" i="5"/>
  <c r="R72" i="5"/>
  <c r="D32" i="5"/>
  <c r="E32" i="5"/>
  <c r="F32" i="5"/>
  <c r="G32" i="5"/>
  <c r="H32" i="5"/>
  <c r="I32" i="5"/>
  <c r="J32" i="5"/>
  <c r="K32" i="5"/>
  <c r="L32" i="5"/>
  <c r="M32" i="5"/>
  <c r="N32" i="5"/>
  <c r="N31" i="5"/>
  <c r="D31" i="5"/>
  <c r="E31" i="5"/>
  <c r="F31" i="5"/>
  <c r="G31" i="5"/>
  <c r="H31" i="5"/>
  <c r="I31" i="5"/>
  <c r="J31" i="5"/>
  <c r="K31" i="5"/>
  <c r="L31" i="5"/>
  <c r="M31" i="5"/>
  <c r="C32" i="5"/>
  <c r="C31" i="5"/>
  <c r="D18" i="5"/>
  <c r="E18" i="5"/>
  <c r="F18" i="5"/>
  <c r="G18" i="5"/>
  <c r="H18" i="5"/>
  <c r="I18" i="5"/>
  <c r="J18" i="5"/>
  <c r="K18" i="5"/>
  <c r="L18" i="5"/>
  <c r="M18" i="5"/>
  <c r="N18" i="5"/>
  <c r="C18" i="5"/>
  <c r="R195" i="5"/>
  <c r="R196" i="5"/>
  <c r="R197" i="5"/>
  <c r="R198" i="5"/>
  <c r="R199" i="5"/>
  <c r="R200" i="5"/>
  <c r="R201" i="5"/>
  <c r="R194" i="5"/>
  <c r="R88" i="5"/>
  <c r="R89" i="5"/>
  <c r="R90" i="5"/>
  <c r="R91" i="5"/>
  <c r="R92" i="5"/>
  <c r="R93" i="5"/>
  <c r="R94" i="5"/>
  <c r="R95" i="5"/>
  <c r="R96" i="5"/>
  <c r="R97" i="5"/>
  <c r="R87" i="5"/>
  <c r="R79" i="5"/>
  <c r="R80" i="5"/>
  <c r="R81" i="5"/>
  <c r="R82" i="5"/>
  <c r="R83" i="5"/>
  <c r="R78" i="5"/>
  <c r="R73" i="5"/>
  <c r="R49" i="5"/>
  <c r="R40" i="5"/>
  <c r="R41" i="5"/>
  <c r="R42" i="5"/>
  <c r="R43" i="5"/>
  <c r="R44" i="5"/>
  <c r="R45" i="5"/>
  <c r="R46" i="5"/>
  <c r="R47" i="5"/>
  <c r="R48" i="5"/>
  <c r="R39" i="5"/>
  <c r="R33" i="5"/>
  <c r="R24" i="5"/>
  <c r="R25" i="5"/>
  <c r="R26" i="5"/>
  <c r="R27" i="5"/>
  <c r="R23" i="5"/>
  <c r="R14" i="5"/>
  <c r="R15" i="5"/>
  <c r="R16" i="5"/>
  <c r="R17" i="5"/>
  <c r="R13" i="5"/>
  <c r="R7" i="5"/>
  <c r="R8" i="5"/>
  <c r="R9" i="5"/>
  <c r="R6" i="5"/>
  <c r="E13" i="4"/>
  <c r="E14" i="4"/>
  <c r="E15" i="4"/>
  <c r="E16" i="4"/>
  <c r="E17" i="4"/>
  <c r="E18" i="4"/>
  <c r="E12" i="4"/>
  <c r="C8" i="4"/>
  <c r="D8" i="4"/>
  <c r="B8" i="4"/>
  <c r="E7" i="4"/>
  <c r="E6" i="4"/>
  <c r="E8" i="4" s="1"/>
  <c r="D62" i="3"/>
  <c r="E62" i="3"/>
  <c r="F62" i="3"/>
  <c r="G62" i="3"/>
  <c r="H62" i="3"/>
  <c r="I62" i="3"/>
  <c r="J62" i="3"/>
  <c r="K62" i="3"/>
  <c r="L62" i="3"/>
  <c r="M62" i="3"/>
  <c r="C62" i="3"/>
  <c r="N62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85" i="3"/>
  <c r="R74" i="3"/>
  <c r="R75" i="3"/>
  <c r="R76" i="3"/>
  <c r="R77" i="3"/>
  <c r="R78" i="3"/>
  <c r="R79" i="3"/>
  <c r="R73" i="3"/>
  <c r="R68" i="3"/>
  <c r="R67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44" i="3"/>
  <c r="R35" i="3"/>
  <c r="R36" i="3"/>
  <c r="R37" i="3"/>
  <c r="R38" i="3"/>
  <c r="R39" i="3"/>
  <c r="R34" i="3"/>
  <c r="R21" i="3"/>
  <c r="R22" i="3"/>
  <c r="R23" i="3"/>
  <c r="R24" i="3"/>
  <c r="R25" i="3"/>
  <c r="R26" i="3"/>
  <c r="R27" i="3"/>
  <c r="R28" i="3"/>
  <c r="R29" i="3"/>
  <c r="R30" i="3"/>
  <c r="R20" i="3"/>
  <c r="R14" i="3"/>
  <c r="R15" i="3"/>
  <c r="R16" i="3"/>
  <c r="R13" i="3"/>
  <c r="R7" i="3"/>
  <c r="R8" i="3"/>
  <c r="R9" i="3"/>
  <c r="R6" i="3"/>
  <c r="Q6" i="3"/>
  <c r="C35" i="2"/>
  <c r="B35" i="2"/>
  <c r="E21" i="2"/>
  <c r="E22" i="2"/>
  <c r="E23" i="2"/>
  <c r="E24" i="2"/>
  <c r="E20" i="2"/>
  <c r="C25" i="2"/>
  <c r="D25" i="2"/>
  <c r="B25" i="2"/>
  <c r="C16" i="2"/>
  <c r="D16" i="2"/>
  <c r="B16" i="2"/>
  <c r="C9" i="2"/>
  <c r="D9" i="2"/>
  <c r="E9" i="2"/>
  <c r="B9" i="2"/>
  <c r="E25" i="2" l="1"/>
  <c r="P18" i="5"/>
  <c r="Q18" i="5"/>
  <c r="O18" i="5"/>
  <c r="O32" i="5"/>
  <c r="Q32" i="5"/>
  <c r="P32" i="5"/>
  <c r="R31" i="5"/>
  <c r="Q31" i="5"/>
  <c r="P31" i="5"/>
  <c r="O31" i="5"/>
  <c r="P80" i="3"/>
  <c r="Q80" i="3"/>
  <c r="O80" i="3"/>
  <c r="R69" i="3"/>
  <c r="P69" i="3"/>
  <c r="O69" i="3"/>
  <c r="Q69" i="3"/>
  <c r="R101" i="3"/>
  <c r="P101" i="3"/>
  <c r="O101" i="3"/>
  <c r="Q101" i="3"/>
  <c r="Q62" i="3"/>
  <c r="P62" i="3"/>
  <c r="O62" i="3"/>
  <c r="R32" i="5"/>
  <c r="R18" i="5"/>
  <c r="R80" i="3"/>
  <c r="R62" i="3"/>
  <c r="D97" i="8" l="1"/>
  <c r="D97" i="6"/>
  <c r="D41" i="9" l="1"/>
  <c r="E41" i="9"/>
  <c r="O41" i="9" s="1"/>
  <c r="F41" i="9"/>
  <c r="G41" i="9"/>
  <c r="H41" i="9"/>
  <c r="I41" i="9"/>
  <c r="J41" i="9"/>
  <c r="P41" i="9" s="1"/>
  <c r="K41" i="9"/>
  <c r="L41" i="9"/>
  <c r="M41" i="9"/>
  <c r="Q41" i="9" s="1"/>
  <c r="C41" i="9"/>
  <c r="M40" i="7" l="1"/>
  <c r="Q40" i="7" s="1"/>
  <c r="D75" i="8" l="1"/>
  <c r="D76" i="8"/>
  <c r="D77" i="8"/>
  <c r="D78" i="8"/>
  <c r="D79" i="8"/>
  <c r="D80" i="8"/>
  <c r="D81" i="8"/>
  <c r="D82" i="8"/>
  <c r="D83" i="8"/>
  <c r="D84" i="8"/>
  <c r="D74" i="8"/>
  <c r="C104" i="8"/>
  <c r="B104" i="8"/>
  <c r="D89" i="8"/>
  <c r="D90" i="8"/>
  <c r="D91" i="8"/>
  <c r="D92" i="8"/>
  <c r="D93" i="8"/>
  <c r="D94" i="8"/>
  <c r="D96" i="8"/>
  <c r="D98" i="8"/>
  <c r="D99" i="8"/>
  <c r="D100" i="8"/>
  <c r="D101" i="8"/>
  <c r="D102" i="8"/>
  <c r="D103" i="8"/>
  <c r="D88" i="8"/>
  <c r="C70" i="8"/>
  <c r="D70" i="8"/>
  <c r="E70" i="8"/>
  <c r="B70" i="8"/>
  <c r="C15" i="8"/>
  <c r="D15" i="8"/>
  <c r="E15" i="8"/>
  <c r="B15" i="8"/>
  <c r="D26" i="8"/>
  <c r="C26" i="8"/>
  <c r="B26" i="8"/>
  <c r="C26" i="6"/>
  <c r="D26" i="6"/>
  <c r="B26" i="6"/>
  <c r="B16" i="6"/>
  <c r="C16" i="6"/>
  <c r="D16" i="6"/>
  <c r="C70" i="6"/>
  <c r="D70" i="6"/>
  <c r="B70" i="6"/>
  <c r="D89" i="6"/>
  <c r="D90" i="6"/>
  <c r="D91" i="6"/>
  <c r="D92" i="6"/>
  <c r="D93" i="6"/>
  <c r="D94" i="6"/>
  <c r="D95" i="6"/>
  <c r="D96" i="6"/>
  <c r="D98" i="6"/>
  <c r="D99" i="6"/>
  <c r="D100" i="6"/>
  <c r="D101" i="6"/>
  <c r="D102" i="6"/>
  <c r="D103" i="6"/>
  <c r="D88" i="6"/>
  <c r="C104" i="6"/>
  <c r="B104" i="6"/>
  <c r="C19" i="4"/>
  <c r="D19" i="4"/>
  <c r="B19" i="4"/>
  <c r="D40" i="7"/>
  <c r="E40" i="7"/>
  <c r="O40" i="7" s="1"/>
  <c r="F40" i="7"/>
  <c r="G40" i="7"/>
  <c r="H40" i="7"/>
  <c r="I40" i="7"/>
  <c r="J40" i="7"/>
  <c r="P40" i="7" s="1"/>
  <c r="K40" i="7"/>
  <c r="L40" i="7"/>
  <c r="C40" i="7"/>
  <c r="D31" i="2"/>
  <c r="D32" i="2"/>
  <c r="D33" i="2"/>
  <c r="D34" i="2"/>
  <c r="D30" i="2"/>
  <c r="D35" i="2" l="1"/>
  <c r="D104" i="8"/>
  <c r="E26" i="8"/>
  <c r="D104" i="6"/>
  <c r="E19" i="4"/>
</calcChain>
</file>

<file path=xl/connections.xml><?xml version="1.0" encoding="utf-8"?>
<connections xmlns="http://schemas.openxmlformats.org/spreadsheetml/2006/main">
  <connection id="1" sourceFile="C:\Users\andres.leal\Desktop\Titulados\Copia de TIT_WEB_2019(TITULADOS 2007 - 2018)_03-06-2019.xlsx" keepAlive="1" name="Copia de TIT_WEB_2019(TITULADOS 2007 - 2018)_03-06-2019" type="5" refreshedVersion="6" background="1">
    <dbPr connection="Provider=Microsoft.ACE.OLEDB.12.0;User ID=Admin;Data Source=C:\Users\andres.leal\Desktop\Titulados\Copia de TIT_WEB_2019(TITULADOS 2007 - 2018)_03-06-2019.xlsx;Mode=Share Deny Write;Extended Properties=&quot;HDR=YES;&quot;;Jet OLEDB:System database=&quot;&quot;;Jet OLEDB:Registry Path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TIT_WEB_2019$" commandType="3"/>
  </connection>
  <connection id="2" sourceFile="C:\Users\andres.leal\Desktop\Titulados\TIT_2019_TITULADOS 2007-2018_21-06-2019.xlsx" keepAlive="1" name="TIT_2019_TITULADOS 2007-2018_21-06-2019" type="5" refreshedVersion="6" background="1">
    <dbPr connection="Provider=Microsoft.ACE.OLEDB.12.0;User ID=Admin;Data Source=C:\Users\andres.leal\Desktop\Titulados\TIT_2019_TITULADOS 2007-2018_21-06-2019.xlsx;Mode=Share Deny Write;Extended Properties=&quot;HDR=YES;&quot;;Jet OLEDB:System database=&quot;&quot;;Jet OLEDB:Registry Path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TIT_WEB" commandType="3"/>
  </connection>
  <connection id="3" sourceFile="C:\Users\andres.leal\Desktop\Titulados\TIT_2019_TITULADOS 2007-2018_21-06-2019.xlsx" keepAlive="1" name="TIT_2019_TITULADOS 2007-2018_21-06-20191" type="5" refreshedVersion="6" background="1">
    <dbPr connection="Provider=Microsoft.ACE.OLEDB.12.0;User ID=Admin;Data Source=C:\Users\andres.leal\Desktop\Titulados\TIT_2019_TITULADOS 2007-2018_21-06-2019.xlsx;Mode=Share Deny Write;Extended Properties=&quot;HDR=YES;&quot;;Jet OLEDB:System database=&quot;&quot;;Jet OLEDB:Registry Path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TIT_WEB$" commandType="3"/>
  </connection>
  <connection id="4" sourceFile="C:\Users\andres.leal\Desktop\Titulados\TIT_WEB_2019 (TITULADOS 2007 - 2018)_04-06-2019_2020.xlsx" keepAlive="1" name="TIT_WEB_2019 (TITULADOS 2007 - 2018)_04-06-2019_2020" type="5" refreshedVersion="6" background="1">
    <dbPr connection="Provider=Microsoft.ACE.OLEDB.12.0;User ID=Admin;Data Source=C:\Users\andres.leal\Desktop\Titulados\TIT_WEB_2019 (TITULADOS 2007 - 2018)_04-06-2019_2020.xlsx;Mode=Share Deny Write;Extended Properties=&quot;HDR=YES;&quot;;Jet OLEDB:System database=&quot;&quot;;Jet OLEDB:Registry Path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Titulados Web 2009$'" commandType="3"/>
  </connection>
  <connection id="5" sourceFile="C:\Users\andres.leal\Desktop\Titulados\TIT_WEB_2019(TITULADOS 2007 - 2018)_03-06-2019.xlsx" keepAlive="1" name="TIT_WEB_2019(TITULADOS 2007 - 2018)_03-06-2019" type="5" refreshedVersion="6" background="1">
    <dbPr connection="Provider=Microsoft.ACE.OLEDB.12.0;User ID=Admin;Data Source=C:\Users\andres.leal\Desktop\Titulados\TIT_WEB_2019(TITULADOS 2007 - 2018)_03-06-2019.xlsx;Mode=Share Deny Write;Extended Properties=&quot;HDR=YES;&quot;;Jet OLEDB:System database=&quot;&quot;;Jet OLEDB:Registry Path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TIT_WEB_2019_TITULADOS_2007___2018_" commandType="3"/>
  </connection>
  <connection id="6" sourceFile="C:\Users\andres.leal\Desktop\Titulados\TIT_WEB_2019(TITULADOS 2007 - 2018)_03-06-2019_final.xlsx" keepAlive="1" name="TIT_WEB_2019(TITULADOS 2007 - 2018)_03-06-2019_final" type="5" refreshedVersion="6" background="1">
    <dbPr connection="Provider=Microsoft.ACE.OLEDB.12.0;User ID=Admin;Data Source=C:\Users\andres.leal\Desktop\Titulados\TIT_WEB_2019(TITULADOS 2007 - 2018)_03-06-2019_final.xlsx;Mode=Share Deny Write;Extended Properties=&quot;HDR=YES;&quot;;Jet OLEDB:System database=&quot;&quot;;Jet OLEDB:Registry Path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TIT_WEB_2019$" commandType="3"/>
  </connection>
  <connection id="7" sourceFile="C:\Users\andres.leal\Desktop\Titulados\TIT_WEB_2019(TITULADOS 2007- 2018).xlsx" keepAlive="1" name="TIT_WEB_2019(TITULADOS 2007- 2018)" type="5" refreshedVersion="6" background="1">
    <dbPr connection="Provider=Microsoft.ACE.OLEDB.12.0;User ID=Admin;Data Source=C:\Users\andres.leal\Desktop\Titulados\TIT_WEB_2019(TITULADOS 2007- 2018).xlsx;Mode=Share Deny Write;Extended Properties=&quot;HDR=YES;&quot;;Jet OLEDB:System database=&quot;&quot;;Jet OLEDB:Registry Path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tituladosweb$" commandType="3"/>
  </connection>
</connections>
</file>

<file path=xl/sharedStrings.xml><?xml version="1.0" encoding="utf-8"?>
<sst xmlns="http://schemas.openxmlformats.org/spreadsheetml/2006/main" count="1205" uniqueCount="385">
  <si>
    <t>Tipo de institución</t>
  </si>
  <si>
    <t>Pregrado</t>
  </si>
  <si>
    <t>Posgrado</t>
  </si>
  <si>
    <t>Postítulo</t>
  </si>
  <si>
    <t>Total general</t>
  </si>
  <si>
    <t>Centros de Formación Técnica</t>
  </si>
  <si>
    <t>Institutos Profesionales</t>
  </si>
  <si>
    <t>Universidades</t>
  </si>
  <si>
    <t>Titulación Total</t>
  </si>
  <si>
    <t>Región</t>
  </si>
  <si>
    <t>Área</t>
  </si>
  <si>
    <t>Administración y Comercio</t>
  </si>
  <si>
    <t>Agropecuaria</t>
  </si>
  <si>
    <t>Arte y Arquitectura</t>
  </si>
  <si>
    <t>Ciencias Básicas</t>
  </si>
  <si>
    <t>Ciencias Sociales</t>
  </si>
  <si>
    <t>Derecho</t>
  </si>
  <si>
    <t>Educación</t>
  </si>
  <si>
    <t>Humanidades</t>
  </si>
  <si>
    <t>Salud</t>
  </si>
  <si>
    <t>Tecnología</t>
  </si>
  <si>
    <t>Volver al índice</t>
  </si>
  <si>
    <t xml:space="preserve">Evolución de Titulación Total por tipo de institución </t>
  </si>
  <si>
    <t>Tipo de institución y grado</t>
  </si>
  <si>
    <t>n/a</t>
  </si>
  <si>
    <t>Evolución de Titulación Total por rango de edad y/o promedio de edad</t>
  </si>
  <si>
    <t>Rango de edad</t>
  </si>
  <si>
    <t>15 a 19 años</t>
  </si>
  <si>
    <t>20 a 24 años</t>
  </si>
  <si>
    <t>25 a 29 años</t>
  </si>
  <si>
    <t>30 a 34 años</t>
  </si>
  <si>
    <t>35 a 39 años</t>
  </si>
  <si>
    <t>40 y más años</t>
  </si>
  <si>
    <t>Sin información</t>
  </si>
  <si>
    <t>Promedio de edad</t>
  </si>
  <si>
    <t>Evolución de Titulación Total por región</t>
  </si>
  <si>
    <t>Promedio de Edad</t>
  </si>
  <si>
    <t>Tipo de carrera</t>
  </si>
  <si>
    <t>Técnico de Nivel Superior</t>
  </si>
  <si>
    <t>Profesional sin licenciatura previa</t>
  </si>
  <si>
    <t>Licenciatura no conducente a título</t>
  </si>
  <si>
    <t>Profesional con licenciatura previa</t>
  </si>
  <si>
    <t>Jornada</t>
  </si>
  <si>
    <t>Diurno</t>
  </si>
  <si>
    <t>Vespertino</t>
  </si>
  <si>
    <t>Otro</t>
  </si>
  <si>
    <t>Evolución de Titulación Total de Pregrado por tipo de institución</t>
  </si>
  <si>
    <t>Evolución de Titulación Total de Pregrado por tipo de carrera</t>
  </si>
  <si>
    <t>Carreras Técnico - Profesionales*</t>
  </si>
  <si>
    <t>Carreras Profesionales Universitarias**</t>
  </si>
  <si>
    <t>Tipo de institución y carrera</t>
  </si>
  <si>
    <t>Evolución de Titulación Total de Pregrado por jornada</t>
  </si>
  <si>
    <t>Evolución de Titulación Total de Pregrado por área</t>
  </si>
  <si>
    <t>Carreras</t>
  </si>
  <si>
    <t>Técnico en Enfermería</t>
  </si>
  <si>
    <t>Técnico en Prevención de Riesgos</t>
  </si>
  <si>
    <t>Técnico en Administración de Empresas</t>
  </si>
  <si>
    <t>Técnico Asistente del Educador de Párvulos</t>
  </si>
  <si>
    <t>Técnico en Gastronomía y Cocina</t>
  </si>
  <si>
    <t>Técnico en Mecánica Automotriz</t>
  </si>
  <si>
    <t>Técnico en Turismo y Hotelería</t>
  </si>
  <si>
    <t>Técnico Asistente del Educador Diferencial</t>
  </si>
  <si>
    <t>Técnico en Mantenimiento Industrial</t>
  </si>
  <si>
    <t>Técnico Dental y Asistente de Odontología</t>
  </si>
  <si>
    <t>Técnico en Electricidad y Electricidad Industrial</t>
  </si>
  <si>
    <t>Técnico en Deporte, Recreación y Preparación Física</t>
  </si>
  <si>
    <t>Técnico Agropecuario</t>
  </si>
  <si>
    <t>Técnico en Construcción y Obras Civiles</t>
  </si>
  <si>
    <t>Técnico en Administración de Recursos Humanos y Personal</t>
  </si>
  <si>
    <t>Técnico en Contabilidad General</t>
  </si>
  <si>
    <t>Técnico en Instrumentación, Automatización y Control Industrial</t>
  </si>
  <si>
    <t>Evolución de Titulación Total de Pregrado en carreras con mayor titulación - IP</t>
  </si>
  <si>
    <t>Ingeniería en Prevención de Riesgos</t>
  </si>
  <si>
    <t>Administración de Empresas e Ing. Asociadas</t>
  </si>
  <si>
    <t>Trabajo Social</t>
  </si>
  <si>
    <t>Contador Auditor</t>
  </si>
  <si>
    <t>Psicopedagogía</t>
  </si>
  <si>
    <t>Ingeniería en Computación e Informática</t>
  </si>
  <si>
    <t>Ingeniería en Mecánica Automotriz</t>
  </si>
  <si>
    <t>Pedagogía en Educación de Párvulos</t>
  </si>
  <si>
    <t>Técnico en Servicio Social</t>
  </si>
  <si>
    <t>Construcción Civil</t>
  </si>
  <si>
    <t>Evolución de Titulación Total de Pregrado en carreras con mayor titulación - Universidades</t>
  </si>
  <si>
    <t>Ingeniería Comercial</t>
  </si>
  <si>
    <t>Ingeniería Civil Industrial</t>
  </si>
  <si>
    <t>Enfermería</t>
  </si>
  <si>
    <t>Psicología</t>
  </si>
  <si>
    <t>Pedagogía en Educación Básica</t>
  </si>
  <si>
    <t>Pedagogía en Educación Física</t>
  </si>
  <si>
    <t>Kinesiología</t>
  </si>
  <si>
    <t>Medicina</t>
  </si>
  <si>
    <t>Pedagogía en Educación Diferencial</t>
  </si>
  <si>
    <t>Odontología</t>
  </si>
  <si>
    <t>Nutrición y Dietética</t>
  </si>
  <si>
    <t>Evolución de Titulación Total de Pregrado por rango de edad</t>
  </si>
  <si>
    <t xml:space="preserve">Promedio de edad </t>
  </si>
  <si>
    <t>Doctorado</t>
  </si>
  <si>
    <t>Magíster</t>
  </si>
  <si>
    <t>Tipo de programa</t>
  </si>
  <si>
    <t>Tipo de institución y programa</t>
  </si>
  <si>
    <t>Especialidad médica u odontológica</t>
  </si>
  <si>
    <t>Diplomado (superior a un semestre)</t>
  </si>
  <si>
    <t xml:space="preserve">Sin información </t>
  </si>
  <si>
    <t>Evolución de Titulación Total de Postítulo por tipo de institución</t>
  </si>
  <si>
    <t>Evolución de Titulación Total de Postítulo por tipo de programa</t>
  </si>
  <si>
    <t>Evolución de Titulación Total de Postítulo por tipo de institución y programa</t>
  </si>
  <si>
    <t>Nombre de la institución</t>
  </si>
  <si>
    <t>CFT ALPES</t>
  </si>
  <si>
    <t>CFT ANDRES BELLO</t>
  </si>
  <si>
    <t>CFT CAMARA DE COMERCIO DE SANTIAGO</t>
  </si>
  <si>
    <t>CFT CEDUC - UCN</t>
  </si>
  <si>
    <t>CFT CEITEC</t>
  </si>
  <si>
    <t>CFT CENCO</t>
  </si>
  <si>
    <t>CFT CENTRO TECNOLOGICO SUPERIOR INFOMED</t>
  </si>
  <si>
    <t>CFT DE ENAC</t>
  </si>
  <si>
    <t>CFT DE TARAPACA</t>
  </si>
  <si>
    <t>CFT DEL MEDIO AMBIENTE</t>
  </si>
  <si>
    <t>CFT DUOC UC</t>
  </si>
  <si>
    <t>CFT EDUCAP</t>
  </si>
  <si>
    <t>CFT ESTUDIO PROFESOR VALERO</t>
  </si>
  <si>
    <t>CFT INACAP</t>
  </si>
  <si>
    <t>CFT INSTITUTO CENTRAL DE CAPACITACION EDUCACIONAL ICCE</t>
  </si>
  <si>
    <t>CFT INSTITUTO SUPERIOR DE ESTUDIOS JURIDICOS CANON</t>
  </si>
  <si>
    <t>CFT INSTITUTO TECNOLOGICO DE CHILE - I.T.C.</t>
  </si>
  <si>
    <t>CFT IPROSEC</t>
  </si>
  <si>
    <t>CFT JUAN BOHON</t>
  </si>
  <si>
    <t>CFT LAPLACE</t>
  </si>
  <si>
    <t>CFT LOS LAGOS</t>
  </si>
  <si>
    <t>CFT LOTA-ARAUCO</t>
  </si>
  <si>
    <t>CFT MANPOWER</t>
  </si>
  <si>
    <t>CFT MASSACHUSETTS</t>
  </si>
  <si>
    <t>CFT PROANDES</t>
  </si>
  <si>
    <t>CFT PRODATA</t>
  </si>
  <si>
    <t>CFT PROFASOC</t>
  </si>
  <si>
    <t>CFT SANTO TOMAS</t>
  </si>
  <si>
    <t>CFT TEODORO WICKEL KLUWEN</t>
  </si>
  <si>
    <t>IP AGRARIO ADOLFO MATTHEI</t>
  </si>
  <si>
    <t>IP AIEP</t>
  </si>
  <si>
    <t>IP CARLOS CASANUEVA</t>
  </si>
  <si>
    <t>IP CIISA</t>
  </si>
  <si>
    <t>IP DE ARTE Y COMUNICACION ARCOS</t>
  </si>
  <si>
    <t>IP DE CHILE</t>
  </si>
  <si>
    <t>IP DE CIENCIAS DE LA COMPUTACION ACUARIO DATA</t>
  </si>
  <si>
    <t>IP DE CIENCIAS Y EDUCACION HELEN KELLER</t>
  </si>
  <si>
    <t>IP DE LOS ANGELES</t>
  </si>
  <si>
    <t>IP DEL COMERCIO</t>
  </si>
  <si>
    <t>IP DEL VALLE CENTRAL</t>
  </si>
  <si>
    <t>IP DIEGO PORTALES</t>
  </si>
  <si>
    <t>IP DR. VIRGINIO GOMEZ G.</t>
  </si>
  <si>
    <t>IP DUOC UC</t>
  </si>
  <si>
    <t>IP EATRI INSTITUTO PROFESIONAL</t>
  </si>
  <si>
    <t>IP ESCUELA DE CONTADORES AUDITORES DE SANTIAGO</t>
  </si>
  <si>
    <t>IP ESCUELA MODERNA DE MUSICA</t>
  </si>
  <si>
    <t>IP ESUCOMEX</t>
  </si>
  <si>
    <t>IP INACAP</t>
  </si>
  <si>
    <t>IP INSTITUTO DE ESTUDIOS BANCARIOS GUILLERMO SUBERCASEAUX</t>
  </si>
  <si>
    <t>IP INSTITUTO INTERNACIONAL DE ARTES CULINARIAS Y SERVICIOS</t>
  </si>
  <si>
    <t>IP INSTITUTO NACIONAL DEL FUTBOL</t>
  </si>
  <si>
    <t>IP INSTITUTO SUPERIOR DE ARTES Y CIENCIAS DE LA COMUNICACION</t>
  </si>
  <si>
    <t>IP IPG</t>
  </si>
  <si>
    <t>IP LIBERTADOR DE LOS ANDES</t>
  </si>
  <si>
    <t>IP LOS LAGOS</t>
  </si>
  <si>
    <t>IP LOS LEONES</t>
  </si>
  <si>
    <t>IP PROVIDENCIA</t>
  </si>
  <si>
    <t>IP SANTO TOMAS</t>
  </si>
  <si>
    <t>IP VERTICAL</t>
  </si>
  <si>
    <t>PONTIFICIA UNIVERSIDAD CATOLICA DE CHILE</t>
  </si>
  <si>
    <t>PONTIFICIA UNIVERSIDAD CATOLICA DE VALPARAISO</t>
  </si>
  <si>
    <t>UNIVERSIDAD ACADEMIA DE HUMANISMO CRISTIANO</t>
  </si>
  <si>
    <t>UNIVERSIDAD ADOLFO IBAÑEZ</t>
  </si>
  <si>
    <t>UNIVERSIDAD ADVENTISTA DE CHILE</t>
  </si>
  <si>
    <t>UNIVERSIDAD ALBERTO HURTADO</t>
  </si>
  <si>
    <t>UNIVERSIDAD ANDRES BELLO</t>
  </si>
  <si>
    <t>UNIVERSIDAD ARTURO PRAT</t>
  </si>
  <si>
    <t>UNIVERSIDAD AUSTRAL DE CHILE</t>
  </si>
  <si>
    <t>UNIVERSIDAD AUTONOMA DE CHILE</t>
  </si>
  <si>
    <t>UNIVERSIDAD BERNARDO O'HIGGINS</t>
  </si>
  <si>
    <t>UNIVERSIDAD BOLIVARIANA</t>
  </si>
  <si>
    <t>UNIVERSIDAD CATOLICA DE LA SANTISIMA CONCEPCION</t>
  </si>
  <si>
    <t>UNIVERSIDAD CATOLICA DE TEMUCO</t>
  </si>
  <si>
    <t>UNIVERSIDAD CATOLICA DEL MAULE</t>
  </si>
  <si>
    <t>UNIVERSIDAD CATOLICA DEL NORTE</t>
  </si>
  <si>
    <t>UNIVERSIDAD CENTRAL DE CHILE</t>
  </si>
  <si>
    <t>UNIVERSIDAD CHILENO BRITANICA DE CULTURA</t>
  </si>
  <si>
    <t>UNIVERSIDAD DE ACONCAGUA</t>
  </si>
  <si>
    <t>UNIVERSIDAD DE ANTOFAGASTA</t>
  </si>
  <si>
    <t>UNIVERSIDAD DE ARTES, CIENCIAS Y COMUNICACION - UNIACC</t>
  </si>
  <si>
    <t>UNIVERSIDAD DE ATACAMA</t>
  </si>
  <si>
    <t>UNIVERSIDAD DE CHILE</t>
  </si>
  <si>
    <t>UNIVERSIDAD DE CONCEPCION</t>
  </si>
  <si>
    <t>UNIVERSIDAD DE LA FRONTERA</t>
  </si>
  <si>
    <t>UNIVERSIDAD DE LA SERENA</t>
  </si>
  <si>
    <t>UNIVERSIDAD DE LAS AMERICAS</t>
  </si>
  <si>
    <t>UNIVERSIDAD DE LOS ANDES</t>
  </si>
  <si>
    <t>UNIVERSIDAD DE LOS LAGOS</t>
  </si>
  <si>
    <t>UNIVERSIDAD DE MAGALLANES</t>
  </si>
  <si>
    <t>UNIVERSIDAD DE PLAYA ANCHA DE CIENCIAS DE LA EDUCACION</t>
  </si>
  <si>
    <t>UNIVERSIDAD DE SANTIAGO DE CHILE</t>
  </si>
  <si>
    <t>UNIVERSIDAD DE TALCA</t>
  </si>
  <si>
    <t>UNIVERSIDAD DE TARAPACA</t>
  </si>
  <si>
    <t>UNIVERSIDAD DE VALPARAISO</t>
  </si>
  <si>
    <t>UNIVERSIDAD DE VIÑA DEL MAR</t>
  </si>
  <si>
    <t>UNIVERSIDAD DEL BIO-BIO</t>
  </si>
  <si>
    <t>UNIVERSIDAD DEL DESARROLLO</t>
  </si>
  <si>
    <t>UNIVERSIDAD DIEGO PORTALES</t>
  </si>
  <si>
    <t>UNIVERSIDAD FINIS TERRAE</t>
  </si>
  <si>
    <t>UNIVERSIDAD GABRIELA MISTRAL</t>
  </si>
  <si>
    <t>UNIVERSIDAD LOS LEONES</t>
  </si>
  <si>
    <t>UNIVERSIDAD MAYOR</t>
  </si>
  <si>
    <t>UNIVERSIDAD METROPOLITANA DE CIENCIAS DE LA EDUCACION</t>
  </si>
  <si>
    <t>UNIVERSIDAD MIGUEL DE CERVANTES</t>
  </si>
  <si>
    <t>UNIVERSIDAD PEDRO DE VALDIVIA</t>
  </si>
  <si>
    <t>UNIVERSIDAD SAN SEBASTIAN</t>
  </si>
  <si>
    <t>UNIVERSIDAD SANTO TOMAS</t>
  </si>
  <si>
    <t>UNIVERSIDAD SEK</t>
  </si>
  <si>
    <t>UNIVERSIDAD TECNICA FEDERICO SANTA MARIA</t>
  </si>
  <si>
    <t>UNIVERSIDAD TECNOLOGICA DE CHILE INACAP</t>
  </si>
  <si>
    <t>UNIVERSIDAD TECNOLOGICA METROPOLITANA</t>
  </si>
  <si>
    <t xml:space="preserve">Hoja </t>
  </si>
  <si>
    <t>Tabla</t>
  </si>
  <si>
    <t>Contenido</t>
  </si>
  <si>
    <t>Indice de Tablas</t>
  </si>
  <si>
    <t>Evolución de Titulación Total de Pregrado por tipo de institución 2</t>
  </si>
  <si>
    <t>Evolución de Titulación Total de Pregrado por tipo de carrera (técnico y profesional)</t>
  </si>
  <si>
    <t>Evolución de Titulación Total de Pregrado en carreras de mayor titulación - CFT</t>
  </si>
  <si>
    <t>Evolución de Titulación Total de Pregrado en carreras de mayor titulación - IP</t>
  </si>
  <si>
    <t>Evolución de Titulación Total de Pregrado en carreras de mayor titulación - Universidades</t>
  </si>
  <si>
    <t xml:space="preserve">Evolución de Titulación Total de Posgrado por tipo de programa </t>
  </si>
  <si>
    <t>Mujeres</t>
  </si>
  <si>
    <t>Hombres</t>
  </si>
  <si>
    <t>Evolución de Titulación Total por sexo</t>
  </si>
  <si>
    <t>Evolución de Titulación Total por tipo de institución 2</t>
  </si>
  <si>
    <t xml:space="preserve">Evolución de Titulación Total por tipo de institución 2 </t>
  </si>
  <si>
    <t>Profesional sin licenciatura</t>
  </si>
  <si>
    <t>Profesional con licenciatura</t>
  </si>
  <si>
    <t>Evolución de Titulación Total de Pregrado por tipo de institución y tipo de carrera</t>
  </si>
  <si>
    <t>Evolución de Titulación Total de Pregrado por tipo de institución 2 y tipo de carrera</t>
  </si>
  <si>
    <t>Evolución de Titulación Total por nivel de formación</t>
  </si>
  <si>
    <t>Evolución de Titulación Total por tipo de institución y nivel de formación</t>
  </si>
  <si>
    <t>Evolución de Titulación Total por tipo de institución 2 y nivel de formación</t>
  </si>
  <si>
    <t>Evolución de Titulación Total de Posgrado por tipo de universidad</t>
  </si>
  <si>
    <t xml:space="preserve">Evolución de Titulación Total de Posgrado por tipo de universidad y tipo de programa </t>
  </si>
  <si>
    <t>Evolución de Titulación Total de Postítulo por tipo de institución y tipo de programa</t>
  </si>
  <si>
    <t>Evolución de Titulación Total de Pregrado por sexo</t>
  </si>
  <si>
    <t>Evolución de Titulación Total de Pregrado por sexo - CFT</t>
  </si>
  <si>
    <t>Evolución de Titulación Total de Pregrado por sexo - IP</t>
  </si>
  <si>
    <t>Evolución de Titulación Total de Pregrado por sexo - Universidades</t>
  </si>
  <si>
    <t>Sexo</t>
  </si>
  <si>
    <t>*Incluye programas de pregrado, posgrado y postítulo</t>
  </si>
  <si>
    <t>Nivel de formación</t>
  </si>
  <si>
    <t>Semipresencial</t>
  </si>
  <si>
    <t>A Distancia</t>
  </si>
  <si>
    <t>Evolución de Titulación Total de Pregrado en carreras con mayor titulación - CFT</t>
  </si>
  <si>
    <t>Técnico en Computación e Informática</t>
  </si>
  <si>
    <t>Fonoaudiología</t>
  </si>
  <si>
    <t>A distancia</t>
  </si>
  <si>
    <t>Evolución de Titulación Total de Pregrado por sexo y tipo de programa</t>
  </si>
  <si>
    <t>Evolución de Titulación Total de Postítulo por sexo y tipo de programa</t>
  </si>
  <si>
    <t>Tipo de Institución</t>
  </si>
  <si>
    <t>Postgrado</t>
  </si>
  <si>
    <t>Ingeniería en Recursos Humanos</t>
  </si>
  <si>
    <t>U. Cruch Estatal</t>
  </si>
  <si>
    <t>U. Cruch Privada</t>
  </si>
  <si>
    <t>U. Privada</t>
  </si>
  <si>
    <t>Fuente: Servicio de Información de Educación Superior (SIES), de Mineduc.</t>
  </si>
  <si>
    <t xml:space="preserve">U. Cruch Estatal </t>
  </si>
  <si>
    <t>** Incluye solo Carreras Profesionales con licenciatura y Licenciaturas no conducentes a título.</t>
  </si>
  <si>
    <t>Tipo de universidad</t>
  </si>
  <si>
    <t>Sexo y tipo de programa</t>
  </si>
  <si>
    <t>Tipo de universidad y programa</t>
  </si>
  <si>
    <r>
      <t xml:space="preserve">Diplomado 
</t>
    </r>
    <r>
      <rPr>
        <sz val="10"/>
        <color theme="1"/>
        <rFont val="Calibri"/>
        <family val="2"/>
        <scheme val="minor"/>
      </rPr>
      <t>(superior a un semestre)</t>
    </r>
  </si>
  <si>
    <t>NOTA: En caso de utilizar datos de esta base para notas periodísticas o estudios, se debe citar como fuente de los datos al Servicio de Información de Educación Superior (SIES), de Mineduc</t>
  </si>
  <si>
    <t>Arica y Parinacota</t>
  </si>
  <si>
    <t>Tarapacá</t>
  </si>
  <si>
    <t>Antofagasta</t>
  </si>
  <si>
    <t>Atacama</t>
  </si>
  <si>
    <t>Coquimbo</t>
  </si>
  <si>
    <t>Valparaíso</t>
  </si>
  <si>
    <t>Lib. Gral B. O'Higgins</t>
  </si>
  <si>
    <t>Maule</t>
  </si>
  <si>
    <t>Biobío</t>
  </si>
  <si>
    <t>La Araucanía</t>
  </si>
  <si>
    <t>Los Ríos</t>
  </si>
  <si>
    <t>Los Lagos</t>
  </si>
  <si>
    <t>Aysén</t>
  </si>
  <si>
    <t>Magallanes</t>
  </si>
  <si>
    <t xml:space="preserve">Magallanes </t>
  </si>
  <si>
    <t xml:space="preserve">Total general </t>
  </si>
  <si>
    <t>Diplomado 
(superior a un semestre)</t>
  </si>
  <si>
    <t>Metropolitana</t>
  </si>
  <si>
    <t>Técnico en Logística</t>
  </si>
  <si>
    <t>CFT LUIS ALBERTO VERA</t>
  </si>
  <si>
    <t>IP DE ARTES ESCENICAS KAREN CONNOLLY</t>
  </si>
  <si>
    <t>IP ESCUELA DE CINE DE CHILE</t>
  </si>
  <si>
    <t>Total general Informe anterior</t>
  </si>
  <si>
    <t>Ñuble</t>
  </si>
  <si>
    <t>Ingeniería Industrial</t>
  </si>
  <si>
    <t>IP LATINOAMERICANO DE COMERCIO EXTERIOR - IPLACEX</t>
  </si>
  <si>
    <t>UNIVERSIDAD CATOLICA CARDENAL RAUL SILVA HENRIQUEZ</t>
  </si>
  <si>
    <t>CFT ACCIOMA</t>
  </si>
  <si>
    <t>CFT ALFA</t>
  </si>
  <si>
    <t>CFT CENTRO DE ENSEÑANZA DE ALTA COSTURA PAULINA DIARD</t>
  </si>
  <si>
    <t>CFT ESCUELA CULINARIA FRANCESA</t>
  </si>
  <si>
    <t>CFT ESCUELA SUPERIOR DE ADMINISTRACION DE NEGOCIOS DEL NORTE - ESANE DEL NORTE</t>
  </si>
  <si>
    <t>CFT PUCV</t>
  </si>
  <si>
    <t>CFT SAN AGUSTIN</t>
  </si>
  <si>
    <t>CFT UV</t>
  </si>
  <si>
    <t>IP CHILENO BRITANICO DE CULTURA</t>
  </si>
  <si>
    <t>Titulación Total 2018 de Posgrado</t>
  </si>
  <si>
    <t>Titulación Total 2018 de Postítulo</t>
  </si>
  <si>
    <t>% de variación 2018 - 2019</t>
  </si>
  <si>
    <t>% distribución Titulación 2019</t>
  </si>
  <si>
    <t>Titulación Total 2019 de Pregrado por sexo y tipo de institución</t>
  </si>
  <si>
    <t>Titulación 2019 de Pregrado Mujeres</t>
  </si>
  <si>
    <t>Titulación 2019 de Pregrado Hombres</t>
  </si>
  <si>
    <t>Titulación Total 2019 de Pregrado</t>
  </si>
  <si>
    <t>Tecnología Médica</t>
  </si>
  <si>
    <t>CFT DE LA REGION DE LOS LAGOS</t>
  </si>
  <si>
    <t>CFT INSTITUTO SUPERIOR ALEMAN DE COMERCIO INSALCO</t>
  </si>
  <si>
    <t>IP ESCUELA DE MARINA MERCANTE PILOTO PARDO</t>
  </si>
  <si>
    <t>UNIVERSIDAD DEL PACIFICO</t>
  </si>
  <si>
    <t>UNIVERSIDAD IBEROAMERICANA DE CIENCIAS Y TECNOLOGIA, UNICYT (*CARRERA EN CONVENIO USACH)</t>
  </si>
  <si>
    <t>TITULACIÓN TOTAL 2019</t>
  </si>
  <si>
    <t>TITULACIÓN DE PREGRADO 2019</t>
  </si>
  <si>
    <t>TITULACIÓN DE POSGRADO 2019</t>
  </si>
  <si>
    <t>Titulación 2019 de Posgrado Mujeres</t>
  </si>
  <si>
    <t>Titulación 2019 de Posgrado Hombres</t>
  </si>
  <si>
    <t>Titulación 2019 de Postìtulo Mujeres</t>
  </si>
  <si>
    <t>Titulación 2019 de Postítulo Hombres</t>
  </si>
  <si>
    <t>Titulación Total 2019 de Posgrado por tipo de universidad y tipo de programa</t>
  </si>
  <si>
    <t>Titulación Total 2019 de Posgrado por sexo y tipo de programa</t>
  </si>
  <si>
    <t>Titulación Total 2019 de Posgrado por rango de edad y tipo de programa</t>
  </si>
  <si>
    <t>Titulación Total 2019 de Posgrado por área y tipo de programa</t>
  </si>
  <si>
    <t>Titulación Total 2019 de Posgrado por jornada y tipo de programa</t>
  </si>
  <si>
    <t>Titulación Total 2019 de Posgrado por región y tipo de programa</t>
  </si>
  <si>
    <t>Titulación Total 2019 de Posgrado por área y sexo</t>
  </si>
  <si>
    <t>Titulación Total 2019 de Posgrado por región y sexo</t>
  </si>
  <si>
    <t>Titulación Total 2019 por tipo de institución y nivel de formación</t>
  </si>
  <si>
    <t>Titulación Total 2019 por tipo de institución y sexo</t>
  </si>
  <si>
    <t>Titulación Total 2019 por tipo de institución 2 y nivel de formación</t>
  </si>
  <si>
    <t>Titulación Total 2019 por tipo de institución 2 y sexo</t>
  </si>
  <si>
    <t>Titulación Total 2019 por región y sexo</t>
  </si>
  <si>
    <t>Titulación Total 2019  por área del conocimiento y sexo</t>
  </si>
  <si>
    <t xml:space="preserve">Titulación Total 2019 de Pregrado por rango de edad y tipo de institución </t>
  </si>
  <si>
    <t>Titulación Total 2019 de Pregrado por tipo de carrera y tipo de institución</t>
  </si>
  <si>
    <t>Titulación Total 2019 de Pregrado por área y tipo de institución</t>
  </si>
  <si>
    <t>Titulación Total 2019 de Pregrado por área y sexo</t>
  </si>
  <si>
    <t>Titulación Total 2019 de Pregrado por jornada y tipo de institución</t>
  </si>
  <si>
    <t>Titulación Total 2019 de Pregrado por región y tipo de institución</t>
  </si>
  <si>
    <t>Titulación Total 2019 de Pregrado por región y sexo</t>
  </si>
  <si>
    <t>TITULACIÓN DE POSTÍTULO 2019</t>
  </si>
  <si>
    <t>Titulación Total 2019 de Postítulo por tipo de institución y tipo de programa</t>
  </si>
  <si>
    <t>Titulación Total 2019 de Postítulo por sexo y tipo de programa</t>
  </si>
  <si>
    <t>Titulación Total 2019 de Postítulo por área y tipo de programa</t>
  </si>
  <si>
    <t>Titulación Total 2019 de Postítulo por jornada y tipo de programa</t>
  </si>
  <si>
    <t>Titulación Total 2019 de Postítulo por región y tipo de programa</t>
  </si>
  <si>
    <t>Titulación Total 2019 de Postítulo por rango de edad y tipo de programa</t>
  </si>
  <si>
    <t>Titulación Total 2019 de Postítulo por área y sexo</t>
  </si>
  <si>
    <t>Titulación Total 2019 de Postítulo por región y sexo</t>
  </si>
  <si>
    <t>Instituciones participantes en proceso Titulación 2019</t>
  </si>
  <si>
    <t>Titulados de Pregrado 2019</t>
  </si>
  <si>
    <t>Titulados de Postítulo 2019</t>
  </si>
  <si>
    <t>Total Titulados y/o graduados 2019</t>
  </si>
  <si>
    <t>1. TITULACIÓN TOTAL 2019</t>
  </si>
  <si>
    <t>3. TITULACIÓN DE PREGRADO 2019</t>
  </si>
  <si>
    <t>5. TITULACIÓN DE POSGRADO 2019</t>
  </si>
  <si>
    <t>7. TITULACIÓN DE POSTÍTULO 2019</t>
  </si>
  <si>
    <t>Listado de instituciones participantes 2019</t>
  </si>
  <si>
    <t>INFORME TITULACIÓN 2019</t>
  </si>
  <si>
    <t>Titulación Total 2019  por área y sexo</t>
  </si>
  <si>
    <t>Titulación Total 2019 de Postítulo por tipo de universidad y tipo de programa</t>
  </si>
  <si>
    <t>% de variación 2010-2019</t>
  </si>
  <si>
    <t>% de variación 2015 - 2019</t>
  </si>
  <si>
    <t>*A partir del año 2019 las Universidades Alberto Hurtado y Diego Portales se han integrado formalmente al Consejo de Rectores (Cruch).</t>
  </si>
  <si>
    <t>2. EVOLUCIÓN TITULACIÓN TOTAL 2007 - 2019</t>
  </si>
  <si>
    <t>4. EVOLUCIÓN TITULACIÓN DE PREGRADO 2007 - 2019</t>
  </si>
  <si>
    <t>6. EVOLUCIÓN TITULACIÓN DE POSGRADO 2007 - 2019</t>
  </si>
  <si>
    <t>8. EVOLUCIÓN TITULACIÓN DE POSTÍTULO 2007 - 2019</t>
  </si>
  <si>
    <t>EVOLUCIÓN TITULACIÓN TOTAL 2007 - 2019</t>
  </si>
  <si>
    <t>Graduados de Posgrado 2019</t>
  </si>
  <si>
    <t>Evolución de la Titulación Total por jornada de estudios de la carrera</t>
  </si>
  <si>
    <t>EVOLUCIÓN TITULACIÓN DE PREGRADO 2007-2019</t>
  </si>
  <si>
    <t>EVOLUCIÓN TITULACIÓN DE POSGRADO 2007 - 2019</t>
  </si>
  <si>
    <t>EVOLUCIÓN TITULACIÓN DE POSTÍTULO 2007 - 2019</t>
  </si>
  <si>
    <t>* Incluye Carreras Técnicas de Nivel Superior y Profesionales sin licenciatura.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</si>
</sst>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3" formatCode="_-* #,##0.00\ _€_-;\-* #,##0.00\ _€_-;_-* &quot;-&quot;??\ _€_-;_-@_-"/>
    <numFmt numFmtId="164" formatCode="_-* #,##0.00_-;\-* #,##0.00_-;_-* &quot;-&quot;??_-;_-@_-"/>
    <numFmt numFmtId="165" formatCode="_-* #,##0_-;\-* #,##0_-;_-* &quot;-&quot;??_-;_-@_-"/>
    <numFmt numFmtId="166" formatCode="0.0%"/>
    <numFmt numFmtId="167" formatCode="_-* #,##0.0_-;\-* #,##0.0_-;_-* &quot;-&quot;??_-;_-@_-"/>
    <numFmt numFmtId="168" formatCode="_-* #,##0\ _€_-;\-* #,##0\ _€_-;_-* &quot;-&quot;??\ _€_-;_-@_-"/>
    <numFmt numFmtId="169" formatCode="_-* #,##0.0\ _€_-;\-* #,##0.0\ _€_-;_-* &quot;-&quot;??\ _€_-;_-@_-"/>
  </numFmts>
  <fonts count="24" x14ac:knownFonts="1"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26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MS Sans Serif"/>
      <family val="2"/>
    </font>
    <font>
      <sz val="11"/>
      <color theme="1"/>
      <name val="Calibri Light"/>
      <family val="2"/>
      <scheme val="major"/>
    </font>
    <font>
      <b/>
      <sz val="1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5">
    <xf numFmtId="0" fontId="0" fillId="0" borderId="0"/>
    <xf numFmtId="0" fontId="5" fillId="0" borderId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164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/>
    <xf numFmtId="9" fontId="18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</cellStyleXfs>
  <cellXfs count="137">
    <xf numFmtId="0" fontId="0" fillId="0" borderId="0" xfId="0"/>
    <xf numFmtId="0" fontId="5" fillId="0" borderId="0" xfId="1" applyAlignment="1">
      <alignment vertical="center"/>
    </xf>
    <xf numFmtId="0" fontId="5" fillId="0" borderId="0" xfId="1"/>
    <xf numFmtId="0" fontId="4" fillId="2" borderId="1" xfId="1" applyFont="1" applyFill="1" applyBorder="1" applyAlignment="1">
      <alignment horizontal="center" vertical="center"/>
    </xf>
    <xf numFmtId="165" fontId="3" fillId="3" borderId="1" xfId="2" applyNumberFormat="1" applyFont="1" applyFill="1" applyBorder="1" applyAlignment="1">
      <alignment horizontal="left" vertical="center"/>
    </xf>
    <xf numFmtId="165" fontId="4" fillId="3" borderId="1" xfId="2" applyNumberFormat="1" applyFont="1" applyFill="1" applyBorder="1" applyAlignment="1">
      <alignment horizontal="left" vertical="center"/>
    </xf>
    <xf numFmtId="166" fontId="0" fillId="0" borderId="0" xfId="3" applyNumberFormat="1" applyFont="1" applyAlignment="1">
      <alignment vertical="center"/>
    </xf>
    <xf numFmtId="0" fontId="4" fillId="4" borderId="1" xfId="1" applyFont="1" applyFill="1" applyBorder="1" applyAlignment="1">
      <alignment horizontal="center" vertical="center" wrapText="1"/>
    </xf>
    <xf numFmtId="165" fontId="3" fillId="3" borderId="1" xfId="4" applyNumberFormat="1" applyFont="1" applyFill="1" applyBorder="1" applyAlignment="1">
      <alignment horizontal="left" vertical="center"/>
    </xf>
    <xf numFmtId="165" fontId="3" fillId="0" borderId="1" xfId="4" applyNumberFormat="1" applyFont="1" applyBorder="1" applyAlignment="1">
      <alignment horizontal="center" vertical="center"/>
    </xf>
    <xf numFmtId="165" fontId="4" fillId="3" borderId="1" xfId="4" applyNumberFormat="1" applyFont="1" applyFill="1" applyBorder="1" applyAlignment="1">
      <alignment horizontal="left" vertical="center"/>
    </xf>
    <xf numFmtId="165" fontId="4" fillId="0" borderId="1" xfId="4" applyNumberFormat="1" applyFont="1" applyBorder="1" applyAlignment="1">
      <alignment horizontal="center" vertical="center"/>
    </xf>
    <xf numFmtId="0" fontId="10" fillId="0" borderId="0" xfId="1" applyFont="1" applyAlignment="1">
      <alignment vertical="center"/>
    </xf>
    <xf numFmtId="0" fontId="4" fillId="2" borderId="1" xfId="1" applyFont="1" applyFill="1" applyBorder="1" applyAlignment="1">
      <alignment horizontal="center" vertical="center" wrapText="1"/>
    </xf>
    <xf numFmtId="166" fontId="3" fillId="3" borderId="1" xfId="3" applyNumberFormat="1" applyFont="1" applyFill="1" applyBorder="1" applyAlignment="1">
      <alignment horizontal="center" vertical="center"/>
    </xf>
    <xf numFmtId="166" fontId="0" fillId="0" borderId="0" xfId="3" applyNumberFormat="1" applyFont="1"/>
    <xf numFmtId="166" fontId="4" fillId="3" borderId="1" xfId="3" applyNumberFormat="1" applyFont="1" applyFill="1" applyBorder="1" applyAlignment="1">
      <alignment horizontal="center" vertical="center"/>
    </xf>
    <xf numFmtId="165" fontId="4" fillId="0" borderId="1" xfId="1" applyNumberFormat="1" applyFont="1" applyBorder="1" applyAlignment="1">
      <alignment vertical="center"/>
    </xf>
    <xf numFmtId="165" fontId="3" fillId="0" borderId="1" xfId="1" applyNumberFormat="1" applyFont="1" applyBorder="1" applyAlignment="1">
      <alignment vertical="center"/>
    </xf>
    <xf numFmtId="165" fontId="3" fillId="0" borderId="1" xfId="4" applyNumberFormat="1" applyFont="1" applyFill="1" applyBorder="1" applyAlignment="1">
      <alignment horizontal="left" vertical="center"/>
    </xf>
    <xf numFmtId="165" fontId="4" fillId="0" borderId="1" xfId="4" applyNumberFormat="1" applyFont="1" applyFill="1" applyBorder="1" applyAlignment="1">
      <alignment horizontal="left" vertical="center"/>
    </xf>
    <xf numFmtId="165" fontId="3" fillId="3" borderId="1" xfId="2" applyNumberFormat="1" applyFont="1" applyFill="1" applyBorder="1" applyAlignment="1">
      <alignment horizontal="center" vertical="center"/>
    </xf>
    <xf numFmtId="165" fontId="4" fillId="3" borderId="1" xfId="2" applyNumberFormat="1" applyFont="1" applyFill="1" applyBorder="1" applyAlignment="1">
      <alignment horizontal="center" vertical="center"/>
    </xf>
    <xf numFmtId="165" fontId="4" fillId="0" borderId="1" xfId="1" applyNumberFormat="1" applyFont="1" applyBorder="1" applyAlignment="1">
      <alignment horizontal="center" vertical="center"/>
    </xf>
    <xf numFmtId="165" fontId="3" fillId="0" borderId="1" xfId="1" applyNumberFormat="1" applyFont="1" applyBorder="1" applyAlignment="1">
      <alignment horizontal="center" vertical="center"/>
    </xf>
    <xf numFmtId="0" fontId="7" fillId="3" borderId="0" xfId="1" applyFont="1" applyFill="1" applyAlignment="1">
      <alignment vertical="center"/>
    </xf>
    <xf numFmtId="0" fontId="15" fillId="0" borderId="0" xfId="1" applyFont="1" applyFill="1" applyBorder="1" applyAlignment="1">
      <alignment vertical="center"/>
    </xf>
    <xf numFmtId="0" fontId="10" fillId="0" borderId="0" xfId="1" applyFont="1" applyAlignment="1">
      <alignment horizontal="center" vertical="center"/>
    </xf>
    <xf numFmtId="0" fontId="10" fillId="0" borderId="0" xfId="1" applyFont="1" applyFill="1" applyAlignment="1">
      <alignment vertical="center"/>
    </xf>
    <xf numFmtId="0" fontId="5" fillId="0" borderId="0" xfId="1" applyFont="1" applyAlignment="1">
      <alignment horizontal="center" vertical="center"/>
    </xf>
    <xf numFmtId="0" fontId="5" fillId="0" borderId="0" xfId="1" applyFill="1" applyAlignment="1">
      <alignment vertical="center"/>
    </xf>
    <xf numFmtId="0" fontId="6" fillId="0" borderId="0" xfId="1" applyFont="1" applyFill="1" applyAlignment="1">
      <alignment vertical="center"/>
    </xf>
    <xf numFmtId="165" fontId="0" fillId="3" borderId="1" xfId="2" applyNumberFormat="1" applyFont="1" applyFill="1" applyBorder="1" applyAlignment="1">
      <alignment horizontal="left" vertical="center"/>
    </xf>
    <xf numFmtId="165" fontId="4" fillId="3" borderId="0" xfId="2" applyNumberFormat="1" applyFont="1" applyFill="1" applyBorder="1" applyAlignment="1">
      <alignment horizontal="left" vertical="center"/>
    </xf>
    <xf numFmtId="0" fontId="5" fillId="0" borderId="0" xfId="1" applyAlignment="1">
      <alignment horizontal="left" vertical="center"/>
    </xf>
    <xf numFmtId="165" fontId="3" fillId="3" borderId="1" xfId="7" applyNumberFormat="1" applyFont="1" applyFill="1" applyBorder="1" applyAlignment="1">
      <alignment horizontal="left" vertical="center"/>
    </xf>
    <xf numFmtId="0" fontId="9" fillId="0" borderId="0" xfId="5"/>
    <xf numFmtId="0" fontId="9" fillId="0" borderId="0" xfId="5" applyAlignment="1">
      <alignment vertical="center"/>
    </xf>
    <xf numFmtId="0" fontId="6" fillId="3" borderId="0" xfId="1" applyFont="1" applyFill="1" applyAlignment="1">
      <alignment vertical="center"/>
    </xf>
    <xf numFmtId="0" fontId="8" fillId="3" borderId="0" xfId="0" applyFont="1" applyFill="1"/>
    <xf numFmtId="0" fontId="5" fillId="3" borderId="0" xfId="1" applyFill="1" applyAlignment="1">
      <alignment vertical="center"/>
    </xf>
    <xf numFmtId="0" fontId="7" fillId="3" borderId="0" xfId="1" applyFont="1" applyFill="1" applyAlignment="1">
      <alignment horizontal="left" vertical="center"/>
    </xf>
    <xf numFmtId="0" fontId="20" fillId="2" borderId="1" xfId="0" applyFont="1" applyFill="1" applyBorder="1" applyAlignment="1">
      <alignment horizontal="left" vertical="center" wrapText="1"/>
    </xf>
    <xf numFmtId="168" fontId="3" fillId="0" borderId="1" xfId="22" applyNumberFormat="1" applyFont="1" applyBorder="1" applyAlignment="1">
      <alignment horizontal="center" vertical="center"/>
    </xf>
    <xf numFmtId="168" fontId="4" fillId="0" borderId="1" xfId="22" applyNumberFormat="1" applyFont="1" applyBorder="1" applyAlignment="1">
      <alignment horizontal="center" vertical="center"/>
    </xf>
    <xf numFmtId="168" fontId="5" fillId="0" borderId="0" xfId="22" applyNumberFormat="1" applyFont="1" applyAlignment="1">
      <alignment vertical="center"/>
    </xf>
    <xf numFmtId="168" fontId="5" fillId="3" borderId="0" xfId="22" applyNumberFormat="1" applyFont="1" applyFill="1" applyAlignment="1">
      <alignment vertical="center"/>
    </xf>
    <xf numFmtId="168" fontId="4" fillId="4" borderId="1" xfId="22" applyNumberFormat="1" applyFont="1" applyFill="1" applyBorder="1" applyAlignment="1">
      <alignment horizontal="center" vertical="center" wrapText="1"/>
    </xf>
    <xf numFmtId="168" fontId="12" fillId="0" borderId="1" xfId="22" applyNumberFormat="1" applyFont="1" applyFill="1" applyBorder="1" applyAlignment="1">
      <alignment horizontal="right" vertical="center"/>
    </xf>
    <xf numFmtId="168" fontId="13" fillId="0" borderId="1" xfId="22" applyNumberFormat="1" applyFont="1" applyFill="1" applyBorder="1" applyAlignment="1">
      <alignment horizontal="right" vertical="center"/>
    </xf>
    <xf numFmtId="168" fontId="14" fillId="0" borderId="1" xfId="22" applyNumberFormat="1" applyFont="1" applyFill="1" applyBorder="1" applyAlignment="1">
      <alignment horizontal="right" vertical="center"/>
    </xf>
    <xf numFmtId="168" fontId="5" fillId="0" borderId="0" xfId="22" applyNumberFormat="1" applyFont="1"/>
    <xf numFmtId="168" fontId="20" fillId="2" borderId="1" xfId="22" applyNumberFormat="1" applyFont="1" applyFill="1" applyBorder="1" applyAlignment="1">
      <alignment horizontal="center" vertical="center" wrapText="1"/>
    </xf>
    <xf numFmtId="168" fontId="7" fillId="3" borderId="0" xfId="22" applyNumberFormat="1" applyFont="1" applyFill="1" applyAlignment="1">
      <alignment vertical="center"/>
    </xf>
    <xf numFmtId="168" fontId="4" fillId="4" borderId="1" xfId="22" applyNumberFormat="1" applyFont="1" applyFill="1" applyBorder="1" applyAlignment="1">
      <alignment vertical="center"/>
    </xf>
    <xf numFmtId="168" fontId="0" fillId="0" borderId="1" xfId="22" applyNumberFormat="1" applyFont="1" applyBorder="1" applyAlignment="1">
      <alignment vertical="center"/>
    </xf>
    <xf numFmtId="168" fontId="4" fillId="0" borderId="1" xfId="22" applyNumberFormat="1" applyFont="1" applyBorder="1" applyAlignment="1">
      <alignment vertical="center"/>
    </xf>
    <xf numFmtId="168" fontId="4" fillId="2" borderId="1" xfId="22" applyNumberFormat="1" applyFont="1" applyFill="1" applyBorder="1" applyAlignment="1">
      <alignment horizontal="left" vertical="center"/>
    </xf>
    <xf numFmtId="168" fontId="3" fillId="3" borderId="1" xfId="22" applyNumberFormat="1" applyFont="1" applyFill="1" applyBorder="1" applyAlignment="1">
      <alignment horizontal="left" vertical="center"/>
    </xf>
    <xf numFmtId="168" fontId="4" fillId="3" borderId="1" xfId="22" applyNumberFormat="1" applyFont="1" applyFill="1" applyBorder="1" applyAlignment="1">
      <alignment horizontal="left" vertical="center"/>
    </xf>
    <xf numFmtId="168" fontId="4" fillId="4" borderId="1" xfId="22" applyNumberFormat="1" applyFont="1" applyFill="1" applyBorder="1" applyAlignment="1">
      <alignment horizontal="left" vertical="center"/>
    </xf>
    <xf numFmtId="168" fontId="4" fillId="3" borderId="0" xfId="22" applyNumberFormat="1" applyFont="1" applyFill="1" applyBorder="1" applyAlignment="1">
      <alignment vertical="center"/>
    </xf>
    <xf numFmtId="168" fontId="4" fillId="3" borderId="0" xfId="22" applyNumberFormat="1" applyFont="1" applyFill="1" applyBorder="1" applyAlignment="1">
      <alignment horizontal="center" vertical="center"/>
    </xf>
    <xf numFmtId="168" fontId="6" fillId="3" borderId="0" xfId="22" applyNumberFormat="1" applyFont="1" applyFill="1" applyAlignment="1">
      <alignment vertical="center"/>
    </xf>
    <xf numFmtId="168" fontId="3" fillId="0" borderId="1" xfId="22" applyNumberFormat="1" applyFont="1" applyFill="1" applyBorder="1" applyAlignment="1">
      <alignment horizontal="center" vertical="center"/>
    </xf>
    <xf numFmtId="168" fontId="4" fillId="0" borderId="1" xfId="22" applyNumberFormat="1" applyFont="1" applyFill="1" applyBorder="1" applyAlignment="1">
      <alignment horizontal="center" vertical="center"/>
    </xf>
    <xf numFmtId="0" fontId="21" fillId="3" borderId="0" xfId="1" applyFont="1" applyFill="1" applyAlignment="1">
      <alignment vertical="center"/>
    </xf>
    <xf numFmtId="0" fontId="2" fillId="3" borderId="0" xfId="6" applyFont="1" applyFill="1" applyAlignment="1">
      <alignment vertical="center"/>
    </xf>
    <xf numFmtId="166" fontId="0" fillId="3" borderId="0" xfId="3" applyNumberFormat="1" applyFont="1" applyFill="1" applyAlignment="1">
      <alignment vertical="center"/>
    </xf>
    <xf numFmtId="9" fontId="0" fillId="3" borderId="0" xfId="3" applyFont="1" applyFill="1" applyAlignment="1">
      <alignment vertical="center"/>
    </xf>
    <xf numFmtId="0" fontId="8" fillId="3" borderId="0" xfId="1" applyFont="1" applyFill="1" applyAlignment="1">
      <alignment horizontal="left" vertical="center"/>
    </xf>
    <xf numFmtId="0" fontId="9" fillId="3" borderId="0" xfId="5" applyFill="1" applyAlignment="1">
      <alignment vertical="center"/>
    </xf>
    <xf numFmtId="0" fontId="10" fillId="3" borderId="0" xfId="1" applyFont="1" applyFill="1" applyAlignment="1">
      <alignment vertical="center"/>
    </xf>
    <xf numFmtId="168" fontId="5" fillId="3" borderId="0" xfId="22" applyNumberFormat="1" applyFont="1" applyFill="1"/>
    <xf numFmtId="168" fontId="9" fillId="3" borderId="0" xfId="22" applyNumberFormat="1" applyFont="1" applyFill="1"/>
    <xf numFmtId="0" fontId="11" fillId="3" borderId="0" xfId="1" applyFont="1" applyFill="1" applyAlignment="1">
      <alignment horizontal="left" vertical="center"/>
    </xf>
    <xf numFmtId="0" fontId="5" fillId="3" borderId="0" xfId="1" applyFill="1" applyAlignment="1">
      <alignment horizontal="left" vertical="center"/>
    </xf>
    <xf numFmtId="0" fontId="6" fillId="3" borderId="0" xfId="1" applyFont="1" applyFill="1" applyAlignment="1">
      <alignment horizontal="left" vertical="center"/>
    </xf>
    <xf numFmtId="0" fontId="9" fillId="3" borderId="0" xfId="5" applyFill="1" applyAlignment="1">
      <alignment horizontal="left" vertical="center"/>
    </xf>
    <xf numFmtId="165" fontId="4" fillId="0" borderId="1" xfId="2" applyNumberFormat="1" applyFont="1" applyFill="1" applyBorder="1" applyAlignment="1">
      <alignment horizontal="left" vertical="center"/>
    </xf>
    <xf numFmtId="165" fontId="4" fillId="0" borderId="1" xfId="2" applyNumberFormat="1" applyFont="1" applyFill="1" applyBorder="1" applyAlignment="1">
      <alignment horizontal="center" vertical="center"/>
    </xf>
    <xf numFmtId="168" fontId="4" fillId="0" borderId="1" xfId="22" applyNumberFormat="1" applyFont="1" applyFill="1" applyBorder="1" applyAlignment="1">
      <alignment horizontal="left" vertical="center"/>
    </xf>
    <xf numFmtId="166" fontId="0" fillId="3" borderId="1" xfId="23" applyNumberFormat="1" applyFont="1" applyFill="1" applyBorder="1" applyAlignment="1">
      <alignment horizontal="center" vertical="center"/>
    </xf>
    <xf numFmtId="166" fontId="4" fillId="3" borderId="1" xfId="23" applyNumberFormat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165" fontId="3" fillId="3" borderId="1" xfId="2" applyNumberFormat="1" applyFont="1" applyFill="1" applyBorder="1" applyAlignment="1">
      <alignment horizontal="left" vertical="center" indent="1"/>
    </xf>
    <xf numFmtId="0" fontId="21" fillId="3" borderId="0" xfId="1" applyFont="1" applyFill="1" applyAlignment="1">
      <alignment horizontal="left" vertical="center"/>
    </xf>
    <xf numFmtId="168" fontId="21" fillId="3" borderId="0" xfId="22" applyNumberFormat="1" applyFont="1" applyFill="1" applyAlignment="1">
      <alignment vertical="center"/>
    </xf>
    <xf numFmtId="165" fontId="4" fillId="4" borderId="1" xfId="2" applyNumberFormat="1" applyFont="1" applyFill="1" applyBorder="1" applyAlignment="1">
      <alignment horizontal="left" vertical="center"/>
    </xf>
    <xf numFmtId="168" fontId="4" fillId="4" borderId="1" xfId="22" applyNumberFormat="1" applyFont="1" applyFill="1" applyBorder="1" applyAlignment="1">
      <alignment horizontal="left" vertical="center" wrapText="1"/>
    </xf>
    <xf numFmtId="165" fontId="0" fillId="3" borderId="1" xfId="4" applyNumberFormat="1" applyFont="1" applyFill="1" applyBorder="1" applyAlignment="1">
      <alignment horizontal="left" vertical="center"/>
    </xf>
    <xf numFmtId="0" fontId="7" fillId="0" borderId="0" xfId="1" applyFont="1" applyAlignment="1">
      <alignment vertical="center"/>
    </xf>
    <xf numFmtId="168" fontId="0" fillId="3" borderId="1" xfId="22" applyNumberFormat="1" applyFont="1" applyFill="1" applyBorder="1" applyAlignment="1">
      <alignment horizontal="left" vertical="center"/>
    </xf>
    <xf numFmtId="166" fontId="3" fillId="4" borderId="1" xfId="3" applyNumberFormat="1" applyFont="1" applyFill="1" applyBorder="1" applyAlignment="1">
      <alignment horizontal="center" vertical="center"/>
    </xf>
    <xf numFmtId="167" fontId="4" fillId="4" borderId="1" xfId="2" applyNumberFormat="1" applyFont="1" applyFill="1" applyBorder="1" applyAlignment="1">
      <alignment horizontal="left" vertical="center"/>
    </xf>
    <xf numFmtId="169" fontId="4" fillId="4" borderId="1" xfId="22" applyNumberFormat="1" applyFont="1" applyFill="1" applyBorder="1" applyAlignment="1">
      <alignment horizontal="center" vertical="center"/>
    </xf>
    <xf numFmtId="165" fontId="0" fillId="0" borderId="1" xfId="4" applyNumberFormat="1" applyFont="1" applyFill="1" applyBorder="1" applyAlignment="1">
      <alignment horizontal="left" vertical="center"/>
    </xf>
    <xf numFmtId="168" fontId="0" fillId="0" borderId="1" xfId="22" applyNumberFormat="1" applyFont="1" applyFill="1" applyBorder="1" applyAlignment="1">
      <alignment horizontal="left" vertical="center"/>
    </xf>
    <xf numFmtId="165" fontId="3" fillId="3" borderId="1" xfId="4" applyNumberFormat="1" applyFont="1" applyFill="1" applyBorder="1" applyAlignment="1">
      <alignment horizontal="center" vertical="center"/>
    </xf>
    <xf numFmtId="165" fontId="4" fillId="3" borderId="1" xfId="4" applyNumberFormat="1" applyFont="1" applyFill="1" applyBorder="1" applyAlignment="1">
      <alignment horizontal="center" vertical="center"/>
    </xf>
    <xf numFmtId="166" fontId="3" fillId="3" borderId="1" xfId="23" applyNumberFormat="1" applyFont="1" applyFill="1" applyBorder="1" applyAlignment="1">
      <alignment horizontal="center" vertical="center"/>
    </xf>
    <xf numFmtId="169" fontId="4" fillId="4" borderId="1" xfId="22" applyNumberFormat="1" applyFont="1" applyFill="1" applyBorder="1" applyAlignment="1">
      <alignment horizontal="left" vertical="center"/>
    </xf>
    <xf numFmtId="0" fontId="9" fillId="0" borderId="0" xfId="5" applyFill="1"/>
    <xf numFmtId="165" fontId="4" fillId="3" borderId="1" xfId="1" applyNumberFormat="1" applyFont="1" applyFill="1" applyBorder="1" applyAlignment="1">
      <alignment horizontal="center" vertical="center"/>
    </xf>
    <xf numFmtId="166" fontId="3" fillId="3" borderId="0" xfId="23" applyNumberFormat="1" applyFont="1" applyFill="1" applyBorder="1" applyAlignment="1">
      <alignment horizontal="center" vertical="center"/>
    </xf>
    <xf numFmtId="166" fontId="3" fillId="3" borderId="0" xfId="3" applyNumberFormat="1" applyFont="1" applyFill="1" applyBorder="1" applyAlignment="1">
      <alignment horizontal="center" vertical="center"/>
    </xf>
    <xf numFmtId="166" fontId="5" fillId="0" borderId="0" xfId="23" applyNumberFormat="1" applyFont="1" applyAlignment="1">
      <alignment horizontal="right" vertical="center"/>
    </xf>
    <xf numFmtId="166" fontId="5" fillId="0" borderId="0" xfId="23" applyNumberFormat="1" applyFont="1" applyAlignment="1">
      <alignment vertical="center"/>
    </xf>
    <xf numFmtId="166" fontId="3" fillId="0" borderId="1" xfId="23" applyNumberFormat="1" applyFont="1" applyFill="1" applyBorder="1" applyAlignment="1">
      <alignment horizontal="center" vertical="center"/>
    </xf>
    <xf numFmtId="166" fontId="4" fillId="0" borderId="1" xfId="23" applyNumberFormat="1" applyFont="1" applyFill="1" applyBorder="1" applyAlignment="1">
      <alignment horizontal="center" vertical="center"/>
    </xf>
    <xf numFmtId="166" fontId="3" fillId="0" borderId="1" xfId="3" applyNumberFormat="1" applyFont="1" applyFill="1" applyBorder="1" applyAlignment="1">
      <alignment horizontal="center" vertical="center"/>
    </xf>
    <xf numFmtId="166" fontId="4" fillId="0" borderId="1" xfId="3" applyNumberFormat="1" applyFont="1" applyFill="1" applyBorder="1" applyAlignment="1">
      <alignment horizontal="center" vertical="center"/>
    </xf>
    <xf numFmtId="165" fontId="3" fillId="0" borderId="1" xfId="2" applyNumberFormat="1" applyFont="1" applyFill="1" applyBorder="1" applyAlignment="1">
      <alignment horizontal="left" vertical="center"/>
    </xf>
    <xf numFmtId="165" fontId="3" fillId="0" borderId="1" xfId="2" applyNumberFormat="1" applyFont="1" applyFill="1" applyBorder="1" applyAlignment="1">
      <alignment horizontal="center" vertical="center"/>
    </xf>
    <xf numFmtId="165" fontId="4" fillId="0" borderId="1" xfId="1" applyNumberFormat="1" applyFont="1" applyFill="1" applyBorder="1" applyAlignment="1">
      <alignment horizontal="center" vertical="center"/>
    </xf>
    <xf numFmtId="165" fontId="3" fillId="0" borderId="1" xfId="2" applyNumberFormat="1" applyFont="1" applyFill="1" applyBorder="1" applyAlignment="1">
      <alignment horizontal="left" vertical="center" indent="1"/>
    </xf>
    <xf numFmtId="165" fontId="3" fillId="0" borderId="1" xfId="1" applyNumberFormat="1" applyFont="1" applyFill="1" applyBorder="1" applyAlignment="1">
      <alignment horizontal="center" vertical="center"/>
    </xf>
    <xf numFmtId="166" fontId="5" fillId="3" borderId="0" xfId="23" applyNumberFormat="1" applyFont="1" applyFill="1" applyAlignment="1">
      <alignment horizontal="right" vertical="center"/>
    </xf>
    <xf numFmtId="166" fontId="5" fillId="3" borderId="0" xfId="23" applyNumberFormat="1" applyFont="1" applyFill="1" applyAlignment="1">
      <alignment horizontal="center" vertical="center"/>
    </xf>
    <xf numFmtId="166" fontId="5" fillId="3" borderId="0" xfId="1" applyNumberFormat="1" applyFill="1" applyAlignment="1">
      <alignment horizontal="center" vertical="center"/>
    </xf>
    <xf numFmtId="166" fontId="22" fillId="0" borderId="0" xfId="23" applyNumberFormat="1" applyFont="1" applyAlignment="1">
      <alignment vertical="center"/>
    </xf>
    <xf numFmtId="0" fontId="11" fillId="0" borderId="0" xfId="1" applyFont="1" applyAlignment="1">
      <alignment horizontal="left" vertical="center"/>
    </xf>
    <xf numFmtId="0" fontId="11" fillId="3" borderId="0" xfId="1" applyFont="1" applyFill="1" applyAlignment="1">
      <alignment vertical="center"/>
    </xf>
    <xf numFmtId="166" fontId="23" fillId="0" borderId="0" xfId="23" applyNumberFormat="1" applyFont="1" applyAlignment="1">
      <alignment vertical="center"/>
    </xf>
    <xf numFmtId="169" fontId="4" fillId="0" borderId="1" xfId="22" applyNumberFormat="1" applyFont="1" applyFill="1" applyBorder="1" applyAlignment="1">
      <alignment horizontal="left" vertical="center"/>
    </xf>
    <xf numFmtId="169" fontId="4" fillId="0" borderId="1" xfId="22" applyNumberFormat="1" applyFont="1" applyFill="1" applyBorder="1" applyAlignment="1">
      <alignment horizontal="center" vertical="center"/>
    </xf>
    <xf numFmtId="167" fontId="4" fillId="0" borderId="1" xfId="2" applyNumberFormat="1" applyFont="1" applyFill="1" applyBorder="1" applyAlignment="1">
      <alignment horizontal="left" vertical="center"/>
    </xf>
    <xf numFmtId="166" fontId="4" fillId="3" borderId="0" xfId="23" applyNumberFormat="1" applyFont="1" applyFill="1" applyBorder="1" applyAlignment="1">
      <alignment horizontal="right" vertical="center"/>
    </xf>
    <xf numFmtId="165" fontId="5" fillId="3" borderId="0" xfId="1" applyNumberFormat="1" applyFill="1" applyAlignment="1">
      <alignment vertical="center"/>
    </xf>
    <xf numFmtId="166" fontId="5" fillId="3" borderId="0" xfId="23" applyNumberFormat="1" applyFont="1" applyFill="1" applyAlignment="1">
      <alignment vertical="center"/>
    </xf>
    <xf numFmtId="165" fontId="5" fillId="0" borderId="0" xfId="23" applyNumberFormat="1" applyFont="1" applyAlignment="1">
      <alignment vertical="center"/>
    </xf>
    <xf numFmtId="165" fontId="5" fillId="0" borderId="0" xfId="1" applyNumberFormat="1" applyAlignment="1">
      <alignment horizontal="left" vertical="center"/>
    </xf>
    <xf numFmtId="166" fontId="5" fillId="0" borderId="0" xfId="23" applyNumberFormat="1" applyFont="1" applyAlignment="1">
      <alignment horizontal="center" vertical="center"/>
    </xf>
    <xf numFmtId="166" fontId="5" fillId="0" borderId="0" xfId="23" applyNumberFormat="1" applyFont="1"/>
    <xf numFmtId="166" fontId="8" fillId="3" borderId="0" xfId="23" applyNumberFormat="1" applyFont="1" applyFill="1" applyAlignment="1">
      <alignment horizontal="right" vertical="center"/>
    </xf>
    <xf numFmtId="166" fontId="5" fillId="3" borderId="0" xfId="1" applyNumberFormat="1" applyFill="1" applyAlignment="1">
      <alignment vertical="center"/>
    </xf>
    <xf numFmtId="166" fontId="5" fillId="0" borderId="0" xfId="23" applyNumberFormat="1" applyFont="1" applyAlignment="1">
      <alignment horizontal="left" vertical="center"/>
    </xf>
  </cellXfs>
  <cellStyles count="25">
    <cellStyle name="Hipervínculo" xfId="5" builtinId="8"/>
    <cellStyle name="Millares" xfId="22" builtinId="3"/>
    <cellStyle name="Millares 2" xfId="2"/>
    <cellStyle name="Millares 2 2" xfId="8"/>
    <cellStyle name="Millares 3" xfId="13"/>
    <cellStyle name="Millares 4" xfId="4"/>
    <cellStyle name="Millares 4 2" xfId="21"/>
    <cellStyle name="Millares 5" xfId="7"/>
    <cellStyle name="Normal" xfId="0" builtinId="0"/>
    <cellStyle name="Normal 2" xfId="1"/>
    <cellStyle name="Normal 2 2" xfId="14"/>
    <cellStyle name="Normal 2 3" xfId="10"/>
    <cellStyle name="Normal 3" xfId="12"/>
    <cellStyle name="Normal 3 2" xfId="15"/>
    <cellStyle name="Normal 3 3" xfId="16"/>
    <cellStyle name="Normal 3 4" xfId="17"/>
    <cellStyle name="Normal 4" xfId="18"/>
    <cellStyle name="Normal 5" xfId="6"/>
    <cellStyle name="Normal 5 2" xfId="19"/>
    <cellStyle name="Normal 6" xfId="24"/>
    <cellStyle name="Porcentaje" xfId="23" builtinId="5"/>
    <cellStyle name="Porcentaje 2" xfId="3"/>
    <cellStyle name="Porcentaje 2 2" xfId="9"/>
    <cellStyle name="Porcentaje 3" xfId="20"/>
    <cellStyle name="Porcentual 2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4629149</xdr:colOff>
      <xdr:row>0</xdr:row>
      <xdr:rowOff>132792</xdr:rowOff>
    </xdr:from>
    <xdr:to>
      <xdr:col>3</xdr:col>
      <xdr:colOff>447675</xdr:colOff>
      <xdr:row>2</xdr:row>
      <xdr:rowOff>41350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53149" y="132792"/>
          <a:ext cx="1590676" cy="527683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495303</xdr:colOff>
      <xdr:row>0</xdr:row>
      <xdr:rowOff>9525</xdr:rowOff>
    </xdr:from>
    <xdr:to>
      <xdr:col>5</xdr:col>
      <xdr:colOff>212231</xdr:colOff>
      <xdr:row>2</xdr:row>
      <xdr:rowOff>42656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9653" y="9525"/>
          <a:ext cx="1622986" cy="490331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447675</xdr:colOff>
      <xdr:row>0</xdr:row>
      <xdr:rowOff>0</xdr:rowOff>
    </xdr:from>
    <xdr:to>
      <xdr:col>18</xdr:col>
      <xdr:colOff>358</xdr:colOff>
      <xdr:row>2</xdr:row>
      <xdr:rowOff>33131</xdr:rowOff>
    </xdr:to>
    <xdr:pic>
      <xdr:nvPicPr>
        <xdr:cNvPr id="2" name="2 Imagen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81825" y="0"/>
          <a:ext cx="1457886" cy="490331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495300</xdr:colOff>
      <xdr:row>0</xdr:row>
      <xdr:rowOff>9525</xdr:rowOff>
    </xdr:from>
    <xdr:to>
      <xdr:col>4</xdr:col>
      <xdr:colOff>972111</xdr:colOff>
      <xdr:row>2</xdr:row>
      <xdr:rowOff>42656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5825" y="9525"/>
          <a:ext cx="1616636" cy="490331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409575</xdr:colOff>
      <xdr:row>0</xdr:row>
      <xdr:rowOff>19050</xdr:rowOff>
    </xdr:from>
    <xdr:to>
      <xdr:col>17</xdr:col>
      <xdr:colOff>192649</xdr:colOff>
      <xdr:row>2</xdr:row>
      <xdr:rowOff>4556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53325" y="19050"/>
          <a:ext cx="1616636" cy="490331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438150</xdr:colOff>
      <xdr:row>0</xdr:row>
      <xdr:rowOff>9525</xdr:rowOff>
    </xdr:from>
    <xdr:to>
      <xdr:col>3</xdr:col>
      <xdr:colOff>1004920</xdr:colOff>
      <xdr:row>2</xdr:row>
      <xdr:rowOff>42656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1425" y="9525"/>
          <a:ext cx="1616636" cy="490331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647700</xdr:colOff>
      <xdr:row>0</xdr:row>
      <xdr:rowOff>9525</xdr:rowOff>
    </xdr:from>
    <xdr:to>
      <xdr:col>17</xdr:col>
      <xdr:colOff>554893</xdr:colOff>
      <xdr:row>1</xdr:row>
      <xdr:rowOff>233156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62750" y="9525"/>
          <a:ext cx="1619811" cy="490331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849314</xdr:colOff>
      <xdr:row>0</xdr:row>
      <xdr:rowOff>7938</xdr:rowOff>
    </xdr:from>
    <xdr:to>
      <xdr:col>4</xdr:col>
      <xdr:colOff>1102288</xdr:colOff>
      <xdr:row>1</xdr:row>
      <xdr:rowOff>231569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59414" y="7938"/>
          <a:ext cx="1624574" cy="490331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500064</xdr:colOff>
      <xdr:row>0</xdr:row>
      <xdr:rowOff>7938</xdr:rowOff>
    </xdr:from>
    <xdr:to>
      <xdr:col>18</xdr:col>
      <xdr:colOff>430775</xdr:colOff>
      <xdr:row>2</xdr:row>
      <xdr:rowOff>660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7939" y="7938"/>
          <a:ext cx="1616636" cy="493506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571500</xdr:colOff>
      <xdr:row>0</xdr:row>
      <xdr:rowOff>19050</xdr:rowOff>
    </xdr:from>
    <xdr:to>
      <xdr:col>5</xdr:col>
      <xdr:colOff>561</xdr:colOff>
      <xdr:row>2</xdr:row>
      <xdr:rowOff>4556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38875" y="19050"/>
          <a:ext cx="1619811" cy="490331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97"/>
  <sheetViews>
    <sheetView showGridLines="0" tabSelected="1" workbookViewId="0">
      <pane ySplit="2" topLeftCell="A18" activePane="bottomLeft" state="frozen"/>
      <selection pane="bottomLeft" activeCell="A2" sqref="A2"/>
    </sheetView>
  </sheetViews>
  <sheetFormatPr baseColWidth="10" defaultColWidth="10.85546875" defaultRowHeight="15" x14ac:dyDescent="0.2"/>
  <cols>
    <col min="1" max="2" width="10.85546875" style="1"/>
    <col min="3" max="3" width="86.42578125" style="1" customWidth="1"/>
    <col min="4" max="16384" width="10.85546875" style="1"/>
  </cols>
  <sheetData>
    <row r="2" spans="1:3" ht="33.75" x14ac:dyDescent="0.2">
      <c r="B2" s="26" t="s">
        <v>368</v>
      </c>
    </row>
    <row r="5" spans="1:3" x14ac:dyDescent="0.2">
      <c r="A5" s="27" t="s">
        <v>218</v>
      </c>
      <c r="B5" s="27" t="s">
        <v>219</v>
      </c>
      <c r="C5" s="28" t="s">
        <v>220</v>
      </c>
    </row>
    <row r="6" spans="1:3" x14ac:dyDescent="0.2">
      <c r="A6" s="29">
        <v>1</v>
      </c>
      <c r="B6" s="29">
        <v>1</v>
      </c>
      <c r="C6" s="30" t="s">
        <v>221</v>
      </c>
    </row>
    <row r="7" spans="1:3" x14ac:dyDescent="0.2">
      <c r="A7" s="29"/>
      <c r="B7" s="29"/>
    </row>
    <row r="8" spans="1:3" ht="18.75" x14ac:dyDescent="0.2">
      <c r="A8" s="27" t="s">
        <v>218</v>
      </c>
      <c r="B8" s="27" t="s">
        <v>219</v>
      </c>
      <c r="C8" s="31" t="s">
        <v>363</v>
      </c>
    </row>
    <row r="9" spans="1:3" x14ac:dyDescent="0.25">
      <c r="A9" s="29">
        <v>2</v>
      </c>
      <c r="B9" s="29">
        <v>1</v>
      </c>
      <c r="C9" s="102" t="s">
        <v>337</v>
      </c>
    </row>
    <row r="10" spans="1:3" x14ac:dyDescent="0.25">
      <c r="A10" s="29">
        <v>2</v>
      </c>
      <c r="B10" s="29">
        <v>2</v>
      </c>
      <c r="C10" s="102" t="s">
        <v>338</v>
      </c>
    </row>
    <row r="11" spans="1:3" x14ac:dyDescent="0.25">
      <c r="A11" s="29">
        <v>2</v>
      </c>
      <c r="B11" s="29">
        <v>3</v>
      </c>
      <c r="C11" s="102" t="s">
        <v>339</v>
      </c>
    </row>
    <row r="12" spans="1:3" x14ac:dyDescent="0.25">
      <c r="A12" s="29">
        <v>2</v>
      </c>
      <c r="B12" s="29">
        <v>4</v>
      </c>
      <c r="C12" s="102" t="s">
        <v>340</v>
      </c>
    </row>
    <row r="13" spans="1:3" x14ac:dyDescent="0.25">
      <c r="A13" s="29">
        <v>2</v>
      </c>
      <c r="B13" s="29">
        <v>5</v>
      </c>
      <c r="C13" s="102" t="s">
        <v>341</v>
      </c>
    </row>
    <row r="14" spans="1:3" x14ac:dyDescent="0.25">
      <c r="A14" s="29">
        <v>2</v>
      </c>
      <c r="B14" s="29">
        <v>6</v>
      </c>
      <c r="C14" s="102" t="s">
        <v>369</v>
      </c>
    </row>
    <row r="16" spans="1:3" ht="18.75" x14ac:dyDescent="0.2">
      <c r="A16" s="27" t="s">
        <v>218</v>
      </c>
      <c r="B16" s="27" t="s">
        <v>219</v>
      </c>
      <c r="C16" s="31" t="s">
        <v>374</v>
      </c>
    </row>
    <row r="17" spans="1:3" x14ac:dyDescent="0.25">
      <c r="A17" s="29">
        <v>3</v>
      </c>
      <c r="B17" s="29">
        <v>1</v>
      </c>
      <c r="C17" s="102" t="s">
        <v>237</v>
      </c>
    </row>
    <row r="18" spans="1:3" x14ac:dyDescent="0.25">
      <c r="A18" s="29">
        <v>3</v>
      </c>
      <c r="B18" s="29">
        <v>2</v>
      </c>
      <c r="C18" s="102" t="s">
        <v>22</v>
      </c>
    </row>
    <row r="19" spans="1:3" x14ac:dyDescent="0.25">
      <c r="A19" s="29">
        <v>3</v>
      </c>
      <c r="B19" s="29">
        <v>3</v>
      </c>
      <c r="C19" s="102" t="s">
        <v>238</v>
      </c>
    </row>
    <row r="20" spans="1:3" x14ac:dyDescent="0.25">
      <c r="A20" s="29">
        <v>3</v>
      </c>
      <c r="B20" s="29">
        <v>4</v>
      </c>
      <c r="C20" s="102" t="s">
        <v>232</v>
      </c>
    </row>
    <row r="21" spans="1:3" x14ac:dyDescent="0.25">
      <c r="A21" s="29">
        <v>3</v>
      </c>
      <c r="B21" s="29">
        <v>5</v>
      </c>
      <c r="C21" s="102" t="s">
        <v>239</v>
      </c>
    </row>
    <row r="22" spans="1:3" x14ac:dyDescent="0.25">
      <c r="A22" s="29">
        <v>3</v>
      </c>
      <c r="B22" s="29">
        <v>6</v>
      </c>
      <c r="C22" s="102" t="s">
        <v>230</v>
      </c>
    </row>
    <row r="23" spans="1:3" x14ac:dyDescent="0.25">
      <c r="A23" s="29">
        <v>3</v>
      </c>
      <c r="B23" s="29">
        <v>7</v>
      </c>
      <c r="C23" s="102" t="s">
        <v>25</v>
      </c>
    </row>
    <row r="24" spans="1:3" x14ac:dyDescent="0.25">
      <c r="A24" s="29">
        <v>3</v>
      </c>
      <c r="B24" s="29">
        <v>8</v>
      </c>
      <c r="C24" s="102" t="s">
        <v>35</v>
      </c>
    </row>
    <row r="25" spans="1:3" x14ac:dyDescent="0.25">
      <c r="A25" s="29">
        <v>3</v>
      </c>
      <c r="B25" s="29">
        <v>9</v>
      </c>
      <c r="C25" s="102" t="s">
        <v>380</v>
      </c>
    </row>
    <row r="28" spans="1:3" ht="18.75" x14ac:dyDescent="0.2">
      <c r="A28" s="27" t="s">
        <v>218</v>
      </c>
      <c r="B28" s="27" t="s">
        <v>219</v>
      </c>
      <c r="C28" s="38" t="s">
        <v>364</v>
      </c>
    </row>
    <row r="29" spans="1:3" x14ac:dyDescent="0.25">
      <c r="A29" s="29">
        <v>4</v>
      </c>
      <c r="B29" s="29">
        <v>1</v>
      </c>
      <c r="C29" s="102" t="s">
        <v>312</v>
      </c>
    </row>
    <row r="30" spans="1:3" x14ac:dyDescent="0.25">
      <c r="A30" s="29">
        <v>4</v>
      </c>
      <c r="B30" s="29">
        <v>2</v>
      </c>
      <c r="C30" s="102" t="s">
        <v>343</v>
      </c>
    </row>
    <row r="31" spans="1:3" x14ac:dyDescent="0.25">
      <c r="A31" s="29">
        <v>4</v>
      </c>
      <c r="B31" s="29">
        <v>3</v>
      </c>
      <c r="C31" s="102" t="s">
        <v>344</v>
      </c>
    </row>
    <row r="32" spans="1:3" x14ac:dyDescent="0.25">
      <c r="A32" s="29">
        <v>4</v>
      </c>
      <c r="B32" s="29">
        <v>4</v>
      </c>
      <c r="C32" s="102" t="s">
        <v>345</v>
      </c>
    </row>
    <row r="33" spans="1:3" x14ac:dyDescent="0.25">
      <c r="A33" s="29">
        <v>4</v>
      </c>
      <c r="B33" s="29">
        <v>5</v>
      </c>
      <c r="C33" s="102" t="s">
        <v>346</v>
      </c>
    </row>
    <row r="34" spans="1:3" x14ac:dyDescent="0.25">
      <c r="A34" s="29">
        <v>4</v>
      </c>
      <c r="B34" s="29">
        <v>6</v>
      </c>
      <c r="C34" s="102" t="s">
        <v>347</v>
      </c>
    </row>
    <row r="35" spans="1:3" x14ac:dyDescent="0.25">
      <c r="A35" s="29">
        <v>4</v>
      </c>
      <c r="B35" s="29">
        <v>7</v>
      </c>
      <c r="C35" s="102" t="s">
        <v>348</v>
      </c>
    </row>
    <row r="36" spans="1:3" x14ac:dyDescent="0.25">
      <c r="A36" s="29">
        <v>4</v>
      </c>
      <c r="B36" s="29">
        <v>8</v>
      </c>
      <c r="C36" s="102" t="s">
        <v>349</v>
      </c>
    </row>
    <row r="39" spans="1:3" ht="18.75" x14ac:dyDescent="0.2">
      <c r="A39" s="27" t="s">
        <v>218</v>
      </c>
      <c r="B39" s="27" t="s">
        <v>219</v>
      </c>
      <c r="C39" s="31" t="s">
        <v>375</v>
      </c>
    </row>
    <row r="40" spans="1:3" x14ac:dyDescent="0.25">
      <c r="A40" s="29">
        <v>5</v>
      </c>
      <c r="B40" s="29">
        <v>1</v>
      </c>
      <c r="C40" s="36" t="s">
        <v>46</v>
      </c>
    </row>
    <row r="41" spans="1:3" x14ac:dyDescent="0.25">
      <c r="A41" s="29">
        <v>5</v>
      </c>
      <c r="B41" s="29">
        <v>2</v>
      </c>
      <c r="C41" s="36" t="s">
        <v>222</v>
      </c>
    </row>
    <row r="42" spans="1:3" x14ac:dyDescent="0.25">
      <c r="A42" s="29">
        <v>5</v>
      </c>
      <c r="B42" s="29">
        <v>3</v>
      </c>
      <c r="C42" s="36" t="s">
        <v>47</v>
      </c>
    </row>
    <row r="43" spans="1:3" x14ac:dyDescent="0.25">
      <c r="A43" s="29">
        <v>5</v>
      </c>
      <c r="B43" s="29">
        <v>4</v>
      </c>
      <c r="C43" s="36" t="s">
        <v>223</v>
      </c>
    </row>
    <row r="44" spans="1:3" x14ac:dyDescent="0.25">
      <c r="A44" s="29">
        <v>5</v>
      </c>
      <c r="B44" s="29">
        <v>5</v>
      </c>
      <c r="C44" s="36" t="s">
        <v>235</v>
      </c>
    </row>
    <row r="45" spans="1:3" x14ac:dyDescent="0.25">
      <c r="A45" s="29">
        <v>5</v>
      </c>
      <c r="B45" s="29">
        <v>6</v>
      </c>
      <c r="C45" s="36" t="s">
        <v>236</v>
      </c>
    </row>
    <row r="46" spans="1:3" x14ac:dyDescent="0.25">
      <c r="A46" s="29">
        <v>5</v>
      </c>
      <c r="B46" s="29">
        <v>7</v>
      </c>
      <c r="C46" s="36" t="s">
        <v>51</v>
      </c>
    </row>
    <row r="47" spans="1:3" x14ac:dyDescent="0.25">
      <c r="A47" s="29">
        <v>5</v>
      </c>
      <c r="B47" s="29">
        <v>8</v>
      </c>
      <c r="C47" s="36" t="s">
        <v>52</v>
      </c>
    </row>
    <row r="48" spans="1:3" x14ac:dyDescent="0.25">
      <c r="A48" s="29">
        <v>5</v>
      </c>
      <c r="B48" s="29">
        <v>9</v>
      </c>
      <c r="C48" s="36" t="s">
        <v>224</v>
      </c>
    </row>
    <row r="49" spans="1:3" x14ac:dyDescent="0.25">
      <c r="A49" s="29">
        <v>5</v>
      </c>
      <c r="B49" s="29">
        <v>10</v>
      </c>
      <c r="C49" s="36" t="s">
        <v>225</v>
      </c>
    </row>
    <row r="50" spans="1:3" x14ac:dyDescent="0.25">
      <c r="A50" s="29">
        <v>5</v>
      </c>
      <c r="B50" s="29">
        <v>11</v>
      </c>
      <c r="C50" s="36" t="s">
        <v>226</v>
      </c>
    </row>
    <row r="51" spans="1:3" x14ac:dyDescent="0.25">
      <c r="A51" s="29">
        <v>5</v>
      </c>
      <c r="B51" s="29">
        <v>12</v>
      </c>
      <c r="C51" s="36" t="s">
        <v>243</v>
      </c>
    </row>
    <row r="52" spans="1:3" x14ac:dyDescent="0.25">
      <c r="A52" s="29">
        <v>5</v>
      </c>
      <c r="B52" s="29">
        <v>13</v>
      </c>
      <c r="C52" s="36" t="s">
        <v>244</v>
      </c>
    </row>
    <row r="53" spans="1:3" x14ac:dyDescent="0.25">
      <c r="A53" s="29">
        <v>5</v>
      </c>
      <c r="B53" s="29">
        <v>14</v>
      </c>
      <c r="C53" s="36" t="s">
        <v>245</v>
      </c>
    </row>
    <row r="54" spans="1:3" x14ac:dyDescent="0.25">
      <c r="A54" s="29">
        <v>5</v>
      </c>
      <c r="B54" s="29">
        <v>15</v>
      </c>
      <c r="C54" s="36" t="s">
        <v>246</v>
      </c>
    </row>
    <row r="55" spans="1:3" x14ac:dyDescent="0.25">
      <c r="A55" s="29">
        <v>5</v>
      </c>
      <c r="B55" s="29">
        <v>16</v>
      </c>
      <c r="C55" s="36" t="s">
        <v>94</v>
      </c>
    </row>
    <row r="58" spans="1:3" ht="18.75" x14ac:dyDescent="0.2">
      <c r="A58" s="27" t="s">
        <v>218</v>
      </c>
      <c r="B58" s="27" t="s">
        <v>219</v>
      </c>
      <c r="C58" s="38" t="s">
        <v>365</v>
      </c>
    </row>
    <row r="59" spans="1:3" x14ac:dyDescent="0.25">
      <c r="A59" s="29">
        <v>6</v>
      </c>
      <c r="B59" s="29">
        <v>1</v>
      </c>
      <c r="C59" s="102" t="s">
        <v>329</v>
      </c>
    </row>
    <row r="60" spans="1:3" x14ac:dyDescent="0.25">
      <c r="A60" s="29">
        <v>6</v>
      </c>
      <c r="B60" s="29">
        <v>2</v>
      </c>
      <c r="C60" s="102" t="s">
        <v>330</v>
      </c>
    </row>
    <row r="61" spans="1:3" x14ac:dyDescent="0.25">
      <c r="A61" s="29">
        <v>6</v>
      </c>
      <c r="B61" s="29">
        <v>3</v>
      </c>
      <c r="C61" s="102" t="s">
        <v>331</v>
      </c>
    </row>
    <row r="62" spans="1:3" x14ac:dyDescent="0.25">
      <c r="A62" s="29">
        <v>6</v>
      </c>
      <c r="B62" s="29">
        <v>4</v>
      </c>
      <c r="C62" s="102" t="s">
        <v>332</v>
      </c>
    </row>
    <row r="63" spans="1:3" x14ac:dyDescent="0.25">
      <c r="A63" s="29">
        <v>6</v>
      </c>
      <c r="B63" s="29">
        <v>5</v>
      </c>
      <c r="C63" s="102" t="s">
        <v>333</v>
      </c>
    </row>
    <row r="64" spans="1:3" x14ac:dyDescent="0.25">
      <c r="A64" s="29">
        <v>6</v>
      </c>
      <c r="B64" s="29">
        <v>6</v>
      </c>
      <c r="C64" s="102" t="s">
        <v>334</v>
      </c>
    </row>
    <row r="65" spans="1:3" x14ac:dyDescent="0.25">
      <c r="A65" s="29">
        <v>6</v>
      </c>
      <c r="B65" s="29">
        <v>7</v>
      </c>
      <c r="C65" s="102" t="s">
        <v>335</v>
      </c>
    </row>
    <row r="66" spans="1:3" x14ac:dyDescent="0.25">
      <c r="A66" s="29">
        <v>6</v>
      </c>
      <c r="B66" s="29">
        <v>8</v>
      </c>
      <c r="C66" s="102" t="s">
        <v>336</v>
      </c>
    </row>
    <row r="69" spans="1:3" ht="18.75" x14ac:dyDescent="0.2">
      <c r="A69" s="27" t="s">
        <v>218</v>
      </c>
      <c r="B69" s="27" t="s">
        <v>219</v>
      </c>
      <c r="C69" s="38" t="s">
        <v>376</v>
      </c>
    </row>
    <row r="70" spans="1:3" x14ac:dyDescent="0.25">
      <c r="A70" s="29">
        <v>7</v>
      </c>
      <c r="B70" s="29">
        <v>1</v>
      </c>
      <c r="C70" s="36" t="s">
        <v>240</v>
      </c>
    </row>
    <row r="71" spans="1:3" x14ac:dyDescent="0.25">
      <c r="A71" s="29">
        <v>7</v>
      </c>
      <c r="B71" s="29">
        <v>2</v>
      </c>
      <c r="C71" s="36" t="s">
        <v>227</v>
      </c>
    </row>
    <row r="72" spans="1:3" x14ac:dyDescent="0.25">
      <c r="A72" s="29">
        <v>7</v>
      </c>
      <c r="B72" s="29">
        <v>3</v>
      </c>
      <c r="C72" s="36" t="s">
        <v>241</v>
      </c>
    </row>
    <row r="73" spans="1:3" x14ac:dyDescent="0.25">
      <c r="A73" s="29">
        <v>7</v>
      </c>
      <c r="B73" s="29">
        <v>4</v>
      </c>
      <c r="C73" s="36" t="s">
        <v>256</v>
      </c>
    </row>
    <row r="76" spans="1:3" ht="18.75" x14ac:dyDescent="0.2">
      <c r="A76" s="27" t="s">
        <v>218</v>
      </c>
      <c r="B76" s="27" t="s">
        <v>219</v>
      </c>
      <c r="C76" s="38" t="s">
        <v>366</v>
      </c>
    </row>
    <row r="77" spans="1:3" x14ac:dyDescent="0.25">
      <c r="A77" s="29">
        <v>8</v>
      </c>
      <c r="B77" s="29">
        <v>1</v>
      </c>
      <c r="C77" s="102" t="s">
        <v>370</v>
      </c>
    </row>
    <row r="78" spans="1:3" x14ac:dyDescent="0.25">
      <c r="A78" s="29">
        <v>8</v>
      </c>
      <c r="B78" s="29">
        <v>2</v>
      </c>
      <c r="C78" s="102" t="s">
        <v>352</v>
      </c>
    </row>
    <row r="79" spans="1:3" x14ac:dyDescent="0.25">
      <c r="A79" s="29">
        <v>8</v>
      </c>
      <c r="B79" s="29">
        <v>3</v>
      </c>
      <c r="C79" s="102" t="s">
        <v>356</v>
      </c>
    </row>
    <row r="80" spans="1:3" x14ac:dyDescent="0.25">
      <c r="A80" s="29">
        <v>8</v>
      </c>
      <c r="B80" s="29">
        <v>4</v>
      </c>
      <c r="C80" s="102" t="s">
        <v>353</v>
      </c>
    </row>
    <row r="81" spans="1:3" x14ac:dyDescent="0.25">
      <c r="A81" s="29">
        <v>8</v>
      </c>
      <c r="B81" s="29">
        <v>5</v>
      </c>
      <c r="C81" s="102" t="s">
        <v>354</v>
      </c>
    </row>
    <row r="82" spans="1:3" x14ac:dyDescent="0.25">
      <c r="A82" s="29">
        <v>8</v>
      </c>
      <c r="B82" s="29">
        <v>6</v>
      </c>
      <c r="C82" s="102" t="s">
        <v>355</v>
      </c>
    </row>
    <row r="83" spans="1:3" x14ac:dyDescent="0.25">
      <c r="A83" s="29">
        <v>8</v>
      </c>
      <c r="B83" s="29">
        <v>7</v>
      </c>
      <c r="C83" s="102" t="s">
        <v>357</v>
      </c>
    </row>
    <row r="84" spans="1:3" x14ac:dyDescent="0.25">
      <c r="A84" s="29">
        <v>8</v>
      </c>
      <c r="B84" s="29">
        <v>8</v>
      </c>
      <c r="C84" s="102" t="s">
        <v>358</v>
      </c>
    </row>
    <row r="87" spans="1:3" ht="18.75" x14ac:dyDescent="0.2">
      <c r="A87" s="27" t="s">
        <v>218</v>
      </c>
      <c r="B87" s="27" t="s">
        <v>219</v>
      </c>
      <c r="C87" s="38" t="s">
        <v>377</v>
      </c>
    </row>
    <row r="88" spans="1:3" x14ac:dyDescent="0.25">
      <c r="A88" s="29">
        <v>9</v>
      </c>
      <c r="B88" s="29">
        <v>1</v>
      </c>
      <c r="C88" s="36" t="s">
        <v>103</v>
      </c>
    </row>
    <row r="89" spans="1:3" x14ac:dyDescent="0.25">
      <c r="A89" s="29">
        <v>9</v>
      </c>
      <c r="B89" s="29">
        <v>2</v>
      </c>
      <c r="C89" s="36" t="s">
        <v>104</v>
      </c>
    </row>
    <row r="90" spans="1:3" x14ac:dyDescent="0.25">
      <c r="A90" s="29">
        <v>9</v>
      </c>
      <c r="B90" s="29">
        <v>3</v>
      </c>
      <c r="C90" s="36" t="s">
        <v>242</v>
      </c>
    </row>
    <row r="91" spans="1:3" x14ac:dyDescent="0.25">
      <c r="A91" s="29">
        <v>9</v>
      </c>
      <c r="B91" s="29">
        <v>4</v>
      </c>
      <c r="C91" s="36" t="s">
        <v>257</v>
      </c>
    </row>
    <row r="93" spans="1:3" x14ac:dyDescent="0.2">
      <c r="A93" s="27" t="s">
        <v>218</v>
      </c>
      <c r="B93" s="27" t="s">
        <v>219</v>
      </c>
      <c r="C93" s="28" t="s">
        <v>220</v>
      </c>
    </row>
    <row r="94" spans="1:3" x14ac:dyDescent="0.2">
      <c r="A94" s="29">
        <v>10</v>
      </c>
      <c r="B94" s="29">
        <v>1</v>
      </c>
      <c r="C94" s="37" t="s">
        <v>367</v>
      </c>
    </row>
    <row r="97" spans="2:2" x14ac:dyDescent="0.25">
      <c r="B97" s="39" t="s">
        <v>271</v>
      </c>
    </row>
  </sheetData>
  <hyperlinks>
    <hyperlink ref="C39" location="'Evolución Tituación Pregrado'!A1" display="Evolución titulación Pregrado 2008-2012"/>
    <hyperlink ref="C69" location="'Evolución Titulados Posgrado'!A1" display="Evolución titulación Posgrado 2008-2012"/>
    <hyperlink ref="C87" location="'Evolución Titulados Postítulo'!A1" display="Evolución titulación Postítulo 2008-2012"/>
    <hyperlink ref="C94" location="'Listado de Instituciones'!A4" display="Listado de instituciones participantes 2019"/>
    <hyperlink ref="C40:C55" location="'Evolución titulación pregrado'!A1" display="Evolución de Titulación Total de Pregrado por tipo de institución"/>
    <hyperlink ref="C40" location="'Evolución Titulación Pregrado'!A4" display="Evolución de Titulación Total de Pregrado por tipo de institución"/>
    <hyperlink ref="C41" location="'Evolución Titulación Pregrado'!A11" display="Evolución de Titulación Total de Pregrado por tipo de institución 2"/>
    <hyperlink ref="C42" location="'Evolución Titulación Pregrado'!A21" display="Evolución de Titulación Total de Pregrado por tipo de carrera"/>
    <hyperlink ref="C43" location="'Evolución Titulación Pregrado'!A29" display="Evolución de Titulación Total de Pregrado por tipo de carrera (técnico y profesional)"/>
    <hyperlink ref="C44" location="'Evolución Titulación Pregrado'!A37" display="Evolución de Titulación Total de Pregrado por tipo de institución y tipo de carrera"/>
    <hyperlink ref="C45" location="'Evolución Titulación Pregrado'!A51" display="Evolución de Titulación Total de Pregrado por tipo de institución 2 y tipo de carrera"/>
    <hyperlink ref="C46" location="'Evolución Titulación Pregrado'!A76" display="Evolución de Titulación Total de Pregrado por jornada"/>
    <hyperlink ref="C47" location="'Evolución Titulación Pregrado'!A85" display="Evolución de Titulación Total de Pregrado por área"/>
    <hyperlink ref="C48" location="'Evolución Titulación Pregrado'!A99" display="Evolución de Titulación Total de Pregrado en carreras de mayor titulación - CFT"/>
    <hyperlink ref="C49" location="'Evolución Titulación Pregrado'!A122" display="Evolución de Titulación Total de Pregrado en carreras de mayor titulación - IP"/>
    <hyperlink ref="C50" location="'Evolución Titulación Pregrado'!A145" display="Evolución de Titulación Total de Pregrado en carreras de mayor titulación - Universidades"/>
    <hyperlink ref="C51" location="'Evolución Titulación Pregrado'!A168" display="Evolución de Titulación Total de Pregrado por sexo"/>
    <hyperlink ref="C52" location="'Evolución Titulación Pregrado'!A174" display="Evolución de Titulación Total de Pregrado por sexo - CFT"/>
    <hyperlink ref="C53" location="'Evolución Titulación Pregrado'!A180" display="Evolución de Titulación Total de Pregrado por sexo - IP"/>
    <hyperlink ref="C54" location="'Evolución Titulación Pregrado'!A186" display="Evolución de Titulación Total de Pregrado por sexo - Universidades"/>
    <hyperlink ref="C55" location="'Evolución Titulación Pregrado'!A192" display="Evolución de Titulación Total de Pregrado por rango de edad"/>
    <hyperlink ref="C70:C72" location="'Evolución Titulación Posgrado'!A1" display="Evolución de Titulación Total de Posgrado por tipo de universidad"/>
    <hyperlink ref="C70" location="'Evolución Titulación Posgrado'!A4" display="Evolución de Titulación Total de Posgrado por tipo de universidad"/>
    <hyperlink ref="C71" location="'Evolución Titulación Posgrado'!A12" display="Evolución de Titulación Total de Posgrado por tipo de programa "/>
    <hyperlink ref="C72" location="'Evolución Titulación Posgrado'!A18" display="Evolución de Titulación Total de Posgrado por tipo de universidad y tipo de programa "/>
    <hyperlink ref="C88:C90" location="'Evolucion Titulacion postitulo'!A1" display="Evolución de Titulación Total de Postítulo por tipo de institución"/>
    <hyperlink ref="C88" location="'Evolucion Titulacion Postitulo'!A4" display="Evolución de Titulación Total de Postítulo por tipo de institución"/>
    <hyperlink ref="C89" location="'Evolucion Titulacion Postitulo'!A11" display="Evolución de Titulación Total de Postítulo por tipo de programa"/>
    <hyperlink ref="C90" location="'Evolucion Titulacion Postitulo'!A18" display="Evolución de Titulación Total de Postítulo por tipo de institución y tipo de programa"/>
    <hyperlink ref="C73" location="'Evolución Titulación Posgrado'!A32" display="Evolución de Titulación Total de Pregrado por sexo y tipo de programa"/>
    <hyperlink ref="C91" location="'Evolucion Titulacion Postitulo'!A31" display="Evolución de Titulación Total de Postítulo por sexo y tipo de programa"/>
    <hyperlink ref="C77:C84" location="'Titulacion Postitulo 2017'!A1" display="Titulación Total 2017 de Postítulo por tipo de universidad y tipo de programa"/>
    <hyperlink ref="C9:C14" location="'Titulación Total 2017'!A1" display="Titulación Total 2017 por tipo de institución y nivel de formación"/>
    <hyperlink ref="C9" location="'Titulación Total 2019'!A4" display="Titulación Total 2019 por tipo de institución y nivel de formación"/>
    <hyperlink ref="C10" location="'Titulación Total 2019'!A11" display="Titulación Total 2019 por tipo de institución y sexo"/>
    <hyperlink ref="C11" location="'Titulación Total 2019'!A18" display="Titulación Total 2019 por tipo de institución 2 y nivel de formación"/>
    <hyperlink ref="C12" location="'Titulación Total 2019'!A28" display="Titulación Total 2019 por tipo de institución 2 y sexo"/>
    <hyperlink ref="C13" location="'Titulación Total 2019'!A38" display="Titulación Total 2019 por región y sexo"/>
    <hyperlink ref="C14" location="'Titulación Total 2019'!A58" display="Titulación Total 2019  por área y sexo"/>
    <hyperlink ref="C17:C24" location="'Evolución Titulación Total'!A1" display="Evolución de Titulación Total por nivel de formación"/>
    <hyperlink ref="C17" location="'Evolución Titulación Total'!A4" display="Evolución de Titulación Total por nivel de formación"/>
    <hyperlink ref="C18" location="'Evolución Titulación Total'!A11" display="Evolución de Titulación Total por tipo de institución "/>
    <hyperlink ref="C19" location="'Evolución Titulación Total'!A18" display="Evolución de Titulación Total por tipo de institución y nivel de formación"/>
    <hyperlink ref="C20" location="'Evolución Titulación Total'!A32" display="Evolución de Titulación Total por tipo de institución 2 "/>
    <hyperlink ref="C21" location="'Evolución Titulación Total'!A42" display="Evolución de Titulación Total por tipo de institución 2 y nivel de formación"/>
    <hyperlink ref="C22" location="'Evolución Titulación Total'!A65" display="Evolución de Titulación Total por sexo"/>
    <hyperlink ref="C23" location="'Evolución Titulación Total'!A71" display="Evolución de Titulación Total por rango de edad y/o promedio de edad"/>
    <hyperlink ref="C24" location="'Evolución Titulación Total'!A83" display="Evolución de Titulación Total por región"/>
    <hyperlink ref="C29:C36" location="'Titulación Pregrado 2017'!A1" display="Titulación Total 2017 de Pregrado por sexo y tipo de institución"/>
    <hyperlink ref="C29" location="'Titulación Pregrado 2019'!A4" display="Titulación Total 2019 de Pregrado por sexo y tipo de institución"/>
    <hyperlink ref="C30" location="'Titulación Pregrado 2019'!A11" display="Titulación Total 2019 de Pregrado por rango de edad y tipo de institución "/>
    <hyperlink ref="C31" location="'Titulación Pregrado 2019'!A22" display="Titulación Total 2019 de Pregrado por tipo de carrera y tipo de institución"/>
    <hyperlink ref="C32" location="'Titulación Pregrado 2019'!A30" display="Titulación Total 2019 de Pregrado por área y tipo de institución"/>
    <hyperlink ref="C33" location="'Titulación Pregrado 2019'!A44" display="Titulación Total 2019 de Pregrado por área y sexo"/>
    <hyperlink ref="C34" location="'Titulación Pregrado 2019'!A58" display="Titulación Total 2019 de Pregrado por jornada y tipo de institución"/>
    <hyperlink ref="C35" location="'Titulación Pregrado 2019'!A67" display="Titulación Total 2019 de Pregrado por región y tipo de institución"/>
    <hyperlink ref="C36" location="'Titulación Pregrado 2019'!A87" display="Titulación Total 2019 de Pregrado por región y sexo"/>
    <hyperlink ref="C59:C66" location="'Titulación Posgrado 2017'!A1" display="Titulación Total 2017 de Posgrado por tipo de universidad y tipo de programa"/>
    <hyperlink ref="C59" location="'Titulación Posgrado 2019'!A4" display="Titulación Total 2019 de Posgrado por tipo de universidad y tipo de programa"/>
    <hyperlink ref="C60" location="'Titulación Posgrado 2019'!A12" display="Titulación Total 2019 de Posgrado por sexo y tipo de programa"/>
    <hyperlink ref="C61" location="'Titulación Posgrado 2019'!A18" display="Titulación Total 2019 de Posgrado por rango de edad y tipo de programa"/>
    <hyperlink ref="C62" location="'Titulación Posgrado 2019'!A29" display="Titulación Total 2019 de Posgrado por área y tipo de programa"/>
    <hyperlink ref="C63" location="'Titulación Posgrado 2019'!A43" display="Titulación Total 2019 de Posgrado por jornada y tipo de programa"/>
    <hyperlink ref="C64" location="'Titulación Posgrado 2019'!A52" display="Titulación Total 2019 de Posgrado por región y tipo de programa"/>
    <hyperlink ref="C65" location="'Titulación Posgrado 2019'!A72" display="Titulación Total 2019 de Posgrado por área y sexo"/>
    <hyperlink ref="C66" location="'Titulación Posgrado 2019'!A86" display="Titulación Total 2019 de Posgrado por región y sexo"/>
    <hyperlink ref="C77" location="'Titulacion Postitulo 2019'!A4" display="Titulación Total 2019 de Postítulo por tipo de universidad y tipo de programa"/>
    <hyperlink ref="C78" location="'Titulacion Postitulo 2019'!A11" display="Titulación Total 2019 de Postítulo por sexo y tipo de programa"/>
    <hyperlink ref="C79" location="'Titulacion Postitulo 2019'!A17" display="Titulación Total 2019 de Postítulo por rango de edad y tipo de programa"/>
    <hyperlink ref="C80" location="'Titulacion Postitulo 2019'!A29" display="Titulación Total 2019 de Postítulo por área y tipo de programa"/>
    <hyperlink ref="C81" location="'Titulacion Postitulo 2019'!A43" display="Titulación Total 2019 de Postítulo por jornada y tipo de programa"/>
    <hyperlink ref="C82" location="'Titulacion Postitulo 2019'!A52" display="Titulación Total 2019 de Postítulo por región y tipo de programa"/>
    <hyperlink ref="C83" location="'Titulacion Postitulo 2019'!A72" display="Titulación Total 2019 de Postítulo por área y sexo"/>
    <hyperlink ref="C84" location="'Titulacion Postitulo 2019'!A86" display="Titulación Total 2019 de Postítulo por región y sexo"/>
    <hyperlink ref="C25" location="'Evolución Titulación Total'!A103" display="Evolución de la Titulación Total por jornada de estudios de la carrera"/>
  </hyperlinks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6"/>
  <sheetViews>
    <sheetView showGridLines="0" zoomScale="90" zoomScaleNormal="90" workbookViewId="0">
      <pane ySplit="2" topLeftCell="A3" activePane="bottomLeft" state="frozen"/>
      <selection pane="bottomLeft"/>
    </sheetView>
  </sheetViews>
  <sheetFormatPr baseColWidth="10" defaultColWidth="10.85546875" defaultRowHeight="15" x14ac:dyDescent="0.2"/>
  <cols>
    <col min="1" max="1" width="48.7109375" style="1" customWidth="1"/>
    <col min="2" max="5" width="14.28515625" style="1" customWidth="1"/>
    <col min="6" max="16384" width="10.85546875" style="1"/>
  </cols>
  <sheetData>
    <row r="1" spans="1:5" ht="21" x14ac:dyDescent="0.2">
      <c r="A1" s="66" t="s">
        <v>322</v>
      </c>
      <c r="B1" s="40"/>
      <c r="C1" s="40"/>
      <c r="D1" s="40"/>
      <c r="E1" s="40"/>
    </row>
    <row r="2" spans="1:5" ht="15" customHeight="1" x14ac:dyDescent="0.2">
      <c r="A2" s="67" t="s">
        <v>248</v>
      </c>
      <c r="B2" s="40"/>
      <c r="C2" s="40"/>
      <c r="D2" s="40"/>
      <c r="E2" s="40"/>
    </row>
    <row r="3" spans="1:5" ht="15" customHeight="1" x14ac:dyDescent="0.2">
      <c r="A3" s="38"/>
      <c r="B3" s="40"/>
      <c r="C3" s="40"/>
      <c r="D3" s="40"/>
      <c r="E3" s="40"/>
    </row>
    <row r="4" spans="1:5" ht="15.75" x14ac:dyDescent="0.2">
      <c r="A4" s="25" t="s">
        <v>337</v>
      </c>
      <c r="B4" s="40"/>
      <c r="C4" s="40"/>
      <c r="D4" s="40"/>
      <c r="E4" s="40"/>
    </row>
    <row r="5" spans="1:5" x14ac:dyDescent="0.2">
      <c r="A5" s="88" t="s">
        <v>0</v>
      </c>
      <c r="B5" s="3" t="s">
        <v>1</v>
      </c>
      <c r="C5" s="3" t="s">
        <v>2</v>
      </c>
      <c r="D5" s="3" t="s">
        <v>3</v>
      </c>
      <c r="E5" s="84" t="s">
        <v>8</v>
      </c>
    </row>
    <row r="6" spans="1:5" x14ac:dyDescent="0.2">
      <c r="A6" s="4" t="s">
        <v>5</v>
      </c>
      <c r="B6" s="4">
        <v>33297</v>
      </c>
      <c r="C6" s="4"/>
      <c r="D6" s="4">
        <v>3</v>
      </c>
      <c r="E6" s="4">
        <v>33300</v>
      </c>
    </row>
    <row r="7" spans="1:5" x14ac:dyDescent="0.2">
      <c r="A7" s="4" t="s">
        <v>6</v>
      </c>
      <c r="B7" s="4">
        <v>73447</v>
      </c>
      <c r="C7" s="4"/>
      <c r="D7" s="4">
        <v>1442</v>
      </c>
      <c r="E7" s="4">
        <v>74889</v>
      </c>
    </row>
    <row r="8" spans="1:5" x14ac:dyDescent="0.2">
      <c r="A8" s="4" t="s">
        <v>7</v>
      </c>
      <c r="B8" s="4">
        <v>91144</v>
      </c>
      <c r="C8" s="4">
        <v>16170</v>
      </c>
      <c r="D8" s="4">
        <v>27423</v>
      </c>
      <c r="E8" s="4">
        <v>134737</v>
      </c>
    </row>
    <row r="9" spans="1:5" x14ac:dyDescent="0.2">
      <c r="A9" s="5" t="s">
        <v>4</v>
      </c>
      <c r="B9" s="5">
        <f>SUM(B6:B8)</f>
        <v>197888</v>
      </c>
      <c r="C9" s="5">
        <f t="shared" ref="C9:E9" si="0">SUM(C6:C8)</f>
        <v>16170</v>
      </c>
      <c r="D9" s="5">
        <f t="shared" si="0"/>
        <v>28868</v>
      </c>
      <c r="E9" s="5">
        <f t="shared" si="0"/>
        <v>242926</v>
      </c>
    </row>
    <row r="10" spans="1:5" x14ac:dyDescent="0.2">
      <c r="A10" s="40"/>
      <c r="B10" s="68"/>
      <c r="C10" s="68"/>
      <c r="D10" s="68"/>
      <c r="E10" s="68"/>
    </row>
    <row r="11" spans="1:5" ht="15.75" x14ac:dyDescent="0.2">
      <c r="A11" s="25" t="s">
        <v>338</v>
      </c>
      <c r="B11" s="40"/>
      <c r="C11" s="40"/>
      <c r="D11" s="40"/>
      <c r="E11" s="40"/>
    </row>
    <row r="12" spans="1:5" x14ac:dyDescent="0.2">
      <c r="A12" s="88" t="s">
        <v>0</v>
      </c>
      <c r="B12" s="7" t="s">
        <v>228</v>
      </c>
      <c r="C12" s="7" t="s">
        <v>229</v>
      </c>
      <c r="D12" s="84" t="s">
        <v>8</v>
      </c>
      <c r="E12" s="40"/>
    </row>
    <row r="13" spans="1:5" x14ac:dyDescent="0.2">
      <c r="A13" s="4" t="s">
        <v>5</v>
      </c>
      <c r="B13" s="4">
        <v>18514</v>
      </c>
      <c r="C13" s="4">
        <v>14786</v>
      </c>
      <c r="D13" s="4">
        <v>33300</v>
      </c>
      <c r="E13" s="40"/>
    </row>
    <row r="14" spans="1:5" x14ac:dyDescent="0.2">
      <c r="A14" s="4" t="s">
        <v>6</v>
      </c>
      <c r="B14" s="4">
        <v>42578</v>
      </c>
      <c r="C14" s="4">
        <v>32311</v>
      </c>
      <c r="D14" s="4">
        <v>74889</v>
      </c>
      <c r="E14" s="40"/>
    </row>
    <row r="15" spans="1:5" x14ac:dyDescent="0.2">
      <c r="A15" s="4" t="s">
        <v>7</v>
      </c>
      <c r="B15" s="4">
        <v>77589</v>
      </c>
      <c r="C15" s="4">
        <v>57148</v>
      </c>
      <c r="D15" s="4">
        <v>134737</v>
      </c>
      <c r="E15" s="40"/>
    </row>
    <row r="16" spans="1:5" x14ac:dyDescent="0.2">
      <c r="A16" s="5" t="s">
        <v>4</v>
      </c>
      <c r="B16" s="5">
        <f>SUM(B13:B15)</f>
        <v>138681</v>
      </c>
      <c r="C16" s="5">
        <f t="shared" ref="C16:D16" si="1">SUM(C13:C15)</f>
        <v>104245</v>
      </c>
      <c r="D16" s="5">
        <f t="shared" si="1"/>
        <v>242926</v>
      </c>
      <c r="E16" s="40"/>
    </row>
    <row r="17" spans="1:5" x14ac:dyDescent="0.2">
      <c r="A17" s="40"/>
      <c r="B17" s="68"/>
      <c r="C17" s="68"/>
      <c r="D17" s="68"/>
      <c r="E17" s="40"/>
    </row>
    <row r="18" spans="1:5" ht="15.75" x14ac:dyDescent="0.2">
      <c r="A18" s="25" t="s">
        <v>339</v>
      </c>
      <c r="B18" s="40"/>
      <c r="C18" s="40"/>
      <c r="D18" s="40"/>
      <c r="E18" s="40"/>
    </row>
    <row r="19" spans="1:5" x14ac:dyDescent="0.2">
      <c r="A19" s="88" t="s">
        <v>0</v>
      </c>
      <c r="B19" s="3" t="s">
        <v>1</v>
      </c>
      <c r="C19" s="3" t="s">
        <v>2</v>
      </c>
      <c r="D19" s="3" t="s">
        <v>3</v>
      </c>
      <c r="E19" s="7" t="s">
        <v>8</v>
      </c>
    </row>
    <row r="20" spans="1:5" x14ac:dyDescent="0.2">
      <c r="A20" s="4" t="s">
        <v>5</v>
      </c>
      <c r="B20" s="4">
        <v>33297</v>
      </c>
      <c r="C20" s="4"/>
      <c r="D20" s="4">
        <v>3</v>
      </c>
      <c r="E20" s="4">
        <f>SUM(B20:D20)</f>
        <v>33300</v>
      </c>
    </row>
    <row r="21" spans="1:5" x14ac:dyDescent="0.2">
      <c r="A21" s="4" t="s">
        <v>6</v>
      </c>
      <c r="B21" s="4">
        <v>73447</v>
      </c>
      <c r="C21" s="4"/>
      <c r="D21" s="4">
        <v>1442</v>
      </c>
      <c r="E21" s="4">
        <f t="shared" ref="E21:E24" si="2">SUM(B21:D21)</f>
        <v>74889</v>
      </c>
    </row>
    <row r="22" spans="1:5" x14ac:dyDescent="0.2">
      <c r="A22" s="32" t="s">
        <v>261</v>
      </c>
      <c r="B22" s="4">
        <v>23122</v>
      </c>
      <c r="C22" s="4">
        <v>3898</v>
      </c>
      <c r="D22" s="4">
        <v>1995</v>
      </c>
      <c r="E22" s="4">
        <f t="shared" si="2"/>
        <v>29015</v>
      </c>
    </row>
    <row r="23" spans="1:5" x14ac:dyDescent="0.2">
      <c r="A23" s="32" t="s">
        <v>262</v>
      </c>
      <c r="B23" s="4">
        <v>18522</v>
      </c>
      <c r="C23" s="4">
        <v>3731</v>
      </c>
      <c r="D23" s="4">
        <v>10392</v>
      </c>
      <c r="E23" s="4">
        <f t="shared" si="2"/>
        <v>32645</v>
      </c>
    </row>
    <row r="24" spans="1:5" x14ac:dyDescent="0.2">
      <c r="A24" s="32" t="s">
        <v>263</v>
      </c>
      <c r="B24" s="4">
        <v>49500</v>
      </c>
      <c r="C24" s="4">
        <v>8541</v>
      </c>
      <c r="D24" s="4">
        <v>15036</v>
      </c>
      <c r="E24" s="4">
        <f t="shared" si="2"/>
        <v>73077</v>
      </c>
    </row>
    <row r="25" spans="1:5" x14ac:dyDescent="0.2">
      <c r="A25" s="5" t="s">
        <v>4</v>
      </c>
      <c r="B25" s="5">
        <f>SUM(B20:B24)</f>
        <v>197888</v>
      </c>
      <c r="C25" s="5">
        <f t="shared" ref="C25:E25" si="3">SUM(C20:C24)</f>
        <v>16170</v>
      </c>
      <c r="D25" s="5">
        <f t="shared" si="3"/>
        <v>28868</v>
      </c>
      <c r="E25" s="5">
        <f t="shared" si="3"/>
        <v>242926</v>
      </c>
    </row>
    <row r="26" spans="1:5" x14ac:dyDescent="0.2">
      <c r="A26" s="122" t="s">
        <v>373</v>
      </c>
      <c r="B26" s="68"/>
      <c r="C26" s="68"/>
      <c r="D26" s="68"/>
      <c r="E26" s="68"/>
    </row>
    <row r="27" spans="1:5" x14ac:dyDescent="0.2">
      <c r="A27" s="40"/>
      <c r="B27" s="68"/>
      <c r="C27" s="68"/>
      <c r="D27" s="68"/>
      <c r="E27" s="68"/>
    </row>
    <row r="28" spans="1:5" ht="15.75" x14ac:dyDescent="0.2">
      <c r="A28" s="25" t="s">
        <v>340</v>
      </c>
      <c r="B28" s="40"/>
      <c r="C28" s="40"/>
      <c r="D28" s="40"/>
      <c r="E28" s="40"/>
    </row>
    <row r="29" spans="1:5" x14ac:dyDescent="0.2">
      <c r="A29" s="88" t="s">
        <v>0</v>
      </c>
      <c r="B29" s="7" t="s">
        <v>228</v>
      </c>
      <c r="C29" s="7" t="s">
        <v>229</v>
      </c>
      <c r="D29" s="7" t="s">
        <v>8</v>
      </c>
      <c r="E29" s="40"/>
    </row>
    <row r="30" spans="1:5" x14ac:dyDescent="0.2">
      <c r="A30" s="4" t="s">
        <v>5</v>
      </c>
      <c r="B30" s="4">
        <v>18514</v>
      </c>
      <c r="C30" s="4">
        <v>14786</v>
      </c>
      <c r="D30" s="4">
        <f>SUM(B30:C30)</f>
        <v>33300</v>
      </c>
      <c r="E30" s="40"/>
    </row>
    <row r="31" spans="1:5" x14ac:dyDescent="0.2">
      <c r="A31" s="4" t="s">
        <v>6</v>
      </c>
      <c r="B31" s="4">
        <v>42578</v>
      </c>
      <c r="C31" s="4">
        <v>32311</v>
      </c>
      <c r="D31" s="4">
        <f t="shared" ref="D31:D34" si="4">SUM(B31:C31)</f>
        <v>74889</v>
      </c>
      <c r="E31" s="40"/>
    </row>
    <row r="32" spans="1:5" x14ac:dyDescent="0.2">
      <c r="A32" s="32" t="s">
        <v>261</v>
      </c>
      <c r="B32" s="4">
        <v>15113</v>
      </c>
      <c r="C32" s="4">
        <v>13902</v>
      </c>
      <c r="D32" s="4">
        <f t="shared" si="4"/>
        <v>29015</v>
      </c>
      <c r="E32" s="40"/>
    </row>
    <row r="33" spans="1:6" x14ac:dyDescent="0.2">
      <c r="A33" s="32" t="s">
        <v>262</v>
      </c>
      <c r="B33" s="4">
        <v>17402</v>
      </c>
      <c r="C33" s="4">
        <v>15243</v>
      </c>
      <c r="D33" s="4">
        <f t="shared" si="4"/>
        <v>32645</v>
      </c>
      <c r="E33" s="40"/>
    </row>
    <row r="34" spans="1:6" x14ac:dyDescent="0.2">
      <c r="A34" s="32" t="s">
        <v>263</v>
      </c>
      <c r="B34" s="4">
        <v>45074</v>
      </c>
      <c r="C34" s="4">
        <v>28003</v>
      </c>
      <c r="D34" s="4">
        <f t="shared" si="4"/>
        <v>73077</v>
      </c>
      <c r="E34" s="40"/>
    </row>
    <row r="35" spans="1:6" x14ac:dyDescent="0.2">
      <c r="A35" s="5" t="s">
        <v>4</v>
      </c>
      <c r="B35" s="5">
        <f>SUM(B30:B34)</f>
        <v>138681</v>
      </c>
      <c r="C35" s="5">
        <f>SUM(C30:C34)</f>
        <v>104245</v>
      </c>
      <c r="D35" s="5">
        <f>SUM(D30:D34)</f>
        <v>242926</v>
      </c>
      <c r="E35" s="40"/>
    </row>
    <row r="36" spans="1:6" x14ac:dyDescent="0.2">
      <c r="A36" s="122" t="s">
        <v>373</v>
      </c>
      <c r="B36" s="68"/>
      <c r="C36" s="68"/>
      <c r="D36" s="68"/>
      <c r="E36" s="40"/>
    </row>
    <row r="37" spans="1:6" x14ac:dyDescent="0.2">
      <c r="A37" s="40"/>
      <c r="B37" s="68"/>
      <c r="C37" s="68"/>
      <c r="D37" s="68"/>
      <c r="E37" s="40"/>
    </row>
    <row r="38" spans="1:6" ht="15.75" x14ac:dyDescent="0.2">
      <c r="A38" s="25" t="s">
        <v>341</v>
      </c>
      <c r="B38" s="40"/>
      <c r="C38" s="40"/>
      <c r="D38" s="40"/>
      <c r="E38" s="40"/>
    </row>
    <row r="39" spans="1:6" ht="15" customHeight="1" x14ac:dyDescent="0.2">
      <c r="A39" s="88" t="s">
        <v>9</v>
      </c>
      <c r="B39" s="7" t="s">
        <v>228</v>
      </c>
      <c r="C39" s="7" t="s">
        <v>229</v>
      </c>
      <c r="D39" s="7" t="s">
        <v>8</v>
      </c>
      <c r="E39" s="40"/>
    </row>
    <row r="40" spans="1:6" x14ac:dyDescent="0.2">
      <c r="A40" s="8" t="s">
        <v>272</v>
      </c>
      <c r="B40" s="9">
        <v>1650</v>
      </c>
      <c r="C40" s="9">
        <v>1098</v>
      </c>
      <c r="D40" s="9">
        <v>2748</v>
      </c>
      <c r="E40" s="40"/>
      <c r="F40"/>
    </row>
    <row r="41" spans="1:6" x14ac:dyDescent="0.2">
      <c r="A41" s="8" t="s">
        <v>273</v>
      </c>
      <c r="B41" s="9">
        <v>1630</v>
      </c>
      <c r="C41" s="9">
        <v>1311</v>
      </c>
      <c r="D41" s="9">
        <v>2941</v>
      </c>
      <c r="E41" s="40"/>
      <c r="F41"/>
    </row>
    <row r="42" spans="1:6" x14ac:dyDescent="0.2">
      <c r="A42" s="8" t="s">
        <v>274</v>
      </c>
      <c r="B42" s="9">
        <v>3764</v>
      </c>
      <c r="C42" s="9">
        <v>3286</v>
      </c>
      <c r="D42" s="9">
        <v>7050</v>
      </c>
      <c r="E42" s="40"/>
      <c r="F42"/>
    </row>
    <row r="43" spans="1:6" x14ac:dyDescent="0.2">
      <c r="A43" s="8" t="s">
        <v>275</v>
      </c>
      <c r="B43" s="9">
        <v>1248</v>
      </c>
      <c r="C43" s="9">
        <v>872</v>
      </c>
      <c r="D43" s="9">
        <v>2120</v>
      </c>
      <c r="E43" s="40"/>
      <c r="F43"/>
    </row>
    <row r="44" spans="1:6" x14ac:dyDescent="0.2">
      <c r="A44" s="8" t="s">
        <v>276</v>
      </c>
      <c r="B44" s="9">
        <v>4877</v>
      </c>
      <c r="C44" s="9">
        <v>3568</v>
      </c>
      <c r="D44" s="9">
        <v>8445</v>
      </c>
      <c r="E44" s="40"/>
      <c r="F44"/>
    </row>
    <row r="45" spans="1:6" x14ac:dyDescent="0.2">
      <c r="A45" s="90" t="s">
        <v>277</v>
      </c>
      <c r="B45" s="9">
        <v>12720</v>
      </c>
      <c r="C45" s="9">
        <v>10244</v>
      </c>
      <c r="D45" s="9">
        <v>22964</v>
      </c>
      <c r="E45" s="40"/>
      <c r="F45"/>
    </row>
    <row r="46" spans="1:6" x14ac:dyDescent="0.2">
      <c r="A46" s="90" t="s">
        <v>289</v>
      </c>
      <c r="B46" s="9">
        <v>70449</v>
      </c>
      <c r="C46" s="9">
        <v>54899</v>
      </c>
      <c r="D46" s="9">
        <v>125348</v>
      </c>
      <c r="E46" s="40"/>
      <c r="F46"/>
    </row>
    <row r="47" spans="1:6" x14ac:dyDescent="0.2">
      <c r="A47" s="90" t="s">
        <v>278</v>
      </c>
      <c r="B47" s="9">
        <v>3542</v>
      </c>
      <c r="C47" s="9">
        <v>2761</v>
      </c>
      <c r="D47" s="9">
        <v>6303</v>
      </c>
      <c r="E47" s="40"/>
      <c r="F47"/>
    </row>
    <row r="48" spans="1:6" x14ac:dyDescent="0.2">
      <c r="A48" s="8" t="s">
        <v>279</v>
      </c>
      <c r="B48" s="9">
        <v>6152</v>
      </c>
      <c r="C48" s="9">
        <v>3921</v>
      </c>
      <c r="D48" s="9">
        <v>10073</v>
      </c>
      <c r="E48" s="40"/>
      <c r="F48"/>
    </row>
    <row r="49" spans="1:6" x14ac:dyDescent="0.2">
      <c r="A49" s="8" t="s">
        <v>295</v>
      </c>
      <c r="B49" s="9">
        <v>2967</v>
      </c>
      <c r="C49" s="9">
        <v>1823</v>
      </c>
      <c r="D49" s="9">
        <v>4790</v>
      </c>
      <c r="E49" s="40"/>
      <c r="F49"/>
    </row>
    <row r="50" spans="1:6" x14ac:dyDescent="0.2">
      <c r="A50" s="8" t="s">
        <v>280</v>
      </c>
      <c r="B50" s="9">
        <v>14862</v>
      </c>
      <c r="C50" s="9">
        <v>10744</v>
      </c>
      <c r="D50" s="9">
        <v>25606</v>
      </c>
      <c r="E50" s="40"/>
      <c r="F50"/>
    </row>
    <row r="51" spans="1:6" x14ac:dyDescent="0.2">
      <c r="A51" s="8" t="s">
        <v>281</v>
      </c>
      <c r="B51" s="9">
        <v>6688</v>
      </c>
      <c r="C51" s="9">
        <v>4341</v>
      </c>
      <c r="D51" s="9">
        <v>11029</v>
      </c>
      <c r="E51" s="40"/>
      <c r="F51"/>
    </row>
    <row r="52" spans="1:6" x14ac:dyDescent="0.2">
      <c r="A52" s="8" t="s">
        <v>282</v>
      </c>
      <c r="B52" s="9">
        <v>2448</v>
      </c>
      <c r="C52" s="9">
        <v>1635</v>
      </c>
      <c r="D52" s="9">
        <v>4083</v>
      </c>
      <c r="E52" s="40"/>
      <c r="F52"/>
    </row>
    <row r="53" spans="1:6" x14ac:dyDescent="0.2">
      <c r="A53" s="90" t="s">
        <v>283</v>
      </c>
      <c r="B53" s="9">
        <v>4753</v>
      </c>
      <c r="C53" s="9">
        <v>3065</v>
      </c>
      <c r="D53" s="9">
        <v>7818</v>
      </c>
      <c r="E53" s="40"/>
      <c r="F53"/>
    </row>
    <row r="54" spans="1:6" x14ac:dyDescent="0.2">
      <c r="A54" s="90" t="s">
        <v>284</v>
      </c>
      <c r="B54" s="9">
        <v>321</v>
      </c>
      <c r="C54" s="9">
        <v>175</v>
      </c>
      <c r="D54" s="9">
        <v>496</v>
      </c>
      <c r="E54" s="40"/>
      <c r="F54"/>
    </row>
    <row r="55" spans="1:6" x14ac:dyDescent="0.2">
      <c r="A55" s="90" t="s">
        <v>285</v>
      </c>
      <c r="B55" s="9">
        <v>610</v>
      </c>
      <c r="C55" s="9">
        <v>502</v>
      </c>
      <c r="D55" s="9">
        <v>1112</v>
      </c>
      <c r="E55" s="40"/>
      <c r="F55"/>
    </row>
    <row r="56" spans="1:6" x14ac:dyDescent="0.2">
      <c r="A56" s="10" t="s">
        <v>4</v>
      </c>
      <c r="B56" s="11">
        <v>138681</v>
      </c>
      <c r="C56" s="11">
        <v>104245</v>
      </c>
      <c r="D56" s="11">
        <v>242926</v>
      </c>
      <c r="E56" s="40"/>
    </row>
    <row r="57" spans="1:6" x14ac:dyDescent="0.2">
      <c r="A57" s="40"/>
      <c r="B57" s="40"/>
      <c r="C57" s="40"/>
      <c r="D57" s="40"/>
      <c r="E57" s="69"/>
    </row>
    <row r="58" spans="1:6" ht="15.75" x14ac:dyDescent="0.2">
      <c r="A58" s="25" t="s">
        <v>342</v>
      </c>
      <c r="B58" s="40"/>
      <c r="C58" s="40"/>
      <c r="D58" s="40"/>
      <c r="E58" s="40"/>
    </row>
    <row r="59" spans="1:6" x14ac:dyDescent="0.2">
      <c r="A59" s="88" t="s">
        <v>10</v>
      </c>
      <c r="B59" s="7" t="s">
        <v>228</v>
      </c>
      <c r="C59" s="7" t="s">
        <v>229</v>
      </c>
      <c r="D59" s="7" t="s">
        <v>8</v>
      </c>
      <c r="E59" s="40"/>
    </row>
    <row r="60" spans="1:6" x14ac:dyDescent="0.2">
      <c r="A60" s="8" t="s">
        <v>11</v>
      </c>
      <c r="B60" s="98">
        <v>33009</v>
      </c>
      <c r="C60" s="98">
        <v>24943</v>
      </c>
      <c r="D60" s="98">
        <v>57952</v>
      </c>
      <c r="E60" s="68"/>
    </row>
    <row r="61" spans="1:6" x14ac:dyDescent="0.2">
      <c r="A61" s="8" t="s">
        <v>12</v>
      </c>
      <c r="B61" s="98">
        <v>2109</v>
      </c>
      <c r="C61" s="98">
        <v>2178</v>
      </c>
      <c r="D61" s="98">
        <v>4287</v>
      </c>
      <c r="E61" s="68"/>
    </row>
    <row r="62" spans="1:6" x14ac:dyDescent="0.2">
      <c r="A62" s="8" t="s">
        <v>13</v>
      </c>
      <c r="B62" s="98">
        <v>4403</v>
      </c>
      <c r="C62" s="98">
        <v>3106</v>
      </c>
      <c r="D62" s="98">
        <v>7509</v>
      </c>
      <c r="E62" s="68"/>
    </row>
    <row r="63" spans="1:6" x14ac:dyDescent="0.2">
      <c r="A63" s="8" t="s">
        <v>14</v>
      </c>
      <c r="B63" s="98">
        <v>1081</v>
      </c>
      <c r="C63" s="98">
        <v>1303</v>
      </c>
      <c r="D63" s="98">
        <v>2384</v>
      </c>
      <c r="E63" s="68"/>
    </row>
    <row r="64" spans="1:6" x14ac:dyDescent="0.2">
      <c r="A64" s="8" t="s">
        <v>15</v>
      </c>
      <c r="B64" s="98">
        <v>16223</v>
      </c>
      <c r="C64" s="98">
        <v>7077</v>
      </c>
      <c r="D64" s="98">
        <v>23300</v>
      </c>
      <c r="E64" s="68"/>
    </row>
    <row r="65" spans="1:5" x14ac:dyDescent="0.2">
      <c r="A65" s="8" t="s">
        <v>16</v>
      </c>
      <c r="B65" s="98">
        <v>3520</v>
      </c>
      <c r="C65" s="98">
        <v>3095</v>
      </c>
      <c r="D65" s="98">
        <v>6615</v>
      </c>
      <c r="E65" s="68"/>
    </row>
    <row r="66" spans="1:5" x14ac:dyDescent="0.2">
      <c r="A66" s="8" t="s">
        <v>17</v>
      </c>
      <c r="B66" s="98">
        <v>32106</v>
      </c>
      <c r="C66" s="98">
        <v>8395</v>
      </c>
      <c r="D66" s="98">
        <v>40501</v>
      </c>
      <c r="E66" s="68"/>
    </row>
    <row r="67" spans="1:5" x14ac:dyDescent="0.2">
      <c r="A67" s="8" t="s">
        <v>18</v>
      </c>
      <c r="B67" s="98">
        <v>1185</v>
      </c>
      <c r="C67" s="98">
        <v>809</v>
      </c>
      <c r="D67" s="98">
        <v>1994</v>
      </c>
      <c r="E67" s="68"/>
    </row>
    <row r="68" spans="1:5" x14ac:dyDescent="0.2">
      <c r="A68" s="8" t="s">
        <v>19</v>
      </c>
      <c r="B68" s="98">
        <v>33392</v>
      </c>
      <c r="C68" s="98">
        <v>10462</v>
      </c>
      <c r="D68" s="98">
        <v>43854</v>
      </c>
      <c r="E68" s="68"/>
    </row>
    <row r="69" spans="1:5" x14ac:dyDescent="0.2">
      <c r="A69" s="8" t="s">
        <v>20</v>
      </c>
      <c r="B69" s="98">
        <v>11653</v>
      </c>
      <c r="C69" s="98">
        <v>42877</v>
      </c>
      <c r="D69" s="98">
        <v>54530</v>
      </c>
      <c r="E69" s="68"/>
    </row>
    <row r="70" spans="1:5" x14ac:dyDescent="0.2">
      <c r="A70" s="10" t="s">
        <v>4</v>
      </c>
      <c r="B70" s="99">
        <v>138681</v>
      </c>
      <c r="C70" s="99">
        <v>104245</v>
      </c>
      <c r="D70" s="99">
        <v>242926</v>
      </c>
      <c r="E70" s="68"/>
    </row>
    <row r="71" spans="1:5" x14ac:dyDescent="0.2">
      <c r="A71" s="40"/>
      <c r="B71" s="40"/>
      <c r="C71" s="40"/>
      <c r="D71" s="40"/>
      <c r="E71" s="40"/>
    </row>
    <row r="72" spans="1:5" x14ac:dyDescent="0.2">
      <c r="A72" s="40"/>
      <c r="B72" s="40"/>
      <c r="C72" s="40"/>
      <c r="D72" s="40"/>
      <c r="E72" s="40"/>
    </row>
    <row r="73" spans="1:5" x14ac:dyDescent="0.2">
      <c r="A73" s="70" t="s">
        <v>264</v>
      </c>
      <c r="B73" s="40"/>
      <c r="C73" s="40"/>
      <c r="D73" s="40"/>
      <c r="E73" s="40"/>
    </row>
    <row r="74" spans="1:5" x14ac:dyDescent="0.2">
      <c r="A74" s="40"/>
      <c r="B74" s="40"/>
      <c r="C74" s="40"/>
      <c r="D74" s="40"/>
      <c r="E74" s="40"/>
    </row>
    <row r="75" spans="1:5" x14ac:dyDescent="0.2">
      <c r="A75" s="71" t="s">
        <v>21</v>
      </c>
      <c r="B75" s="40"/>
      <c r="C75" s="40"/>
      <c r="D75" s="40"/>
      <c r="E75" s="40"/>
    </row>
    <row r="76" spans="1:5" x14ac:dyDescent="0.2">
      <c r="A76" s="40"/>
      <c r="B76" s="40"/>
      <c r="C76" s="40"/>
      <c r="D76" s="40"/>
      <c r="E76" s="40"/>
    </row>
  </sheetData>
  <conditionalFormatting sqref="E60:E69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{3752770A-D42D-4B5B-969E-ABBA84E8E5A5}</x14:id>
        </ext>
      </extLst>
    </cfRule>
  </conditionalFormatting>
  <hyperlinks>
    <hyperlink ref="A75" location="Indice!A5" display="Volver al índice"/>
  </hyperlink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752770A-D42D-4B5B-969E-ABBA84E8E5A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E60:E69</xm:sqref>
        </x14:conditionalFormatting>
      </x14:conditionalFormattings>
    </ex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5"/>
  <sheetViews>
    <sheetView showGridLines="0" zoomScale="80" zoomScaleNormal="80" workbookViewId="0">
      <pane ySplit="2" topLeftCell="A67" activePane="bottomLeft" state="frozen"/>
      <selection pane="bottomLeft" activeCell="Q75" sqref="Q75"/>
    </sheetView>
  </sheetViews>
  <sheetFormatPr baseColWidth="10" defaultColWidth="10.85546875" defaultRowHeight="15" x14ac:dyDescent="0.2"/>
  <cols>
    <col min="1" max="1" width="26.42578125" style="1" customWidth="1"/>
    <col min="2" max="2" width="10.28515625" style="1" customWidth="1"/>
    <col min="3" max="14" width="10.85546875" style="1" customWidth="1"/>
    <col min="15" max="15" width="14.140625" style="1" customWidth="1"/>
    <col min="16" max="18" width="14.5703125" style="1" customWidth="1"/>
    <col min="19" max="19" width="20.42578125" style="1" customWidth="1"/>
    <col min="20" max="16384" width="10.85546875" style="1"/>
  </cols>
  <sheetData>
    <row r="1" spans="1:18" ht="21" x14ac:dyDescent="0.2">
      <c r="A1" s="66" t="s">
        <v>378</v>
      </c>
      <c r="B1" s="66"/>
      <c r="C1" s="66"/>
      <c r="D1" s="66"/>
      <c r="E1" s="66"/>
      <c r="F1" s="66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</row>
    <row r="2" spans="1:18" x14ac:dyDescent="0.2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1:18" x14ac:dyDescent="0.2">
      <c r="A3" s="72"/>
      <c r="B3" s="72"/>
      <c r="C3" s="72"/>
      <c r="D3" s="72"/>
      <c r="E3" s="72"/>
      <c r="F3" s="72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1:18" ht="15.75" x14ac:dyDescent="0.2">
      <c r="A4" s="25" t="s">
        <v>237</v>
      </c>
      <c r="B4" s="25"/>
      <c r="C4" s="25"/>
      <c r="D4" s="25"/>
      <c r="E4" s="25"/>
      <c r="F4" s="25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</row>
    <row r="5" spans="1:18" ht="28.5" customHeight="1" x14ac:dyDescent="0.2">
      <c r="A5" s="88" t="s">
        <v>249</v>
      </c>
      <c r="B5" s="3">
        <v>2007</v>
      </c>
      <c r="C5" s="3">
        <v>2008</v>
      </c>
      <c r="D5" s="3">
        <v>2009</v>
      </c>
      <c r="E5" s="3">
        <v>2010</v>
      </c>
      <c r="F5" s="3">
        <v>2011</v>
      </c>
      <c r="G5" s="3">
        <v>2012</v>
      </c>
      <c r="H5" s="3">
        <v>2013</v>
      </c>
      <c r="I5" s="3">
        <v>2014</v>
      </c>
      <c r="J5" s="3">
        <v>2015</v>
      </c>
      <c r="K5" s="3">
        <v>2016</v>
      </c>
      <c r="L5" s="3">
        <v>2017</v>
      </c>
      <c r="M5" s="3">
        <v>2018</v>
      </c>
      <c r="N5" s="3">
        <v>2019</v>
      </c>
      <c r="O5" s="13" t="s">
        <v>371</v>
      </c>
      <c r="P5" s="13" t="s">
        <v>372</v>
      </c>
      <c r="Q5" s="13" t="s">
        <v>310</v>
      </c>
      <c r="R5" s="13" t="s">
        <v>311</v>
      </c>
    </row>
    <row r="6" spans="1:18" x14ac:dyDescent="0.2">
      <c r="A6" s="4" t="s">
        <v>1</v>
      </c>
      <c r="B6" s="4">
        <v>84991</v>
      </c>
      <c r="C6" s="4">
        <v>96679</v>
      </c>
      <c r="D6" s="4">
        <v>106561</v>
      </c>
      <c r="E6" s="4">
        <v>101472</v>
      </c>
      <c r="F6" s="4">
        <v>118047</v>
      </c>
      <c r="G6" s="4">
        <v>135278</v>
      </c>
      <c r="H6" s="4">
        <v>156370</v>
      </c>
      <c r="I6" s="4">
        <v>170528</v>
      </c>
      <c r="J6" s="4">
        <v>187579</v>
      </c>
      <c r="K6" s="4">
        <v>195965</v>
      </c>
      <c r="L6" s="4">
        <v>204607</v>
      </c>
      <c r="M6" s="4">
        <v>207868</v>
      </c>
      <c r="N6" s="4">
        <v>197888</v>
      </c>
      <c r="O6" s="100">
        <f>(N6-E6)/E6</f>
        <v>0.95017344686218863</v>
      </c>
      <c r="P6" s="100">
        <f>(N6-J6)/J6</f>
        <v>5.4958177621162285E-2</v>
      </c>
      <c r="Q6" s="108">
        <f>(N6-M6)/M6</f>
        <v>-4.8011237900975619E-2</v>
      </c>
      <c r="R6" s="14">
        <f>N6/N$9</f>
        <v>0.81460197755695152</v>
      </c>
    </row>
    <row r="7" spans="1:18" x14ac:dyDescent="0.2">
      <c r="A7" s="4" t="s">
        <v>2</v>
      </c>
      <c r="B7" s="4">
        <v>5628</v>
      </c>
      <c r="C7" s="4">
        <v>6239</v>
      </c>
      <c r="D7" s="4">
        <v>8614</v>
      </c>
      <c r="E7" s="4">
        <v>8090</v>
      </c>
      <c r="F7" s="4">
        <v>10025</v>
      </c>
      <c r="G7" s="4">
        <v>10598</v>
      </c>
      <c r="H7" s="4">
        <v>12594</v>
      </c>
      <c r="I7" s="4">
        <v>12945</v>
      </c>
      <c r="J7" s="4">
        <v>13923</v>
      </c>
      <c r="K7" s="4">
        <v>13931</v>
      </c>
      <c r="L7" s="4">
        <v>14799</v>
      </c>
      <c r="M7" s="4">
        <v>16276</v>
      </c>
      <c r="N7" s="4">
        <v>16170</v>
      </c>
      <c r="O7" s="100">
        <f t="shared" ref="O7:O8" si="0">(N7-E7)/E7</f>
        <v>0.99876390605686027</v>
      </c>
      <c r="P7" s="100">
        <f t="shared" ref="P7:P9" si="1">(N7-J7)/J7</f>
        <v>0.16138763197586728</v>
      </c>
      <c r="Q7" s="108">
        <f t="shared" ref="Q7:Q9" si="2">(N7-M7)/M7</f>
        <v>-6.5126566724010813E-3</v>
      </c>
      <c r="R7" s="14">
        <f t="shared" ref="R7:R9" si="3">N7/N$9</f>
        <v>6.6563480236779923E-2</v>
      </c>
    </row>
    <row r="8" spans="1:18" x14ac:dyDescent="0.2">
      <c r="A8" s="4" t="s">
        <v>3</v>
      </c>
      <c r="B8" s="4">
        <v>5103</v>
      </c>
      <c r="C8" s="4">
        <v>7656</v>
      </c>
      <c r="D8" s="4">
        <v>8795</v>
      </c>
      <c r="E8" s="4">
        <v>8862</v>
      </c>
      <c r="F8" s="4">
        <v>8768</v>
      </c>
      <c r="G8" s="4">
        <v>9719</v>
      </c>
      <c r="H8" s="4">
        <v>12588</v>
      </c>
      <c r="I8" s="4">
        <v>12914</v>
      </c>
      <c r="J8" s="4">
        <v>13527</v>
      </c>
      <c r="K8" s="4">
        <v>18965</v>
      </c>
      <c r="L8" s="4">
        <v>22633</v>
      </c>
      <c r="M8" s="4">
        <v>24903</v>
      </c>
      <c r="N8" s="4">
        <v>28868</v>
      </c>
      <c r="O8" s="100">
        <f t="shared" si="0"/>
        <v>2.2575039494470772</v>
      </c>
      <c r="P8" s="100">
        <f t="shared" si="1"/>
        <v>1.1341021660382937</v>
      </c>
      <c r="Q8" s="108">
        <f t="shared" si="2"/>
        <v>0.15921776492792034</v>
      </c>
      <c r="R8" s="14">
        <f t="shared" si="3"/>
        <v>0.11883454220626857</v>
      </c>
    </row>
    <row r="9" spans="1:18" x14ac:dyDescent="0.2">
      <c r="A9" s="5" t="s">
        <v>294</v>
      </c>
      <c r="B9" s="5">
        <v>95722</v>
      </c>
      <c r="C9" s="5">
        <v>110574</v>
      </c>
      <c r="D9" s="5">
        <v>123970</v>
      </c>
      <c r="E9" s="5">
        <v>118424</v>
      </c>
      <c r="F9" s="5">
        <v>136840</v>
      </c>
      <c r="G9" s="5">
        <v>155595</v>
      </c>
      <c r="H9" s="5">
        <v>181552</v>
      </c>
      <c r="I9" s="5">
        <v>196387</v>
      </c>
      <c r="J9" s="5">
        <v>215029</v>
      </c>
      <c r="K9" s="5">
        <v>228861</v>
      </c>
      <c r="L9" s="5">
        <v>242039</v>
      </c>
      <c r="M9" s="5">
        <v>249047</v>
      </c>
      <c r="N9" s="5">
        <v>242926</v>
      </c>
      <c r="O9" s="83">
        <f>(N9-E9)/E9</f>
        <v>1.0513240559346078</v>
      </c>
      <c r="P9" s="83">
        <f t="shared" si="1"/>
        <v>0.12973598909914477</v>
      </c>
      <c r="Q9" s="109">
        <f t="shared" si="2"/>
        <v>-2.4577690154870366E-2</v>
      </c>
      <c r="R9" s="16">
        <f t="shared" si="3"/>
        <v>1</v>
      </c>
    </row>
    <row r="10" spans="1:18" x14ac:dyDescent="0.2">
      <c r="A10" s="33"/>
      <c r="B10" s="33"/>
      <c r="C10" s="127"/>
      <c r="D10" s="127"/>
      <c r="E10" s="127"/>
      <c r="F10" s="127"/>
      <c r="G10" s="127"/>
      <c r="H10" s="127"/>
      <c r="I10" s="127"/>
      <c r="J10" s="127"/>
      <c r="K10" s="127"/>
      <c r="L10" s="127"/>
      <c r="M10" s="127"/>
      <c r="N10" s="127"/>
      <c r="O10" s="33"/>
      <c r="P10" s="104"/>
      <c r="Q10" s="104"/>
      <c r="R10" s="105"/>
    </row>
    <row r="11" spans="1:18" ht="15.75" x14ac:dyDescent="0.2">
      <c r="A11" s="25" t="s">
        <v>22</v>
      </c>
      <c r="B11" s="25"/>
      <c r="C11" s="25"/>
      <c r="D11" s="25"/>
      <c r="E11" s="25"/>
      <c r="F11" s="25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</row>
    <row r="12" spans="1:18" ht="25.5" x14ac:dyDescent="0.2">
      <c r="A12" s="88" t="s">
        <v>0</v>
      </c>
      <c r="B12" s="3">
        <v>2007</v>
      </c>
      <c r="C12" s="3">
        <v>2008</v>
      </c>
      <c r="D12" s="3">
        <v>2009</v>
      </c>
      <c r="E12" s="3">
        <v>2010</v>
      </c>
      <c r="F12" s="3">
        <v>2011</v>
      </c>
      <c r="G12" s="3">
        <v>2012</v>
      </c>
      <c r="H12" s="3">
        <v>2013</v>
      </c>
      <c r="I12" s="3">
        <v>2014</v>
      </c>
      <c r="J12" s="3">
        <v>2015</v>
      </c>
      <c r="K12" s="3">
        <v>2016</v>
      </c>
      <c r="L12" s="3">
        <v>2017</v>
      </c>
      <c r="M12" s="3">
        <v>2018</v>
      </c>
      <c r="N12" s="3">
        <v>2019</v>
      </c>
      <c r="O12" s="13" t="s">
        <v>371</v>
      </c>
      <c r="P12" s="13" t="s">
        <v>372</v>
      </c>
      <c r="Q12" s="13" t="s">
        <v>310</v>
      </c>
      <c r="R12" s="13" t="s">
        <v>311</v>
      </c>
    </row>
    <row r="13" spans="1:18" x14ac:dyDescent="0.2">
      <c r="A13" s="4" t="s">
        <v>5</v>
      </c>
      <c r="B13" s="4">
        <v>12651</v>
      </c>
      <c r="C13" s="4">
        <v>19196</v>
      </c>
      <c r="D13" s="4">
        <v>16551</v>
      </c>
      <c r="E13" s="4">
        <v>13998</v>
      </c>
      <c r="F13" s="4">
        <v>22321</v>
      </c>
      <c r="G13" s="4">
        <v>25500</v>
      </c>
      <c r="H13" s="4">
        <v>28191</v>
      </c>
      <c r="I13" s="4">
        <v>27673</v>
      </c>
      <c r="J13" s="4">
        <v>30547</v>
      </c>
      <c r="K13" s="4">
        <v>33772</v>
      </c>
      <c r="L13" s="4">
        <v>32653</v>
      </c>
      <c r="M13" s="4">
        <v>35124</v>
      </c>
      <c r="N13" s="4">
        <v>33300</v>
      </c>
      <c r="O13" s="100">
        <f>(N13-E13)/E13</f>
        <v>1.3789112730390056</v>
      </c>
      <c r="P13" s="100">
        <f>(N13-J13)/J13</f>
        <v>9.0123416374766757E-2</v>
      </c>
      <c r="Q13" s="108">
        <f>(N13-M13)/M13</f>
        <v>-5.1930304065596171E-2</v>
      </c>
      <c r="R13" s="14">
        <f>N13/N$9</f>
        <v>0.13707878119262656</v>
      </c>
    </row>
    <row r="14" spans="1:18" x14ac:dyDescent="0.2">
      <c r="A14" s="4" t="s">
        <v>6</v>
      </c>
      <c r="B14" s="4">
        <v>17192</v>
      </c>
      <c r="C14" s="4">
        <v>18687</v>
      </c>
      <c r="D14" s="4">
        <v>23664</v>
      </c>
      <c r="E14" s="4">
        <v>23672</v>
      </c>
      <c r="F14" s="4">
        <v>30689</v>
      </c>
      <c r="G14" s="4">
        <v>38141</v>
      </c>
      <c r="H14" s="4">
        <v>47084</v>
      </c>
      <c r="I14" s="4">
        <v>55848</v>
      </c>
      <c r="J14" s="4">
        <v>67567</v>
      </c>
      <c r="K14" s="4">
        <v>75553</v>
      </c>
      <c r="L14" s="4">
        <v>79297</v>
      </c>
      <c r="M14" s="4">
        <v>80035</v>
      </c>
      <c r="N14" s="4">
        <v>74889</v>
      </c>
      <c r="O14" s="100">
        <f t="shared" ref="O14:O16" si="4">(N14-E14)/E14</f>
        <v>2.1636110172355525</v>
      </c>
      <c r="P14" s="100">
        <f t="shared" ref="P14:P16" si="5">(N14-J14)/J14</f>
        <v>0.10836651027868634</v>
      </c>
      <c r="Q14" s="108">
        <f t="shared" ref="Q14:Q16" si="6">(N14-M14)/M14</f>
        <v>-6.4296870119322794E-2</v>
      </c>
      <c r="R14" s="14">
        <f t="shared" ref="R14:R16" si="7">N14/N$9</f>
        <v>0.30827906440644476</v>
      </c>
    </row>
    <row r="15" spans="1:18" x14ac:dyDescent="0.2">
      <c r="A15" s="4" t="s">
        <v>7</v>
      </c>
      <c r="B15" s="4">
        <v>65879</v>
      </c>
      <c r="C15" s="4">
        <v>72691</v>
      </c>
      <c r="D15" s="4">
        <v>83755</v>
      </c>
      <c r="E15" s="4">
        <v>80754</v>
      </c>
      <c r="F15" s="4">
        <v>83830</v>
      </c>
      <c r="G15" s="4">
        <v>91954</v>
      </c>
      <c r="H15" s="4">
        <v>106277</v>
      </c>
      <c r="I15" s="4">
        <v>112866</v>
      </c>
      <c r="J15" s="4">
        <v>116915</v>
      </c>
      <c r="K15" s="4">
        <v>119536</v>
      </c>
      <c r="L15" s="4">
        <v>130089</v>
      </c>
      <c r="M15" s="4">
        <v>133888</v>
      </c>
      <c r="N15" s="4">
        <v>134737</v>
      </c>
      <c r="O15" s="100">
        <f t="shared" si="4"/>
        <v>0.66848700993139654</v>
      </c>
      <c r="P15" s="100">
        <f t="shared" si="5"/>
        <v>0.15243553008595989</v>
      </c>
      <c r="Q15" s="108">
        <f t="shared" si="6"/>
        <v>6.3411209369024857E-3</v>
      </c>
      <c r="R15" s="14">
        <f t="shared" si="7"/>
        <v>0.55464215440092868</v>
      </c>
    </row>
    <row r="16" spans="1:18" x14ac:dyDescent="0.2">
      <c r="A16" s="5" t="s">
        <v>4</v>
      </c>
      <c r="B16" s="5">
        <v>95722</v>
      </c>
      <c r="C16" s="5">
        <v>110574</v>
      </c>
      <c r="D16" s="5">
        <v>123970</v>
      </c>
      <c r="E16" s="5">
        <v>118424</v>
      </c>
      <c r="F16" s="5">
        <v>136840</v>
      </c>
      <c r="G16" s="5">
        <v>155595</v>
      </c>
      <c r="H16" s="5">
        <v>181552</v>
      </c>
      <c r="I16" s="5">
        <v>196387</v>
      </c>
      <c r="J16" s="5">
        <v>215029</v>
      </c>
      <c r="K16" s="5">
        <v>228861</v>
      </c>
      <c r="L16" s="5">
        <v>242039</v>
      </c>
      <c r="M16" s="5">
        <v>249047</v>
      </c>
      <c r="N16" s="5">
        <v>242926</v>
      </c>
      <c r="O16" s="83">
        <f t="shared" si="4"/>
        <v>1.0513240559346078</v>
      </c>
      <c r="P16" s="83">
        <f t="shared" si="5"/>
        <v>0.12973598909914477</v>
      </c>
      <c r="Q16" s="109">
        <f t="shared" si="6"/>
        <v>-2.4577690154870366E-2</v>
      </c>
      <c r="R16" s="16">
        <f t="shared" si="7"/>
        <v>1</v>
      </c>
    </row>
    <row r="17" spans="1:18" x14ac:dyDescent="0.2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</row>
    <row r="18" spans="1:18" ht="15.75" x14ac:dyDescent="0.2">
      <c r="A18" s="25" t="s">
        <v>238</v>
      </c>
      <c r="B18" s="25"/>
      <c r="C18" s="25"/>
      <c r="D18" s="25"/>
      <c r="E18" s="25"/>
      <c r="F18" s="25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</row>
    <row r="19" spans="1:18" ht="25.5" x14ac:dyDescent="0.2">
      <c r="A19" s="88" t="s">
        <v>23</v>
      </c>
      <c r="B19" s="3">
        <v>2007</v>
      </c>
      <c r="C19" s="3">
        <v>2008</v>
      </c>
      <c r="D19" s="3">
        <v>2009</v>
      </c>
      <c r="E19" s="3">
        <v>2010</v>
      </c>
      <c r="F19" s="3">
        <v>2011</v>
      </c>
      <c r="G19" s="3">
        <v>2012</v>
      </c>
      <c r="H19" s="3">
        <v>2013</v>
      </c>
      <c r="I19" s="3">
        <v>2014</v>
      </c>
      <c r="J19" s="3">
        <v>2015</v>
      </c>
      <c r="K19" s="3">
        <v>2016</v>
      </c>
      <c r="L19" s="3">
        <v>2017</v>
      </c>
      <c r="M19" s="3">
        <v>2018</v>
      </c>
      <c r="N19" s="3">
        <v>2019</v>
      </c>
      <c r="O19" s="13" t="s">
        <v>371</v>
      </c>
      <c r="P19" s="13" t="s">
        <v>372</v>
      </c>
      <c r="Q19" s="13" t="s">
        <v>310</v>
      </c>
      <c r="R19" s="13" t="s">
        <v>311</v>
      </c>
    </row>
    <row r="20" spans="1:18" x14ac:dyDescent="0.2">
      <c r="A20" s="5" t="s">
        <v>5</v>
      </c>
      <c r="B20" s="5">
        <v>12651</v>
      </c>
      <c r="C20" s="5">
        <v>19196</v>
      </c>
      <c r="D20" s="5">
        <v>16551</v>
      </c>
      <c r="E20" s="5">
        <v>13998</v>
      </c>
      <c r="F20" s="5">
        <v>22321</v>
      </c>
      <c r="G20" s="23">
        <v>25500</v>
      </c>
      <c r="H20" s="23">
        <v>28191</v>
      </c>
      <c r="I20" s="23">
        <v>27673</v>
      </c>
      <c r="J20" s="23">
        <v>30547</v>
      </c>
      <c r="K20" s="23">
        <v>33772</v>
      </c>
      <c r="L20" s="23">
        <v>32653</v>
      </c>
      <c r="M20" s="23">
        <v>35124</v>
      </c>
      <c r="N20" s="23">
        <v>33300</v>
      </c>
      <c r="O20" s="83">
        <f>(N20-E20)/E20</f>
        <v>1.3789112730390056</v>
      </c>
      <c r="P20" s="83">
        <f>(N20-J20)/J20</f>
        <v>9.0123416374766757E-2</v>
      </c>
      <c r="Q20" s="109">
        <f t="shared" ref="Q20:Q30" si="8">(N20-M20)/M20</f>
        <v>-5.1930304065596171E-2</v>
      </c>
      <c r="R20" s="16">
        <f>N20/N$9</f>
        <v>0.13707878119262656</v>
      </c>
    </row>
    <row r="21" spans="1:18" x14ac:dyDescent="0.2">
      <c r="A21" s="85" t="s">
        <v>1</v>
      </c>
      <c r="B21" s="85">
        <v>12651</v>
      </c>
      <c r="C21" s="85">
        <v>19196</v>
      </c>
      <c r="D21" s="85">
        <v>16541</v>
      </c>
      <c r="E21" s="85">
        <v>13987</v>
      </c>
      <c r="F21" s="85">
        <v>22308</v>
      </c>
      <c r="G21" s="4">
        <v>25492</v>
      </c>
      <c r="H21" s="4">
        <v>28181</v>
      </c>
      <c r="I21" s="4">
        <v>27673</v>
      </c>
      <c r="J21" s="4">
        <v>30547</v>
      </c>
      <c r="K21" s="4">
        <v>33763</v>
      </c>
      <c r="L21" s="4">
        <v>32643</v>
      </c>
      <c r="M21" s="4">
        <v>35119</v>
      </c>
      <c r="N21" s="4">
        <v>33297</v>
      </c>
      <c r="O21" s="100">
        <f>(N21-E21)/E21</f>
        <v>1.3805676699792664</v>
      </c>
      <c r="P21" s="100">
        <f>(N21-J21)/J21</f>
        <v>9.0025207057976231E-2</v>
      </c>
      <c r="Q21" s="108">
        <f t="shared" si="8"/>
        <v>-5.1880748312879067E-2</v>
      </c>
      <c r="R21" s="14">
        <f t="shared" ref="R21:R30" si="9">N21/N$9</f>
        <v>0.13706643175287947</v>
      </c>
    </row>
    <row r="22" spans="1:18" x14ac:dyDescent="0.2">
      <c r="A22" s="85" t="s">
        <v>3</v>
      </c>
      <c r="B22" s="85"/>
      <c r="C22" s="85"/>
      <c r="D22" s="85">
        <v>10</v>
      </c>
      <c r="E22" s="85">
        <v>11</v>
      </c>
      <c r="F22" s="85">
        <v>13</v>
      </c>
      <c r="G22" s="4">
        <v>8</v>
      </c>
      <c r="H22" s="4">
        <v>10</v>
      </c>
      <c r="I22" s="4"/>
      <c r="J22" s="4"/>
      <c r="K22" s="4">
        <v>9</v>
      </c>
      <c r="L22" s="4">
        <v>10</v>
      </c>
      <c r="M22" s="4">
        <v>5</v>
      </c>
      <c r="N22" s="4">
        <v>3</v>
      </c>
      <c r="O22" s="100">
        <f>(N22-E22)/E22</f>
        <v>-0.72727272727272729</v>
      </c>
      <c r="P22" s="82" t="s">
        <v>24</v>
      </c>
      <c r="Q22" s="108">
        <f t="shared" si="8"/>
        <v>-0.4</v>
      </c>
      <c r="R22" s="14">
        <f t="shared" si="9"/>
        <v>1.2349439747083474E-5</v>
      </c>
    </row>
    <row r="23" spans="1:18" x14ac:dyDescent="0.2">
      <c r="A23" s="5" t="s">
        <v>6</v>
      </c>
      <c r="B23" s="5">
        <v>17192</v>
      </c>
      <c r="C23" s="5">
        <v>18687</v>
      </c>
      <c r="D23" s="5">
        <v>23664</v>
      </c>
      <c r="E23" s="5">
        <v>23672</v>
      </c>
      <c r="F23" s="5">
        <v>30689</v>
      </c>
      <c r="G23" s="23">
        <v>38141</v>
      </c>
      <c r="H23" s="23">
        <v>47084</v>
      </c>
      <c r="I23" s="23">
        <v>55848</v>
      </c>
      <c r="J23" s="23">
        <v>67567</v>
      </c>
      <c r="K23" s="23">
        <v>75553</v>
      </c>
      <c r="L23" s="23">
        <v>79297</v>
      </c>
      <c r="M23" s="23">
        <v>80035</v>
      </c>
      <c r="N23" s="23">
        <v>74889</v>
      </c>
      <c r="O23" s="83">
        <f>(N23-E23)/E23</f>
        <v>2.1636110172355525</v>
      </c>
      <c r="P23" s="83">
        <f t="shared" ref="P23:P30" si="10">(N23-J23)/J23</f>
        <v>0.10836651027868634</v>
      </c>
      <c r="Q23" s="109">
        <f t="shared" si="8"/>
        <v>-6.4296870119322794E-2</v>
      </c>
      <c r="R23" s="16">
        <f t="shared" si="9"/>
        <v>0.30827906440644476</v>
      </c>
    </row>
    <row r="24" spans="1:18" x14ac:dyDescent="0.2">
      <c r="A24" s="85" t="s">
        <v>1</v>
      </c>
      <c r="B24" s="85">
        <v>17192</v>
      </c>
      <c r="C24" s="85">
        <v>18687</v>
      </c>
      <c r="D24" s="85">
        <v>23636</v>
      </c>
      <c r="E24" s="85">
        <v>23672</v>
      </c>
      <c r="F24" s="85">
        <v>30689</v>
      </c>
      <c r="G24" s="4">
        <v>38141</v>
      </c>
      <c r="H24" s="4">
        <v>47079</v>
      </c>
      <c r="I24" s="4">
        <v>55827</v>
      </c>
      <c r="J24" s="4">
        <v>67311</v>
      </c>
      <c r="K24" s="4">
        <v>72912</v>
      </c>
      <c r="L24" s="4">
        <v>78133</v>
      </c>
      <c r="M24" s="4">
        <v>79155</v>
      </c>
      <c r="N24" s="4">
        <v>73447</v>
      </c>
      <c r="O24" s="100">
        <f>(N24-E24)/E24</f>
        <v>2.1026951672862455</v>
      </c>
      <c r="P24" s="100">
        <f t="shared" si="10"/>
        <v>9.1158948760232353E-2</v>
      </c>
      <c r="Q24" s="108">
        <f t="shared" si="8"/>
        <v>-7.2111679615943405E-2</v>
      </c>
      <c r="R24" s="14">
        <f t="shared" si="9"/>
        <v>0.30234310036801332</v>
      </c>
    </row>
    <row r="25" spans="1:18" x14ac:dyDescent="0.2">
      <c r="A25" s="85" t="s">
        <v>3</v>
      </c>
      <c r="B25" s="85"/>
      <c r="C25" s="85"/>
      <c r="D25" s="85">
        <v>28</v>
      </c>
      <c r="E25" s="85"/>
      <c r="F25" s="85"/>
      <c r="G25" s="4"/>
      <c r="H25" s="4">
        <v>5</v>
      </c>
      <c r="I25" s="4">
        <v>21</v>
      </c>
      <c r="J25" s="4">
        <v>256</v>
      </c>
      <c r="K25" s="4">
        <v>2641</v>
      </c>
      <c r="L25" s="4">
        <v>1164</v>
      </c>
      <c r="M25" s="4">
        <v>880</v>
      </c>
      <c r="N25" s="4">
        <v>1442</v>
      </c>
      <c r="O25" s="82" t="s">
        <v>24</v>
      </c>
      <c r="P25" s="100">
        <f t="shared" si="10"/>
        <v>4.6328125</v>
      </c>
      <c r="Q25" s="108">
        <f t="shared" si="8"/>
        <v>0.63863636363636367</v>
      </c>
      <c r="R25" s="14">
        <f t="shared" si="9"/>
        <v>5.9359640384314561E-3</v>
      </c>
    </row>
    <row r="26" spans="1:18" x14ac:dyDescent="0.2">
      <c r="A26" s="5" t="s">
        <v>7</v>
      </c>
      <c r="B26" s="5">
        <v>65879</v>
      </c>
      <c r="C26" s="5">
        <v>72691</v>
      </c>
      <c r="D26" s="5">
        <v>83755</v>
      </c>
      <c r="E26" s="5">
        <v>80754</v>
      </c>
      <c r="F26" s="5">
        <v>83830</v>
      </c>
      <c r="G26" s="23">
        <v>91954</v>
      </c>
      <c r="H26" s="23">
        <v>106277</v>
      </c>
      <c r="I26" s="23">
        <v>112866</v>
      </c>
      <c r="J26" s="23">
        <v>116915</v>
      </c>
      <c r="K26" s="23">
        <v>119536</v>
      </c>
      <c r="L26" s="23">
        <v>130089</v>
      </c>
      <c r="M26" s="23">
        <v>133888</v>
      </c>
      <c r="N26" s="23">
        <v>134737</v>
      </c>
      <c r="O26" s="83">
        <f>(N26-E26)/E26</f>
        <v>0.66848700993139654</v>
      </c>
      <c r="P26" s="83">
        <f t="shared" si="10"/>
        <v>0.15243553008595989</v>
      </c>
      <c r="Q26" s="109">
        <f t="shared" si="8"/>
        <v>6.3411209369024857E-3</v>
      </c>
      <c r="R26" s="16">
        <f t="shared" si="9"/>
        <v>0.55464215440092868</v>
      </c>
    </row>
    <row r="27" spans="1:18" x14ac:dyDescent="0.2">
      <c r="A27" s="85" t="s">
        <v>1</v>
      </c>
      <c r="B27" s="85">
        <v>55148</v>
      </c>
      <c r="C27" s="85">
        <v>58796</v>
      </c>
      <c r="D27" s="85">
        <v>66384</v>
      </c>
      <c r="E27" s="85">
        <v>63813</v>
      </c>
      <c r="F27" s="85">
        <v>65050</v>
      </c>
      <c r="G27" s="4">
        <v>71645</v>
      </c>
      <c r="H27" s="4">
        <v>81110</v>
      </c>
      <c r="I27" s="4">
        <v>87028</v>
      </c>
      <c r="J27" s="4">
        <v>89721</v>
      </c>
      <c r="K27" s="4">
        <v>89290</v>
      </c>
      <c r="L27" s="4">
        <v>93831</v>
      </c>
      <c r="M27" s="4">
        <v>93594</v>
      </c>
      <c r="N27" s="4">
        <v>91144</v>
      </c>
      <c r="O27" s="100">
        <f>(N27-E27)/E27</f>
        <v>0.42829830912196576</v>
      </c>
      <c r="P27" s="100">
        <f t="shared" si="10"/>
        <v>1.5860277972826874E-2</v>
      </c>
      <c r="Q27" s="108">
        <f t="shared" si="8"/>
        <v>-2.6176891681090667E-2</v>
      </c>
      <c r="R27" s="14">
        <f t="shared" si="9"/>
        <v>0.37519244543605873</v>
      </c>
    </row>
    <row r="28" spans="1:18" x14ac:dyDescent="0.2">
      <c r="A28" s="85" t="s">
        <v>259</v>
      </c>
      <c r="B28" s="85">
        <v>5628</v>
      </c>
      <c r="C28" s="85">
        <v>6239</v>
      </c>
      <c r="D28" s="85">
        <v>8614</v>
      </c>
      <c r="E28" s="85">
        <v>8090</v>
      </c>
      <c r="F28" s="85">
        <v>10025</v>
      </c>
      <c r="G28" s="4">
        <v>10598</v>
      </c>
      <c r="H28" s="4">
        <v>12594</v>
      </c>
      <c r="I28" s="4">
        <v>12945</v>
      </c>
      <c r="J28" s="4">
        <v>13923</v>
      </c>
      <c r="K28" s="4">
        <v>13931</v>
      </c>
      <c r="L28" s="4">
        <v>14799</v>
      </c>
      <c r="M28" s="4">
        <v>16276</v>
      </c>
      <c r="N28" s="4">
        <v>16170</v>
      </c>
      <c r="O28" s="100">
        <f>(N28-E28)/E28</f>
        <v>0.99876390605686027</v>
      </c>
      <c r="P28" s="100">
        <f t="shared" si="10"/>
        <v>0.16138763197586728</v>
      </c>
      <c r="Q28" s="108">
        <f t="shared" si="8"/>
        <v>-6.5126566724010813E-3</v>
      </c>
      <c r="R28" s="14">
        <f t="shared" si="9"/>
        <v>6.6563480236779923E-2</v>
      </c>
    </row>
    <row r="29" spans="1:18" x14ac:dyDescent="0.2">
      <c r="A29" s="85" t="s">
        <v>3</v>
      </c>
      <c r="B29" s="85">
        <v>5103</v>
      </c>
      <c r="C29" s="85">
        <v>7656</v>
      </c>
      <c r="D29" s="85">
        <v>8757</v>
      </c>
      <c r="E29" s="85">
        <v>8851</v>
      </c>
      <c r="F29" s="85">
        <v>8755</v>
      </c>
      <c r="G29" s="4">
        <v>9711</v>
      </c>
      <c r="H29" s="4">
        <v>12573</v>
      </c>
      <c r="I29" s="4">
        <v>12893</v>
      </c>
      <c r="J29" s="4">
        <v>13271</v>
      </c>
      <c r="K29" s="4">
        <v>16315</v>
      </c>
      <c r="L29" s="4">
        <v>21459</v>
      </c>
      <c r="M29" s="4">
        <v>24018</v>
      </c>
      <c r="N29" s="4">
        <v>27423</v>
      </c>
      <c r="O29" s="100">
        <f>(N29-E29)/E29</f>
        <v>2.0982939780815726</v>
      </c>
      <c r="P29" s="100">
        <f t="shared" si="10"/>
        <v>1.0663853515183483</v>
      </c>
      <c r="Q29" s="108">
        <f t="shared" si="8"/>
        <v>0.14176867349487884</v>
      </c>
      <c r="R29" s="14">
        <f t="shared" si="9"/>
        <v>0.11288622872809004</v>
      </c>
    </row>
    <row r="30" spans="1:18" x14ac:dyDescent="0.2">
      <c r="A30" s="5" t="s">
        <v>4</v>
      </c>
      <c r="B30" s="5">
        <v>95722</v>
      </c>
      <c r="C30" s="5">
        <v>110574</v>
      </c>
      <c r="D30" s="5">
        <v>123970</v>
      </c>
      <c r="E30" s="5">
        <v>118424</v>
      </c>
      <c r="F30" s="5">
        <v>136840</v>
      </c>
      <c r="G30" s="5">
        <v>155595</v>
      </c>
      <c r="H30" s="5">
        <v>181552</v>
      </c>
      <c r="I30" s="5">
        <v>196387</v>
      </c>
      <c r="J30" s="5">
        <v>215029</v>
      </c>
      <c r="K30" s="5">
        <v>228861</v>
      </c>
      <c r="L30" s="5">
        <v>242039</v>
      </c>
      <c r="M30" s="5">
        <v>249047</v>
      </c>
      <c r="N30" s="5">
        <v>242926</v>
      </c>
      <c r="O30" s="83">
        <f>(N30-E30)/E30</f>
        <v>1.0513240559346078</v>
      </c>
      <c r="P30" s="83">
        <f t="shared" si="10"/>
        <v>0.12973598909914477</v>
      </c>
      <c r="Q30" s="109">
        <f t="shared" si="8"/>
        <v>-2.4577690154870366E-2</v>
      </c>
      <c r="R30" s="16">
        <f t="shared" si="9"/>
        <v>1</v>
      </c>
    </row>
    <row r="31" spans="1:18" x14ac:dyDescent="0.2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</row>
    <row r="32" spans="1:18" ht="15.75" x14ac:dyDescent="0.2">
      <c r="A32" s="25" t="s">
        <v>231</v>
      </c>
      <c r="B32" s="25"/>
      <c r="C32" s="25"/>
      <c r="D32" s="25"/>
      <c r="E32" s="25"/>
      <c r="F32" s="25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</row>
    <row r="33" spans="1:18" ht="25.5" x14ac:dyDescent="0.2">
      <c r="A33" s="88" t="s">
        <v>0</v>
      </c>
      <c r="B33" s="3">
        <v>2007</v>
      </c>
      <c r="C33" s="3">
        <v>2008</v>
      </c>
      <c r="D33" s="3">
        <v>2009</v>
      </c>
      <c r="E33" s="3">
        <v>2010</v>
      </c>
      <c r="F33" s="3">
        <v>2011</v>
      </c>
      <c r="G33" s="3">
        <v>2012</v>
      </c>
      <c r="H33" s="3">
        <v>2013</v>
      </c>
      <c r="I33" s="3">
        <v>2014</v>
      </c>
      <c r="J33" s="3">
        <v>2015</v>
      </c>
      <c r="K33" s="3">
        <v>2016</v>
      </c>
      <c r="L33" s="3">
        <v>2017</v>
      </c>
      <c r="M33" s="3">
        <v>2018</v>
      </c>
      <c r="N33" s="3">
        <v>2019</v>
      </c>
      <c r="O33" s="13" t="s">
        <v>371</v>
      </c>
      <c r="P33" s="13" t="s">
        <v>372</v>
      </c>
      <c r="Q33" s="13" t="s">
        <v>310</v>
      </c>
      <c r="R33" s="13" t="s">
        <v>311</v>
      </c>
    </row>
    <row r="34" spans="1:18" x14ac:dyDescent="0.2">
      <c r="A34" s="4" t="s">
        <v>5</v>
      </c>
      <c r="B34" s="4">
        <v>12651</v>
      </c>
      <c r="C34" s="4">
        <v>19196</v>
      </c>
      <c r="D34" s="4">
        <v>16551</v>
      </c>
      <c r="E34" s="4">
        <v>13998</v>
      </c>
      <c r="F34" s="4">
        <v>22321</v>
      </c>
      <c r="G34" s="4">
        <v>25500</v>
      </c>
      <c r="H34" s="4">
        <v>28191</v>
      </c>
      <c r="I34" s="4">
        <v>27673</v>
      </c>
      <c r="J34" s="4">
        <v>30547</v>
      </c>
      <c r="K34" s="4">
        <v>33772</v>
      </c>
      <c r="L34" s="4">
        <v>32653</v>
      </c>
      <c r="M34" s="4">
        <v>35124</v>
      </c>
      <c r="N34" s="4">
        <v>33300</v>
      </c>
      <c r="O34" s="100">
        <f>(N34-E34)/E34</f>
        <v>1.3789112730390056</v>
      </c>
      <c r="P34" s="100">
        <f>(N34-J34)/J34</f>
        <v>9.0123416374766757E-2</v>
      </c>
      <c r="Q34" s="108">
        <f>(N34-M34)/M34</f>
        <v>-5.1930304065596171E-2</v>
      </c>
      <c r="R34" s="14">
        <f>N34/N$9</f>
        <v>0.13707878119262656</v>
      </c>
    </row>
    <row r="35" spans="1:18" x14ac:dyDescent="0.2">
      <c r="A35" s="4" t="s">
        <v>6</v>
      </c>
      <c r="B35" s="4">
        <v>17192</v>
      </c>
      <c r="C35" s="4">
        <v>18687</v>
      </c>
      <c r="D35" s="4">
        <v>23664</v>
      </c>
      <c r="E35" s="4">
        <v>23672</v>
      </c>
      <c r="F35" s="4">
        <v>30689</v>
      </c>
      <c r="G35" s="4">
        <v>38141</v>
      </c>
      <c r="H35" s="4">
        <v>47084</v>
      </c>
      <c r="I35" s="4">
        <v>55848</v>
      </c>
      <c r="J35" s="4">
        <v>67567</v>
      </c>
      <c r="K35" s="4">
        <v>75553</v>
      </c>
      <c r="L35" s="4">
        <v>79297</v>
      </c>
      <c r="M35" s="4">
        <v>80035</v>
      </c>
      <c r="N35" s="4">
        <v>74889</v>
      </c>
      <c r="O35" s="100">
        <f t="shared" ref="O35:O39" si="11">(N35-E35)/E35</f>
        <v>2.1636110172355525</v>
      </c>
      <c r="P35" s="100">
        <f t="shared" ref="P35:P39" si="12">(N35-J35)/J35</f>
        <v>0.10836651027868634</v>
      </c>
      <c r="Q35" s="108">
        <f t="shared" ref="Q35:Q39" si="13">(N35-M35)/M35</f>
        <v>-6.4296870119322794E-2</v>
      </c>
      <c r="R35" s="14">
        <f t="shared" ref="R35:R39" si="14">N35/N$9</f>
        <v>0.30827906440644476</v>
      </c>
    </row>
    <row r="36" spans="1:18" x14ac:dyDescent="0.2">
      <c r="A36" s="32" t="s">
        <v>261</v>
      </c>
      <c r="B36" s="32">
        <v>23926</v>
      </c>
      <c r="C36" s="32">
        <v>24456</v>
      </c>
      <c r="D36" s="32">
        <v>28501</v>
      </c>
      <c r="E36" s="32">
        <v>27417</v>
      </c>
      <c r="F36" s="32">
        <v>25974</v>
      </c>
      <c r="G36" s="4">
        <v>26583</v>
      </c>
      <c r="H36" s="4">
        <v>27602</v>
      </c>
      <c r="I36" s="4">
        <v>28260</v>
      </c>
      <c r="J36" s="4">
        <v>29209</v>
      </c>
      <c r="K36" s="4">
        <v>28415</v>
      </c>
      <c r="L36" s="4">
        <v>30282</v>
      </c>
      <c r="M36" s="4">
        <v>29605</v>
      </c>
      <c r="N36" s="4">
        <v>29015</v>
      </c>
      <c r="O36" s="100">
        <f t="shared" si="11"/>
        <v>5.8285005653426709E-2</v>
      </c>
      <c r="P36" s="100">
        <f t="shared" si="12"/>
        <v>-6.641788489849019E-3</v>
      </c>
      <c r="Q36" s="108">
        <f t="shared" si="13"/>
        <v>-1.9929066036142543E-2</v>
      </c>
      <c r="R36" s="14">
        <f t="shared" si="14"/>
        <v>0.11943966475387567</v>
      </c>
    </row>
    <row r="37" spans="1:18" x14ac:dyDescent="0.2">
      <c r="A37" s="32" t="s">
        <v>262</v>
      </c>
      <c r="B37" s="32">
        <v>14229</v>
      </c>
      <c r="C37" s="32">
        <v>15142</v>
      </c>
      <c r="D37" s="32">
        <v>17526</v>
      </c>
      <c r="E37" s="32">
        <v>17191</v>
      </c>
      <c r="F37" s="32">
        <v>17394</v>
      </c>
      <c r="G37" s="4">
        <v>18932</v>
      </c>
      <c r="H37" s="4">
        <v>20601</v>
      </c>
      <c r="I37" s="4">
        <v>21720</v>
      </c>
      <c r="J37" s="4">
        <v>22653</v>
      </c>
      <c r="K37" s="4">
        <v>22393</v>
      </c>
      <c r="L37" s="4">
        <v>30254</v>
      </c>
      <c r="M37" s="4">
        <v>29320</v>
      </c>
      <c r="N37" s="4">
        <v>32645</v>
      </c>
      <c r="O37" s="100">
        <f t="shared" si="11"/>
        <v>0.89895875748938403</v>
      </c>
      <c r="P37" s="100">
        <f t="shared" si="12"/>
        <v>0.44108948042201918</v>
      </c>
      <c r="Q37" s="108">
        <f t="shared" si="13"/>
        <v>0.1134038199181446</v>
      </c>
      <c r="R37" s="14">
        <f t="shared" si="14"/>
        <v>0.13438248684784668</v>
      </c>
    </row>
    <row r="38" spans="1:18" x14ac:dyDescent="0.2">
      <c r="A38" s="32" t="s">
        <v>263</v>
      </c>
      <c r="B38" s="32">
        <v>27724</v>
      </c>
      <c r="C38" s="32">
        <v>33093</v>
      </c>
      <c r="D38" s="32">
        <v>37728</v>
      </c>
      <c r="E38" s="32">
        <v>36146</v>
      </c>
      <c r="F38" s="32">
        <v>40462</v>
      </c>
      <c r="G38" s="4">
        <v>46439</v>
      </c>
      <c r="H38" s="4">
        <v>58074</v>
      </c>
      <c r="I38" s="4">
        <v>62886</v>
      </c>
      <c r="J38" s="4">
        <v>65053</v>
      </c>
      <c r="K38" s="4">
        <v>68728</v>
      </c>
      <c r="L38" s="4">
        <v>69553</v>
      </c>
      <c r="M38" s="4">
        <v>74963</v>
      </c>
      <c r="N38" s="4">
        <v>73077</v>
      </c>
      <c r="O38" s="100">
        <f t="shared" si="11"/>
        <v>1.0217174791124883</v>
      </c>
      <c r="P38" s="100">
        <f t="shared" si="12"/>
        <v>0.12334557975804344</v>
      </c>
      <c r="Q38" s="108">
        <f t="shared" si="13"/>
        <v>-2.5159078478716165E-2</v>
      </c>
      <c r="R38" s="14">
        <f t="shared" si="14"/>
        <v>0.30082000279920634</v>
      </c>
    </row>
    <row r="39" spans="1:18" x14ac:dyDescent="0.2">
      <c r="A39" s="5" t="s">
        <v>4</v>
      </c>
      <c r="B39" s="5">
        <v>95722</v>
      </c>
      <c r="C39" s="5">
        <v>110574</v>
      </c>
      <c r="D39" s="5">
        <v>123970</v>
      </c>
      <c r="E39" s="5">
        <v>118424</v>
      </c>
      <c r="F39" s="5">
        <v>136840</v>
      </c>
      <c r="G39" s="5">
        <v>155595</v>
      </c>
      <c r="H39" s="5">
        <v>181552</v>
      </c>
      <c r="I39" s="5">
        <v>196387</v>
      </c>
      <c r="J39" s="5">
        <v>215029</v>
      </c>
      <c r="K39" s="5">
        <v>228861</v>
      </c>
      <c r="L39" s="5">
        <v>242039</v>
      </c>
      <c r="M39" s="5">
        <v>249047</v>
      </c>
      <c r="N39" s="5">
        <v>242926</v>
      </c>
      <c r="O39" s="83">
        <f t="shared" si="11"/>
        <v>1.0513240559346078</v>
      </c>
      <c r="P39" s="83">
        <f t="shared" si="12"/>
        <v>0.12973598909914477</v>
      </c>
      <c r="Q39" s="109">
        <f t="shared" si="13"/>
        <v>-2.4577690154870366E-2</v>
      </c>
      <c r="R39" s="16">
        <f t="shared" si="14"/>
        <v>1</v>
      </c>
    </row>
    <row r="40" spans="1:18" x14ac:dyDescent="0.2">
      <c r="A40" s="123" t="s">
        <v>373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</row>
    <row r="41" spans="1:18" x14ac:dyDescent="0.2">
      <c r="A41" s="12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</row>
    <row r="42" spans="1:18" ht="15.75" x14ac:dyDescent="0.2">
      <c r="A42" s="25" t="s">
        <v>239</v>
      </c>
      <c r="B42" s="25"/>
      <c r="C42" s="25"/>
      <c r="D42" s="25"/>
      <c r="E42" s="25"/>
      <c r="F42" s="25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</row>
    <row r="43" spans="1:18" ht="25.5" x14ac:dyDescent="0.2">
      <c r="A43" s="88" t="s">
        <v>23</v>
      </c>
      <c r="B43" s="3">
        <v>2007</v>
      </c>
      <c r="C43" s="3">
        <v>2008</v>
      </c>
      <c r="D43" s="3">
        <v>2009</v>
      </c>
      <c r="E43" s="3">
        <v>2010</v>
      </c>
      <c r="F43" s="3">
        <v>2011</v>
      </c>
      <c r="G43" s="3">
        <v>2012</v>
      </c>
      <c r="H43" s="3">
        <v>2013</v>
      </c>
      <c r="I43" s="3">
        <v>2014</v>
      </c>
      <c r="J43" s="3">
        <v>2015</v>
      </c>
      <c r="K43" s="3">
        <v>2016</v>
      </c>
      <c r="L43" s="3">
        <v>2017</v>
      </c>
      <c r="M43" s="3">
        <v>2018</v>
      </c>
      <c r="N43" s="3">
        <v>2019</v>
      </c>
      <c r="O43" s="13" t="s">
        <v>371</v>
      </c>
      <c r="P43" s="13" t="s">
        <v>372</v>
      </c>
      <c r="Q43" s="13" t="s">
        <v>310</v>
      </c>
      <c r="R43" s="13" t="s">
        <v>311</v>
      </c>
    </row>
    <row r="44" spans="1:18" x14ac:dyDescent="0.2">
      <c r="A44" s="5" t="s">
        <v>5</v>
      </c>
      <c r="B44" s="5">
        <v>12651</v>
      </c>
      <c r="C44" s="5">
        <v>19196</v>
      </c>
      <c r="D44" s="5">
        <v>16551</v>
      </c>
      <c r="E44" s="5">
        <v>13998</v>
      </c>
      <c r="F44" s="5">
        <v>22321</v>
      </c>
      <c r="G44" s="23">
        <v>25500</v>
      </c>
      <c r="H44" s="23">
        <v>28191</v>
      </c>
      <c r="I44" s="23">
        <v>27673</v>
      </c>
      <c r="J44" s="23">
        <v>30547</v>
      </c>
      <c r="K44" s="23">
        <v>33772</v>
      </c>
      <c r="L44" s="23">
        <v>32653</v>
      </c>
      <c r="M44" s="23">
        <v>35124</v>
      </c>
      <c r="N44" s="23">
        <v>33300</v>
      </c>
      <c r="O44" s="83">
        <f>(N44-E44)/E44</f>
        <v>1.3789112730390056</v>
      </c>
      <c r="P44" s="83">
        <f>(N44-J44)/J44</f>
        <v>9.0123416374766757E-2</v>
      </c>
      <c r="Q44" s="109">
        <f>(N44-M44)/M44</f>
        <v>-5.1930304065596171E-2</v>
      </c>
      <c r="R44" s="16">
        <f>N44/N$9</f>
        <v>0.13707878119262656</v>
      </c>
    </row>
    <row r="45" spans="1:18" x14ac:dyDescent="0.2">
      <c r="A45" s="85" t="s">
        <v>1</v>
      </c>
      <c r="B45" s="85">
        <v>12651</v>
      </c>
      <c r="C45" s="85">
        <v>19196</v>
      </c>
      <c r="D45" s="85">
        <v>16541</v>
      </c>
      <c r="E45" s="85">
        <v>13987</v>
      </c>
      <c r="F45" s="85">
        <v>22308</v>
      </c>
      <c r="G45" s="4">
        <v>25492</v>
      </c>
      <c r="H45" s="4">
        <v>28181</v>
      </c>
      <c r="I45" s="4">
        <v>27673</v>
      </c>
      <c r="J45" s="4">
        <v>30547</v>
      </c>
      <c r="K45" s="4">
        <v>33763</v>
      </c>
      <c r="L45" s="4">
        <v>32643</v>
      </c>
      <c r="M45" s="4">
        <v>35119</v>
      </c>
      <c r="N45" s="4">
        <v>33297</v>
      </c>
      <c r="O45" s="100">
        <f t="shared" ref="O45:O62" si="15">(N45-E45)/E45</f>
        <v>1.3805676699792664</v>
      </c>
      <c r="P45" s="100">
        <f t="shared" ref="P45:P62" si="16">(N45-J45)/J45</f>
        <v>9.0025207057976231E-2</v>
      </c>
      <c r="Q45" s="108">
        <f t="shared" ref="Q45:Q62" si="17">(N45-M45)/M45</f>
        <v>-5.1880748312879067E-2</v>
      </c>
      <c r="R45" s="14">
        <f t="shared" ref="R45:R62" si="18">N45/N$9</f>
        <v>0.13706643175287947</v>
      </c>
    </row>
    <row r="46" spans="1:18" x14ac:dyDescent="0.2">
      <c r="A46" s="85" t="s">
        <v>3</v>
      </c>
      <c r="B46" s="85"/>
      <c r="C46" s="85"/>
      <c r="D46" s="85">
        <v>10</v>
      </c>
      <c r="E46" s="85">
        <v>11</v>
      </c>
      <c r="F46" s="85">
        <v>13</v>
      </c>
      <c r="G46" s="4">
        <v>8</v>
      </c>
      <c r="H46" s="4">
        <v>10</v>
      </c>
      <c r="I46" s="4"/>
      <c r="J46" s="4"/>
      <c r="K46" s="4">
        <v>9</v>
      </c>
      <c r="L46" s="4">
        <v>10</v>
      </c>
      <c r="M46" s="4">
        <v>5</v>
      </c>
      <c r="N46" s="4">
        <v>3</v>
      </c>
      <c r="O46" s="100">
        <f t="shared" si="15"/>
        <v>-0.72727272727272729</v>
      </c>
      <c r="P46" s="82" t="s">
        <v>24</v>
      </c>
      <c r="Q46" s="108">
        <f t="shared" si="17"/>
        <v>-0.4</v>
      </c>
      <c r="R46" s="14">
        <f t="shared" si="18"/>
        <v>1.2349439747083474E-5</v>
      </c>
    </row>
    <row r="47" spans="1:18" x14ac:dyDescent="0.2">
      <c r="A47" s="5" t="s">
        <v>6</v>
      </c>
      <c r="B47" s="5">
        <v>17192</v>
      </c>
      <c r="C47" s="5">
        <v>18687</v>
      </c>
      <c r="D47" s="5">
        <v>23664</v>
      </c>
      <c r="E47" s="5">
        <v>23672</v>
      </c>
      <c r="F47" s="5">
        <v>30689</v>
      </c>
      <c r="G47" s="23">
        <v>38141</v>
      </c>
      <c r="H47" s="23">
        <v>47084</v>
      </c>
      <c r="I47" s="23">
        <v>55848</v>
      </c>
      <c r="J47" s="23">
        <v>67567</v>
      </c>
      <c r="K47" s="23">
        <v>75553</v>
      </c>
      <c r="L47" s="23">
        <v>79297</v>
      </c>
      <c r="M47" s="23">
        <v>80035</v>
      </c>
      <c r="N47" s="23">
        <v>74889</v>
      </c>
      <c r="O47" s="83">
        <f t="shared" si="15"/>
        <v>2.1636110172355525</v>
      </c>
      <c r="P47" s="83">
        <f t="shared" si="16"/>
        <v>0.10836651027868634</v>
      </c>
      <c r="Q47" s="109">
        <f t="shared" si="17"/>
        <v>-6.4296870119322794E-2</v>
      </c>
      <c r="R47" s="16">
        <f t="shared" si="18"/>
        <v>0.30827906440644476</v>
      </c>
    </row>
    <row r="48" spans="1:18" x14ac:dyDescent="0.2">
      <c r="A48" s="85" t="s">
        <v>1</v>
      </c>
      <c r="B48" s="85">
        <v>17192</v>
      </c>
      <c r="C48" s="85">
        <v>18687</v>
      </c>
      <c r="D48" s="85">
        <v>23636</v>
      </c>
      <c r="E48" s="85">
        <v>23672</v>
      </c>
      <c r="F48" s="85">
        <v>30689</v>
      </c>
      <c r="G48" s="4">
        <v>38141</v>
      </c>
      <c r="H48" s="4">
        <v>47079</v>
      </c>
      <c r="I48" s="4">
        <v>55827</v>
      </c>
      <c r="J48" s="4">
        <v>67311</v>
      </c>
      <c r="K48" s="4">
        <v>72912</v>
      </c>
      <c r="L48" s="4">
        <v>78133</v>
      </c>
      <c r="M48" s="4">
        <v>79155</v>
      </c>
      <c r="N48" s="4">
        <v>73447</v>
      </c>
      <c r="O48" s="100">
        <f t="shared" si="15"/>
        <v>2.1026951672862455</v>
      </c>
      <c r="P48" s="100">
        <f t="shared" si="16"/>
        <v>9.1158948760232353E-2</v>
      </c>
      <c r="Q48" s="108">
        <f t="shared" si="17"/>
        <v>-7.2111679615943405E-2</v>
      </c>
      <c r="R48" s="14">
        <f t="shared" si="18"/>
        <v>0.30234310036801332</v>
      </c>
    </row>
    <row r="49" spans="1:18" x14ac:dyDescent="0.2">
      <c r="A49" s="85" t="s">
        <v>3</v>
      </c>
      <c r="B49" s="85"/>
      <c r="C49" s="85"/>
      <c r="D49" s="85">
        <v>28</v>
      </c>
      <c r="E49" s="85"/>
      <c r="F49" s="85"/>
      <c r="G49" s="4"/>
      <c r="H49" s="4">
        <v>5</v>
      </c>
      <c r="I49" s="4">
        <v>21</v>
      </c>
      <c r="J49" s="4">
        <v>256</v>
      </c>
      <c r="K49" s="4">
        <v>2641</v>
      </c>
      <c r="L49" s="4">
        <v>1164</v>
      </c>
      <c r="M49" s="4">
        <v>880</v>
      </c>
      <c r="N49" s="4">
        <v>1442</v>
      </c>
      <c r="O49" s="82" t="s">
        <v>24</v>
      </c>
      <c r="P49" s="100">
        <f t="shared" si="16"/>
        <v>4.6328125</v>
      </c>
      <c r="Q49" s="108">
        <f t="shared" si="17"/>
        <v>0.63863636363636367</v>
      </c>
      <c r="R49" s="14">
        <f t="shared" si="18"/>
        <v>5.9359640384314561E-3</v>
      </c>
    </row>
    <row r="50" spans="1:18" x14ac:dyDescent="0.2">
      <c r="A50" s="5" t="s">
        <v>265</v>
      </c>
      <c r="B50" s="5">
        <v>23926</v>
      </c>
      <c r="C50" s="5">
        <v>24456</v>
      </c>
      <c r="D50" s="5">
        <v>28501</v>
      </c>
      <c r="E50" s="5">
        <v>27417</v>
      </c>
      <c r="F50" s="5">
        <v>25974</v>
      </c>
      <c r="G50" s="23">
        <v>26583</v>
      </c>
      <c r="H50" s="23">
        <v>27602</v>
      </c>
      <c r="I50" s="23">
        <v>28260</v>
      </c>
      <c r="J50" s="23">
        <v>29209</v>
      </c>
      <c r="K50" s="23">
        <v>28415</v>
      </c>
      <c r="L50" s="23">
        <v>30282</v>
      </c>
      <c r="M50" s="23">
        <v>29605</v>
      </c>
      <c r="N50" s="23">
        <v>29015</v>
      </c>
      <c r="O50" s="83">
        <f t="shared" si="15"/>
        <v>5.8285005653426709E-2</v>
      </c>
      <c r="P50" s="83">
        <f t="shared" si="16"/>
        <v>-6.641788489849019E-3</v>
      </c>
      <c r="Q50" s="109">
        <f t="shared" si="17"/>
        <v>-1.9929066036142543E-2</v>
      </c>
      <c r="R50" s="16">
        <f t="shared" si="18"/>
        <v>0.11943966475387567</v>
      </c>
    </row>
    <row r="51" spans="1:18" x14ac:dyDescent="0.2">
      <c r="A51" s="85" t="s">
        <v>1</v>
      </c>
      <c r="B51" s="85">
        <v>20902</v>
      </c>
      <c r="C51" s="85">
        <v>20955</v>
      </c>
      <c r="D51" s="85">
        <v>24660</v>
      </c>
      <c r="E51" s="85">
        <v>23163</v>
      </c>
      <c r="F51" s="85">
        <v>21640</v>
      </c>
      <c r="G51" s="4">
        <v>21626</v>
      </c>
      <c r="H51" s="4">
        <v>21817</v>
      </c>
      <c r="I51" s="4">
        <v>22339</v>
      </c>
      <c r="J51" s="4">
        <v>23270</v>
      </c>
      <c r="K51" s="4">
        <v>22436</v>
      </c>
      <c r="L51" s="4">
        <v>24320</v>
      </c>
      <c r="M51" s="4">
        <v>23350</v>
      </c>
      <c r="N51" s="4">
        <v>23122</v>
      </c>
      <c r="O51" s="100">
        <f t="shared" si="15"/>
        <v>-1.7700643267279713E-3</v>
      </c>
      <c r="P51" s="100">
        <f t="shared" si="16"/>
        <v>-6.3601203266007737E-3</v>
      </c>
      <c r="Q51" s="108">
        <f t="shared" si="17"/>
        <v>-9.7644539614561033E-3</v>
      </c>
      <c r="R51" s="14">
        <f t="shared" si="18"/>
        <v>9.5181248610688024E-2</v>
      </c>
    </row>
    <row r="52" spans="1:18" x14ac:dyDescent="0.2">
      <c r="A52" s="85" t="s">
        <v>259</v>
      </c>
      <c r="B52" s="85">
        <v>1650</v>
      </c>
      <c r="C52" s="85">
        <v>1920</v>
      </c>
      <c r="D52" s="85">
        <v>2334</v>
      </c>
      <c r="E52" s="85">
        <v>2421</v>
      </c>
      <c r="F52" s="85">
        <v>2697</v>
      </c>
      <c r="G52" s="4">
        <v>2990</v>
      </c>
      <c r="H52" s="4">
        <v>3331</v>
      </c>
      <c r="I52" s="4">
        <v>3547</v>
      </c>
      <c r="J52" s="4">
        <v>3711</v>
      </c>
      <c r="K52" s="4">
        <v>3532</v>
      </c>
      <c r="L52" s="4">
        <v>4054</v>
      </c>
      <c r="M52" s="4">
        <v>4191</v>
      </c>
      <c r="N52" s="4">
        <v>3898</v>
      </c>
      <c r="O52" s="100">
        <f t="shared" si="15"/>
        <v>0.61007847996695586</v>
      </c>
      <c r="P52" s="100">
        <f t="shared" si="16"/>
        <v>5.0390730261385068E-2</v>
      </c>
      <c r="Q52" s="108">
        <f t="shared" si="17"/>
        <v>-6.9911715581006922E-2</v>
      </c>
      <c r="R52" s="14">
        <f t="shared" si="18"/>
        <v>1.6046038711377126E-2</v>
      </c>
    </row>
    <row r="53" spans="1:18" x14ac:dyDescent="0.2">
      <c r="A53" s="85" t="s">
        <v>3</v>
      </c>
      <c r="B53" s="85">
        <v>1374</v>
      </c>
      <c r="C53" s="85">
        <v>1581</v>
      </c>
      <c r="D53" s="85">
        <v>1507</v>
      </c>
      <c r="E53" s="85">
        <v>1833</v>
      </c>
      <c r="F53" s="85">
        <v>1637</v>
      </c>
      <c r="G53" s="4">
        <v>1967</v>
      </c>
      <c r="H53" s="4">
        <v>2454</v>
      </c>
      <c r="I53" s="4">
        <v>2374</v>
      </c>
      <c r="J53" s="4">
        <v>2228</v>
      </c>
      <c r="K53" s="4">
        <v>2447</v>
      </c>
      <c r="L53" s="4">
        <v>1908</v>
      </c>
      <c r="M53" s="4">
        <v>2064</v>
      </c>
      <c r="N53" s="4">
        <v>1995</v>
      </c>
      <c r="O53" s="100">
        <f t="shared" si="15"/>
        <v>8.8379705400982E-2</v>
      </c>
      <c r="P53" s="100">
        <f t="shared" si="16"/>
        <v>-0.10457809694793536</v>
      </c>
      <c r="Q53" s="108">
        <f t="shared" si="17"/>
        <v>-3.3430232558139532E-2</v>
      </c>
      <c r="R53" s="14">
        <f t="shared" si="18"/>
        <v>8.2123774318105108E-3</v>
      </c>
    </row>
    <row r="54" spans="1:18" x14ac:dyDescent="0.2">
      <c r="A54" s="5" t="s">
        <v>262</v>
      </c>
      <c r="B54" s="5">
        <v>14229</v>
      </c>
      <c r="C54" s="5">
        <v>15142</v>
      </c>
      <c r="D54" s="5">
        <v>17526</v>
      </c>
      <c r="E54" s="5">
        <v>17191</v>
      </c>
      <c r="F54" s="5">
        <v>17394</v>
      </c>
      <c r="G54" s="23">
        <v>18932</v>
      </c>
      <c r="H54" s="23">
        <v>20601</v>
      </c>
      <c r="I54" s="23">
        <v>21720</v>
      </c>
      <c r="J54" s="23">
        <v>22653</v>
      </c>
      <c r="K54" s="103">
        <v>22393</v>
      </c>
      <c r="L54" s="103">
        <v>30254</v>
      </c>
      <c r="M54" s="103">
        <v>29320</v>
      </c>
      <c r="N54" s="103">
        <v>32645</v>
      </c>
      <c r="O54" s="83">
        <f t="shared" si="15"/>
        <v>0.89895875748938403</v>
      </c>
      <c r="P54" s="83">
        <f t="shared" si="16"/>
        <v>0.44108948042201918</v>
      </c>
      <c r="Q54" s="109">
        <f t="shared" si="17"/>
        <v>0.1134038199181446</v>
      </c>
      <c r="R54" s="16">
        <f t="shared" si="18"/>
        <v>0.13438248684784668</v>
      </c>
    </row>
    <row r="55" spans="1:18" x14ac:dyDescent="0.2">
      <c r="A55" s="85" t="s">
        <v>1</v>
      </c>
      <c r="B55" s="85">
        <v>11384</v>
      </c>
      <c r="C55" s="85">
        <v>11877</v>
      </c>
      <c r="D55" s="85">
        <v>13532</v>
      </c>
      <c r="E55" s="85">
        <v>13035</v>
      </c>
      <c r="F55" s="85">
        <v>12944</v>
      </c>
      <c r="G55" s="4">
        <v>14567</v>
      </c>
      <c r="H55" s="4">
        <v>15830</v>
      </c>
      <c r="I55" s="4">
        <v>16338</v>
      </c>
      <c r="J55" s="4">
        <v>16895</v>
      </c>
      <c r="K55" s="4">
        <v>16282</v>
      </c>
      <c r="L55" s="4">
        <v>18284</v>
      </c>
      <c r="M55" s="4">
        <v>17056</v>
      </c>
      <c r="N55" s="4">
        <v>18522</v>
      </c>
      <c r="O55" s="100">
        <f t="shared" si="15"/>
        <v>0.42094361334867664</v>
      </c>
      <c r="P55" s="100">
        <f t="shared" si="16"/>
        <v>9.6300680674755848E-2</v>
      </c>
      <c r="Q55" s="108">
        <f t="shared" si="17"/>
        <v>8.5952157598499057E-2</v>
      </c>
      <c r="R55" s="14">
        <f t="shared" si="18"/>
        <v>7.6245440998493369E-2</v>
      </c>
    </row>
    <row r="56" spans="1:18" x14ac:dyDescent="0.2">
      <c r="A56" s="85" t="s">
        <v>259</v>
      </c>
      <c r="B56" s="85">
        <v>1568</v>
      </c>
      <c r="C56" s="85">
        <v>1478</v>
      </c>
      <c r="D56" s="85">
        <v>1909</v>
      </c>
      <c r="E56" s="85">
        <v>1865</v>
      </c>
      <c r="F56" s="85">
        <v>2099</v>
      </c>
      <c r="G56" s="4">
        <v>2085</v>
      </c>
      <c r="H56" s="4">
        <v>2814</v>
      </c>
      <c r="I56" s="4">
        <v>3018</v>
      </c>
      <c r="J56" s="4">
        <v>2931</v>
      </c>
      <c r="K56" s="4">
        <v>3106</v>
      </c>
      <c r="L56" s="4">
        <v>3417</v>
      </c>
      <c r="M56" s="4">
        <v>3493</v>
      </c>
      <c r="N56" s="4">
        <v>3731</v>
      </c>
      <c r="O56" s="100">
        <f t="shared" si="15"/>
        <v>1.0005361930294907</v>
      </c>
      <c r="P56" s="100">
        <f t="shared" si="16"/>
        <v>0.27294438758103035</v>
      </c>
      <c r="Q56" s="108">
        <f t="shared" si="17"/>
        <v>6.8136272545090179E-2</v>
      </c>
      <c r="R56" s="14">
        <f t="shared" si="18"/>
        <v>1.5358586565456148E-2</v>
      </c>
    </row>
    <row r="57" spans="1:18" x14ac:dyDescent="0.2">
      <c r="A57" s="85" t="s">
        <v>3</v>
      </c>
      <c r="B57" s="85">
        <v>1277</v>
      </c>
      <c r="C57" s="85">
        <v>1787</v>
      </c>
      <c r="D57" s="85">
        <v>2085</v>
      </c>
      <c r="E57" s="85">
        <v>2291</v>
      </c>
      <c r="F57" s="85">
        <v>2351</v>
      </c>
      <c r="G57" s="4">
        <v>2280</v>
      </c>
      <c r="H57" s="4">
        <v>1957</v>
      </c>
      <c r="I57" s="4">
        <v>2364</v>
      </c>
      <c r="J57" s="4">
        <v>2827</v>
      </c>
      <c r="K57" s="4">
        <v>3005</v>
      </c>
      <c r="L57" s="4">
        <v>8553</v>
      </c>
      <c r="M57" s="4">
        <v>8771</v>
      </c>
      <c r="N57" s="4">
        <v>10392</v>
      </c>
      <c r="O57" s="100">
        <f t="shared" si="15"/>
        <v>3.5360104757747708</v>
      </c>
      <c r="P57" s="100">
        <f t="shared" si="16"/>
        <v>2.6759816059426953</v>
      </c>
      <c r="Q57" s="108">
        <f t="shared" si="17"/>
        <v>0.18481359024056551</v>
      </c>
      <c r="R57" s="14">
        <f t="shared" si="18"/>
        <v>4.2778459283897154E-2</v>
      </c>
    </row>
    <row r="58" spans="1:18" x14ac:dyDescent="0.2">
      <c r="A58" s="5" t="s">
        <v>263</v>
      </c>
      <c r="B58" s="5">
        <v>27724</v>
      </c>
      <c r="C58" s="5">
        <v>33093</v>
      </c>
      <c r="D58" s="5">
        <v>37728</v>
      </c>
      <c r="E58" s="5">
        <v>36146</v>
      </c>
      <c r="F58" s="5">
        <v>40462</v>
      </c>
      <c r="G58" s="23">
        <v>46439</v>
      </c>
      <c r="H58" s="23">
        <v>58074</v>
      </c>
      <c r="I58" s="23">
        <v>62886</v>
      </c>
      <c r="J58" s="23">
        <v>65053</v>
      </c>
      <c r="K58" s="23">
        <v>68728</v>
      </c>
      <c r="L58" s="23">
        <v>69553</v>
      </c>
      <c r="M58" s="23">
        <v>74963</v>
      </c>
      <c r="N58" s="23">
        <v>73077</v>
      </c>
      <c r="O58" s="83">
        <f t="shared" si="15"/>
        <v>1.0217174791124883</v>
      </c>
      <c r="P58" s="83">
        <f t="shared" si="16"/>
        <v>0.12334557975804344</v>
      </c>
      <c r="Q58" s="109">
        <f t="shared" si="17"/>
        <v>-2.5159078478716165E-2</v>
      </c>
      <c r="R58" s="16">
        <f t="shared" si="18"/>
        <v>0.30082000279920634</v>
      </c>
    </row>
    <row r="59" spans="1:18" x14ac:dyDescent="0.2">
      <c r="A59" s="85" t="s">
        <v>1</v>
      </c>
      <c r="B59" s="85">
        <v>22862</v>
      </c>
      <c r="C59" s="85">
        <v>25964</v>
      </c>
      <c r="D59" s="85">
        <v>28192</v>
      </c>
      <c r="E59" s="85">
        <v>27615</v>
      </c>
      <c r="F59" s="85">
        <v>30466</v>
      </c>
      <c r="G59" s="4">
        <v>35452</v>
      </c>
      <c r="H59" s="4">
        <v>43463</v>
      </c>
      <c r="I59" s="4">
        <v>48351</v>
      </c>
      <c r="J59" s="4">
        <v>49556</v>
      </c>
      <c r="K59" s="4">
        <v>50572</v>
      </c>
      <c r="L59" s="4">
        <v>51227</v>
      </c>
      <c r="M59" s="4">
        <v>53188</v>
      </c>
      <c r="N59" s="4">
        <v>49500</v>
      </c>
      <c r="O59" s="100">
        <f t="shared" si="15"/>
        <v>0.79250407387289512</v>
      </c>
      <c r="P59" s="100">
        <f t="shared" si="16"/>
        <v>-1.130034708208895E-3</v>
      </c>
      <c r="Q59" s="108">
        <f t="shared" si="17"/>
        <v>-6.9338948635030456E-2</v>
      </c>
      <c r="R59" s="14">
        <f t="shared" si="18"/>
        <v>0.20376575582687731</v>
      </c>
    </row>
    <row r="60" spans="1:18" x14ac:dyDescent="0.2">
      <c r="A60" s="85" t="s">
        <v>259</v>
      </c>
      <c r="B60" s="85">
        <v>2410</v>
      </c>
      <c r="C60" s="85">
        <v>2841</v>
      </c>
      <c r="D60" s="85">
        <v>4371</v>
      </c>
      <c r="E60" s="85">
        <v>3804</v>
      </c>
      <c r="F60" s="85">
        <v>5229</v>
      </c>
      <c r="G60" s="4">
        <v>5523</v>
      </c>
      <c r="H60" s="4">
        <v>6449</v>
      </c>
      <c r="I60" s="4">
        <v>6380</v>
      </c>
      <c r="J60" s="4">
        <v>7281</v>
      </c>
      <c r="K60" s="4">
        <v>7293</v>
      </c>
      <c r="L60" s="4">
        <v>7328</v>
      </c>
      <c r="M60" s="4">
        <v>8592</v>
      </c>
      <c r="N60" s="4">
        <v>8541</v>
      </c>
      <c r="O60" s="100">
        <f t="shared" si="15"/>
        <v>1.2452681388012619</v>
      </c>
      <c r="P60" s="100">
        <f t="shared" si="16"/>
        <v>0.17305315203955501</v>
      </c>
      <c r="Q60" s="108">
        <f t="shared" si="17"/>
        <v>-5.9357541899441339E-3</v>
      </c>
      <c r="R60" s="14">
        <f t="shared" si="18"/>
        <v>3.5158854959946653E-2</v>
      </c>
    </row>
    <row r="61" spans="1:18" x14ac:dyDescent="0.2">
      <c r="A61" s="85" t="s">
        <v>3</v>
      </c>
      <c r="B61" s="85">
        <v>2452</v>
      </c>
      <c r="C61" s="85">
        <v>4288</v>
      </c>
      <c r="D61" s="85">
        <v>5165</v>
      </c>
      <c r="E61" s="85">
        <v>4727</v>
      </c>
      <c r="F61" s="85">
        <v>4767</v>
      </c>
      <c r="G61" s="4">
        <v>5464</v>
      </c>
      <c r="H61" s="4">
        <v>8162</v>
      </c>
      <c r="I61" s="4">
        <v>8155</v>
      </c>
      <c r="J61" s="4">
        <v>8216</v>
      </c>
      <c r="K61" s="4">
        <v>10863</v>
      </c>
      <c r="L61" s="4">
        <v>10998</v>
      </c>
      <c r="M61" s="4">
        <v>13183</v>
      </c>
      <c r="N61" s="4">
        <v>15036</v>
      </c>
      <c r="O61" s="100">
        <f t="shared" si="15"/>
        <v>2.1808758197588323</v>
      </c>
      <c r="P61" s="100">
        <f t="shared" si="16"/>
        <v>0.83008763388510221</v>
      </c>
      <c r="Q61" s="108">
        <f t="shared" si="17"/>
        <v>0.14055981187893499</v>
      </c>
      <c r="R61" s="14">
        <f t="shared" si="18"/>
        <v>6.1895392012382373E-2</v>
      </c>
    </row>
    <row r="62" spans="1:18" x14ac:dyDescent="0.2">
      <c r="A62" s="5" t="s">
        <v>4</v>
      </c>
      <c r="B62" s="5">
        <v>95722</v>
      </c>
      <c r="C62" s="5">
        <f>SUM(C44+C47+C50+C54+C58)</f>
        <v>110574</v>
      </c>
      <c r="D62" s="5">
        <f t="shared" ref="D62:M62" si="19">SUM(D44+D47+D50+D54+D58)</f>
        <v>123970</v>
      </c>
      <c r="E62" s="5">
        <f t="shared" si="19"/>
        <v>118424</v>
      </c>
      <c r="F62" s="5">
        <f t="shared" si="19"/>
        <v>136840</v>
      </c>
      <c r="G62" s="5">
        <f t="shared" si="19"/>
        <v>155595</v>
      </c>
      <c r="H62" s="5">
        <f t="shared" si="19"/>
        <v>181552</v>
      </c>
      <c r="I62" s="5">
        <f t="shared" si="19"/>
        <v>196387</v>
      </c>
      <c r="J62" s="5">
        <f t="shared" si="19"/>
        <v>215029</v>
      </c>
      <c r="K62" s="5">
        <f t="shared" si="19"/>
        <v>228861</v>
      </c>
      <c r="L62" s="5">
        <f t="shared" si="19"/>
        <v>242039</v>
      </c>
      <c r="M62" s="5">
        <f t="shared" si="19"/>
        <v>249047</v>
      </c>
      <c r="N62" s="5">
        <f>SUM(N44+N47+N50+N54+N58)</f>
        <v>242926</v>
      </c>
      <c r="O62" s="83">
        <f t="shared" si="15"/>
        <v>1.0513240559346078</v>
      </c>
      <c r="P62" s="83">
        <f t="shared" si="16"/>
        <v>0.12973598909914477</v>
      </c>
      <c r="Q62" s="109">
        <f t="shared" si="17"/>
        <v>-2.4577690154870366E-2</v>
      </c>
      <c r="R62" s="16">
        <f t="shared" si="18"/>
        <v>1</v>
      </c>
    </row>
    <row r="63" spans="1:18" x14ac:dyDescent="0.2">
      <c r="A63" s="123" t="s">
        <v>373</v>
      </c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</row>
    <row r="64" spans="1:18" x14ac:dyDescent="0.2">
      <c r="A64" s="120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</row>
    <row r="65" spans="1:18" ht="15.75" x14ac:dyDescent="0.2">
      <c r="A65" s="25" t="s">
        <v>230</v>
      </c>
      <c r="B65" s="25"/>
      <c r="C65" s="25"/>
      <c r="D65" s="25"/>
      <c r="E65" s="25"/>
      <c r="F65" s="25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</row>
    <row r="66" spans="1:18" ht="25.5" x14ac:dyDescent="0.2">
      <c r="A66" s="88" t="s">
        <v>247</v>
      </c>
      <c r="B66" s="3">
        <v>2007</v>
      </c>
      <c r="C66" s="3">
        <v>2008</v>
      </c>
      <c r="D66" s="3">
        <v>2009</v>
      </c>
      <c r="E66" s="3">
        <v>2010</v>
      </c>
      <c r="F66" s="3">
        <v>2011</v>
      </c>
      <c r="G66" s="3">
        <v>2012</v>
      </c>
      <c r="H66" s="3">
        <v>2013</v>
      </c>
      <c r="I66" s="3">
        <v>2014</v>
      </c>
      <c r="J66" s="3">
        <v>2015</v>
      </c>
      <c r="K66" s="3">
        <v>2016</v>
      </c>
      <c r="L66" s="3">
        <v>2017</v>
      </c>
      <c r="M66" s="3">
        <v>2018</v>
      </c>
      <c r="N66" s="3">
        <v>2019</v>
      </c>
      <c r="O66" s="13" t="s">
        <v>371</v>
      </c>
      <c r="P66" s="13" t="s">
        <v>372</v>
      </c>
      <c r="Q66" s="13" t="s">
        <v>310</v>
      </c>
      <c r="R66" s="13" t="s">
        <v>311</v>
      </c>
    </row>
    <row r="67" spans="1:18" x14ac:dyDescent="0.2">
      <c r="A67" s="32" t="s">
        <v>228</v>
      </c>
      <c r="B67" s="32">
        <v>51811</v>
      </c>
      <c r="C67" s="32">
        <v>62000</v>
      </c>
      <c r="D67" s="32">
        <v>68071</v>
      </c>
      <c r="E67" s="32">
        <v>64407</v>
      </c>
      <c r="F67" s="32">
        <v>76337</v>
      </c>
      <c r="G67" s="4">
        <v>87547</v>
      </c>
      <c r="H67" s="4">
        <v>102517</v>
      </c>
      <c r="I67" s="4">
        <v>109724</v>
      </c>
      <c r="J67" s="4">
        <v>119629</v>
      </c>
      <c r="K67" s="4">
        <v>129555</v>
      </c>
      <c r="L67" s="4">
        <v>137430</v>
      </c>
      <c r="M67" s="4">
        <v>141201</v>
      </c>
      <c r="N67" s="4">
        <v>138681</v>
      </c>
      <c r="O67" s="100">
        <f>(N67-E67)/E67</f>
        <v>1.1531976337975687</v>
      </c>
      <c r="P67" s="100">
        <f>(N67-J67)/J67</f>
        <v>0.15925904253985237</v>
      </c>
      <c r="Q67" s="108">
        <f>(N67-M67)/M67</f>
        <v>-1.7846899101281153E-2</v>
      </c>
      <c r="R67" s="14">
        <f>N67/N$9</f>
        <v>0.57087755118842776</v>
      </c>
    </row>
    <row r="68" spans="1:18" x14ac:dyDescent="0.2">
      <c r="A68" s="32" t="s">
        <v>229</v>
      </c>
      <c r="B68" s="32">
        <v>43911</v>
      </c>
      <c r="C68" s="32">
        <v>48574</v>
      </c>
      <c r="D68" s="32">
        <v>55899</v>
      </c>
      <c r="E68" s="32">
        <v>54017</v>
      </c>
      <c r="F68" s="32">
        <v>60503</v>
      </c>
      <c r="G68" s="4">
        <v>68048</v>
      </c>
      <c r="H68" s="4">
        <v>79035</v>
      </c>
      <c r="I68" s="4">
        <v>86663</v>
      </c>
      <c r="J68" s="4">
        <v>95400</v>
      </c>
      <c r="K68" s="4">
        <v>99306</v>
      </c>
      <c r="L68" s="4">
        <v>104609</v>
      </c>
      <c r="M68" s="4">
        <v>107846</v>
      </c>
      <c r="N68" s="4">
        <v>104245</v>
      </c>
      <c r="O68" s="100">
        <f t="shared" ref="O68:O69" si="20">(N68-E68)/E68</f>
        <v>0.92985541588759091</v>
      </c>
      <c r="P68" s="100">
        <f t="shared" ref="P68:P69" si="21">(N68-J68)/J68</f>
        <v>9.2714884696016769E-2</v>
      </c>
      <c r="Q68" s="108">
        <f t="shared" ref="Q68:Q69" si="22">(N68-M68)/M68</f>
        <v>-3.3390204550933736E-2</v>
      </c>
      <c r="R68" s="14">
        <f t="shared" ref="R68:R69" si="23">N68/N$9</f>
        <v>0.42912244881157224</v>
      </c>
    </row>
    <row r="69" spans="1:18" x14ac:dyDescent="0.2">
      <c r="A69" s="5" t="s">
        <v>4</v>
      </c>
      <c r="B69" s="5">
        <v>95722</v>
      </c>
      <c r="C69" s="5">
        <v>110574</v>
      </c>
      <c r="D69" s="5">
        <v>123970</v>
      </c>
      <c r="E69" s="5">
        <v>118424</v>
      </c>
      <c r="F69" s="5">
        <v>136840</v>
      </c>
      <c r="G69" s="5">
        <v>155595</v>
      </c>
      <c r="H69" s="5">
        <v>181552</v>
      </c>
      <c r="I69" s="5">
        <v>196387</v>
      </c>
      <c r="J69" s="5">
        <v>215029</v>
      </c>
      <c r="K69" s="5">
        <v>228861</v>
      </c>
      <c r="L69" s="5">
        <v>242039</v>
      </c>
      <c r="M69" s="5">
        <v>249047</v>
      </c>
      <c r="N69" s="5">
        <v>242926</v>
      </c>
      <c r="O69" s="83">
        <f t="shared" si="20"/>
        <v>1.0513240559346078</v>
      </c>
      <c r="P69" s="83">
        <f t="shared" si="21"/>
        <v>0.12973598909914477</v>
      </c>
      <c r="Q69" s="109">
        <f t="shared" si="22"/>
        <v>-2.4577690154870366E-2</v>
      </c>
      <c r="R69" s="16">
        <f t="shared" si="23"/>
        <v>1</v>
      </c>
    </row>
    <row r="70" spans="1:18" x14ac:dyDescent="0.2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</row>
    <row r="71" spans="1:18" ht="15.75" x14ac:dyDescent="0.2">
      <c r="A71" s="25" t="s">
        <v>25</v>
      </c>
      <c r="B71" s="25"/>
      <c r="C71" s="25"/>
      <c r="D71" s="25"/>
      <c r="E71" s="25"/>
      <c r="F71" s="25"/>
      <c r="G71" s="40"/>
    </row>
    <row r="72" spans="1:18" ht="25.5" x14ac:dyDescent="0.2">
      <c r="A72" s="88" t="s">
        <v>26</v>
      </c>
      <c r="B72" s="3">
        <v>2007</v>
      </c>
      <c r="C72" s="3">
        <v>2008</v>
      </c>
      <c r="D72" s="3">
        <v>2009</v>
      </c>
      <c r="E72" s="3">
        <v>2010</v>
      </c>
      <c r="F72" s="3">
        <v>2011</v>
      </c>
      <c r="G72" s="3">
        <v>2012</v>
      </c>
      <c r="H72" s="3">
        <v>2013</v>
      </c>
      <c r="I72" s="3">
        <v>2014</v>
      </c>
      <c r="J72" s="3">
        <v>2015</v>
      </c>
      <c r="K72" s="3">
        <v>2016</v>
      </c>
      <c r="L72" s="3">
        <v>2017</v>
      </c>
      <c r="M72" s="3">
        <v>2018</v>
      </c>
      <c r="N72" s="3">
        <v>2019</v>
      </c>
      <c r="O72" s="13" t="s">
        <v>371</v>
      </c>
      <c r="P72" s="13" t="s">
        <v>372</v>
      </c>
      <c r="Q72" s="13" t="s">
        <v>310</v>
      </c>
      <c r="R72" s="13" t="s">
        <v>311</v>
      </c>
    </row>
    <row r="73" spans="1:18" x14ac:dyDescent="0.2">
      <c r="A73" s="4" t="s">
        <v>27</v>
      </c>
      <c r="B73" s="4">
        <v>69</v>
      </c>
      <c r="C73" s="4">
        <v>821</v>
      </c>
      <c r="D73" s="4">
        <v>678</v>
      </c>
      <c r="E73" s="4">
        <v>81</v>
      </c>
      <c r="F73" s="4">
        <v>133</v>
      </c>
      <c r="G73" s="4">
        <v>170</v>
      </c>
      <c r="H73" s="4">
        <v>226</v>
      </c>
      <c r="I73" s="4">
        <v>318</v>
      </c>
      <c r="J73" s="4">
        <v>425</v>
      </c>
      <c r="K73" s="4">
        <v>500</v>
      </c>
      <c r="L73" s="4">
        <v>620</v>
      </c>
      <c r="M73" s="4">
        <v>536</v>
      </c>
      <c r="N73" s="4">
        <v>379</v>
      </c>
      <c r="O73" s="100">
        <f>(N73-E73)/E73</f>
        <v>3.6790123456790123</v>
      </c>
      <c r="P73" s="100">
        <f>(N73-J73)/J73</f>
        <v>-0.10823529411764705</v>
      </c>
      <c r="Q73" s="108">
        <f>(N73-M73)/M73</f>
        <v>-0.29291044776119401</v>
      </c>
      <c r="R73" s="14">
        <f>N73/N$9</f>
        <v>1.5601458880482122E-3</v>
      </c>
    </row>
    <row r="74" spans="1:18" x14ac:dyDescent="0.2">
      <c r="A74" s="4" t="s">
        <v>28</v>
      </c>
      <c r="B74" s="4">
        <v>36340</v>
      </c>
      <c r="C74" s="4">
        <v>41484</v>
      </c>
      <c r="D74" s="4">
        <v>44886</v>
      </c>
      <c r="E74" s="4">
        <v>43438</v>
      </c>
      <c r="F74" s="4">
        <v>54199</v>
      </c>
      <c r="G74" s="4">
        <v>62868</v>
      </c>
      <c r="H74" s="4">
        <v>71525</v>
      </c>
      <c r="I74" s="4">
        <v>76020</v>
      </c>
      <c r="J74" s="4">
        <v>82303</v>
      </c>
      <c r="K74" s="4">
        <v>85274</v>
      </c>
      <c r="L74" s="4">
        <v>89427</v>
      </c>
      <c r="M74" s="4">
        <v>88468</v>
      </c>
      <c r="N74" s="4">
        <v>86028</v>
      </c>
      <c r="O74" s="100">
        <f t="shared" ref="O74:O79" si="24">(N74-E74)/E74</f>
        <v>0.98047792255628707</v>
      </c>
      <c r="P74" s="100">
        <f t="shared" ref="P74:P80" si="25">(N74-J74)/J74</f>
        <v>4.5259589565386435E-2</v>
      </c>
      <c r="Q74" s="108">
        <f t="shared" ref="Q74:Q80" si="26">(N74-M74)/M74</f>
        <v>-2.7580594113125651E-2</v>
      </c>
      <c r="R74" s="14">
        <f t="shared" ref="R74:R80" si="27">N74/N$9</f>
        <v>0.35413253418736568</v>
      </c>
    </row>
    <row r="75" spans="1:18" x14ac:dyDescent="0.2">
      <c r="A75" s="4" t="s">
        <v>29</v>
      </c>
      <c r="B75" s="4">
        <v>34366</v>
      </c>
      <c r="C75" s="4">
        <v>37544</v>
      </c>
      <c r="D75" s="4">
        <v>41786</v>
      </c>
      <c r="E75" s="4">
        <v>40589</v>
      </c>
      <c r="F75" s="4">
        <v>44176</v>
      </c>
      <c r="G75" s="4">
        <v>49327</v>
      </c>
      <c r="H75" s="4">
        <v>58030</v>
      </c>
      <c r="I75" s="4">
        <v>63598</v>
      </c>
      <c r="J75" s="4">
        <v>69100</v>
      </c>
      <c r="K75" s="4">
        <v>72500</v>
      </c>
      <c r="L75" s="4">
        <v>77000</v>
      </c>
      <c r="M75" s="4">
        <v>78195</v>
      </c>
      <c r="N75" s="4">
        <v>74031</v>
      </c>
      <c r="O75" s="100">
        <f t="shared" si="24"/>
        <v>0.82391781024415478</v>
      </c>
      <c r="P75" s="100">
        <f t="shared" si="25"/>
        <v>7.1360347322720688E-2</v>
      </c>
      <c r="Q75" s="108">
        <f t="shared" si="26"/>
        <v>-5.3251486667945519E-2</v>
      </c>
      <c r="R75" s="14">
        <f t="shared" si="27"/>
        <v>0.3047471246387789</v>
      </c>
    </row>
    <row r="76" spans="1:18" x14ac:dyDescent="0.2">
      <c r="A76" s="4" t="s">
        <v>30</v>
      </c>
      <c r="B76" s="4">
        <v>11497</v>
      </c>
      <c r="C76" s="4">
        <v>13268</v>
      </c>
      <c r="D76" s="4">
        <v>15343</v>
      </c>
      <c r="E76" s="4">
        <v>14670</v>
      </c>
      <c r="F76" s="4">
        <v>16643</v>
      </c>
      <c r="G76" s="4">
        <v>19124</v>
      </c>
      <c r="H76" s="4">
        <v>23473</v>
      </c>
      <c r="I76" s="4">
        <v>26059</v>
      </c>
      <c r="J76" s="4">
        <v>28681</v>
      </c>
      <c r="K76" s="4">
        <v>31701</v>
      </c>
      <c r="L76" s="4">
        <v>33232</v>
      </c>
      <c r="M76" s="4">
        <v>36216</v>
      </c>
      <c r="N76" s="4">
        <v>35678</v>
      </c>
      <c r="O76" s="100">
        <f t="shared" si="24"/>
        <v>1.4320381731424676</v>
      </c>
      <c r="P76" s="100">
        <f t="shared" si="25"/>
        <v>0.2439594156410167</v>
      </c>
      <c r="Q76" s="108">
        <f t="shared" si="26"/>
        <v>-1.4855312569030263E-2</v>
      </c>
      <c r="R76" s="14">
        <f t="shared" si="27"/>
        <v>0.14686777043214805</v>
      </c>
    </row>
    <row r="77" spans="1:18" x14ac:dyDescent="0.2">
      <c r="A77" s="4" t="s">
        <v>31</v>
      </c>
      <c r="B77" s="4">
        <v>5615</v>
      </c>
      <c r="C77" s="4">
        <v>7076</v>
      </c>
      <c r="D77" s="4">
        <v>8779</v>
      </c>
      <c r="E77" s="4">
        <v>8391</v>
      </c>
      <c r="F77" s="4">
        <v>9279</v>
      </c>
      <c r="G77" s="4">
        <v>10503</v>
      </c>
      <c r="H77" s="4">
        <v>12454</v>
      </c>
      <c r="I77" s="4">
        <v>13599</v>
      </c>
      <c r="J77" s="4">
        <v>15180</v>
      </c>
      <c r="K77" s="4">
        <v>17202</v>
      </c>
      <c r="L77" s="4">
        <v>18805</v>
      </c>
      <c r="M77" s="4">
        <v>20899</v>
      </c>
      <c r="N77" s="4">
        <v>21037</v>
      </c>
      <c r="O77" s="100">
        <f t="shared" si="24"/>
        <v>1.5070909307591467</v>
      </c>
      <c r="P77" s="100">
        <f t="shared" si="25"/>
        <v>0.38583662714097494</v>
      </c>
      <c r="Q77" s="108">
        <f t="shared" si="26"/>
        <v>6.6031867553471455E-3</v>
      </c>
      <c r="R77" s="14">
        <f t="shared" si="27"/>
        <v>8.659838798646502E-2</v>
      </c>
    </row>
    <row r="78" spans="1:18" x14ac:dyDescent="0.2">
      <c r="A78" s="4" t="s">
        <v>32</v>
      </c>
      <c r="B78" s="4">
        <v>7501</v>
      </c>
      <c r="C78" s="4">
        <v>10153</v>
      </c>
      <c r="D78" s="4">
        <v>12440</v>
      </c>
      <c r="E78" s="4">
        <v>11174</v>
      </c>
      <c r="F78" s="4">
        <v>12325</v>
      </c>
      <c r="G78" s="4">
        <v>13488</v>
      </c>
      <c r="H78" s="4">
        <v>15723</v>
      </c>
      <c r="I78" s="4">
        <v>16404</v>
      </c>
      <c r="J78" s="4">
        <v>19201</v>
      </c>
      <c r="K78" s="4">
        <v>21679</v>
      </c>
      <c r="L78" s="4">
        <v>22945</v>
      </c>
      <c r="M78" s="4">
        <v>24722</v>
      </c>
      <c r="N78" s="4">
        <v>25764</v>
      </c>
      <c r="O78" s="100">
        <f t="shared" si="24"/>
        <v>1.305709683193127</v>
      </c>
      <c r="P78" s="100">
        <f t="shared" si="25"/>
        <v>0.34180511431696264</v>
      </c>
      <c r="Q78" s="108">
        <f t="shared" si="26"/>
        <v>4.2148693471401988E-2</v>
      </c>
      <c r="R78" s="14">
        <f t="shared" si="27"/>
        <v>0.10605698854795287</v>
      </c>
    </row>
    <row r="79" spans="1:18" x14ac:dyDescent="0.2">
      <c r="A79" s="4" t="s">
        <v>33</v>
      </c>
      <c r="B79" s="4">
        <v>334</v>
      </c>
      <c r="C79" s="4">
        <v>228</v>
      </c>
      <c r="D79" s="4">
        <v>58</v>
      </c>
      <c r="E79" s="4">
        <v>81</v>
      </c>
      <c r="F79" s="4">
        <v>85</v>
      </c>
      <c r="G79" s="4">
        <v>115</v>
      </c>
      <c r="H79" s="4">
        <v>121</v>
      </c>
      <c r="I79" s="4">
        <v>389</v>
      </c>
      <c r="J79" s="4">
        <v>139</v>
      </c>
      <c r="K79" s="4">
        <v>5</v>
      </c>
      <c r="L79" s="4">
        <v>10</v>
      </c>
      <c r="M79" s="4">
        <v>11</v>
      </c>
      <c r="N79" s="4">
        <v>9</v>
      </c>
      <c r="O79" s="100">
        <f t="shared" si="24"/>
        <v>-0.88888888888888884</v>
      </c>
      <c r="P79" s="100">
        <f t="shared" si="25"/>
        <v>-0.93525179856115104</v>
      </c>
      <c r="Q79" s="108">
        <f t="shared" si="26"/>
        <v>-0.18181818181818182</v>
      </c>
      <c r="R79" s="14">
        <f t="shared" si="27"/>
        <v>3.7048319241250421E-5</v>
      </c>
    </row>
    <row r="80" spans="1:18" x14ac:dyDescent="0.2">
      <c r="A80" s="5" t="s">
        <v>4</v>
      </c>
      <c r="B80" s="5">
        <v>95722</v>
      </c>
      <c r="C80" s="5">
        <v>110574</v>
      </c>
      <c r="D80" s="5">
        <v>123970</v>
      </c>
      <c r="E80" s="5">
        <v>118424</v>
      </c>
      <c r="F80" s="5">
        <v>136840</v>
      </c>
      <c r="G80" s="5">
        <v>155595</v>
      </c>
      <c r="H80" s="5">
        <v>181552</v>
      </c>
      <c r="I80" s="5">
        <v>196387</v>
      </c>
      <c r="J80" s="5">
        <v>215029</v>
      </c>
      <c r="K80" s="5">
        <v>228861</v>
      </c>
      <c r="L80" s="5">
        <v>242039</v>
      </c>
      <c r="M80" s="5">
        <v>249047</v>
      </c>
      <c r="N80" s="5">
        <v>242926</v>
      </c>
      <c r="O80" s="83">
        <f>(N80-E80)/E80</f>
        <v>1.0513240559346078</v>
      </c>
      <c r="P80" s="83">
        <f t="shared" si="25"/>
        <v>0.12973598909914477</v>
      </c>
      <c r="Q80" s="109">
        <f t="shared" si="26"/>
        <v>-2.4577690154870366E-2</v>
      </c>
      <c r="R80" s="16">
        <f t="shared" si="27"/>
        <v>1</v>
      </c>
    </row>
    <row r="81" spans="1:19" s="30" customFormat="1" x14ac:dyDescent="0.2">
      <c r="A81" s="79" t="s">
        <v>34</v>
      </c>
      <c r="B81" s="79">
        <v>27.8457877301128</v>
      </c>
      <c r="C81" s="124">
        <v>28.156027404708801</v>
      </c>
      <c r="D81" s="124">
        <v>28.517141050993601</v>
      </c>
      <c r="E81" s="124">
        <v>28.3982060342484</v>
      </c>
      <c r="F81" s="124">
        <v>28.0903593210375</v>
      </c>
      <c r="G81" s="124">
        <v>28.029341394391601</v>
      </c>
      <c r="H81" s="124">
        <v>28.1112709514912</v>
      </c>
      <c r="I81" s="124">
        <v>28.068577230379901</v>
      </c>
      <c r="J81" s="124">
        <v>28.198133928986898</v>
      </c>
      <c r="K81" s="124">
        <v>28.420089488586701</v>
      </c>
      <c r="L81" s="124">
        <v>28.460019253891101</v>
      </c>
      <c r="M81" s="124">
        <v>28.731336031738401</v>
      </c>
      <c r="N81" s="124">
        <v>28.929576769019899</v>
      </c>
      <c r="O81" s="124"/>
      <c r="P81" s="111"/>
      <c r="Q81" s="111"/>
      <c r="R81" s="110"/>
    </row>
    <row r="82" spans="1:19" x14ac:dyDescent="0.2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135">
        <f>SUM(R76:R78)</f>
        <v>0.33952314696656594</v>
      </c>
    </row>
    <row r="83" spans="1:19" ht="15.75" x14ac:dyDescent="0.2">
      <c r="A83" s="25" t="s">
        <v>35</v>
      </c>
      <c r="B83" s="25"/>
      <c r="C83" s="25"/>
      <c r="D83" s="25"/>
      <c r="E83" s="25"/>
      <c r="F83" s="25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91"/>
    </row>
    <row r="84" spans="1:19" ht="25.5" x14ac:dyDescent="0.2">
      <c r="A84" s="88" t="s">
        <v>9</v>
      </c>
      <c r="B84" s="3">
        <v>2007</v>
      </c>
      <c r="C84" s="3">
        <v>2008</v>
      </c>
      <c r="D84" s="3">
        <v>2009</v>
      </c>
      <c r="E84" s="3">
        <v>2010</v>
      </c>
      <c r="F84" s="3">
        <v>2011</v>
      </c>
      <c r="G84" s="3">
        <v>2012</v>
      </c>
      <c r="H84" s="3">
        <v>2013</v>
      </c>
      <c r="I84" s="3">
        <v>2014</v>
      </c>
      <c r="J84" s="3">
        <v>2015</v>
      </c>
      <c r="K84" s="3">
        <v>2016</v>
      </c>
      <c r="L84" s="3">
        <v>2017</v>
      </c>
      <c r="M84" s="3">
        <v>2018</v>
      </c>
      <c r="N84" s="3">
        <v>2019</v>
      </c>
      <c r="O84" s="13" t="s">
        <v>371</v>
      </c>
      <c r="P84" s="13" t="s">
        <v>372</v>
      </c>
      <c r="Q84" s="13" t="s">
        <v>310</v>
      </c>
      <c r="R84" s="13" t="s">
        <v>311</v>
      </c>
    </row>
    <row r="85" spans="1:19" x14ac:dyDescent="0.2">
      <c r="A85" s="4" t="s">
        <v>272</v>
      </c>
      <c r="B85" s="4">
        <v>1715</v>
      </c>
      <c r="C85" s="4">
        <v>1793</v>
      </c>
      <c r="D85" s="4">
        <v>1952</v>
      </c>
      <c r="E85" s="4">
        <v>1877</v>
      </c>
      <c r="F85" s="4">
        <v>2083</v>
      </c>
      <c r="G85" s="18">
        <v>2082</v>
      </c>
      <c r="H85" s="18">
        <v>2367</v>
      </c>
      <c r="I85" s="18">
        <v>2776</v>
      </c>
      <c r="J85" s="18">
        <v>2577</v>
      </c>
      <c r="K85" s="18">
        <v>2518</v>
      </c>
      <c r="L85" s="18">
        <v>2759</v>
      </c>
      <c r="M85" s="4">
        <v>3108</v>
      </c>
      <c r="N85" s="4">
        <v>2748</v>
      </c>
      <c r="O85" s="100">
        <f>(N85-E85)/E85</f>
        <v>0.4640383590836441</v>
      </c>
      <c r="P85" s="100">
        <f>(N85-J85)/J85</f>
        <v>6.6356228172293363E-2</v>
      </c>
      <c r="Q85" s="108">
        <f>(N85-M85)/M85</f>
        <v>-0.11583011583011583</v>
      </c>
      <c r="R85" s="14">
        <f>N85/N$9</f>
        <v>1.1312086808328462E-2</v>
      </c>
    </row>
    <row r="86" spans="1:19" x14ac:dyDescent="0.2">
      <c r="A86" s="4" t="s">
        <v>273</v>
      </c>
      <c r="B86" s="4">
        <v>1114</v>
      </c>
      <c r="C86" s="4">
        <v>1474</v>
      </c>
      <c r="D86" s="4">
        <v>1410</v>
      </c>
      <c r="E86" s="4">
        <v>1312</v>
      </c>
      <c r="F86" s="4">
        <v>1532</v>
      </c>
      <c r="G86" s="18">
        <v>1593</v>
      </c>
      <c r="H86" s="18">
        <v>1910</v>
      </c>
      <c r="I86" s="18">
        <v>2207</v>
      </c>
      <c r="J86" s="18">
        <v>2547</v>
      </c>
      <c r="K86" s="18">
        <v>2539</v>
      </c>
      <c r="L86" s="18">
        <v>2878</v>
      </c>
      <c r="M86" s="4">
        <v>3384</v>
      </c>
      <c r="N86" s="4">
        <v>2941</v>
      </c>
      <c r="O86" s="100">
        <f t="shared" ref="O86:O100" si="28">(N86-E86)/E86</f>
        <v>1.2416158536585367</v>
      </c>
      <c r="P86" s="100">
        <f t="shared" ref="P86:P100" si="29">(N86-J86)/J86</f>
        <v>0.154691794267766</v>
      </c>
      <c r="Q86" s="108">
        <f t="shared" ref="Q86:Q100" si="30">(N86-M86)/M86</f>
        <v>-0.13091016548463358</v>
      </c>
      <c r="R86" s="14">
        <f t="shared" ref="R86:R101" si="31">N86/N$9</f>
        <v>1.21065674320575E-2</v>
      </c>
    </row>
    <row r="87" spans="1:19" x14ac:dyDescent="0.2">
      <c r="A87" s="4" t="s">
        <v>274</v>
      </c>
      <c r="B87" s="4">
        <v>3411</v>
      </c>
      <c r="C87" s="4">
        <v>3543</v>
      </c>
      <c r="D87" s="4">
        <v>4209</v>
      </c>
      <c r="E87" s="4">
        <v>4051</v>
      </c>
      <c r="F87" s="4">
        <v>4368</v>
      </c>
      <c r="G87" s="18">
        <v>5182</v>
      </c>
      <c r="H87" s="18">
        <v>6105</v>
      </c>
      <c r="I87" s="18">
        <v>6595</v>
      </c>
      <c r="J87" s="18">
        <v>8257</v>
      </c>
      <c r="K87" s="18">
        <v>7574</v>
      </c>
      <c r="L87" s="18">
        <v>7135</v>
      </c>
      <c r="M87" s="4">
        <v>7541</v>
      </c>
      <c r="N87" s="4">
        <v>7050</v>
      </c>
      <c r="O87" s="100">
        <f t="shared" si="28"/>
        <v>0.74031103431251544</v>
      </c>
      <c r="P87" s="100">
        <f t="shared" si="29"/>
        <v>-0.14617899963667191</v>
      </c>
      <c r="Q87" s="108">
        <f t="shared" si="30"/>
        <v>-6.511072802015648E-2</v>
      </c>
      <c r="R87" s="14">
        <f t="shared" si="31"/>
        <v>2.9021183405646165E-2</v>
      </c>
    </row>
    <row r="88" spans="1:19" x14ac:dyDescent="0.2">
      <c r="A88" s="4" t="s">
        <v>275</v>
      </c>
      <c r="B88" s="4">
        <v>663</v>
      </c>
      <c r="C88" s="4">
        <v>739</v>
      </c>
      <c r="D88" s="4">
        <v>950</v>
      </c>
      <c r="E88" s="4">
        <v>1074</v>
      </c>
      <c r="F88" s="4">
        <v>831</v>
      </c>
      <c r="G88" s="18">
        <v>1062</v>
      </c>
      <c r="H88" s="18">
        <v>1177</v>
      </c>
      <c r="I88" s="18">
        <v>1370</v>
      </c>
      <c r="J88" s="18">
        <v>1587</v>
      </c>
      <c r="K88" s="18">
        <v>1924</v>
      </c>
      <c r="L88" s="18">
        <v>2028</v>
      </c>
      <c r="M88" s="4">
        <v>1879</v>
      </c>
      <c r="N88" s="4">
        <v>2120</v>
      </c>
      <c r="O88" s="100">
        <f t="shared" si="28"/>
        <v>0.97392923649906893</v>
      </c>
      <c r="P88" s="100">
        <f t="shared" si="29"/>
        <v>0.33585381222432265</v>
      </c>
      <c r="Q88" s="108">
        <f t="shared" si="30"/>
        <v>0.12825971261309208</v>
      </c>
      <c r="R88" s="14">
        <f t="shared" si="31"/>
        <v>8.7269374212723214E-3</v>
      </c>
    </row>
    <row r="89" spans="1:19" x14ac:dyDescent="0.2">
      <c r="A89" s="4" t="s">
        <v>276</v>
      </c>
      <c r="B89" s="4">
        <v>2934</v>
      </c>
      <c r="C89" s="4">
        <v>4107</v>
      </c>
      <c r="D89" s="4">
        <v>3732</v>
      </c>
      <c r="E89" s="4">
        <v>3374</v>
      </c>
      <c r="F89" s="4">
        <v>3634</v>
      </c>
      <c r="G89" s="18">
        <v>4449</v>
      </c>
      <c r="H89" s="18">
        <v>6011</v>
      </c>
      <c r="I89" s="18">
        <v>5967</v>
      </c>
      <c r="J89" s="18">
        <v>6371</v>
      </c>
      <c r="K89" s="18">
        <v>7044</v>
      </c>
      <c r="L89" s="18">
        <v>7502</v>
      </c>
      <c r="M89" s="4">
        <v>8259</v>
      </c>
      <c r="N89" s="4">
        <v>8445</v>
      </c>
      <c r="O89" s="100">
        <f t="shared" si="28"/>
        <v>1.502963841138115</v>
      </c>
      <c r="P89" s="100">
        <f t="shared" si="29"/>
        <v>0.32553759221472295</v>
      </c>
      <c r="Q89" s="108">
        <f t="shared" si="30"/>
        <v>2.2520886305848167E-2</v>
      </c>
      <c r="R89" s="14">
        <f t="shared" si="31"/>
        <v>3.4763672888039977E-2</v>
      </c>
    </row>
    <row r="90" spans="1:19" x14ac:dyDescent="0.2">
      <c r="A90" s="4" t="s">
        <v>277</v>
      </c>
      <c r="B90" s="4">
        <v>11130</v>
      </c>
      <c r="C90" s="4">
        <v>12306</v>
      </c>
      <c r="D90" s="4">
        <v>13938</v>
      </c>
      <c r="E90" s="4">
        <v>12498</v>
      </c>
      <c r="F90" s="4">
        <v>14054</v>
      </c>
      <c r="G90" s="18">
        <v>17564</v>
      </c>
      <c r="H90" s="18">
        <v>18988</v>
      </c>
      <c r="I90" s="18">
        <v>21069</v>
      </c>
      <c r="J90" s="18">
        <v>22728</v>
      </c>
      <c r="K90" s="18">
        <v>23596</v>
      </c>
      <c r="L90" s="18">
        <v>24888</v>
      </c>
      <c r="M90" s="4">
        <v>24067</v>
      </c>
      <c r="N90" s="4">
        <v>22964</v>
      </c>
      <c r="O90" s="100">
        <f t="shared" si="28"/>
        <v>0.83741398623779806</v>
      </c>
      <c r="P90" s="100">
        <f t="shared" si="29"/>
        <v>1.0383667722632876E-2</v>
      </c>
      <c r="Q90" s="108">
        <f t="shared" si="30"/>
        <v>-4.58303901608011E-2</v>
      </c>
      <c r="R90" s="14">
        <f t="shared" si="31"/>
        <v>9.4530844784008305E-2</v>
      </c>
    </row>
    <row r="91" spans="1:19" x14ac:dyDescent="0.2">
      <c r="A91" s="32" t="s">
        <v>289</v>
      </c>
      <c r="B91" s="32">
        <v>47745</v>
      </c>
      <c r="C91" s="32">
        <v>53532</v>
      </c>
      <c r="D91" s="32">
        <v>60890</v>
      </c>
      <c r="E91" s="32">
        <v>60965</v>
      </c>
      <c r="F91" s="32">
        <v>70446</v>
      </c>
      <c r="G91" s="18">
        <v>77934</v>
      </c>
      <c r="H91" s="18">
        <v>91169</v>
      </c>
      <c r="I91" s="18">
        <v>96617</v>
      </c>
      <c r="J91" s="18">
        <v>104333</v>
      </c>
      <c r="K91" s="18">
        <v>112096</v>
      </c>
      <c r="L91" s="18">
        <v>121361</v>
      </c>
      <c r="M91" s="32">
        <v>125309</v>
      </c>
      <c r="N91" s="32">
        <v>125348</v>
      </c>
      <c r="O91" s="100">
        <f t="shared" si="28"/>
        <v>1.0560649553022226</v>
      </c>
      <c r="P91" s="100">
        <f t="shared" si="29"/>
        <v>0.20142236876156153</v>
      </c>
      <c r="Q91" s="108">
        <f t="shared" si="30"/>
        <v>3.1123063786320216E-4</v>
      </c>
      <c r="R91" s="14">
        <f t="shared" si="31"/>
        <v>0.51599252447247312</v>
      </c>
    </row>
    <row r="92" spans="1:19" x14ac:dyDescent="0.2">
      <c r="A92" s="4" t="s">
        <v>278</v>
      </c>
      <c r="B92" s="4">
        <v>1681</v>
      </c>
      <c r="C92" s="4">
        <v>2256</v>
      </c>
      <c r="D92" s="4">
        <v>2390</v>
      </c>
      <c r="E92" s="4">
        <v>2332</v>
      </c>
      <c r="F92" s="4">
        <v>3384</v>
      </c>
      <c r="G92" s="18">
        <v>3823</v>
      </c>
      <c r="H92" s="18">
        <v>4631</v>
      </c>
      <c r="I92" s="18">
        <v>5228</v>
      </c>
      <c r="J92" s="18">
        <v>6356</v>
      </c>
      <c r="K92" s="18">
        <v>7107</v>
      </c>
      <c r="L92" s="18">
        <v>6714</v>
      </c>
      <c r="M92" s="4">
        <v>6519</v>
      </c>
      <c r="N92" s="4">
        <v>6303</v>
      </c>
      <c r="O92" s="100">
        <f t="shared" si="28"/>
        <v>1.7028301886792452</v>
      </c>
      <c r="P92" s="100">
        <f t="shared" si="29"/>
        <v>-8.3385777218376346E-3</v>
      </c>
      <c r="Q92" s="108">
        <f t="shared" si="30"/>
        <v>-3.3133916244822828E-2</v>
      </c>
      <c r="R92" s="14">
        <f t="shared" si="31"/>
        <v>2.5946172908622379E-2</v>
      </c>
    </row>
    <row r="93" spans="1:19" x14ac:dyDescent="0.2">
      <c r="A93" s="4" t="s">
        <v>279</v>
      </c>
      <c r="B93" s="4">
        <v>3159</v>
      </c>
      <c r="C93" s="4">
        <v>4433</v>
      </c>
      <c r="D93" s="4">
        <v>6241</v>
      </c>
      <c r="E93" s="4">
        <v>4355</v>
      </c>
      <c r="F93" s="4">
        <v>5147</v>
      </c>
      <c r="G93" s="18">
        <v>6666</v>
      </c>
      <c r="H93" s="18">
        <v>7547</v>
      </c>
      <c r="I93" s="18">
        <v>8307</v>
      </c>
      <c r="J93" s="18">
        <v>9210</v>
      </c>
      <c r="K93" s="18">
        <v>9943</v>
      </c>
      <c r="L93" s="18">
        <v>10087</v>
      </c>
      <c r="M93" s="4">
        <v>10470</v>
      </c>
      <c r="N93" s="4">
        <v>10073</v>
      </c>
      <c r="O93" s="100">
        <f t="shared" si="28"/>
        <v>1.3129735935706084</v>
      </c>
      <c r="P93" s="100">
        <f t="shared" si="29"/>
        <v>9.3702497285559169E-2</v>
      </c>
      <c r="Q93" s="108">
        <f t="shared" si="30"/>
        <v>-3.7917860553963706E-2</v>
      </c>
      <c r="R93" s="14">
        <f t="shared" si="31"/>
        <v>4.1465302190790608E-2</v>
      </c>
    </row>
    <row r="94" spans="1:19" x14ac:dyDescent="0.2">
      <c r="A94" s="4" t="s">
        <v>295</v>
      </c>
      <c r="B94" s="4">
        <v>1879</v>
      </c>
      <c r="C94" s="4">
        <v>2047</v>
      </c>
      <c r="D94" s="4">
        <v>2519</v>
      </c>
      <c r="E94" s="4">
        <v>2195</v>
      </c>
      <c r="F94" s="4">
        <v>3085</v>
      </c>
      <c r="G94" s="18">
        <v>3369</v>
      </c>
      <c r="H94" s="18">
        <v>4214</v>
      </c>
      <c r="I94" s="18">
        <v>4400</v>
      </c>
      <c r="J94" s="18">
        <v>4849</v>
      </c>
      <c r="K94" s="18">
        <v>5102</v>
      </c>
      <c r="L94" s="18">
        <v>5248</v>
      </c>
      <c r="M94" s="4">
        <v>5723</v>
      </c>
      <c r="N94" s="4">
        <v>4790</v>
      </c>
      <c r="O94" s="100">
        <f t="shared" si="28"/>
        <v>1.1822323462414579</v>
      </c>
      <c r="P94" s="100">
        <f t="shared" si="29"/>
        <v>-1.2167457207671685E-2</v>
      </c>
      <c r="Q94" s="108">
        <f t="shared" si="30"/>
        <v>-0.16302638476323605</v>
      </c>
      <c r="R94" s="14">
        <f t="shared" si="31"/>
        <v>1.9717938796176615E-2</v>
      </c>
    </row>
    <row r="95" spans="1:19" x14ac:dyDescent="0.2">
      <c r="A95" s="4" t="s">
        <v>280</v>
      </c>
      <c r="B95" s="4">
        <v>10838</v>
      </c>
      <c r="C95" s="4">
        <v>13081</v>
      </c>
      <c r="D95" s="4">
        <v>12853</v>
      </c>
      <c r="E95" s="4">
        <v>12302</v>
      </c>
      <c r="F95" s="4">
        <v>14464</v>
      </c>
      <c r="G95" s="18">
        <v>16789</v>
      </c>
      <c r="H95" s="18">
        <v>20408</v>
      </c>
      <c r="I95" s="18">
        <v>22168</v>
      </c>
      <c r="J95" s="18">
        <v>24407</v>
      </c>
      <c r="K95" s="18">
        <v>25110</v>
      </c>
      <c r="L95" s="18">
        <v>26093</v>
      </c>
      <c r="M95" s="4">
        <v>26823</v>
      </c>
      <c r="N95" s="4">
        <v>25606</v>
      </c>
      <c r="O95" s="100">
        <f t="shared" si="28"/>
        <v>1.0814501707039506</v>
      </c>
      <c r="P95" s="100">
        <f t="shared" si="29"/>
        <v>4.9125250952595567E-2</v>
      </c>
      <c r="Q95" s="108">
        <f t="shared" si="30"/>
        <v>-4.5371509525407298E-2</v>
      </c>
      <c r="R95" s="14">
        <f t="shared" si="31"/>
        <v>0.10540658472127315</v>
      </c>
    </row>
    <row r="96" spans="1:19" x14ac:dyDescent="0.2">
      <c r="A96" s="4" t="s">
        <v>281</v>
      </c>
      <c r="B96" s="4">
        <v>4745</v>
      </c>
      <c r="C96" s="4">
        <v>5806</v>
      </c>
      <c r="D96" s="4">
        <v>5892</v>
      </c>
      <c r="E96" s="4">
        <v>5914</v>
      </c>
      <c r="F96" s="4">
        <v>6355</v>
      </c>
      <c r="G96" s="18">
        <v>6812</v>
      </c>
      <c r="H96" s="18">
        <v>7750</v>
      </c>
      <c r="I96" s="18">
        <v>9359</v>
      </c>
      <c r="J96" s="18">
        <v>10213</v>
      </c>
      <c r="K96" s="18">
        <v>11370</v>
      </c>
      <c r="L96" s="18">
        <v>10867</v>
      </c>
      <c r="M96" s="4">
        <v>11190</v>
      </c>
      <c r="N96" s="4">
        <v>11029</v>
      </c>
      <c r="O96" s="100">
        <f t="shared" si="28"/>
        <v>0.86489685492052759</v>
      </c>
      <c r="P96" s="100">
        <f t="shared" si="29"/>
        <v>7.9898169000293742E-2</v>
      </c>
      <c r="Q96" s="108">
        <f t="shared" si="30"/>
        <v>-1.4387846291331547E-2</v>
      </c>
      <c r="R96" s="14">
        <f t="shared" si="31"/>
        <v>4.5400656990194542E-2</v>
      </c>
    </row>
    <row r="97" spans="1:18" x14ac:dyDescent="0.2">
      <c r="A97" s="4" t="s">
        <v>282</v>
      </c>
      <c r="B97" s="4">
        <v>1633</v>
      </c>
      <c r="C97" s="4">
        <v>1778</v>
      </c>
      <c r="D97" s="4">
        <v>2303</v>
      </c>
      <c r="E97" s="4">
        <v>1832</v>
      </c>
      <c r="F97" s="4">
        <v>2311</v>
      </c>
      <c r="G97" s="18">
        <v>2256</v>
      </c>
      <c r="H97" s="18">
        <v>2754</v>
      </c>
      <c r="I97" s="18">
        <v>3063</v>
      </c>
      <c r="J97" s="18">
        <v>3308</v>
      </c>
      <c r="K97" s="18">
        <v>3487</v>
      </c>
      <c r="L97" s="18">
        <v>3828</v>
      </c>
      <c r="M97" s="4">
        <v>3765</v>
      </c>
      <c r="N97" s="4">
        <v>4083</v>
      </c>
      <c r="O97" s="100">
        <f t="shared" si="28"/>
        <v>1.2287117903930131</v>
      </c>
      <c r="P97" s="100">
        <f t="shared" si="29"/>
        <v>0.23428053204353083</v>
      </c>
      <c r="Q97" s="108">
        <f t="shared" si="30"/>
        <v>8.4462151394422313E-2</v>
      </c>
      <c r="R97" s="14">
        <f t="shared" si="31"/>
        <v>1.6807587495780606E-2</v>
      </c>
    </row>
    <row r="98" spans="1:18" x14ac:dyDescent="0.2">
      <c r="A98" s="4" t="s">
        <v>283</v>
      </c>
      <c r="B98" s="4">
        <v>2185</v>
      </c>
      <c r="C98" s="4">
        <v>2773</v>
      </c>
      <c r="D98" s="4">
        <v>3463</v>
      </c>
      <c r="E98" s="4">
        <v>3326</v>
      </c>
      <c r="F98" s="4">
        <v>3838</v>
      </c>
      <c r="G98" s="18">
        <v>4839</v>
      </c>
      <c r="H98" s="18">
        <v>5096</v>
      </c>
      <c r="I98" s="18">
        <v>5615</v>
      </c>
      <c r="J98" s="18">
        <v>6475</v>
      </c>
      <c r="K98" s="18">
        <v>7804</v>
      </c>
      <c r="L98" s="18">
        <v>8593</v>
      </c>
      <c r="M98" s="4">
        <v>8857</v>
      </c>
      <c r="N98" s="4">
        <v>7818</v>
      </c>
      <c r="O98" s="100">
        <f t="shared" si="28"/>
        <v>1.3505712567648827</v>
      </c>
      <c r="P98" s="100">
        <f t="shared" si="29"/>
        <v>0.20741312741312742</v>
      </c>
      <c r="Q98" s="108">
        <f t="shared" si="30"/>
        <v>-0.11730834368296263</v>
      </c>
      <c r="R98" s="14">
        <f t="shared" si="31"/>
        <v>3.2182639980899534E-2</v>
      </c>
    </row>
    <row r="99" spans="1:18" x14ac:dyDescent="0.2">
      <c r="A99" s="4" t="s">
        <v>284</v>
      </c>
      <c r="B99" s="4">
        <v>157</v>
      </c>
      <c r="C99" s="4">
        <v>133</v>
      </c>
      <c r="D99" s="4">
        <v>199</v>
      </c>
      <c r="E99" s="4">
        <v>265</v>
      </c>
      <c r="F99" s="4">
        <v>223</v>
      </c>
      <c r="G99" s="18">
        <v>173</v>
      </c>
      <c r="H99" s="18">
        <v>211</v>
      </c>
      <c r="I99" s="18">
        <v>408</v>
      </c>
      <c r="J99" s="18">
        <v>402</v>
      </c>
      <c r="K99" s="18">
        <v>446</v>
      </c>
      <c r="L99" s="18">
        <v>553</v>
      </c>
      <c r="M99" s="4">
        <v>580</v>
      </c>
      <c r="N99" s="4">
        <v>496</v>
      </c>
      <c r="O99" s="100">
        <f t="shared" si="28"/>
        <v>0.8716981132075472</v>
      </c>
      <c r="P99" s="100">
        <f t="shared" si="29"/>
        <v>0.23383084577114427</v>
      </c>
      <c r="Q99" s="108">
        <f t="shared" si="30"/>
        <v>-0.14482758620689656</v>
      </c>
      <c r="R99" s="14">
        <f t="shared" si="31"/>
        <v>2.0417740381844678E-3</v>
      </c>
    </row>
    <row r="100" spans="1:18" x14ac:dyDescent="0.2">
      <c r="A100" s="4" t="s">
        <v>285</v>
      </c>
      <c r="B100" s="4">
        <v>733</v>
      </c>
      <c r="C100" s="4">
        <v>773</v>
      </c>
      <c r="D100" s="4">
        <v>1029</v>
      </c>
      <c r="E100" s="4">
        <v>752</v>
      </c>
      <c r="F100" s="4">
        <v>1085</v>
      </c>
      <c r="G100" s="18">
        <v>1002</v>
      </c>
      <c r="H100" s="18">
        <v>1214</v>
      </c>
      <c r="I100" s="18">
        <v>1238</v>
      </c>
      <c r="J100" s="18">
        <v>1409</v>
      </c>
      <c r="K100" s="18">
        <v>1201</v>
      </c>
      <c r="L100" s="18">
        <v>1505</v>
      </c>
      <c r="M100" s="4">
        <v>1573</v>
      </c>
      <c r="N100" s="4">
        <v>1112</v>
      </c>
      <c r="O100" s="100">
        <f t="shared" si="28"/>
        <v>0.47872340425531917</v>
      </c>
      <c r="P100" s="100">
        <f t="shared" si="29"/>
        <v>-0.21078779276082327</v>
      </c>
      <c r="Q100" s="108">
        <f t="shared" si="30"/>
        <v>-0.29307056579783852</v>
      </c>
      <c r="R100" s="14">
        <f t="shared" si="31"/>
        <v>4.5775256662522745E-3</v>
      </c>
    </row>
    <row r="101" spans="1:18" x14ac:dyDescent="0.2">
      <c r="A101" s="5" t="s">
        <v>4</v>
      </c>
      <c r="B101" s="5">
        <v>95722</v>
      </c>
      <c r="C101" s="5">
        <v>110574</v>
      </c>
      <c r="D101" s="5">
        <v>123970</v>
      </c>
      <c r="E101" s="5">
        <v>118424</v>
      </c>
      <c r="F101" s="5">
        <v>136840</v>
      </c>
      <c r="G101" s="5">
        <v>155595</v>
      </c>
      <c r="H101" s="5">
        <v>181552</v>
      </c>
      <c r="I101" s="5">
        <v>196387</v>
      </c>
      <c r="J101" s="5">
        <v>215029</v>
      </c>
      <c r="K101" s="5">
        <v>228861</v>
      </c>
      <c r="L101" s="5">
        <v>242039</v>
      </c>
      <c r="M101" s="5">
        <v>249047</v>
      </c>
      <c r="N101" s="5">
        <v>242926</v>
      </c>
      <c r="O101" s="83">
        <f>(N101-E101)/E101</f>
        <v>1.0513240559346078</v>
      </c>
      <c r="P101" s="83">
        <f>(N101-J101)/J101</f>
        <v>0.12973598909914477</v>
      </c>
      <c r="Q101" s="109">
        <f>(N101-M101)/M101</f>
        <v>-2.4577690154870366E-2</v>
      </c>
      <c r="R101" s="16">
        <f t="shared" si="31"/>
        <v>1</v>
      </c>
    </row>
    <row r="102" spans="1:18" x14ac:dyDescent="0.2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</row>
    <row r="103" spans="1:18" ht="15.75" x14ac:dyDescent="0.2">
      <c r="A103" s="25" t="s">
        <v>380</v>
      </c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</row>
    <row r="104" spans="1:18" ht="25.5" x14ac:dyDescent="0.2">
      <c r="A104" s="88" t="s">
        <v>42</v>
      </c>
      <c r="B104" s="3">
        <v>2007</v>
      </c>
      <c r="C104" s="3">
        <v>2008</v>
      </c>
      <c r="D104" s="3">
        <v>2009</v>
      </c>
      <c r="E104" s="3">
        <v>2010</v>
      </c>
      <c r="F104" s="3">
        <v>2011</v>
      </c>
      <c r="G104" s="3">
        <v>2012</v>
      </c>
      <c r="H104" s="3">
        <v>2013</v>
      </c>
      <c r="I104" s="3">
        <v>2014</v>
      </c>
      <c r="J104" s="3">
        <v>2015</v>
      </c>
      <c r="K104" s="3">
        <v>2016</v>
      </c>
      <c r="L104" s="3">
        <v>2017</v>
      </c>
      <c r="M104" s="3">
        <v>2018</v>
      </c>
      <c r="N104" s="3">
        <v>2019</v>
      </c>
      <c r="O104" s="13" t="s">
        <v>371</v>
      </c>
      <c r="P104" s="13" t="s">
        <v>372</v>
      </c>
      <c r="Q104" s="13" t="s">
        <v>310</v>
      </c>
      <c r="R104" s="13" t="s">
        <v>311</v>
      </c>
    </row>
    <row r="105" spans="1:18" x14ac:dyDescent="0.2">
      <c r="A105" s="4" t="s">
        <v>43</v>
      </c>
      <c r="B105" s="4">
        <v>70046</v>
      </c>
      <c r="C105" s="4">
        <v>81587</v>
      </c>
      <c r="D105" s="4">
        <v>85464</v>
      </c>
      <c r="E105" s="4">
        <v>81201</v>
      </c>
      <c r="F105" s="4">
        <v>90495</v>
      </c>
      <c r="G105" s="4">
        <v>102808</v>
      </c>
      <c r="H105" s="4">
        <v>114603</v>
      </c>
      <c r="I105" s="4">
        <v>121290</v>
      </c>
      <c r="J105" s="4">
        <v>128892</v>
      </c>
      <c r="K105" s="4">
        <v>135783</v>
      </c>
      <c r="L105" s="4">
        <v>144150</v>
      </c>
      <c r="M105" s="4">
        <v>142410</v>
      </c>
      <c r="N105" s="4">
        <v>141503</v>
      </c>
      <c r="O105" s="100">
        <f>(N105-E105)/E105</f>
        <v>0.74262632233593184</v>
      </c>
      <c r="P105" s="100">
        <f>(N105-J105)/J105</f>
        <v>9.7841603823355994E-2</v>
      </c>
      <c r="Q105" s="108">
        <f>(N105-M105)/M105</f>
        <v>-6.3689347658170076E-3</v>
      </c>
      <c r="R105" s="14">
        <f>N105/N$9</f>
        <v>0.58249425751051764</v>
      </c>
    </row>
    <row r="106" spans="1:18" x14ac:dyDescent="0.2">
      <c r="A106" s="4" t="s">
        <v>44</v>
      </c>
      <c r="B106" s="4">
        <v>23411</v>
      </c>
      <c r="C106" s="4">
        <v>26071</v>
      </c>
      <c r="D106" s="4">
        <v>33605</v>
      </c>
      <c r="E106" s="4">
        <v>32855</v>
      </c>
      <c r="F106" s="4">
        <v>39807</v>
      </c>
      <c r="G106" s="4">
        <v>47342</v>
      </c>
      <c r="H106" s="4">
        <v>57829</v>
      </c>
      <c r="I106" s="4">
        <v>64811</v>
      </c>
      <c r="J106" s="4">
        <v>72368</v>
      </c>
      <c r="K106" s="4">
        <v>74025</v>
      </c>
      <c r="L106" s="4">
        <v>79028</v>
      </c>
      <c r="M106" s="4">
        <v>82162</v>
      </c>
      <c r="N106" s="4">
        <v>72871</v>
      </c>
      <c r="O106" s="100">
        <f t="shared" ref="O106:O109" si="32">(N106-E106)/E106</f>
        <v>1.2179576928930147</v>
      </c>
      <c r="P106" s="100">
        <f t="shared" ref="P106:P110" si="33">(N106-J106)/J106</f>
        <v>6.9505858943179309E-3</v>
      </c>
      <c r="Q106" s="108">
        <f t="shared" ref="Q106:Q110" si="34">(N106-M106)/M106</f>
        <v>-0.11308147318711813</v>
      </c>
      <c r="R106" s="14">
        <f t="shared" ref="R106:R110" si="35">N106/N$9</f>
        <v>0.2999720079365733</v>
      </c>
    </row>
    <row r="107" spans="1:18" x14ac:dyDescent="0.2">
      <c r="A107" s="4" t="s">
        <v>251</v>
      </c>
      <c r="B107" s="4">
        <v>887</v>
      </c>
      <c r="C107" s="4">
        <v>1037</v>
      </c>
      <c r="D107" s="4">
        <v>2210</v>
      </c>
      <c r="E107" s="4">
        <v>1318</v>
      </c>
      <c r="F107" s="4">
        <v>1301</v>
      </c>
      <c r="G107" s="4">
        <v>2339</v>
      </c>
      <c r="H107" s="4">
        <v>4722</v>
      </c>
      <c r="I107" s="4">
        <v>4612</v>
      </c>
      <c r="J107" s="4">
        <v>6356</v>
      </c>
      <c r="K107" s="4">
        <v>9694</v>
      </c>
      <c r="L107" s="4">
        <v>9195</v>
      </c>
      <c r="M107" s="4">
        <v>10362</v>
      </c>
      <c r="N107" s="4">
        <v>13132</v>
      </c>
      <c r="O107" s="100">
        <f t="shared" si="32"/>
        <v>8.9635811836115327</v>
      </c>
      <c r="P107" s="100">
        <f t="shared" si="33"/>
        <v>1.0660792951541851</v>
      </c>
      <c r="Q107" s="108">
        <f t="shared" si="34"/>
        <v>0.26732291063501257</v>
      </c>
      <c r="R107" s="14">
        <f t="shared" si="35"/>
        <v>5.4057614252900059E-2</v>
      </c>
    </row>
    <row r="108" spans="1:18" x14ac:dyDescent="0.2">
      <c r="A108" s="4" t="s">
        <v>45</v>
      </c>
      <c r="B108" s="4">
        <v>1082</v>
      </c>
      <c r="C108" s="4">
        <v>1539</v>
      </c>
      <c r="D108" s="4">
        <v>2439</v>
      </c>
      <c r="E108" s="4">
        <v>2634</v>
      </c>
      <c r="F108" s="4">
        <v>3771</v>
      </c>
      <c r="G108" s="4">
        <v>2224</v>
      </c>
      <c r="H108" s="4">
        <v>3165</v>
      </c>
      <c r="I108" s="4">
        <v>4132</v>
      </c>
      <c r="J108" s="4">
        <v>5277</v>
      </c>
      <c r="K108" s="4">
        <v>5987</v>
      </c>
      <c r="L108" s="4">
        <v>6104</v>
      </c>
      <c r="M108" s="4">
        <v>6507</v>
      </c>
      <c r="N108" s="4">
        <v>7785</v>
      </c>
      <c r="O108" s="100">
        <f t="shared" si="32"/>
        <v>1.9555808656036446</v>
      </c>
      <c r="P108" s="100">
        <f t="shared" si="33"/>
        <v>0.47527003979533827</v>
      </c>
      <c r="Q108" s="108">
        <f t="shared" si="34"/>
        <v>0.19640387275242047</v>
      </c>
      <c r="R108" s="14">
        <f t="shared" si="35"/>
        <v>3.2046796143681618E-2</v>
      </c>
    </row>
    <row r="109" spans="1:18" x14ac:dyDescent="0.2">
      <c r="A109" s="4" t="s">
        <v>250</v>
      </c>
      <c r="B109" s="4">
        <v>296</v>
      </c>
      <c r="C109" s="4">
        <v>340</v>
      </c>
      <c r="D109" s="4">
        <v>252</v>
      </c>
      <c r="E109" s="4">
        <v>416</v>
      </c>
      <c r="F109" s="4">
        <v>1466</v>
      </c>
      <c r="G109" s="4">
        <v>882</v>
      </c>
      <c r="H109" s="4">
        <v>1233</v>
      </c>
      <c r="I109" s="4">
        <v>1542</v>
      </c>
      <c r="J109" s="4">
        <v>2136</v>
      </c>
      <c r="K109" s="4">
        <v>3372</v>
      </c>
      <c r="L109" s="4">
        <v>3562</v>
      </c>
      <c r="M109" s="4">
        <v>7606</v>
      </c>
      <c r="N109" s="4">
        <v>7635</v>
      </c>
      <c r="O109" s="100">
        <f t="shared" si="32"/>
        <v>17.353365384615383</v>
      </c>
      <c r="P109" s="100">
        <f t="shared" si="33"/>
        <v>2.5744382022471912</v>
      </c>
      <c r="Q109" s="108">
        <f t="shared" si="34"/>
        <v>3.8127793846962923E-3</v>
      </c>
      <c r="R109" s="14">
        <f t="shared" si="35"/>
        <v>3.1429324156327439E-2</v>
      </c>
    </row>
    <row r="110" spans="1:18" x14ac:dyDescent="0.2">
      <c r="A110" s="5" t="s">
        <v>4</v>
      </c>
      <c r="B110" s="5">
        <v>95722</v>
      </c>
      <c r="C110" s="5">
        <v>110574</v>
      </c>
      <c r="D110" s="5">
        <v>123970</v>
      </c>
      <c r="E110" s="5">
        <v>118424</v>
      </c>
      <c r="F110" s="5">
        <v>136840</v>
      </c>
      <c r="G110" s="5">
        <v>155595</v>
      </c>
      <c r="H110" s="5">
        <v>181552</v>
      </c>
      <c r="I110" s="5">
        <v>196387</v>
      </c>
      <c r="J110" s="5">
        <v>215029</v>
      </c>
      <c r="K110" s="5">
        <v>228861</v>
      </c>
      <c r="L110" s="5">
        <v>242039</v>
      </c>
      <c r="M110" s="5">
        <v>249047</v>
      </c>
      <c r="N110" s="5">
        <v>242926</v>
      </c>
      <c r="O110" s="83">
        <f>(N110-E110)/E110</f>
        <v>1.0513240559346078</v>
      </c>
      <c r="P110" s="83">
        <f t="shared" si="33"/>
        <v>0.12973598909914477</v>
      </c>
      <c r="Q110" s="109">
        <f t="shared" si="34"/>
        <v>-2.4577690154870366E-2</v>
      </c>
      <c r="R110" s="16">
        <f t="shared" si="35"/>
        <v>1</v>
      </c>
    </row>
    <row r="111" spans="1:18" x14ac:dyDescent="0.2">
      <c r="A111" s="40"/>
      <c r="B111" s="40"/>
      <c r="C111" s="40"/>
      <c r="D111" s="40"/>
      <c r="E111" s="40"/>
      <c r="F111" s="129"/>
      <c r="G111" s="129"/>
      <c r="H111" s="129"/>
      <c r="I111" s="129"/>
      <c r="J111" s="129"/>
      <c r="K111" s="129"/>
      <c r="L111" s="129"/>
      <c r="M111" s="129"/>
      <c r="N111" s="129"/>
      <c r="O111" s="40"/>
      <c r="P111" s="40"/>
      <c r="Q111" s="40"/>
      <c r="R111" s="40"/>
    </row>
    <row r="112" spans="1:18" x14ac:dyDescent="0.2">
      <c r="A112" s="70" t="s">
        <v>264</v>
      </c>
      <c r="B112" s="70"/>
      <c r="C112" s="70"/>
      <c r="D112" s="70"/>
      <c r="E112" s="70"/>
      <c r="F112" s="134"/>
      <c r="G112" s="134"/>
      <c r="H112" s="134"/>
      <c r="I112" s="134"/>
      <c r="J112" s="134"/>
      <c r="K112" s="134"/>
      <c r="L112" s="134"/>
      <c r="M112" s="134"/>
      <c r="N112" s="134"/>
      <c r="O112" s="40"/>
      <c r="P112" s="40"/>
      <c r="Q112" s="40"/>
      <c r="R112" s="40"/>
    </row>
    <row r="113" spans="1:18" x14ac:dyDescent="0.2">
      <c r="A113" s="40"/>
      <c r="B113" s="40"/>
      <c r="C113" s="40"/>
      <c r="D113" s="40"/>
      <c r="E113" s="40"/>
      <c r="F113" s="135"/>
      <c r="G113" s="135"/>
      <c r="H113" s="135"/>
      <c r="I113" s="135"/>
      <c r="J113" s="135"/>
      <c r="K113" s="135"/>
      <c r="L113" s="135"/>
      <c r="M113" s="135"/>
      <c r="N113" s="135"/>
      <c r="O113" s="135"/>
      <c r="P113" s="40"/>
      <c r="Q113" s="40"/>
      <c r="R113" s="40"/>
    </row>
    <row r="114" spans="1:18" x14ac:dyDescent="0.2">
      <c r="A114" s="71" t="s">
        <v>21</v>
      </c>
      <c r="B114" s="71"/>
      <c r="C114" s="71"/>
      <c r="D114" s="71"/>
      <c r="E114" s="71"/>
      <c r="F114" s="71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</row>
    <row r="115" spans="1:18" x14ac:dyDescent="0.2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</row>
  </sheetData>
  <hyperlinks>
    <hyperlink ref="A114" location="Indice!A5" display="Volver al índice"/>
  </hyperlinks>
  <pageMargins left="0.7" right="0.7" top="0.75" bottom="0.75" header="0.3" footer="0.3"/>
  <pageSetup orientation="portrait" verticalDpi="300" r:id="rId1"/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1"/>
  <sheetViews>
    <sheetView showGridLines="0" zoomScale="90" zoomScaleNormal="90" workbookViewId="0">
      <pane ySplit="2" topLeftCell="A54" activePane="bottomLeft" state="frozen"/>
      <selection pane="bottomLeft" activeCell="A59" sqref="A59:E65"/>
    </sheetView>
  </sheetViews>
  <sheetFormatPr baseColWidth="10" defaultColWidth="10.85546875" defaultRowHeight="15" x14ac:dyDescent="0.2"/>
  <cols>
    <col min="1" max="1" width="37.140625" style="1" customWidth="1"/>
    <col min="2" max="5" width="17" style="45" customWidth="1"/>
    <col min="6" max="6" width="10.85546875" style="1"/>
    <col min="7" max="7" width="28.85546875" style="1" customWidth="1"/>
    <col min="8" max="16384" width="10.85546875" style="1"/>
  </cols>
  <sheetData>
    <row r="1" spans="1:6" ht="21" x14ac:dyDescent="0.2">
      <c r="A1" s="66" t="s">
        <v>323</v>
      </c>
      <c r="B1" s="46"/>
      <c r="C1" s="46"/>
      <c r="D1" s="46"/>
      <c r="E1" s="46"/>
    </row>
    <row r="2" spans="1:6" x14ac:dyDescent="0.2">
      <c r="A2" s="40"/>
      <c r="B2" s="46"/>
      <c r="C2" s="46"/>
      <c r="D2" s="46"/>
      <c r="E2" s="46"/>
    </row>
    <row r="3" spans="1:6" x14ac:dyDescent="0.2">
      <c r="A3" s="40"/>
      <c r="B3" s="46"/>
      <c r="C3" s="46"/>
      <c r="D3" s="46"/>
      <c r="E3" s="46"/>
    </row>
    <row r="4" spans="1:6" ht="15.75" x14ac:dyDescent="0.2">
      <c r="A4" s="25" t="s">
        <v>312</v>
      </c>
      <c r="B4" s="46"/>
      <c r="C4" s="46"/>
      <c r="D4" s="46"/>
      <c r="E4" s="46"/>
    </row>
    <row r="5" spans="1:6" ht="25.5" x14ac:dyDescent="0.2">
      <c r="A5" s="89" t="s">
        <v>247</v>
      </c>
      <c r="B5" s="47" t="s">
        <v>5</v>
      </c>
      <c r="C5" s="47" t="s">
        <v>6</v>
      </c>
      <c r="D5" s="47" t="s">
        <v>7</v>
      </c>
      <c r="E5" s="47" t="s">
        <v>8</v>
      </c>
    </row>
    <row r="6" spans="1:6" x14ac:dyDescent="0.2">
      <c r="A6" s="4" t="s">
        <v>313</v>
      </c>
      <c r="B6" s="43">
        <v>18511</v>
      </c>
      <c r="C6" s="43">
        <v>41412</v>
      </c>
      <c r="D6" s="43">
        <v>53309</v>
      </c>
      <c r="E6" s="43">
        <f>SUM(B6:D6)</f>
        <v>113232</v>
      </c>
    </row>
    <row r="7" spans="1:6" x14ac:dyDescent="0.2">
      <c r="A7" s="4" t="s">
        <v>314</v>
      </c>
      <c r="B7" s="43">
        <v>14786</v>
      </c>
      <c r="C7" s="43">
        <v>32035</v>
      </c>
      <c r="D7" s="43">
        <v>37835</v>
      </c>
      <c r="E7" s="43">
        <f t="shared" ref="E7" si="0">SUM(B7:D7)</f>
        <v>84656</v>
      </c>
    </row>
    <row r="8" spans="1:6" x14ac:dyDescent="0.2">
      <c r="A8" s="5" t="s">
        <v>315</v>
      </c>
      <c r="B8" s="44">
        <f>SUM(B6:B7)</f>
        <v>33297</v>
      </c>
      <c r="C8" s="44">
        <f t="shared" ref="C8:E8" si="1">SUM(C6:C7)</f>
        <v>73447</v>
      </c>
      <c r="D8" s="44">
        <f t="shared" si="1"/>
        <v>91144</v>
      </c>
      <c r="E8" s="44">
        <f t="shared" si="1"/>
        <v>197888</v>
      </c>
    </row>
    <row r="9" spans="1:6" x14ac:dyDescent="0.2">
      <c r="A9" s="40"/>
      <c r="B9" s="46"/>
      <c r="C9" s="46"/>
      <c r="D9" s="46"/>
      <c r="E9" s="46"/>
    </row>
    <row r="10" spans="1:6" ht="15.75" x14ac:dyDescent="0.2">
      <c r="A10" s="25" t="s">
        <v>343</v>
      </c>
      <c r="B10" s="46"/>
      <c r="C10" s="46"/>
      <c r="D10" s="46"/>
      <c r="E10" s="46"/>
    </row>
    <row r="11" spans="1:6" ht="25.5" x14ac:dyDescent="0.2">
      <c r="A11" s="89" t="s">
        <v>26</v>
      </c>
      <c r="B11" s="47" t="s">
        <v>5</v>
      </c>
      <c r="C11" s="47" t="s">
        <v>6</v>
      </c>
      <c r="D11" s="47" t="s">
        <v>7</v>
      </c>
      <c r="E11" s="47" t="s">
        <v>8</v>
      </c>
    </row>
    <row r="12" spans="1:6" x14ac:dyDescent="0.2">
      <c r="A12" s="4" t="s">
        <v>27</v>
      </c>
      <c r="B12" s="43">
        <v>199</v>
      </c>
      <c r="C12" s="43">
        <v>94</v>
      </c>
      <c r="D12" s="43">
        <v>79</v>
      </c>
      <c r="E12" s="43">
        <f>SUM(B12:D12)</f>
        <v>372</v>
      </c>
      <c r="F12" s="6"/>
    </row>
    <row r="13" spans="1:6" x14ac:dyDescent="0.2">
      <c r="A13" s="4" t="s">
        <v>28</v>
      </c>
      <c r="B13" s="43">
        <v>17367</v>
      </c>
      <c r="C13" s="43">
        <v>31248</v>
      </c>
      <c r="D13" s="43">
        <v>35854</v>
      </c>
      <c r="E13" s="43">
        <f t="shared" ref="E13:E18" si="2">SUM(B13:D13)</f>
        <v>84469</v>
      </c>
      <c r="F13" s="6"/>
    </row>
    <row r="14" spans="1:6" x14ac:dyDescent="0.2">
      <c r="A14" s="4" t="s">
        <v>29</v>
      </c>
      <c r="B14" s="43">
        <v>7740</v>
      </c>
      <c r="C14" s="43">
        <v>19444</v>
      </c>
      <c r="D14" s="43">
        <v>35846</v>
      </c>
      <c r="E14" s="43">
        <f t="shared" si="2"/>
        <v>63030</v>
      </c>
      <c r="F14" s="6"/>
    </row>
    <row r="15" spans="1:6" x14ac:dyDescent="0.2">
      <c r="A15" s="4" t="s">
        <v>30</v>
      </c>
      <c r="B15" s="43">
        <v>3653</v>
      </c>
      <c r="C15" s="43">
        <v>10154</v>
      </c>
      <c r="D15" s="43">
        <v>9928</v>
      </c>
      <c r="E15" s="43">
        <f t="shared" si="2"/>
        <v>23735</v>
      </c>
      <c r="F15" s="6"/>
    </row>
    <row r="16" spans="1:6" x14ac:dyDescent="0.2">
      <c r="A16" s="4" t="s">
        <v>31</v>
      </c>
      <c r="B16" s="43">
        <v>1897</v>
      </c>
      <c r="C16" s="43">
        <v>6032</v>
      </c>
      <c r="D16" s="43">
        <v>4659</v>
      </c>
      <c r="E16" s="43">
        <f t="shared" si="2"/>
        <v>12588</v>
      </c>
      <c r="F16" s="6"/>
    </row>
    <row r="17" spans="1:6" x14ac:dyDescent="0.2">
      <c r="A17" s="4" t="s">
        <v>32</v>
      </c>
      <c r="B17" s="43">
        <v>2441</v>
      </c>
      <c r="C17" s="43">
        <v>6475</v>
      </c>
      <c r="D17" s="43">
        <v>4776</v>
      </c>
      <c r="E17" s="43">
        <f t="shared" si="2"/>
        <v>13692</v>
      </c>
      <c r="F17" s="6"/>
    </row>
    <row r="18" spans="1:6" x14ac:dyDescent="0.2">
      <c r="A18" s="4" t="s">
        <v>33</v>
      </c>
      <c r="B18" s="43"/>
      <c r="C18" s="43"/>
      <c r="D18" s="43">
        <v>2</v>
      </c>
      <c r="E18" s="43">
        <f t="shared" si="2"/>
        <v>2</v>
      </c>
      <c r="F18" s="6"/>
    </row>
    <row r="19" spans="1:6" x14ac:dyDescent="0.2">
      <c r="A19" s="5" t="s">
        <v>4</v>
      </c>
      <c r="B19" s="44">
        <f>SUM(B12:B18)</f>
        <v>33297</v>
      </c>
      <c r="C19" s="44">
        <f t="shared" ref="C19:D19" si="3">SUM(C12:C18)</f>
        <v>73447</v>
      </c>
      <c r="D19" s="44">
        <f t="shared" si="3"/>
        <v>91144</v>
      </c>
      <c r="E19" s="44">
        <f t="shared" ref="E19" si="4">SUM(B19:D19)</f>
        <v>197888</v>
      </c>
      <c r="F19" s="6"/>
    </row>
    <row r="20" spans="1:6" x14ac:dyDescent="0.2">
      <c r="A20" s="5" t="s">
        <v>36</v>
      </c>
      <c r="B20" s="125">
        <v>26.668138270715101</v>
      </c>
      <c r="C20" s="125">
        <v>28.001429602298298</v>
      </c>
      <c r="D20" s="125">
        <v>27.2141383774769</v>
      </c>
      <c r="E20" s="124">
        <v>27.4144760114409</v>
      </c>
    </row>
    <row r="21" spans="1:6" x14ac:dyDescent="0.2">
      <c r="A21" s="40"/>
      <c r="B21" s="40"/>
      <c r="C21" s="40"/>
      <c r="D21" s="40"/>
      <c r="E21" s="40"/>
      <c r="F21" s="40"/>
    </row>
    <row r="22" spans="1:6" ht="15.75" x14ac:dyDescent="0.2">
      <c r="A22" s="25" t="s">
        <v>344</v>
      </c>
      <c r="B22" s="46"/>
      <c r="C22" s="46"/>
      <c r="D22" s="46"/>
      <c r="E22" s="46"/>
    </row>
    <row r="23" spans="1:6" ht="25.5" x14ac:dyDescent="0.2">
      <c r="A23" s="89" t="s">
        <v>37</v>
      </c>
      <c r="B23" s="47" t="s">
        <v>5</v>
      </c>
      <c r="C23" s="47" t="s">
        <v>6</v>
      </c>
      <c r="D23" s="47" t="s">
        <v>7</v>
      </c>
      <c r="E23" s="47" t="s">
        <v>8</v>
      </c>
    </row>
    <row r="24" spans="1:6" x14ac:dyDescent="0.2">
      <c r="A24" s="4" t="s">
        <v>38</v>
      </c>
      <c r="B24" s="43">
        <v>33297</v>
      </c>
      <c r="C24" s="43">
        <v>40652</v>
      </c>
      <c r="D24" s="43">
        <v>6418</v>
      </c>
      <c r="E24" s="43">
        <v>80367</v>
      </c>
      <c r="F24" s="107"/>
    </row>
    <row r="25" spans="1:6" x14ac:dyDescent="0.2">
      <c r="A25" s="4" t="s">
        <v>39</v>
      </c>
      <c r="B25" s="43"/>
      <c r="C25" s="43">
        <v>32795</v>
      </c>
      <c r="D25" s="43">
        <v>6197</v>
      </c>
      <c r="E25" s="43">
        <v>38992</v>
      </c>
      <c r="F25" s="107"/>
    </row>
    <row r="26" spans="1:6" x14ac:dyDescent="0.2">
      <c r="A26" s="4" t="s">
        <v>40</v>
      </c>
      <c r="B26" s="43"/>
      <c r="C26" s="43"/>
      <c r="D26" s="43">
        <v>2555</v>
      </c>
      <c r="E26" s="43">
        <v>2555</v>
      </c>
      <c r="F26" s="107"/>
    </row>
    <row r="27" spans="1:6" x14ac:dyDescent="0.2">
      <c r="A27" s="4" t="s">
        <v>41</v>
      </c>
      <c r="B27" s="44"/>
      <c r="C27" s="44"/>
      <c r="D27" s="43">
        <v>75974</v>
      </c>
      <c r="E27" s="43">
        <v>75974</v>
      </c>
      <c r="F27" s="107"/>
    </row>
    <row r="28" spans="1:6" x14ac:dyDescent="0.2">
      <c r="A28" s="5" t="s">
        <v>4</v>
      </c>
      <c r="B28" s="65">
        <v>33297</v>
      </c>
      <c r="C28" s="65">
        <v>73447</v>
      </c>
      <c r="D28" s="65">
        <v>91144</v>
      </c>
      <c r="E28" s="65">
        <v>197888</v>
      </c>
    </row>
    <row r="29" spans="1:6" x14ac:dyDescent="0.2">
      <c r="A29" s="40"/>
      <c r="B29" s="46"/>
      <c r="C29" s="46"/>
      <c r="D29" s="46"/>
      <c r="E29" s="46"/>
    </row>
    <row r="30" spans="1:6" ht="15.75" x14ac:dyDescent="0.2">
      <c r="A30" s="25" t="s">
        <v>345</v>
      </c>
      <c r="B30" s="46"/>
      <c r="C30" s="46"/>
      <c r="D30" s="46"/>
      <c r="E30" s="46"/>
    </row>
    <row r="31" spans="1:6" ht="25.5" x14ac:dyDescent="0.2">
      <c r="A31" s="89" t="s">
        <v>10</v>
      </c>
      <c r="B31" s="47" t="s">
        <v>5</v>
      </c>
      <c r="C31" s="47" t="s">
        <v>6</v>
      </c>
      <c r="D31" s="47" t="s">
        <v>7</v>
      </c>
      <c r="E31" s="47" t="s">
        <v>8</v>
      </c>
    </row>
    <row r="32" spans="1:6" x14ac:dyDescent="0.2">
      <c r="A32" s="4" t="s">
        <v>11</v>
      </c>
      <c r="B32" s="43">
        <v>8769</v>
      </c>
      <c r="C32" s="43">
        <v>21574</v>
      </c>
      <c r="D32" s="43">
        <v>15374</v>
      </c>
      <c r="E32" s="43">
        <v>45717</v>
      </c>
    </row>
    <row r="33" spans="1:6" x14ac:dyDescent="0.2">
      <c r="A33" s="4" t="s">
        <v>12</v>
      </c>
      <c r="B33" s="43">
        <v>1113</v>
      </c>
      <c r="C33" s="43">
        <v>948</v>
      </c>
      <c r="D33" s="43">
        <v>1779</v>
      </c>
      <c r="E33" s="43">
        <v>3840</v>
      </c>
    </row>
    <row r="34" spans="1:6" x14ac:dyDescent="0.2">
      <c r="A34" s="4" t="s">
        <v>13</v>
      </c>
      <c r="B34" s="43">
        <v>299</v>
      </c>
      <c r="C34" s="43">
        <v>3734</v>
      </c>
      <c r="D34" s="43">
        <v>2510</v>
      </c>
      <c r="E34" s="43">
        <v>6543</v>
      </c>
    </row>
    <row r="35" spans="1:6" x14ac:dyDescent="0.2">
      <c r="A35" s="4" t="s">
        <v>14</v>
      </c>
      <c r="B35" s="43">
        <v>212</v>
      </c>
      <c r="C35" s="43">
        <v>115</v>
      </c>
      <c r="D35" s="43">
        <v>1205</v>
      </c>
      <c r="E35" s="43">
        <v>1532</v>
      </c>
    </row>
    <row r="36" spans="1:6" x14ac:dyDescent="0.2">
      <c r="A36" s="4" t="s">
        <v>15</v>
      </c>
      <c r="B36" s="43">
        <v>915</v>
      </c>
      <c r="C36" s="43">
        <v>5734</v>
      </c>
      <c r="D36" s="43">
        <v>10253</v>
      </c>
      <c r="E36" s="43">
        <v>16902</v>
      </c>
    </row>
    <row r="37" spans="1:6" x14ac:dyDescent="0.2">
      <c r="A37" s="4" t="s">
        <v>16</v>
      </c>
      <c r="B37" s="43">
        <v>211</v>
      </c>
      <c r="C37" s="43">
        <v>326</v>
      </c>
      <c r="D37" s="43">
        <v>3947</v>
      </c>
      <c r="E37" s="43">
        <v>4484</v>
      </c>
    </row>
    <row r="38" spans="1:6" x14ac:dyDescent="0.2">
      <c r="A38" s="4" t="s">
        <v>17</v>
      </c>
      <c r="B38" s="43">
        <v>4948</v>
      </c>
      <c r="C38" s="43">
        <v>8951</v>
      </c>
      <c r="D38" s="43">
        <v>16914</v>
      </c>
      <c r="E38" s="43">
        <v>30813</v>
      </c>
    </row>
    <row r="39" spans="1:6" x14ac:dyDescent="0.2">
      <c r="A39" s="4" t="s">
        <v>18</v>
      </c>
      <c r="B39" s="43">
        <v>25</v>
      </c>
      <c r="C39" s="43">
        <v>205</v>
      </c>
      <c r="D39" s="43">
        <v>1077</v>
      </c>
      <c r="E39" s="43">
        <v>1307</v>
      </c>
    </row>
    <row r="40" spans="1:6" x14ac:dyDescent="0.2">
      <c r="A40" s="4" t="s">
        <v>19</v>
      </c>
      <c r="B40" s="43">
        <v>6512</v>
      </c>
      <c r="C40" s="43">
        <v>9527</v>
      </c>
      <c r="D40" s="43">
        <v>19458</v>
      </c>
      <c r="E40" s="43">
        <v>35497</v>
      </c>
    </row>
    <row r="41" spans="1:6" x14ac:dyDescent="0.2">
      <c r="A41" s="4" t="s">
        <v>20</v>
      </c>
      <c r="B41" s="43">
        <v>10293</v>
      </c>
      <c r="C41" s="43">
        <v>22333</v>
      </c>
      <c r="D41" s="43">
        <v>18627</v>
      </c>
      <c r="E41" s="43">
        <v>51253</v>
      </c>
    </row>
    <row r="42" spans="1:6" x14ac:dyDescent="0.2">
      <c r="A42" s="5" t="s">
        <v>4</v>
      </c>
      <c r="B42" s="44">
        <v>33297</v>
      </c>
      <c r="C42" s="44">
        <v>73447</v>
      </c>
      <c r="D42" s="44">
        <v>91144</v>
      </c>
      <c r="E42" s="44">
        <v>197888</v>
      </c>
    </row>
    <row r="43" spans="1:6" x14ac:dyDescent="0.2">
      <c r="A43" s="40"/>
      <c r="B43" s="46"/>
      <c r="C43" s="46"/>
      <c r="D43" s="46"/>
      <c r="E43" s="46"/>
    </row>
    <row r="44" spans="1:6" ht="15.75" x14ac:dyDescent="0.2">
      <c r="A44" s="25" t="s">
        <v>346</v>
      </c>
      <c r="B44" s="46"/>
      <c r="C44" s="46"/>
      <c r="D44" s="46"/>
      <c r="E44" s="46"/>
    </row>
    <row r="45" spans="1:6" x14ac:dyDescent="0.2">
      <c r="A45" s="89" t="s">
        <v>10</v>
      </c>
      <c r="B45" s="47" t="s">
        <v>228</v>
      </c>
      <c r="C45" s="47" t="s">
        <v>229</v>
      </c>
      <c r="D45" s="47" t="s">
        <v>8</v>
      </c>
      <c r="E45" s="46"/>
    </row>
    <row r="46" spans="1:6" x14ac:dyDescent="0.2">
      <c r="A46" s="4" t="s">
        <v>11</v>
      </c>
      <c r="B46" s="43">
        <v>27511</v>
      </c>
      <c r="C46" s="43">
        <v>18206</v>
      </c>
      <c r="D46" s="43">
        <v>45717</v>
      </c>
      <c r="E46" s="129"/>
      <c r="F46" s="129"/>
    </row>
    <row r="47" spans="1:6" x14ac:dyDescent="0.2">
      <c r="A47" s="4" t="s">
        <v>12</v>
      </c>
      <c r="B47" s="43">
        <v>1913</v>
      </c>
      <c r="C47" s="43">
        <v>1927</v>
      </c>
      <c r="D47" s="43">
        <v>3840</v>
      </c>
      <c r="E47" s="129"/>
      <c r="F47" s="129"/>
    </row>
    <row r="48" spans="1:6" x14ac:dyDescent="0.2">
      <c r="A48" s="4" t="s">
        <v>13</v>
      </c>
      <c r="B48" s="43">
        <v>3874</v>
      </c>
      <c r="C48" s="43">
        <v>2669</v>
      </c>
      <c r="D48" s="43">
        <v>6543</v>
      </c>
      <c r="E48" s="129"/>
      <c r="F48" s="129"/>
    </row>
    <row r="49" spans="1:6" x14ac:dyDescent="0.2">
      <c r="A49" s="4" t="s">
        <v>14</v>
      </c>
      <c r="B49" s="43">
        <v>713</v>
      </c>
      <c r="C49" s="43">
        <v>819</v>
      </c>
      <c r="D49" s="43">
        <v>1532</v>
      </c>
      <c r="E49" s="129"/>
      <c r="F49" s="129"/>
    </row>
    <row r="50" spans="1:6" x14ac:dyDescent="0.2">
      <c r="A50" s="4" t="s">
        <v>15</v>
      </c>
      <c r="B50" s="43">
        <v>12227</v>
      </c>
      <c r="C50" s="43">
        <v>4675</v>
      </c>
      <c r="D50" s="43">
        <v>16902</v>
      </c>
      <c r="E50" s="129"/>
      <c r="F50" s="129"/>
    </row>
    <row r="51" spans="1:6" x14ac:dyDescent="0.2">
      <c r="A51" s="4" t="s">
        <v>16</v>
      </c>
      <c r="B51" s="43">
        <v>2483</v>
      </c>
      <c r="C51" s="43">
        <v>2001</v>
      </c>
      <c r="D51" s="43">
        <v>4484</v>
      </c>
      <c r="E51" s="129"/>
      <c r="F51" s="129"/>
    </row>
    <row r="52" spans="1:6" x14ac:dyDescent="0.2">
      <c r="A52" s="4" t="s">
        <v>17</v>
      </c>
      <c r="B52" s="43">
        <v>25079</v>
      </c>
      <c r="C52" s="43">
        <v>5734</v>
      </c>
      <c r="D52" s="43">
        <v>30813</v>
      </c>
      <c r="E52" s="129"/>
      <c r="F52" s="129"/>
    </row>
    <row r="53" spans="1:6" x14ac:dyDescent="0.2">
      <c r="A53" s="4" t="s">
        <v>18</v>
      </c>
      <c r="B53" s="43">
        <v>813</v>
      </c>
      <c r="C53" s="43">
        <v>494</v>
      </c>
      <c r="D53" s="43">
        <v>1307</v>
      </c>
      <c r="E53" s="129"/>
      <c r="F53" s="129"/>
    </row>
    <row r="54" spans="1:6" x14ac:dyDescent="0.2">
      <c r="A54" s="4" t="s">
        <v>19</v>
      </c>
      <c r="B54" s="43">
        <v>27936</v>
      </c>
      <c r="C54" s="43">
        <v>7561</v>
      </c>
      <c r="D54" s="43">
        <v>35497</v>
      </c>
      <c r="E54" s="129"/>
      <c r="F54" s="129"/>
    </row>
    <row r="55" spans="1:6" x14ac:dyDescent="0.2">
      <c r="A55" s="4" t="s">
        <v>20</v>
      </c>
      <c r="B55" s="43">
        <v>10683</v>
      </c>
      <c r="C55" s="43">
        <v>40570</v>
      </c>
      <c r="D55" s="43">
        <v>51253</v>
      </c>
      <c r="E55" s="129"/>
      <c r="F55" s="129"/>
    </row>
    <row r="56" spans="1:6" x14ac:dyDescent="0.2">
      <c r="A56" s="5" t="s">
        <v>4</v>
      </c>
      <c r="B56" s="44">
        <v>113232</v>
      </c>
      <c r="C56" s="44">
        <v>84656</v>
      </c>
      <c r="D56" s="44">
        <v>197888</v>
      </c>
      <c r="E56" s="46"/>
    </row>
    <row r="57" spans="1:6" x14ac:dyDescent="0.2">
      <c r="A57" s="40"/>
      <c r="B57" s="46"/>
      <c r="C57" s="46"/>
      <c r="D57" s="46"/>
      <c r="E57" s="46"/>
    </row>
    <row r="58" spans="1:6" ht="15.75" x14ac:dyDescent="0.2">
      <c r="A58" s="25" t="s">
        <v>347</v>
      </c>
      <c r="B58" s="46"/>
      <c r="C58" s="46"/>
      <c r="D58" s="46"/>
      <c r="E58" s="46"/>
    </row>
    <row r="59" spans="1:6" ht="25.5" x14ac:dyDescent="0.2">
      <c r="A59" s="89" t="s">
        <v>42</v>
      </c>
      <c r="B59" s="47" t="s">
        <v>5</v>
      </c>
      <c r="C59" s="47" t="s">
        <v>6</v>
      </c>
      <c r="D59" s="47" t="s">
        <v>7</v>
      </c>
      <c r="E59" s="47" t="s">
        <v>8</v>
      </c>
    </row>
    <row r="60" spans="1:6" x14ac:dyDescent="0.2">
      <c r="A60" s="4" t="s">
        <v>43</v>
      </c>
      <c r="B60" s="43">
        <v>20843</v>
      </c>
      <c r="C60" s="43">
        <v>34160</v>
      </c>
      <c r="D60" s="43">
        <v>71489</v>
      </c>
      <c r="E60" s="43">
        <v>126492</v>
      </c>
      <c r="F60" s="107"/>
    </row>
    <row r="61" spans="1:6" x14ac:dyDescent="0.2">
      <c r="A61" s="4" t="s">
        <v>44</v>
      </c>
      <c r="B61" s="43">
        <v>11707</v>
      </c>
      <c r="C61" s="43">
        <v>32676</v>
      </c>
      <c r="D61" s="43">
        <v>15975</v>
      </c>
      <c r="E61" s="43">
        <v>60358</v>
      </c>
      <c r="F61" s="107"/>
    </row>
    <row r="62" spans="1:6" x14ac:dyDescent="0.2">
      <c r="A62" s="32" t="s">
        <v>250</v>
      </c>
      <c r="B62" s="43">
        <v>16</v>
      </c>
      <c r="C62" s="43">
        <v>1624</v>
      </c>
      <c r="D62" s="43">
        <v>336</v>
      </c>
      <c r="E62" s="43">
        <v>1976</v>
      </c>
      <c r="F62" s="107"/>
    </row>
    <row r="63" spans="1:6" x14ac:dyDescent="0.2">
      <c r="A63" s="32" t="s">
        <v>251</v>
      </c>
      <c r="B63" s="43">
        <v>526</v>
      </c>
      <c r="C63" s="43">
        <v>4922</v>
      </c>
      <c r="D63" s="43">
        <v>617</v>
      </c>
      <c r="E63" s="43">
        <v>6065</v>
      </c>
      <c r="F63" s="107"/>
    </row>
    <row r="64" spans="1:6" x14ac:dyDescent="0.2">
      <c r="A64" s="4" t="s">
        <v>45</v>
      </c>
      <c r="B64" s="43">
        <v>205</v>
      </c>
      <c r="C64" s="43">
        <v>65</v>
      </c>
      <c r="D64" s="43">
        <v>2727</v>
      </c>
      <c r="E64" s="43">
        <v>2997</v>
      </c>
      <c r="F64" s="107"/>
    </row>
    <row r="65" spans="1:5" x14ac:dyDescent="0.2">
      <c r="A65" s="5" t="s">
        <v>4</v>
      </c>
      <c r="B65" s="44">
        <v>33297</v>
      </c>
      <c r="C65" s="44">
        <v>73447</v>
      </c>
      <c r="D65" s="44">
        <v>91144</v>
      </c>
      <c r="E65" s="44">
        <v>197888</v>
      </c>
    </row>
    <row r="66" spans="1:5" x14ac:dyDescent="0.2">
      <c r="A66" s="40"/>
      <c r="B66" s="46"/>
      <c r="C66" s="46"/>
      <c r="D66" s="46"/>
      <c r="E66" s="46"/>
    </row>
    <row r="67" spans="1:5" ht="15.75" x14ac:dyDescent="0.2">
      <c r="A67" s="25" t="s">
        <v>348</v>
      </c>
      <c r="B67" s="46"/>
      <c r="C67" s="46"/>
      <c r="D67" s="46"/>
      <c r="E67" s="46"/>
    </row>
    <row r="68" spans="1:5" ht="25.5" x14ac:dyDescent="0.2">
      <c r="A68" s="89" t="s">
        <v>9</v>
      </c>
      <c r="B68" s="47" t="s">
        <v>5</v>
      </c>
      <c r="C68" s="47" t="s">
        <v>6</v>
      </c>
      <c r="D68" s="47" t="s">
        <v>7</v>
      </c>
      <c r="E68" s="47" t="s">
        <v>8</v>
      </c>
    </row>
    <row r="69" spans="1:5" x14ac:dyDescent="0.2">
      <c r="A69" s="4" t="s">
        <v>272</v>
      </c>
      <c r="B69" s="43">
        <v>1415</v>
      </c>
      <c r="C69" s="43">
        <v>246</v>
      </c>
      <c r="D69" s="43">
        <v>1011</v>
      </c>
      <c r="E69" s="43">
        <v>2672</v>
      </c>
    </row>
    <row r="70" spans="1:5" x14ac:dyDescent="0.2">
      <c r="A70" s="4" t="s">
        <v>273</v>
      </c>
      <c r="B70" s="43">
        <v>619</v>
      </c>
      <c r="C70" s="43">
        <v>434</v>
      </c>
      <c r="D70" s="43">
        <v>1731</v>
      </c>
      <c r="E70" s="43">
        <v>2784</v>
      </c>
    </row>
    <row r="71" spans="1:5" x14ac:dyDescent="0.2">
      <c r="A71" s="4" t="s">
        <v>274</v>
      </c>
      <c r="B71" s="43">
        <v>1617</v>
      </c>
      <c r="C71" s="43">
        <v>2151</v>
      </c>
      <c r="D71" s="43">
        <v>2998</v>
      </c>
      <c r="E71" s="43">
        <v>6766</v>
      </c>
    </row>
    <row r="72" spans="1:5" x14ac:dyDescent="0.2">
      <c r="A72" s="4" t="s">
        <v>275</v>
      </c>
      <c r="B72" s="43">
        <v>537</v>
      </c>
      <c r="C72" s="43">
        <v>357</v>
      </c>
      <c r="D72" s="43">
        <v>1134</v>
      </c>
      <c r="E72" s="43">
        <v>2028</v>
      </c>
    </row>
    <row r="73" spans="1:5" x14ac:dyDescent="0.2">
      <c r="A73" s="4" t="s">
        <v>276</v>
      </c>
      <c r="B73" s="43">
        <v>2122</v>
      </c>
      <c r="C73" s="43">
        <v>2881</v>
      </c>
      <c r="D73" s="43">
        <v>2811</v>
      </c>
      <c r="E73" s="43">
        <v>7814</v>
      </c>
    </row>
    <row r="74" spans="1:5" x14ac:dyDescent="0.2">
      <c r="A74" s="4" t="s">
        <v>277</v>
      </c>
      <c r="B74" s="43">
        <v>3110</v>
      </c>
      <c r="C74" s="43">
        <v>7262</v>
      </c>
      <c r="D74" s="43">
        <v>10803</v>
      </c>
      <c r="E74" s="43">
        <v>21175</v>
      </c>
    </row>
    <row r="75" spans="1:5" x14ac:dyDescent="0.2">
      <c r="A75" s="32" t="s">
        <v>289</v>
      </c>
      <c r="B75" s="43">
        <v>9938</v>
      </c>
      <c r="C75" s="43">
        <v>37125</v>
      </c>
      <c r="D75" s="43">
        <v>43563</v>
      </c>
      <c r="E75" s="43">
        <v>90626</v>
      </c>
    </row>
    <row r="76" spans="1:5" x14ac:dyDescent="0.2">
      <c r="A76" s="4" t="s">
        <v>278</v>
      </c>
      <c r="B76" s="43">
        <v>1309</v>
      </c>
      <c r="C76" s="43">
        <v>4303</v>
      </c>
      <c r="D76" s="43">
        <v>691</v>
      </c>
      <c r="E76" s="43">
        <v>6303</v>
      </c>
    </row>
    <row r="77" spans="1:5" x14ac:dyDescent="0.2">
      <c r="A77" s="4" t="s">
        <v>279</v>
      </c>
      <c r="B77" s="43">
        <v>3142</v>
      </c>
      <c r="C77" s="43">
        <v>2657</v>
      </c>
      <c r="D77" s="43">
        <v>3494</v>
      </c>
      <c r="E77" s="43">
        <v>9293</v>
      </c>
    </row>
    <row r="78" spans="1:5" x14ac:dyDescent="0.2">
      <c r="A78" s="4" t="s">
        <v>295</v>
      </c>
      <c r="B78" s="43">
        <v>992</v>
      </c>
      <c r="C78" s="43">
        <v>1424</v>
      </c>
      <c r="D78" s="43">
        <v>2182</v>
      </c>
      <c r="E78" s="43">
        <v>4598</v>
      </c>
    </row>
    <row r="79" spans="1:5" x14ac:dyDescent="0.2">
      <c r="A79" s="4" t="s">
        <v>280</v>
      </c>
      <c r="B79" s="43">
        <v>3164</v>
      </c>
      <c r="C79" s="43">
        <v>8515</v>
      </c>
      <c r="D79" s="43">
        <v>10406</v>
      </c>
      <c r="E79" s="43">
        <v>22085</v>
      </c>
    </row>
    <row r="80" spans="1:5" x14ac:dyDescent="0.2">
      <c r="A80" s="4" t="s">
        <v>281</v>
      </c>
      <c r="B80" s="43">
        <v>1870</v>
      </c>
      <c r="C80" s="43">
        <v>2548</v>
      </c>
      <c r="D80" s="43">
        <v>4636</v>
      </c>
      <c r="E80" s="43">
        <v>9054</v>
      </c>
    </row>
    <row r="81" spans="1:5" x14ac:dyDescent="0.2">
      <c r="A81" s="4" t="s">
        <v>282</v>
      </c>
      <c r="B81" s="43">
        <v>978</v>
      </c>
      <c r="C81" s="43">
        <v>661</v>
      </c>
      <c r="D81" s="43">
        <v>1998</v>
      </c>
      <c r="E81" s="43">
        <v>3637</v>
      </c>
    </row>
    <row r="82" spans="1:5" x14ac:dyDescent="0.2">
      <c r="A82" s="4" t="s">
        <v>283</v>
      </c>
      <c r="B82" s="43">
        <v>1561</v>
      </c>
      <c r="C82" s="43">
        <v>2657</v>
      </c>
      <c r="D82" s="43">
        <v>3227</v>
      </c>
      <c r="E82" s="43">
        <v>7445</v>
      </c>
    </row>
    <row r="83" spans="1:5" x14ac:dyDescent="0.2">
      <c r="A83" s="4" t="s">
        <v>284</v>
      </c>
      <c r="B83" s="43">
        <v>339</v>
      </c>
      <c r="C83" s="43">
        <v>44</v>
      </c>
      <c r="D83" s="43">
        <v>113</v>
      </c>
      <c r="E83" s="43">
        <v>496</v>
      </c>
    </row>
    <row r="84" spans="1:5" x14ac:dyDescent="0.2">
      <c r="A84" s="4" t="s">
        <v>285</v>
      </c>
      <c r="B84" s="43">
        <v>584</v>
      </c>
      <c r="C84" s="43">
        <v>182</v>
      </c>
      <c r="D84" s="43">
        <v>346</v>
      </c>
      <c r="E84" s="43">
        <v>1112</v>
      </c>
    </row>
    <row r="85" spans="1:5" x14ac:dyDescent="0.2">
      <c r="A85" s="5" t="s">
        <v>4</v>
      </c>
      <c r="B85" s="44">
        <v>33297</v>
      </c>
      <c r="C85" s="44">
        <v>73447</v>
      </c>
      <c r="D85" s="44">
        <v>91144</v>
      </c>
      <c r="E85" s="44">
        <v>197888</v>
      </c>
    </row>
    <row r="86" spans="1:5" x14ac:dyDescent="0.2">
      <c r="A86" s="40"/>
      <c r="B86" s="46"/>
      <c r="C86" s="46"/>
      <c r="D86" s="46"/>
      <c r="E86" s="46"/>
    </row>
    <row r="87" spans="1:5" ht="15.75" x14ac:dyDescent="0.2">
      <c r="A87" s="25" t="s">
        <v>349</v>
      </c>
      <c r="B87" s="46"/>
      <c r="C87" s="46"/>
      <c r="D87" s="46"/>
      <c r="E87" s="46"/>
    </row>
    <row r="88" spans="1:5" x14ac:dyDescent="0.2">
      <c r="A88" s="89" t="s">
        <v>9</v>
      </c>
      <c r="B88" s="47" t="s">
        <v>228</v>
      </c>
      <c r="C88" s="47" t="s">
        <v>229</v>
      </c>
      <c r="D88" s="47" t="s">
        <v>8</v>
      </c>
    </row>
    <row r="89" spans="1:5" x14ac:dyDescent="0.2">
      <c r="A89" s="4" t="s">
        <v>272</v>
      </c>
      <c r="B89" s="43">
        <v>1608</v>
      </c>
      <c r="C89" s="43">
        <v>1064</v>
      </c>
      <c r="D89" s="43">
        <v>2672</v>
      </c>
    </row>
    <row r="90" spans="1:5" x14ac:dyDescent="0.2">
      <c r="A90" s="4" t="s">
        <v>273</v>
      </c>
      <c r="B90" s="43">
        <v>1541</v>
      </c>
      <c r="C90" s="43">
        <v>1243</v>
      </c>
      <c r="D90" s="43">
        <v>2784</v>
      </c>
    </row>
    <row r="91" spans="1:5" x14ac:dyDescent="0.2">
      <c r="A91" s="4" t="s">
        <v>274</v>
      </c>
      <c r="B91" s="43">
        <v>3613</v>
      </c>
      <c r="C91" s="43">
        <v>3153</v>
      </c>
      <c r="D91" s="43">
        <v>6766</v>
      </c>
    </row>
    <row r="92" spans="1:5" x14ac:dyDescent="0.2">
      <c r="A92" s="4" t="s">
        <v>275</v>
      </c>
      <c r="B92" s="43">
        <v>1199</v>
      </c>
      <c r="C92" s="43">
        <v>829</v>
      </c>
      <c r="D92" s="43">
        <v>2028</v>
      </c>
    </row>
    <row r="93" spans="1:5" x14ac:dyDescent="0.2">
      <c r="A93" s="4" t="s">
        <v>276</v>
      </c>
      <c r="B93" s="43">
        <v>4534</v>
      </c>
      <c r="C93" s="43">
        <v>3280</v>
      </c>
      <c r="D93" s="43">
        <v>7814</v>
      </c>
    </row>
    <row r="94" spans="1:5" x14ac:dyDescent="0.2">
      <c r="A94" s="4" t="s">
        <v>277</v>
      </c>
      <c r="B94" s="43">
        <v>11804</v>
      </c>
      <c r="C94" s="43">
        <v>9371</v>
      </c>
      <c r="D94" s="43">
        <v>21175</v>
      </c>
    </row>
    <row r="95" spans="1:5" x14ac:dyDescent="0.2">
      <c r="A95" s="32" t="s">
        <v>289</v>
      </c>
      <c r="B95" s="43">
        <v>51052</v>
      </c>
      <c r="C95" s="43">
        <v>39574</v>
      </c>
      <c r="D95" s="43">
        <v>90626</v>
      </c>
    </row>
    <row r="96" spans="1:5" x14ac:dyDescent="0.2">
      <c r="A96" s="4" t="s">
        <v>278</v>
      </c>
      <c r="B96" s="43">
        <v>3542</v>
      </c>
      <c r="C96" s="43">
        <v>2761</v>
      </c>
      <c r="D96" s="43">
        <v>6303</v>
      </c>
    </row>
    <row r="97" spans="1:5" x14ac:dyDescent="0.2">
      <c r="A97" s="4" t="s">
        <v>279</v>
      </c>
      <c r="B97" s="43">
        <v>5691</v>
      </c>
      <c r="C97" s="43">
        <v>3602</v>
      </c>
      <c r="D97" s="43">
        <v>9293</v>
      </c>
    </row>
    <row r="98" spans="1:5" x14ac:dyDescent="0.2">
      <c r="A98" s="4" t="s">
        <v>295</v>
      </c>
      <c r="B98" s="43">
        <v>2851</v>
      </c>
      <c r="C98" s="43">
        <v>1747</v>
      </c>
      <c r="D98" s="43">
        <v>4598</v>
      </c>
    </row>
    <row r="99" spans="1:5" x14ac:dyDescent="0.2">
      <c r="A99" s="4" t="s">
        <v>280</v>
      </c>
      <c r="B99" s="43">
        <v>12641</v>
      </c>
      <c r="C99" s="43">
        <v>9444</v>
      </c>
      <c r="D99" s="43">
        <v>22085</v>
      </c>
    </row>
    <row r="100" spans="1:5" x14ac:dyDescent="0.2">
      <c r="A100" s="4" t="s">
        <v>281</v>
      </c>
      <c r="B100" s="43">
        <v>5526</v>
      </c>
      <c r="C100" s="43">
        <v>3528</v>
      </c>
      <c r="D100" s="43">
        <v>9054</v>
      </c>
    </row>
    <row r="101" spans="1:5" x14ac:dyDescent="0.2">
      <c r="A101" s="4" t="s">
        <v>282</v>
      </c>
      <c r="B101" s="43">
        <v>2173</v>
      </c>
      <c r="C101" s="43">
        <v>1464</v>
      </c>
      <c r="D101" s="43">
        <v>3637</v>
      </c>
    </row>
    <row r="102" spans="1:5" x14ac:dyDescent="0.2">
      <c r="A102" s="4" t="s">
        <v>283</v>
      </c>
      <c r="B102" s="43">
        <v>4526</v>
      </c>
      <c r="C102" s="43">
        <v>2919</v>
      </c>
      <c r="D102" s="43">
        <v>7445</v>
      </c>
    </row>
    <row r="103" spans="1:5" x14ac:dyDescent="0.2">
      <c r="A103" s="4" t="s">
        <v>284</v>
      </c>
      <c r="B103" s="43">
        <v>321</v>
      </c>
      <c r="C103" s="43">
        <v>175</v>
      </c>
      <c r="D103" s="43">
        <v>496</v>
      </c>
    </row>
    <row r="104" spans="1:5" x14ac:dyDescent="0.2">
      <c r="A104" s="4" t="s">
        <v>285</v>
      </c>
      <c r="B104" s="43">
        <v>610</v>
      </c>
      <c r="C104" s="43">
        <v>502</v>
      </c>
      <c r="D104" s="43">
        <v>1112</v>
      </c>
    </row>
    <row r="105" spans="1:5" x14ac:dyDescent="0.2">
      <c r="A105" s="5" t="s">
        <v>4</v>
      </c>
      <c r="B105" s="44">
        <v>113232</v>
      </c>
      <c r="C105" s="44">
        <v>84656</v>
      </c>
      <c r="D105" s="44">
        <v>197888</v>
      </c>
      <c r="E105" s="46"/>
    </row>
    <row r="106" spans="1:5" x14ac:dyDescent="0.2">
      <c r="A106" s="40"/>
      <c r="B106" s="46"/>
      <c r="C106" s="46"/>
      <c r="D106" s="46"/>
      <c r="E106" s="46"/>
    </row>
    <row r="107" spans="1:5" x14ac:dyDescent="0.2">
      <c r="A107" s="40"/>
      <c r="B107" s="46"/>
      <c r="C107" s="46"/>
      <c r="D107" s="46"/>
      <c r="E107" s="46"/>
    </row>
    <row r="108" spans="1:5" x14ac:dyDescent="0.2">
      <c r="A108" s="70" t="s">
        <v>264</v>
      </c>
      <c r="B108" s="46"/>
      <c r="C108" s="46"/>
      <c r="D108" s="46"/>
      <c r="E108" s="46"/>
    </row>
    <row r="109" spans="1:5" x14ac:dyDescent="0.2">
      <c r="A109" s="40"/>
      <c r="B109" s="46"/>
      <c r="C109" s="46"/>
      <c r="D109" s="46"/>
      <c r="E109" s="46"/>
    </row>
    <row r="110" spans="1:5" x14ac:dyDescent="0.2">
      <c r="A110" s="71" t="s">
        <v>21</v>
      </c>
      <c r="B110" s="46"/>
      <c r="C110" s="46"/>
      <c r="D110" s="46"/>
      <c r="E110" s="46"/>
    </row>
    <row r="111" spans="1:5" x14ac:dyDescent="0.2">
      <c r="A111" s="40"/>
      <c r="B111" s="46"/>
      <c r="C111" s="46"/>
      <c r="D111" s="46"/>
      <c r="E111" s="46"/>
    </row>
  </sheetData>
  <hyperlinks>
    <hyperlink ref="A110" location="Indice!A5" display="Volver al índice"/>
  </hyperlinks>
  <pageMargins left="0.7" right="0.7" top="0.75" bottom="0.75" header="0.3" footer="0.3"/>
  <pageSetup paperSize="3" orientation="portrait" verticalDpi="0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08"/>
  <sheetViews>
    <sheetView showGridLines="0" zoomScale="80" zoomScaleNormal="80" workbookViewId="0">
      <pane ySplit="2" topLeftCell="A145" activePane="bottomLeft" state="frozen"/>
      <selection pane="bottomLeft" activeCell="P137" sqref="A137:P137"/>
    </sheetView>
  </sheetViews>
  <sheetFormatPr baseColWidth="10" defaultColWidth="10.85546875" defaultRowHeight="15" x14ac:dyDescent="0.2"/>
  <cols>
    <col min="1" max="1" width="37" style="34" customWidth="1"/>
    <col min="2" max="2" width="10.140625" style="34" customWidth="1"/>
    <col min="3" max="6" width="10.85546875" style="34" customWidth="1"/>
    <col min="7" max="14" width="10.85546875" style="1" customWidth="1"/>
    <col min="15" max="17" width="13.7109375" style="1" customWidth="1"/>
    <col min="18" max="18" width="14.5703125" style="1" customWidth="1"/>
    <col min="19" max="16384" width="10.85546875" style="1"/>
  </cols>
  <sheetData>
    <row r="1" spans="1:19" ht="21" x14ac:dyDescent="0.2">
      <c r="A1" s="86" t="s">
        <v>381</v>
      </c>
      <c r="B1" s="86"/>
      <c r="C1" s="86"/>
      <c r="D1" s="86"/>
      <c r="E1" s="86"/>
      <c r="F1" s="86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</row>
    <row r="2" spans="1:19" ht="18.75" x14ac:dyDescent="0.2">
      <c r="A2" s="77"/>
      <c r="B2" s="77"/>
      <c r="C2" s="77"/>
      <c r="D2" s="77"/>
      <c r="E2" s="77"/>
      <c r="F2" s="77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1:19" x14ac:dyDescent="0.2">
      <c r="A3" s="76"/>
      <c r="B3" s="76"/>
      <c r="C3" s="76"/>
      <c r="D3" s="76"/>
      <c r="E3" s="76"/>
      <c r="F3" s="76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1:19" ht="15.75" x14ac:dyDescent="0.2">
      <c r="A4" s="41" t="s">
        <v>46</v>
      </c>
      <c r="B4" s="41"/>
      <c r="C4" s="41"/>
      <c r="D4" s="41"/>
      <c r="E4" s="41"/>
      <c r="F4" s="41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</row>
    <row r="5" spans="1:19" ht="25.5" x14ac:dyDescent="0.2">
      <c r="A5" s="88" t="s">
        <v>0</v>
      </c>
      <c r="B5" s="3">
        <v>2007</v>
      </c>
      <c r="C5" s="3">
        <v>2008</v>
      </c>
      <c r="D5" s="3">
        <v>2009</v>
      </c>
      <c r="E5" s="3">
        <v>2010</v>
      </c>
      <c r="F5" s="3">
        <v>2011</v>
      </c>
      <c r="G5" s="3">
        <v>2012</v>
      </c>
      <c r="H5" s="3">
        <v>2013</v>
      </c>
      <c r="I5" s="3">
        <v>2014</v>
      </c>
      <c r="J5" s="3">
        <v>2015</v>
      </c>
      <c r="K5" s="3">
        <v>2016</v>
      </c>
      <c r="L5" s="3">
        <v>2017</v>
      </c>
      <c r="M5" s="3">
        <v>2018</v>
      </c>
      <c r="N5" s="3">
        <v>2019</v>
      </c>
      <c r="O5" s="13" t="s">
        <v>371</v>
      </c>
      <c r="P5" s="13" t="s">
        <v>372</v>
      </c>
      <c r="Q5" s="13" t="s">
        <v>310</v>
      </c>
      <c r="R5" s="13" t="s">
        <v>311</v>
      </c>
    </row>
    <row r="6" spans="1:19" x14ac:dyDescent="0.2">
      <c r="A6" s="4" t="s">
        <v>5</v>
      </c>
      <c r="B6" s="4">
        <v>12651</v>
      </c>
      <c r="C6" s="4">
        <v>19196</v>
      </c>
      <c r="D6" s="4">
        <v>16541</v>
      </c>
      <c r="E6" s="4">
        <v>13987</v>
      </c>
      <c r="F6" s="4">
        <v>22308</v>
      </c>
      <c r="G6" s="4">
        <v>25492</v>
      </c>
      <c r="H6" s="4">
        <v>28181</v>
      </c>
      <c r="I6" s="4">
        <v>27673</v>
      </c>
      <c r="J6" s="4">
        <v>30547</v>
      </c>
      <c r="K6" s="4">
        <v>33763</v>
      </c>
      <c r="L6" s="4">
        <v>32643</v>
      </c>
      <c r="M6" s="4">
        <v>35119</v>
      </c>
      <c r="N6" s="4">
        <v>33297</v>
      </c>
      <c r="O6" s="100">
        <f>(N6-E6)/E6</f>
        <v>1.3805676699792664</v>
      </c>
      <c r="P6" s="100">
        <f>(N6-J6)/J6</f>
        <v>9.0025207057976231E-2</v>
      </c>
      <c r="Q6" s="108">
        <f>(N6-M6)/M6</f>
        <v>-5.1880748312879067E-2</v>
      </c>
      <c r="R6" s="110">
        <f>N6/$N$9</f>
        <v>0.16826184508408798</v>
      </c>
      <c r="S6" s="107"/>
    </row>
    <row r="7" spans="1:19" x14ac:dyDescent="0.2">
      <c r="A7" s="4" t="s">
        <v>6</v>
      </c>
      <c r="B7" s="4">
        <v>17192</v>
      </c>
      <c r="C7" s="4">
        <v>18687</v>
      </c>
      <c r="D7" s="4">
        <v>23636</v>
      </c>
      <c r="E7" s="4">
        <v>23672</v>
      </c>
      <c r="F7" s="4">
        <v>30689</v>
      </c>
      <c r="G7" s="4">
        <v>38141</v>
      </c>
      <c r="H7" s="4">
        <v>47079</v>
      </c>
      <c r="I7" s="4">
        <v>55827</v>
      </c>
      <c r="J7" s="4">
        <v>67311</v>
      </c>
      <c r="K7" s="4">
        <v>72912</v>
      </c>
      <c r="L7" s="4">
        <v>78133</v>
      </c>
      <c r="M7" s="4">
        <v>79155</v>
      </c>
      <c r="N7" s="4">
        <v>73447</v>
      </c>
      <c r="O7" s="100">
        <f t="shared" ref="O7:O9" si="0">(N7-E7)/E7</f>
        <v>2.1026951672862455</v>
      </c>
      <c r="P7" s="100">
        <f t="shared" ref="P7:P9" si="1">(N7-J7)/J7</f>
        <v>9.1158948760232353E-2</v>
      </c>
      <c r="Q7" s="108">
        <f t="shared" ref="Q7:Q9" si="2">(N7-M7)/M7</f>
        <v>-7.2111679615943405E-2</v>
      </c>
      <c r="R7" s="110">
        <f>N7/$N$9</f>
        <v>0.37115439036222508</v>
      </c>
    </row>
    <row r="8" spans="1:19" x14ac:dyDescent="0.2">
      <c r="A8" s="4" t="s">
        <v>7</v>
      </c>
      <c r="B8" s="4">
        <v>55148</v>
      </c>
      <c r="C8" s="4">
        <v>58796</v>
      </c>
      <c r="D8" s="4">
        <v>66384</v>
      </c>
      <c r="E8" s="4">
        <v>63813</v>
      </c>
      <c r="F8" s="4">
        <v>65050</v>
      </c>
      <c r="G8" s="4">
        <v>71645</v>
      </c>
      <c r="H8" s="4">
        <v>81110</v>
      </c>
      <c r="I8" s="4">
        <v>87028</v>
      </c>
      <c r="J8" s="4">
        <v>89721</v>
      </c>
      <c r="K8" s="4">
        <v>89290</v>
      </c>
      <c r="L8" s="4">
        <v>93831</v>
      </c>
      <c r="M8" s="4">
        <v>93594</v>
      </c>
      <c r="N8" s="4">
        <v>91144</v>
      </c>
      <c r="O8" s="100">
        <f t="shared" si="0"/>
        <v>0.42829830912196576</v>
      </c>
      <c r="P8" s="100">
        <f t="shared" si="1"/>
        <v>1.5860277972826874E-2</v>
      </c>
      <c r="Q8" s="108">
        <f t="shared" si="2"/>
        <v>-2.6176891681090667E-2</v>
      </c>
      <c r="R8" s="110">
        <f>N8/$N$9</f>
        <v>0.46058376455368694</v>
      </c>
    </row>
    <row r="9" spans="1:19" x14ac:dyDescent="0.2">
      <c r="A9" s="5" t="s">
        <v>4</v>
      </c>
      <c r="B9" s="5">
        <v>84991</v>
      </c>
      <c r="C9" s="5">
        <v>96679</v>
      </c>
      <c r="D9" s="5">
        <v>106561</v>
      </c>
      <c r="E9" s="5">
        <v>101472</v>
      </c>
      <c r="F9" s="5">
        <v>118047</v>
      </c>
      <c r="G9" s="5">
        <v>135278</v>
      </c>
      <c r="H9" s="5">
        <v>156370</v>
      </c>
      <c r="I9" s="5">
        <v>170528</v>
      </c>
      <c r="J9" s="5">
        <v>187579</v>
      </c>
      <c r="K9" s="5">
        <v>195965</v>
      </c>
      <c r="L9" s="5">
        <v>204607</v>
      </c>
      <c r="M9" s="5">
        <v>207868</v>
      </c>
      <c r="N9" s="5">
        <v>197888</v>
      </c>
      <c r="O9" s="83">
        <f t="shared" si="0"/>
        <v>0.95017344686218863</v>
      </c>
      <c r="P9" s="83">
        <f t="shared" si="1"/>
        <v>5.4958177621162285E-2</v>
      </c>
      <c r="Q9" s="109">
        <f t="shared" si="2"/>
        <v>-4.8011237900975619E-2</v>
      </c>
      <c r="R9" s="111">
        <f>N9/$N$9</f>
        <v>1</v>
      </c>
    </row>
    <row r="10" spans="1:19" x14ac:dyDescent="0.2"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30"/>
      <c r="P10" s="107"/>
    </row>
    <row r="11" spans="1:19" ht="15.75" x14ac:dyDescent="0.2">
      <c r="A11" s="41" t="s">
        <v>222</v>
      </c>
      <c r="B11" s="41"/>
      <c r="C11" s="41"/>
      <c r="D11" s="41"/>
      <c r="E11" s="41"/>
      <c r="F11" s="41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</row>
    <row r="12" spans="1:19" ht="25.5" x14ac:dyDescent="0.2">
      <c r="A12" s="88" t="s">
        <v>0</v>
      </c>
      <c r="B12" s="3">
        <v>2007</v>
      </c>
      <c r="C12" s="3">
        <v>2008</v>
      </c>
      <c r="D12" s="3">
        <v>2009</v>
      </c>
      <c r="E12" s="3">
        <v>2010</v>
      </c>
      <c r="F12" s="3">
        <v>2011</v>
      </c>
      <c r="G12" s="3">
        <v>2012</v>
      </c>
      <c r="H12" s="3">
        <v>2013</v>
      </c>
      <c r="I12" s="3">
        <v>2014</v>
      </c>
      <c r="J12" s="3">
        <v>2015</v>
      </c>
      <c r="K12" s="3">
        <v>2016</v>
      </c>
      <c r="L12" s="3">
        <v>2017</v>
      </c>
      <c r="M12" s="3">
        <v>2018</v>
      </c>
      <c r="N12" s="3">
        <v>2019</v>
      </c>
      <c r="O12" s="13" t="s">
        <v>371</v>
      </c>
      <c r="P12" s="13" t="s">
        <v>372</v>
      </c>
      <c r="Q12" s="13" t="s">
        <v>310</v>
      </c>
      <c r="R12" s="13" t="s">
        <v>311</v>
      </c>
    </row>
    <row r="13" spans="1:19" x14ac:dyDescent="0.2">
      <c r="A13" s="4" t="s">
        <v>5</v>
      </c>
      <c r="B13" s="4">
        <v>12651</v>
      </c>
      <c r="C13" s="4">
        <v>19196</v>
      </c>
      <c r="D13" s="4">
        <v>16541</v>
      </c>
      <c r="E13" s="4">
        <v>13987</v>
      </c>
      <c r="F13" s="4">
        <v>22308</v>
      </c>
      <c r="G13" s="4">
        <v>25492</v>
      </c>
      <c r="H13" s="4">
        <v>28181</v>
      </c>
      <c r="I13" s="4">
        <v>27673</v>
      </c>
      <c r="J13" s="4">
        <v>30547</v>
      </c>
      <c r="K13" s="4">
        <v>33763</v>
      </c>
      <c r="L13" s="4">
        <v>32643</v>
      </c>
      <c r="M13" s="4">
        <v>35119</v>
      </c>
      <c r="N13" s="4">
        <v>33297</v>
      </c>
      <c r="O13" s="100">
        <f>(N13-E13)/E13</f>
        <v>1.3805676699792664</v>
      </c>
      <c r="P13" s="100">
        <f>(N13-J13)/J13</f>
        <v>9.0025207057976231E-2</v>
      </c>
      <c r="Q13" s="108">
        <f>(N13-M13)/M13</f>
        <v>-5.1880748312879067E-2</v>
      </c>
      <c r="R13" s="110">
        <f t="shared" ref="R13:R19" si="3">N13/$N$9</f>
        <v>0.16826184508408798</v>
      </c>
    </row>
    <row r="14" spans="1:19" x14ac:dyDescent="0.2">
      <c r="A14" s="4" t="s">
        <v>6</v>
      </c>
      <c r="B14" s="4">
        <v>17192</v>
      </c>
      <c r="C14" s="4">
        <v>18687</v>
      </c>
      <c r="D14" s="4">
        <v>23636</v>
      </c>
      <c r="E14" s="4">
        <v>23672</v>
      </c>
      <c r="F14" s="4">
        <v>30689</v>
      </c>
      <c r="G14" s="4">
        <v>38141</v>
      </c>
      <c r="H14" s="4">
        <v>47079</v>
      </c>
      <c r="I14" s="4">
        <v>55827</v>
      </c>
      <c r="J14" s="4">
        <v>67311</v>
      </c>
      <c r="K14" s="4">
        <v>72912</v>
      </c>
      <c r="L14" s="4">
        <v>78133</v>
      </c>
      <c r="M14" s="4">
        <v>79155</v>
      </c>
      <c r="N14" s="4">
        <v>73447</v>
      </c>
      <c r="O14" s="100">
        <f t="shared" ref="O14:O17" si="4">(N14-E14)/E14</f>
        <v>2.1026951672862455</v>
      </c>
      <c r="P14" s="100">
        <f t="shared" ref="P14:P18" si="5">(N14-J14)/J14</f>
        <v>9.1158948760232353E-2</v>
      </c>
      <c r="Q14" s="108">
        <f t="shared" ref="Q14:Q18" si="6">(N14-M14)/M14</f>
        <v>-7.2111679615943405E-2</v>
      </c>
      <c r="R14" s="110">
        <f t="shared" si="3"/>
        <v>0.37115439036222508</v>
      </c>
    </row>
    <row r="15" spans="1:19" x14ac:dyDescent="0.2">
      <c r="A15" s="32" t="s">
        <v>261</v>
      </c>
      <c r="B15" s="32">
        <v>20902</v>
      </c>
      <c r="C15" s="32">
        <v>20955</v>
      </c>
      <c r="D15" s="32">
        <v>24660</v>
      </c>
      <c r="E15" s="32">
        <v>23163</v>
      </c>
      <c r="F15" s="32">
        <v>21640</v>
      </c>
      <c r="G15" s="4">
        <v>21626</v>
      </c>
      <c r="H15" s="4">
        <v>21817</v>
      </c>
      <c r="I15" s="4">
        <v>22339</v>
      </c>
      <c r="J15" s="4">
        <v>23270</v>
      </c>
      <c r="K15" s="4">
        <v>22436</v>
      </c>
      <c r="L15" s="4">
        <v>24320</v>
      </c>
      <c r="M15" s="32">
        <v>23350</v>
      </c>
      <c r="N15" s="32">
        <v>23122</v>
      </c>
      <c r="O15" s="100">
        <f t="shared" si="4"/>
        <v>-1.7700643267279713E-3</v>
      </c>
      <c r="P15" s="100">
        <f t="shared" si="5"/>
        <v>-6.3601203266007737E-3</v>
      </c>
      <c r="Q15" s="108">
        <f t="shared" si="6"/>
        <v>-9.7644539614561033E-3</v>
      </c>
      <c r="R15" s="110">
        <f t="shared" si="3"/>
        <v>0.11684387128072445</v>
      </c>
    </row>
    <row r="16" spans="1:19" x14ac:dyDescent="0.2">
      <c r="A16" s="32" t="s">
        <v>262</v>
      </c>
      <c r="B16" s="32">
        <v>11384</v>
      </c>
      <c r="C16" s="32">
        <v>11877</v>
      </c>
      <c r="D16" s="32">
        <v>13532</v>
      </c>
      <c r="E16" s="32">
        <v>13035</v>
      </c>
      <c r="F16" s="32">
        <v>12944</v>
      </c>
      <c r="G16" s="4">
        <v>14567</v>
      </c>
      <c r="H16" s="4">
        <v>15830</v>
      </c>
      <c r="I16" s="4">
        <v>16338</v>
      </c>
      <c r="J16" s="4">
        <v>16895</v>
      </c>
      <c r="K16" s="4">
        <v>16282</v>
      </c>
      <c r="L16" s="4">
        <v>18284</v>
      </c>
      <c r="M16" s="32">
        <v>17056</v>
      </c>
      <c r="N16" s="32">
        <v>18522</v>
      </c>
      <c r="O16" s="100">
        <f t="shared" si="4"/>
        <v>0.42094361334867664</v>
      </c>
      <c r="P16" s="100">
        <f t="shared" si="5"/>
        <v>9.6300680674755848E-2</v>
      </c>
      <c r="Q16" s="108">
        <f t="shared" si="6"/>
        <v>8.5952157598499057E-2</v>
      </c>
      <c r="R16" s="110">
        <f t="shared" si="3"/>
        <v>9.3598399094437262E-2</v>
      </c>
    </row>
    <row r="17" spans="1:19" x14ac:dyDescent="0.2">
      <c r="A17" s="32" t="s">
        <v>263</v>
      </c>
      <c r="B17" s="32">
        <v>22862</v>
      </c>
      <c r="C17" s="32">
        <v>25964</v>
      </c>
      <c r="D17" s="32">
        <v>28192</v>
      </c>
      <c r="E17" s="32">
        <v>27615</v>
      </c>
      <c r="F17" s="32">
        <v>30466</v>
      </c>
      <c r="G17" s="4">
        <v>35452</v>
      </c>
      <c r="H17" s="4">
        <v>43463</v>
      </c>
      <c r="I17" s="4">
        <v>48351</v>
      </c>
      <c r="J17" s="4">
        <v>49556</v>
      </c>
      <c r="K17" s="4">
        <v>50572</v>
      </c>
      <c r="L17" s="4">
        <v>51227</v>
      </c>
      <c r="M17" s="32">
        <v>53188</v>
      </c>
      <c r="N17" s="32">
        <v>49500</v>
      </c>
      <c r="O17" s="100">
        <f t="shared" si="4"/>
        <v>0.79250407387289512</v>
      </c>
      <c r="P17" s="100">
        <f>(N17-J17)/J17</f>
        <v>-1.130034708208895E-3</v>
      </c>
      <c r="Q17" s="108">
        <f t="shared" si="6"/>
        <v>-6.9338948635030456E-2</v>
      </c>
      <c r="R17" s="110">
        <f t="shared" si="3"/>
        <v>0.25014149417852521</v>
      </c>
    </row>
    <row r="18" spans="1:19" x14ac:dyDescent="0.2">
      <c r="A18" s="5" t="s">
        <v>4</v>
      </c>
      <c r="B18" s="5">
        <v>84991</v>
      </c>
      <c r="C18" s="5">
        <f>SUM(C13:C17)</f>
        <v>96679</v>
      </c>
      <c r="D18" s="5">
        <f t="shared" ref="D18:N18" si="7">SUM(D13:D17)</f>
        <v>106561</v>
      </c>
      <c r="E18" s="5">
        <f t="shared" si="7"/>
        <v>101472</v>
      </c>
      <c r="F18" s="5">
        <f t="shared" si="7"/>
        <v>118047</v>
      </c>
      <c r="G18" s="5">
        <f t="shared" si="7"/>
        <v>135278</v>
      </c>
      <c r="H18" s="5">
        <f t="shared" si="7"/>
        <v>156370</v>
      </c>
      <c r="I18" s="5">
        <f t="shared" si="7"/>
        <v>170528</v>
      </c>
      <c r="J18" s="5">
        <f t="shared" si="7"/>
        <v>187579</v>
      </c>
      <c r="K18" s="5">
        <f t="shared" si="7"/>
        <v>195965</v>
      </c>
      <c r="L18" s="5">
        <f t="shared" si="7"/>
        <v>204607</v>
      </c>
      <c r="M18" s="5">
        <f t="shared" si="7"/>
        <v>207868</v>
      </c>
      <c r="N18" s="5">
        <f t="shared" si="7"/>
        <v>197888</v>
      </c>
      <c r="O18" s="83">
        <f>(N18-E18)/E18</f>
        <v>0.95017344686218863</v>
      </c>
      <c r="P18" s="83">
        <f t="shared" si="5"/>
        <v>5.4958177621162285E-2</v>
      </c>
      <c r="Q18" s="109">
        <f t="shared" si="6"/>
        <v>-4.8011237900975619E-2</v>
      </c>
      <c r="R18" s="111">
        <f t="shared" si="3"/>
        <v>1</v>
      </c>
    </row>
    <row r="19" spans="1:19" x14ac:dyDescent="0.2">
      <c r="A19" s="121" t="s">
        <v>373</v>
      </c>
      <c r="G19" s="34"/>
      <c r="H19" s="34"/>
      <c r="I19" s="34"/>
      <c r="J19" s="131"/>
      <c r="K19" s="131"/>
      <c r="L19" s="131"/>
      <c r="M19" s="131"/>
      <c r="N19" s="136">
        <f>N17/N8</f>
        <v>0.54309663828666721</v>
      </c>
      <c r="O19" s="34"/>
      <c r="P19" s="34"/>
      <c r="Q19" s="34"/>
      <c r="R19" s="34">
        <f t="shared" si="3"/>
        <v>2.7444647390779997E-6</v>
      </c>
      <c r="S19" s="34"/>
    </row>
    <row r="20" spans="1:19" x14ac:dyDescent="0.2">
      <c r="G20" s="34"/>
      <c r="H20" s="34"/>
      <c r="I20" s="34"/>
      <c r="J20" s="132"/>
      <c r="K20" s="132"/>
      <c r="L20" s="132"/>
      <c r="M20" s="132"/>
      <c r="N20" s="132"/>
      <c r="O20" s="34"/>
      <c r="P20" s="34"/>
      <c r="Q20" s="34"/>
      <c r="R20" s="34"/>
      <c r="S20" s="34"/>
    </row>
    <row r="21" spans="1:19" ht="15.75" x14ac:dyDescent="0.2">
      <c r="A21" s="41" t="s">
        <v>47</v>
      </c>
      <c r="B21" s="41"/>
      <c r="C21" s="41"/>
      <c r="D21" s="41"/>
      <c r="E21" s="41"/>
      <c r="F21" s="41"/>
      <c r="G21" s="40"/>
      <c r="H21" s="40"/>
      <c r="I21" s="40"/>
      <c r="J21" s="118"/>
      <c r="K21" s="118"/>
      <c r="L21" s="118"/>
      <c r="M21" s="118"/>
      <c r="N21" s="118"/>
      <c r="O21" s="40"/>
      <c r="P21" s="40"/>
      <c r="Q21" s="40"/>
      <c r="R21" s="40"/>
    </row>
    <row r="22" spans="1:19" ht="25.5" x14ac:dyDescent="0.2">
      <c r="A22" s="88" t="s">
        <v>37</v>
      </c>
      <c r="B22" s="3">
        <v>2007</v>
      </c>
      <c r="C22" s="3">
        <v>2008</v>
      </c>
      <c r="D22" s="3">
        <v>2009</v>
      </c>
      <c r="E22" s="3">
        <v>2010</v>
      </c>
      <c r="F22" s="3">
        <v>2011</v>
      </c>
      <c r="G22" s="3">
        <v>2012</v>
      </c>
      <c r="H22" s="3">
        <v>2013</v>
      </c>
      <c r="I22" s="3">
        <v>2014</v>
      </c>
      <c r="J22" s="3">
        <v>2015</v>
      </c>
      <c r="K22" s="3">
        <v>2016</v>
      </c>
      <c r="L22" s="3">
        <v>2017</v>
      </c>
      <c r="M22" s="3">
        <v>2018</v>
      </c>
      <c r="N22" s="3">
        <v>2019</v>
      </c>
      <c r="O22" s="13" t="s">
        <v>371</v>
      </c>
      <c r="P22" s="13" t="s">
        <v>372</v>
      </c>
      <c r="Q22" s="13" t="s">
        <v>310</v>
      </c>
      <c r="R22" s="13" t="s">
        <v>311</v>
      </c>
    </row>
    <row r="23" spans="1:19" x14ac:dyDescent="0.2">
      <c r="A23" s="4" t="s">
        <v>38</v>
      </c>
      <c r="B23" s="4">
        <v>22326</v>
      </c>
      <c r="C23" s="4">
        <v>31712</v>
      </c>
      <c r="D23" s="4">
        <v>32945</v>
      </c>
      <c r="E23" s="4">
        <v>30462</v>
      </c>
      <c r="F23" s="4">
        <v>42748</v>
      </c>
      <c r="G23" s="4">
        <v>51068</v>
      </c>
      <c r="H23" s="4">
        <v>58327</v>
      </c>
      <c r="I23" s="4">
        <v>63552</v>
      </c>
      <c r="J23" s="4">
        <v>74370</v>
      </c>
      <c r="K23" s="4">
        <v>81516</v>
      </c>
      <c r="L23" s="4">
        <v>82808</v>
      </c>
      <c r="M23" s="4">
        <v>85237</v>
      </c>
      <c r="N23" s="4">
        <v>80367</v>
      </c>
      <c r="O23" s="100">
        <f>(N23-E23)/E23</f>
        <v>1.6382706322631475</v>
      </c>
      <c r="P23" s="100">
        <f>(N23-J23)/J23</f>
        <v>8.063735377168213E-2</v>
      </c>
      <c r="Q23" s="108">
        <f>(N23-M23)/M23</f>
        <v>-5.7134812346750823E-2</v>
      </c>
      <c r="R23" s="110">
        <f>N23/$N$9</f>
        <v>0.40612366591203103</v>
      </c>
    </row>
    <row r="24" spans="1:19" x14ac:dyDescent="0.2">
      <c r="A24" s="32" t="s">
        <v>233</v>
      </c>
      <c r="B24" s="32">
        <v>16648</v>
      </c>
      <c r="C24" s="32">
        <v>16224</v>
      </c>
      <c r="D24" s="32">
        <v>18414</v>
      </c>
      <c r="E24" s="32">
        <v>16774</v>
      </c>
      <c r="F24" s="32">
        <v>20181</v>
      </c>
      <c r="G24" s="4">
        <v>23731</v>
      </c>
      <c r="H24" s="4">
        <v>29678</v>
      </c>
      <c r="I24" s="4">
        <v>33498</v>
      </c>
      <c r="J24" s="4">
        <v>38605</v>
      </c>
      <c r="K24" s="4">
        <v>39792</v>
      </c>
      <c r="L24" s="4">
        <v>42712</v>
      </c>
      <c r="M24" s="4">
        <v>43863</v>
      </c>
      <c r="N24" s="4">
        <v>38992</v>
      </c>
      <c r="O24" s="100">
        <f t="shared" ref="O24:O27" si="8">(N24-E24)/E24</f>
        <v>1.3245498986526767</v>
      </c>
      <c r="P24" s="100">
        <f t="shared" ref="P24:P27" si="9">(N24-J24)/J24</f>
        <v>1.0024608211371584E-2</v>
      </c>
      <c r="Q24" s="108">
        <f t="shared" ref="Q24:Q27" si="10">(N24-M24)/M24</f>
        <v>-0.11105031575587625</v>
      </c>
      <c r="R24" s="110">
        <f>N24/$N$9</f>
        <v>0.19704075032341525</v>
      </c>
    </row>
    <row r="25" spans="1:19" x14ac:dyDescent="0.2">
      <c r="A25" s="4" t="s">
        <v>40</v>
      </c>
      <c r="B25" s="4">
        <v>1434</v>
      </c>
      <c r="C25" s="4">
        <v>1124</v>
      </c>
      <c r="D25" s="4">
        <v>1173</v>
      </c>
      <c r="E25" s="4">
        <v>1303</v>
      </c>
      <c r="F25" s="4">
        <v>1274</v>
      </c>
      <c r="G25" s="4">
        <v>1361</v>
      </c>
      <c r="H25" s="4">
        <v>1361</v>
      </c>
      <c r="I25" s="4">
        <v>1413</v>
      </c>
      <c r="J25" s="4">
        <v>1521</v>
      </c>
      <c r="K25" s="4">
        <v>1859</v>
      </c>
      <c r="L25" s="4">
        <v>2353</v>
      </c>
      <c r="M25" s="4">
        <v>2686</v>
      </c>
      <c r="N25" s="4">
        <v>2555</v>
      </c>
      <c r="O25" s="100">
        <f t="shared" si="8"/>
        <v>0.96085955487336916</v>
      </c>
      <c r="P25" s="100">
        <f t="shared" si="9"/>
        <v>0.67981591058514135</v>
      </c>
      <c r="Q25" s="108">
        <f t="shared" si="10"/>
        <v>-4.8771407297096052E-2</v>
      </c>
      <c r="R25" s="110">
        <f>N25/$N$9</f>
        <v>1.2911343790426908E-2</v>
      </c>
    </row>
    <row r="26" spans="1:19" x14ac:dyDescent="0.2">
      <c r="A26" s="32" t="s">
        <v>234</v>
      </c>
      <c r="B26" s="32">
        <v>44583</v>
      </c>
      <c r="C26" s="32">
        <v>47619</v>
      </c>
      <c r="D26" s="32">
        <v>54029</v>
      </c>
      <c r="E26" s="32">
        <v>52933</v>
      </c>
      <c r="F26" s="32">
        <v>53844</v>
      </c>
      <c r="G26" s="4">
        <v>59118</v>
      </c>
      <c r="H26" s="4">
        <v>67004</v>
      </c>
      <c r="I26" s="4">
        <v>72065</v>
      </c>
      <c r="J26" s="4">
        <v>73083</v>
      </c>
      <c r="K26" s="4">
        <v>72798</v>
      </c>
      <c r="L26" s="4">
        <v>76734</v>
      </c>
      <c r="M26" s="4">
        <v>76082</v>
      </c>
      <c r="N26" s="4">
        <v>75974</v>
      </c>
      <c r="O26" s="100">
        <f t="shared" si="8"/>
        <v>0.43528611641131243</v>
      </c>
      <c r="P26" s="100">
        <f t="shared" si="9"/>
        <v>3.9557763091279778E-2</v>
      </c>
      <c r="Q26" s="108">
        <f t="shared" si="10"/>
        <v>-1.4195210430850923E-3</v>
      </c>
      <c r="R26" s="110">
        <f>N26/$N$9</f>
        <v>0.38392423997412678</v>
      </c>
    </row>
    <row r="27" spans="1:19" x14ac:dyDescent="0.2">
      <c r="A27" s="5" t="s">
        <v>4</v>
      </c>
      <c r="B27" s="5">
        <v>84991</v>
      </c>
      <c r="C27" s="5">
        <v>96679</v>
      </c>
      <c r="D27" s="5">
        <v>106561</v>
      </c>
      <c r="E27" s="5">
        <v>101472</v>
      </c>
      <c r="F27" s="5">
        <v>118047</v>
      </c>
      <c r="G27" s="5">
        <v>135278</v>
      </c>
      <c r="H27" s="5">
        <v>156370</v>
      </c>
      <c r="I27" s="5">
        <v>170528</v>
      </c>
      <c r="J27" s="5">
        <v>187579</v>
      </c>
      <c r="K27" s="5">
        <v>195965</v>
      </c>
      <c r="L27" s="5">
        <v>204607</v>
      </c>
      <c r="M27" s="5">
        <v>207868</v>
      </c>
      <c r="N27" s="5">
        <v>197888</v>
      </c>
      <c r="O27" s="83">
        <f t="shared" si="8"/>
        <v>0.95017344686218863</v>
      </c>
      <c r="P27" s="83">
        <f t="shared" si="9"/>
        <v>5.4958177621162285E-2</v>
      </c>
      <c r="Q27" s="109">
        <f t="shared" si="10"/>
        <v>-4.8011237900975619E-2</v>
      </c>
      <c r="R27" s="111">
        <f>N27/$N$9</f>
        <v>1</v>
      </c>
    </row>
    <row r="28" spans="1:19" x14ac:dyDescent="0.2">
      <c r="A28" s="76"/>
      <c r="B28" s="76"/>
      <c r="C28" s="76"/>
      <c r="D28" s="76"/>
      <c r="E28" s="76"/>
      <c r="F28" s="76"/>
      <c r="G28" s="40"/>
      <c r="H28" s="40"/>
      <c r="I28" s="40"/>
      <c r="J28" s="129"/>
      <c r="K28" s="129"/>
      <c r="L28" s="129"/>
      <c r="M28" s="129"/>
      <c r="N28" s="129"/>
      <c r="O28" s="40"/>
      <c r="P28" s="40"/>
      <c r="Q28" s="40"/>
      <c r="R28" s="40"/>
    </row>
    <row r="29" spans="1:19" ht="15.75" x14ac:dyDescent="0.2">
      <c r="A29" s="41" t="s">
        <v>223</v>
      </c>
      <c r="B29" s="41"/>
      <c r="C29" s="41"/>
      <c r="D29" s="41"/>
      <c r="E29" s="41"/>
      <c r="F29" s="41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</row>
    <row r="30" spans="1:19" ht="25.5" x14ac:dyDescent="0.2">
      <c r="A30" s="88" t="s">
        <v>37</v>
      </c>
      <c r="B30" s="3">
        <v>2007</v>
      </c>
      <c r="C30" s="3">
        <v>2008</v>
      </c>
      <c r="D30" s="3">
        <v>2009</v>
      </c>
      <c r="E30" s="3">
        <v>2010</v>
      </c>
      <c r="F30" s="3">
        <v>2011</v>
      </c>
      <c r="G30" s="3">
        <v>2012</v>
      </c>
      <c r="H30" s="3">
        <v>2013</v>
      </c>
      <c r="I30" s="3">
        <v>2014</v>
      </c>
      <c r="J30" s="3">
        <v>2015</v>
      </c>
      <c r="K30" s="3">
        <v>2016</v>
      </c>
      <c r="L30" s="3">
        <v>2017</v>
      </c>
      <c r="M30" s="3">
        <v>2018</v>
      </c>
      <c r="N30" s="3">
        <v>2019</v>
      </c>
      <c r="O30" s="13" t="s">
        <v>371</v>
      </c>
      <c r="P30" s="13" t="s">
        <v>372</v>
      </c>
      <c r="Q30" s="13" t="s">
        <v>310</v>
      </c>
      <c r="R30" s="13" t="s">
        <v>311</v>
      </c>
    </row>
    <row r="31" spans="1:19" x14ac:dyDescent="0.2">
      <c r="A31" s="4" t="s">
        <v>48</v>
      </c>
      <c r="B31" s="4">
        <f t="shared" ref="B31:N31" si="11">SUM(B23:B24)</f>
        <v>38974</v>
      </c>
      <c r="C31" s="4">
        <f t="shared" si="11"/>
        <v>47936</v>
      </c>
      <c r="D31" s="4">
        <f t="shared" si="11"/>
        <v>51359</v>
      </c>
      <c r="E31" s="4">
        <f t="shared" si="11"/>
        <v>47236</v>
      </c>
      <c r="F31" s="4">
        <f t="shared" si="11"/>
        <v>62929</v>
      </c>
      <c r="G31" s="4">
        <f t="shared" si="11"/>
        <v>74799</v>
      </c>
      <c r="H31" s="4">
        <f t="shared" si="11"/>
        <v>88005</v>
      </c>
      <c r="I31" s="4">
        <f t="shared" si="11"/>
        <v>97050</v>
      </c>
      <c r="J31" s="4">
        <f t="shared" si="11"/>
        <v>112975</v>
      </c>
      <c r="K31" s="4">
        <f t="shared" si="11"/>
        <v>121308</v>
      </c>
      <c r="L31" s="4">
        <f t="shared" si="11"/>
        <v>125520</v>
      </c>
      <c r="M31" s="4">
        <f t="shared" si="11"/>
        <v>129100</v>
      </c>
      <c r="N31" s="4">
        <f t="shared" si="11"/>
        <v>119359</v>
      </c>
      <c r="O31" s="100">
        <f>(N31-E31)/E31</f>
        <v>1.5268651028876281</v>
      </c>
      <c r="P31" s="100">
        <f>(N31-J31)/J31</f>
        <v>5.6508077008187649E-2</v>
      </c>
      <c r="Q31" s="108">
        <f>(N31-M31)/M31</f>
        <v>-7.5453137103020915E-2</v>
      </c>
      <c r="R31" s="110">
        <f>N31/$N$9</f>
        <v>0.60316441623544637</v>
      </c>
    </row>
    <row r="32" spans="1:19" x14ac:dyDescent="0.2">
      <c r="A32" s="4" t="s">
        <v>49</v>
      </c>
      <c r="B32" s="4">
        <f t="shared" ref="B32:N32" si="12">SUM(B25:B26)</f>
        <v>46017</v>
      </c>
      <c r="C32" s="4">
        <f t="shared" si="12"/>
        <v>48743</v>
      </c>
      <c r="D32" s="4">
        <f t="shared" si="12"/>
        <v>55202</v>
      </c>
      <c r="E32" s="4">
        <f t="shared" si="12"/>
        <v>54236</v>
      </c>
      <c r="F32" s="4">
        <f t="shared" si="12"/>
        <v>55118</v>
      </c>
      <c r="G32" s="4">
        <f t="shared" si="12"/>
        <v>60479</v>
      </c>
      <c r="H32" s="4">
        <f t="shared" si="12"/>
        <v>68365</v>
      </c>
      <c r="I32" s="4">
        <f t="shared" si="12"/>
        <v>73478</v>
      </c>
      <c r="J32" s="4">
        <f t="shared" si="12"/>
        <v>74604</v>
      </c>
      <c r="K32" s="4">
        <f t="shared" si="12"/>
        <v>74657</v>
      </c>
      <c r="L32" s="4">
        <f t="shared" si="12"/>
        <v>79087</v>
      </c>
      <c r="M32" s="4">
        <f t="shared" si="12"/>
        <v>78768</v>
      </c>
      <c r="N32" s="4">
        <f t="shared" si="12"/>
        <v>78529</v>
      </c>
      <c r="O32" s="100">
        <f t="shared" ref="O32:O33" si="13">(N32-E32)/E32</f>
        <v>0.44791282542960398</v>
      </c>
      <c r="P32" s="100">
        <f t="shared" ref="P32:P33" si="14">(N32-J32)/J32</f>
        <v>5.2611120047182457E-2</v>
      </c>
      <c r="Q32" s="108">
        <f t="shared" ref="Q32:Q33" si="15">(N32-M32)/M32</f>
        <v>-3.0342270972983955E-3</v>
      </c>
      <c r="R32" s="110">
        <f>N32/$N$9</f>
        <v>0.39683558376455369</v>
      </c>
    </row>
    <row r="33" spans="1:18" x14ac:dyDescent="0.2">
      <c r="A33" s="5" t="s">
        <v>4</v>
      </c>
      <c r="B33" s="5">
        <f>SUM(B31:B32)</f>
        <v>84991</v>
      </c>
      <c r="C33" s="5">
        <v>96679</v>
      </c>
      <c r="D33" s="5">
        <v>106561</v>
      </c>
      <c r="E33" s="5">
        <v>101472</v>
      </c>
      <c r="F33" s="5">
        <v>118047</v>
      </c>
      <c r="G33" s="5">
        <v>135278</v>
      </c>
      <c r="H33" s="5">
        <v>156370</v>
      </c>
      <c r="I33" s="5">
        <v>170528</v>
      </c>
      <c r="J33" s="5">
        <v>187579</v>
      </c>
      <c r="K33" s="5">
        <v>195965</v>
      </c>
      <c r="L33" s="5">
        <v>204607</v>
      </c>
      <c r="M33" s="5">
        <v>207868</v>
      </c>
      <c r="N33" s="5">
        <v>197888</v>
      </c>
      <c r="O33" s="83">
        <f t="shared" si="13"/>
        <v>0.95017344686218863</v>
      </c>
      <c r="P33" s="83">
        <f t="shared" si="14"/>
        <v>5.4958177621162285E-2</v>
      </c>
      <c r="Q33" s="109">
        <f t="shared" si="15"/>
        <v>-4.8011237900975619E-2</v>
      </c>
      <c r="R33" s="111">
        <f>N33/$N$9</f>
        <v>1</v>
      </c>
    </row>
    <row r="34" spans="1:18" x14ac:dyDescent="0.2">
      <c r="A34" s="75" t="s">
        <v>384</v>
      </c>
      <c r="B34" s="75"/>
      <c r="C34" s="75"/>
      <c r="D34" s="75"/>
      <c r="E34" s="75"/>
      <c r="F34" s="75"/>
      <c r="G34" s="40"/>
      <c r="H34" s="40"/>
      <c r="I34" s="40"/>
      <c r="J34" s="129"/>
      <c r="K34" s="129"/>
      <c r="L34" s="129"/>
      <c r="M34" s="129"/>
      <c r="N34" s="129"/>
      <c r="O34" s="128"/>
      <c r="P34" s="40"/>
      <c r="Q34" s="40"/>
      <c r="R34" s="40"/>
    </row>
    <row r="35" spans="1:18" x14ac:dyDescent="0.2">
      <c r="A35" s="75" t="s">
        <v>266</v>
      </c>
      <c r="B35" s="75"/>
      <c r="C35" s="75"/>
      <c r="D35" s="75"/>
      <c r="E35" s="75"/>
      <c r="F35" s="75"/>
      <c r="G35" s="40"/>
      <c r="H35" s="40"/>
      <c r="I35" s="40"/>
      <c r="J35" s="129"/>
      <c r="K35" s="129"/>
      <c r="L35" s="129"/>
      <c r="M35" s="129"/>
      <c r="N35" s="129"/>
      <c r="O35" s="128"/>
      <c r="P35" s="40"/>
      <c r="Q35" s="40"/>
      <c r="R35" s="40"/>
    </row>
    <row r="36" spans="1:18" x14ac:dyDescent="0.2">
      <c r="A36" s="76"/>
      <c r="B36" s="76"/>
      <c r="C36" s="76"/>
      <c r="D36" s="76"/>
      <c r="E36" s="76"/>
      <c r="F36" s="76"/>
      <c r="G36" s="40"/>
      <c r="H36" s="40"/>
      <c r="I36" s="40"/>
      <c r="J36" s="129"/>
      <c r="K36" s="129"/>
      <c r="L36" s="129"/>
      <c r="M36" s="129"/>
      <c r="N36" s="129"/>
      <c r="O36" s="40"/>
      <c r="P36" s="40"/>
      <c r="Q36" s="40"/>
      <c r="R36" s="40"/>
    </row>
    <row r="37" spans="1:18" ht="15.75" x14ac:dyDescent="0.2">
      <c r="A37" s="41" t="s">
        <v>235</v>
      </c>
      <c r="B37" s="41"/>
      <c r="C37" s="41"/>
      <c r="D37" s="41"/>
      <c r="E37" s="41"/>
      <c r="F37" s="41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</row>
    <row r="38" spans="1:18" ht="25.5" x14ac:dyDescent="0.2">
      <c r="A38" s="88" t="s">
        <v>50</v>
      </c>
      <c r="B38" s="3">
        <v>2007</v>
      </c>
      <c r="C38" s="3">
        <v>2008</v>
      </c>
      <c r="D38" s="3">
        <v>2009</v>
      </c>
      <c r="E38" s="3">
        <v>2010</v>
      </c>
      <c r="F38" s="3">
        <v>2011</v>
      </c>
      <c r="G38" s="3">
        <v>2012</v>
      </c>
      <c r="H38" s="3">
        <v>2013</v>
      </c>
      <c r="I38" s="3">
        <v>2014</v>
      </c>
      <c r="J38" s="3">
        <v>2015</v>
      </c>
      <c r="K38" s="3">
        <v>2016</v>
      </c>
      <c r="L38" s="3">
        <v>2017</v>
      </c>
      <c r="M38" s="3">
        <v>2018</v>
      </c>
      <c r="N38" s="3">
        <v>2019</v>
      </c>
      <c r="O38" s="13" t="s">
        <v>371</v>
      </c>
      <c r="P38" s="13" t="s">
        <v>372</v>
      </c>
      <c r="Q38" s="13" t="s">
        <v>310</v>
      </c>
      <c r="R38" s="13" t="s">
        <v>311</v>
      </c>
    </row>
    <row r="39" spans="1:18" s="12" customFormat="1" x14ac:dyDescent="0.2">
      <c r="A39" s="5" t="s">
        <v>5</v>
      </c>
      <c r="B39" s="5">
        <v>12651</v>
      </c>
      <c r="C39" s="5">
        <v>19196</v>
      </c>
      <c r="D39" s="5">
        <v>16541</v>
      </c>
      <c r="E39" s="5">
        <v>13987</v>
      </c>
      <c r="F39" s="5">
        <v>22308</v>
      </c>
      <c r="G39" s="23">
        <v>25492</v>
      </c>
      <c r="H39" s="23">
        <v>28181</v>
      </c>
      <c r="I39" s="23">
        <v>27673</v>
      </c>
      <c r="J39" s="23">
        <v>30547</v>
      </c>
      <c r="K39" s="23">
        <v>33763</v>
      </c>
      <c r="L39" s="23">
        <v>32643</v>
      </c>
      <c r="M39" s="23">
        <v>35119</v>
      </c>
      <c r="N39" s="23">
        <v>33297</v>
      </c>
      <c r="O39" s="83">
        <f>(N39-E39)/E39</f>
        <v>1.3805676699792664</v>
      </c>
      <c r="P39" s="83">
        <f>(N39-J39)/J39</f>
        <v>9.0025207057976231E-2</v>
      </c>
      <c r="Q39" s="109">
        <f>(N39-M39)/M39</f>
        <v>-5.1880748312879067E-2</v>
      </c>
      <c r="R39" s="111">
        <f t="shared" ref="R39:R49" si="16">N39/$N$9</f>
        <v>0.16826184508408798</v>
      </c>
    </row>
    <row r="40" spans="1:18" x14ac:dyDescent="0.2">
      <c r="A40" s="85" t="s">
        <v>38</v>
      </c>
      <c r="B40" s="85">
        <v>12651</v>
      </c>
      <c r="C40" s="85">
        <v>19196</v>
      </c>
      <c r="D40" s="85">
        <v>16541</v>
      </c>
      <c r="E40" s="85">
        <v>13987</v>
      </c>
      <c r="F40" s="85">
        <v>22308</v>
      </c>
      <c r="G40" s="4">
        <v>25492</v>
      </c>
      <c r="H40" s="4">
        <v>28181</v>
      </c>
      <c r="I40" s="4">
        <v>27673</v>
      </c>
      <c r="J40" s="4">
        <v>30547</v>
      </c>
      <c r="K40" s="4">
        <v>33763</v>
      </c>
      <c r="L40" s="4">
        <v>32643</v>
      </c>
      <c r="M40" s="4">
        <v>35119</v>
      </c>
      <c r="N40" s="4">
        <v>33297</v>
      </c>
      <c r="O40" s="100">
        <f t="shared" ref="O40:O49" si="17">(N40-E40)/E40</f>
        <v>1.3805676699792664</v>
      </c>
      <c r="P40" s="100">
        <f t="shared" ref="P40:P49" si="18">(N40-J40)/J40</f>
        <v>9.0025207057976231E-2</v>
      </c>
      <c r="Q40" s="108">
        <f t="shared" ref="Q40:Q49" si="19">(N40-M40)/M40</f>
        <v>-5.1880748312879067E-2</v>
      </c>
      <c r="R40" s="110">
        <f t="shared" si="16"/>
        <v>0.16826184508408798</v>
      </c>
    </row>
    <row r="41" spans="1:18" s="12" customFormat="1" x14ac:dyDescent="0.2">
      <c r="A41" s="5" t="s">
        <v>6</v>
      </c>
      <c r="B41" s="5">
        <v>17192</v>
      </c>
      <c r="C41" s="5">
        <v>18687</v>
      </c>
      <c r="D41" s="5">
        <v>23636</v>
      </c>
      <c r="E41" s="5">
        <v>23672</v>
      </c>
      <c r="F41" s="5">
        <v>30689</v>
      </c>
      <c r="G41" s="23">
        <v>38141</v>
      </c>
      <c r="H41" s="23">
        <v>47079</v>
      </c>
      <c r="I41" s="23">
        <v>55827</v>
      </c>
      <c r="J41" s="23">
        <v>67311</v>
      </c>
      <c r="K41" s="23">
        <v>72912</v>
      </c>
      <c r="L41" s="23">
        <v>78133</v>
      </c>
      <c r="M41" s="23">
        <v>79155</v>
      </c>
      <c r="N41" s="23">
        <v>73447</v>
      </c>
      <c r="O41" s="83">
        <f t="shared" si="17"/>
        <v>2.1026951672862455</v>
      </c>
      <c r="P41" s="83">
        <f t="shared" si="18"/>
        <v>9.1158948760232353E-2</v>
      </c>
      <c r="Q41" s="109">
        <f t="shared" si="19"/>
        <v>-7.2111679615943405E-2</v>
      </c>
      <c r="R41" s="111">
        <f t="shared" si="16"/>
        <v>0.37115439036222508</v>
      </c>
    </row>
    <row r="42" spans="1:18" x14ac:dyDescent="0.2">
      <c r="A42" s="85" t="s">
        <v>38</v>
      </c>
      <c r="B42" s="85">
        <v>6884</v>
      </c>
      <c r="C42" s="85">
        <v>9188</v>
      </c>
      <c r="D42" s="85">
        <v>12113</v>
      </c>
      <c r="E42" s="85">
        <v>12507</v>
      </c>
      <c r="F42" s="85">
        <v>16762</v>
      </c>
      <c r="G42" s="18">
        <v>21110</v>
      </c>
      <c r="H42" s="18">
        <v>24894</v>
      </c>
      <c r="I42" s="18">
        <v>30438</v>
      </c>
      <c r="J42" s="18">
        <v>37487</v>
      </c>
      <c r="K42" s="18">
        <v>40815</v>
      </c>
      <c r="L42" s="18">
        <v>43222</v>
      </c>
      <c r="M42" s="18">
        <v>43106</v>
      </c>
      <c r="N42" s="18">
        <v>40652</v>
      </c>
      <c r="O42" s="100">
        <f t="shared" si="17"/>
        <v>2.2503398097065643</v>
      </c>
      <c r="P42" s="100">
        <f t="shared" si="18"/>
        <v>8.4429268813188574E-2</v>
      </c>
      <c r="Q42" s="108">
        <f t="shared" si="19"/>
        <v>-5.6929429777757154E-2</v>
      </c>
      <c r="R42" s="110">
        <f t="shared" si="16"/>
        <v>0.20542933376455369</v>
      </c>
    </row>
    <row r="43" spans="1:18" x14ac:dyDescent="0.2">
      <c r="A43" s="85" t="s">
        <v>39</v>
      </c>
      <c r="B43" s="85">
        <v>10308</v>
      </c>
      <c r="C43" s="85">
        <v>9499</v>
      </c>
      <c r="D43" s="85">
        <v>11523</v>
      </c>
      <c r="E43" s="85">
        <v>11165</v>
      </c>
      <c r="F43" s="85">
        <v>13927</v>
      </c>
      <c r="G43" s="18">
        <v>17031</v>
      </c>
      <c r="H43" s="18">
        <v>22185</v>
      </c>
      <c r="I43" s="18">
        <v>25389</v>
      </c>
      <c r="J43" s="18">
        <v>29824</v>
      </c>
      <c r="K43" s="18">
        <v>32097</v>
      </c>
      <c r="L43" s="18">
        <v>34911</v>
      </c>
      <c r="M43" s="18">
        <v>36049</v>
      </c>
      <c r="N43" s="18">
        <v>32795</v>
      </c>
      <c r="O43" s="100">
        <f t="shared" si="17"/>
        <v>1.9373040752351096</v>
      </c>
      <c r="P43" s="100">
        <f t="shared" si="18"/>
        <v>9.9617757510729613E-2</v>
      </c>
      <c r="Q43" s="108">
        <f t="shared" si="19"/>
        <v>-9.0266026796859827E-2</v>
      </c>
      <c r="R43" s="110">
        <f t="shared" si="16"/>
        <v>0.16572505659767142</v>
      </c>
    </row>
    <row r="44" spans="1:18" s="12" customFormat="1" x14ac:dyDescent="0.2">
      <c r="A44" s="5" t="s">
        <v>7</v>
      </c>
      <c r="B44" s="5">
        <v>55148</v>
      </c>
      <c r="C44" s="5">
        <v>58796</v>
      </c>
      <c r="D44" s="5">
        <v>66384</v>
      </c>
      <c r="E44" s="5">
        <v>63813</v>
      </c>
      <c r="F44" s="5">
        <v>65050</v>
      </c>
      <c r="G44" s="23">
        <v>71645</v>
      </c>
      <c r="H44" s="23">
        <v>81110</v>
      </c>
      <c r="I44" s="23">
        <v>87028</v>
      </c>
      <c r="J44" s="23">
        <v>89721</v>
      </c>
      <c r="K44" s="23">
        <v>89290</v>
      </c>
      <c r="L44" s="23">
        <v>93831</v>
      </c>
      <c r="M44" s="23">
        <v>93594</v>
      </c>
      <c r="N44" s="23">
        <v>91144</v>
      </c>
      <c r="O44" s="83">
        <f t="shared" si="17"/>
        <v>0.42829830912196576</v>
      </c>
      <c r="P44" s="83">
        <f t="shared" si="18"/>
        <v>1.5860277972826874E-2</v>
      </c>
      <c r="Q44" s="109">
        <f t="shared" si="19"/>
        <v>-2.6176891681090667E-2</v>
      </c>
      <c r="R44" s="111">
        <f t="shared" si="16"/>
        <v>0.46058376455368694</v>
      </c>
    </row>
    <row r="45" spans="1:18" x14ac:dyDescent="0.2">
      <c r="A45" s="85" t="s">
        <v>38</v>
      </c>
      <c r="B45" s="85">
        <v>2791</v>
      </c>
      <c r="C45" s="85">
        <v>3328</v>
      </c>
      <c r="D45" s="85">
        <v>4291</v>
      </c>
      <c r="E45" s="85">
        <v>3968</v>
      </c>
      <c r="F45" s="85">
        <v>3678</v>
      </c>
      <c r="G45" s="18">
        <v>4466</v>
      </c>
      <c r="H45" s="18">
        <v>5252</v>
      </c>
      <c r="I45" s="18">
        <v>5441</v>
      </c>
      <c r="J45" s="18">
        <v>6336</v>
      </c>
      <c r="K45" s="18">
        <v>6938</v>
      </c>
      <c r="L45" s="18">
        <v>6943</v>
      </c>
      <c r="M45" s="18">
        <v>7012</v>
      </c>
      <c r="N45" s="18">
        <v>6418</v>
      </c>
      <c r="O45" s="100">
        <f t="shared" si="17"/>
        <v>0.61743951612903225</v>
      </c>
      <c r="P45" s="100">
        <f t="shared" si="18"/>
        <v>1.2941919191919192E-2</v>
      </c>
      <c r="Q45" s="108">
        <f t="shared" si="19"/>
        <v>-8.4711922418710783E-2</v>
      </c>
      <c r="R45" s="110">
        <f t="shared" si="16"/>
        <v>3.2432487063389394E-2</v>
      </c>
    </row>
    <row r="46" spans="1:18" x14ac:dyDescent="0.2">
      <c r="A46" s="85" t="s">
        <v>39</v>
      </c>
      <c r="B46" s="85">
        <v>6340</v>
      </c>
      <c r="C46" s="85">
        <v>6725</v>
      </c>
      <c r="D46" s="85">
        <v>6891</v>
      </c>
      <c r="E46" s="85">
        <v>5609</v>
      </c>
      <c r="F46" s="85">
        <v>6254</v>
      </c>
      <c r="G46" s="18">
        <v>6700</v>
      </c>
      <c r="H46" s="18">
        <v>7493</v>
      </c>
      <c r="I46" s="18">
        <v>8109</v>
      </c>
      <c r="J46" s="18">
        <v>8781</v>
      </c>
      <c r="K46" s="18">
        <v>7695</v>
      </c>
      <c r="L46" s="18">
        <v>7801</v>
      </c>
      <c r="M46" s="18">
        <v>7814</v>
      </c>
      <c r="N46" s="18">
        <v>6197</v>
      </c>
      <c r="O46" s="100">
        <f t="shared" si="17"/>
        <v>0.10483152077019077</v>
      </c>
      <c r="P46" s="100">
        <f t="shared" si="18"/>
        <v>-0.29427172303837834</v>
      </c>
      <c r="Q46" s="108">
        <f t="shared" si="19"/>
        <v>-0.20693626823649861</v>
      </c>
      <c r="R46" s="110">
        <f t="shared" si="16"/>
        <v>3.1315693725743853E-2</v>
      </c>
    </row>
    <row r="47" spans="1:18" x14ac:dyDescent="0.2">
      <c r="A47" s="85" t="s">
        <v>40</v>
      </c>
      <c r="B47" s="85">
        <v>1434</v>
      </c>
      <c r="C47" s="85">
        <v>1124</v>
      </c>
      <c r="D47" s="85">
        <v>1173</v>
      </c>
      <c r="E47" s="85">
        <v>1303</v>
      </c>
      <c r="F47" s="85">
        <v>1274</v>
      </c>
      <c r="G47" s="18">
        <v>1361</v>
      </c>
      <c r="H47" s="18">
        <v>1361</v>
      </c>
      <c r="I47" s="18">
        <v>1413</v>
      </c>
      <c r="J47" s="18">
        <v>1521</v>
      </c>
      <c r="K47" s="18">
        <v>1859</v>
      </c>
      <c r="L47" s="18">
        <v>2353</v>
      </c>
      <c r="M47" s="18">
        <v>2686</v>
      </c>
      <c r="N47" s="18">
        <v>2555</v>
      </c>
      <c r="O47" s="100">
        <f t="shared" si="17"/>
        <v>0.96085955487336916</v>
      </c>
      <c r="P47" s="100">
        <f t="shared" si="18"/>
        <v>0.67981591058514135</v>
      </c>
      <c r="Q47" s="108">
        <f t="shared" si="19"/>
        <v>-4.8771407297096052E-2</v>
      </c>
      <c r="R47" s="110">
        <f t="shared" si="16"/>
        <v>1.2911343790426908E-2</v>
      </c>
    </row>
    <row r="48" spans="1:18" x14ac:dyDescent="0.2">
      <c r="A48" s="85" t="s">
        <v>41</v>
      </c>
      <c r="B48" s="85">
        <v>44583</v>
      </c>
      <c r="C48" s="85">
        <v>47619</v>
      </c>
      <c r="D48" s="85">
        <v>54029</v>
      </c>
      <c r="E48" s="85">
        <v>52933</v>
      </c>
      <c r="F48" s="85">
        <v>53844</v>
      </c>
      <c r="G48" s="18">
        <v>59118</v>
      </c>
      <c r="H48" s="18">
        <v>67004</v>
      </c>
      <c r="I48" s="18">
        <v>72065</v>
      </c>
      <c r="J48" s="18">
        <v>73083</v>
      </c>
      <c r="K48" s="18">
        <v>72798</v>
      </c>
      <c r="L48" s="18">
        <v>76734</v>
      </c>
      <c r="M48" s="18">
        <v>76082</v>
      </c>
      <c r="N48" s="18">
        <v>75974</v>
      </c>
      <c r="O48" s="100">
        <f t="shared" si="17"/>
        <v>0.43528611641131243</v>
      </c>
      <c r="P48" s="100">
        <f t="shared" si="18"/>
        <v>3.9557763091279778E-2</v>
      </c>
      <c r="Q48" s="108">
        <f t="shared" si="19"/>
        <v>-1.4195210430850923E-3</v>
      </c>
      <c r="R48" s="110">
        <f t="shared" si="16"/>
        <v>0.38392423997412678</v>
      </c>
    </row>
    <row r="49" spans="1:18" x14ac:dyDescent="0.2">
      <c r="A49" s="5" t="s">
        <v>4</v>
      </c>
      <c r="B49" s="5">
        <v>84991</v>
      </c>
      <c r="C49" s="5">
        <v>96679</v>
      </c>
      <c r="D49" s="5">
        <v>106561</v>
      </c>
      <c r="E49" s="5">
        <v>101472</v>
      </c>
      <c r="F49" s="5">
        <v>118047</v>
      </c>
      <c r="G49" s="5">
        <v>135278</v>
      </c>
      <c r="H49" s="5">
        <v>156370</v>
      </c>
      <c r="I49" s="5">
        <v>170528</v>
      </c>
      <c r="J49" s="5">
        <v>187579</v>
      </c>
      <c r="K49" s="5">
        <v>195965</v>
      </c>
      <c r="L49" s="5">
        <v>204607</v>
      </c>
      <c r="M49" s="5">
        <v>207868</v>
      </c>
      <c r="N49" s="5">
        <v>197888</v>
      </c>
      <c r="O49" s="83">
        <f t="shared" si="17"/>
        <v>0.95017344686218863</v>
      </c>
      <c r="P49" s="83">
        <f t="shared" si="18"/>
        <v>5.4958177621162285E-2</v>
      </c>
      <c r="Q49" s="109">
        <f t="shared" si="19"/>
        <v>-4.8011237900975619E-2</v>
      </c>
      <c r="R49" s="111">
        <f t="shared" si="16"/>
        <v>1</v>
      </c>
    </row>
    <row r="50" spans="1:18" x14ac:dyDescent="0.2">
      <c r="A50" s="76"/>
      <c r="B50" s="76"/>
      <c r="C50" s="76"/>
      <c r="D50" s="76"/>
      <c r="E50" s="76"/>
      <c r="F50" s="76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</row>
    <row r="51" spans="1:18" ht="15.75" x14ac:dyDescent="0.2">
      <c r="A51" s="41" t="s">
        <v>236</v>
      </c>
      <c r="B51" s="41"/>
      <c r="C51" s="41"/>
      <c r="D51" s="41"/>
      <c r="E51" s="41"/>
      <c r="F51" s="41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</row>
    <row r="52" spans="1:18" ht="25.5" x14ac:dyDescent="0.2">
      <c r="A52" s="88" t="s">
        <v>50</v>
      </c>
      <c r="B52" s="3">
        <v>2007</v>
      </c>
      <c r="C52" s="3">
        <v>2008</v>
      </c>
      <c r="D52" s="3">
        <v>2009</v>
      </c>
      <c r="E52" s="3">
        <v>2010</v>
      </c>
      <c r="F52" s="3">
        <v>2011</v>
      </c>
      <c r="G52" s="3">
        <v>2012</v>
      </c>
      <c r="H52" s="3">
        <v>2013</v>
      </c>
      <c r="I52" s="3">
        <v>2014</v>
      </c>
      <c r="J52" s="3">
        <v>2015</v>
      </c>
      <c r="K52" s="3">
        <v>2016</v>
      </c>
      <c r="L52" s="3">
        <v>2017</v>
      </c>
      <c r="M52" s="3">
        <v>2018</v>
      </c>
      <c r="N52" s="3">
        <v>2019</v>
      </c>
      <c r="O52" s="13" t="s">
        <v>371</v>
      </c>
      <c r="P52" s="13" t="s">
        <v>372</v>
      </c>
      <c r="Q52" s="13" t="s">
        <v>310</v>
      </c>
      <c r="R52" s="13" t="s">
        <v>311</v>
      </c>
    </row>
    <row r="53" spans="1:18" s="12" customFormat="1" x14ac:dyDescent="0.2">
      <c r="A53" s="5" t="s">
        <v>5</v>
      </c>
      <c r="B53" s="5">
        <v>12651</v>
      </c>
      <c r="C53" s="5">
        <v>19196</v>
      </c>
      <c r="D53" s="5">
        <v>16541</v>
      </c>
      <c r="E53" s="5">
        <v>13987</v>
      </c>
      <c r="F53" s="5">
        <v>22308</v>
      </c>
      <c r="G53" s="23">
        <v>25492</v>
      </c>
      <c r="H53" s="23">
        <v>28181</v>
      </c>
      <c r="I53" s="23">
        <v>27673</v>
      </c>
      <c r="J53" s="23">
        <v>30547</v>
      </c>
      <c r="K53" s="23">
        <v>33763</v>
      </c>
      <c r="L53" s="23">
        <v>32643</v>
      </c>
      <c r="M53" s="23">
        <v>35119</v>
      </c>
      <c r="N53" s="23">
        <v>33297</v>
      </c>
      <c r="O53" s="83">
        <f>(N53-E53)/E53</f>
        <v>1.3805676699792664</v>
      </c>
      <c r="P53" s="83">
        <f>(N53-J53)/J53</f>
        <v>9.0025207057976231E-2</v>
      </c>
      <c r="Q53" s="109">
        <f>(N53-M53)/M53</f>
        <v>-5.1880748312879067E-2</v>
      </c>
      <c r="R53" s="111">
        <f t="shared" ref="R53:R73" si="20">N53/$N$9</f>
        <v>0.16826184508408798</v>
      </c>
    </row>
    <row r="54" spans="1:18" x14ac:dyDescent="0.2">
      <c r="A54" s="85" t="s">
        <v>38</v>
      </c>
      <c r="B54" s="85">
        <v>12651</v>
      </c>
      <c r="C54" s="85">
        <v>19196</v>
      </c>
      <c r="D54" s="85">
        <v>16541</v>
      </c>
      <c r="E54" s="85">
        <v>13987</v>
      </c>
      <c r="F54" s="85">
        <v>22308</v>
      </c>
      <c r="G54" s="4">
        <v>25492</v>
      </c>
      <c r="H54" s="4">
        <v>28181</v>
      </c>
      <c r="I54" s="4">
        <v>27673</v>
      </c>
      <c r="J54" s="4">
        <v>30547</v>
      </c>
      <c r="K54" s="4">
        <v>33763</v>
      </c>
      <c r="L54" s="4">
        <v>32643</v>
      </c>
      <c r="M54" s="4">
        <v>35119</v>
      </c>
      <c r="N54" s="24">
        <v>33297</v>
      </c>
      <c r="O54" s="100">
        <f t="shared" ref="O54:O72" si="21">(N54-E54)/E54</f>
        <v>1.3805676699792664</v>
      </c>
      <c r="P54" s="100">
        <f t="shared" ref="P54:P73" si="22">(N54-J54)/J54</f>
        <v>9.0025207057976231E-2</v>
      </c>
      <c r="Q54" s="108">
        <f t="shared" ref="Q54:Q73" si="23">(N54-M54)/M54</f>
        <v>-5.1880748312879067E-2</v>
      </c>
      <c r="R54" s="110">
        <f t="shared" si="20"/>
        <v>0.16826184508408798</v>
      </c>
    </row>
    <row r="55" spans="1:18" s="12" customFormat="1" x14ac:dyDescent="0.2">
      <c r="A55" s="5" t="s">
        <v>6</v>
      </c>
      <c r="B55" s="5">
        <v>17192</v>
      </c>
      <c r="C55" s="5">
        <v>18687</v>
      </c>
      <c r="D55" s="5">
        <v>23636</v>
      </c>
      <c r="E55" s="5">
        <v>23672</v>
      </c>
      <c r="F55" s="5">
        <v>30689</v>
      </c>
      <c r="G55" s="23">
        <v>38141</v>
      </c>
      <c r="H55" s="23">
        <v>47079</v>
      </c>
      <c r="I55" s="23">
        <v>55827</v>
      </c>
      <c r="J55" s="23">
        <v>67311</v>
      </c>
      <c r="K55" s="23">
        <v>72912</v>
      </c>
      <c r="L55" s="23">
        <v>78133</v>
      </c>
      <c r="M55" s="23">
        <v>79155</v>
      </c>
      <c r="N55" s="23">
        <v>73447</v>
      </c>
      <c r="O55" s="83">
        <f t="shared" si="21"/>
        <v>2.1026951672862455</v>
      </c>
      <c r="P55" s="83">
        <f t="shared" si="22"/>
        <v>9.1158948760232353E-2</v>
      </c>
      <c r="Q55" s="109">
        <f t="shared" si="23"/>
        <v>-7.2111679615943405E-2</v>
      </c>
      <c r="R55" s="111">
        <f t="shared" si="20"/>
        <v>0.37115439036222508</v>
      </c>
    </row>
    <row r="56" spans="1:18" x14ac:dyDescent="0.2">
      <c r="A56" s="85" t="s">
        <v>38</v>
      </c>
      <c r="B56" s="85">
        <v>6884</v>
      </c>
      <c r="C56" s="85">
        <v>9188</v>
      </c>
      <c r="D56" s="85">
        <v>12113</v>
      </c>
      <c r="E56" s="85">
        <v>12507</v>
      </c>
      <c r="F56" s="85">
        <v>16762</v>
      </c>
      <c r="G56" s="18">
        <v>21110</v>
      </c>
      <c r="H56" s="18">
        <v>24894</v>
      </c>
      <c r="I56" s="18">
        <v>30438</v>
      </c>
      <c r="J56" s="18">
        <v>37487</v>
      </c>
      <c r="K56" s="18">
        <v>40815</v>
      </c>
      <c r="L56" s="18">
        <v>43222</v>
      </c>
      <c r="M56" s="18">
        <v>43106</v>
      </c>
      <c r="N56" s="18">
        <v>40652</v>
      </c>
      <c r="O56" s="100">
        <f t="shared" si="21"/>
        <v>2.2503398097065643</v>
      </c>
      <c r="P56" s="100">
        <f t="shared" si="22"/>
        <v>8.4429268813188574E-2</v>
      </c>
      <c r="Q56" s="108">
        <f t="shared" si="23"/>
        <v>-5.6929429777757154E-2</v>
      </c>
      <c r="R56" s="110">
        <f t="shared" si="20"/>
        <v>0.20542933376455369</v>
      </c>
    </row>
    <row r="57" spans="1:18" x14ac:dyDescent="0.2">
      <c r="A57" s="85" t="s">
        <v>39</v>
      </c>
      <c r="B57" s="85">
        <v>10308</v>
      </c>
      <c r="C57" s="85">
        <v>9499</v>
      </c>
      <c r="D57" s="85">
        <v>11523</v>
      </c>
      <c r="E57" s="85">
        <v>11165</v>
      </c>
      <c r="F57" s="85">
        <v>13927</v>
      </c>
      <c r="G57" s="18">
        <v>17031</v>
      </c>
      <c r="H57" s="18">
        <v>22185</v>
      </c>
      <c r="I57" s="18">
        <v>25389</v>
      </c>
      <c r="J57" s="18">
        <v>29824</v>
      </c>
      <c r="K57" s="18">
        <v>32097</v>
      </c>
      <c r="L57" s="18">
        <v>34911</v>
      </c>
      <c r="M57" s="18">
        <v>36049</v>
      </c>
      <c r="N57" s="18">
        <v>32795</v>
      </c>
      <c r="O57" s="100">
        <f t="shared" si="21"/>
        <v>1.9373040752351096</v>
      </c>
      <c r="P57" s="100">
        <f t="shared" si="22"/>
        <v>9.9617757510729613E-2</v>
      </c>
      <c r="Q57" s="108">
        <f t="shared" si="23"/>
        <v>-9.0266026796859827E-2</v>
      </c>
      <c r="R57" s="110">
        <f t="shared" si="20"/>
        <v>0.16572505659767142</v>
      </c>
    </row>
    <row r="58" spans="1:18" s="12" customFormat="1" x14ac:dyDescent="0.2">
      <c r="A58" s="5" t="s">
        <v>265</v>
      </c>
      <c r="B58" s="5">
        <v>20902</v>
      </c>
      <c r="C58" s="5">
        <v>20955</v>
      </c>
      <c r="D58" s="5">
        <v>24660</v>
      </c>
      <c r="E58" s="5">
        <v>23163</v>
      </c>
      <c r="F58" s="5">
        <v>21640</v>
      </c>
      <c r="G58" s="23">
        <v>21626</v>
      </c>
      <c r="H58" s="23">
        <v>21817</v>
      </c>
      <c r="I58" s="23">
        <v>22339</v>
      </c>
      <c r="J58" s="23">
        <v>23270</v>
      </c>
      <c r="K58" s="23">
        <v>22436</v>
      </c>
      <c r="L58" s="23">
        <v>24320</v>
      </c>
      <c r="M58" s="23">
        <v>23350</v>
      </c>
      <c r="N58" s="23">
        <v>23122</v>
      </c>
      <c r="O58" s="83">
        <f t="shared" si="21"/>
        <v>-1.7700643267279713E-3</v>
      </c>
      <c r="P58" s="83">
        <f t="shared" si="22"/>
        <v>-6.3601203266007737E-3</v>
      </c>
      <c r="Q58" s="109">
        <f t="shared" si="23"/>
        <v>-9.7644539614561033E-3</v>
      </c>
      <c r="R58" s="111">
        <f t="shared" si="20"/>
        <v>0.11684387128072445</v>
      </c>
    </row>
    <row r="59" spans="1:18" x14ac:dyDescent="0.2">
      <c r="A59" s="85" t="s">
        <v>38</v>
      </c>
      <c r="B59" s="85">
        <v>1069</v>
      </c>
      <c r="C59" s="85">
        <v>922</v>
      </c>
      <c r="D59" s="85">
        <v>1306</v>
      </c>
      <c r="E59" s="85">
        <v>1489</v>
      </c>
      <c r="F59" s="85">
        <v>1270</v>
      </c>
      <c r="G59" s="18">
        <v>1048</v>
      </c>
      <c r="H59" s="18">
        <v>1175</v>
      </c>
      <c r="I59" s="18">
        <v>1671</v>
      </c>
      <c r="J59" s="18">
        <v>2309</v>
      </c>
      <c r="K59" s="18">
        <v>2731</v>
      </c>
      <c r="L59" s="18">
        <v>2898</v>
      </c>
      <c r="M59" s="18">
        <v>3245</v>
      </c>
      <c r="N59" s="18">
        <v>3031</v>
      </c>
      <c r="O59" s="100">
        <f t="shared" si="21"/>
        <v>1.035594358629953</v>
      </c>
      <c r="P59" s="100">
        <f t="shared" si="22"/>
        <v>0.31268947596362062</v>
      </c>
      <c r="Q59" s="108">
        <f t="shared" si="23"/>
        <v>-6.5947611710323581E-2</v>
      </c>
      <c r="R59" s="110">
        <f t="shared" si="20"/>
        <v>1.5316744825355756E-2</v>
      </c>
    </row>
    <row r="60" spans="1:18" x14ac:dyDescent="0.2">
      <c r="A60" s="85" t="s">
        <v>39</v>
      </c>
      <c r="B60" s="85">
        <v>2979</v>
      </c>
      <c r="C60" s="85">
        <v>3421</v>
      </c>
      <c r="D60" s="85">
        <v>3854</v>
      </c>
      <c r="E60" s="85">
        <v>2561</v>
      </c>
      <c r="F60" s="85">
        <v>2705</v>
      </c>
      <c r="G60" s="18">
        <v>2205</v>
      </c>
      <c r="H60" s="18">
        <v>2308</v>
      </c>
      <c r="I60" s="18">
        <v>2388</v>
      </c>
      <c r="J60" s="18">
        <v>3132</v>
      </c>
      <c r="K60" s="18">
        <v>2449</v>
      </c>
      <c r="L60" s="18">
        <v>2567</v>
      </c>
      <c r="M60" s="18">
        <v>2624</v>
      </c>
      <c r="N60" s="18">
        <v>2087</v>
      </c>
      <c r="O60" s="100">
        <f t="shared" si="21"/>
        <v>-0.1850839515814135</v>
      </c>
      <c r="P60" s="100">
        <f t="shared" si="22"/>
        <v>-0.33365261813537678</v>
      </c>
      <c r="Q60" s="108">
        <f t="shared" si="23"/>
        <v>-0.20464939024390244</v>
      </c>
      <c r="R60" s="110">
        <f t="shared" si="20"/>
        <v>1.0546369663648124E-2</v>
      </c>
    </row>
    <row r="61" spans="1:18" x14ac:dyDescent="0.2">
      <c r="A61" s="85" t="s">
        <v>40</v>
      </c>
      <c r="B61" s="85">
        <v>449</v>
      </c>
      <c r="C61" s="85">
        <v>488</v>
      </c>
      <c r="D61" s="85">
        <v>424</v>
      </c>
      <c r="E61" s="85">
        <v>436</v>
      </c>
      <c r="F61" s="85">
        <v>397</v>
      </c>
      <c r="G61" s="18">
        <v>524</v>
      </c>
      <c r="H61" s="18">
        <v>379</v>
      </c>
      <c r="I61" s="18">
        <v>395</v>
      </c>
      <c r="J61" s="18">
        <v>335</v>
      </c>
      <c r="K61" s="18">
        <v>359</v>
      </c>
      <c r="L61" s="18">
        <v>426</v>
      </c>
      <c r="M61" s="18">
        <v>334</v>
      </c>
      <c r="N61" s="18">
        <v>521</v>
      </c>
      <c r="O61" s="100">
        <f t="shared" si="21"/>
        <v>0.19495412844036697</v>
      </c>
      <c r="P61" s="100">
        <f t="shared" si="22"/>
        <v>0.55522388059701488</v>
      </c>
      <c r="Q61" s="108">
        <f t="shared" si="23"/>
        <v>0.55988023952095811</v>
      </c>
      <c r="R61" s="110">
        <f t="shared" si="20"/>
        <v>2.6328023932729624E-3</v>
      </c>
    </row>
    <row r="62" spans="1:18" x14ac:dyDescent="0.2">
      <c r="A62" s="85" t="s">
        <v>41</v>
      </c>
      <c r="B62" s="85">
        <v>16405</v>
      </c>
      <c r="C62" s="85">
        <v>16124</v>
      </c>
      <c r="D62" s="85">
        <v>19076</v>
      </c>
      <c r="E62" s="85">
        <v>18677</v>
      </c>
      <c r="F62" s="85">
        <v>17268</v>
      </c>
      <c r="G62" s="18">
        <v>17849</v>
      </c>
      <c r="H62" s="18">
        <v>17955</v>
      </c>
      <c r="I62" s="18">
        <v>17885</v>
      </c>
      <c r="J62" s="18">
        <v>17494</v>
      </c>
      <c r="K62" s="18">
        <v>16897</v>
      </c>
      <c r="L62" s="18">
        <v>18429</v>
      </c>
      <c r="M62" s="18">
        <v>17147</v>
      </c>
      <c r="N62" s="18">
        <v>17483</v>
      </c>
      <c r="O62" s="100">
        <f t="shared" si="21"/>
        <v>-6.3928896503721161E-2</v>
      </c>
      <c r="P62" s="100">
        <f t="shared" si="22"/>
        <v>-6.2878701269006515E-4</v>
      </c>
      <c r="Q62" s="108">
        <f t="shared" si="23"/>
        <v>1.9595264477751211E-2</v>
      </c>
      <c r="R62" s="110">
        <f t="shared" si="20"/>
        <v>8.8347954398447601E-2</v>
      </c>
    </row>
    <row r="63" spans="1:18" s="12" customFormat="1" x14ac:dyDescent="0.2">
      <c r="A63" s="5" t="s">
        <v>262</v>
      </c>
      <c r="B63" s="5">
        <v>11384</v>
      </c>
      <c r="C63" s="5">
        <v>11877</v>
      </c>
      <c r="D63" s="5">
        <v>13532</v>
      </c>
      <c r="E63" s="5">
        <v>13035</v>
      </c>
      <c r="F63" s="5">
        <v>12944</v>
      </c>
      <c r="G63" s="23">
        <v>14567</v>
      </c>
      <c r="H63" s="23">
        <v>15830</v>
      </c>
      <c r="I63" s="23">
        <v>16338</v>
      </c>
      <c r="J63" s="23">
        <v>16895</v>
      </c>
      <c r="K63" s="23">
        <v>16282</v>
      </c>
      <c r="L63" s="23">
        <v>18284</v>
      </c>
      <c r="M63" s="23">
        <v>17056</v>
      </c>
      <c r="N63" s="23">
        <v>18522</v>
      </c>
      <c r="O63" s="83">
        <f t="shared" si="21"/>
        <v>0.42094361334867664</v>
      </c>
      <c r="P63" s="83">
        <f t="shared" si="22"/>
        <v>9.6300680674755848E-2</v>
      </c>
      <c r="Q63" s="109">
        <f t="shared" si="23"/>
        <v>8.5952157598499057E-2</v>
      </c>
      <c r="R63" s="111">
        <f t="shared" si="20"/>
        <v>9.3598399094437262E-2</v>
      </c>
    </row>
    <row r="64" spans="1:18" x14ac:dyDescent="0.2">
      <c r="A64" s="85" t="s">
        <v>38</v>
      </c>
      <c r="B64" s="85">
        <v>657</v>
      </c>
      <c r="C64" s="85">
        <v>686</v>
      </c>
      <c r="D64" s="85">
        <v>814</v>
      </c>
      <c r="E64" s="85">
        <v>704</v>
      </c>
      <c r="F64" s="85">
        <v>730</v>
      </c>
      <c r="G64" s="18">
        <v>932</v>
      </c>
      <c r="H64" s="18">
        <v>1308</v>
      </c>
      <c r="I64" s="18">
        <v>1170</v>
      </c>
      <c r="J64" s="18">
        <v>1613</v>
      </c>
      <c r="K64" s="18">
        <v>2016</v>
      </c>
      <c r="L64" s="18">
        <v>2326</v>
      </c>
      <c r="M64" s="18">
        <v>2166</v>
      </c>
      <c r="N64" s="18">
        <v>1805</v>
      </c>
      <c r="O64" s="100">
        <f t="shared" si="21"/>
        <v>1.5639204545454546</v>
      </c>
      <c r="P64" s="100">
        <f t="shared" si="22"/>
        <v>0.11903285802851829</v>
      </c>
      <c r="Q64" s="108">
        <f t="shared" si="23"/>
        <v>-0.16666666666666666</v>
      </c>
      <c r="R64" s="110">
        <f t="shared" si="20"/>
        <v>9.1213211513583442E-3</v>
      </c>
    </row>
    <row r="65" spans="1:18" x14ac:dyDescent="0.2">
      <c r="A65" s="85" t="s">
        <v>39</v>
      </c>
      <c r="B65" s="85">
        <v>803</v>
      </c>
      <c r="C65" s="85">
        <v>1058</v>
      </c>
      <c r="D65" s="85">
        <v>839</v>
      </c>
      <c r="E65" s="85">
        <v>694</v>
      </c>
      <c r="F65" s="85">
        <v>737</v>
      </c>
      <c r="G65" s="18">
        <v>1030</v>
      </c>
      <c r="H65" s="18">
        <v>1042</v>
      </c>
      <c r="I65" s="18">
        <v>1178</v>
      </c>
      <c r="J65" s="18">
        <v>1353</v>
      </c>
      <c r="K65" s="18">
        <v>1090</v>
      </c>
      <c r="L65" s="18">
        <v>1020</v>
      </c>
      <c r="M65" s="18">
        <v>1120</v>
      </c>
      <c r="N65" s="18">
        <v>972</v>
      </c>
      <c r="O65" s="100">
        <f t="shared" si="21"/>
        <v>0.40057636887608067</v>
      </c>
      <c r="P65" s="100">
        <f t="shared" si="22"/>
        <v>-0.28159645232815966</v>
      </c>
      <c r="Q65" s="108">
        <f t="shared" si="23"/>
        <v>-0.13214285714285715</v>
      </c>
      <c r="R65" s="110">
        <f t="shared" si="20"/>
        <v>4.9118693402328594E-3</v>
      </c>
    </row>
    <row r="66" spans="1:18" x14ac:dyDescent="0.2">
      <c r="A66" s="85" t="s">
        <v>40</v>
      </c>
      <c r="B66" s="85">
        <v>482</v>
      </c>
      <c r="C66" s="85">
        <v>313</v>
      </c>
      <c r="D66" s="85">
        <v>413</v>
      </c>
      <c r="E66" s="85">
        <v>465</v>
      </c>
      <c r="F66" s="85">
        <v>466</v>
      </c>
      <c r="G66" s="18">
        <v>449</v>
      </c>
      <c r="H66" s="18">
        <v>359</v>
      </c>
      <c r="I66" s="18">
        <v>392</v>
      </c>
      <c r="J66" s="18">
        <v>386</v>
      </c>
      <c r="K66" s="18">
        <v>469</v>
      </c>
      <c r="L66" s="18">
        <v>518</v>
      </c>
      <c r="M66" s="18">
        <v>395</v>
      </c>
      <c r="N66" s="18">
        <v>452</v>
      </c>
      <c r="O66" s="100">
        <f t="shared" si="21"/>
        <v>-2.7956989247311829E-2</v>
      </c>
      <c r="P66" s="100">
        <f t="shared" si="22"/>
        <v>0.17098445595854922</v>
      </c>
      <c r="Q66" s="108">
        <f t="shared" si="23"/>
        <v>0.14430379746835442</v>
      </c>
      <c r="R66" s="110">
        <f t="shared" si="20"/>
        <v>2.2841203104786547E-3</v>
      </c>
    </row>
    <row r="67" spans="1:18" x14ac:dyDescent="0.2">
      <c r="A67" s="85" t="s">
        <v>41</v>
      </c>
      <c r="B67" s="85">
        <v>9442</v>
      </c>
      <c r="C67" s="85">
        <v>9820</v>
      </c>
      <c r="D67" s="85">
        <v>11466</v>
      </c>
      <c r="E67" s="85">
        <v>11172</v>
      </c>
      <c r="F67" s="85">
        <v>11011</v>
      </c>
      <c r="G67" s="18">
        <v>12156</v>
      </c>
      <c r="H67" s="18">
        <v>13121</v>
      </c>
      <c r="I67" s="18">
        <v>13598</v>
      </c>
      <c r="J67" s="18">
        <v>13543</v>
      </c>
      <c r="K67" s="18">
        <v>12707</v>
      </c>
      <c r="L67" s="18">
        <v>14420</v>
      </c>
      <c r="M67" s="18">
        <v>13375</v>
      </c>
      <c r="N67" s="18">
        <v>15293</v>
      </c>
      <c r="O67" s="100">
        <f t="shared" si="21"/>
        <v>0.3688686000716076</v>
      </c>
      <c r="P67" s="100">
        <f t="shared" si="22"/>
        <v>0.12921804622314112</v>
      </c>
      <c r="Q67" s="108">
        <f t="shared" si="23"/>
        <v>0.14340186915887851</v>
      </c>
      <c r="R67" s="110">
        <f t="shared" si="20"/>
        <v>7.7281088292367406E-2</v>
      </c>
    </row>
    <row r="68" spans="1:18" s="12" customFormat="1" x14ac:dyDescent="0.2">
      <c r="A68" s="5" t="s">
        <v>263</v>
      </c>
      <c r="B68" s="5">
        <v>22862</v>
      </c>
      <c r="C68" s="5">
        <v>25964</v>
      </c>
      <c r="D68" s="5">
        <v>28192</v>
      </c>
      <c r="E68" s="5">
        <v>27615</v>
      </c>
      <c r="F68" s="5">
        <v>30466</v>
      </c>
      <c r="G68" s="23">
        <v>35452</v>
      </c>
      <c r="H68" s="23">
        <v>43463</v>
      </c>
      <c r="I68" s="23">
        <v>48351</v>
      </c>
      <c r="J68" s="23">
        <v>49556</v>
      </c>
      <c r="K68" s="23">
        <v>50572</v>
      </c>
      <c r="L68" s="23">
        <v>51227</v>
      </c>
      <c r="M68" s="23">
        <v>53188</v>
      </c>
      <c r="N68" s="23">
        <v>49500</v>
      </c>
      <c r="O68" s="83">
        <f t="shared" si="21"/>
        <v>0.79250407387289512</v>
      </c>
      <c r="P68" s="83">
        <f t="shared" si="22"/>
        <v>-1.130034708208895E-3</v>
      </c>
      <c r="Q68" s="109">
        <f t="shared" si="23"/>
        <v>-6.9338948635030456E-2</v>
      </c>
      <c r="R68" s="111">
        <f t="shared" si="20"/>
        <v>0.25014149417852521</v>
      </c>
    </row>
    <row r="69" spans="1:18" x14ac:dyDescent="0.2">
      <c r="A69" s="85" t="s">
        <v>38</v>
      </c>
      <c r="B69" s="85">
        <v>1065</v>
      </c>
      <c r="C69" s="85">
        <v>1720</v>
      </c>
      <c r="D69" s="85">
        <v>2171</v>
      </c>
      <c r="E69" s="85">
        <v>1775</v>
      </c>
      <c r="F69" s="85">
        <v>1678</v>
      </c>
      <c r="G69" s="18">
        <v>2486</v>
      </c>
      <c r="H69" s="18">
        <v>2769</v>
      </c>
      <c r="I69" s="18">
        <v>2600</v>
      </c>
      <c r="J69" s="18">
        <v>2414</v>
      </c>
      <c r="K69" s="18">
        <v>2191</v>
      </c>
      <c r="L69" s="18">
        <v>1719</v>
      </c>
      <c r="M69" s="18">
        <v>1601</v>
      </c>
      <c r="N69" s="18">
        <v>1582</v>
      </c>
      <c r="O69" s="100">
        <f t="shared" si="21"/>
        <v>-0.10873239436619718</v>
      </c>
      <c r="P69" s="100">
        <f t="shared" si="22"/>
        <v>-0.34465617232808615</v>
      </c>
      <c r="Q69" s="108">
        <f t="shared" si="23"/>
        <v>-1.1867582760774516E-2</v>
      </c>
      <c r="R69" s="110">
        <f t="shared" si="20"/>
        <v>7.9944210866752918E-3</v>
      </c>
    </row>
    <row r="70" spans="1:18" x14ac:dyDescent="0.2">
      <c r="A70" s="85" t="s">
        <v>39</v>
      </c>
      <c r="B70" s="85">
        <v>2558</v>
      </c>
      <c r="C70" s="85">
        <v>2246</v>
      </c>
      <c r="D70" s="85">
        <v>2198</v>
      </c>
      <c r="E70" s="85">
        <v>2354</v>
      </c>
      <c r="F70" s="85">
        <v>2812</v>
      </c>
      <c r="G70" s="18">
        <v>3465</v>
      </c>
      <c r="H70" s="18">
        <v>4143</v>
      </c>
      <c r="I70" s="18">
        <v>4543</v>
      </c>
      <c r="J70" s="18">
        <v>4296</v>
      </c>
      <c r="K70" s="18">
        <v>4156</v>
      </c>
      <c r="L70" s="18">
        <v>4214</v>
      </c>
      <c r="M70" s="18">
        <v>4070</v>
      </c>
      <c r="N70" s="18">
        <v>3138</v>
      </c>
      <c r="O70" s="100">
        <f t="shared" si="21"/>
        <v>0.33305012744265083</v>
      </c>
      <c r="P70" s="100">
        <f t="shared" si="22"/>
        <v>-0.26955307262569833</v>
      </c>
      <c r="Q70" s="108">
        <f t="shared" si="23"/>
        <v>-0.22899262899262898</v>
      </c>
      <c r="R70" s="110">
        <f t="shared" si="20"/>
        <v>1.5857454721862872E-2</v>
      </c>
    </row>
    <row r="71" spans="1:18" x14ac:dyDescent="0.2">
      <c r="A71" s="85" t="s">
        <v>40</v>
      </c>
      <c r="B71" s="85">
        <v>503</v>
      </c>
      <c r="C71" s="85">
        <v>323</v>
      </c>
      <c r="D71" s="85">
        <v>336</v>
      </c>
      <c r="E71" s="85">
        <v>402</v>
      </c>
      <c r="F71" s="85">
        <v>411</v>
      </c>
      <c r="G71" s="18">
        <v>388</v>
      </c>
      <c r="H71" s="18">
        <v>623</v>
      </c>
      <c r="I71" s="18">
        <v>626</v>
      </c>
      <c r="J71" s="18">
        <v>800</v>
      </c>
      <c r="K71" s="18">
        <v>1031</v>
      </c>
      <c r="L71" s="18">
        <v>1409</v>
      </c>
      <c r="M71" s="18">
        <v>1957</v>
      </c>
      <c r="N71" s="18">
        <v>1582</v>
      </c>
      <c r="O71" s="100">
        <f t="shared" si="21"/>
        <v>2.9353233830845773</v>
      </c>
      <c r="P71" s="100">
        <f t="shared" si="22"/>
        <v>0.97750000000000004</v>
      </c>
      <c r="Q71" s="108">
        <f t="shared" si="23"/>
        <v>-0.19161982626469085</v>
      </c>
      <c r="R71" s="110">
        <f t="shared" si="20"/>
        <v>7.9944210866752918E-3</v>
      </c>
    </row>
    <row r="72" spans="1:18" x14ac:dyDescent="0.2">
      <c r="A72" s="85" t="s">
        <v>41</v>
      </c>
      <c r="B72" s="85">
        <v>18736</v>
      </c>
      <c r="C72" s="85">
        <v>21675</v>
      </c>
      <c r="D72" s="85">
        <v>23487</v>
      </c>
      <c r="E72" s="85">
        <v>23084</v>
      </c>
      <c r="F72" s="85">
        <v>25565</v>
      </c>
      <c r="G72" s="18">
        <v>29113</v>
      </c>
      <c r="H72" s="18">
        <v>35928</v>
      </c>
      <c r="I72" s="18">
        <v>40582</v>
      </c>
      <c r="J72" s="18">
        <v>42046</v>
      </c>
      <c r="K72" s="18">
        <v>43194</v>
      </c>
      <c r="L72" s="18">
        <v>43885</v>
      </c>
      <c r="M72" s="18">
        <v>45560</v>
      </c>
      <c r="N72" s="18">
        <v>43198</v>
      </c>
      <c r="O72" s="100">
        <f t="shared" si="21"/>
        <v>0.87133945590019057</v>
      </c>
      <c r="P72" s="100">
        <f t="shared" si="22"/>
        <v>2.7398563478095418E-2</v>
      </c>
      <c r="Q72" s="108">
        <f t="shared" si="23"/>
        <v>-5.1843722563652328E-2</v>
      </c>
      <c r="R72" s="110">
        <f t="shared" si="20"/>
        <v>0.21829519728331176</v>
      </c>
    </row>
    <row r="73" spans="1:18" x14ac:dyDescent="0.2">
      <c r="A73" s="5" t="s">
        <v>4</v>
      </c>
      <c r="B73" s="5">
        <v>84991</v>
      </c>
      <c r="C73" s="5">
        <v>96679</v>
      </c>
      <c r="D73" s="5">
        <v>106561</v>
      </c>
      <c r="E73" s="5">
        <v>101472</v>
      </c>
      <c r="F73" s="5">
        <v>118047</v>
      </c>
      <c r="G73" s="5">
        <v>135278</v>
      </c>
      <c r="H73" s="5">
        <v>156370</v>
      </c>
      <c r="I73" s="5">
        <v>170528</v>
      </c>
      <c r="J73" s="5">
        <v>187579</v>
      </c>
      <c r="K73" s="5">
        <v>195965</v>
      </c>
      <c r="L73" s="5">
        <v>204607</v>
      </c>
      <c r="M73" s="5">
        <v>207868</v>
      </c>
      <c r="N73" s="5">
        <v>197888</v>
      </c>
      <c r="O73" s="83">
        <f>(N73-E73)/E73</f>
        <v>0.95017344686218863</v>
      </c>
      <c r="P73" s="83">
        <f t="shared" si="22"/>
        <v>5.4958177621162285E-2</v>
      </c>
      <c r="Q73" s="109">
        <f t="shared" si="23"/>
        <v>-4.8011237900975619E-2</v>
      </c>
      <c r="R73" s="111">
        <f t="shared" si="20"/>
        <v>1</v>
      </c>
    </row>
    <row r="74" spans="1:18" x14ac:dyDescent="0.2">
      <c r="A74" s="75" t="s">
        <v>373</v>
      </c>
      <c r="B74" s="76"/>
      <c r="C74" s="76"/>
      <c r="D74" s="76"/>
      <c r="E74" s="76"/>
      <c r="F74" s="76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</row>
    <row r="75" spans="1:18" x14ac:dyDescent="0.2">
      <c r="A75" s="76"/>
      <c r="B75" s="76"/>
      <c r="C75" s="76"/>
      <c r="D75" s="76"/>
      <c r="E75" s="76"/>
      <c r="F75" s="76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</row>
    <row r="76" spans="1:18" ht="15.75" x14ac:dyDescent="0.2">
      <c r="A76" s="41" t="s">
        <v>51</v>
      </c>
      <c r="B76" s="41"/>
      <c r="C76" s="41"/>
      <c r="D76" s="41"/>
      <c r="E76" s="41"/>
      <c r="F76" s="41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</row>
    <row r="77" spans="1:18" ht="25.5" x14ac:dyDescent="0.2">
      <c r="A77" s="88" t="s">
        <v>42</v>
      </c>
      <c r="B77" s="3">
        <v>2007</v>
      </c>
      <c r="C77" s="3">
        <v>2008</v>
      </c>
      <c r="D77" s="3">
        <v>2009</v>
      </c>
      <c r="E77" s="3">
        <v>2010</v>
      </c>
      <c r="F77" s="3">
        <v>2011</v>
      </c>
      <c r="G77" s="3">
        <v>2012</v>
      </c>
      <c r="H77" s="3">
        <v>2013</v>
      </c>
      <c r="I77" s="3">
        <v>2014</v>
      </c>
      <c r="J77" s="3">
        <v>2015</v>
      </c>
      <c r="K77" s="3">
        <v>2016</v>
      </c>
      <c r="L77" s="3">
        <v>2017</v>
      </c>
      <c r="M77" s="3">
        <v>2018</v>
      </c>
      <c r="N77" s="3">
        <v>2019</v>
      </c>
      <c r="O77" s="13" t="s">
        <v>371</v>
      </c>
      <c r="P77" s="13" t="s">
        <v>372</v>
      </c>
      <c r="Q77" s="13" t="s">
        <v>310</v>
      </c>
      <c r="R77" s="13" t="s">
        <v>311</v>
      </c>
    </row>
    <row r="78" spans="1:18" x14ac:dyDescent="0.2">
      <c r="A78" s="4" t="s">
        <v>43</v>
      </c>
      <c r="B78" s="4">
        <v>63840</v>
      </c>
      <c r="C78" s="4">
        <v>74316</v>
      </c>
      <c r="D78" s="4">
        <v>76981</v>
      </c>
      <c r="E78" s="4">
        <v>72962</v>
      </c>
      <c r="F78" s="4">
        <v>82409</v>
      </c>
      <c r="G78" s="18">
        <v>93674</v>
      </c>
      <c r="H78" s="18">
        <v>104669</v>
      </c>
      <c r="I78" s="18">
        <v>111065</v>
      </c>
      <c r="J78" s="18">
        <v>118128</v>
      </c>
      <c r="K78" s="18">
        <v>123512</v>
      </c>
      <c r="L78" s="18">
        <v>128542</v>
      </c>
      <c r="M78" s="18">
        <v>128342</v>
      </c>
      <c r="N78" s="18">
        <v>126492</v>
      </c>
      <c r="O78" s="100">
        <f t="shared" ref="O78:O83" si="24">(N78-E78)/E78</f>
        <v>0.73366958142594774</v>
      </c>
      <c r="P78" s="100">
        <f t="shared" ref="P78:P83" si="25">(N78-J78)/J78</f>
        <v>7.0804550995530277E-2</v>
      </c>
      <c r="Q78" s="108">
        <f t="shared" ref="Q78:Q83" si="26">(N78-M78)/M78</f>
        <v>-1.4414610961337676E-2</v>
      </c>
      <c r="R78" s="110">
        <f t="shared" ref="R78:R83" si="27">N78/$N$9</f>
        <v>0.63921005821474774</v>
      </c>
    </row>
    <row r="79" spans="1:18" x14ac:dyDescent="0.2">
      <c r="A79" s="4" t="s">
        <v>44</v>
      </c>
      <c r="B79" s="4">
        <v>19786</v>
      </c>
      <c r="C79" s="4">
        <v>20955</v>
      </c>
      <c r="D79" s="4">
        <v>27654</v>
      </c>
      <c r="E79" s="4">
        <v>26724</v>
      </c>
      <c r="F79" s="4">
        <v>32907</v>
      </c>
      <c r="G79" s="18">
        <v>39576</v>
      </c>
      <c r="H79" s="18">
        <v>48243</v>
      </c>
      <c r="I79" s="18">
        <v>54988</v>
      </c>
      <c r="J79" s="18">
        <v>61878</v>
      </c>
      <c r="K79" s="18">
        <v>64562</v>
      </c>
      <c r="L79" s="18">
        <v>68312</v>
      </c>
      <c r="M79" s="18">
        <v>69672</v>
      </c>
      <c r="N79" s="18">
        <v>60358</v>
      </c>
      <c r="O79" s="100">
        <f t="shared" si="24"/>
        <v>1.2585690764855562</v>
      </c>
      <c r="P79" s="100">
        <f t="shared" si="25"/>
        <v>-2.4564465561265715E-2</v>
      </c>
      <c r="Q79" s="108">
        <f t="shared" si="26"/>
        <v>-0.1336835457572626</v>
      </c>
      <c r="R79" s="110">
        <f t="shared" si="27"/>
        <v>0.30501091526520052</v>
      </c>
    </row>
    <row r="80" spans="1:18" x14ac:dyDescent="0.2">
      <c r="A80" s="4" t="s">
        <v>250</v>
      </c>
      <c r="B80" s="4">
        <v>156</v>
      </c>
      <c r="C80" s="4">
        <v>3</v>
      </c>
      <c r="D80" s="4">
        <v>43</v>
      </c>
      <c r="E80" s="4">
        <v>95</v>
      </c>
      <c r="F80" s="4">
        <v>914</v>
      </c>
      <c r="G80" s="18">
        <v>391</v>
      </c>
      <c r="H80" s="18">
        <v>612</v>
      </c>
      <c r="I80" s="18">
        <v>716</v>
      </c>
      <c r="J80" s="18">
        <v>1418</v>
      </c>
      <c r="K80" s="18">
        <v>1587</v>
      </c>
      <c r="L80" s="18">
        <v>1967</v>
      </c>
      <c r="M80" s="18">
        <v>2467</v>
      </c>
      <c r="N80" s="18">
        <v>1976</v>
      </c>
      <c r="O80" s="100">
        <f t="shared" si="24"/>
        <v>19.8</v>
      </c>
      <c r="P80" s="100">
        <f t="shared" si="25"/>
        <v>0.39351198871650211</v>
      </c>
      <c r="Q80" s="108">
        <f t="shared" si="26"/>
        <v>-0.19902715849209565</v>
      </c>
      <c r="R80" s="110">
        <f t="shared" si="27"/>
        <v>9.9854463130659762E-3</v>
      </c>
    </row>
    <row r="81" spans="1:18" x14ac:dyDescent="0.2">
      <c r="A81" s="4" t="s">
        <v>251</v>
      </c>
      <c r="B81" s="4">
        <v>624</v>
      </c>
      <c r="C81" s="4">
        <v>663</v>
      </c>
      <c r="D81" s="4">
        <v>722</v>
      </c>
      <c r="E81" s="4">
        <v>710</v>
      </c>
      <c r="F81" s="4">
        <v>731</v>
      </c>
      <c r="G81" s="18">
        <v>993</v>
      </c>
      <c r="H81" s="18">
        <v>1722</v>
      </c>
      <c r="I81" s="18">
        <v>1721</v>
      </c>
      <c r="J81" s="18">
        <v>3212</v>
      </c>
      <c r="K81" s="18">
        <v>3770</v>
      </c>
      <c r="L81" s="18">
        <v>3554</v>
      </c>
      <c r="M81" s="18">
        <v>4800</v>
      </c>
      <c r="N81" s="18">
        <v>6065</v>
      </c>
      <c r="O81" s="100">
        <f t="shared" si="24"/>
        <v>7.542253521126761</v>
      </c>
      <c r="P81" s="100">
        <f t="shared" si="25"/>
        <v>0.88823163138231631</v>
      </c>
      <c r="Q81" s="108">
        <f t="shared" si="26"/>
        <v>0.26354166666666667</v>
      </c>
      <c r="R81" s="110">
        <f t="shared" si="27"/>
        <v>3.0648649741267787E-2</v>
      </c>
    </row>
    <row r="82" spans="1:18" x14ac:dyDescent="0.2">
      <c r="A82" s="4" t="s">
        <v>45</v>
      </c>
      <c r="B82" s="4">
        <v>585</v>
      </c>
      <c r="C82" s="4">
        <v>742</v>
      </c>
      <c r="D82" s="4">
        <v>1161</v>
      </c>
      <c r="E82" s="4">
        <v>981</v>
      </c>
      <c r="F82" s="4">
        <v>1086</v>
      </c>
      <c r="G82" s="18">
        <v>644</v>
      </c>
      <c r="H82" s="18">
        <v>1124</v>
      </c>
      <c r="I82" s="18">
        <v>2038</v>
      </c>
      <c r="J82" s="18">
        <v>2943</v>
      </c>
      <c r="K82" s="18">
        <v>2534</v>
      </c>
      <c r="L82" s="18">
        <v>2232</v>
      </c>
      <c r="M82" s="18">
        <v>2587</v>
      </c>
      <c r="N82" s="18">
        <v>2997</v>
      </c>
      <c r="O82" s="100">
        <f t="shared" si="24"/>
        <v>2.0550458715596331</v>
      </c>
      <c r="P82" s="100">
        <f t="shared" si="25"/>
        <v>1.834862385321101E-2</v>
      </c>
      <c r="Q82" s="108">
        <f t="shared" si="26"/>
        <v>0.15848473134905297</v>
      </c>
      <c r="R82" s="110">
        <f t="shared" si="27"/>
        <v>1.5144930465717982E-2</v>
      </c>
    </row>
    <row r="83" spans="1:18" x14ac:dyDescent="0.2">
      <c r="A83" s="5" t="s">
        <v>4</v>
      </c>
      <c r="B83" s="5">
        <v>84991</v>
      </c>
      <c r="C83" s="5">
        <v>96679</v>
      </c>
      <c r="D83" s="5">
        <v>106561</v>
      </c>
      <c r="E83" s="5">
        <v>101472</v>
      </c>
      <c r="F83" s="5">
        <v>118047</v>
      </c>
      <c r="G83" s="5">
        <v>135278</v>
      </c>
      <c r="H83" s="5">
        <v>156370</v>
      </c>
      <c r="I83" s="5">
        <v>170528</v>
      </c>
      <c r="J83" s="5">
        <v>187579</v>
      </c>
      <c r="K83" s="5">
        <v>195965</v>
      </c>
      <c r="L83" s="5">
        <v>204607</v>
      </c>
      <c r="M83" s="5">
        <v>207868</v>
      </c>
      <c r="N83" s="5">
        <v>197888</v>
      </c>
      <c r="O83" s="83">
        <f t="shared" si="24"/>
        <v>0.95017344686218863</v>
      </c>
      <c r="P83" s="83">
        <f t="shared" si="25"/>
        <v>5.4958177621162285E-2</v>
      </c>
      <c r="Q83" s="109">
        <f t="shared" si="26"/>
        <v>-4.8011237900975619E-2</v>
      </c>
      <c r="R83" s="111">
        <f t="shared" si="27"/>
        <v>1</v>
      </c>
    </row>
    <row r="84" spans="1:18" x14ac:dyDescent="0.2">
      <c r="A84" s="76"/>
      <c r="B84" s="76"/>
      <c r="C84" s="76"/>
      <c r="D84" s="76"/>
      <c r="E84" s="76"/>
      <c r="F84" s="76"/>
      <c r="G84" s="40"/>
      <c r="H84" s="40"/>
      <c r="I84" s="40"/>
      <c r="J84" s="129"/>
      <c r="K84" s="129"/>
      <c r="L84" s="129"/>
      <c r="M84" s="129"/>
      <c r="N84" s="129"/>
      <c r="O84" s="40"/>
      <c r="P84" s="40"/>
      <c r="Q84" s="40"/>
      <c r="R84" s="40"/>
    </row>
    <row r="85" spans="1:18" ht="15.75" x14ac:dyDescent="0.2">
      <c r="A85" s="41" t="s">
        <v>52</v>
      </c>
      <c r="B85" s="41"/>
      <c r="C85" s="41"/>
      <c r="D85" s="41"/>
      <c r="E85" s="41"/>
      <c r="F85" s="41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</row>
    <row r="86" spans="1:18" ht="25.5" x14ac:dyDescent="0.2">
      <c r="A86" s="88" t="s">
        <v>10</v>
      </c>
      <c r="B86" s="3">
        <v>2007</v>
      </c>
      <c r="C86" s="3">
        <v>2008</v>
      </c>
      <c r="D86" s="3">
        <v>2009</v>
      </c>
      <c r="E86" s="3">
        <v>2010</v>
      </c>
      <c r="F86" s="3">
        <v>2011</v>
      </c>
      <c r="G86" s="3">
        <v>2012</v>
      </c>
      <c r="H86" s="3">
        <v>2013</v>
      </c>
      <c r="I86" s="3">
        <v>2014</v>
      </c>
      <c r="J86" s="3">
        <v>2015</v>
      </c>
      <c r="K86" s="3">
        <v>2016</v>
      </c>
      <c r="L86" s="3">
        <v>2017</v>
      </c>
      <c r="M86" s="3">
        <v>2018</v>
      </c>
      <c r="N86" s="3">
        <v>2019</v>
      </c>
      <c r="O86" s="13" t="s">
        <v>371</v>
      </c>
      <c r="P86" s="13" t="s">
        <v>372</v>
      </c>
      <c r="Q86" s="13" t="s">
        <v>310</v>
      </c>
      <c r="R86" s="13" t="s">
        <v>311</v>
      </c>
    </row>
    <row r="87" spans="1:18" x14ac:dyDescent="0.2">
      <c r="A87" s="4" t="s">
        <v>11</v>
      </c>
      <c r="B87" s="4">
        <v>15227</v>
      </c>
      <c r="C87" s="4">
        <v>15621</v>
      </c>
      <c r="D87" s="4">
        <v>17743</v>
      </c>
      <c r="E87" s="4">
        <v>17975</v>
      </c>
      <c r="F87" s="4">
        <v>22130</v>
      </c>
      <c r="G87" s="18">
        <v>25698</v>
      </c>
      <c r="H87" s="18">
        <v>30053</v>
      </c>
      <c r="I87" s="18">
        <v>33728</v>
      </c>
      <c r="J87" s="18">
        <v>37241</v>
      </c>
      <c r="K87" s="18">
        <v>41477</v>
      </c>
      <c r="L87" s="18">
        <v>43658</v>
      </c>
      <c r="M87" s="18">
        <v>46573</v>
      </c>
      <c r="N87" s="18">
        <v>45717</v>
      </c>
      <c r="O87" s="100">
        <f t="shared" ref="O87:O97" si="28">(N87-E87)/E87</f>
        <v>1.54336578581363</v>
      </c>
      <c r="P87" s="100">
        <f t="shared" ref="P87:P97" si="29">(N87-J87)/J87</f>
        <v>0.22759861443033216</v>
      </c>
      <c r="Q87" s="108">
        <f t="shared" ref="Q87:Q97" si="30">(N87-M87)/M87</f>
        <v>-1.8379747922616107E-2</v>
      </c>
      <c r="R87" s="110">
        <f t="shared" ref="R87:R97" si="31">N87/$N$9</f>
        <v>0.23102461998706339</v>
      </c>
    </row>
    <row r="88" spans="1:18" x14ac:dyDescent="0.2">
      <c r="A88" s="4" t="s">
        <v>12</v>
      </c>
      <c r="B88" s="4">
        <v>2705</v>
      </c>
      <c r="C88" s="4">
        <v>3331</v>
      </c>
      <c r="D88" s="4">
        <v>3227</v>
      </c>
      <c r="E88" s="4">
        <v>2996</v>
      </c>
      <c r="F88" s="4">
        <v>3164</v>
      </c>
      <c r="G88" s="18">
        <v>3506</v>
      </c>
      <c r="H88" s="18">
        <v>3703</v>
      </c>
      <c r="I88" s="18">
        <v>3964</v>
      </c>
      <c r="J88" s="18">
        <v>4030</v>
      </c>
      <c r="K88" s="18">
        <v>3998</v>
      </c>
      <c r="L88" s="18">
        <v>3911</v>
      </c>
      <c r="M88" s="18">
        <v>3829</v>
      </c>
      <c r="N88" s="18">
        <v>3840</v>
      </c>
      <c r="O88" s="100">
        <f t="shared" si="28"/>
        <v>0.28170894526034712</v>
      </c>
      <c r="P88" s="100">
        <f t="shared" si="29"/>
        <v>-4.7146401985111663E-2</v>
      </c>
      <c r="Q88" s="108">
        <f t="shared" si="30"/>
        <v>2.8728127448419951E-3</v>
      </c>
      <c r="R88" s="110">
        <f t="shared" si="31"/>
        <v>1.9404915912031046E-2</v>
      </c>
    </row>
    <row r="89" spans="1:18" x14ac:dyDescent="0.2">
      <c r="A89" s="4" t="s">
        <v>13</v>
      </c>
      <c r="B89" s="4">
        <v>4932</v>
      </c>
      <c r="C89" s="4">
        <v>4990</v>
      </c>
      <c r="D89" s="4">
        <v>5652</v>
      </c>
      <c r="E89" s="4">
        <v>5232</v>
      </c>
      <c r="F89" s="4">
        <v>5910</v>
      </c>
      <c r="G89" s="18">
        <v>6418</v>
      </c>
      <c r="H89" s="18">
        <v>7480</v>
      </c>
      <c r="I89" s="18">
        <v>7224</v>
      </c>
      <c r="J89" s="18">
        <v>7350</v>
      </c>
      <c r="K89" s="18">
        <v>6758</v>
      </c>
      <c r="L89" s="18">
        <v>7393</v>
      </c>
      <c r="M89" s="18">
        <v>7170</v>
      </c>
      <c r="N89" s="18">
        <v>6543</v>
      </c>
      <c r="O89" s="100">
        <f t="shared" si="28"/>
        <v>0.25057339449541283</v>
      </c>
      <c r="P89" s="100">
        <f t="shared" si="29"/>
        <v>-0.10979591836734694</v>
      </c>
      <c r="Q89" s="108">
        <f t="shared" si="30"/>
        <v>-8.7447698744769875E-2</v>
      </c>
      <c r="R89" s="110">
        <f t="shared" si="31"/>
        <v>3.3064157503234153E-2</v>
      </c>
    </row>
    <row r="90" spans="1:18" x14ac:dyDescent="0.2">
      <c r="A90" s="4" t="s">
        <v>14</v>
      </c>
      <c r="B90" s="4">
        <v>1161</v>
      </c>
      <c r="C90" s="4">
        <v>1132</v>
      </c>
      <c r="D90" s="4">
        <v>1115</v>
      </c>
      <c r="E90" s="4">
        <v>1110</v>
      </c>
      <c r="F90" s="4">
        <v>1208</v>
      </c>
      <c r="G90" s="18">
        <v>1394</v>
      </c>
      <c r="H90" s="18">
        <v>1309</v>
      </c>
      <c r="I90" s="18">
        <v>1443</v>
      </c>
      <c r="J90" s="18">
        <v>1659</v>
      </c>
      <c r="K90" s="18">
        <v>1586</v>
      </c>
      <c r="L90" s="18">
        <v>1671</v>
      </c>
      <c r="M90" s="18">
        <v>1560</v>
      </c>
      <c r="N90" s="18">
        <v>1532</v>
      </c>
      <c r="O90" s="100">
        <f t="shared" si="28"/>
        <v>0.38018018018018018</v>
      </c>
      <c r="P90" s="100">
        <f t="shared" si="29"/>
        <v>-7.6552139843279091E-2</v>
      </c>
      <c r="Q90" s="108">
        <f t="shared" si="30"/>
        <v>-1.7948717948717947E-2</v>
      </c>
      <c r="R90" s="110">
        <f t="shared" si="31"/>
        <v>7.7417529107373867E-3</v>
      </c>
    </row>
    <row r="91" spans="1:18" x14ac:dyDescent="0.2">
      <c r="A91" s="4" t="s">
        <v>15</v>
      </c>
      <c r="B91" s="4">
        <v>9199</v>
      </c>
      <c r="C91" s="4">
        <v>10210</v>
      </c>
      <c r="D91" s="4">
        <v>11007</v>
      </c>
      <c r="E91" s="4">
        <v>9830</v>
      </c>
      <c r="F91" s="4">
        <v>11484</v>
      </c>
      <c r="G91" s="18">
        <v>13003</v>
      </c>
      <c r="H91" s="18">
        <v>14417</v>
      </c>
      <c r="I91" s="18">
        <v>15620</v>
      </c>
      <c r="J91" s="18">
        <v>16653</v>
      </c>
      <c r="K91" s="18">
        <v>16735</v>
      </c>
      <c r="L91" s="18">
        <v>17959</v>
      </c>
      <c r="M91" s="18">
        <v>18085</v>
      </c>
      <c r="N91" s="18">
        <v>16902</v>
      </c>
      <c r="O91" s="100">
        <f t="shared" si="28"/>
        <v>0.71943031536113933</v>
      </c>
      <c r="P91" s="100">
        <f t="shared" si="29"/>
        <v>1.4952260853900199E-2</v>
      </c>
      <c r="Q91" s="108">
        <f t="shared" si="30"/>
        <v>-6.541332596074094E-2</v>
      </c>
      <c r="R91" s="110">
        <f t="shared" si="31"/>
        <v>8.5411950194049166E-2</v>
      </c>
    </row>
    <row r="92" spans="1:18" x14ac:dyDescent="0.2">
      <c r="A92" s="4" t="s">
        <v>16</v>
      </c>
      <c r="B92" s="4">
        <v>4527</v>
      </c>
      <c r="C92" s="4">
        <v>5582</v>
      </c>
      <c r="D92" s="4">
        <v>5840</v>
      </c>
      <c r="E92" s="4">
        <v>4534</v>
      </c>
      <c r="F92" s="4">
        <v>4557</v>
      </c>
      <c r="G92" s="18">
        <v>4288</v>
      </c>
      <c r="H92" s="18">
        <v>4156</v>
      </c>
      <c r="I92" s="18">
        <v>4408</v>
      </c>
      <c r="J92" s="18">
        <v>4285</v>
      </c>
      <c r="K92" s="18">
        <v>4419</v>
      </c>
      <c r="L92" s="18">
        <v>4935</v>
      </c>
      <c r="M92" s="18">
        <v>4397</v>
      </c>
      <c r="N92" s="18">
        <v>4484</v>
      </c>
      <c r="O92" s="100">
        <f t="shared" si="28"/>
        <v>-1.1027790030877812E-2</v>
      </c>
      <c r="P92" s="100">
        <f t="shared" si="29"/>
        <v>4.6441073512252039E-2</v>
      </c>
      <c r="Q92" s="108">
        <f t="shared" si="30"/>
        <v>1.9786217875824425E-2</v>
      </c>
      <c r="R92" s="110">
        <f t="shared" si="31"/>
        <v>2.2659282018111255E-2</v>
      </c>
    </row>
    <row r="93" spans="1:18" x14ac:dyDescent="0.2">
      <c r="A93" s="4" t="s">
        <v>17</v>
      </c>
      <c r="B93" s="4">
        <v>16834</v>
      </c>
      <c r="C93" s="4">
        <v>17926</v>
      </c>
      <c r="D93" s="4">
        <v>20187</v>
      </c>
      <c r="E93" s="4">
        <v>19568</v>
      </c>
      <c r="F93" s="4">
        <v>20289</v>
      </c>
      <c r="G93" s="18">
        <v>22466</v>
      </c>
      <c r="H93" s="18">
        <v>25873</v>
      </c>
      <c r="I93" s="18">
        <v>26354</v>
      </c>
      <c r="J93" s="18">
        <v>27791</v>
      </c>
      <c r="K93" s="18">
        <v>28166</v>
      </c>
      <c r="L93" s="18">
        <v>30242</v>
      </c>
      <c r="M93" s="18">
        <v>29521</v>
      </c>
      <c r="N93" s="18">
        <v>30813</v>
      </c>
      <c r="O93" s="100">
        <f t="shared" si="28"/>
        <v>0.5746627146361406</v>
      </c>
      <c r="P93" s="100">
        <f t="shared" si="29"/>
        <v>0.10874023964592854</v>
      </c>
      <c r="Q93" s="108">
        <f t="shared" si="30"/>
        <v>4.3765455099759494E-2</v>
      </c>
      <c r="R93" s="110">
        <f t="shared" si="31"/>
        <v>0.15570929010349288</v>
      </c>
    </row>
    <row r="94" spans="1:18" x14ac:dyDescent="0.2">
      <c r="A94" s="4" t="s">
        <v>18</v>
      </c>
      <c r="B94" s="4">
        <v>654</v>
      </c>
      <c r="C94" s="4">
        <v>993</v>
      </c>
      <c r="D94" s="4">
        <v>1072</v>
      </c>
      <c r="E94" s="4">
        <v>1025</v>
      </c>
      <c r="F94" s="4">
        <v>1114</v>
      </c>
      <c r="G94" s="18">
        <v>1185</v>
      </c>
      <c r="H94" s="18">
        <v>1093</v>
      </c>
      <c r="I94" s="18">
        <v>1188</v>
      </c>
      <c r="J94" s="18">
        <v>1348</v>
      </c>
      <c r="K94" s="18">
        <v>1191</v>
      </c>
      <c r="L94" s="18">
        <v>1355</v>
      </c>
      <c r="M94" s="18">
        <v>1226</v>
      </c>
      <c r="N94" s="18">
        <v>1307</v>
      </c>
      <c r="O94" s="100">
        <f t="shared" si="28"/>
        <v>0.27512195121951222</v>
      </c>
      <c r="P94" s="100">
        <f t="shared" si="29"/>
        <v>-3.0415430267062313E-2</v>
      </c>
      <c r="Q94" s="108">
        <f t="shared" si="30"/>
        <v>6.6068515497553021E-2</v>
      </c>
      <c r="R94" s="110">
        <f t="shared" si="31"/>
        <v>6.604746119016818E-3</v>
      </c>
    </row>
    <row r="95" spans="1:18" x14ac:dyDescent="0.2">
      <c r="A95" s="4" t="s">
        <v>19</v>
      </c>
      <c r="B95" s="4">
        <v>9806</v>
      </c>
      <c r="C95" s="4">
        <v>16258</v>
      </c>
      <c r="D95" s="4">
        <v>16422</v>
      </c>
      <c r="E95" s="4">
        <v>15787</v>
      </c>
      <c r="F95" s="4">
        <v>21654</v>
      </c>
      <c r="G95" s="18">
        <v>25977</v>
      </c>
      <c r="H95" s="18">
        <v>30025</v>
      </c>
      <c r="I95" s="18">
        <v>32365</v>
      </c>
      <c r="J95" s="18">
        <v>34714</v>
      </c>
      <c r="K95" s="18">
        <v>36156</v>
      </c>
      <c r="L95" s="18">
        <v>36158</v>
      </c>
      <c r="M95" s="18">
        <v>37338</v>
      </c>
      <c r="N95" s="18">
        <v>35497</v>
      </c>
      <c r="O95" s="100">
        <f t="shared" si="28"/>
        <v>1.2484955976436309</v>
      </c>
      <c r="P95" s="100">
        <f t="shared" si="29"/>
        <v>2.2555741199516047E-2</v>
      </c>
      <c r="Q95" s="108">
        <f t="shared" si="30"/>
        <v>-4.9306336707911513E-2</v>
      </c>
      <c r="R95" s="110">
        <f t="shared" si="31"/>
        <v>0.17937924482535575</v>
      </c>
    </row>
    <row r="96" spans="1:18" x14ac:dyDescent="0.2">
      <c r="A96" s="4" t="s">
        <v>20</v>
      </c>
      <c r="B96" s="4">
        <v>19946</v>
      </c>
      <c r="C96" s="4">
        <v>20636</v>
      </c>
      <c r="D96" s="4">
        <v>24296</v>
      </c>
      <c r="E96" s="4">
        <v>23415</v>
      </c>
      <c r="F96" s="4">
        <v>26537</v>
      </c>
      <c r="G96" s="18">
        <v>31343</v>
      </c>
      <c r="H96" s="18">
        <v>38261</v>
      </c>
      <c r="I96" s="18">
        <v>44234</v>
      </c>
      <c r="J96" s="18">
        <v>52508</v>
      </c>
      <c r="K96" s="18">
        <v>55479</v>
      </c>
      <c r="L96" s="18">
        <v>57325</v>
      </c>
      <c r="M96" s="18">
        <v>58169</v>
      </c>
      <c r="N96" s="18">
        <v>51253</v>
      </c>
      <c r="O96" s="100">
        <f t="shared" si="28"/>
        <v>1.1888960068332266</v>
      </c>
      <c r="P96" s="100">
        <f t="shared" si="29"/>
        <v>-2.3901119829359337E-2</v>
      </c>
      <c r="Q96" s="108">
        <f t="shared" si="30"/>
        <v>-0.11889494404235933</v>
      </c>
      <c r="R96" s="110">
        <f t="shared" si="31"/>
        <v>0.25900004042690816</v>
      </c>
    </row>
    <row r="97" spans="1:18" x14ac:dyDescent="0.2">
      <c r="A97" s="5" t="s">
        <v>4</v>
      </c>
      <c r="B97" s="5">
        <v>84991</v>
      </c>
      <c r="C97" s="5">
        <v>96679</v>
      </c>
      <c r="D97" s="5">
        <v>106561</v>
      </c>
      <c r="E97" s="5">
        <v>101472</v>
      </c>
      <c r="F97" s="5">
        <v>118047</v>
      </c>
      <c r="G97" s="5">
        <v>135278</v>
      </c>
      <c r="H97" s="5">
        <v>156370</v>
      </c>
      <c r="I97" s="5">
        <v>170528</v>
      </c>
      <c r="J97" s="5">
        <v>187579</v>
      </c>
      <c r="K97" s="5">
        <v>195965</v>
      </c>
      <c r="L97" s="5">
        <v>204607</v>
      </c>
      <c r="M97" s="5">
        <v>207868</v>
      </c>
      <c r="N97" s="5">
        <v>197888</v>
      </c>
      <c r="O97" s="83">
        <f t="shared" si="28"/>
        <v>0.95017344686218863</v>
      </c>
      <c r="P97" s="83">
        <f t="shared" si="29"/>
        <v>5.4958177621162285E-2</v>
      </c>
      <c r="Q97" s="109">
        <f t="shared" si="30"/>
        <v>-4.8011237900975619E-2</v>
      </c>
      <c r="R97" s="111">
        <f t="shared" si="31"/>
        <v>1</v>
      </c>
    </row>
    <row r="98" spans="1:18" x14ac:dyDescent="0.2">
      <c r="A98" s="76"/>
      <c r="B98" s="76"/>
      <c r="C98" s="76"/>
      <c r="D98" s="76"/>
      <c r="E98" s="76"/>
      <c r="F98" s="76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</row>
    <row r="99" spans="1:18" ht="15.75" x14ac:dyDescent="0.2">
      <c r="A99" s="41" t="s">
        <v>252</v>
      </c>
      <c r="B99" s="41"/>
      <c r="C99" s="41"/>
      <c r="D99" s="41"/>
      <c r="E99" s="41"/>
      <c r="F99" s="41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</row>
    <row r="100" spans="1:18" ht="25.5" x14ac:dyDescent="0.2">
      <c r="A100" s="88" t="s">
        <v>53</v>
      </c>
      <c r="B100" s="3">
        <v>2007</v>
      </c>
      <c r="C100" s="3">
        <v>2008</v>
      </c>
      <c r="D100" s="3">
        <v>2009</v>
      </c>
      <c r="E100" s="3">
        <v>2010</v>
      </c>
      <c r="F100" s="3">
        <v>2011</v>
      </c>
      <c r="G100" s="3">
        <v>2012</v>
      </c>
      <c r="H100" s="3">
        <v>2013</v>
      </c>
      <c r="I100" s="3">
        <v>2014</v>
      </c>
      <c r="J100" s="3">
        <v>2015</v>
      </c>
      <c r="K100" s="3">
        <v>2016</v>
      </c>
      <c r="L100" s="3">
        <v>2017</v>
      </c>
      <c r="M100" s="3">
        <v>2018</v>
      </c>
      <c r="N100" s="3">
        <v>2019</v>
      </c>
      <c r="O100" s="13" t="s">
        <v>371</v>
      </c>
      <c r="P100" s="13" t="s">
        <v>372</v>
      </c>
      <c r="Q100" s="13" t="s">
        <v>310</v>
      </c>
      <c r="R100" s="13" t="s">
        <v>311</v>
      </c>
    </row>
    <row r="101" spans="1:18" x14ac:dyDescent="0.2">
      <c r="A101" s="4" t="s">
        <v>54</v>
      </c>
      <c r="B101" s="4">
        <v>2186</v>
      </c>
      <c r="C101" s="4">
        <v>4770</v>
      </c>
      <c r="D101" s="4">
        <v>3885</v>
      </c>
      <c r="E101" s="4">
        <v>2343</v>
      </c>
      <c r="F101" s="4">
        <v>5297</v>
      </c>
      <c r="G101" s="4">
        <v>6494</v>
      </c>
      <c r="H101" s="4">
        <v>6712</v>
      </c>
      <c r="I101" s="4">
        <v>6103</v>
      </c>
      <c r="J101" s="4">
        <v>5948</v>
      </c>
      <c r="K101" s="4">
        <v>5854</v>
      </c>
      <c r="L101" s="4">
        <v>4621</v>
      </c>
      <c r="M101" s="4">
        <v>5278</v>
      </c>
      <c r="N101" s="4">
        <v>4690</v>
      </c>
      <c r="O101" s="100">
        <f>(N101-E101)/E101</f>
        <v>1.0017072129748186</v>
      </c>
      <c r="P101" s="100">
        <f t="shared" ref="P101:P120" si="32">(N101-J101)/J101</f>
        <v>-0.21149966375252185</v>
      </c>
      <c r="Q101" s="108">
        <f t="shared" ref="Q101:Q120" si="33">(N101-M101)/M101</f>
        <v>-0.11140583554376658</v>
      </c>
      <c r="R101" s="110">
        <f>N101/$N$6</f>
        <v>0.1408535303480794</v>
      </c>
    </row>
    <row r="102" spans="1:18" x14ac:dyDescent="0.2">
      <c r="A102" s="4" t="s">
        <v>56</v>
      </c>
      <c r="B102" s="4">
        <v>494</v>
      </c>
      <c r="C102" s="4">
        <v>764</v>
      </c>
      <c r="D102" s="4">
        <v>813</v>
      </c>
      <c r="E102" s="4">
        <v>973</v>
      </c>
      <c r="F102" s="4">
        <v>1464</v>
      </c>
      <c r="G102" s="4">
        <v>1601</v>
      </c>
      <c r="H102" s="4">
        <v>1942</v>
      </c>
      <c r="I102" s="4">
        <v>1819</v>
      </c>
      <c r="J102" s="4">
        <v>2351</v>
      </c>
      <c r="K102" s="4">
        <v>3753</v>
      </c>
      <c r="L102" s="4">
        <v>3223</v>
      </c>
      <c r="M102" s="4">
        <v>3415</v>
      </c>
      <c r="N102" s="4">
        <v>3609</v>
      </c>
      <c r="O102" s="100">
        <f t="shared" ref="O102:O120" si="34">(N102-C102)/C102</f>
        <v>3.7238219895287958</v>
      </c>
      <c r="P102" s="100">
        <f t="shared" si="32"/>
        <v>0.53509145044661843</v>
      </c>
      <c r="Q102" s="108">
        <f t="shared" si="33"/>
        <v>5.6808199121522691E-2</v>
      </c>
      <c r="R102" s="110">
        <f t="shared" ref="R102:R120" si="35">N102/$N$6</f>
        <v>0.10838814307595279</v>
      </c>
    </row>
    <row r="103" spans="1:18" x14ac:dyDescent="0.2">
      <c r="A103" s="4" t="s">
        <v>57</v>
      </c>
      <c r="B103" s="4">
        <v>243</v>
      </c>
      <c r="C103" s="4">
        <v>356</v>
      </c>
      <c r="D103" s="4">
        <v>342</v>
      </c>
      <c r="E103" s="4">
        <v>401</v>
      </c>
      <c r="F103" s="4">
        <v>831</v>
      </c>
      <c r="G103" s="4">
        <v>1140</v>
      </c>
      <c r="H103" s="4">
        <v>1670</v>
      </c>
      <c r="I103" s="4">
        <v>1709</v>
      </c>
      <c r="J103" s="4">
        <v>1734</v>
      </c>
      <c r="K103" s="4">
        <v>1911</v>
      </c>
      <c r="L103" s="4">
        <v>1949</v>
      </c>
      <c r="M103" s="4">
        <v>2794</v>
      </c>
      <c r="N103" s="4">
        <v>2950</v>
      </c>
      <c r="O103" s="100">
        <f t="shared" si="34"/>
        <v>7.286516853932584</v>
      </c>
      <c r="P103" s="100">
        <f t="shared" si="32"/>
        <v>0.70126874279123419</v>
      </c>
      <c r="Q103" s="108">
        <f t="shared" si="33"/>
        <v>5.5833929849677881E-2</v>
      </c>
      <c r="R103" s="110">
        <f t="shared" si="35"/>
        <v>8.8596570261585128E-2</v>
      </c>
    </row>
    <row r="104" spans="1:18" x14ac:dyDescent="0.2">
      <c r="A104" s="4" t="s">
        <v>58</v>
      </c>
      <c r="B104" s="4">
        <v>918</v>
      </c>
      <c r="C104" s="4">
        <v>1064</v>
      </c>
      <c r="D104" s="4">
        <v>866</v>
      </c>
      <c r="E104" s="4">
        <v>712</v>
      </c>
      <c r="F104" s="4">
        <v>982</v>
      </c>
      <c r="G104" s="4">
        <v>1283</v>
      </c>
      <c r="H104" s="4">
        <v>1441</v>
      </c>
      <c r="I104" s="4">
        <v>1340</v>
      </c>
      <c r="J104" s="4">
        <v>1349</v>
      </c>
      <c r="K104" s="4">
        <v>1609</v>
      </c>
      <c r="L104" s="4">
        <v>2190</v>
      </c>
      <c r="M104" s="4">
        <v>2274</v>
      </c>
      <c r="N104" s="4">
        <v>2044</v>
      </c>
      <c r="O104" s="100">
        <f t="shared" si="34"/>
        <v>0.92105263157894735</v>
      </c>
      <c r="P104" s="100">
        <f t="shared" si="32"/>
        <v>0.51519644180874724</v>
      </c>
      <c r="Q104" s="108">
        <f t="shared" si="33"/>
        <v>-0.1011433597185576</v>
      </c>
      <c r="R104" s="110">
        <f t="shared" si="35"/>
        <v>6.138691173378983E-2</v>
      </c>
    </row>
    <row r="105" spans="1:18" x14ac:dyDescent="0.2">
      <c r="A105" s="32" t="s">
        <v>59</v>
      </c>
      <c r="B105" s="32">
        <v>206</v>
      </c>
      <c r="C105" s="4">
        <v>710</v>
      </c>
      <c r="D105" s="4">
        <v>682</v>
      </c>
      <c r="E105" s="4">
        <v>696</v>
      </c>
      <c r="F105" s="4">
        <v>908</v>
      </c>
      <c r="G105" s="4">
        <v>1071</v>
      </c>
      <c r="H105" s="4">
        <v>1143</v>
      </c>
      <c r="I105" s="4">
        <v>1404</v>
      </c>
      <c r="J105" s="4">
        <v>1755</v>
      </c>
      <c r="K105" s="4">
        <v>1913</v>
      </c>
      <c r="L105" s="4">
        <v>2012</v>
      </c>
      <c r="M105" s="4">
        <v>2036</v>
      </c>
      <c r="N105" s="4">
        <v>1954</v>
      </c>
      <c r="O105" s="100">
        <f t="shared" si="34"/>
        <v>1.7521126760563381</v>
      </c>
      <c r="P105" s="100">
        <f t="shared" si="32"/>
        <v>0.11339031339031339</v>
      </c>
      <c r="Q105" s="108">
        <f t="shared" si="33"/>
        <v>-4.0275049115913557E-2</v>
      </c>
      <c r="R105" s="110">
        <f t="shared" si="35"/>
        <v>5.8683965522419439E-2</v>
      </c>
    </row>
    <row r="106" spans="1:18" x14ac:dyDescent="0.2">
      <c r="A106" s="32" t="s">
        <v>62</v>
      </c>
      <c r="B106" s="32">
        <v>203</v>
      </c>
      <c r="C106" s="4">
        <v>229</v>
      </c>
      <c r="D106" s="4">
        <v>310</v>
      </c>
      <c r="E106" s="4">
        <v>359</v>
      </c>
      <c r="F106" s="4">
        <v>537</v>
      </c>
      <c r="G106" s="4">
        <v>450</v>
      </c>
      <c r="H106" s="4">
        <v>598</v>
      </c>
      <c r="I106" s="4">
        <v>725</v>
      </c>
      <c r="J106" s="4">
        <v>794</v>
      </c>
      <c r="K106" s="4">
        <v>1185</v>
      </c>
      <c r="L106" s="4">
        <v>1442</v>
      </c>
      <c r="M106" s="4">
        <v>1440</v>
      </c>
      <c r="N106" s="4">
        <v>1386</v>
      </c>
      <c r="O106" s="100">
        <f t="shared" si="34"/>
        <v>5.0524017467248905</v>
      </c>
      <c r="P106" s="100">
        <f t="shared" si="32"/>
        <v>0.74559193954659952</v>
      </c>
      <c r="Q106" s="108">
        <f t="shared" si="33"/>
        <v>-3.7499999999999999E-2</v>
      </c>
      <c r="R106" s="110">
        <f t="shared" si="35"/>
        <v>4.1625371655104063E-2</v>
      </c>
    </row>
    <row r="107" spans="1:18" x14ac:dyDescent="0.2">
      <c r="A107" s="4" t="s">
        <v>55</v>
      </c>
      <c r="B107" s="4">
        <v>410</v>
      </c>
      <c r="C107" s="4">
        <v>661</v>
      </c>
      <c r="D107" s="4">
        <v>708</v>
      </c>
      <c r="E107" s="4">
        <v>667</v>
      </c>
      <c r="F107" s="4">
        <v>1048</v>
      </c>
      <c r="G107" s="4">
        <v>1502</v>
      </c>
      <c r="H107" s="4">
        <v>1996</v>
      </c>
      <c r="I107" s="4">
        <v>2283</v>
      </c>
      <c r="J107" s="4">
        <v>3622</v>
      </c>
      <c r="K107" s="4">
        <v>3636</v>
      </c>
      <c r="L107" s="4">
        <v>2862</v>
      </c>
      <c r="M107" s="4">
        <v>2187</v>
      </c>
      <c r="N107" s="4">
        <v>1327</v>
      </c>
      <c r="O107" s="100">
        <f t="shared" si="34"/>
        <v>1.0075642965204237</v>
      </c>
      <c r="P107" s="100">
        <f t="shared" si="32"/>
        <v>-0.63362782992821642</v>
      </c>
      <c r="Q107" s="108">
        <f t="shared" si="33"/>
        <v>-0.39323273891175126</v>
      </c>
      <c r="R107" s="110">
        <f t="shared" si="35"/>
        <v>3.9853440249872363E-2</v>
      </c>
    </row>
    <row r="108" spans="1:18" x14ac:dyDescent="0.2">
      <c r="A108" s="4" t="s">
        <v>67</v>
      </c>
      <c r="B108" s="4">
        <v>213</v>
      </c>
      <c r="C108" s="4">
        <v>240</v>
      </c>
      <c r="D108" s="4">
        <v>206</v>
      </c>
      <c r="E108" s="4">
        <v>211</v>
      </c>
      <c r="F108" s="4">
        <v>408</v>
      </c>
      <c r="G108" s="4">
        <v>371</v>
      </c>
      <c r="H108" s="4">
        <v>477</v>
      </c>
      <c r="I108" s="4">
        <v>513</v>
      </c>
      <c r="J108" s="4">
        <v>608</v>
      </c>
      <c r="K108" s="4">
        <v>702</v>
      </c>
      <c r="L108" s="4">
        <v>759</v>
      </c>
      <c r="M108" s="4">
        <v>1026</v>
      </c>
      <c r="N108" s="4">
        <v>1112</v>
      </c>
      <c r="O108" s="100">
        <f t="shared" si="34"/>
        <v>3.6333333333333333</v>
      </c>
      <c r="P108" s="100">
        <f t="shared" si="32"/>
        <v>0.82894736842105265</v>
      </c>
      <c r="Q108" s="108">
        <f t="shared" si="33"/>
        <v>8.3820662768031184E-2</v>
      </c>
      <c r="R108" s="110">
        <f t="shared" si="35"/>
        <v>3.339640207826531E-2</v>
      </c>
    </row>
    <row r="109" spans="1:18" x14ac:dyDescent="0.2">
      <c r="A109" s="4" t="s">
        <v>61</v>
      </c>
      <c r="B109" s="4">
        <v>306</v>
      </c>
      <c r="C109" s="4">
        <v>680</v>
      </c>
      <c r="D109" s="4">
        <v>374</v>
      </c>
      <c r="E109" s="4">
        <v>31</v>
      </c>
      <c r="F109" s="4">
        <v>495</v>
      </c>
      <c r="G109" s="4">
        <v>577</v>
      </c>
      <c r="H109" s="4">
        <v>688</v>
      </c>
      <c r="I109" s="4">
        <v>802</v>
      </c>
      <c r="J109" s="4">
        <v>811</v>
      </c>
      <c r="K109" s="4">
        <v>829</v>
      </c>
      <c r="L109" s="4">
        <v>899</v>
      </c>
      <c r="M109" s="4">
        <v>1100</v>
      </c>
      <c r="N109" s="4">
        <v>1111</v>
      </c>
      <c r="O109" s="100">
        <f t="shared" si="34"/>
        <v>0.63382352941176467</v>
      </c>
      <c r="P109" s="100">
        <f t="shared" si="32"/>
        <v>0.36991368680641185</v>
      </c>
      <c r="Q109" s="108">
        <f t="shared" si="33"/>
        <v>0.01</v>
      </c>
      <c r="R109" s="110">
        <f t="shared" si="35"/>
        <v>3.3366369342583413E-2</v>
      </c>
    </row>
    <row r="110" spans="1:18" x14ac:dyDescent="0.2">
      <c r="A110" s="4" t="s">
        <v>64</v>
      </c>
      <c r="B110" s="4">
        <v>51</v>
      </c>
      <c r="C110" s="4">
        <v>234</v>
      </c>
      <c r="D110" s="4">
        <v>210</v>
      </c>
      <c r="E110" s="4">
        <v>280</v>
      </c>
      <c r="F110" s="4">
        <v>407</v>
      </c>
      <c r="G110" s="4">
        <v>403</v>
      </c>
      <c r="H110" s="4">
        <v>465</v>
      </c>
      <c r="I110" s="4">
        <v>594</v>
      </c>
      <c r="J110" s="4">
        <v>598</v>
      </c>
      <c r="K110" s="4">
        <v>821</v>
      </c>
      <c r="L110" s="4">
        <v>849</v>
      </c>
      <c r="M110" s="4">
        <v>989</v>
      </c>
      <c r="N110" s="4">
        <v>1018</v>
      </c>
      <c r="O110" s="100">
        <f t="shared" si="34"/>
        <v>3.3504273504273505</v>
      </c>
      <c r="P110" s="100">
        <f t="shared" si="32"/>
        <v>0.7023411371237458</v>
      </c>
      <c r="Q110" s="108">
        <f t="shared" si="33"/>
        <v>2.9322548028311426E-2</v>
      </c>
      <c r="R110" s="110">
        <f t="shared" si="35"/>
        <v>3.0573324924167342E-2</v>
      </c>
    </row>
    <row r="111" spans="1:18" x14ac:dyDescent="0.2">
      <c r="A111" s="4" t="s">
        <v>70</v>
      </c>
      <c r="B111" s="4">
        <v>194</v>
      </c>
      <c r="C111" s="4">
        <v>173</v>
      </c>
      <c r="D111" s="4">
        <v>201</v>
      </c>
      <c r="E111" s="4">
        <v>228</v>
      </c>
      <c r="F111" s="4">
        <v>352</v>
      </c>
      <c r="G111" s="4">
        <v>382</v>
      </c>
      <c r="H111" s="4">
        <v>388</v>
      </c>
      <c r="I111" s="4">
        <v>369</v>
      </c>
      <c r="J111" s="4">
        <v>483</v>
      </c>
      <c r="K111" s="4">
        <v>480</v>
      </c>
      <c r="L111" s="4">
        <v>611</v>
      </c>
      <c r="M111" s="4">
        <v>723</v>
      </c>
      <c r="N111" s="4">
        <v>830</v>
      </c>
      <c r="O111" s="100">
        <f t="shared" si="34"/>
        <v>3.7976878612716765</v>
      </c>
      <c r="P111" s="100">
        <f t="shared" si="32"/>
        <v>0.71842650103519667</v>
      </c>
      <c r="Q111" s="108">
        <f t="shared" si="33"/>
        <v>0.14799446749654219</v>
      </c>
      <c r="R111" s="110">
        <f t="shared" si="35"/>
        <v>2.4927170615971408E-2</v>
      </c>
    </row>
    <row r="112" spans="1:18" x14ac:dyDescent="0.2">
      <c r="A112" s="4" t="s">
        <v>66</v>
      </c>
      <c r="B112" s="4">
        <v>277</v>
      </c>
      <c r="C112" s="4">
        <v>541</v>
      </c>
      <c r="D112" s="4">
        <v>344</v>
      </c>
      <c r="E112" s="4">
        <v>167</v>
      </c>
      <c r="F112" s="4">
        <v>409</v>
      </c>
      <c r="G112" s="4">
        <v>487</v>
      </c>
      <c r="H112" s="4">
        <v>523</v>
      </c>
      <c r="I112" s="4">
        <v>511</v>
      </c>
      <c r="J112" s="4">
        <v>609</v>
      </c>
      <c r="K112" s="4">
        <v>726</v>
      </c>
      <c r="L112" s="4">
        <v>704</v>
      </c>
      <c r="M112" s="4">
        <v>890</v>
      </c>
      <c r="N112" s="4">
        <v>802</v>
      </c>
      <c r="O112" s="100">
        <f t="shared" si="34"/>
        <v>0.48243992606284658</v>
      </c>
      <c r="P112" s="100">
        <f t="shared" si="32"/>
        <v>0.31691297208538588</v>
      </c>
      <c r="Q112" s="108">
        <f t="shared" si="33"/>
        <v>-9.8876404494382023E-2</v>
      </c>
      <c r="R112" s="110">
        <f t="shared" si="35"/>
        <v>2.4086254016878396E-2</v>
      </c>
    </row>
    <row r="113" spans="1:18" x14ac:dyDescent="0.2">
      <c r="A113" s="4" t="s">
        <v>65</v>
      </c>
      <c r="B113" s="4">
        <v>86</v>
      </c>
      <c r="C113" s="4">
        <v>292</v>
      </c>
      <c r="D113" s="4">
        <v>275</v>
      </c>
      <c r="E113" s="4">
        <v>154</v>
      </c>
      <c r="F113" s="4">
        <v>362</v>
      </c>
      <c r="G113" s="4">
        <v>519</v>
      </c>
      <c r="H113" s="4">
        <v>576</v>
      </c>
      <c r="I113" s="4">
        <v>524</v>
      </c>
      <c r="J113" s="4">
        <v>556</v>
      </c>
      <c r="K113" s="4">
        <v>582</v>
      </c>
      <c r="L113" s="4">
        <v>541</v>
      </c>
      <c r="M113" s="4">
        <v>701</v>
      </c>
      <c r="N113" s="4">
        <v>774</v>
      </c>
      <c r="O113" s="100">
        <f t="shared" si="34"/>
        <v>1.6506849315068493</v>
      </c>
      <c r="P113" s="100">
        <f t="shared" si="32"/>
        <v>0.3920863309352518</v>
      </c>
      <c r="Q113" s="108">
        <f t="shared" si="33"/>
        <v>0.10413694721825963</v>
      </c>
      <c r="R113" s="110">
        <f t="shared" si="35"/>
        <v>2.3245337417785387E-2</v>
      </c>
    </row>
    <row r="114" spans="1:18" x14ac:dyDescent="0.2">
      <c r="A114" s="4" t="s">
        <v>290</v>
      </c>
      <c r="B114" s="4">
        <v>61</v>
      </c>
      <c r="C114" s="4">
        <v>140</v>
      </c>
      <c r="D114" s="4">
        <v>213</v>
      </c>
      <c r="E114" s="4">
        <v>101</v>
      </c>
      <c r="F114" s="4">
        <v>141</v>
      </c>
      <c r="G114" s="4">
        <v>275</v>
      </c>
      <c r="H114" s="4">
        <v>271</v>
      </c>
      <c r="I114" s="4">
        <v>284</v>
      </c>
      <c r="J114" s="4">
        <v>360</v>
      </c>
      <c r="K114" s="4">
        <v>338</v>
      </c>
      <c r="L114" s="4">
        <v>479</v>
      </c>
      <c r="M114" s="4">
        <v>725</v>
      </c>
      <c r="N114" s="4">
        <v>734</v>
      </c>
      <c r="O114" s="100">
        <f t="shared" si="34"/>
        <v>4.2428571428571429</v>
      </c>
      <c r="P114" s="100">
        <f t="shared" si="32"/>
        <v>1.038888888888889</v>
      </c>
      <c r="Q114" s="108">
        <f t="shared" si="33"/>
        <v>1.2413793103448275E-2</v>
      </c>
      <c r="R114" s="110">
        <f t="shared" si="35"/>
        <v>2.2044027990509654E-2</v>
      </c>
    </row>
    <row r="115" spans="1:18" x14ac:dyDescent="0.2">
      <c r="A115" s="4" t="s">
        <v>69</v>
      </c>
      <c r="B115" s="4">
        <v>364</v>
      </c>
      <c r="C115" s="4">
        <v>387</v>
      </c>
      <c r="D115" s="4">
        <v>343</v>
      </c>
      <c r="E115" s="4">
        <v>330</v>
      </c>
      <c r="F115" s="4">
        <v>396</v>
      </c>
      <c r="G115" s="4">
        <v>346</v>
      </c>
      <c r="H115" s="4">
        <v>404</v>
      </c>
      <c r="I115" s="4">
        <v>366</v>
      </c>
      <c r="J115" s="4">
        <v>423</v>
      </c>
      <c r="K115" s="4">
        <v>571</v>
      </c>
      <c r="L115" s="4">
        <v>591</v>
      </c>
      <c r="M115" s="4">
        <v>794</v>
      </c>
      <c r="N115" s="4">
        <v>694</v>
      </c>
      <c r="O115" s="100">
        <f t="shared" si="34"/>
        <v>0.79328165374677007</v>
      </c>
      <c r="P115" s="100">
        <f t="shared" si="32"/>
        <v>0.640661938534279</v>
      </c>
      <c r="Q115" s="108">
        <f t="shared" si="33"/>
        <v>-0.12594458438287154</v>
      </c>
      <c r="R115" s="110">
        <f t="shared" si="35"/>
        <v>2.0842718563233924E-2</v>
      </c>
    </row>
    <row r="116" spans="1:18" x14ac:dyDescent="0.2">
      <c r="A116" s="4" t="s">
        <v>253</v>
      </c>
      <c r="B116" s="4">
        <v>274</v>
      </c>
      <c r="C116" s="4">
        <v>218</v>
      </c>
      <c r="D116" s="4">
        <v>199</v>
      </c>
      <c r="E116" s="4">
        <v>264</v>
      </c>
      <c r="F116" s="4">
        <v>314</v>
      </c>
      <c r="G116" s="4">
        <v>353</v>
      </c>
      <c r="H116" s="4">
        <v>345</v>
      </c>
      <c r="I116" s="4">
        <v>400</v>
      </c>
      <c r="J116" s="4">
        <v>510</v>
      </c>
      <c r="K116" s="4">
        <v>460</v>
      </c>
      <c r="L116" s="4">
        <v>531</v>
      </c>
      <c r="M116" s="4">
        <v>614</v>
      </c>
      <c r="N116" s="4">
        <v>662</v>
      </c>
      <c r="O116" s="100">
        <f t="shared" si="34"/>
        <v>2.0366972477064218</v>
      </c>
      <c r="P116" s="100">
        <f t="shared" si="32"/>
        <v>0.29803921568627451</v>
      </c>
      <c r="Q116" s="108">
        <f t="shared" si="33"/>
        <v>7.8175895765472306E-2</v>
      </c>
      <c r="R116" s="110">
        <f t="shared" si="35"/>
        <v>1.988167102141334E-2</v>
      </c>
    </row>
    <row r="117" spans="1:18" x14ac:dyDescent="0.2">
      <c r="A117" s="32" t="s">
        <v>63</v>
      </c>
      <c r="B117" s="32">
        <v>177</v>
      </c>
      <c r="C117" s="4">
        <v>254</v>
      </c>
      <c r="D117" s="4">
        <v>229</v>
      </c>
      <c r="E117" s="4">
        <v>224</v>
      </c>
      <c r="F117" s="4">
        <v>763</v>
      </c>
      <c r="G117" s="4">
        <v>703</v>
      </c>
      <c r="H117" s="4">
        <v>712</v>
      </c>
      <c r="I117" s="4">
        <v>655</v>
      </c>
      <c r="J117" s="4">
        <v>608</v>
      </c>
      <c r="K117" s="4">
        <v>644</v>
      </c>
      <c r="L117" s="4">
        <v>643</v>
      </c>
      <c r="M117" s="4">
        <v>648</v>
      </c>
      <c r="N117" s="4">
        <v>651</v>
      </c>
      <c r="O117" s="100">
        <f t="shared" si="34"/>
        <v>1.5629921259842521</v>
      </c>
      <c r="P117" s="100">
        <f t="shared" si="32"/>
        <v>7.0723684210526314E-2</v>
      </c>
      <c r="Q117" s="108">
        <f t="shared" si="33"/>
        <v>4.6296296296296294E-3</v>
      </c>
      <c r="R117" s="110">
        <f t="shared" si="35"/>
        <v>1.9551310928912515E-2</v>
      </c>
    </row>
    <row r="118" spans="1:18" x14ac:dyDescent="0.2">
      <c r="A118" s="32" t="s">
        <v>60</v>
      </c>
      <c r="B118" s="32">
        <v>521</v>
      </c>
      <c r="C118" s="4">
        <v>453</v>
      </c>
      <c r="D118" s="4">
        <v>538</v>
      </c>
      <c r="E118" s="4">
        <v>732</v>
      </c>
      <c r="F118" s="4">
        <v>655</v>
      </c>
      <c r="G118" s="4">
        <v>713</v>
      </c>
      <c r="H118" s="4">
        <v>794</v>
      </c>
      <c r="I118" s="4">
        <v>781</v>
      </c>
      <c r="J118" s="4">
        <v>781</v>
      </c>
      <c r="K118" s="4">
        <v>812</v>
      </c>
      <c r="L118" s="4">
        <v>821</v>
      </c>
      <c r="M118" s="4">
        <v>601</v>
      </c>
      <c r="N118" s="4">
        <v>555</v>
      </c>
      <c r="O118" s="100">
        <f t="shared" si="34"/>
        <v>0.2251655629139073</v>
      </c>
      <c r="P118" s="100">
        <f t="shared" si="32"/>
        <v>-0.28937259923175418</v>
      </c>
      <c r="Q118" s="108">
        <f t="shared" si="33"/>
        <v>-7.6539101497504161E-2</v>
      </c>
      <c r="R118" s="110">
        <f t="shared" si="35"/>
        <v>1.6668168303450762E-2</v>
      </c>
    </row>
    <row r="119" spans="1:18" x14ac:dyDescent="0.2">
      <c r="A119" s="4" t="s">
        <v>80</v>
      </c>
      <c r="B119" s="4">
        <v>80</v>
      </c>
      <c r="C119" s="4">
        <v>72</v>
      </c>
      <c r="D119" s="4">
        <v>99</v>
      </c>
      <c r="E119" s="4">
        <v>84</v>
      </c>
      <c r="F119" s="4">
        <v>113</v>
      </c>
      <c r="G119" s="4">
        <v>102</v>
      </c>
      <c r="H119" s="4">
        <v>132</v>
      </c>
      <c r="I119" s="4">
        <v>180</v>
      </c>
      <c r="J119" s="4">
        <v>246</v>
      </c>
      <c r="K119" s="4">
        <v>317</v>
      </c>
      <c r="L119" s="4">
        <v>457</v>
      </c>
      <c r="M119" s="4">
        <v>423</v>
      </c>
      <c r="N119" s="4">
        <v>520</v>
      </c>
      <c r="O119" s="100">
        <f t="shared" si="34"/>
        <v>6.2222222222222223</v>
      </c>
      <c r="P119" s="100">
        <f t="shared" si="32"/>
        <v>1.1138211382113821</v>
      </c>
      <c r="Q119" s="108">
        <f t="shared" si="33"/>
        <v>0.2293144208037825</v>
      </c>
      <c r="R119" s="110">
        <f t="shared" si="35"/>
        <v>1.5617022554584498E-2</v>
      </c>
    </row>
    <row r="120" spans="1:18" x14ac:dyDescent="0.2">
      <c r="A120" s="4" t="s">
        <v>68</v>
      </c>
      <c r="B120" s="4">
        <v>105</v>
      </c>
      <c r="C120" s="4">
        <v>24</v>
      </c>
      <c r="D120" s="4">
        <v>10</v>
      </c>
      <c r="E120" s="4">
        <v>86</v>
      </c>
      <c r="F120" s="4">
        <v>166</v>
      </c>
      <c r="G120" s="4">
        <v>217</v>
      </c>
      <c r="H120" s="4">
        <v>338</v>
      </c>
      <c r="I120" s="4">
        <v>373</v>
      </c>
      <c r="J120" s="4">
        <v>527</v>
      </c>
      <c r="K120" s="4">
        <v>605</v>
      </c>
      <c r="L120" s="4">
        <v>622</v>
      </c>
      <c r="M120" s="4">
        <v>555</v>
      </c>
      <c r="N120" s="4">
        <v>476</v>
      </c>
      <c r="O120" s="100">
        <f t="shared" si="34"/>
        <v>18.833333333333332</v>
      </c>
      <c r="P120" s="100">
        <f t="shared" si="32"/>
        <v>-9.6774193548387094E-2</v>
      </c>
      <c r="Q120" s="108">
        <f t="shared" si="33"/>
        <v>-0.14234234234234233</v>
      </c>
      <c r="R120" s="110">
        <f t="shared" si="35"/>
        <v>1.4295582184581193E-2</v>
      </c>
    </row>
    <row r="122" spans="1:18" ht="15.75" x14ac:dyDescent="0.2">
      <c r="A122" s="41" t="s">
        <v>71</v>
      </c>
      <c r="B122" s="41"/>
      <c r="C122" s="41"/>
      <c r="D122" s="41"/>
      <c r="E122" s="41"/>
      <c r="F122" s="41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</row>
    <row r="123" spans="1:18" ht="25.5" x14ac:dyDescent="0.2">
      <c r="A123" s="88" t="s">
        <v>53</v>
      </c>
      <c r="B123" s="3">
        <v>2007</v>
      </c>
      <c r="C123" s="3">
        <v>2008</v>
      </c>
      <c r="D123" s="3">
        <v>2009</v>
      </c>
      <c r="E123" s="3">
        <v>2010</v>
      </c>
      <c r="F123" s="3">
        <v>2011</v>
      </c>
      <c r="G123" s="3">
        <v>2012</v>
      </c>
      <c r="H123" s="3">
        <v>2013</v>
      </c>
      <c r="I123" s="3">
        <v>2014</v>
      </c>
      <c r="J123" s="3">
        <v>2015</v>
      </c>
      <c r="K123" s="3">
        <v>2016</v>
      </c>
      <c r="L123" s="3">
        <v>2017</v>
      </c>
      <c r="M123" s="3">
        <v>2018</v>
      </c>
      <c r="N123" s="3">
        <v>2019</v>
      </c>
      <c r="O123" s="13" t="s">
        <v>371</v>
      </c>
      <c r="P123" s="13" t="s">
        <v>372</v>
      </c>
      <c r="Q123" s="13" t="s">
        <v>310</v>
      </c>
      <c r="R123" s="13" t="s">
        <v>311</v>
      </c>
    </row>
    <row r="124" spans="1:18" x14ac:dyDescent="0.2">
      <c r="A124" s="4" t="s">
        <v>54</v>
      </c>
      <c r="B124" s="4">
        <v>993</v>
      </c>
      <c r="C124" s="4">
        <v>2391</v>
      </c>
      <c r="D124" s="4">
        <v>3063</v>
      </c>
      <c r="E124" s="4">
        <v>3445</v>
      </c>
      <c r="F124" s="4">
        <v>3750</v>
      </c>
      <c r="G124" s="4">
        <v>4629</v>
      </c>
      <c r="H124" s="4">
        <v>5482</v>
      </c>
      <c r="I124" s="4">
        <v>6144</v>
      </c>
      <c r="J124" s="4">
        <v>6744</v>
      </c>
      <c r="K124" s="4">
        <v>6869</v>
      </c>
      <c r="L124" s="4">
        <v>6661</v>
      </c>
      <c r="M124" s="4">
        <v>6397</v>
      </c>
      <c r="N124" s="4">
        <v>6171</v>
      </c>
      <c r="O124" s="100">
        <f t="shared" ref="O124:O143" si="36">(N124-E124)/E124</f>
        <v>0.79129172714078377</v>
      </c>
      <c r="P124" s="100">
        <f t="shared" ref="P124:P143" si="37">(N124-J124)/J124</f>
        <v>-8.4964412811387904E-2</v>
      </c>
      <c r="Q124" s="108">
        <f t="shared" ref="Q124:Q143" si="38">(N124-M124)/M124</f>
        <v>-3.5329060497108017E-2</v>
      </c>
      <c r="R124" s="110">
        <f>N124/$N$7</f>
        <v>8.4019769357495888E-2</v>
      </c>
    </row>
    <row r="125" spans="1:18" x14ac:dyDescent="0.2">
      <c r="A125" s="4" t="s">
        <v>56</v>
      </c>
      <c r="B125" s="4">
        <v>357</v>
      </c>
      <c r="C125" s="4">
        <v>437</v>
      </c>
      <c r="D125" s="4">
        <v>756</v>
      </c>
      <c r="E125" s="4">
        <v>987</v>
      </c>
      <c r="F125" s="4">
        <v>1493</v>
      </c>
      <c r="G125" s="4">
        <v>2189</v>
      </c>
      <c r="H125" s="4">
        <v>2664</v>
      </c>
      <c r="I125" s="4">
        <v>3767</v>
      </c>
      <c r="J125" s="4">
        <v>4496</v>
      </c>
      <c r="K125" s="4">
        <v>5716</v>
      </c>
      <c r="L125" s="4">
        <v>5412</v>
      </c>
      <c r="M125" s="4">
        <v>5533</v>
      </c>
      <c r="N125" s="4">
        <v>5006</v>
      </c>
      <c r="O125" s="100">
        <f t="shared" si="36"/>
        <v>4.0719351570415396</v>
      </c>
      <c r="P125" s="100">
        <f t="shared" si="37"/>
        <v>0.11343416370106761</v>
      </c>
      <c r="Q125" s="108">
        <f t="shared" si="38"/>
        <v>-9.5246701608530632E-2</v>
      </c>
      <c r="R125" s="110">
        <f t="shared" ref="R125:R143" si="39">N125/$N$7</f>
        <v>6.8157991476847257E-2</v>
      </c>
    </row>
    <row r="126" spans="1:18" x14ac:dyDescent="0.2">
      <c r="A126" s="4" t="s">
        <v>57</v>
      </c>
      <c r="B126" s="4">
        <v>136</v>
      </c>
      <c r="C126" s="4">
        <v>123</v>
      </c>
      <c r="D126" s="4">
        <v>158</v>
      </c>
      <c r="E126" s="4">
        <v>305</v>
      </c>
      <c r="F126" s="4">
        <v>771</v>
      </c>
      <c r="G126" s="4">
        <v>1004</v>
      </c>
      <c r="H126" s="4">
        <v>1384</v>
      </c>
      <c r="I126" s="4">
        <v>1602</v>
      </c>
      <c r="J126" s="4">
        <v>1969</v>
      </c>
      <c r="K126" s="4">
        <v>2159</v>
      </c>
      <c r="L126" s="4">
        <v>3320</v>
      </c>
      <c r="M126" s="4">
        <v>3671</v>
      </c>
      <c r="N126" s="4">
        <v>4453</v>
      </c>
      <c r="O126" s="100">
        <f t="shared" si="36"/>
        <v>13.6</v>
      </c>
      <c r="P126" s="100">
        <f t="shared" si="37"/>
        <v>1.2615540883697309</v>
      </c>
      <c r="Q126" s="108">
        <f t="shared" si="38"/>
        <v>0.21302097521111413</v>
      </c>
      <c r="R126" s="110">
        <f t="shared" si="39"/>
        <v>6.0628752706032921E-2</v>
      </c>
    </row>
    <row r="127" spans="1:18" x14ac:dyDescent="0.2">
      <c r="A127" s="4" t="s">
        <v>72</v>
      </c>
      <c r="B127" s="4">
        <v>783</v>
      </c>
      <c r="C127" s="4">
        <v>748</v>
      </c>
      <c r="D127" s="4">
        <v>846</v>
      </c>
      <c r="E127" s="4">
        <v>948</v>
      </c>
      <c r="F127" s="4">
        <v>1423</v>
      </c>
      <c r="G127" s="4">
        <v>1865</v>
      </c>
      <c r="H127" s="4">
        <v>2990</v>
      </c>
      <c r="I127" s="4">
        <v>3464</v>
      </c>
      <c r="J127" s="4">
        <v>4465</v>
      </c>
      <c r="K127" s="4">
        <v>5385</v>
      </c>
      <c r="L127" s="4">
        <v>5940</v>
      </c>
      <c r="M127" s="4">
        <v>6258</v>
      </c>
      <c r="N127" s="4">
        <v>4388</v>
      </c>
      <c r="O127" s="100">
        <f t="shared" si="36"/>
        <v>3.628691983122363</v>
      </c>
      <c r="P127" s="100">
        <f t="shared" si="37"/>
        <v>-1.7245240761478164E-2</v>
      </c>
      <c r="Q127" s="108">
        <f t="shared" si="38"/>
        <v>-0.29881751358261427</v>
      </c>
      <c r="R127" s="110">
        <f t="shared" si="39"/>
        <v>5.9743760807112613E-2</v>
      </c>
    </row>
    <row r="128" spans="1:18" x14ac:dyDescent="0.2">
      <c r="A128" s="32" t="s">
        <v>73</v>
      </c>
      <c r="B128" s="32">
        <v>452</v>
      </c>
      <c r="C128" s="4">
        <v>446</v>
      </c>
      <c r="D128" s="4">
        <v>404</v>
      </c>
      <c r="E128" s="4">
        <v>505</v>
      </c>
      <c r="F128" s="4">
        <v>878</v>
      </c>
      <c r="G128" s="4">
        <v>1403</v>
      </c>
      <c r="H128" s="4">
        <v>1619</v>
      </c>
      <c r="I128" s="4">
        <v>2117</v>
      </c>
      <c r="J128" s="4">
        <v>2761</v>
      </c>
      <c r="K128" s="4">
        <v>3033</v>
      </c>
      <c r="L128" s="4">
        <v>3251</v>
      </c>
      <c r="M128" s="4">
        <v>3911</v>
      </c>
      <c r="N128" s="4">
        <v>4327</v>
      </c>
      <c r="O128" s="100">
        <f t="shared" si="36"/>
        <v>7.5683168316831679</v>
      </c>
      <c r="P128" s="100">
        <f t="shared" si="37"/>
        <v>0.56718580224556325</v>
      </c>
      <c r="Q128" s="108">
        <f t="shared" si="38"/>
        <v>0.10636665814369727</v>
      </c>
      <c r="R128" s="110">
        <f t="shared" si="39"/>
        <v>5.891322994812586E-2</v>
      </c>
    </row>
    <row r="129" spans="1:18" x14ac:dyDescent="0.2">
      <c r="A129" s="32" t="s">
        <v>80</v>
      </c>
      <c r="B129" s="32">
        <v>139</v>
      </c>
      <c r="C129" s="4">
        <v>254</v>
      </c>
      <c r="D129" s="4">
        <v>325</v>
      </c>
      <c r="E129" s="4">
        <v>256</v>
      </c>
      <c r="F129" s="4">
        <v>504</v>
      </c>
      <c r="G129" s="4">
        <v>811</v>
      </c>
      <c r="H129" s="4">
        <v>924</v>
      </c>
      <c r="I129" s="4">
        <v>1079</v>
      </c>
      <c r="J129" s="4">
        <v>1307</v>
      </c>
      <c r="K129" s="4">
        <v>1664</v>
      </c>
      <c r="L129" s="4">
        <v>2082</v>
      </c>
      <c r="M129" s="4">
        <v>2318</v>
      </c>
      <c r="N129" s="4">
        <v>2582</v>
      </c>
      <c r="O129" s="100">
        <f t="shared" si="36"/>
        <v>9.0859375</v>
      </c>
      <c r="P129" s="100">
        <f t="shared" si="37"/>
        <v>0.97551644988523334</v>
      </c>
      <c r="Q129" s="108">
        <f t="shared" si="38"/>
        <v>0.11389128559102675</v>
      </c>
      <c r="R129" s="110">
        <f t="shared" si="39"/>
        <v>3.5154601277111383E-2</v>
      </c>
    </row>
    <row r="130" spans="1:18" x14ac:dyDescent="0.2">
      <c r="A130" s="4" t="s">
        <v>78</v>
      </c>
      <c r="B130" s="4">
        <v>483</v>
      </c>
      <c r="C130" s="4">
        <v>519</v>
      </c>
      <c r="D130" s="4">
        <v>867</v>
      </c>
      <c r="E130" s="4">
        <v>864</v>
      </c>
      <c r="F130" s="4">
        <v>906</v>
      </c>
      <c r="G130" s="4">
        <v>921</v>
      </c>
      <c r="H130" s="4">
        <v>1099</v>
      </c>
      <c r="I130" s="4">
        <v>1266</v>
      </c>
      <c r="J130" s="4">
        <v>1393</v>
      </c>
      <c r="K130" s="4">
        <v>1517</v>
      </c>
      <c r="L130" s="4">
        <v>1760</v>
      </c>
      <c r="M130" s="4">
        <v>2012</v>
      </c>
      <c r="N130" s="4">
        <v>2075</v>
      </c>
      <c r="O130" s="100">
        <f t="shared" si="36"/>
        <v>1.4016203703703705</v>
      </c>
      <c r="P130" s="100">
        <f t="shared" si="37"/>
        <v>0.48959081119885139</v>
      </c>
      <c r="Q130" s="108">
        <f t="shared" si="38"/>
        <v>3.1312127236580514E-2</v>
      </c>
      <c r="R130" s="110">
        <f t="shared" si="39"/>
        <v>2.8251664465532969E-2</v>
      </c>
    </row>
    <row r="131" spans="1:18" x14ac:dyDescent="0.2">
      <c r="A131" s="4" t="s">
        <v>75</v>
      </c>
      <c r="B131" s="4">
        <v>812</v>
      </c>
      <c r="C131" s="4">
        <v>777</v>
      </c>
      <c r="D131" s="4">
        <v>760</v>
      </c>
      <c r="E131" s="4">
        <v>810</v>
      </c>
      <c r="F131" s="4">
        <v>1013</v>
      </c>
      <c r="G131" s="4">
        <v>1292</v>
      </c>
      <c r="H131" s="4">
        <v>1335</v>
      </c>
      <c r="I131" s="4">
        <v>1539</v>
      </c>
      <c r="J131" s="4">
        <v>1837</v>
      </c>
      <c r="K131" s="4">
        <v>1670</v>
      </c>
      <c r="L131" s="4">
        <v>1801</v>
      </c>
      <c r="M131" s="4">
        <v>2073</v>
      </c>
      <c r="N131" s="4">
        <v>2006</v>
      </c>
      <c r="O131" s="100">
        <f t="shared" si="36"/>
        <v>1.4765432098765432</v>
      </c>
      <c r="P131" s="100">
        <f t="shared" si="37"/>
        <v>9.1997822536744697E-2</v>
      </c>
      <c r="Q131" s="108">
        <f t="shared" si="38"/>
        <v>-3.2320308731307285E-2</v>
      </c>
      <c r="R131" s="110">
        <f t="shared" si="39"/>
        <v>2.7312211526679103E-2</v>
      </c>
    </row>
    <row r="132" spans="1:18" x14ac:dyDescent="0.2">
      <c r="A132" s="4" t="s">
        <v>81</v>
      </c>
      <c r="B132" s="4">
        <v>314</v>
      </c>
      <c r="C132" s="4">
        <v>240</v>
      </c>
      <c r="D132" s="4">
        <v>293</v>
      </c>
      <c r="E132" s="4">
        <v>267</v>
      </c>
      <c r="F132" s="4">
        <v>395</v>
      </c>
      <c r="G132" s="4">
        <v>479</v>
      </c>
      <c r="H132" s="4">
        <v>682</v>
      </c>
      <c r="I132" s="4">
        <v>778</v>
      </c>
      <c r="J132" s="4">
        <v>1011</v>
      </c>
      <c r="K132" s="4">
        <v>1069</v>
      </c>
      <c r="L132" s="4">
        <v>1379</v>
      </c>
      <c r="M132" s="4">
        <v>1627</v>
      </c>
      <c r="N132" s="4">
        <v>1721</v>
      </c>
      <c r="O132" s="100">
        <f t="shared" si="36"/>
        <v>5.4456928838951315</v>
      </c>
      <c r="P132" s="100">
        <f t="shared" si="37"/>
        <v>0.70227497527200788</v>
      </c>
      <c r="Q132" s="108">
        <f t="shared" si="38"/>
        <v>5.7775046097111246E-2</v>
      </c>
      <c r="R132" s="110">
        <f t="shared" si="39"/>
        <v>2.3431862431413129E-2</v>
      </c>
    </row>
    <row r="133" spans="1:18" x14ac:dyDescent="0.2">
      <c r="A133" s="4" t="s">
        <v>74</v>
      </c>
      <c r="B133" s="4">
        <v>625</v>
      </c>
      <c r="C133" s="4">
        <v>390</v>
      </c>
      <c r="D133" s="4">
        <v>605</v>
      </c>
      <c r="E133" s="4">
        <v>550</v>
      </c>
      <c r="F133" s="4">
        <v>769</v>
      </c>
      <c r="G133" s="4">
        <v>1251</v>
      </c>
      <c r="H133" s="4">
        <v>1746</v>
      </c>
      <c r="I133" s="4">
        <v>2048</v>
      </c>
      <c r="J133" s="4">
        <v>2380</v>
      </c>
      <c r="K133" s="4">
        <v>2545</v>
      </c>
      <c r="L133" s="4">
        <v>2734</v>
      </c>
      <c r="M133" s="4">
        <v>3064</v>
      </c>
      <c r="N133" s="4">
        <v>1668</v>
      </c>
      <c r="O133" s="100">
        <f t="shared" si="36"/>
        <v>2.0327272727272727</v>
      </c>
      <c r="P133" s="100">
        <f t="shared" si="37"/>
        <v>-0.29915966386554621</v>
      </c>
      <c r="Q133" s="108">
        <f t="shared" si="38"/>
        <v>-0.45561357702349869</v>
      </c>
      <c r="R133" s="110">
        <f t="shared" si="39"/>
        <v>2.271025365229349E-2</v>
      </c>
    </row>
    <row r="134" spans="1:18" x14ac:dyDescent="0.2">
      <c r="A134" s="4" t="s">
        <v>67</v>
      </c>
      <c r="B134" s="4">
        <v>258</v>
      </c>
      <c r="C134" s="4">
        <v>260</v>
      </c>
      <c r="D134" s="4">
        <v>342</v>
      </c>
      <c r="E134" s="4">
        <v>541</v>
      </c>
      <c r="F134" s="4">
        <v>603</v>
      </c>
      <c r="G134" s="4">
        <v>768</v>
      </c>
      <c r="H134" s="4">
        <v>930</v>
      </c>
      <c r="I134" s="4">
        <v>1250</v>
      </c>
      <c r="J134" s="4">
        <v>1517</v>
      </c>
      <c r="K134" s="4">
        <v>1667</v>
      </c>
      <c r="L134" s="4">
        <v>1780</v>
      </c>
      <c r="M134" s="4">
        <v>1621</v>
      </c>
      <c r="N134" s="4">
        <v>1648</v>
      </c>
      <c r="O134" s="100">
        <f t="shared" si="36"/>
        <v>2.0462107208872458</v>
      </c>
      <c r="P134" s="100">
        <f t="shared" si="37"/>
        <v>8.6354647330257092E-2</v>
      </c>
      <c r="Q134" s="108">
        <f t="shared" si="38"/>
        <v>1.6656384947563233E-2</v>
      </c>
      <c r="R134" s="110">
        <f t="shared" si="39"/>
        <v>2.2437948452625704E-2</v>
      </c>
    </row>
    <row r="135" spans="1:18" x14ac:dyDescent="0.2">
      <c r="A135" s="4" t="s">
        <v>76</v>
      </c>
      <c r="B135" s="4">
        <v>217</v>
      </c>
      <c r="C135" s="4">
        <v>292</v>
      </c>
      <c r="D135" s="4">
        <v>388</v>
      </c>
      <c r="E135" s="4">
        <v>549</v>
      </c>
      <c r="F135" s="4">
        <v>570</v>
      </c>
      <c r="G135" s="4">
        <v>589</v>
      </c>
      <c r="H135" s="4">
        <v>1043</v>
      </c>
      <c r="I135" s="4">
        <v>1329</v>
      </c>
      <c r="J135" s="4">
        <v>1450</v>
      </c>
      <c r="K135" s="4">
        <v>1629</v>
      </c>
      <c r="L135" s="4">
        <v>2164</v>
      </c>
      <c r="M135" s="4">
        <v>1561</v>
      </c>
      <c r="N135" s="4">
        <v>1520</v>
      </c>
      <c r="O135" s="100">
        <f t="shared" si="36"/>
        <v>1.7686703096539163</v>
      </c>
      <c r="P135" s="100">
        <f t="shared" si="37"/>
        <v>4.8275862068965517E-2</v>
      </c>
      <c r="Q135" s="108">
        <f t="shared" si="38"/>
        <v>-2.626521460602178E-2</v>
      </c>
      <c r="R135" s="110">
        <f t="shared" si="39"/>
        <v>2.0695195174751862E-2</v>
      </c>
    </row>
    <row r="136" spans="1:18" x14ac:dyDescent="0.2">
      <c r="A136" s="4" t="s">
        <v>77</v>
      </c>
      <c r="B136" s="4">
        <v>802</v>
      </c>
      <c r="C136" s="4">
        <v>616</v>
      </c>
      <c r="D136" s="4">
        <v>637</v>
      </c>
      <c r="E136" s="4">
        <v>563</v>
      </c>
      <c r="F136" s="4">
        <v>649</v>
      </c>
      <c r="G136" s="4">
        <v>827</v>
      </c>
      <c r="H136" s="4">
        <v>947</v>
      </c>
      <c r="I136" s="4">
        <v>1175</v>
      </c>
      <c r="J136" s="4">
        <v>1325</v>
      </c>
      <c r="K136" s="4">
        <v>1502</v>
      </c>
      <c r="L136" s="4">
        <v>1498</v>
      </c>
      <c r="M136" s="4">
        <v>1452</v>
      </c>
      <c r="N136" s="4">
        <v>1460</v>
      </c>
      <c r="O136" s="100">
        <f t="shared" si="36"/>
        <v>1.5932504440497335</v>
      </c>
      <c r="P136" s="100">
        <f t="shared" si="37"/>
        <v>0.10188679245283019</v>
      </c>
      <c r="Q136" s="108">
        <f t="shared" si="38"/>
        <v>5.5096418732782371E-3</v>
      </c>
      <c r="R136" s="110">
        <f t="shared" si="39"/>
        <v>1.98782795757485E-2</v>
      </c>
    </row>
    <row r="137" spans="1:18" x14ac:dyDescent="0.2">
      <c r="A137" s="4" t="s">
        <v>260</v>
      </c>
      <c r="B137" s="4">
        <v>83</v>
      </c>
      <c r="C137" s="4">
        <v>79</v>
      </c>
      <c r="D137" s="4">
        <v>106</v>
      </c>
      <c r="E137" s="4">
        <v>175</v>
      </c>
      <c r="F137" s="4">
        <v>200</v>
      </c>
      <c r="G137" s="4">
        <v>316</v>
      </c>
      <c r="H137" s="4">
        <v>384</v>
      </c>
      <c r="I137" s="4">
        <v>499</v>
      </c>
      <c r="J137" s="4">
        <v>598</v>
      </c>
      <c r="K137" s="4">
        <v>1251</v>
      </c>
      <c r="L137" s="4">
        <v>1109</v>
      </c>
      <c r="M137" s="4">
        <v>1551</v>
      </c>
      <c r="N137" s="4">
        <v>1370</v>
      </c>
      <c r="O137" s="100">
        <f t="shared" si="36"/>
        <v>6.8285714285714283</v>
      </c>
      <c r="P137" s="100">
        <f t="shared" si="37"/>
        <v>1.2909698996655519</v>
      </c>
      <c r="Q137" s="108">
        <f t="shared" si="38"/>
        <v>-0.11669890393294649</v>
      </c>
      <c r="R137" s="110">
        <f t="shared" si="39"/>
        <v>1.8652906177243453E-2</v>
      </c>
    </row>
    <row r="138" spans="1:18" x14ac:dyDescent="0.2">
      <c r="A138" s="4" t="s">
        <v>65</v>
      </c>
      <c r="B138" s="4">
        <v>384</v>
      </c>
      <c r="C138" s="4">
        <v>274</v>
      </c>
      <c r="D138" s="4">
        <v>364</v>
      </c>
      <c r="E138" s="4">
        <v>391</v>
      </c>
      <c r="F138" s="4">
        <v>587</v>
      </c>
      <c r="G138" s="4">
        <v>850</v>
      </c>
      <c r="H138" s="4">
        <v>839</v>
      </c>
      <c r="I138" s="4">
        <v>913</v>
      </c>
      <c r="J138" s="4">
        <v>1051</v>
      </c>
      <c r="K138" s="4">
        <v>1235</v>
      </c>
      <c r="L138" s="4">
        <v>1279</v>
      </c>
      <c r="M138" s="4">
        <v>1161</v>
      </c>
      <c r="N138" s="4">
        <v>1281</v>
      </c>
      <c r="O138" s="100">
        <f t="shared" si="36"/>
        <v>2.2762148337595907</v>
      </c>
      <c r="P138" s="100">
        <f t="shared" si="37"/>
        <v>0.21883920076117983</v>
      </c>
      <c r="Q138" s="108">
        <f t="shared" si="38"/>
        <v>0.10335917312661498</v>
      </c>
      <c r="R138" s="110">
        <f t="shared" si="39"/>
        <v>1.74411480387218E-2</v>
      </c>
    </row>
    <row r="139" spans="1:18" x14ac:dyDescent="0.2">
      <c r="A139" s="4" t="s">
        <v>61</v>
      </c>
      <c r="B139" s="4">
        <v>41</v>
      </c>
      <c r="C139" s="4">
        <v>25</v>
      </c>
      <c r="D139" s="4">
        <v>63</v>
      </c>
      <c r="E139" s="4">
        <v>162</v>
      </c>
      <c r="F139" s="4">
        <v>232</v>
      </c>
      <c r="G139" s="4">
        <v>433</v>
      </c>
      <c r="H139" s="4">
        <v>513</v>
      </c>
      <c r="I139" s="4">
        <v>682</v>
      </c>
      <c r="J139" s="4">
        <v>914</v>
      </c>
      <c r="K139" s="4">
        <v>996</v>
      </c>
      <c r="L139" s="4">
        <v>1083</v>
      </c>
      <c r="M139" s="4">
        <v>1061</v>
      </c>
      <c r="N139" s="4">
        <v>1253</v>
      </c>
      <c r="O139" s="100">
        <f t="shared" si="36"/>
        <v>6.7345679012345681</v>
      </c>
      <c r="P139" s="100">
        <f t="shared" si="37"/>
        <v>0.37089715536105033</v>
      </c>
      <c r="Q139" s="108">
        <f t="shared" si="38"/>
        <v>0.18096135721017909</v>
      </c>
      <c r="R139" s="110">
        <f t="shared" si="39"/>
        <v>1.7059920759186897E-2</v>
      </c>
    </row>
    <row r="140" spans="1:18" x14ac:dyDescent="0.2">
      <c r="A140" s="32" t="s">
        <v>63</v>
      </c>
      <c r="B140" s="32">
        <v>83</v>
      </c>
      <c r="C140" s="4">
        <v>100</v>
      </c>
      <c r="D140" s="4">
        <v>207</v>
      </c>
      <c r="E140" s="4">
        <v>373</v>
      </c>
      <c r="F140" s="4">
        <v>444</v>
      </c>
      <c r="G140" s="4">
        <v>616</v>
      </c>
      <c r="H140" s="4">
        <v>832</v>
      </c>
      <c r="I140" s="4">
        <v>900</v>
      </c>
      <c r="J140" s="4">
        <v>1035</v>
      </c>
      <c r="K140" s="4">
        <v>1038</v>
      </c>
      <c r="L140" s="4">
        <v>1024</v>
      </c>
      <c r="M140" s="4">
        <v>1057</v>
      </c>
      <c r="N140" s="4">
        <v>1186</v>
      </c>
      <c r="O140" s="100">
        <f t="shared" si="36"/>
        <v>2.1796246648793565</v>
      </c>
      <c r="P140" s="100">
        <f t="shared" si="37"/>
        <v>0.14589371980676327</v>
      </c>
      <c r="Q140" s="108">
        <f t="shared" si="38"/>
        <v>0.12204351939451277</v>
      </c>
      <c r="R140" s="110">
        <f t="shared" si="39"/>
        <v>1.6147698340299808E-2</v>
      </c>
    </row>
    <row r="141" spans="1:18" x14ac:dyDescent="0.2">
      <c r="A141" s="32" t="s">
        <v>59</v>
      </c>
      <c r="B141" s="32">
        <v>98</v>
      </c>
      <c r="C141" s="4">
        <v>97</v>
      </c>
      <c r="D141" s="4">
        <v>178</v>
      </c>
      <c r="E141" s="4">
        <v>273</v>
      </c>
      <c r="F141" s="4">
        <v>314</v>
      </c>
      <c r="G141" s="4">
        <v>376</v>
      </c>
      <c r="H141" s="4">
        <v>426</v>
      </c>
      <c r="I141" s="4">
        <v>677</v>
      </c>
      <c r="J141" s="4">
        <v>790</v>
      </c>
      <c r="K141" s="4">
        <v>1040</v>
      </c>
      <c r="L141" s="4">
        <v>1109</v>
      </c>
      <c r="M141" s="4">
        <v>1198</v>
      </c>
      <c r="N141" s="4">
        <v>1154</v>
      </c>
      <c r="O141" s="100">
        <f t="shared" si="36"/>
        <v>3.2271062271062272</v>
      </c>
      <c r="P141" s="100">
        <f t="shared" si="37"/>
        <v>0.46075949367088609</v>
      </c>
      <c r="Q141" s="108">
        <f t="shared" si="38"/>
        <v>-3.6727879799666109E-2</v>
      </c>
      <c r="R141" s="110">
        <f t="shared" si="39"/>
        <v>1.5712010020831349E-2</v>
      </c>
    </row>
    <row r="142" spans="1:18" x14ac:dyDescent="0.2">
      <c r="A142" s="4" t="s">
        <v>55</v>
      </c>
      <c r="B142" s="4">
        <v>238</v>
      </c>
      <c r="C142" s="4">
        <v>249</v>
      </c>
      <c r="D142" s="4">
        <v>351</v>
      </c>
      <c r="E142" s="4">
        <v>527</v>
      </c>
      <c r="F142" s="4">
        <v>1002</v>
      </c>
      <c r="G142" s="4">
        <v>1569</v>
      </c>
      <c r="H142" s="4">
        <v>2319</v>
      </c>
      <c r="I142" s="4">
        <v>3753</v>
      </c>
      <c r="J142" s="4">
        <v>5057</v>
      </c>
      <c r="K142" s="4">
        <v>4666</v>
      </c>
      <c r="L142" s="4">
        <v>3472</v>
      </c>
      <c r="M142" s="4">
        <v>2482</v>
      </c>
      <c r="N142" s="4">
        <v>1135</v>
      </c>
      <c r="O142" s="100">
        <f t="shared" si="36"/>
        <v>1.1537001897533208</v>
      </c>
      <c r="P142" s="100">
        <f t="shared" si="37"/>
        <v>-0.77555863159976268</v>
      </c>
      <c r="Q142" s="108">
        <f t="shared" si="38"/>
        <v>-0.54270749395648665</v>
      </c>
      <c r="R142" s="110">
        <f t="shared" si="39"/>
        <v>1.545332008114695E-2</v>
      </c>
    </row>
    <row r="143" spans="1:18" x14ac:dyDescent="0.2">
      <c r="A143" s="4" t="s">
        <v>69</v>
      </c>
      <c r="B143" s="4">
        <v>98</v>
      </c>
      <c r="C143" s="4">
        <v>200</v>
      </c>
      <c r="D143" s="4">
        <v>365</v>
      </c>
      <c r="E143" s="4">
        <v>405</v>
      </c>
      <c r="F143" s="4">
        <v>512</v>
      </c>
      <c r="G143" s="4">
        <v>595</v>
      </c>
      <c r="H143" s="4">
        <v>817</v>
      </c>
      <c r="I143" s="4">
        <v>897</v>
      </c>
      <c r="J143" s="4">
        <v>931</v>
      </c>
      <c r="K143" s="4">
        <v>995</v>
      </c>
      <c r="L143" s="4">
        <v>1231</v>
      </c>
      <c r="M143" s="4">
        <v>1245</v>
      </c>
      <c r="N143" s="4">
        <v>1071</v>
      </c>
      <c r="O143" s="100">
        <f t="shared" si="36"/>
        <v>1.6444444444444444</v>
      </c>
      <c r="P143" s="100">
        <f t="shared" si="37"/>
        <v>0.15037593984962405</v>
      </c>
      <c r="Q143" s="108">
        <f t="shared" si="38"/>
        <v>-0.13975903614457832</v>
      </c>
      <c r="R143" s="110">
        <f t="shared" si="39"/>
        <v>1.4581943442210029E-2</v>
      </c>
    </row>
    <row r="144" spans="1:18" x14ac:dyDescent="0.2">
      <c r="R144" s="40"/>
    </row>
    <row r="145" spans="1:18" ht="15.75" x14ac:dyDescent="0.2">
      <c r="A145" s="41" t="s">
        <v>82</v>
      </c>
      <c r="B145" s="41"/>
      <c r="C145" s="41"/>
      <c r="D145" s="41"/>
      <c r="E145" s="41"/>
      <c r="F145" s="41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</row>
    <row r="146" spans="1:18" ht="25.5" x14ac:dyDescent="0.2">
      <c r="A146" s="88" t="s">
        <v>53</v>
      </c>
      <c r="B146" s="3">
        <v>2007</v>
      </c>
      <c r="C146" s="3">
        <v>2008</v>
      </c>
      <c r="D146" s="3">
        <v>2009</v>
      </c>
      <c r="E146" s="3">
        <v>2010</v>
      </c>
      <c r="F146" s="3">
        <v>2011</v>
      </c>
      <c r="G146" s="3">
        <v>2012</v>
      </c>
      <c r="H146" s="3">
        <v>2013</v>
      </c>
      <c r="I146" s="3">
        <v>2014</v>
      </c>
      <c r="J146" s="3">
        <v>2015</v>
      </c>
      <c r="K146" s="3">
        <v>2016</v>
      </c>
      <c r="L146" s="3">
        <v>2017</v>
      </c>
      <c r="M146" s="3">
        <v>2018</v>
      </c>
      <c r="N146" s="3">
        <v>2019</v>
      </c>
      <c r="O146" s="13" t="s">
        <v>371</v>
      </c>
      <c r="P146" s="13" t="s">
        <v>372</v>
      </c>
      <c r="Q146" s="13" t="s">
        <v>310</v>
      </c>
      <c r="R146" s="13" t="s">
        <v>311</v>
      </c>
    </row>
    <row r="147" spans="1:18" x14ac:dyDescent="0.2">
      <c r="A147" s="4" t="s">
        <v>83</v>
      </c>
      <c r="B147" s="4">
        <v>3617</v>
      </c>
      <c r="C147" s="4">
        <v>3688</v>
      </c>
      <c r="D147" s="4">
        <v>3897</v>
      </c>
      <c r="E147" s="4">
        <v>3666</v>
      </c>
      <c r="F147" s="4">
        <v>4182</v>
      </c>
      <c r="G147" s="4">
        <v>4611</v>
      </c>
      <c r="H147" s="4">
        <v>5519</v>
      </c>
      <c r="I147" s="4">
        <v>6077</v>
      </c>
      <c r="J147" s="4">
        <v>6669</v>
      </c>
      <c r="K147" s="4">
        <v>6734</v>
      </c>
      <c r="L147" s="4">
        <v>7280</v>
      </c>
      <c r="M147" s="4">
        <v>7101</v>
      </c>
      <c r="N147" s="4">
        <v>6943</v>
      </c>
      <c r="O147" s="100">
        <f t="shared" ref="O147:O166" si="40">(N147-E147)/E147</f>
        <v>0.89388979814511726</v>
      </c>
      <c r="P147" s="100">
        <f t="shared" ref="P147:P166" si="41">(N147-J147)/J147</f>
        <v>4.1085620032988455E-2</v>
      </c>
      <c r="Q147" s="108">
        <f t="shared" ref="Q147:Q166" si="42">(N147-M147)/M147</f>
        <v>-2.2250387269398677E-2</v>
      </c>
      <c r="R147" s="110">
        <f>N147/$N$8</f>
        <v>7.6176160800491527E-2</v>
      </c>
    </row>
    <row r="148" spans="1:18" x14ac:dyDescent="0.2">
      <c r="A148" s="4" t="s">
        <v>85</v>
      </c>
      <c r="B148" s="4">
        <v>1287</v>
      </c>
      <c r="C148" s="4">
        <v>1553</v>
      </c>
      <c r="D148" s="4">
        <v>1691</v>
      </c>
      <c r="E148" s="4">
        <v>1777</v>
      </c>
      <c r="F148" s="4">
        <v>2107</v>
      </c>
      <c r="G148" s="4">
        <v>2624</v>
      </c>
      <c r="H148" s="4">
        <v>3430</v>
      </c>
      <c r="I148" s="4">
        <v>4384</v>
      </c>
      <c r="J148" s="4">
        <v>4806</v>
      </c>
      <c r="K148" s="4">
        <v>5314</v>
      </c>
      <c r="L148" s="4">
        <v>5606</v>
      </c>
      <c r="M148" s="4">
        <v>5876</v>
      </c>
      <c r="N148" s="4">
        <v>5311</v>
      </c>
      <c r="O148" s="100">
        <f t="shared" si="40"/>
        <v>1.9887450759707372</v>
      </c>
      <c r="P148" s="100">
        <f t="shared" si="41"/>
        <v>0.10507698709945901</v>
      </c>
      <c r="Q148" s="108">
        <f t="shared" si="42"/>
        <v>-9.6153846153846159E-2</v>
      </c>
      <c r="R148" s="110">
        <f t="shared" ref="R148:R166" si="43">N148/$N$8</f>
        <v>5.8270429210918982E-2</v>
      </c>
    </row>
    <row r="149" spans="1:18" x14ac:dyDescent="0.2">
      <c r="A149" s="4" t="s">
        <v>91</v>
      </c>
      <c r="B149" s="4">
        <v>995</v>
      </c>
      <c r="C149" s="4">
        <v>1339</v>
      </c>
      <c r="D149" s="4">
        <v>1144</v>
      </c>
      <c r="E149" s="4">
        <v>1150</v>
      </c>
      <c r="F149" s="4">
        <v>1191</v>
      </c>
      <c r="G149" s="4">
        <v>1281</v>
      </c>
      <c r="H149" s="4">
        <v>1922</v>
      </c>
      <c r="I149" s="4">
        <v>1864</v>
      </c>
      <c r="J149" s="4">
        <v>2843</v>
      </c>
      <c r="K149" s="4">
        <v>2665</v>
      </c>
      <c r="L149" s="4">
        <v>2932</v>
      </c>
      <c r="M149" s="4">
        <v>4364</v>
      </c>
      <c r="N149" s="4">
        <v>4995</v>
      </c>
      <c r="O149" s="100">
        <f t="shared" si="40"/>
        <v>3.3434782608695652</v>
      </c>
      <c r="P149" s="100">
        <f t="shared" si="41"/>
        <v>0.75694688709110092</v>
      </c>
      <c r="Q149" s="108">
        <f t="shared" si="42"/>
        <v>0.14459211732355637</v>
      </c>
      <c r="R149" s="110">
        <f t="shared" si="43"/>
        <v>5.4803388045290967E-2</v>
      </c>
    </row>
    <row r="150" spans="1:18" x14ac:dyDescent="0.2">
      <c r="A150" s="4" t="s">
        <v>86</v>
      </c>
      <c r="B150" s="4">
        <v>2530</v>
      </c>
      <c r="C150" s="4">
        <v>3135</v>
      </c>
      <c r="D150" s="4">
        <v>3301</v>
      </c>
      <c r="E150" s="4">
        <v>2825</v>
      </c>
      <c r="F150" s="4">
        <v>3025</v>
      </c>
      <c r="G150" s="4">
        <v>3052</v>
      </c>
      <c r="H150" s="4">
        <v>3411</v>
      </c>
      <c r="I150" s="4">
        <v>3717</v>
      </c>
      <c r="J150" s="4">
        <v>4060</v>
      </c>
      <c r="K150" s="4">
        <v>3953</v>
      </c>
      <c r="L150" s="4">
        <v>4066</v>
      </c>
      <c r="M150" s="4">
        <v>4360</v>
      </c>
      <c r="N150" s="4">
        <v>4840</v>
      </c>
      <c r="O150" s="100">
        <f t="shared" si="40"/>
        <v>0.71327433628318582</v>
      </c>
      <c r="P150" s="100">
        <f t="shared" si="41"/>
        <v>0.19211822660098521</v>
      </c>
      <c r="Q150" s="108">
        <f t="shared" si="42"/>
        <v>0.11009174311926606</v>
      </c>
      <c r="R150" s="110">
        <f t="shared" si="43"/>
        <v>5.310278241025191E-2</v>
      </c>
    </row>
    <row r="151" spans="1:18" x14ac:dyDescent="0.2">
      <c r="A151" s="4" t="s">
        <v>84</v>
      </c>
      <c r="B151" s="4">
        <v>1724</v>
      </c>
      <c r="C151" s="4">
        <v>1577</v>
      </c>
      <c r="D151" s="4">
        <v>2195</v>
      </c>
      <c r="E151" s="4">
        <v>2054</v>
      </c>
      <c r="F151" s="4">
        <v>1952</v>
      </c>
      <c r="G151" s="4">
        <v>2620</v>
      </c>
      <c r="H151" s="4">
        <v>3552</v>
      </c>
      <c r="I151" s="4">
        <v>3772</v>
      </c>
      <c r="J151" s="4">
        <v>4323</v>
      </c>
      <c r="K151" s="4">
        <v>4359</v>
      </c>
      <c r="L151" s="4">
        <v>4476</v>
      </c>
      <c r="M151" s="4">
        <v>4477</v>
      </c>
      <c r="N151" s="4">
        <v>4059</v>
      </c>
      <c r="O151" s="100">
        <f t="shared" si="40"/>
        <v>0.97614410905550142</v>
      </c>
      <c r="P151" s="100">
        <f t="shared" si="41"/>
        <v>-6.1068702290076333E-2</v>
      </c>
      <c r="Q151" s="108">
        <f t="shared" si="42"/>
        <v>-9.3366093366093361E-2</v>
      </c>
      <c r="R151" s="110">
        <f t="shared" si="43"/>
        <v>4.4533924339506717E-2</v>
      </c>
    </row>
    <row r="152" spans="1:18" x14ac:dyDescent="0.2">
      <c r="A152" s="4" t="s">
        <v>16</v>
      </c>
      <c r="B152" s="4">
        <v>1884</v>
      </c>
      <c r="C152" s="4">
        <v>2095</v>
      </c>
      <c r="D152" s="4">
        <v>2410</v>
      </c>
      <c r="E152" s="4">
        <v>2378</v>
      </c>
      <c r="F152" s="4">
        <v>2475</v>
      </c>
      <c r="G152" s="4">
        <v>2593</v>
      </c>
      <c r="H152" s="4">
        <v>2824</v>
      </c>
      <c r="I152" s="4">
        <v>3489</v>
      </c>
      <c r="J152" s="4">
        <v>3477</v>
      </c>
      <c r="K152" s="4">
        <v>3672</v>
      </c>
      <c r="L152" s="4">
        <v>4310</v>
      </c>
      <c r="M152" s="4">
        <v>3809</v>
      </c>
      <c r="N152" s="4">
        <v>3917</v>
      </c>
      <c r="O152" s="100">
        <f t="shared" si="40"/>
        <v>0.6471825063078217</v>
      </c>
      <c r="P152" s="100">
        <f t="shared" si="41"/>
        <v>0.12654587287891861</v>
      </c>
      <c r="Q152" s="108">
        <f t="shared" si="42"/>
        <v>2.8353898661065895E-2</v>
      </c>
      <c r="R152" s="110">
        <f t="shared" si="43"/>
        <v>4.2975950144825768E-2</v>
      </c>
    </row>
    <row r="153" spans="1:18" x14ac:dyDescent="0.2">
      <c r="A153" s="4" t="s">
        <v>73</v>
      </c>
      <c r="B153" s="4">
        <v>1247</v>
      </c>
      <c r="C153" s="4">
        <v>1407</v>
      </c>
      <c r="D153" s="4">
        <v>1811</v>
      </c>
      <c r="E153" s="4">
        <v>1821</v>
      </c>
      <c r="F153" s="4">
        <v>2464</v>
      </c>
      <c r="G153" s="4">
        <v>2349</v>
      </c>
      <c r="H153" s="4">
        <v>3062</v>
      </c>
      <c r="I153" s="4">
        <v>3413</v>
      </c>
      <c r="J153" s="4">
        <v>3360</v>
      </c>
      <c r="K153" s="4">
        <v>3364</v>
      </c>
      <c r="L153" s="4">
        <v>3414</v>
      </c>
      <c r="M153" s="4">
        <v>3623</v>
      </c>
      <c r="N153" s="4">
        <v>3530</v>
      </c>
      <c r="O153" s="100">
        <f t="shared" si="40"/>
        <v>0.93849533223503567</v>
      </c>
      <c r="P153" s="100">
        <f t="shared" si="41"/>
        <v>5.0595238095238096E-2</v>
      </c>
      <c r="Q153" s="108">
        <f t="shared" si="42"/>
        <v>-2.566933480540988E-2</v>
      </c>
      <c r="R153" s="110">
        <f t="shared" si="43"/>
        <v>3.8729921881857282E-2</v>
      </c>
    </row>
    <row r="154" spans="1:18" x14ac:dyDescent="0.2">
      <c r="A154" s="4" t="s">
        <v>89</v>
      </c>
      <c r="B154" s="4">
        <v>677</v>
      </c>
      <c r="C154" s="4">
        <v>850</v>
      </c>
      <c r="D154" s="4">
        <v>1001</v>
      </c>
      <c r="E154" s="4">
        <v>1109</v>
      </c>
      <c r="F154" s="4">
        <v>1511</v>
      </c>
      <c r="G154" s="4">
        <v>1806</v>
      </c>
      <c r="H154" s="4">
        <v>2432</v>
      </c>
      <c r="I154" s="4">
        <v>2832</v>
      </c>
      <c r="J154" s="4">
        <v>2963</v>
      </c>
      <c r="K154" s="4">
        <v>2846</v>
      </c>
      <c r="L154" s="4">
        <v>3092</v>
      </c>
      <c r="M154" s="4">
        <v>2832</v>
      </c>
      <c r="N154" s="4">
        <v>2541</v>
      </c>
      <c r="O154" s="100">
        <f t="shared" si="40"/>
        <v>1.2912533814247069</v>
      </c>
      <c r="P154" s="100">
        <f t="shared" si="41"/>
        <v>-0.14242321970975363</v>
      </c>
      <c r="Q154" s="108">
        <f t="shared" si="42"/>
        <v>-0.1027542372881356</v>
      </c>
      <c r="R154" s="110">
        <f t="shared" si="43"/>
        <v>2.7878960765382252E-2</v>
      </c>
    </row>
    <row r="155" spans="1:18" x14ac:dyDescent="0.2">
      <c r="A155" s="4" t="s">
        <v>79</v>
      </c>
      <c r="B155" s="4">
        <v>1904</v>
      </c>
      <c r="C155" s="4">
        <v>1894</v>
      </c>
      <c r="D155" s="4">
        <v>1938</v>
      </c>
      <c r="E155" s="4">
        <v>2033</v>
      </c>
      <c r="F155" s="4">
        <v>1607</v>
      </c>
      <c r="G155" s="4">
        <v>1577</v>
      </c>
      <c r="H155" s="4">
        <v>1639</v>
      </c>
      <c r="I155" s="4">
        <v>1774</v>
      </c>
      <c r="J155" s="4">
        <v>1549</v>
      </c>
      <c r="K155" s="4">
        <v>1453</v>
      </c>
      <c r="L155" s="4">
        <v>1644</v>
      </c>
      <c r="M155" s="4">
        <v>1954</v>
      </c>
      <c r="N155" s="4">
        <v>2136</v>
      </c>
      <c r="O155" s="100">
        <f t="shared" si="40"/>
        <v>5.0664043285784555E-2</v>
      </c>
      <c r="P155" s="100">
        <f t="shared" si="41"/>
        <v>0.37895416397675918</v>
      </c>
      <c r="Q155" s="108">
        <f t="shared" si="42"/>
        <v>9.3142272262026607E-2</v>
      </c>
      <c r="R155" s="110">
        <f t="shared" si="43"/>
        <v>2.3435442815764065E-2</v>
      </c>
    </row>
    <row r="156" spans="1:18" x14ac:dyDescent="0.2">
      <c r="A156" s="4" t="s">
        <v>74</v>
      </c>
      <c r="B156" s="4">
        <v>1767</v>
      </c>
      <c r="C156" s="4">
        <v>1710</v>
      </c>
      <c r="D156" s="4">
        <v>1609</v>
      </c>
      <c r="E156" s="4">
        <v>1582</v>
      </c>
      <c r="F156" s="4">
        <v>1851</v>
      </c>
      <c r="G156" s="4">
        <v>1950</v>
      </c>
      <c r="H156" s="4">
        <v>1957</v>
      </c>
      <c r="I156" s="4">
        <v>2385</v>
      </c>
      <c r="J156" s="4">
        <v>2154</v>
      </c>
      <c r="K156" s="4">
        <v>2175</v>
      </c>
      <c r="L156" s="4">
        <v>2383</v>
      </c>
      <c r="M156" s="4">
        <v>2309</v>
      </c>
      <c r="N156" s="4">
        <v>2096</v>
      </c>
      <c r="O156" s="100">
        <f t="shared" si="40"/>
        <v>0.32490518331226298</v>
      </c>
      <c r="P156" s="100">
        <f t="shared" si="41"/>
        <v>-2.6926648096564532E-2</v>
      </c>
      <c r="Q156" s="108">
        <f t="shared" si="42"/>
        <v>-9.2247726288436555E-2</v>
      </c>
      <c r="R156" s="110">
        <f t="shared" si="43"/>
        <v>2.2996576845431407E-2</v>
      </c>
    </row>
    <row r="157" spans="1:18" x14ac:dyDescent="0.2">
      <c r="A157" s="4" t="s">
        <v>88</v>
      </c>
      <c r="B157" s="4">
        <v>1521</v>
      </c>
      <c r="C157" s="4">
        <v>1644</v>
      </c>
      <c r="D157" s="4">
        <v>1985</v>
      </c>
      <c r="E157" s="4">
        <v>2053</v>
      </c>
      <c r="F157" s="4">
        <v>2261</v>
      </c>
      <c r="G157" s="4">
        <v>2609</v>
      </c>
      <c r="H157" s="4">
        <v>2774</v>
      </c>
      <c r="I157" s="4">
        <v>3005</v>
      </c>
      <c r="J157" s="4">
        <v>2913</v>
      </c>
      <c r="K157" s="4">
        <v>2718</v>
      </c>
      <c r="L157" s="4">
        <v>2382</v>
      </c>
      <c r="M157" s="4">
        <v>1985</v>
      </c>
      <c r="N157" s="4">
        <v>2089</v>
      </c>
      <c r="O157" s="100">
        <f t="shared" si="40"/>
        <v>1.7535314174378959E-2</v>
      </c>
      <c r="P157" s="100">
        <f t="shared" si="41"/>
        <v>-0.28286989358050119</v>
      </c>
      <c r="Q157" s="108">
        <f t="shared" si="42"/>
        <v>5.2392947103274558E-2</v>
      </c>
      <c r="R157" s="110">
        <f t="shared" si="43"/>
        <v>2.2919775300623189E-2</v>
      </c>
    </row>
    <row r="158" spans="1:18" x14ac:dyDescent="0.2">
      <c r="A158" s="4" t="s">
        <v>90</v>
      </c>
      <c r="B158" s="4">
        <v>910</v>
      </c>
      <c r="C158" s="4">
        <v>1097</v>
      </c>
      <c r="D158" s="4">
        <v>1136</v>
      </c>
      <c r="E158" s="4">
        <v>1254</v>
      </c>
      <c r="F158" s="4">
        <v>1283</v>
      </c>
      <c r="G158" s="4">
        <v>1320</v>
      </c>
      <c r="H158" s="4">
        <v>1502</v>
      </c>
      <c r="I158" s="4">
        <v>1564</v>
      </c>
      <c r="J158" s="4">
        <v>1632</v>
      </c>
      <c r="K158" s="4">
        <v>1598</v>
      </c>
      <c r="L158" s="4">
        <v>1637</v>
      </c>
      <c r="M158" s="4">
        <v>1801</v>
      </c>
      <c r="N158" s="4">
        <v>1817</v>
      </c>
      <c r="O158" s="100">
        <f t="shared" si="40"/>
        <v>0.44896331738437001</v>
      </c>
      <c r="P158" s="100">
        <f t="shared" si="41"/>
        <v>0.1133578431372549</v>
      </c>
      <c r="Q158" s="108">
        <f t="shared" si="42"/>
        <v>8.8839533592448647E-3</v>
      </c>
      <c r="R158" s="110">
        <f t="shared" si="43"/>
        <v>1.9935486702361099E-2</v>
      </c>
    </row>
    <row r="159" spans="1:18" x14ac:dyDescent="0.2">
      <c r="A159" s="4" t="s">
        <v>93</v>
      </c>
      <c r="B159" s="4">
        <v>334</v>
      </c>
      <c r="C159" s="4">
        <v>412</v>
      </c>
      <c r="D159" s="4">
        <v>507</v>
      </c>
      <c r="E159" s="4">
        <v>617</v>
      </c>
      <c r="F159" s="4">
        <v>722</v>
      </c>
      <c r="G159" s="4">
        <v>784</v>
      </c>
      <c r="H159" s="4">
        <v>1163</v>
      </c>
      <c r="I159" s="4">
        <v>1407</v>
      </c>
      <c r="J159" s="4">
        <v>1420</v>
      </c>
      <c r="K159" s="4">
        <v>1625</v>
      </c>
      <c r="L159" s="4">
        <v>1853</v>
      </c>
      <c r="M159" s="4">
        <v>2008</v>
      </c>
      <c r="N159" s="4">
        <v>1736</v>
      </c>
      <c r="O159" s="100">
        <f t="shared" si="40"/>
        <v>1.8136142625607781</v>
      </c>
      <c r="P159" s="100">
        <f t="shared" si="41"/>
        <v>0.22253521126760564</v>
      </c>
      <c r="Q159" s="108">
        <f t="shared" si="42"/>
        <v>-0.13545816733067728</v>
      </c>
      <c r="R159" s="110">
        <f t="shared" si="43"/>
        <v>1.9046783112437463E-2</v>
      </c>
    </row>
    <row r="160" spans="1:18" x14ac:dyDescent="0.2">
      <c r="A160" s="4" t="s">
        <v>75</v>
      </c>
      <c r="B160" s="4">
        <v>1639</v>
      </c>
      <c r="C160" s="4">
        <v>1509</v>
      </c>
      <c r="D160" s="4">
        <v>1470</v>
      </c>
      <c r="E160" s="4">
        <v>1449</v>
      </c>
      <c r="F160" s="4">
        <v>1635</v>
      </c>
      <c r="G160" s="4">
        <v>1846</v>
      </c>
      <c r="H160" s="4">
        <v>2031</v>
      </c>
      <c r="I160" s="4">
        <v>2140</v>
      </c>
      <c r="J160" s="4">
        <v>2223</v>
      </c>
      <c r="K160" s="4">
        <v>1958</v>
      </c>
      <c r="L160" s="4">
        <v>1900</v>
      </c>
      <c r="M160" s="4">
        <v>1712</v>
      </c>
      <c r="N160" s="4">
        <v>1717</v>
      </c>
      <c r="O160" s="100">
        <f t="shared" si="40"/>
        <v>0.18495514147688061</v>
      </c>
      <c r="P160" s="100">
        <f t="shared" si="41"/>
        <v>-0.22762033288349079</v>
      </c>
      <c r="Q160" s="108">
        <f t="shared" si="42"/>
        <v>2.9205607476635513E-3</v>
      </c>
      <c r="R160" s="110">
        <f t="shared" si="43"/>
        <v>1.8838321776529447E-2</v>
      </c>
    </row>
    <row r="161" spans="1:18" x14ac:dyDescent="0.2">
      <c r="A161" s="4" t="s">
        <v>254</v>
      </c>
      <c r="B161" s="4">
        <v>246</v>
      </c>
      <c r="C161" s="4">
        <v>396</v>
      </c>
      <c r="D161" s="4">
        <v>462</v>
      </c>
      <c r="E161" s="4">
        <v>571</v>
      </c>
      <c r="F161" s="4">
        <v>567</v>
      </c>
      <c r="G161" s="4">
        <v>915</v>
      </c>
      <c r="H161" s="4">
        <v>926</v>
      </c>
      <c r="I161" s="4">
        <v>1278</v>
      </c>
      <c r="J161" s="4">
        <v>1379</v>
      </c>
      <c r="K161" s="4">
        <v>1624</v>
      </c>
      <c r="L161" s="4">
        <v>1647</v>
      </c>
      <c r="M161" s="4">
        <v>1668</v>
      </c>
      <c r="N161" s="4">
        <v>1708</v>
      </c>
      <c r="O161" s="100">
        <f t="shared" si="40"/>
        <v>1.9912434325744308</v>
      </c>
      <c r="P161" s="100">
        <f t="shared" si="41"/>
        <v>0.23857868020304568</v>
      </c>
      <c r="Q161" s="108">
        <f t="shared" si="42"/>
        <v>2.3980815347721823E-2</v>
      </c>
      <c r="R161" s="110">
        <f t="shared" si="43"/>
        <v>1.8739576933204598E-2</v>
      </c>
    </row>
    <row r="162" spans="1:18" x14ac:dyDescent="0.2">
      <c r="A162" s="4" t="s">
        <v>92</v>
      </c>
      <c r="B162" s="4">
        <v>530</v>
      </c>
      <c r="C162" s="4">
        <v>686</v>
      </c>
      <c r="D162" s="4">
        <v>786</v>
      </c>
      <c r="E162" s="4">
        <v>794</v>
      </c>
      <c r="F162" s="4">
        <v>855</v>
      </c>
      <c r="G162" s="4">
        <v>1119</v>
      </c>
      <c r="H162" s="4">
        <v>1222</v>
      </c>
      <c r="I162" s="4">
        <v>1246</v>
      </c>
      <c r="J162" s="4">
        <v>1407</v>
      </c>
      <c r="K162" s="4">
        <v>1525</v>
      </c>
      <c r="L162" s="4">
        <v>1649</v>
      </c>
      <c r="M162" s="4">
        <v>1598</v>
      </c>
      <c r="N162" s="4">
        <v>1694</v>
      </c>
      <c r="O162" s="100">
        <f t="shared" si="40"/>
        <v>1.1335012594458438</v>
      </c>
      <c r="P162" s="100">
        <f t="shared" si="41"/>
        <v>0.20398009950248755</v>
      </c>
      <c r="Q162" s="108">
        <f t="shared" si="42"/>
        <v>6.0075093867334166E-2</v>
      </c>
      <c r="R162" s="110">
        <f t="shared" si="43"/>
        <v>1.8585973843588167E-2</v>
      </c>
    </row>
    <row r="163" spans="1:18" x14ac:dyDescent="0.2">
      <c r="A163" s="4" t="s">
        <v>56</v>
      </c>
      <c r="B163" s="4">
        <v>223</v>
      </c>
      <c r="C163" s="4">
        <v>393</v>
      </c>
      <c r="D163" s="4">
        <v>487</v>
      </c>
      <c r="E163" s="4">
        <v>517</v>
      </c>
      <c r="F163" s="4">
        <v>473</v>
      </c>
      <c r="G163" s="4">
        <v>729</v>
      </c>
      <c r="H163" s="4">
        <v>812</v>
      </c>
      <c r="I163" s="4">
        <v>994</v>
      </c>
      <c r="J163" s="4">
        <v>932</v>
      </c>
      <c r="K163" s="4">
        <v>1150</v>
      </c>
      <c r="L163" s="4">
        <v>1167</v>
      </c>
      <c r="M163" s="4">
        <v>1385</v>
      </c>
      <c r="N163" s="4">
        <v>1539</v>
      </c>
      <c r="O163" s="100">
        <f t="shared" si="40"/>
        <v>1.9767891682785299</v>
      </c>
      <c r="P163" s="100">
        <f t="shared" si="41"/>
        <v>0.65128755364806867</v>
      </c>
      <c r="Q163" s="108">
        <f t="shared" si="42"/>
        <v>0.1111913357400722</v>
      </c>
      <c r="R163" s="110">
        <f t="shared" si="43"/>
        <v>1.688536820854911E-2</v>
      </c>
    </row>
    <row r="164" spans="1:18" x14ac:dyDescent="0.2">
      <c r="A164" s="4" t="s">
        <v>296</v>
      </c>
      <c r="B164" s="4">
        <v>626</v>
      </c>
      <c r="C164" s="4">
        <v>602</v>
      </c>
      <c r="D164" s="4">
        <v>773</v>
      </c>
      <c r="E164" s="4">
        <v>658</v>
      </c>
      <c r="F164" s="4">
        <v>686</v>
      </c>
      <c r="G164" s="4">
        <v>768</v>
      </c>
      <c r="H164" s="4">
        <v>990</v>
      </c>
      <c r="I164" s="4">
        <v>1184</v>
      </c>
      <c r="J164" s="4">
        <v>1200</v>
      </c>
      <c r="K164" s="4">
        <v>1073</v>
      </c>
      <c r="L164" s="4">
        <v>1132</v>
      </c>
      <c r="M164" s="4">
        <v>1439</v>
      </c>
      <c r="N164" s="4">
        <v>1430</v>
      </c>
      <c r="O164" s="100">
        <f t="shared" si="40"/>
        <v>1.1732522796352585</v>
      </c>
      <c r="P164" s="100">
        <f t="shared" si="41"/>
        <v>0.19166666666666668</v>
      </c>
      <c r="Q164" s="108">
        <f t="shared" si="42"/>
        <v>-6.2543432939541352E-3</v>
      </c>
      <c r="R164" s="110">
        <f t="shared" si="43"/>
        <v>1.5689458439392609E-2</v>
      </c>
    </row>
    <row r="165" spans="1:18" x14ac:dyDescent="0.2">
      <c r="A165" s="4" t="s">
        <v>87</v>
      </c>
      <c r="B165" s="4">
        <v>5466</v>
      </c>
      <c r="C165" s="4">
        <v>5386</v>
      </c>
      <c r="D165" s="4">
        <v>5705</v>
      </c>
      <c r="E165" s="4">
        <v>5177</v>
      </c>
      <c r="F165" s="4">
        <v>4222</v>
      </c>
      <c r="G165" s="4">
        <v>3153</v>
      </c>
      <c r="H165" s="4">
        <v>2860</v>
      </c>
      <c r="I165" s="4">
        <v>2679</v>
      </c>
      <c r="J165" s="4">
        <v>2423</v>
      </c>
      <c r="K165" s="4">
        <v>2080</v>
      </c>
      <c r="L165" s="4">
        <v>2027</v>
      </c>
      <c r="M165" s="4">
        <v>1430</v>
      </c>
      <c r="N165" s="4">
        <v>1344</v>
      </c>
      <c r="O165" s="100">
        <f t="shared" si="40"/>
        <v>-0.74039018736720108</v>
      </c>
      <c r="P165" s="100">
        <f t="shared" si="41"/>
        <v>-0.44531572430870819</v>
      </c>
      <c r="Q165" s="108">
        <f t="shared" si="42"/>
        <v>-6.0139860139860141E-2</v>
      </c>
      <c r="R165" s="110">
        <f t="shared" si="43"/>
        <v>1.474589660317739E-2</v>
      </c>
    </row>
    <row r="166" spans="1:18" x14ac:dyDescent="0.2">
      <c r="A166" s="4" t="s">
        <v>316</v>
      </c>
      <c r="B166" s="4">
        <v>427</v>
      </c>
      <c r="C166" s="4">
        <v>414</v>
      </c>
      <c r="D166" s="4">
        <v>424</v>
      </c>
      <c r="E166" s="4">
        <v>494</v>
      </c>
      <c r="F166" s="4">
        <v>655</v>
      </c>
      <c r="G166" s="4">
        <v>592</v>
      </c>
      <c r="H166" s="4">
        <v>861</v>
      </c>
      <c r="I166" s="4">
        <v>905</v>
      </c>
      <c r="J166" s="4">
        <v>954</v>
      </c>
      <c r="K166" s="4">
        <v>1066</v>
      </c>
      <c r="L166" s="4">
        <v>1174</v>
      </c>
      <c r="M166" s="4">
        <v>1339</v>
      </c>
      <c r="N166" s="4">
        <v>1337</v>
      </c>
      <c r="O166" s="100">
        <f t="shared" si="40"/>
        <v>1.7064777327935223</v>
      </c>
      <c r="P166" s="100">
        <f t="shared" si="41"/>
        <v>0.40146750524109015</v>
      </c>
      <c r="Q166" s="108">
        <f t="shared" si="42"/>
        <v>-1.4936519790888724E-3</v>
      </c>
      <c r="R166" s="110">
        <f t="shared" si="43"/>
        <v>1.4669095058369174E-2</v>
      </c>
    </row>
    <row r="167" spans="1:18" x14ac:dyDescent="0.2">
      <c r="R167" s="40"/>
    </row>
    <row r="168" spans="1:18" ht="15.75" x14ac:dyDescent="0.2">
      <c r="A168" s="41" t="s">
        <v>243</v>
      </c>
      <c r="B168" s="41"/>
      <c r="C168" s="41"/>
      <c r="D168" s="41"/>
      <c r="E168" s="41"/>
      <c r="F168" s="41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</row>
    <row r="169" spans="1:18" ht="25.5" x14ac:dyDescent="0.2">
      <c r="A169" s="88" t="s">
        <v>247</v>
      </c>
      <c r="B169" s="3">
        <v>2007</v>
      </c>
      <c r="C169" s="3">
        <v>2008</v>
      </c>
      <c r="D169" s="3">
        <v>2009</v>
      </c>
      <c r="E169" s="3">
        <v>2010</v>
      </c>
      <c r="F169" s="3">
        <v>2011</v>
      </c>
      <c r="G169" s="3">
        <v>2012</v>
      </c>
      <c r="H169" s="3">
        <v>2013</v>
      </c>
      <c r="I169" s="3">
        <v>2014</v>
      </c>
      <c r="J169" s="3">
        <v>2015</v>
      </c>
      <c r="K169" s="3">
        <v>2016</v>
      </c>
      <c r="L169" s="3">
        <v>2017</v>
      </c>
      <c r="M169" s="3">
        <v>2018</v>
      </c>
      <c r="N169" s="3">
        <v>2019</v>
      </c>
      <c r="O169" s="13" t="s">
        <v>371</v>
      </c>
      <c r="P169" s="13" t="s">
        <v>372</v>
      </c>
      <c r="Q169" s="13" t="s">
        <v>310</v>
      </c>
      <c r="R169" s="13" t="s">
        <v>311</v>
      </c>
    </row>
    <row r="170" spans="1:18" x14ac:dyDescent="0.2">
      <c r="A170" s="4" t="s">
        <v>228</v>
      </c>
      <c r="B170" s="4">
        <v>46271</v>
      </c>
      <c r="C170" s="4">
        <v>54360</v>
      </c>
      <c r="D170" s="4">
        <v>58770</v>
      </c>
      <c r="E170" s="4">
        <v>55445</v>
      </c>
      <c r="F170" s="4">
        <v>65940</v>
      </c>
      <c r="G170" s="4">
        <v>76568</v>
      </c>
      <c r="H170" s="4">
        <v>88610</v>
      </c>
      <c r="I170" s="4">
        <v>95408</v>
      </c>
      <c r="J170" s="4">
        <v>104586</v>
      </c>
      <c r="K170" s="4">
        <v>111081</v>
      </c>
      <c r="L170" s="4">
        <v>115745</v>
      </c>
      <c r="M170" s="4">
        <v>117987</v>
      </c>
      <c r="N170" s="4">
        <v>113232</v>
      </c>
      <c r="O170" s="100">
        <f t="shared" ref="O170:O172" si="44">(N170-E170)/E170</f>
        <v>1.0422400577148525</v>
      </c>
      <c r="P170" s="100">
        <f t="shared" ref="P170:P172" si="45">(N170-J170)/J170</f>
        <v>8.266880844472492E-2</v>
      </c>
      <c r="Q170" s="108">
        <f t="shared" ref="Q170:Q172" si="46">(N170-M170)/M170</f>
        <v>-4.0301050115690712E-2</v>
      </c>
      <c r="R170" s="110">
        <f>N170/$N$172</f>
        <v>0.57220245795601554</v>
      </c>
    </row>
    <row r="171" spans="1:18" x14ac:dyDescent="0.2">
      <c r="A171" s="4" t="s">
        <v>229</v>
      </c>
      <c r="B171" s="4">
        <v>38720</v>
      </c>
      <c r="C171" s="4">
        <v>42319</v>
      </c>
      <c r="D171" s="4">
        <v>47791</v>
      </c>
      <c r="E171" s="4">
        <v>46027</v>
      </c>
      <c r="F171" s="4">
        <v>52107</v>
      </c>
      <c r="G171" s="4">
        <v>58710</v>
      </c>
      <c r="H171" s="4">
        <v>67760</v>
      </c>
      <c r="I171" s="4">
        <v>75120</v>
      </c>
      <c r="J171" s="4">
        <v>82993</v>
      </c>
      <c r="K171" s="4">
        <v>84884</v>
      </c>
      <c r="L171" s="4">
        <v>88862</v>
      </c>
      <c r="M171" s="4">
        <v>89881</v>
      </c>
      <c r="N171" s="4">
        <v>84656</v>
      </c>
      <c r="O171" s="100">
        <f t="shared" si="44"/>
        <v>0.83926825558911078</v>
      </c>
      <c r="P171" s="100">
        <f t="shared" si="45"/>
        <v>2.0037834516164015E-2</v>
      </c>
      <c r="Q171" s="108">
        <f t="shared" si="46"/>
        <v>-5.8132419532492964E-2</v>
      </c>
      <c r="R171" s="110">
        <f>N171/$N$172</f>
        <v>0.42779754204398446</v>
      </c>
    </row>
    <row r="172" spans="1:18" x14ac:dyDescent="0.2">
      <c r="A172" s="5" t="s">
        <v>4</v>
      </c>
      <c r="B172" s="5">
        <f>SUM(B170:B171)</f>
        <v>84991</v>
      </c>
      <c r="C172" s="5">
        <f>SUM(C170:C171)</f>
        <v>96679</v>
      </c>
      <c r="D172" s="5">
        <f t="shared" ref="D172:N172" si="47">SUM(D170:D171)</f>
        <v>106561</v>
      </c>
      <c r="E172" s="5">
        <f t="shared" si="47"/>
        <v>101472</v>
      </c>
      <c r="F172" s="5">
        <f t="shared" si="47"/>
        <v>118047</v>
      </c>
      <c r="G172" s="5">
        <f t="shared" si="47"/>
        <v>135278</v>
      </c>
      <c r="H172" s="5">
        <f t="shared" si="47"/>
        <v>156370</v>
      </c>
      <c r="I172" s="5">
        <f t="shared" si="47"/>
        <v>170528</v>
      </c>
      <c r="J172" s="5">
        <f t="shared" si="47"/>
        <v>187579</v>
      </c>
      <c r="K172" s="5">
        <f t="shared" si="47"/>
        <v>195965</v>
      </c>
      <c r="L172" s="5">
        <f t="shared" si="47"/>
        <v>204607</v>
      </c>
      <c r="M172" s="5">
        <f t="shared" si="47"/>
        <v>207868</v>
      </c>
      <c r="N172" s="5">
        <f t="shared" si="47"/>
        <v>197888</v>
      </c>
      <c r="O172" s="83">
        <f t="shared" si="44"/>
        <v>0.95017344686218863</v>
      </c>
      <c r="P172" s="83">
        <f t="shared" si="45"/>
        <v>5.4958177621162285E-2</v>
      </c>
      <c r="Q172" s="109">
        <f t="shared" si="46"/>
        <v>-4.8011237900975619E-2</v>
      </c>
      <c r="R172" s="111">
        <f>N172/$N$172</f>
        <v>1</v>
      </c>
    </row>
    <row r="174" spans="1:18" ht="15.75" x14ac:dyDescent="0.2">
      <c r="A174" s="41" t="s">
        <v>244</v>
      </c>
      <c r="B174" s="41"/>
      <c r="C174" s="41"/>
      <c r="D174" s="41"/>
      <c r="E174" s="41"/>
      <c r="F174" s="41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</row>
    <row r="175" spans="1:18" ht="25.5" x14ac:dyDescent="0.2">
      <c r="A175" s="88" t="s">
        <v>247</v>
      </c>
      <c r="B175" s="3">
        <v>2007</v>
      </c>
      <c r="C175" s="3">
        <v>2008</v>
      </c>
      <c r="D175" s="3">
        <v>2009</v>
      </c>
      <c r="E175" s="3">
        <v>2010</v>
      </c>
      <c r="F175" s="3">
        <v>2011</v>
      </c>
      <c r="G175" s="3">
        <v>2012</v>
      </c>
      <c r="H175" s="3">
        <v>2013</v>
      </c>
      <c r="I175" s="3">
        <v>2014</v>
      </c>
      <c r="J175" s="3">
        <v>2015</v>
      </c>
      <c r="K175" s="3">
        <v>2016</v>
      </c>
      <c r="L175" s="3">
        <v>2017</v>
      </c>
      <c r="M175" s="3">
        <v>2018</v>
      </c>
      <c r="N175" s="3">
        <v>2019</v>
      </c>
      <c r="O175" s="13" t="s">
        <v>371</v>
      </c>
      <c r="P175" s="13" t="s">
        <v>372</v>
      </c>
      <c r="Q175" s="13" t="s">
        <v>310</v>
      </c>
      <c r="R175" s="13" t="s">
        <v>311</v>
      </c>
    </row>
    <row r="176" spans="1:18" x14ac:dyDescent="0.2">
      <c r="A176" s="35" t="s">
        <v>228</v>
      </c>
      <c r="B176" s="35">
        <v>7439</v>
      </c>
      <c r="C176" s="35">
        <v>11838</v>
      </c>
      <c r="D176" s="35">
        <v>9824</v>
      </c>
      <c r="E176" s="35">
        <v>7904</v>
      </c>
      <c r="F176" s="35">
        <v>13669</v>
      </c>
      <c r="G176" s="4">
        <v>15764</v>
      </c>
      <c r="H176" s="4">
        <v>17256</v>
      </c>
      <c r="I176" s="4">
        <v>16596</v>
      </c>
      <c r="J176" s="4">
        <v>17672</v>
      </c>
      <c r="K176" s="4">
        <v>19570</v>
      </c>
      <c r="L176" s="4">
        <v>18170</v>
      </c>
      <c r="M176" s="4">
        <v>19769</v>
      </c>
      <c r="N176" s="4">
        <v>18511</v>
      </c>
      <c r="O176" s="100">
        <f t="shared" ref="O176:O178" si="48">(N176-E176)/E176</f>
        <v>1.3419787449392713</v>
      </c>
      <c r="P176" s="100">
        <f t="shared" ref="P176:P178" si="49">(N176-J176)/J176</f>
        <v>4.7476233589859668E-2</v>
      </c>
      <c r="Q176" s="108">
        <f t="shared" ref="Q176:Q178" si="50">(N176-M176)/M176</f>
        <v>-6.3634984065961853E-2</v>
      </c>
      <c r="R176" s="110">
        <f>N176/$N$178</f>
        <v>0.55593597020752616</v>
      </c>
    </row>
    <row r="177" spans="1:18" x14ac:dyDescent="0.2">
      <c r="A177" s="35" t="s">
        <v>229</v>
      </c>
      <c r="B177" s="35">
        <v>5212</v>
      </c>
      <c r="C177" s="35">
        <v>7358</v>
      </c>
      <c r="D177" s="35">
        <v>6717</v>
      </c>
      <c r="E177" s="35">
        <v>6083</v>
      </c>
      <c r="F177" s="35">
        <v>8639</v>
      </c>
      <c r="G177" s="4">
        <v>9728</v>
      </c>
      <c r="H177" s="4">
        <v>10925</v>
      </c>
      <c r="I177" s="4">
        <v>11077</v>
      </c>
      <c r="J177" s="4">
        <v>12875</v>
      </c>
      <c r="K177" s="4">
        <v>14193</v>
      </c>
      <c r="L177" s="4">
        <v>14473</v>
      </c>
      <c r="M177" s="4">
        <v>15350</v>
      </c>
      <c r="N177" s="4">
        <v>14786</v>
      </c>
      <c r="O177" s="100">
        <f t="shared" si="48"/>
        <v>1.4307085319743547</v>
      </c>
      <c r="P177" s="100">
        <f t="shared" si="49"/>
        <v>0.14842718446601941</v>
      </c>
      <c r="Q177" s="108">
        <f t="shared" si="50"/>
        <v>-3.6742671009771986E-2</v>
      </c>
      <c r="R177" s="110">
        <f>N177/$N$178</f>
        <v>0.44406402979247378</v>
      </c>
    </row>
    <row r="178" spans="1:18" x14ac:dyDescent="0.2">
      <c r="A178" s="5" t="s">
        <v>4</v>
      </c>
      <c r="B178" s="5">
        <f>SUM(B176:B177)</f>
        <v>12651</v>
      </c>
      <c r="C178" s="5">
        <f>SUM(C176:C177)</f>
        <v>19196</v>
      </c>
      <c r="D178" s="5">
        <f t="shared" ref="D178:N178" si="51">SUM(D176:D177)</f>
        <v>16541</v>
      </c>
      <c r="E178" s="5">
        <f t="shared" si="51"/>
        <v>13987</v>
      </c>
      <c r="F178" s="5">
        <f t="shared" si="51"/>
        <v>22308</v>
      </c>
      <c r="G178" s="5">
        <f t="shared" si="51"/>
        <v>25492</v>
      </c>
      <c r="H178" s="5">
        <f t="shared" si="51"/>
        <v>28181</v>
      </c>
      <c r="I178" s="5">
        <f t="shared" si="51"/>
        <v>27673</v>
      </c>
      <c r="J178" s="5">
        <f t="shared" si="51"/>
        <v>30547</v>
      </c>
      <c r="K178" s="5">
        <f t="shared" si="51"/>
        <v>33763</v>
      </c>
      <c r="L178" s="5">
        <f t="shared" si="51"/>
        <v>32643</v>
      </c>
      <c r="M178" s="5">
        <f t="shared" si="51"/>
        <v>35119</v>
      </c>
      <c r="N178" s="5">
        <f t="shared" si="51"/>
        <v>33297</v>
      </c>
      <c r="O178" s="83">
        <f t="shared" si="48"/>
        <v>1.3805676699792664</v>
      </c>
      <c r="P178" s="83">
        <f t="shared" si="49"/>
        <v>9.0025207057976231E-2</v>
      </c>
      <c r="Q178" s="109">
        <f t="shared" si="50"/>
        <v>-5.1880748312879067E-2</v>
      </c>
      <c r="R178" s="111">
        <f>N178/$N$178</f>
        <v>1</v>
      </c>
    </row>
    <row r="180" spans="1:18" ht="15.75" x14ac:dyDescent="0.2">
      <c r="A180" s="41" t="s">
        <v>245</v>
      </c>
      <c r="B180" s="41"/>
      <c r="C180" s="41"/>
      <c r="D180" s="41"/>
      <c r="E180" s="41"/>
      <c r="F180" s="41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</row>
    <row r="181" spans="1:18" ht="25.5" x14ac:dyDescent="0.2">
      <c r="A181" s="88" t="s">
        <v>247</v>
      </c>
      <c r="B181" s="3">
        <v>2007</v>
      </c>
      <c r="C181" s="3">
        <v>2008</v>
      </c>
      <c r="D181" s="3">
        <v>2009</v>
      </c>
      <c r="E181" s="3">
        <v>2010</v>
      </c>
      <c r="F181" s="3">
        <v>2011</v>
      </c>
      <c r="G181" s="3">
        <v>2012</v>
      </c>
      <c r="H181" s="3">
        <v>2013</v>
      </c>
      <c r="I181" s="3">
        <v>2014</v>
      </c>
      <c r="J181" s="3">
        <v>2015</v>
      </c>
      <c r="K181" s="3">
        <v>2016</v>
      </c>
      <c r="L181" s="3">
        <v>2017</v>
      </c>
      <c r="M181" s="3">
        <v>2018</v>
      </c>
      <c r="N181" s="3">
        <v>2019</v>
      </c>
      <c r="O181" s="13" t="s">
        <v>371</v>
      </c>
      <c r="P181" s="13" t="s">
        <v>372</v>
      </c>
      <c r="Q181" s="13" t="s">
        <v>310</v>
      </c>
      <c r="R181" s="13" t="s">
        <v>311</v>
      </c>
    </row>
    <row r="182" spans="1:18" x14ac:dyDescent="0.2">
      <c r="A182" s="35" t="s">
        <v>228</v>
      </c>
      <c r="B182" s="35">
        <v>8058</v>
      </c>
      <c r="C182" s="35">
        <v>9362</v>
      </c>
      <c r="D182" s="35">
        <v>12190</v>
      </c>
      <c r="E182" s="35">
        <v>12584</v>
      </c>
      <c r="F182" s="35">
        <v>16571</v>
      </c>
      <c r="G182" s="4">
        <v>21344</v>
      </c>
      <c r="H182" s="4">
        <v>26824</v>
      </c>
      <c r="I182" s="4">
        <v>31370</v>
      </c>
      <c r="J182" s="4">
        <v>37910</v>
      </c>
      <c r="K182" s="4">
        <v>41427</v>
      </c>
      <c r="L182" s="4">
        <v>44565</v>
      </c>
      <c r="M182" s="4">
        <v>44227</v>
      </c>
      <c r="N182" s="4">
        <v>41412</v>
      </c>
      <c r="O182" s="100">
        <f t="shared" ref="O182:O184" si="52">(N182-E182)/E182</f>
        <v>2.2908455181182452</v>
      </c>
      <c r="P182" s="100">
        <f t="shared" ref="P182:P184" si="53">(N182-J182)/J182</f>
        <v>9.2376681614349782E-2</v>
      </c>
      <c r="Q182" s="108">
        <f t="shared" ref="Q182:Q184" si="54">(N182-M182)/M182</f>
        <v>-6.3648902254279063E-2</v>
      </c>
      <c r="R182" s="110">
        <f>N182/$N$184</f>
        <v>0.56383514643212107</v>
      </c>
    </row>
    <row r="183" spans="1:18" x14ac:dyDescent="0.2">
      <c r="A183" s="35" t="s">
        <v>229</v>
      </c>
      <c r="B183" s="35">
        <v>9134</v>
      </c>
      <c r="C183" s="35">
        <v>9325</v>
      </c>
      <c r="D183" s="35">
        <v>11446</v>
      </c>
      <c r="E183" s="35">
        <v>11088</v>
      </c>
      <c r="F183" s="35">
        <v>14118</v>
      </c>
      <c r="G183" s="4">
        <v>16797</v>
      </c>
      <c r="H183" s="4">
        <v>20255</v>
      </c>
      <c r="I183" s="4">
        <v>24457</v>
      </c>
      <c r="J183" s="4">
        <v>29401</v>
      </c>
      <c r="K183" s="4">
        <v>31485</v>
      </c>
      <c r="L183" s="4">
        <v>33568</v>
      </c>
      <c r="M183" s="4">
        <v>34928</v>
      </c>
      <c r="N183" s="4">
        <v>32035</v>
      </c>
      <c r="O183" s="100">
        <f t="shared" si="52"/>
        <v>1.8891594516594516</v>
      </c>
      <c r="P183" s="100">
        <f t="shared" si="53"/>
        <v>8.9588789496955881E-2</v>
      </c>
      <c r="Q183" s="108">
        <f t="shared" si="54"/>
        <v>-8.2827530920751263E-2</v>
      </c>
      <c r="R183" s="110">
        <f>N183/$N$184</f>
        <v>0.43616485356787887</v>
      </c>
    </row>
    <row r="184" spans="1:18" x14ac:dyDescent="0.2">
      <c r="A184" s="5" t="s">
        <v>4</v>
      </c>
      <c r="B184" s="5">
        <f>SUM(B182:B183)</f>
        <v>17192</v>
      </c>
      <c r="C184" s="5">
        <f>SUM(C182:C183)</f>
        <v>18687</v>
      </c>
      <c r="D184" s="5">
        <f t="shared" ref="D184:N184" si="55">SUM(D182:D183)</f>
        <v>23636</v>
      </c>
      <c r="E184" s="5">
        <f t="shared" si="55"/>
        <v>23672</v>
      </c>
      <c r="F184" s="5">
        <f t="shared" si="55"/>
        <v>30689</v>
      </c>
      <c r="G184" s="5">
        <f t="shared" si="55"/>
        <v>38141</v>
      </c>
      <c r="H184" s="5">
        <f t="shared" si="55"/>
        <v>47079</v>
      </c>
      <c r="I184" s="5">
        <f t="shared" si="55"/>
        <v>55827</v>
      </c>
      <c r="J184" s="5">
        <f t="shared" si="55"/>
        <v>67311</v>
      </c>
      <c r="K184" s="5">
        <f t="shared" si="55"/>
        <v>72912</v>
      </c>
      <c r="L184" s="5">
        <f t="shared" si="55"/>
        <v>78133</v>
      </c>
      <c r="M184" s="5">
        <f t="shared" si="55"/>
        <v>79155</v>
      </c>
      <c r="N184" s="5">
        <f t="shared" si="55"/>
        <v>73447</v>
      </c>
      <c r="O184" s="83">
        <f t="shared" si="52"/>
        <v>2.1026951672862455</v>
      </c>
      <c r="P184" s="83">
        <f t="shared" si="53"/>
        <v>9.1158948760232353E-2</v>
      </c>
      <c r="Q184" s="109">
        <f t="shared" si="54"/>
        <v>-7.2111679615943405E-2</v>
      </c>
      <c r="R184" s="111">
        <f>N184/$N$184</f>
        <v>1</v>
      </c>
    </row>
    <row r="186" spans="1:18" ht="15.75" x14ac:dyDescent="0.2">
      <c r="A186" s="41" t="s">
        <v>246</v>
      </c>
      <c r="B186" s="41"/>
      <c r="C186" s="41"/>
      <c r="D186" s="41"/>
      <c r="E186" s="41"/>
      <c r="F186" s="41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</row>
    <row r="187" spans="1:18" ht="25.5" x14ac:dyDescent="0.2">
      <c r="A187" s="88" t="s">
        <v>247</v>
      </c>
      <c r="B187" s="3">
        <v>2007</v>
      </c>
      <c r="C187" s="3">
        <v>2008</v>
      </c>
      <c r="D187" s="3">
        <v>2009</v>
      </c>
      <c r="E187" s="3">
        <v>2010</v>
      </c>
      <c r="F187" s="3">
        <v>2011</v>
      </c>
      <c r="G187" s="3">
        <v>2012</v>
      </c>
      <c r="H187" s="3">
        <v>2013</v>
      </c>
      <c r="I187" s="3">
        <v>2014</v>
      </c>
      <c r="J187" s="3">
        <v>2015</v>
      </c>
      <c r="K187" s="3">
        <v>2016</v>
      </c>
      <c r="L187" s="3">
        <v>2017</v>
      </c>
      <c r="M187" s="3">
        <v>2018</v>
      </c>
      <c r="N187" s="3">
        <v>2019</v>
      </c>
      <c r="O187" s="13" t="s">
        <v>371</v>
      </c>
      <c r="P187" s="13" t="s">
        <v>372</v>
      </c>
      <c r="Q187" s="13" t="s">
        <v>310</v>
      </c>
      <c r="R187" s="13" t="s">
        <v>311</v>
      </c>
    </row>
    <row r="188" spans="1:18" x14ac:dyDescent="0.2">
      <c r="A188" s="35" t="s">
        <v>228</v>
      </c>
      <c r="B188" s="35">
        <v>30774</v>
      </c>
      <c r="C188" s="35">
        <v>33160</v>
      </c>
      <c r="D188" s="35">
        <v>36756</v>
      </c>
      <c r="E188" s="35">
        <v>34957</v>
      </c>
      <c r="F188" s="35">
        <v>35700</v>
      </c>
      <c r="G188" s="4">
        <v>39460</v>
      </c>
      <c r="H188" s="4">
        <v>44530</v>
      </c>
      <c r="I188" s="4">
        <v>47442</v>
      </c>
      <c r="J188" s="4">
        <v>49004</v>
      </c>
      <c r="K188" s="4">
        <v>50084</v>
      </c>
      <c r="L188" s="4">
        <v>53010</v>
      </c>
      <c r="M188" s="4">
        <v>53991</v>
      </c>
      <c r="N188" s="4">
        <v>53309</v>
      </c>
      <c r="O188" s="100">
        <f t="shared" ref="O188:O190" si="56">(N188-E188)/E188</f>
        <v>0.52498784220613892</v>
      </c>
      <c r="P188" s="100">
        <f t="shared" ref="P188:P190" si="57">(N188-J188)/J188</f>
        <v>8.7849971430903603E-2</v>
      </c>
      <c r="Q188" s="108">
        <f t="shared" ref="Q188:Q190" si="58">(N188-M188)/M188</f>
        <v>-1.263173491878276E-2</v>
      </c>
      <c r="R188" s="110">
        <f>N188/N$190</f>
        <v>0.58488765031159484</v>
      </c>
    </row>
    <row r="189" spans="1:18" x14ac:dyDescent="0.2">
      <c r="A189" s="35" t="s">
        <v>229</v>
      </c>
      <c r="B189" s="35">
        <v>24374</v>
      </c>
      <c r="C189" s="35">
        <v>25636</v>
      </c>
      <c r="D189" s="35">
        <v>29628</v>
      </c>
      <c r="E189" s="35">
        <v>28856</v>
      </c>
      <c r="F189" s="35">
        <v>29350</v>
      </c>
      <c r="G189" s="4">
        <v>32185</v>
      </c>
      <c r="H189" s="4">
        <v>36580</v>
      </c>
      <c r="I189" s="4">
        <v>39586</v>
      </c>
      <c r="J189" s="4">
        <v>40717</v>
      </c>
      <c r="K189" s="4">
        <v>39206</v>
      </c>
      <c r="L189" s="4">
        <v>40821</v>
      </c>
      <c r="M189" s="4">
        <v>39603</v>
      </c>
      <c r="N189" s="4">
        <v>37835</v>
      </c>
      <c r="O189" s="100">
        <f t="shared" si="56"/>
        <v>0.31116578874410866</v>
      </c>
      <c r="P189" s="100">
        <f t="shared" si="57"/>
        <v>-7.0781246162536532E-2</v>
      </c>
      <c r="Q189" s="108">
        <f t="shared" si="58"/>
        <v>-4.4643082594752921E-2</v>
      </c>
      <c r="R189" s="110">
        <f>N189/N$190</f>
        <v>0.41511234968840516</v>
      </c>
    </row>
    <row r="190" spans="1:18" x14ac:dyDescent="0.2">
      <c r="A190" s="5" t="s">
        <v>4</v>
      </c>
      <c r="B190" s="5">
        <f>SUM(B188:B189)</f>
        <v>55148</v>
      </c>
      <c r="C190" s="5">
        <f>SUM(C188:C189)</f>
        <v>58796</v>
      </c>
      <c r="D190" s="5">
        <f t="shared" ref="D190:N190" si="59">SUM(D188:D189)</f>
        <v>66384</v>
      </c>
      <c r="E190" s="5">
        <f t="shared" si="59"/>
        <v>63813</v>
      </c>
      <c r="F190" s="5">
        <f t="shared" si="59"/>
        <v>65050</v>
      </c>
      <c r="G190" s="5">
        <f t="shared" si="59"/>
        <v>71645</v>
      </c>
      <c r="H190" s="5">
        <f t="shared" si="59"/>
        <v>81110</v>
      </c>
      <c r="I190" s="5">
        <f t="shared" si="59"/>
        <v>87028</v>
      </c>
      <c r="J190" s="5">
        <f t="shared" si="59"/>
        <v>89721</v>
      </c>
      <c r="K190" s="5">
        <f t="shared" si="59"/>
        <v>89290</v>
      </c>
      <c r="L190" s="5">
        <f t="shared" si="59"/>
        <v>93831</v>
      </c>
      <c r="M190" s="5">
        <f t="shared" si="59"/>
        <v>93594</v>
      </c>
      <c r="N190" s="5">
        <f t="shared" si="59"/>
        <v>91144</v>
      </c>
      <c r="O190" s="83">
        <f t="shared" si="56"/>
        <v>0.42829830912196576</v>
      </c>
      <c r="P190" s="83">
        <f t="shared" si="57"/>
        <v>1.5860277972826874E-2</v>
      </c>
      <c r="Q190" s="109">
        <f t="shared" si="58"/>
        <v>-2.6176891681090667E-2</v>
      </c>
      <c r="R190" s="111">
        <f>N190/N$190</f>
        <v>1</v>
      </c>
    </row>
    <row r="191" spans="1:18" x14ac:dyDescent="0.2">
      <c r="A191" s="76"/>
      <c r="B191" s="76"/>
      <c r="C191" s="76"/>
      <c r="D191" s="76"/>
      <c r="E191" s="76"/>
      <c r="F191" s="76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</row>
    <row r="192" spans="1:18" ht="15.75" x14ac:dyDescent="0.2">
      <c r="A192" s="41" t="s">
        <v>94</v>
      </c>
      <c r="B192" s="41"/>
      <c r="C192" s="41"/>
      <c r="D192" s="41"/>
      <c r="E192" s="41"/>
      <c r="F192" s="41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</row>
    <row r="193" spans="1:19" ht="25.5" x14ac:dyDescent="0.2">
      <c r="A193" s="88" t="s">
        <v>26</v>
      </c>
      <c r="B193" s="3">
        <v>2007</v>
      </c>
      <c r="C193" s="3">
        <v>2008</v>
      </c>
      <c r="D193" s="3">
        <v>2009</v>
      </c>
      <c r="E193" s="3">
        <v>2010</v>
      </c>
      <c r="F193" s="3">
        <v>2011</v>
      </c>
      <c r="G193" s="3">
        <v>2012</v>
      </c>
      <c r="H193" s="3">
        <v>2013</v>
      </c>
      <c r="I193" s="3">
        <v>2014</v>
      </c>
      <c r="J193" s="3">
        <v>2015</v>
      </c>
      <c r="K193" s="3">
        <v>2016</v>
      </c>
      <c r="L193" s="3">
        <v>2017</v>
      </c>
      <c r="M193" s="3">
        <v>2018</v>
      </c>
      <c r="N193" s="3">
        <v>2019</v>
      </c>
      <c r="O193" s="13" t="s">
        <v>371</v>
      </c>
      <c r="P193" s="13" t="s">
        <v>372</v>
      </c>
      <c r="Q193" s="13" t="s">
        <v>310</v>
      </c>
      <c r="R193" s="13" t="s">
        <v>311</v>
      </c>
    </row>
    <row r="194" spans="1:19" x14ac:dyDescent="0.2">
      <c r="A194" s="4" t="s">
        <v>27</v>
      </c>
      <c r="B194" s="4">
        <v>61</v>
      </c>
      <c r="C194" s="4">
        <v>817</v>
      </c>
      <c r="D194" s="4">
        <v>677</v>
      </c>
      <c r="E194" s="4">
        <v>74</v>
      </c>
      <c r="F194" s="4">
        <v>120</v>
      </c>
      <c r="G194" s="4">
        <v>169</v>
      </c>
      <c r="H194" s="4">
        <v>224</v>
      </c>
      <c r="I194" s="4">
        <v>313</v>
      </c>
      <c r="J194" s="4">
        <v>416</v>
      </c>
      <c r="K194" s="4">
        <v>492</v>
      </c>
      <c r="L194" s="4">
        <v>594</v>
      </c>
      <c r="M194" s="4">
        <v>535</v>
      </c>
      <c r="N194" s="4">
        <v>372</v>
      </c>
      <c r="O194" s="100">
        <f t="shared" ref="O194:O201" si="60">(N194-E194)/E194</f>
        <v>4.0270270270270272</v>
      </c>
      <c r="P194" s="100">
        <f t="shared" ref="P194:P201" si="61">(N194-J194)/J194</f>
        <v>-0.10576923076923077</v>
      </c>
      <c r="Q194" s="108">
        <f t="shared" ref="Q194:Q201" si="62">(N194-M194)/M194</f>
        <v>-0.30467289719626167</v>
      </c>
      <c r="R194" s="110">
        <f t="shared" ref="R194:R201" si="63">N194/$N$9</f>
        <v>1.8798512289780079E-3</v>
      </c>
      <c r="S194" s="107"/>
    </row>
    <row r="195" spans="1:19" x14ac:dyDescent="0.2">
      <c r="A195" s="4" t="s">
        <v>28</v>
      </c>
      <c r="B195" s="4">
        <v>35484</v>
      </c>
      <c r="C195" s="4">
        <v>40731</v>
      </c>
      <c r="D195" s="4">
        <v>43968</v>
      </c>
      <c r="E195" s="4">
        <v>42519</v>
      </c>
      <c r="F195" s="4">
        <v>53316</v>
      </c>
      <c r="G195" s="4">
        <v>61844</v>
      </c>
      <c r="H195" s="4">
        <v>70082</v>
      </c>
      <c r="I195" s="4">
        <v>74540</v>
      </c>
      <c r="J195" s="4">
        <v>80890</v>
      </c>
      <c r="K195" s="4">
        <v>83778</v>
      </c>
      <c r="L195" s="4">
        <v>87583</v>
      </c>
      <c r="M195" s="4">
        <v>86724</v>
      </c>
      <c r="N195" s="4">
        <v>84469</v>
      </c>
      <c r="O195" s="100">
        <f t="shared" si="60"/>
        <v>0.98661774736000374</v>
      </c>
      <c r="P195" s="100">
        <f t="shared" si="61"/>
        <v>4.4245271356162692E-2</v>
      </c>
      <c r="Q195" s="108">
        <f t="shared" si="62"/>
        <v>-2.6002029426686959E-2</v>
      </c>
      <c r="R195" s="110">
        <f t="shared" si="63"/>
        <v>0.42685256306597669</v>
      </c>
      <c r="S195" s="107"/>
    </row>
    <row r="196" spans="1:19" x14ac:dyDescent="0.2">
      <c r="A196" s="4" t="s">
        <v>29</v>
      </c>
      <c r="B196" s="4">
        <v>31713</v>
      </c>
      <c r="C196" s="4">
        <v>33927</v>
      </c>
      <c r="D196" s="4">
        <v>37439</v>
      </c>
      <c r="E196" s="4">
        <v>35937</v>
      </c>
      <c r="F196" s="4">
        <v>38933</v>
      </c>
      <c r="G196" s="4">
        <v>43916</v>
      </c>
      <c r="H196" s="4">
        <v>51457</v>
      </c>
      <c r="I196" s="4">
        <v>56573</v>
      </c>
      <c r="J196" s="4">
        <v>61726</v>
      </c>
      <c r="K196" s="4">
        <v>63716</v>
      </c>
      <c r="L196" s="4">
        <v>66395</v>
      </c>
      <c r="M196" s="4">
        <v>67185</v>
      </c>
      <c r="N196" s="4">
        <v>63030</v>
      </c>
      <c r="O196" s="100">
        <f t="shared" si="60"/>
        <v>0.75390266299357211</v>
      </c>
      <c r="P196" s="100">
        <f t="shared" si="61"/>
        <v>2.1125619674043354E-2</v>
      </c>
      <c r="Q196" s="108">
        <f t="shared" si="62"/>
        <v>-6.1844161643223934E-2</v>
      </c>
      <c r="R196" s="110">
        <f t="shared" si="63"/>
        <v>0.31851350258732214</v>
      </c>
      <c r="S196" s="107"/>
    </row>
    <row r="197" spans="1:19" x14ac:dyDescent="0.2">
      <c r="A197" s="4" t="s">
        <v>30</v>
      </c>
      <c r="B197" s="4">
        <v>9091</v>
      </c>
      <c r="C197" s="4">
        <v>10101</v>
      </c>
      <c r="D197" s="4">
        <v>11480</v>
      </c>
      <c r="E197" s="4">
        <v>10875</v>
      </c>
      <c r="F197" s="4">
        <v>12336</v>
      </c>
      <c r="G197" s="4">
        <v>14355</v>
      </c>
      <c r="H197" s="4">
        <v>17372</v>
      </c>
      <c r="I197" s="4">
        <v>19463</v>
      </c>
      <c r="J197" s="4">
        <v>21498</v>
      </c>
      <c r="K197" s="4">
        <v>22787</v>
      </c>
      <c r="L197" s="4">
        <v>23723</v>
      </c>
      <c r="M197" s="4">
        <v>25231</v>
      </c>
      <c r="N197" s="4">
        <v>23735</v>
      </c>
      <c r="O197" s="100">
        <f t="shared" si="60"/>
        <v>1.1825287356321839</v>
      </c>
      <c r="P197" s="100">
        <f t="shared" si="61"/>
        <v>0.10405619127360685</v>
      </c>
      <c r="Q197" s="108">
        <f t="shared" si="62"/>
        <v>-5.9292140620665054E-2</v>
      </c>
      <c r="R197" s="110">
        <f t="shared" si="63"/>
        <v>0.11994158311772316</v>
      </c>
      <c r="S197" s="107"/>
    </row>
    <row r="198" spans="1:19" x14ac:dyDescent="0.2">
      <c r="A198" s="4" t="s">
        <v>31</v>
      </c>
      <c r="B198" s="4">
        <v>4066</v>
      </c>
      <c r="C198" s="4">
        <v>4943</v>
      </c>
      <c r="D198" s="4">
        <v>6035</v>
      </c>
      <c r="E198" s="4">
        <v>5765</v>
      </c>
      <c r="F198" s="4">
        <v>6385</v>
      </c>
      <c r="G198" s="4">
        <v>7192</v>
      </c>
      <c r="H198" s="4">
        <v>8405</v>
      </c>
      <c r="I198" s="4">
        <v>9592</v>
      </c>
      <c r="J198" s="4">
        <v>10885</v>
      </c>
      <c r="K198" s="4">
        <v>11830</v>
      </c>
      <c r="L198" s="4">
        <v>12772</v>
      </c>
      <c r="M198" s="4">
        <v>13681</v>
      </c>
      <c r="N198" s="4">
        <v>12588</v>
      </c>
      <c r="O198" s="100">
        <f t="shared" si="60"/>
        <v>1.1835212489158717</v>
      </c>
      <c r="P198" s="100">
        <f t="shared" si="61"/>
        <v>0.156453835553514</v>
      </c>
      <c r="Q198" s="108">
        <f t="shared" si="62"/>
        <v>-7.9891820773335287E-2</v>
      </c>
      <c r="R198" s="110">
        <f t="shared" si="63"/>
        <v>6.361173997412678E-2</v>
      </c>
      <c r="S198" s="107"/>
    </row>
    <row r="199" spans="1:19" x14ac:dyDescent="0.2">
      <c r="A199" s="4" t="s">
        <v>32</v>
      </c>
      <c r="B199" s="4">
        <v>4391</v>
      </c>
      <c r="C199" s="4">
        <v>6028</v>
      </c>
      <c r="D199" s="4">
        <v>6937</v>
      </c>
      <c r="E199" s="4">
        <v>6284</v>
      </c>
      <c r="F199" s="4">
        <v>6938</v>
      </c>
      <c r="G199" s="4">
        <v>7785</v>
      </c>
      <c r="H199" s="4">
        <v>8820</v>
      </c>
      <c r="I199" s="4">
        <v>9972</v>
      </c>
      <c r="J199" s="4">
        <v>12143</v>
      </c>
      <c r="K199" s="4">
        <v>13359</v>
      </c>
      <c r="L199" s="4">
        <v>13538</v>
      </c>
      <c r="M199" s="4">
        <v>14507</v>
      </c>
      <c r="N199" s="4">
        <v>13692</v>
      </c>
      <c r="O199" s="100">
        <f t="shared" si="60"/>
        <v>1.1788669637173774</v>
      </c>
      <c r="P199" s="100">
        <f t="shared" si="61"/>
        <v>0.12756320513876307</v>
      </c>
      <c r="Q199" s="108">
        <f t="shared" si="62"/>
        <v>-5.6179775280898875E-2</v>
      </c>
      <c r="R199" s="110">
        <f t="shared" si="63"/>
        <v>6.9190653298835711E-2</v>
      </c>
      <c r="S199" s="107"/>
    </row>
    <row r="200" spans="1:19" x14ac:dyDescent="0.2">
      <c r="A200" s="4" t="s">
        <v>33</v>
      </c>
      <c r="B200" s="4">
        <v>185</v>
      </c>
      <c r="C200" s="4">
        <v>132</v>
      </c>
      <c r="D200" s="4">
        <v>25</v>
      </c>
      <c r="E200" s="4">
        <v>18</v>
      </c>
      <c r="F200" s="4">
        <v>19</v>
      </c>
      <c r="G200" s="4">
        <v>17</v>
      </c>
      <c r="H200" s="4">
        <v>10</v>
      </c>
      <c r="I200" s="4">
        <v>75</v>
      </c>
      <c r="J200" s="4">
        <v>21</v>
      </c>
      <c r="K200" s="4">
        <v>3</v>
      </c>
      <c r="L200" s="4">
        <v>2</v>
      </c>
      <c r="M200" s="4">
        <v>5</v>
      </c>
      <c r="N200" s="4">
        <v>2</v>
      </c>
      <c r="O200" s="100">
        <f t="shared" si="60"/>
        <v>-0.88888888888888884</v>
      </c>
      <c r="P200" s="100">
        <f t="shared" si="61"/>
        <v>-0.90476190476190477</v>
      </c>
      <c r="Q200" s="108">
        <f t="shared" si="62"/>
        <v>-0.6</v>
      </c>
      <c r="R200" s="110">
        <f t="shared" si="63"/>
        <v>1.0106727037516172E-5</v>
      </c>
      <c r="S200" s="107"/>
    </row>
    <row r="201" spans="1:19" x14ac:dyDescent="0.2">
      <c r="A201" s="5" t="s">
        <v>4</v>
      </c>
      <c r="B201" s="5">
        <f>SUM(B194:B200)</f>
        <v>84991</v>
      </c>
      <c r="C201" s="5">
        <f>SUM(C194:C200)</f>
        <v>96679</v>
      </c>
      <c r="D201" s="5">
        <f t="shared" ref="D201:N201" si="64">SUM(D194:D200)</f>
        <v>106561</v>
      </c>
      <c r="E201" s="5">
        <f t="shared" si="64"/>
        <v>101472</v>
      </c>
      <c r="F201" s="5">
        <f t="shared" si="64"/>
        <v>118047</v>
      </c>
      <c r="G201" s="5">
        <f t="shared" si="64"/>
        <v>135278</v>
      </c>
      <c r="H201" s="5">
        <f t="shared" si="64"/>
        <v>156370</v>
      </c>
      <c r="I201" s="5">
        <f t="shared" si="64"/>
        <v>170528</v>
      </c>
      <c r="J201" s="5">
        <f t="shared" si="64"/>
        <v>187579</v>
      </c>
      <c r="K201" s="5">
        <f t="shared" si="64"/>
        <v>195965</v>
      </c>
      <c r="L201" s="5">
        <f t="shared" si="64"/>
        <v>204607</v>
      </c>
      <c r="M201" s="5">
        <f t="shared" si="64"/>
        <v>207868</v>
      </c>
      <c r="N201" s="5">
        <f t="shared" si="64"/>
        <v>197888</v>
      </c>
      <c r="O201" s="83">
        <f t="shared" si="60"/>
        <v>0.95017344686218863</v>
      </c>
      <c r="P201" s="83">
        <f t="shared" si="61"/>
        <v>5.4958177621162285E-2</v>
      </c>
      <c r="Q201" s="109">
        <f t="shared" si="62"/>
        <v>-4.8011237900975619E-2</v>
      </c>
      <c r="R201" s="111">
        <f t="shared" si="63"/>
        <v>1</v>
      </c>
    </row>
    <row r="202" spans="1:19" x14ac:dyDescent="0.2">
      <c r="A202" s="94" t="s">
        <v>95</v>
      </c>
      <c r="B202" s="126">
        <v>26.909051246374101</v>
      </c>
      <c r="C202" s="124">
        <v>27.070059142179499</v>
      </c>
      <c r="D202" s="124">
        <v>27.2608142373712</v>
      </c>
      <c r="E202" s="124">
        <v>27.220727503269</v>
      </c>
      <c r="F202" s="124">
        <v>26.9190123162563</v>
      </c>
      <c r="G202" s="124">
        <v>26.903859944847401</v>
      </c>
      <c r="H202" s="124">
        <v>26.952769250447702</v>
      </c>
      <c r="I202" s="124">
        <v>27.0578282576429</v>
      </c>
      <c r="J202" s="124">
        <v>27.200199404984101</v>
      </c>
      <c r="K202" s="124">
        <v>27.3144793378308</v>
      </c>
      <c r="L202" s="124">
        <v>27.293008479753698</v>
      </c>
      <c r="M202" s="124">
        <v>27.489639810836898</v>
      </c>
      <c r="N202" s="124">
        <v>27.4144760114409</v>
      </c>
      <c r="O202" s="101"/>
      <c r="P202" s="101"/>
      <c r="Q202" s="101"/>
      <c r="R202" s="93"/>
    </row>
    <row r="203" spans="1:19" x14ac:dyDescent="0.2">
      <c r="A203" s="76"/>
      <c r="B203" s="117"/>
      <c r="C203" s="117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9"/>
      <c r="P203" s="76"/>
      <c r="Q203" s="76"/>
      <c r="R203" s="76"/>
    </row>
    <row r="204" spans="1:19" x14ac:dyDescent="0.2">
      <c r="A204" s="76"/>
      <c r="B204" s="117"/>
      <c r="C204" s="117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9"/>
      <c r="P204" s="40"/>
      <c r="Q204" s="40"/>
      <c r="R204" s="40"/>
    </row>
    <row r="205" spans="1:19" x14ac:dyDescent="0.2">
      <c r="A205" s="70" t="s">
        <v>264</v>
      </c>
      <c r="B205" s="70"/>
      <c r="C205" s="70"/>
      <c r="D205" s="70"/>
      <c r="E205" s="70"/>
      <c r="F205" s="7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</row>
    <row r="206" spans="1:19" x14ac:dyDescent="0.2">
      <c r="A206" s="76"/>
      <c r="B206" s="76"/>
      <c r="C206" s="76"/>
      <c r="D206" s="76"/>
      <c r="E206" s="76"/>
      <c r="F206" s="76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</row>
    <row r="207" spans="1:19" x14ac:dyDescent="0.2">
      <c r="A207" s="78" t="s">
        <v>21</v>
      </c>
      <c r="B207" s="78"/>
      <c r="C207" s="78"/>
      <c r="D207" s="78"/>
      <c r="E207" s="78"/>
      <c r="F207" s="78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</row>
    <row r="208" spans="1:19" x14ac:dyDescent="0.2">
      <c r="A208" s="76"/>
      <c r="B208" s="76"/>
      <c r="C208" s="76"/>
      <c r="D208" s="76"/>
      <c r="E208" s="76"/>
      <c r="F208" s="76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</row>
  </sheetData>
  <sortState ref="A147:Q166">
    <sortCondition descending="1" ref="N147:N166"/>
  </sortState>
  <hyperlinks>
    <hyperlink ref="A207" location="Indice!A5" display="Volver al índice"/>
  </hyperlinks>
  <pageMargins left="0.7" right="0.7" top="0.75" bottom="0.75" header="0.3" footer="0.3"/>
  <pageSetup orientation="portrait" verticalDpi="0" r:id="rId1"/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0"/>
  <sheetViews>
    <sheetView showGridLines="0" zoomScale="90" zoomScaleNormal="90" workbookViewId="0">
      <pane ySplit="2" topLeftCell="A27" activePane="bottomLeft" state="frozen"/>
      <selection pane="bottomLeft" activeCell="A96" sqref="A96"/>
    </sheetView>
  </sheetViews>
  <sheetFormatPr baseColWidth="10" defaultColWidth="10.85546875" defaultRowHeight="15" x14ac:dyDescent="0.25"/>
  <cols>
    <col min="1" max="1" width="43.140625" style="1" customWidth="1"/>
    <col min="2" max="4" width="15.7109375" style="45" customWidth="1"/>
    <col min="5" max="16384" width="10.85546875" style="2"/>
  </cols>
  <sheetData>
    <row r="1" spans="1:6" ht="21" x14ac:dyDescent="0.25">
      <c r="A1" s="66" t="s">
        <v>324</v>
      </c>
      <c r="B1" s="46"/>
      <c r="C1" s="46"/>
      <c r="D1" s="46"/>
      <c r="E1" s="1"/>
      <c r="F1" s="1"/>
    </row>
    <row r="2" spans="1:6" x14ac:dyDescent="0.25">
      <c r="A2" s="40"/>
      <c r="B2" s="46"/>
      <c r="C2" s="46"/>
      <c r="D2" s="46"/>
      <c r="E2" s="1"/>
      <c r="F2" s="1"/>
    </row>
    <row r="3" spans="1:6" x14ac:dyDescent="0.25">
      <c r="A3" s="40"/>
      <c r="B3" s="46"/>
      <c r="C3" s="46"/>
      <c r="D3" s="46"/>
      <c r="E3" s="1"/>
      <c r="F3" s="1"/>
    </row>
    <row r="4" spans="1:6" ht="15.75" x14ac:dyDescent="0.25">
      <c r="A4" s="25" t="s">
        <v>329</v>
      </c>
      <c r="B4" s="46"/>
      <c r="C4" s="46"/>
      <c r="D4" s="46"/>
      <c r="E4" s="1"/>
      <c r="F4" s="1"/>
    </row>
    <row r="5" spans="1:6" x14ac:dyDescent="0.25">
      <c r="A5" s="88" t="s">
        <v>267</v>
      </c>
      <c r="B5" s="47" t="s">
        <v>96</v>
      </c>
      <c r="C5" s="47" t="s">
        <v>97</v>
      </c>
      <c r="D5" s="47" t="s">
        <v>8</v>
      </c>
      <c r="E5" s="1"/>
      <c r="F5" s="1"/>
    </row>
    <row r="6" spans="1:6" x14ac:dyDescent="0.25">
      <c r="A6" s="32" t="s">
        <v>261</v>
      </c>
      <c r="B6" s="43">
        <v>389</v>
      </c>
      <c r="C6" s="43">
        <v>3509</v>
      </c>
      <c r="D6" s="43">
        <v>3898</v>
      </c>
      <c r="E6" s="1"/>
      <c r="F6" s="1"/>
    </row>
    <row r="7" spans="1:6" x14ac:dyDescent="0.25">
      <c r="A7" s="32" t="s">
        <v>262</v>
      </c>
      <c r="B7" s="43">
        <v>394</v>
      </c>
      <c r="C7" s="43">
        <v>3337</v>
      </c>
      <c r="D7" s="43">
        <v>3731</v>
      </c>
      <c r="E7" s="1"/>
      <c r="F7" s="1"/>
    </row>
    <row r="8" spans="1:6" x14ac:dyDescent="0.25">
      <c r="A8" s="32" t="s">
        <v>263</v>
      </c>
      <c r="B8" s="43">
        <v>88</v>
      </c>
      <c r="C8" s="43">
        <v>8453</v>
      </c>
      <c r="D8" s="43">
        <v>8541</v>
      </c>
      <c r="E8" s="1"/>
      <c r="F8" s="1"/>
    </row>
    <row r="9" spans="1:6" x14ac:dyDescent="0.25">
      <c r="A9" s="5" t="s">
        <v>4</v>
      </c>
      <c r="B9" s="44">
        <v>871</v>
      </c>
      <c r="C9" s="44">
        <v>15299</v>
      </c>
      <c r="D9" s="44">
        <v>16170</v>
      </c>
      <c r="E9" s="1"/>
      <c r="F9" s="1"/>
    </row>
    <row r="10" spans="1:6" x14ac:dyDescent="0.25">
      <c r="A10" s="122" t="s">
        <v>373</v>
      </c>
      <c r="B10" s="46"/>
      <c r="C10" s="46"/>
      <c r="D10" s="46"/>
      <c r="E10" s="1"/>
      <c r="F10" s="1"/>
    </row>
    <row r="11" spans="1:6" x14ac:dyDescent="0.25">
      <c r="A11" s="122"/>
      <c r="B11" s="46"/>
      <c r="C11" s="46"/>
      <c r="D11" s="46"/>
      <c r="E11" s="1"/>
      <c r="F11" s="1"/>
    </row>
    <row r="12" spans="1:6" ht="15.75" x14ac:dyDescent="0.25">
      <c r="A12" s="25" t="s">
        <v>330</v>
      </c>
      <c r="B12" s="46"/>
      <c r="C12" s="46"/>
      <c r="D12" s="46"/>
      <c r="E12" s="1"/>
      <c r="F12" s="1"/>
    </row>
    <row r="13" spans="1:6" x14ac:dyDescent="0.25">
      <c r="A13" s="88" t="s">
        <v>247</v>
      </c>
      <c r="B13" s="47" t="s">
        <v>96</v>
      </c>
      <c r="C13" s="47" t="s">
        <v>97</v>
      </c>
      <c r="D13" s="47" t="s">
        <v>8</v>
      </c>
      <c r="E13" s="1"/>
      <c r="F13" s="1"/>
    </row>
    <row r="14" spans="1:6" x14ac:dyDescent="0.25">
      <c r="A14" s="4" t="s">
        <v>325</v>
      </c>
      <c r="B14" s="43">
        <v>377</v>
      </c>
      <c r="C14" s="43">
        <v>7797</v>
      </c>
      <c r="D14" s="43">
        <v>8174</v>
      </c>
      <c r="E14" s="1"/>
      <c r="F14" s="1"/>
    </row>
    <row r="15" spans="1:6" x14ac:dyDescent="0.25">
      <c r="A15" s="4" t="s">
        <v>326</v>
      </c>
      <c r="B15" s="43">
        <v>494</v>
      </c>
      <c r="C15" s="43">
        <v>7502</v>
      </c>
      <c r="D15" s="43">
        <v>7996</v>
      </c>
      <c r="E15" s="1"/>
      <c r="F15" s="1"/>
    </row>
    <row r="16" spans="1:6" x14ac:dyDescent="0.25">
      <c r="A16" s="5" t="s">
        <v>308</v>
      </c>
      <c r="B16" s="44">
        <f t="shared" ref="B16:C16" si="0">SUM(B14:B15)</f>
        <v>871</v>
      </c>
      <c r="C16" s="44">
        <f t="shared" si="0"/>
        <v>15299</v>
      </c>
      <c r="D16" s="44">
        <f>SUM(D14:D15)</f>
        <v>16170</v>
      </c>
      <c r="E16" s="1"/>
      <c r="F16" s="1"/>
    </row>
    <row r="17" spans="1:6" x14ac:dyDescent="0.25">
      <c r="E17" s="1"/>
      <c r="F17" s="1"/>
    </row>
    <row r="18" spans="1:6" ht="15.75" x14ac:dyDescent="0.25">
      <c r="A18" s="25" t="s">
        <v>331</v>
      </c>
      <c r="B18" s="46"/>
      <c r="C18" s="46"/>
      <c r="D18" s="46"/>
      <c r="E18" s="1"/>
      <c r="F18" s="1"/>
    </row>
    <row r="19" spans="1:6" x14ac:dyDescent="0.25">
      <c r="A19" s="88" t="s">
        <v>26</v>
      </c>
      <c r="B19" s="47" t="s">
        <v>96</v>
      </c>
      <c r="C19" s="47" t="s">
        <v>97</v>
      </c>
      <c r="D19" s="47" t="s">
        <v>8</v>
      </c>
      <c r="E19" s="1"/>
      <c r="F19" s="1"/>
    </row>
    <row r="20" spans="1:6" x14ac:dyDescent="0.25">
      <c r="A20" s="4" t="s">
        <v>28</v>
      </c>
      <c r="B20" s="43">
        <v>0</v>
      </c>
      <c r="C20" s="43">
        <v>703</v>
      </c>
      <c r="D20" s="43">
        <v>703</v>
      </c>
      <c r="E20" s="1"/>
      <c r="F20" s="1"/>
    </row>
    <row r="21" spans="1:6" x14ac:dyDescent="0.25">
      <c r="A21" s="4" t="s">
        <v>29</v>
      </c>
      <c r="B21" s="43">
        <v>117</v>
      </c>
      <c r="C21" s="43">
        <v>3623</v>
      </c>
      <c r="D21" s="43">
        <v>3740</v>
      </c>
      <c r="E21" s="1"/>
      <c r="F21" s="1"/>
    </row>
    <row r="22" spans="1:6" x14ac:dyDescent="0.25">
      <c r="A22" s="4" t="s">
        <v>30</v>
      </c>
      <c r="B22" s="43">
        <v>363</v>
      </c>
      <c r="C22" s="43">
        <v>4005</v>
      </c>
      <c r="D22" s="43">
        <v>4368</v>
      </c>
      <c r="E22" s="1"/>
      <c r="F22" s="1"/>
    </row>
    <row r="23" spans="1:6" x14ac:dyDescent="0.25">
      <c r="A23" s="4" t="s">
        <v>31</v>
      </c>
      <c r="B23" s="43">
        <v>190</v>
      </c>
      <c r="C23" s="43">
        <v>2964</v>
      </c>
      <c r="D23" s="43">
        <v>3154</v>
      </c>
      <c r="E23" s="1"/>
      <c r="F23" s="1"/>
    </row>
    <row r="24" spans="1:6" x14ac:dyDescent="0.25">
      <c r="A24" s="4" t="s">
        <v>32</v>
      </c>
      <c r="B24" s="43">
        <v>200</v>
      </c>
      <c r="C24" s="43">
        <v>4002</v>
      </c>
      <c r="D24" s="43">
        <v>4202</v>
      </c>
      <c r="E24" s="1"/>
      <c r="F24" s="1"/>
    </row>
    <row r="25" spans="1:6" x14ac:dyDescent="0.25">
      <c r="A25" s="4" t="s">
        <v>33</v>
      </c>
      <c r="B25" s="43">
        <v>1</v>
      </c>
      <c r="C25" s="43">
        <v>2</v>
      </c>
      <c r="D25" s="43">
        <v>3</v>
      </c>
      <c r="E25" s="1"/>
      <c r="F25" s="1"/>
    </row>
    <row r="26" spans="1:6" x14ac:dyDescent="0.25">
      <c r="A26" s="5" t="s">
        <v>4</v>
      </c>
      <c r="B26" s="44">
        <f>SUM(B20:B25)</f>
        <v>871</v>
      </c>
      <c r="C26" s="44">
        <f t="shared" ref="C26:D26" si="1">SUM(C20:C25)</f>
        <v>15299</v>
      </c>
      <c r="D26" s="44">
        <f t="shared" si="1"/>
        <v>16170</v>
      </c>
      <c r="E26" s="1"/>
      <c r="F26" s="1"/>
    </row>
    <row r="27" spans="1:6" x14ac:dyDescent="0.25">
      <c r="A27" s="94" t="s">
        <v>34</v>
      </c>
      <c r="B27" s="95">
        <v>36.84184914841849</v>
      </c>
      <c r="C27" s="95">
        <v>35.053609201480697</v>
      </c>
      <c r="D27" s="95">
        <v>35.145768025078368</v>
      </c>
      <c r="E27" s="1"/>
      <c r="F27" s="1"/>
    </row>
    <row r="28" spans="1:6" x14ac:dyDescent="0.25">
      <c r="B28" s="1"/>
      <c r="C28" s="1"/>
      <c r="D28" s="1"/>
      <c r="E28" s="1"/>
      <c r="F28" s="1"/>
    </row>
    <row r="29" spans="1:6" ht="15.75" x14ac:dyDescent="0.25">
      <c r="A29" s="25" t="s">
        <v>332</v>
      </c>
      <c r="B29" s="46"/>
      <c r="C29" s="46"/>
      <c r="D29" s="46"/>
    </row>
    <row r="30" spans="1:6" x14ac:dyDescent="0.25">
      <c r="A30" s="88" t="s">
        <v>10</v>
      </c>
      <c r="B30" s="47" t="s">
        <v>96</v>
      </c>
      <c r="C30" s="47" t="s">
        <v>97</v>
      </c>
      <c r="D30" s="47" t="s">
        <v>8</v>
      </c>
    </row>
    <row r="31" spans="1:6" x14ac:dyDescent="0.25">
      <c r="A31" s="4" t="s">
        <v>11</v>
      </c>
      <c r="B31" s="43">
        <v>8</v>
      </c>
      <c r="C31" s="43">
        <v>4935</v>
      </c>
      <c r="D31" s="43">
        <v>4943</v>
      </c>
    </row>
    <row r="32" spans="1:6" x14ac:dyDescent="0.25">
      <c r="A32" s="4" t="s">
        <v>12</v>
      </c>
      <c r="B32" s="43">
        <v>63</v>
      </c>
      <c r="C32" s="43">
        <v>149</v>
      </c>
      <c r="D32" s="43">
        <v>212</v>
      </c>
    </row>
    <row r="33" spans="1:6" x14ac:dyDescent="0.25">
      <c r="A33" s="4" t="s">
        <v>13</v>
      </c>
      <c r="B33" s="43">
        <v>11</v>
      </c>
      <c r="C33" s="43">
        <v>450</v>
      </c>
      <c r="D33" s="43">
        <v>461</v>
      </c>
    </row>
    <row r="34" spans="1:6" x14ac:dyDescent="0.25">
      <c r="A34" s="4" t="s">
        <v>14</v>
      </c>
      <c r="B34" s="43">
        <v>324</v>
      </c>
      <c r="C34" s="43">
        <v>417</v>
      </c>
      <c r="D34" s="43">
        <v>741</v>
      </c>
    </row>
    <row r="35" spans="1:6" x14ac:dyDescent="0.25">
      <c r="A35" s="4" t="s">
        <v>15</v>
      </c>
      <c r="B35" s="43">
        <v>102</v>
      </c>
      <c r="C35" s="43">
        <v>2014</v>
      </c>
      <c r="D35" s="43">
        <v>2116</v>
      </c>
    </row>
    <row r="36" spans="1:6" x14ac:dyDescent="0.25">
      <c r="A36" s="4" t="s">
        <v>16</v>
      </c>
      <c r="B36" s="43">
        <v>18</v>
      </c>
      <c r="C36" s="43">
        <v>1077</v>
      </c>
      <c r="D36" s="43">
        <v>1095</v>
      </c>
    </row>
    <row r="37" spans="1:6" x14ac:dyDescent="0.25">
      <c r="A37" s="4" t="s">
        <v>17</v>
      </c>
      <c r="B37" s="43">
        <v>42</v>
      </c>
      <c r="C37" s="43">
        <v>3727</v>
      </c>
      <c r="D37" s="43">
        <v>3769</v>
      </c>
    </row>
    <row r="38" spans="1:6" x14ac:dyDescent="0.25">
      <c r="A38" s="4" t="s">
        <v>18</v>
      </c>
      <c r="B38" s="43">
        <v>74</v>
      </c>
      <c r="C38" s="43">
        <v>281</v>
      </c>
      <c r="D38" s="43">
        <v>355</v>
      </c>
    </row>
    <row r="39" spans="1:6" x14ac:dyDescent="0.25">
      <c r="A39" s="4" t="s">
        <v>19</v>
      </c>
      <c r="B39" s="43">
        <v>86</v>
      </c>
      <c r="C39" s="43">
        <v>997</v>
      </c>
      <c r="D39" s="43">
        <v>1083</v>
      </c>
    </row>
    <row r="40" spans="1:6" x14ac:dyDescent="0.25">
      <c r="A40" s="4" t="s">
        <v>20</v>
      </c>
      <c r="B40" s="43">
        <v>143</v>
      </c>
      <c r="C40" s="43">
        <v>1252</v>
      </c>
      <c r="D40" s="43">
        <v>1395</v>
      </c>
    </row>
    <row r="41" spans="1:6" x14ac:dyDescent="0.25">
      <c r="A41" s="5" t="s">
        <v>4</v>
      </c>
      <c r="B41" s="44">
        <v>871</v>
      </c>
      <c r="C41" s="44">
        <v>15299</v>
      </c>
      <c r="D41" s="44">
        <v>16170</v>
      </c>
    </row>
    <row r="42" spans="1:6" x14ac:dyDescent="0.25">
      <c r="A42" s="40"/>
      <c r="B42" s="46"/>
      <c r="C42" s="46"/>
      <c r="D42" s="46"/>
    </row>
    <row r="43" spans="1:6" ht="15.75" x14ac:dyDescent="0.25">
      <c r="A43" s="25" t="s">
        <v>333</v>
      </c>
      <c r="B43" s="46"/>
      <c r="C43" s="46"/>
      <c r="D43" s="46"/>
    </row>
    <row r="44" spans="1:6" x14ac:dyDescent="0.25">
      <c r="A44" s="88" t="s">
        <v>42</v>
      </c>
      <c r="B44" s="47" t="s">
        <v>96</v>
      </c>
      <c r="C44" s="47" t="s">
        <v>97</v>
      </c>
      <c r="D44" s="47" t="s">
        <v>8</v>
      </c>
      <c r="E44" s="1"/>
      <c r="F44" s="1"/>
    </row>
    <row r="45" spans="1:6" x14ac:dyDescent="0.25">
      <c r="A45" s="4" t="s">
        <v>43</v>
      </c>
      <c r="B45" s="43">
        <v>763</v>
      </c>
      <c r="C45" s="43">
        <v>5743</v>
      </c>
      <c r="D45" s="44">
        <v>6506</v>
      </c>
      <c r="E45" s="1"/>
    </row>
    <row r="46" spans="1:6" x14ac:dyDescent="0.25">
      <c r="A46" s="4" t="s">
        <v>44</v>
      </c>
      <c r="B46" s="43">
        <v>81</v>
      </c>
      <c r="C46" s="43">
        <v>5198</v>
      </c>
      <c r="D46" s="44">
        <v>5279</v>
      </c>
      <c r="E46" s="1"/>
    </row>
    <row r="47" spans="1:6" x14ac:dyDescent="0.25">
      <c r="A47" s="32" t="s">
        <v>250</v>
      </c>
      <c r="B47" s="43">
        <v>6</v>
      </c>
      <c r="C47" s="43">
        <v>440</v>
      </c>
      <c r="D47" s="44">
        <v>446</v>
      </c>
      <c r="E47" s="1"/>
    </row>
    <row r="48" spans="1:6" x14ac:dyDescent="0.25">
      <c r="A48" s="32" t="s">
        <v>255</v>
      </c>
      <c r="B48" s="43">
        <v>6</v>
      </c>
      <c r="C48" s="43">
        <v>1521</v>
      </c>
      <c r="D48" s="44">
        <v>1527</v>
      </c>
      <c r="E48" s="1"/>
    </row>
    <row r="49" spans="1:8" x14ac:dyDescent="0.25">
      <c r="A49" s="4" t="s">
        <v>45</v>
      </c>
      <c r="B49" s="43">
        <v>15</v>
      </c>
      <c r="C49" s="43">
        <v>2397</v>
      </c>
      <c r="D49" s="44">
        <v>2412</v>
      </c>
      <c r="E49" s="1"/>
    </row>
    <row r="50" spans="1:8" x14ac:dyDescent="0.25">
      <c r="A50" s="5" t="s">
        <v>4</v>
      </c>
      <c r="B50" s="44">
        <v>871</v>
      </c>
      <c r="C50" s="44">
        <v>15299</v>
      </c>
      <c r="D50" s="44">
        <v>16170</v>
      </c>
      <c r="E50" s="1"/>
    </row>
    <row r="51" spans="1:8" x14ac:dyDescent="0.25">
      <c r="A51" s="40"/>
      <c r="B51" s="46"/>
      <c r="C51" s="46"/>
      <c r="D51" s="46"/>
      <c r="E51" s="1"/>
      <c r="F51" s="33"/>
    </row>
    <row r="52" spans="1:8" ht="15.75" x14ac:dyDescent="0.25">
      <c r="A52" s="25" t="s">
        <v>334</v>
      </c>
      <c r="B52" s="46"/>
      <c r="C52" s="46"/>
      <c r="D52" s="46"/>
      <c r="E52" s="1"/>
    </row>
    <row r="53" spans="1:8" x14ac:dyDescent="0.25">
      <c r="A53" s="88" t="s">
        <v>9</v>
      </c>
      <c r="B53" s="47" t="s">
        <v>96</v>
      </c>
      <c r="C53" s="47" t="s">
        <v>97</v>
      </c>
      <c r="D53" s="47" t="s">
        <v>8</v>
      </c>
      <c r="F53" s="33"/>
    </row>
    <row r="54" spans="1:8" x14ac:dyDescent="0.25">
      <c r="A54" s="4" t="s">
        <v>272</v>
      </c>
      <c r="B54" s="43">
        <v>3</v>
      </c>
      <c r="C54" s="43">
        <v>72</v>
      </c>
      <c r="D54" s="43">
        <v>75</v>
      </c>
      <c r="F54" s="133"/>
      <c r="G54" s="133"/>
      <c r="H54" s="133"/>
    </row>
    <row r="55" spans="1:8" x14ac:dyDescent="0.25">
      <c r="A55" s="4" t="s">
        <v>273</v>
      </c>
      <c r="B55" s="43">
        <v>0</v>
      </c>
      <c r="C55" s="43">
        <v>157</v>
      </c>
      <c r="D55" s="43">
        <v>157</v>
      </c>
      <c r="F55" s="133"/>
      <c r="G55" s="133"/>
      <c r="H55" s="133"/>
    </row>
    <row r="56" spans="1:8" x14ac:dyDescent="0.25">
      <c r="A56" s="4" t="s">
        <v>274</v>
      </c>
      <c r="B56" s="43">
        <v>27</v>
      </c>
      <c r="C56" s="43">
        <v>193</v>
      </c>
      <c r="D56" s="43">
        <v>220</v>
      </c>
      <c r="F56" s="133"/>
      <c r="G56" s="133"/>
      <c r="H56" s="133"/>
    </row>
    <row r="57" spans="1:8" x14ac:dyDescent="0.25">
      <c r="A57" s="4" t="s">
        <v>275</v>
      </c>
      <c r="B57" s="43">
        <v>0</v>
      </c>
      <c r="C57" s="43">
        <v>25</v>
      </c>
      <c r="D57" s="43">
        <v>25</v>
      </c>
      <c r="F57" s="133"/>
      <c r="G57" s="133"/>
      <c r="H57" s="133"/>
    </row>
    <row r="58" spans="1:8" x14ac:dyDescent="0.25">
      <c r="A58" s="4" t="s">
        <v>276</v>
      </c>
      <c r="B58" s="43">
        <v>10</v>
      </c>
      <c r="C58" s="43">
        <v>149</v>
      </c>
      <c r="D58" s="43">
        <v>159</v>
      </c>
      <c r="F58" s="133"/>
      <c r="G58" s="133"/>
      <c r="H58" s="133"/>
    </row>
    <row r="59" spans="1:8" x14ac:dyDescent="0.25">
      <c r="A59" s="4" t="s">
        <v>277</v>
      </c>
      <c r="B59" s="43">
        <v>94</v>
      </c>
      <c r="C59" s="43">
        <v>1117</v>
      </c>
      <c r="D59" s="43">
        <v>1211</v>
      </c>
      <c r="F59" s="133"/>
      <c r="G59" s="133"/>
      <c r="H59" s="133"/>
    </row>
    <row r="60" spans="1:8" x14ac:dyDescent="0.25">
      <c r="A60" s="32" t="s">
        <v>289</v>
      </c>
      <c r="B60" s="43">
        <v>509</v>
      </c>
      <c r="C60" s="43">
        <v>10572</v>
      </c>
      <c r="D60" s="43">
        <v>11081</v>
      </c>
      <c r="F60" s="133"/>
      <c r="G60" s="133"/>
      <c r="H60" s="133"/>
    </row>
    <row r="61" spans="1:8" x14ac:dyDescent="0.25">
      <c r="A61" s="4" t="s">
        <v>278</v>
      </c>
      <c r="B61" s="43">
        <v>0</v>
      </c>
      <c r="C61" s="43">
        <v>0</v>
      </c>
      <c r="D61" s="43">
        <v>0</v>
      </c>
      <c r="F61" s="133"/>
      <c r="G61" s="133"/>
      <c r="H61" s="133"/>
    </row>
    <row r="62" spans="1:8" x14ac:dyDescent="0.25">
      <c r="A62" s="4" t="s">
        <v>279</v>
      </c>
      <c r="B62" s="43">
        <v>25</v>
      </c>
      <c r="C62" s="43">
        <v>314</v>
      </c>
      <c r="D62" s="43">
        <v>339</v>
      </c>
      <c r="F62" s="133"/>
      <c r="G62" s="133"/>
      <c r="H62" s="133"/>
    </row>
    <row r="63" spans="1:8" x14ac:dyDescent="0.25">
      <c r="A63" s="4" t="s">
        <v>295</v>
      </c>
      <c r="B63" s="43">
        <v>12</v>
      </c>
      <c r="C63" s="43">
        <v>108</v>
      </c>
      <c r="D63" s="43">
        <v>120</v>
      </c>
      <c r="F63" s="133"/>
      <c r="G63" s="133"/>
      <c r="H63" s="133"/>
    </row>
    <row r="64" spans="1:8" x14ac:dyDescent="0.25">
      <c r="A64" s="4" t="s">
        <v>280</v>
      </c>
      <c r="B64" s="43">
        <v>118</v>
      </c>
      <c r="C64" s="43">
        <v>1476</v>
      </c>
      <c r="D64" s="43">
        <v>1594</v>
      </c>
      <c r="F64" s="133"/>
      <c r="G64" s="133"/>
      <c r="H64" s="133"/>
    </row>
    <row r="65" spans="1:8" x14ac:dyDescent="0.25">
      <c r="A65" s="4" t="s">
        <v>281</v>
      </c>
      <c r="B65" s="43">
        <v>44</v>
      </c>
      <c r="C65" s="43">
        <v>730</v>
      </c>
      <c r="D65" s="43">
        <v>774</v>
      </c>
      <c r="F65" s="133"/>
      <c r="G65" s="133"/>
      <c r="H65" s="133"/>
    </row>
    <row r="66" spans="1:8" x14ac:dyDescent="0.25">
      <c r="A66" s="4" t="s">
        <v>282</v>
      </c>
      <c r="B66" s="43">
        <v>27</v>
      </c>
      <c r="C66" s="43">
        <v>214</v>
      </c>
      <c r="D66" s="43">
        <v>241</v>
      </c>
      <c r="F66" s="133"/>
      <c r="G66" s="133"/>
      <c r="H66" s="133"/>
    </row>
    <row r="67" spans="1:8" x14ac:dyDescent="0.25">
      <c r="A67" s="4" t="s">
        <v>283</v>
      </c>
      <c r="B67" s="43">
        <v>2</v>
      </c>
      <c r="C67" s="43">
        <v>172</v>
      </c>
      <c r="D67" s="43">
        <v>174</v>
      </c>
      <c r="F67" s="133"/>
      <c r="G67" s="133"/>
      <c r="H67" s="133"/>
    </row>
    <row r="68" spans="1:8" x14ac:dyDescent="0.25">
      <c r="A68" s="4" t="s">
        <v>284</v>
      </c>
      <c r="B68" s="43">
        <v>0</v>
      </c>
      <c r="C68" s="43">
        <v>0</v>
      </c>
      <c r="D68" s="43">
        <v>0</v>
      </c>
      <c r="F68" s="133"/>
      <c r="G68" s="133"/>
      <c r="H68" s="133"/>
    </row>
    <row r="69" spans="1:8" x14ac:dyDescent="0.25">
      <c r="A69" s="4" t="s">
        <v>286</v>
      </c>
      <c r="B69" s="43">
        <v>0</v>
      </c>
      <c r="C69" s="43">
        <v>0</v>
      </c>
      <c r="D69" s="43">
        <v>0</v>
      </c>
      <c r="F69" s="133"/>
      <c r="G69" s="133"/>
      <c r="H69" s="133"/>
    </row>
    <row r="70" spans="1:8" x14ac:dyDescent="0.25">
      <c r="A70" s="5" t="s">
        <v>4</v>
      </c>
      <c r="B70" s="44">
        <f>SUM(B54:B69)</f>
        <v>871</v>
      </c>
      <c r="C70" s="44">
        <f>SUM(C54:C69)</f>
        <v>15299</v>
      </c>
      <c r="D70" s="44">
        <f>SUM(D54:D69)</f>
        <v>16170</v>
      </c>
    </row>
    <row r="71" spans="1:8" x14ac:dyDescent="0.25">
      <c r="E71" s="1"/>
    </row>
    <row r="72" spans="1:8" ht="15.75" x14ac:dyDescent="0.25">
      <c r="A72" s="25" t="s">
        <v>335</v>
      </c>
      <c r="B72" s="46"/>
      <c r="C72" s="46"/>
      <c r="D72" s="46"/>
      <c r="E72" s="1"/>
    </row>
    <row r="73" spans="1:8" x14ac:dyDescent="0.25">
      <c r="A73" s="88" t="s">
        <v>10</v>
      </c>
      <c r="B73" s="47" t="s">
        <v>228</v>
      </c>
      <c r="C73" s="47" t="s">
        <v>229</v>
      </c>
      <c r="D73" s="47" t="s">
        <v>8</v>
      </c>
      <c r="E73" s="1"/>
    </row>
    <row r="74" spans="1:8" x14ac:dyDescent="0.25">
      <c r="A74" s="19" t="s">
        <v>11</v>
      </c>
      <c r="B74" s="48">
        <v>2013</v>
      </c>
      <c r="C74" s="48">
        <v>2930</v>
      </c>
      <c r="D74" s="48">
        <f>SUM(B74:C74)</f>
        <v>4943</v>
      </c>
      <c r="E74" s="1"/>
    </row>
    <row r="75" spans="1:8" x14ac:dyDescent="0.25">
      <c r="A75" s="19" t="s">
        <v>12</v>
      </c>
      <c r="B75" s="48">
        <v>105</v>
      </c>
      <c r="C75" s="48">
        <v>107</v>
      </c>
      <c r="D75" s="48">
        <f t="shared" ref="D75:D84" si="2">SUM(B75:C75)</f>
        <v>212</v>
      </c>
      <c r="E75" s="1"/>
    </row>
    <row r="76" spans="1:8" x14ac:dyDescent="0.25">
      <c r="A76" s="19" t="s">
        <v>13</v>
      </c>
      <c r="B76" s="48">
        <v>239</v>
      </c>
      <c r="C76" s="48">
        <v>222</v>
      </c>
      <c r="D76" s="48">
        <f t="shared" si="2"/>
        <v>461</v>
      </c>
      <c r="E76" s="1"/>
    </row>
    <row r="77" spans="1:8" x14ac:dyDescent="0.25">
      <c r="A77" s="19" t="s">
        <v>14</v>
      </c>
      <c r="B77" s="48">
        <v>314</v>
      </c>
      <c r="C77" s="48">
        <v>427</v>
      </c>
      <c r="D77" s="48">
        <f t="shared" si="2"/>
        <v>741</v>
      </c>
      <c r="E77" s="1"/>
    </row>
    <row r="78" spans="1:8" x14ac:dyDescent="0.25">
      <c r="A78" s="19" t="s">
        <v>15</v>
      </c>
      <c r="B78" s="48">
        <v>1221</v>
      </c>
      <c r="C78" s="48">
        <v>895</v>
      </c>
      <c r="D78" s="48">
        <f t="shared" si="2"/>
        <v>2116</v>
      </c>
      <c r="E78" s="1"/>
    </row>
    <row r="79" spans="1:8" x14ac:dyDescent="0.25">
      <c r="A79" s="19" t="s">
        <v>16</v>
      </c>
      <c r="B79" s="48">
        <v>502</v>
      </c>
      <c r="C79" s="48">
        <v>593</v>
      </c>
      <c r="D79" s="48">
        <f t="shared" si="2"/>
        <v>1095</v>
      </c>
      <c r="E79" s="1"/>
    </row>
    <row r="80" spans="1:8" x14ac:dyDescent="0.25">
      <c r="A80" s="19" t="s">
        <v>17</v>
      </c>
      <c r="B80" s="48">
        <v>2597</v>
      </c>
      <c r="C80" s="48">
        <v>1172</v>
      </c>
      <c r="D80" s="48">
        <f t="shared" si="2"/>
        <v>3769</v>
      </c>
      <c r="E80" s="1"/>
    </row>
    <row r="81" spans="1:5" x14ac:dyDescent="0.25">
      <c r="A81" s="19" t="s">
        <v>18</v>
      </c>
      <c r="B81" s="48">
        <v>160</v>
      </c>
      <c r="C81" s="48">
        <v>195</v>
      </c>
      <c r="D81" s="48">
        <f t="shared" si="2"/>
        <v>355</v>
      </c>
      <c r="E81" s="1"/>
    </row>
    <row r="82" spans="1:5" x14ac:dyDescent="0.25">
      <c r="A82" s="19" t="s">
        <v>19</v>
      </c>
      <c r="B82" s="48">
        <v>670</v>
      </c>
      <c r="C82" s="48">
        <v>413</v>
      </c>
      <c r="D82" s="48">
        <f t="shared" si="2"/>
        <v>1083</v>
      </c>
      <c r="E82" s="1"/>
    </row>
    <row r="83" spans="1:5" x14ac:dyDescent="0.25">
      <c r="A83" s="19" t="s">
        <v>20</v>
      </c>
      <c r="B83" s="48">
        <v>353</v>
      </c>
      <c r="C83" s="48">
        <v>1042</v>
      </c>
      <c r="D83" s="48">
        <f t="shared" si="2"/>
        <v>1395</v>
      </c>
      <c r="E83" s="1"/>
    </row>
    <row r="84" spans="1:5" x14ac:dyDescent="0.25">
      <c r="A84" s="20" t="s">
        <v>4</v>
      </c>
      <c r="B84" s="49">
        <v>8174</v>
      </c>
      <c r="C84" s="49">
        <v>7996</v>
      </c>
      <c r="D84" s="49">
        <f t="shared" si="2"/>
        <v>16170</v>
      </c>
      <c r="E84" s="1"/>
    </row>
    <row r="85" spans="1:5" x14ac:dyDescent="0.25">
      <c r="E85" s="1"/>
    </row>
    <row r="86" spans="1:5" ht="15.75" x14ac:dyDescent="0.25">
      <c r="A86" s="25" t="s">
        <v>336</v>
      </c>
      <c r="B86" s="46"/>
      <c r="C86" s="46"/>
      <c r="D86" s="46"/>
      <c r="E86" s="1"/>
    </row>
    <row r="87" spans="1:5" x14ac:dyDescent="0.25">
      <c r="A87" s="88" t="s">
        <v>9</v>
      </c>
      <c r="B87" s="47" t="s">
        <v>228</v>
      </c>
      <c r="C87" s="47" t="s">
        <v>229</v>
      </c>
      <c r="D87" s="47" t="s">
        <v>8</v>
      </c>
      <c r="E87" s="1"/>
    </row>
    <row r="88" spans="1:5" x14ac:dyDescent="0.25">
      <c r="A88" s="19" t="s">
        <v>272</v>
      </c>
      <c r="B88" s="64">
        <v>41</v>
      </c>
      <c r="C88" s="64">
        <v>34</v>
      </c>
      <c r="D88" s="64">
        <f>SUM(B88:C88)</f>
        <v>75</v>
      </c>
      <c r="E88" s="1"/>
    </row>
    <row r="89" spans="1:5" x14ac:dyDescent="0.25">
      <c r="A89" s="19" t="s">
        <v>273</v>
      </c>
      <c r="B89" s="64">
        <v>89</v>
      </c>
      <c r="C89" s="64">
        <v>68</v>
      </c>
      <c r="D89" s="64">
        <f t="shared" ref="D89:D103" si="3">SUM(B89:C89)</f>
        <v>157</v>
      </c>
      <c r="E89" s="1"/>
    </row>
    <row r="90" spans="1:5" x14ac:dyDescent="0.25">
      <c r="A90" s="19" t="s">
        <v>274</v>
      </c>
      <c r="B90" s="64">
        <v>104</v>
      </c>
      <c r="C90" s="64">
        <v>116</v>
      </c>
      <c r="D90" s="64">
        <f t="shared" si="3"/>
        <v>220</v>
      </c>
      <c r="E90" s="1"/>
    </row>
    <row r="91" spans="1:5" x14ac:dyDescent="0.25">
      <c r="A91" s="19" t="s">
        <v>275</v>
      </c>
      <c r="B91" s="64">
        <v>12</v>
      </c>
      <c r="C91" s="64">
        <v>13</v>
      </c>
      <c r="D91" s="64">
        <f t="shared" si="3"/>
        <v>25</v>
      </c>
      <c r="E91" s="1"/>
    </row>
    <row r="92" spans="1:5" x14ac:dyDescent="0.25">
      <c r="A92" s="19" t="s">
        <v>276</v>
      </c>
      <c r="B92" s="64">
        <v>92</v>
      </c>
      <c r="C92" s="64">
        <v>67</v>
      </c>
      <c r="D92" s="64">
        <f t="shared" si="3"/>
        <v>159</v>
      </c>
      <c r="E92" s="1"/>
    </row>
    <row r="93" spans="1:5" x14ac:dyDescent="0.25">
      <c r="A93" s="19" t="s">
        <v>277</v>
      </c>
      <c r="B93" s="64">
        <v>548</v>
      </c>
      <c r="C93" s="64">
        <v>663</v>
      </c>
      <c r="D93" s="64">
        <f t="shared" si="3"/>
        <v>1211</v>
      </c>
      <c r="E93" s="1"/>
    </row>
    <row r="94" spans="1:5" x14ac:dyDescent="0.25">
      <c r="A94" s="96" t="s">
        <v>289</v>
      </c>
      <c r="B94" s="64">
        <v>5390</v>
      </c>
      <c r="C94" s="64">
        <v>5691</v>
      </c>
      <c r="D94" s="64">
        <f t="shared" si="3"/>
        <v>11081</v>
      </c>
      <c r="E94" s="1"/>
    </row>
    <row r="95" spans="1:5" x14ac:dyDescent="0.25">
      <c r="A95" s="19" t="s">
        <v>278</v>
      </c>
      <c r="B95" s="64">
        <v>0</v>
      </c>
      <c r="C95" s="64">
        <v>0</v>
      </c>
      <c r="D95" s="64">
        <f t="shared" si="3"/>
        <v>0</v>
      </c>
      <c r="E95" s="1"/>
    </row>
    <row r="96" spans="1:5" x14ac:dyDescent="0.25">
      <c r="A96" s="19" t="s">
        <v>279</v>
      </c>
      <c r="B96" s="64">
        <v>199</v>
      </c>
      <c r="C96" s="64">
        <v>140</v>
      </c>
      <c r="D96" s="64">
        <f t="shared" si="3"/>
        <v>339</v>
      </c>
      <c r="E96" s="1"/>
    </row>
    <row r="97" spans="1:6" x14ac:dyDescent="0.25">
      <c r="A97" s="19" t="s">
        <v>295</v>
      </c>
      <c r="B97" s="64">
        <v>62</v>
      </c>
      <c r="C97" s="64">
        <v>58</v>
      </c>
      <c r="D97" s="64">
        <f t="shared" si="3"/>
        <v>120</v>
      </c>
      <c r="E97" s="1"/>
    </row>
    <row r="98" spans="1:6" x14ac:dyDescent="0.25">
      <c r="A98" s="19" t="s">
        <v>280</v>
      </c>
      <c r="B98" s="64">
        <v>928</v>
      </c>
      <c r="C98" s="64">
        <v>666</v>
      </c>
      <c r="D98" s="64">
        <f t="shared" si="3"/>
        <v>1594</v>
      </c>
      <c r="E98" s="1"/>
    </row>
    <row r="99" spans="1:6" x14ac:dyDescent="0.25">
      <c r="A99" s="19" t="s">
        <v>281</v>
      </c>
      <c r="B99" s="64">
        <v>479</v>
      </c>
      <c r="C99" s="64">
        <v>295</v>
      </c>
      <c r="D99" s="64">
        <f t="shared" si="3"/>
        <v>774</v>
      </c>
      <c r="E99" s="1"/>
    </row>
    <row r="100" spans="1:6" x14ac:dyDescent="0.25">
      <c r="A100" s="19" t="s">
        <v>282</v>
      </c>
      <c r="B100" s="64">
        <v>141</v>
      </c>
      <c r="C100" s="64">
        <v>100</v>
      </c>
      <c r="D100" s="64">
        <f t="shared" si="3"/>
        <v>241</v>
      </c>
      <c r="E100" s="1"/>
    </row>
    <row r="101" spans="1:6" x14ac:dyDescent="0.25">
      <c r="A101" s="19" t="s">
        <v>283</v>
      </c>
      <c r="B101" s="64">
        <v>89</v>
      </c>
      <c r="C101" s="64">
        <v>85</v>
      </c>
      <c r="D101" s="64">
        <f t="shared" si="3"/>
        <v>174</v>
      </c>
      <c r="E101" s="1"/>
    </row>
    <row r="102" spans="1:6" x14ac:dyDescent="0.25">
      <c r="A102" s="19" t="s">
        <v>284</v>
      </c>
      <c r="B102" s="64">
        <v>0</v>
      </c>
      <c r="C102" s="64">
        <v>0</v>
      </c>
      <c r="D102" s="64">
        <f t="shared" si="3"/>
        <v>0</v>
      </c>
      <c r="E102" s="1"/>
    </row>
    <row r="103" spans="1:6" x14ac:dyDescent="0.25">
      <c r="A103" s="19" t="s">
        <v>286</v>
      </c>
      <c r="B103" s="64">
        <v>0</v>
      </c>
      <c r="C103" s="64">
        <v>0</v>
      </c>
      <c r="D103" s="64">
        <f t="shared" si="3"/>
        <v>0</v>
      </c>
      <c r="E103" s="1"/>
    </row>
    <row r="104" spans="1:6" x14ac:dyDescent="0.25">
      <c r="A104" s="20" t="s">
        <v>4</v>
      </c>
      <c r="B104" s="65">
        <f>SUM(B88:B103)</f>
        <v>8174</v>
      </c>
      <c r="C104" s="65">
        <f>SUM(C88:C103)</f>
        <v>7996</v>
      </c>
      <c r="D104" s="65">
        <f>SUM(D88:D103)</f>
        <v>16170</v>
      </c>
      <c r="E104" s="1"/>
    </row>
    <row r="105" spans="1:6" x14ac:dyDescent="0.25">
      <c r="A105" s="40"/>
      <c r="B105" s="46"/>
      <c r="C105" s="46"/>
      <c r="D105" s="46"/>
      <c r="E105" s="1"/>
      <c r="F105" s="1"/>
    </row>
    <row r="106" spans="1:6" x14ac:dyDescent="0.25">
      <c r="A106" s="40"/>
      <c r="B106" s="46"/>
      <c r="C106" s="46"/>
      <c r="D106" s="46"/>
      <c r="E106" s="1"/>
      <c r="F106" s="1"/>
    </row>
    <row r="107" spans="1:6" x14ac:dyDescent="0.25">
      <c r="A107" s="70" t="s">
        <v>264</v>
      </c>
      <c r="B107" s="46"/>
      <c r="C107" s="46"/>
      <c r="D107" s="46"/>
      <c r="E107" s="1"/>
      <c r="F107" s="1"/>
    </row>
    <row r="108" spans="1:6" x14ac:dyDescent="0.25">
      <c r="A108" s="40"/>
      <c r="B108" s="46"/>
      <c r="C108" s="46"/>
      <c r="D108" s="46"/>
      <c r="E108" s="1"/>
      <c r="F108" s="1"/>
    </row>
    <row r="109" spans="1:6" x14ac:dyDescent="0.25">
      <c r="A109" s="71" t="s">
        <v>21</v>
      </c>
      <c r="B109" s="46"/>
      <c r="C109" s="46"/>
      <c r="D109" s="46"/>
      <c r="E109" s="1"/>
      <c r="F109" s="1"/>
    </row>
    <row r="110" spans="1:6" x14ac:dyDescent="0.25">
      <c r="A110" s="40"/>
      <c r="B110" s="46"/>
      <c r="C110" s="46"/>
      <c r="D110" s="46"/>
      <c r="E110" s="1"/>
      <c r="F110" s="1"/>
    </row>
  </sheetData>
  <hyperlinks>
    <hyperlink ref="A109" location="Indice!A5" display="Volver al índice"/>
  </hyperlinks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6"/>
  <sheetViews>
    <sheetView showGridLines="0" zoomScale="90" zoomScaleNormal="90" workbookViewId="0">
      <pane ySplit="2" topLeftCell="A30" activePane="bottomLeft" state="frozen"/>
      <selection pane="bottomLeft" activeCell="A10" sqref="A10"/>
    </sheetView>
  </sheetViews>
  <sheetFormatPr baseColWidth="10" defaultColWidth="10.85546875" defaultRowHeight="15" x14ac:dyDescent="0.2"/>
  <cols>
    <col min="1" max="1" width="27.140625" style="1" customWidth="1"/>
    <col min="2" max="2" width="12.140625" style="1" hidden="1" customWidth="1"/>
    <col min="3" max="9" width="10.85546875" style="1" hidden="1" customWidth="1"/>
    <col min="10" max="14" width="10.85546875" style="1" customWidth="1"/>
    <col min="15" max="15" width="12.7109375" style="1" hidden="1" customWidth="1"/>
    <col min="16" max="17" width="12.7109375" style="1" customWidth="1"/>
    <col min="18" max="18" width="16" style="1" customWidth="1"/>
    <col min="19" max="16384" width="10.85546875" style="1"/>
  </cols>
  <sheetData>
    <row r="1" spans="1:18" ht="21" x14ac:dyDescent="0.2">
      <c r="A1" s="66" t="s">
        <v>382</v>
      </c>
      <c r="B1" s="66"/>
      <c r="C1" s="66"/>
      <c r="D1" s="66"/>
      <c r="E1" s="66"/>
      <c r="F1" s="66"/>
      <c r="G1" s="66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</row>
    <row r="2" spans="1:18" ht="18.75" x14ac:dyDescent="0.2">
      <c r="A2" s="38"/>
      <c r="B2" s="38"/>
      <c r="C2" s="38"/>
      <c r="D2" s="38"/>
      <c r="E2" s="38"/>
      <c r="F2" s="38"/>
      <c r="G2" s="38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1:18" x14ac:dyDescent="0.2">
      <c r="A3" s="40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1:18" ht="15.75" x14ac:dyDescent="0.2">
      <c r="A4" s="41" t="s">
        <v>240</v>
      </c>
      <c r="B4" s="41"/>
      <c r="C4" s="41"/>
      <c r="D4" s="41"/>
      <c r="E4" s="41"/>
      <c r="F4" s="41"/>
      <c r="G4" s="41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</row>
    <row r="5" spans="1:18" ht="60" customHeight="1" x14ac:dyDescent="0.2">
      <c r="A5" s="88" t="s">
        <v>267</v>
      </c>
      <c r="B5" s="3">
        <v>2007</v>
      </c>
      <c r="C5" s="3">
        <v>2008</v>
      </c>
      <c r="D5" s="3">
        <v>2009</v>
      </c>
      <c r="E5" s="3">
        <v>2010</v>
      </c>
      <c r="F5" s="3">
        <v>2011</v>
      </c>
      <c r="G5" s="3">
        <v>2012</v>
      </c>
      <c r="H5" s="3">
        <v>2013</v>
      </c>
      <c r="I5" s="3">
        <v>2014</v>
      </c>
      <c r="J5" s="3">
        <v>2015</v>
      </c>
      <c r="K5" s="3">
        <v>2016</v>
      </c>
      <c r="L5" s="3">
        <v>2017</v>
      </c>
      <c r="M5" s="3">
        <v>2018</v>
      </c>
      <c r="N5" s="3">
        <v>2019</v>
      </c>
      <c r="O5" s="13" t="s">
        <v>371</v>
      </c>
      <c r="P5" s="13" t="s">
        <v>372</v>
      </c>
      <c r="Q5" s="13" t="s">
        <v>310</v>
      </c>
      <c r="R5" s="13" t="s">
        <v>311</v>
      </c>
    </row>
    <row r="6" spans="1:18" x14ac:dyDescent="0.2">
      <c r="A6" s="32" t="s">
        <v>261</v>
      </c>
      <c r="B6" s="32">
        <v>1650</v>
      </c>
      <c r="C6" s="4">
        <v>1920</v>
      </c>
      <c r="D6" s="4">
        <v>2334</v>
      </c>
      <c r="E6" s="4">
        <v>2421</v>
      </c>
      <c r="F6" s="4">
        <v>2697</v>
      </c>
      <c r="G6" s="4">
        <v>2990</v>
      </c>
      <c r="H6" s="4">
        <v>3331</v>
      </c>
      <c r="I6" s="4">
        <v>3547</v>
      </c>
      <c r="J6" s="4">
        <v>3711</v>
      </c>
      <c r="K6" s="4">
        <v>3532</v>
      </c>
      <c r="L6" s="4">
        <v>4054</v>
      </c>
      <c r="M6" s="4">
        <v>4191</v>
      </c>
      <c r="N6" s="4">
        <v>3898</v>
      </c>
      <c r="O6" s="100">
        <f t="shared" ref="O6:O9" si="0">(N6-E6)/E6</f>
        <v>0.61007847996695586</v>
      </c>
      <c r="P6" s="100">
        <f t="shared" ref="P6:P9" si="1">(N6-J6)/J6</f>
        <v>5.0390730261385068E-2</v>
      </c>
      <c r="Q6" s="108">
        <f t="shared" ref="Q6:Q9" si="2">(N6-M6)/M6</f>
        <v>-6.9911715581006922E-2</v>
      </c>
      <c r="R6" s="14">
        <f>N6/$N$9</f>
        <v>0.24106369820655535</v>
      </c>
    </row>
    <row r="7" spans="1:18" x14ac:dyDescent="0.2">
      <c r="A7" s="32" t="s">
        <v>262</v>
      </c>
      <c r="B7" s="32">
        <v>1568</v>
      </c>
      <c r="C7" s="32">
        <v>1478</v>
      </c>
      <c r="D7" s="32">
        <v>1909</v>
      </c>
      <c r="E7" s="32">
        <v>1865</v>
      </c>
      <c r="F7" s="32">
        <v>2099</v>
      </c>
      <c r="G7" s="32">
        <v>2085</v>
      </c>
      <c r="H7" s="21">
        <v>2814</v>
      </c>
      <c r="I7" s="21">
        <v>3018</v>
      </c>
      <c r="J7" s="21">
        <v>2931</v>
      </c>
      <c r="K7" s="21">
        <v>3106</v>
      </c>
      <c r="L7" s="21">
        <v>3417</v>
      </c>
      <c r="M7" s="21">
        <v>3493</v>
      </c>
      <c r="N7" s="21">
        <v>3731</v>
      </c>
      <c r="O7" s="100">
        <f t="shared" si="0"/>
        <v>1.0005361930294907</v>
      </c>
      <c r="P7" s="100">
        <f t="shared" si="1"/>
        <v>0.27294438758103035</v>
      </c>
      <c r="Q7" s="108">
        <f t="shared" si="2"/>
        <v>6.8136272545090179E-2</v>
      </c>
      <c r="R7" s="14">
        <f t="shared" ref="R7:R9" si="3">N7/$N$9</f>
        <v>0.23073593073593074</v>
      </c>
    </row>
    <row r="8" spans="1:18" x14ac:dyDescent="0.2">
      <c r="A8" s="32" t="s">
        <v>263</v>
      </c>
      <c r="B8" s="32">
        <v>2410</v>
      </c>
      <c r="C8" s="32">
        <v>2841</v>
      </c>
      <c r="D8" s="32">
        <v>4371</v>
      </c>
      <c r="E8" s="32">
        <v>3804</v>
      </c>
      <c r="F8" s="32">
        <v>5229</v>
      </c>
      <c r="G8" s="32">
        <v>5523</v>
      </c>
      <c r="H8" s="21">
        <v>6449</v>
      </c>
      <c r="I8" s="21">
        <v>6380</v>
      </c>
      <c r="J8" s="21">
        <v>7281</v>
      </c>
      <c r="K8" s="21">
        <v>7293</v>
      </c>
      <c r="L8" s="21">
        <v>7328</v>
      </c>
      <c r="M8" s="21">
        <v>8592</v>
      </c>
      <c r="N8" s="21">
        <v>8541</v>
      </c>
      <c r="O8" s="100">
        <f t="shared" si="0"/>
        <v>1.2452681388012619</v>
      </c>
      <c r="P8" s="100">
        <f t="shared" si="1"/>
        <v>0.17305315203955501</v>
      </c>
      <c r="Q8" s="108">
        <f t="shared" si="2"/>
        <v>-5.9357541899441339E-3</v>
      </c>
      <c r="R8" s="14">
        <f t="shared" si="3"/>
        <v>0.52820037105751394</v>
      </c>
    </row>
    <row r="9" spans="1:18" x14ac:dyDescent="0.2">
      <c r="A9" s="79" t="s">
        <v>4</v>
      </c>
      <c r="B9" s="79">
        <v>5628</v>
      </c>
      <c r="C9" s="79">
        <v>6239</v>
      </c>
      <c r="D9" s="79">
        <v>8614</v>
      </c>
      <c r="E9" s="79">
        <v>8090</v>
      </c>
      <c r="F9" s="79">
        <v>10025</v>
      </c>
      <c r="G9" s="79">
        <v>10598</v>
      </c>
      <c r="H9" s="80">
        <v>12594</v>
      </c>
      <c r="I9" s="80">
        <v>12945</v>
      </c>
      <c r="J9" s="80">
        <v>13923</v>
      </c>
      <c r="K9" s="80">
        <v>13931</v>
      </c>
      <c r="L9" s="80">
        <v>14799</v>
      </c>
      <c r="M9" s="80">
        <v>16276</v>
      </c>
      <c r="N9" s="80">
        <v>16170</v>
      </c>
      <c r="O9" s="83">
        <f t="shared" si="0"/>
        <v>0.99876390605686027</v>
      </c>
      <c r="P9" s="83">
        <f t="shared" si="1"/>
        <v>0.16138763197586728</v>
      </c>
      <c r="Q9" s="109">
        <f t="shared" si="2"/>
        <v>-6.5126566724010813E-3</v>
      </c>
      <c r="R9" s="16">
        <f t="shared" si="3"/>
        <v>1</v>
      </c>
    </row>
    <row r="10" spans="1:18" x14ac:dyDescent="0.2">
      <c r="A10" s="122" t="s">
        <v>373</v>
      </c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</row>
    <row r="11" spans="1:18" x14ac:dyDescent="0.2">
      <c r="A11" s="122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</row>
    <row r="12" spans="1:18" ht="15.75" x14ac:dyDescent="0.2">
      <c r="A12" s="41" t="s">
        <v>227</v>
      </c>
      <c r="B12" s="41"/>
      <c r="C12" s="41"/>
      <c r="D12" s="41"/>
      <c r="E12" s="41"/>
      <c r="F12" s="41"/>
      <c r="G12" s="41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</row>
    <row r="13" spans="1:18" ht="39.950000000000003" customHeight="1" x14ac:dyDescent="0.2">
      <c r="A13" s="88" t="s">
        <v>98</v>
      </c>
      <c r="B13" s="3">
        <v>2007</v>
      </c>
      <c r="C13" s="3">
        <v>2008</v>
      </c>
      <c r="D13" s="3">
        <v>2009</v>
      </c>
      <c r="E13" s="3">
        <v>2010</v>
      </c>
      <c r="F13" s="3">
        <v>2011</v>
      </c>
      <c r="G13" s="3">
        <v>2012</v>
      </c>
      <c r="H13" s="3">
        <v>2013</v>
      </c>
      <c r="I13" s="3">
        <v>2014</v>
      </c>
      <c r="J13" s="3">
        <v>2015</v>
      </c>
      <c r="K13" s="3">
        <v>2016</v>
      </c>
      <c r="L13" s="3">
        <v>2017</v>
      </c>
      <c r="M13" s="3">
        <v>2018</v>
      </c>
      <c r="N13" s="3">
        <v>2019</v>
      </c>
      <c r="O13" s="13" t="s">
        <v>371</v>
      </c>
      <c r="P13" s="13" t="s">
        <v>372</v>
      </c>
      <c r="Q13" s="13" t="s">
        <v>310</v>
      </c>
      <c r="R13" s="13" t="s">
        <v>311</v>
      </c>
    </row>
    <row r="14" spans="1:18" x14ac:dyDescent="0.2">
      <c r="A14" s="4" t="s">
        <v>96</v>
      </c>
      <c r="B14" s="4">
        <v>314</v>
      </c>
      <c r="C14" s="112">
        <v>320</v>
      </c>
      <c r="D14" s="112">
        <v>383</v>
      </c>
      <c r="E14" s="112">
        <v>395</v>
      </c>
      <c r="F14" s="112">
        <v>491</v>
      </c>
      <c r="G14" s="112">
        <v>603</v>
      </c>
      <c r="H14" s="113">
        <v>632</v>
      </c>
      <c r="I14" s="113">
        <v>609</v>
      </c>
      <c r="J14" s="113">
        <v>692</v>
      </c>
      <c r="K14" s="113">
        <v>703</v>
      </c>
      <c r="L14" s="113">
        <v>728</v>
      </c>
      <c r="M14" s="113">
        <v>833</v>
      </c>
      <c r="N14" s="113">
        <v>871</v>
      </c>
      <c r="O14" s="100">
        <f t="shared" ref="O14:O16" si="4">(N14-E14)/E14</f>
        <v>1.2050632911392405</v>
      </c>
      <c r="P14" s="100">
        <f>(N14-J14)/J14</f>
        <v>0.2586705202312139</v>
      </c>
      <c r="Q14" s="108">
        <f t="shared" ref="Q14:Q16" si="5">(N14-M14)/M14</f>
        <v>4.561824729891957E-2</v>
      </c>
      <c r="R14" s="14">
        <f>N14/$N$9</f>
        <v>5.3865182436611009E-2</v>
      </c>
    </row>
    <row r="15" spans="1:18" x14ac:dyDescent="0.2">
      <c r="A15" s="4" t="s">
        <v>97</v>
      </c>
      <c r="B15" s="4">
        <v>5314</v>
      </c>
      <c r="C15" s="112">
        <v>5919</v>
      </c>
      <c r="D15" s="112">
        <v>8231</v>
      </c>
      <c r="E15" s="112">
        <v>7695</v>
      </c>
      <c r="F15" s="112">
        <v>9534</v>
      </c>
      <c r="G15" s="112">
        <v>9995</v>
      </c>
      <c r="H15" s="113">
        <v>11962</v>
      </c>
      <c r="I15" s="113">
        <v>12336</v>
      </c>
      <c r="J15" s="113">
        <v>13231</v>
      </c>
      <c r="K15" s="113">
        <v>13228</v>
      </c>
      <c r="L15" s="113">
        <v>14071</v>
      </c>
      <c r="M15" s="113">
        <v>15443</v>
      </c>
      <c r="N15" s="113">
        <v>15299</v>
      </c>
      <c r="O15" s="100">
        <f t="shared" si="4"/>
        <v>0.988174139051332</v>
      </c>
      <c r="P15" s="100">
        <f t="shared" ref="P15:P16" si="6">(N15-J15)/J15</f>
        <v>0.15629959942559141</v>
      </c>
      <c r="Q15" s="108">
        <f t="shared" si="5"/>
        <v>-9.3246130933108858E-3</v>
      </c>
      <c r="R15" s="14">
        <f t="shared" ref="R15:R16" si="7">N15/$N$9</f>
        <v>0.94613481756338902</v>
      </c>
    </row>
    <row r="16" spans="1:18" x14ac:dyDescent="0.2">
      <c r="A16" s="5" t="s">
        <v>4</v>
      </c>
      <c r="B16" s="5">
        <v>5628</v>
      </c>
      <c r="C16" s="5">
        <v>6239</v>
      </c>
      <c r="D16" s="5">
        <v>8614</v>
      </c>
      <c r="E16" s="5">
        <v>8090</v>
      </c>
      <c r="F16" s="5">
        <v>10025</v>
      </c>
      <c r="G16" s="5">
        <v>10598</v>
      </c>
      <c r="H16" s="22">
        <v>12594</v>
      </c>
      <c r="I16" s="22">
        <v>12945</v>
      </c>
      <c r="J16" s="22">
        <v>13923</v>
      </c>
      <c r="K16" s="22">
        <v>13931</v>
      </c>
      <c r="L16" s="22">
        <v>14799</v>
      </c>
      <c r="M16" s="22">
        <v>16276</v>
      </c>
      <c r="N16" s="22">
        <v>16170</v>
      </c>
      <c r="O16" s="83">
        <f t="shared" si="4"/>
        <v>0.99876390605686027</v>
      </c>
      <c r="P16" s="83">
        <f t="shared" si="6"/>
        <v>0.16138763197586728</v>
      </c>
      <c r="Q16" s="109">
        <f t="shared" si="5"/>
        <v>-6.5126566724010813E-3</v>
      </c>
      <c r="R16" s="16">
        <f t="shared" si="7"/>
        <v>1</v>
      </c>
    </row>
    <row r="17" spans="1:19" x14ac:dyDescent="0.2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</row>
    <row r="18" spans="1:19" ht="15.75" x14ac:dyDescent="0.2">
      <c r="A18" s="41" t="s">
        <v>241</v>
      </c>
      <c r="B18" s="41"/>
      <c r="C18" s="41"/>
      <c r="D18" s="41"/>
      <c r="E18" s="41"/>
      <c r="F18" s="41"/>
      <c r="G18" s="41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</row>
    <row r="19" spans="1:19" ht="41.1" customHeight="1" x14ac:dyDescent="0.2">
      <c r="A19" s="88" t="s">
        <v>269</v>
      </c>
      <c r="B19" s="3">
        <v>2007</v>
      </c>
      <c r="C19" s="3">
        <v>2008</v>
      </c>
      <c r="D19" s="3">
        <v>2009</v>
      </c>
      <c r="E19" s="3">
        <v>2010</v>
      </c>
      <c r="F19" s="3">
        <v>2011</v>
      </c>
      <c r="G19" s="3">
        <v>2012</v>
      </c>
      <c r="H19" s="3">
        <v>2013</v>
      </c>
      <c r="I19" s="3">
        <v>2014</v>
      </c>
      <c r="J19" s="3">
        <v>2015</v>
      </c>
      <c r="K19" s="3">
        <v>2016</v>
      </c>
      <c r="L19" s="3">
        <v>2017</v>
      </c>
      <c r="M19" s="3">
        <v>2018</v>
      </c>
      <c r="N19" s="3">
        <v>2019</v>
      </c>
      <c r="O19" s="13" t="s">
        <v>371</v>
      </c>
      <c r="P19" s="13" t="s">
        <v>372</v>
      </c>
      <c r="Q19" s="13" t="s">
        <v>310</v>
      </c>
      <c r="R19" s="13" t="s">
        <v>311</v>
      </c>
    </row>
    <row r="20" spans="1:19" s="12" customFormat="1" x14ac:dyDescent="0.2">
      <c r="A20" s="5" t="s">
        <v>265</v>
      </c>
      <c r="B20" s="5">
        <v>1650</v>
      </c>
      <c r="C20" s="79">
        <v>1920</v>
      </c>
      <c r="D20" s="79">
        <v>2334</v>
      </c>
      <c r="E20" s="79">
        <v>2421</v>
      </c>
      <c r="F20" s="79">
        <v>2697</v>
      </c>
      <c r="G20" s="79">
        <v>2990</v>
      </c>
      <c r="H20" s="114">
        <v>3331</v>
      </c>
      <c r="I20" s="114">
        <v>3547</v>
      </c>
      <c r="J20" s="114">
        <v>3711</v>
      </c>
      <c r="K20" s="114">
        <v>3532</v>
      </c>
      <c r="L20" s="114">
        <v>4054</v>
      </c>
      <c r="M20" s="114">
        <v>4191</v>
      </c>
      <c r="N20" s="114">
        <v>3898</v>
      </c>
      <c r="O20" s="83">
        <f t="shared" ref="O20:O29" si="8">(N20-E20)/E20</f>
        <v>0.61007847996695586</v>
      </c>
      <c r="P20" s="83">
        <f t="shared" ref="P20:P29" si="9">(N20-J20)/J20</f>
        <v>5.0390730261385068E-2</v>
      </c>
      <c r="Q20" s="109">
        <f t="shared" ref="Q20:Q29" si="10">(N20-M20)/M20</f>
        <v>-6.9911715581006922E-2</v>
      </c>
      <c r="R20" s="16">
        <f>N20/$N$9</f>
        <v>0.24106369820655535</v>
      </c>
      <c r="S20" s="1"/>
    </row>
    <row r="21" spans="1:19" x14ac:dyDescent="0.2">
      <c r="A21" s="85" t="s">
        <v>96</v>
      </c>
      <c r="B21" s="85">
        <v>143</v>
      </c>
      <c r="C21" s="115">
        <v>132</v>
      </c>
      <c r="D21" s="115">
        <v>169</v>
      </c>
      <c r="E21" s="115">
        <v>185</v>
      </c>
      <c r="F21" s="115">
        <v>213</v>
      </c>
      <c r="G21" s="115">
        <v>254</v>
      </c>
      <c r="H21" s="116">
        <v>247</v>
      </c>
      <c r="I21" s="116">
        <v>251</v>
      </c>
      <c r="J21" s="116">
        <v>328</v>
      </c>
      <c r="K21" s="116">
        <v>325</v>
      </c>
      <c r="L21" s="116">
        <v>321</v>
      </c>
      <c r="M21" s="116">
        <v>404</v>
      </c>
      <c r="N21" s="116">
        <v>389</v>
      </c>
      <c r="O21" s="100">
        <f t="shared" si="8"/>
        <v>1.1027027027027028</v>
      </c>
      <c r="P21" s="100">
        <f t="shared" si="9"/>
        <v>0.18597560975609756</v>
      </c>
      <c r="Q21" s="108">
        <f t="shared" si="10"/>
        <v>-3.7128712871287127E-2</v>
      </c>
      <c r="R21" s="14">
        <f t="shared" ref="R21:R29" si="11">N21/$N$9</f>
        <v>2.4056895485466915E-2</v>
      </c>
    </row>
    <row r="22" spans="1:19" x14ac:dyDescent="0.2">
      <c r="A22" s="85" t="s">
        <v>97</v>
      </c>
      <c r="B22" s="85">
        <v>1507</v>
      </c>
      <c r="C22" s="115">
        <v>1788</v>
      </c>
      <c r="D22" s="115">
        <v>2165</v>
      </c>
      <c r="E22" s="115">
        <v>2236</v>
      </c>
      <c r="F22" s="115">
        <v>2484</v>
      </c>
      <c r="G22" s="115">
        <v>2736</v>
      </c>
      <c r="H22" s="116">
        <v>3084</v>
      </c>
      <c r="I22" s="116">
        <v>3296</v>
      </c>
      <c r="J22" s="116">
        <v>3383</v>
      </c>
      <c r="K22" s="116">
        <v>3207</v>
      </c>
      <c r="L22" s="116">
        <v>3733</v>
      </c>
      <c r="M22" s="116">
        <v>3787</v>
      </c>
      <c r="N22" s="116">
        <v>3509</v>
      </c>
      <c r="O22" s="100">
        <f t="shared" si="8"/>
        <v>0.56932021466905192</v>
      </c>
      <c r="P22" s="100">
        <f t="shared" si="9"/>
        <v>3.7245048773278153E-2</v>
      </c>
      <c r="Q22" s="108">
        <f t="shared" si="10"/>
        <v>-7.3409030895167676E-2</v>
      </c>
      <c r="R22" s="14">
        <f t="shared" si="11"/>
        <v>0.21700680272108844</v>
      </c>
    </row>
    <row r="23" spans="1:19" s="12" customFormat="1" x14ac:dyDescent="0.2">
      <c r="A23" s="5" t="s">
        <v>262</v>
      </c>
      <c r="B23" s="5">
        <v>1568</v>
      </c>
      <c r="C23" s="79">
        <v>1478</v>
      </c>
      <c r="D23" s="79">
        <v>1909</v>
      </c>
      <c r="E23" s="79">
        <v>1865</v>
      </c>
      <c r="F23" s="79">
        <v>2099</v>
      </c>
      <c r="G23" s="79">
        <v>2085</v>
      </c>
      <c r="H23" s="114">
        <v>2814</v>
      </c>
      <c r="I23" s="114">
        <v>3018</v>
      </c>
      <c r="J23" s="114">
        <v>2931</v>
      </c>
      <c r="K23" s="114">
        <v>3106</v>
      </c>
      <c r="L23" s="114">
        <v>3417</v>
      </c>
      <c r="M23" s="114">
        <v>3493</v>
      </c>
      <c r="N23" s="114">
        <v>3731</v>
      </c>
      <c r="O23" s="83">
        <f t="shared" si="8"/>
        <v>1.0005361930294907</v>
      </c>
      <c r="P23" s="83">
        <f t="shared" si="9"/>
        <v>0.27294438758103035</v>
      </c>
      <c r="Q23" s="109">
        <f t="shared" si="10"/>
        <v>6.8136272545090179E-2</v>
      </c>
      <c r="R23" s="16">
        <f t="shared" si="11"/>
        <v>0.23073593073593074</v>
      </c>
      <c r="S23" s="1"/>
    </row>
    <row r="24" spans="1:19" x14ac:dyDescent="0.2">
      <c r="A24" s="85" t="s">
        <v>96</v>
      </c>
      <c r="B24" s="85">
        <v>166</v>
      </c>
      <c r="C24" s="115">
        <v>181</v>
      </c>
      <c r="D24" s="115">
        <v>202</v>
      </c>
      <c r="E24" s="115">
        <v>194</v>
      </c>
      <c r="F24" s="115">
        <v>240</v>
      </c>
      <c r="G24" s="115">
        <v>252</v>
      </c>
      <c r="H24" s="116">
        <v>286</v>
      </c>
      <c r="I24" s="116">
        <v>299</v>
      </c>
      <c r="J24" s="116">
        <v>307</v>
      </c>
      <c r="K24" s="116">
        <v>318</v>
      </c>
      <c r="L24" s="116">
        <v>342</v>
      </c>
      <c r="M24" s="116">
        <v>339</v>
      </c>
      <c r="N24" s="116">
        <v>394</v>
      </c>
      <c r="O24" s="100">
        <f t="shared" si="8"/>
        <v>1.0309278350515463</v>
      </c>
      <c r="P24" s="100">
        <f t="shared" si="9"/>
        <v>0.28338762214983715</v>
      </c>
      <c r="Q24" s="108">
        <f t="shared" si="10"/>
        <v>0.16224188790560473</v>
      </c>
      <c r="R24" s="14">
        <f t="shared" si="11"/>
        <v>2.4366110080395794E-2</v>
      </c>
    </row>
    <row r="25" spans="1:19" x14ac:dyDescent="0.2">
      <c r="A25" s="85" t="s">
        <v>97</v>
      </c>
      <c r="B25" s="85">
        <v>1402</v>
      </c>
      <c r="C25" s="115">
        <v>1297</v>
      </c>
      <c r="D25" s="115">
        <v>1707</v>
      </c>
      <c r="E25" s="115">
        <v>1671</v>
      </c>
      <c r="F25" s="115">
        <v>1859</v>
      </c>
      <c r="G25" s="115">
        <v>1833</v>
      </c>
      <c r="H25" s="116">
        <v>2528</v>
      </c>
      <c r="I25" s="116">
        <v>2719</v>
      </c>
      <c r="J25" s="116">
        <v>2624</v>
      </c>
      <c r="K25" s="116">
        <v>2788</v>
      </c>
      <c r="L25" s="116">
        <v>3075</v>
      </c>
      <c r="M25" s="116">
        <v>3154</v>
      </c>
      <c r="N25" s="116">
        <v>3337</v>
      </c>
      <c r="O25" s="100">
        <f t="shared" si="8"/>
        <v>0.99700777977259125</v>
      </c>
      <c r="P25" s="100">
        <f t="shared" si="9"/>
        <v>0.27172256097560976</v>
      </c>
      <c r="Q25" s="108">
        <f t="shared" si="10"/>
        <v>5.8021559923906153E-2</v>
      </c>
      <c r="R25" s="14">
        <f t="shared" si="11"/>
        <v>0.20636982065553494</v>
      </c>
    </row>
    <row r="26" spans="1:19" s="12" customFormat="1" x14ac:dyDescent="0.2">
      <c r="A26" s="5" t="s">
        <v>263</v>
      </c>
      <c r="B26" s="5">
        <v>2410</v>
      </c>
      <c r="C26" s="79">
        <v>2841</v>
      </c>
      <c r="D26" s="79">
        <v>4371</v>
      </c>
      <c r="E26" s="79">
        <v>3804</v>
      </c>
      <c r="F26" s="79">
        <v>5229</v>
      </c>
      <c r="G26" s="79">
        <v>5523</v>
      </c>
      <c r="H26" s="114">
        <v>6449</v>
      </c>
      <c r="I26" s="114">
        <v>6380</v>
      </c>
      <c r="J26" s="114">
        <v>7281</v>
      </c>
      <c r="K26" s="114">
        <v>7293</v>
      </c>
      <c r="L26" s="114">
        <v>7328</v>
      </c>
      <c r="M26" s="114">
        <v>8592</v>
      </c>
      <c r="N26" s="114">
        <v>8541</v>
      </c>
      <c r="O26" s="83">
        <f t="shared" si="8"/>
        <v>1.2452681388012619</v>
      </c>
      <c r="P26" s="83">
        <f t="shared" si="9"/>
        <v>0.17305315203955501</v>
      </c>
      <c r="Q26" s="109">
        <f t="shared" si="10"/>
        <v>-5.9357541899441339E-3</v>
      </c>
      <c r="R26" s="16">
        <f t="shared" si="11"/>
        <v>0.52820037105751394</v>
      </c>
      <c r="S26" s="1"/>
    </row>
    <row r="27" spans="1:19" x14ac:dyDescent="0.2">
      <c r="A27" s="85" t="s">
        <v>96</v>
      </c>
      <c r="B27" s="85">
        <v>5</v>
      </c>
      <c r="C27" s="115">
        <v>7</v>
      </c>
      <c r="D27" s="115">
        <v>12</v>
      </c>
      <c r="E27" s="115">
        <v>16</v>
      </c>
      <c r="F27" s="115">
        <v>38</v>
      </c>
      <c r="G27" s="115">
        <v>97</v>
      </c>
      <c r="H27" s="116">
        <v>99</v>
      </c>
      <c r="I27" s="116">
        <v>59</v>
      </c>
      <c r="J27" s="116">
        <v>57</v>
      </c>
      <c r="K27" s="116">
        <v>60</v>
      </c>
      <c r="L27" s="116">
        <v>65</v>
      </c>
      <c r="M27" s="116">
        <v>90</v>
      </c>
      <c r="N27" s="116">
        <v>88</v>
      </c>
      <c r="O27" s="100">
        <f t="shared" si="8"/>
        <v>4.5</v>
      </c>
      <c r="P27" s="100">
        <f t="shared" si="9"/>
        <v>0.54385964912280704</v>
      </c>
      <c r="Q27" s="108">
        <f t="shared" si="10"/>
        <v>-2.2222222222222223E-2</v>
      </c>
      <c r="R27" s="14">
        <f t="shared" si="11"/>
        <v>5.4421768707482989E-3</v>
      </c>
    </row>
    <row r="28" spans="1:19" x14ac:dyDescent="0.2">
      <c r="A28" s="85" t="s">
        <v>97</v>
      </c>
      <c r="B28" s="85">
        <v>2405</v>
      </c>
      <c r="C28" s="115">
        <v>2834</v>
      </c>
      <c r="D28" s="115">
        <v>4359</v>
      </c>
      <c r="E28" s="115">
        <v>3788</v>
      </c>
      <c r="F28" s="115">
        <v>5191</v>
      </c>
      <c r="G28" s="115">
        <v>5426</v>
      </c>
      <c r="H28" s="116">
        <v>6350</v>
      </c>
      <c r="I28" s="116">
        <v>6321</v>
      </c>
      <c r="J28" s="116">
        <v>7224</v>
      </c>
      <c r="K28" s="116">
        <v>7233</v>
      </c>
      <c r="L28" s="116">
        <v>7263</v>
      </c>
      <c r="M28" s="116">
        <v>8502</v>
      </c>
      <c r="N28" s="116">
        <v>8453</v>
      </c>
      <c r="O28" s="100">
        <f t="shared" si="8"/>
        <v>1.2315205913410772</v>
      </c>
      <c r="P28" s="100">
        <f t="shared" si="9"/>
        <v>0.17012735326688816</v>
      </c>
      <c r="Q28" s="108">
        <f t="shared" si="10"/>
        <v>-5.7633498000470478E-3</v>
      </c>
      <c r="R28" s="14">
        <f t="shared" si="11"/>
        <v>0.52275819418676561</v>
      </c>
    </row>
    <row r="29" spans="1:19" s="12" customFormat="1" x14ac:dyDescent="0.2">
      <c r="A29" s="5" t="s">
        <v>4</v>
      </c>
      <c r="B29" s="5">
        <v>5628</v>
      </c>
      <c r="C29" s="79">
        <v>6239</v>
      </c>
      <c r="D29" s="79">
        <v>8614</v>
      </c>
      <c r="E29" s="79">
        <v>8090</v>
      </c>
      <c r="F29" s="79">
        <v>10025</v>
      </c>
      <c r="G29" s="79">
        <v>10598</v>
      </c>
      <c r="H29" s="114">
        <v>12594</v>
      </c>
      <c r="I29" s="114">
        <v>12945</v>
      </c>
      <c r="J29" s="114">
        <v>13923</v>
      </c>
      <c r="K29" s="114">
        <v>13931</v>
      </c>
      <c r="L29" s="114">
        <v>14799</v>
      </c>
      <c r="M29" s="114">
        <v>16276</v>
      </c>
      <c r="N29" s="114">
        <v>16170</v>
      </c>
      <c r="O29" s="83">
        <f t="shared" si="8"/>
        <v>0.99876390605686027</v>
      </c>
      <c r="P29" s="83">
        <f t="shared" si="9"/>
        <v>0.16138763197586728</v>
      </c>
      <c r="Q29" s="109">
        <f t="shared" si="10"/>
        <v>-6.5126566724010813E-3</v>
      </c>
      <c r="R29" s="16">
        <f t="shared" si="11"/>
        <v>1</v>
      </c>
    </row>
    <row r="30" spans="1:19" x14ac:dyDescent="0.2">
      <c r="A30" s="122" t="s">
        <v>373</v>
      </c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</row>
    <row r="31" spans="1:19" x14ac:dyDescent="0.2">
      <c r="A31" s="122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</row>
    <row r="32" spans="1:19" ht="15.75" x14ac:dyDescent="0.2">
      <c r="A32" s="41" t="s">
        <v>256</v>
      </c>
      <c r="B32" s="41"/>
      <c r="C32" s="41"/>
      <c r="D32" s="41"/>
      <c r="E32" s="41"/>
      <c r="F32" s="41"/>
      <c r="G32" s="41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</row>
    <row r="33" spans="1:18" ht="41.1" customHeight="1" x14ac:dyDescent="0.2">
      <c r="A33" s="88" t="s">
        <v>268</v>
      </c>
      <c r="B33" s="3">
        <v>2007</v>
      </c>
      <c r="C33" s="3">
        <v>2008</v>
      </c>
      <c r="D33" s="3">
        <v>2009</v>
      </c>
      <c r="E33" s="3">
        <v>2010</v>
      </c>
      <c r="F33" s="3">
        <v>2011</v>
      </c>
      <c r="G33" s="3">
        <v>2012</v>
      </c>
      <c r="H33" s="3">
        <v>2013</v>
      </c>
      <c r="I33" s="3">
        <v>2014</v>
      </c>
      <c r="J33" s="3">
        <v>2015</v>
      </c>
      <c r="K33" s="3">
        <v>2016</v>
      </c>
      <c r="L33" s="3">
        <v>2017</v>
      </c>
      <c r="M33" s="3">
        <v>2018</v>
      </c>
      <c r="N33" s="3">
        <v>2019</v>
      </c>
      <c r="O33" s="13" t="s">
        <v>371</v>
      </c>
      <c r="P33" s="13" t="s">
        <v>372</v>
      </c>
      <c r="Q33" s="13" t="s">
        <v>310</v>
      </c>
      <c r="R33" s="13" t="s">
        <v>311</v>
      </c>
    </row>
    <row r="34" spans="1:18" x14ac:dyDescent="0.2">
      <c r="A34" s="5" t="s">
        <v>228</v>
      </c>
      <c r="B34" s="5">
        <v>2350</v>
      </c>
      <c r="C34" s="5">
        <v>2625</v>
      </c>
      <c r="D34" s="5">
        <v>3744</v>
      </c>
      <c r="E34" s="5">
        <v>3659</v>
      </c>
      <c r="F34" s="5">
        <v>4815</v>
      </c>
      <c r="G34" s="5">
        <v>5098</v>
      </c>
      <c r="H34" s="23">
        <v>6091</v>
      </c>
      <c r="I34" s="23">
        <v>6179</v>
      </c>
      <c r="J34" s="23">
        <v>6748</v>
      </c>
      <c r="K34" s="23">
        <v>6808</v>
      </c>
      <c r="L34" s="23">
        <v>7355</v>
      </c>
      <c r="M34" s="23">
        <v>8050</v>
      </c>
      <c r="N34" s="23">
        <v>8174</v>
      </c>
      <c r="O34" s="83">
        <f t="shared" ref="O34:O40" si="12">(N34-E34)/E34</f>
        <v>1.2339437004646079</v>
      </c>
      <c r="P34" s="83">
        <f t="shared" ref="P34:P40" si="13">(N34-J34)/J34</f>
        <v>0.21132187314759929</v>
      </c>
      <c r="Q34" s="109">
        <f t="shared" ref="Q34:Q40" si="14">(N34-M34)/M34</f>
        <v>1.5403726708074534E-2</v>
      </c>
      <c r="R34" s="16">
        <f>N34/$N$9</f>
        <v>0.50550401978973403</v>
      </c>
    </row>
    <row r="35" spans="1:18" x14ac:dyDescent="0.2">
      <c r="A35" s="85" t="s">
        <v>96</v>
      </c>
      <c r="B35" s="85">
        <v>138</v>
      </c>
      <c r="C35" s="85">
        <v>133</v>
      </c>
      <c r="D35" s="85">
        <v>155</v>
      </c>
      <c r="E35" s="85">
        <v>175</v>
      </c>
      <c r="F35" s="85">
        <v>212</v>
      </c>
      <c r="G35" s="85">
        <v>239</v>
      </c>
      <c r="H35" s="24">
        <v>292</v>
      </c>
      <c r="I35" s="24">
        <v>279</v>
      </c>
      <c r="J35" s="24">
        <v>307</v>
      </c>
      <c r="K35" s="24">
        <v>289</v>
      </c>
      <c r="L35" s="24">
        <v>319</v>
      </c>
      <c r="M35" s="24">
        <v>359</v>
      </c>
      <c r="N35" s="24">
        <v>377</v>
      </c>
      <c r="O35" s="100">
        <f t="shared" si="12"/>
        <v>1.1542857142857144</v>
      </c>
      <c r="P35" s="100">
        <f t="shared" si="13"/>
        <v>0.2280130293159609</v>
      </c>
      <c r="Q35" s="108">
        <f t="shared" si="14"/>
        <v>5.0139275766016712E-2</v>
      </c>
      <c r="R35" s="14">
        <f t="shared" ref="R35:R40" si="15">N35/$N$9</f>
        <v>2.3314780457637602E-2</v>
      </c>
    </row>
    <row r="36" spans="1:18" x14ac:dyDescent="0.2">
      <c r="A36" s="85" t="s">
        <v>97</v>
      </c>
      <c r="B36" s="85">
        <v>2212</v>
      </c>
      <c r="C36" s="85">
        <v>2492</v>
      </c>
      <c r="D36" s="85">
        <v>3589</v>
      </c>
      <c r="E36" s="85">
        <v>3484</v>
      </c>
      <c r="F36" s="85">
        <v>4603</v>
      </c>
      <c r="G36" s="85">
        <v>4859</v>
      </c>
      <c r="H36" s="24">
        <v>5799</v>
      </c>
      <c r="I36" s="24">
        <v>5900</v>
      </c>
      <c r="J36" s="24">
        <v>6441</v>
      </c>
      <c r="K36" s="24">
        <v>6519</v>
      </c>
      <c r="L36" s="24">
        <v>7036</v>
      </c>
      <c r="M36" s="24">
        <v>7691</v>
      </c>
      <c r="N36" s="24">
        <v>7797</v>
      </c>
      <c r="O36" s="100">
        <f t="shared" si="12"/>
        <v>1.2379448909299655</v>
      </c>
      <c r="P36" s="100">
        <f t="shared" si="13"/>
        <v>0.21052631578947367</v>
      </c>
      <c r="Q36" s="108">
        <f t="shared" si="14"/>
        <v>1.3782342998309712E-2</v>
      </c>
      <c r="R36" s="14">
        <f t="shared" si="15"/>
        <v>0.48218923933209645</v>
      </c>
    </row>
    <row r="37" spans="1:18" x14ac:dyDescent="0.2">
      <c r="A37" s="5" t="s">
        <v>229</v>
      </c>
      <c r="B37" s="5">
        <v>3278</v>
      </c>
      <c r="C37" s="5">
        <v>3614</v>
      </c>
      <c r="D37" s="5">
        <v>4870</v>
      </c>
      <c r="E37" s="5">
        <v>4431</v>
      </c>
      <c r="F37" s="5">
        <v>5210</v>
      </c>
      <c r="G37" s="5">
        <v>5500</v>
      </c>
      <c r="H37" s="23">
        <v>6503</v>
      </c>
      <c r="I37" s="23">
        <v>6766</v>
      </c>
      <c r="J37" s="23">
        <v>7175</v>
      </c>
      <c r="K37" s="23">
        <v>7123</v>
      </c>
      <c r="L37" s="23">
        <v>7444</v>
      </c>
      <c r="M37" s="23">
        <v>8226</v>
      </c>
      <c r="N37" s="23">
        <v>7996</v>
      </c>
      <c r="O37" s="83">
        <f t="shared" si="12"/>
        <v>0.80455879034078082</v>
      </c>
      <c r="P37" s="83">
        <f t="shared" si="13"/>
        <v>0.11442508710801394</v>
      </c>
      <c r="Q37" s="109">
        <f t="shared" si="14"/>
        <v>-2.7960126428397764E-2</v>
      </c>
      <c r="R37" s="16">
        <f t="shared" si="15"/>
        <v>0.49449598021026592</v>
      </c>
    </row>
    <row r="38" spans="1:18" x14ac:dyDescent="0.2">
      <c r="A38" s="85" t="s">
        <v>96</v>
      </c>
      <c r="B38" s="85">
        <v>176</v>
      </c>
      <c r="C38" s="85">
        <v>187</v>
      </c>
      <c r="D38" s="85">
        <v>228</v>
      </c>
      <c r="E38" s="85">
        <v>220</v>
      </c>
      <c r="F38" s="85">
        <v>279</v>
      </c>
      <c r="G38" s="85">
        <v>364</v>
      </c>
      <c r="H38" s="24">
        <v>340</v>
      </c>
      <c r="I38" s="24">
        <v>330</v>
      </c>
      <c r="J38" s="24">
        <v>385</v>
      </c>
      <c r="K38" s="24">
        <v>414</v>
      </c>
      <c r="L38" s="24">
        <v>409</v>
      </c>
      <c r="M38" s="24">
        <v>474</v>
      </c>
      <c r="N38" s="24">
        <v>494</v>
      </c>
      <c r="O38" s="100">
        <f t="shared" si="12"/>
        <v>1.2454545454545454</v>
      </c>
      <c r="P38" s="100">
        <f t="shared" si="13"/>
        <v>0.2831168831168831</v>
      </c>
      <c r="Q38" s="108">
        <f t="shared" si="14"/>
        <v>4.2194092827004218E-2</v>
      </c>
      <c r="R38" s="14">
        <f t="shared" si="15"/>
        <v>3.0550401978973407E-2</v>
      </c>
    </row>
    <row r="39" spans="1:18" x14ac:dyDescent="0.2">
      <c r="A39" s="85" t="s">
        <v>97</v>
      </c>
      <c r="B39" s="85">
        <v>3102</v>
      </c>
      <c r="C39" s="85">
        <v>3427</v>
      </c>
      <c r="D39" s="85">
        <v>4642</v>
      </c>
      <c r="E39" s="85">
        <v>4211</v>
      </c>
      <c r="F39" s="85">
        <v>4931</v>
      </c>
      <c r="G39" s="85">
        <v>5136</v>
      </c>
      <c r="H39" s="24">
        <v>6163</v>
      </c>
      <c r="I39" s="24">
        <v>6436</v>
      </c>
      <c r="J39" s="24">
        <v>6790</v>
      </c>
      <c r="K39" s="24">
        <v>6709</v>
      </c>
      <c r="L39" s="24">
        <v>7035</v>
      </c>
      <c r="M39" s="24">
        <v>7752</v>
      </c>
      <c r="N39" s="24">
        <v>7502</v>
      </c>
      <c r="O39" s="100">
        <f t="shared" si="12"/>
        <v>0.78152457848492041</v>
      </c>
      <c r="P39" s="100">
        <f t="shared" si="13"/>
        <v>0.10486008836524301</v>
      </c>
      <c r="Q39" s="108">
        <f t="shared" si="14"/>
        <v>-3.2249742002063986E-2</v>
      </c>
      <c r="R39" s="14">
        <f t="shared" si="15"/>
        <v>0.46394557823129251</v>
      </c>
    </row>
    <row r="40" spans="1:18" x14ac:dyDescent="0.2">
      <c r="A40" s="5" t="s">
        <v>4</v>
      </c>
      <c r="B40" s="5">
        <v>5628</v>
      </c>
      <c r="C40" s="5">
        <f>C34+C37</f>
        <v>6239</v>
      </c>
      <c r="D40" s="5">
        <f t="shared" ref="D40:N40" si="16">D34+D37</f>
        <v>8614</v>
      </c>
      <c r="E40" s="5">
        <f t="shared" si="16"/>
        <v>8090</v>
      </c>
      <c r="F40" s="5">
        <f t="shared" si="16"/>
        <v>10025</v>
      </c>
      <c r="G40" s="5">
        <f t="shared" si="16"/>
        <v>10598</v>
      </c>
      <c r="H40" s="5">
        <f t="shared" si="16"/>
        <v>12594</v>
      </c>
      <c r="I40" s="5">
        <f t="shared" si="16"/>
        <v>12945</v>
      </c>
      <c r="J40" s="5">
        <f t="shared" si="16"/>
        <v>13923</v>
      </c>
      <c r="K40" s="5">
        <f t="shared" si="16"/>
        <v>13931</v>
      </c>
      <c r="L40" s="5">
        <f t="shared" si="16"/>
        <v>14799</v>
      </c>
      <c r="M40" s="5">
        <f t="shared" si="16"/>
        <v>16276</v>
      </c>
      <c r="N40" s="5">
        <f t="shared" si="16"/>
        <v>16170</v>
      </c>
      <c r="O40" s="83">
        <f t="shared" si="12"/>
        <v>0.99876390605686027</v>
      </c>
      <c r="P40" s="83">
        <f t="shared" si="13"/>
        <v>0.16138763197586728</v>
      </c>
      <c r="Q40" s="109">
        <f t="shared" si="14"/>
        <v>-6.5126566724010813E-3</v>
      </c>
      <c r="R40" s="16">
        <f t="shared" si="15"/>
        <v>1</v>
      </c>
    </row>
    <row r="41" spans="1:18" x14ac:dyDescent="0.2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</row>
    <row r="42" spans="1:18" x14ac:dyDescent="0.2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</row>
    <row r="43" spans="1:18" x14ac:dyDescent="0.2">
      <c r="A43" s="70" t="s">
        <v>264</v>
      </c>
      <c r="B43" s="70"/>
      <c r="C43" s="70"/>
      <c r="D43" s="70"/>
      <c r="E43" s="70"/>
      <c r="F43" s="70"/>
      <c r="G43" s="70"/>
      <c r="H43" s="40"/>
      <c r="I43" s="40"/>
      <c r="J43" s="40"/>
      <c r="K43" s="40"/>
      <c r="L43" s="68"/>
      <c r="M43" s="68"/>
      <c r="N43" s="68"/>
      <c r="O43" s="40"/>
      <c r="P43" s="40"/>
      <c r="Q43" s="40"/>
      <c r="R43" s="40"/>
    </row>
    <row r="44" spans="1:18" x14ac:dyDescent="0.2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</row>
    <row r="45" spans="1:18" x14ac:dyDescent="0.2">
      <c r="A45" s="71" t="s">
        <v>21</v>
      </c>
      <c r="B45" s="71"/>
      <c r="C45" s="71"/>
      <c r="D45" s="71"/>
      <c r="E45" s="71"/>
      <c r="F45" s="71"/>
      <c r="G45" s="71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</row>
    <row r="46" spans="1:18" x14ac:dyDescent="0.2">
      <c r="A46" s="40"/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</row>
  </sheetData>
  <hyperlinks>
    <hyperlink ref="A45" location="Indice!A5" display="Volver al índice"/>
  </hyperlinks>
  <pageMargins left="0.7" right="0.7" top="0.75" bottom="0.75" header="0.3" footer="0.3"/>
  <pageSetup orientation="portrait" verticalDpi="0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0"/>
  <sheetViews>
    <sheetView showGridLines="0" zoomScale="90" zoomScaleNormal="90" workbookViewId="0">
      <pane ySplit="2" topLeftCell="A3" activePane="bottomLeft" state="frozen"/>
      <selection pane="bottomLeft" activeCell="C12" sqref="C12"/>
    </sheetView>
  </sheetViews>
  <sheetFormatPr baseColWidth="10" defaultColWidth="10.85546875" defaultRowHeight="15" x14ac:dyDescent="0.25"/>
  <cols>
    <col min="1" max="1" width="39.42578125" style="51" customWidth="1"/>
    <col min="2" max="5" width="20.42578125" style="51" customWidth="1"/>
    <col min="6" max="16384" width="10.85546875" style="2"/>
  </cols>
  <sheetData>
    <row r="1" spans="1:10" ht="21" x14ac:dyDescent="0.25">
      <c r="A1" s="87" t="s">
        <v>350</v>
      </c>
      <c r="B1" s="46"/>
      <c r="C1" s="46"/>
      <c r="D1" s="46"/>
      <c r="E1" s="46"/>
    </row>
    <row r="2" spans="1:10" ht="18.75" x14ac:dyDescent="0.25">
      <c r="A2" s="63"/>
      <c r="B2" s="46"/>
      <c r="C2" s="46"/>
      <c r="D2" s="46"/>
      <c r="E2" s="46"/>
    </row>
    <row r="3" spans="1:10" x14ac:dyDescent="0.25">
      <c r="A3" s="46"/>
      <c r="B3" s="46"/>
      <c r="C3" s="46"/>
      <c r="D3" s="46"/>
      <c r="E3" s="46"/>
    </row>
    <row r="4" spans="1:10" ht="15.75" x14ac:dyDescent="0.25">
      <c r="A4" s="53" t="s">
        <v>351</v>
      </c>
      <c r="B4" s="46"/>
      <c r="C4" s="46"/>
      <c r="D4" s="46"/>
      <c r="E4" s="46"/>
    </row>
    <row r="5" spans="1:10" ht="38.25" x14ac:dyDescent="0.25">
      <c r="A5" s="54" t="s">
        <v>258</v>
      </c>
      <c r="B5" s="47" t="s">
        <v>100</v>
      </c>
      <c r="C5" s="47" t="s">
        <v>3</v>
      </c>
      <c r="D5" s="47" t="s">
        <v>288</v>
      </c>
      <c r="E5" s="47" t="s">
        <v>8</v>
      </c>
    </row>
    <row r="6" spans="1:10" x14ac:dyDescent="0.25">
      <c r="A6" s="55" t="s">
        <v>5</v>
      </c>
      <c r="B6" s="43"/>
      <c r="C6" s="43"/>
      <c r="D6" s="43">
        <v>3</v>
      </c>
      <c r="E6" s="43">
        <v>3</v>
      </c>
      <c r="G6" s="133"/>
      <c r="H6" s="133"/>
      <c r="I6" s="133"/>
      <c r="J6" s="133"/>
    </row>
    <row r="7" spans="1:10" x14ac:dyDescent="0.25">
      <c r="A7" s="55" t="s">
        <v>6</v>
      </c>
      <c r="B7" s="43"/>
      <c r="C7" s="43">
        <v>1070</v>
      </c>
      <c r="D7" s="43">
        <v>372</v>
      </c>
      <c r="E7" s="43">
        <v>1442</v>
      </c>
      <c r="G7" s="133"/>
      <c r="H7" s="133"/>
      <c r="I7" s="133"/>
      <c r="J7" s="133"/>
    </row>
    <row r="8" spans="1:10" x14ac:dyDescent="0.25">
      <c r="A8" s="55" t="s">
        <v>7</v>
      </c>
      <c r="B8" s="43">
        <v>2086</v>
      </c>
      <c r="C8" s="43">
        <v>2679</v>
      </c>
      <c r="D8" s="43">
        <v>22658</v>
      </c>
      <c r="E8" s="43">
        <v>27423</v>
      </c>
      <c r="G8" s="133"/>
      <c r="H8" s="133"/>
      <c r="I8" s="133"/>
      <c r="J8" s="133"/>
    </row>
    <row r="9" spans="1:10" x14ac:dyDescent="0.25">
      <c r="A9" s="56" t="s">
        <v>4</v>
      </c>
      <c r="B9" s="44">
        <v>2086</v>
      </c>
      <c r="C9" s="44">
        <v>3749</v>
      </c>
      <c r="D9" s="44">
        <v>23033</v>
      </c>
      <c r="E9" s="44">
        <v>28868</v>
      </c>
    </row>
    <row r="10" spans="1:10" x14ac:dyDescent="0.25">
      <c r="A10" s="61"/>
      <c r="B10" s="62"/>
      <c r="C10" s="62"/>
      <c r="D10" s="62"/>
      <c r="E10" s="46"/>
    </row>
    <row r="11" spans="1:10" ht="15.75" x14ac:dyDescent="0.25">
      <c r="A11" s="53" t="s">
        <v>352</v>
      </c>
      <c r="B11" s="46"/>
      <c r="C11" s="46"/>
      <c r="D11" s="46"/>
      <c r="E11" s="46"/>
    </row>
    <row r="12" spans="1:10" ht="38.25" x14ac:dyDescent="0.25">
      <c r="A12" s="54" t="s">
        <v>247</v>
      </c>
      <c r="B12" s="47" t="s">
        <v>100</v>
      </c>
      <c r="C12" s="47" t="s">
        <v>3</v>
      </c>
      <c r="D12" s="47" t="s">
        <v>270</v>
      </c>
      <c r="E12" s="47" t="s">
        <v>8</v>
      </c>
    </row>
    <row r="13" spans="1:10" x14ac:dyDescent="0.25">
      <c r="A13" s="55" t="s">
        <v>327</v>
      </c>
      <c r="B13" s="43">
        <v>1100</v>
      </c>
      <c r="C13" s="43">
        <v>2895</v>
      </c>
      <c r="D13" s="43">
        <v>13280</v>
      </c>
      <c r="E13" s="43">
        <v>17275</v>
      </c>
      <c r="F13" s="15"/>
    </row>
    <row r="14" spans="1:10" x14ac:dyDescent="0.25">
      <c r="A14" s="55" t="s">
        <v>328</v>
      </c>
      <c r="B14" s="43">
        <v>986</v>
      </c>
      <c r="C14" s="43">
        <v>854</v>
      </c>
      <c r="D14" s="43">
        <v>9753</v>
      </c>
      <c r="E14" s="43">
        <v>11593</v>
      </c>
      <c r="F14" s="15"/>
    </row>
    <row r="15" spans="1:10" x14ac:dyDescent="0.25">
      <c r="A15" s="56" t="s">
        <v>309</v>
      </c>
      <c r="B15" s="44">
        <f>SUM(B13:B14)</f>
        <v>2086</v>
      </c>
      <c r="C15" s="44">
        <f t="shared" ref="C15:E15" si="0">SUM(C13:C14)</f>
        <v>3749</v>
      </c>
      <c r="D15" s="44">
        <f t="shared" si="0"/>
        <v>23033</v>
      </c>
      <c r="E15" s="44">
        <f t="shared" si="0"/>
        <v>28868</v>
      </c>
    </row>
    <row r="16" spans="1:10" x14ac:dyDescent="0.25">
      <c r="A16" s="46"/>
      <c r="B16" s="46"/>
      <c r="C16" s="46"/>
      <c r="D16" s="46"/>
      <c r="E16" s="46"/>
    </row>
    <row r="17" spans="1:6" ht="15.75" x14ac:dyDescent="0.25">
      <c r="A17" s="53" t="s">
        <v>356</v>
      </c>
      <c r="B17" s="46"/>
      <c r="C17" s="46"/>
      <c r="D17" s="46"/>
      <c r="E17" s="46"/>
    </row>
    <row r="18" spans="1:6" ht="38.25" x14ac:dyDescent="0.25">
      <c r="A18" s="57" t="s">
        <v>26</v>
      </c>
      <c r="B18" s="47" t="s">
        <v>100</v>
      </c>
      <c r="C18" s="47" t="s">
        <v>3</v>
      </c>
      <c r="D18" s="47" t="s">
        <v>270</v>
      </c>
      <c r="E18" s="47" t="s">
        <v>8</v>
      </c>
    </row>
    <row r="19" spans="1:6" x14ac:dyDescent="0.25">
      <c r="A19" s="58" t="s">
        <v>27</v>
      </c>
      <c r="B19" s="43">
        <v>0</v>
      </c>
      <c r="C19" s="43">
        <v>0</v>
      </c>
      <c r="D19" s="43">
        <v>7</v>
      </c>
      <c r="E19" s="43">
        <v>7</v>
      </c>
    </row>
    <row r="20" spans="1:6" x14ac:dyDescent="0.25">
      <c r="A20" s="58" t="s">
        <v>28</v>
      </c>
      <c r="B20" s="43"/>
      <c r="C20" s="43">
        <v>94</v>
      </c>
      <c r="D20" s="43">
        <v>762</v>
      </c>
      <c r="E20" s="43">
        <v>856</v>
      </c>
    </row>
    <row r="21" spans="1:6" x14ac:dyDescent="0.25">
      <c r="A21" s="58" t="s">
        <v>29</v>
      </c>
      <c r="B21" s="43">
        <v>564</v>
      </c>
      <c r="C21" s="43">
        <v>952</v>
      </c>
      <c r="D21" s="43">
        <v>5745</v>
      </c>
      <c r="E21" s="43">
        <v>7261</v>
      </c>
    </row>
    <row r="22" spans="1:6" x14ac:dyDescent="0.25">
      <c r="A22" s="58" t="s">
        <v>30</v>
      </c>
      <c r="B22" s="43">
        <v>992</v>
      </c>
      <c r="C22" s="43">
        <v>968</v>
      </c>
      <c r="D22" s="43">
        <v>5615</v>
      </c>
      <c r="E22" s="43">
        <v>7575</v>
      </c>
    </row>
    <row r="23" spans="1:6" x14ac:dyDescent="0.25">
      <c r="A23" s="58" t="s">
        <v>31</v>
      </c>
      <c r="B23" s="43">
        <v>402</v>
      </c>
      <c r="C23" s="43">
        <v>682</v>
      </c>
      <c r="D23" s="43">
        <v>4211</v>
      </c>
      <c r="E23" s="43">
        <v>5295</v>
      </c>
    </row>
    <row r="24" spans="1:6" x14ac:dyDescent="0.25">
      <c r="A24" s="58" t="s">
        <v>32</v>
      </c>
      <c r="B24" s="43">
        <v>128</v>
      </c>
      <c r="C24" s="43">
        <v>1053</v>
      </c>
      <c r="D24" s="43">
        <v>6689</v>
      </c>
      <c r="E24" s="43">
        <v>7870</v>
      </c>
    </row>
    <row r="25" spans="1:6" x14ac:dyDescent="0.25">
      <c r="A25" s="58" t="s">
        <v>102</v>
      </c>
      <c r="B25" s="43">
        <v>0</v>
      </c>
      <c r="C25" s="43">
        <v>0</v>
      </c>
      <c r="D25" s="43">
        <v>4</v>
      </c>
      <c r="E25" s="43">
        <v>4</v>
      </c>
    </row>
    <row r="26" spans="1:6" x14ac:dyDescent="0.25">
      <c r="A26" s="59" t="s">
        <v>4</v>
      </c>
      <c r="B26" s="44">
        <f>SUM(B19:B25)</f>
        <v>2086</v>
      </c>
      <c r="C26" s="44">
        <f>SUM(C19:C25)</f>
        <v>3749</v>
      </c>
      <c r="D26" s="44">
        <f>SUM(D19:D25)</f>
        <v>23033</v>
      </c>
      <c r="E26" s="44">
        <f>SUM(B26:D26)</f>
        <v>28868</v>
      </c>
    </row>
    <row r="27" spans="1:6" x14ac:dyDescent="0.25">
      <c r="A27" s="60" t="s">
        <v>34</v>
      </c>
      <c r="B27" s="95">
        <v>35.048362971580524</v>
      </c>
      <c r="C27" s="95">
        <v>32.39106654512306</v>
      </c>
      <c r="D27" s="95">
        <v>35.402912621359221</v>
      </c>
      <c r="E27" s="95">
        <v>34.855139596580621</v>
      </c>
    </row>
    <row r="28" spans="1:6" x14ac:dyDescent="0.25">
      <c r="A28" s="46"/>
      <c r="B28" s="2"/>
      <c r="C28" s="2"/>
      <c r="D28" s="2"/>
      <c r="E28" s="2"/>
    </row>
    <row r="29" spans="1:6" ht="15.75" x14ac:dyDescent="0.25">
      <c r="A29" s="53" t="s">
        <v>353</v>
      </c>
      <c r="B29" s="46"/>
      <c r="C29" s="46"/>
      <c r="D29" s="46"/>
      <c r="E29" s="46"/>
    </row>
    <row r="30" spans="1:6" ht="38.25" x14ac:dyDescent="0.25">
      <c r="A30" s="57" t="s">
        <v>10</v>
      </c>
      <c r="B30" s="47" t="s">
        <v>100</v>
      </c>
      <c r="C30" s="47" t="s">
        <v>3</v>
      </c>
      <c r="D30" s="47" t="s">
        <v>270</v>
      </c>
      <c r="E30" s="47" t="s">
        <v>8</v>
      </c>
    </row>
    <row r="31" spans="1:6" x14ac:dyDescent="0.25">
      <c r="A31" s="58" t="s">
        <v>11</v>
      </c>
      <c r="B31" s="43"/>
      <c r="C31" s="43">
        <v>108</v>
      </c>
      <c r="D31" s="43">
        <v>7184</v>
      </c>
      <c r="E31" s="43">
        <v>7292</v>
      </c>
      <c r="F31" s="15"/>
    </row>
    <row r="32" spans="1:6" x14ac:dyDescent="0.25">
      <c r="A32" s="58" t="s">
        <v>12</v>
      </c>
      <c r="B32" s="43"/>
      <c r="C32" s="43">
        <v>25</v>
      </c>
      <c r="D32" s="43">
        <v>210</v>
      </c>
      <c r="E32" s="43">
        <v>235</v>
      </c>
      <c r="F32" s="15"/>
    </row>
    <row r="33" spans="1:6" x14ac:dyDescent="0.25">
      <c r="A33" s="58" t="s">
        <v>13</v>
      </c>
      <c r="B33" s="43"/>
      <c r="C33" s="43">
        <v>33</v>
      </c>
      <c r="D33" s="43">
        <v>472</v>
      </c>
      <c r="E33" s="43">
        <v>505</v>
      </c>
      <c r="F33" s="15"/>
    </row>
    <row r="34" spans="1:6" x14ac:dyDescent="0.25">
      <c r="A34" s="58" t="s">
        <v>14</v>
      </c>
      <c r="B34" s="43"/>
      <c r="C34" s="43">
        <v>5</v>
      </c>
      <c r="D34" s="43">
        <v>106</v>
      </c>
      <c r="E34" s="43">
        <v>111</v>
      </c>
      <c r="F34" s="15"/>
    </row>
    <row r="35" spans="1:6" x14ac:dyDescent="0.25">
      <c r="A35" s="58" t="s">
        <v>15</v>
      </c>
      <c r="B35" s="43"/>
      <c r="C35" s="43">
        <v>746</v>
      </c>
      <c r="D35" s="43">
        <v>3536</v>
      </c>
      <c r="E35" s="43">
        <v>4282</v>
      </c>
      <c r="F35" s="15"/>
    </row>
    <row r="36" spans="1:6" x14ac:dyDescent="0.25">
      <c r="A36" s="58" t="s">
        <v>16</v>
      </c>
      <c r="B36" s="43"/>
      <c r="C36" s="43">
        <v>49</v>
      </c>
      <c r="D36" s="43">
        <v>987</v>
      </c>
      <c r="E36" s="43">
        <v>1036</v>
      </c>
      <c r="F36" s="15"/>
    </row>
    <row r="37" spans="1:6" x14ac:dyDescent="0.25">
      <c r="A37" s="58" t="s">
        <v>17</v>
      </c>
      <c r="B37" s="43"/>
      <c r="C37" s="43">
        <v>2498</v>
      </c>
      <c r="D37" s="43">
        <v>3421</v>
      </c>
      <c r="E37" s="43">
        <v>5919</v>
      </c>
      <c r="F37" s="15"/>
    </row>
    <row r="38" spans="1:6" x14ac:dyDescent="0.25">
      <c r="A38" s="58" t="s">
        <v>18</v>
      </c>
      <c r="B38" s="43"/>
      <c r="C38" s="43">
        <v>1</v>
      </c>
      <c r="D38" s="43">
        <v>331</v>
      </c>
      <c r="E38" s="43">
        <v>332</v>
      </c>
      <c r="F38" s="15"/>
    </row>
    <row r="39" spans="1:6" x14ac:dyDescent="0.25">
      <c r="A39" s="58" t="s">
        <v>19</v>
      </c>
      <c r="B39" s="43">
        <v>2086</v>
      </c>
      <c r="C39" s="43">
        <v>218</v>
      </c>
      <c r="D39" s="43">
        <v>4970</v>
      </c>
      <c r="E39" s="43">
        <v>7274</v>
      </c>
      <c r="F39" s="15"/>
    </row>
    <row r="40" spans="1:6" x14ac:dyDescent="0.25">
      <c r="A40" s="58" t="s">
        <v>20</v>
      </c>
      <c r="B40" s="43"/>
      <c r="C40" s="43">
        <v>66</v>
      </c>
      <c r="D40" s="43">
        <v>1816</v>
      </c>
      <c r="E40" s="43">
        <v>1882</v>
      </c>
      <c r="F40" s="15"/>
    </row>
    <row r="41" spans="1:6" x14ac:dyDescent="0.25">
      <c r="A41" s="59" t="s">
        <v>4</v>
      </c>
      <c r="B41" s="44">
        <v>2086</v>
      </c>
      <c r="C41" s="44">
        <v>3749</v>
      </c>
      <c r="D41" s="44">
        <v>23033</v>
      </c>
      <c r="E41" s="44">
        <v>28868</v>
      </c>
      <c r="F41" s="15"/>
    </row>
    <row r="42" spans="1:6" x14ac:dyDescent="0.25">
      <c r="A42" s="46"/>
      <c r="B42" s="46"/>
      <c r="C42" s="46"/>
      <c r="D42" s="46"/>
      <c r="E42" s="46"/>
    </row>
    <row r="43" spans="1:6" ht="15.75" x14ac:dyDescent="0.25">
      <c r="A43" s="53" t="s">
        <v>354</v>
      </c>
      <c r="B43" s="46"/>
      <c r="C43" s="46"/>
      <c r="D43" s="46"/>
      <c r="E43" s="46"/>
    </row>
    <row r="44" spans="1:6" ht="38.25" x14ac:dyDescent="0.25">
      <c r="A44" s="57" t="s">
        <v>42</v>
      </c>
      <c r="B44" s="47" t="s">
        <v>100</v>
      </c>
      <c r="C44" s="47" t="s">
        <v>3</v>
      </c>
      <c r="D44" s="47" t="s">
        <v>270</v>
      </c>
      <c r="E44" s="47" t="s">
        <v>8</v>
      </c>
    </row>
    <row r="45" spans="1:6" x14ac:dyDescent="0.25">
      <c r="A45" s="58" t="s">
        <v>43</v>
      </c>
      <c r="B45" s="43">
        <v>1851</v>
      </c>
      <c r="C45" s="43">
        <v>905</v>
      </c>
      <c r="D45" s="43">
        <v>5749</v>
      </c>
      <c r="E45" s="43">
        <v>8505</v>
      </c>
    </row>
    <row r="46" spans="1:6" x14ac:dyDescent="0.25">
      <c r="A46" s="58" t="s">
        <v>44</v>
      </c>
      <c r="B46" s="43">
        <v>57</v>
      </c>
      <c r="C46" s="43">
        <v>730</v>
      </c>
      <c r="D46" s="43">
        <v>6447</v>
      </c>
      <c r="E46" s="43">
        <v>7234</v>
      </c>
    </row>
    <row r="47" spans="1:6" x14ac:dyDescent="0.25">
      <c r="A47" s="58" t="s">
        <v>250</v>
      </c>
      <c r="B47" s="43"/>
      <c r="C47" s="43">
        <v>62</v>
      </c>
      <c r="D47" s="43">
        <v>5151</v>
      </c>
      <c r="E47" s="43">
        <v>5213</v>
      </c>
    </row>
    <row r="48" spans="1:6" x14ac:dyDescent="0.25">
      <c r="A48" s="58" t="s">
        <v>255</v>
      </c>
      <c r="B48" s="43"/>
      <c r="C48" s="43">
        <v>1881</v>
      </c>
      <c r="D48" s="43">
        <v>3659</v>
      </c>
      <c r="E48" s="43">
        <v>5540</v>
      </c>
    </row>
    <row r="49" spans="1:5" x14ac:dyDescent="0.25">
      <c r="A49" s="58" t="s">
        <v>45</v>
      </c>
      <c r="B49" s="43">
        <v>178</v>
      </c>
      <c r="C49" s="43">
        <v>171</v>
      </c>
      <c r="D49" s="43">
        <v>2027</v>
      </c>
      <c r="E49" s="43">
        <v>2376</v>
      </c>
    </row>
    <row r="50" spans="1:5" x14ac:dyDescent="0.25">
      <c r="A50" s="59" t="s">
        <v>4</v>
      </c>
      <c r="B50" s="44">
        <v>2086</v>
      </c>
      <c r="C50" s="44">
        <v>3749</v>
      </c>
      <c r="D50" s="44">
        <v>23033</v>
      </c>
      <c r="E50" s="44">
        <v>28868</v>
      </c>
    </row>
    <row r="51" spans="1:5" x14ac:dyDescent="0.25">
      <c r="A51" s="46"/>
      <c r="B51" s="46"/>
      <c r="C51" s="46"/>
      <c r="D51" s="46"/>
      <c r="E51" s="46"/>
    </row>
    <row r="52" spans="1:5" ht="15.75" x14ac:dyDescent="0.25">
      <c r="A52" s="53" t="s">
        <v>355</v>
      </c>
      <c r="B52" s="46"/>
      <c r="C52" s="46"/>
      <c r="D52" s="46"/>
      <c r="E52" s="46"/>
    </row>
    <row r="53" spans="1:5" ht="38.25" x14ac:dyDescent="0.25">
      <c r="A53" s="57" t="s">
        <v>9</v>
      </c>
      <c r="B53" s="47" t="s">
        <v>100</v>
      </c>
      <c r="C53" s="47" t="s">
        <v>3</v>
      </c>
      <c r="D53" s="47" t="s">
        <v>270</v>
      </c>
      <c r="E53" s="47" t="s">
        <v>8</v>
      </c>
    </row>
    <row r="54" spans="1:5" x14ac:dyDescent="0.25">
      <c r="A54" s="58" t="s">
        <v>272</v>
      </c>
      <c r="B54" s="43">
        <v>0</v>
      </c>
      <c r="C54" s="43">
        <v>1</v>
      </c>
      <c r="D54" s="43">
        <v>0</v>
      </c>
      <c r="E54" s="43">
        <v>1</v>
      </c>
    </row>
    <row r="55" spans="1:5" x14ac:dyDescent="0.25">
      <c r="A55" s="58" t="s">
        <v>273</v>
      </c>
      <c r="B55" s="43">
        <v>0</v>
      </c>
      <c r="C55" s="43">
        <v>0</v>
      </c>
      <c r="D55" s="43">
        <v>0</v>
      </c>
      <c r="E55" s="43">
        <v>0</v>
      </c>
    </row>
    <row r="56" spans="1:5" x14ac:dyDescent="0.25">
      <c r="A56" s="58" t="s">
        <v>274</v>
      </c>
      <c r="B56" s="43">
        <v>2</v>
      </c>
      <c r="C56" s="43">
        <v>44</v>
      </c>
      <c r="D56" s="43">
        <v>18</v>
      </c>
      <c r="E56" s="43">
        <v>64</v>
      </c>
    </row>
    <row r="57" spans="1:5" x14ac:dyDescent="0.25">
      <c r="A57" s="58" t="s">
        <v>275</v>
      </c>
      <c r="B57" s="43"/>
      <c r="C57" s="43"/>
      <c r="D57" s="43">
        <v>67</v>
      </c>
      <c r="E57" s="43">
        <v>67</v>
      </c>
    </row>
    <row r="58" spans="1:5" x14ac:dyDescent="0.25">
      <c r="A58" s="58" t="s">
        <v>276</v>
      </c>
      <c r="B58" s="43">
        <v>18</v>
      </c>
      <c r="C58" s="43">
        <v>47</v>
      </c>
      <c r="D58" s="43">
        <v>407</v>
      </c>
      <c r="E58" s="43">
        <v>472</v>
      </c>
    </row>
    <row r="59" spans="1:5" x14ac:dyDescent="0.25">
      <c r="A59" s="58" t="s">
        <v>277</v>
      </c>
      <c r="B59" s="43">
        <v>144</v>
      </c>
      <c r="C59" s="43">
        <v>248</v>
      </c>
      <c r="D59" s="43">
        <v>186</v>
      </c>
      <c r="E59" s="43">
        <v>578</v>
      </c>
    </row>
    <row r="60" spans="1:5" x14ac:dyDescent="0.25">
      <c r="A60" s="92" t="s">
        <v>289</v>
      </c>
      <c r="B60" s="43">
        <v>1479</v>
      </c>
      <c r="C60" s="43">
        <v>3074</v>
      </c>
      <c r="D60" s="43">
        <v>19088</v>
      </c>
      <c r="E60" s="43">
        <v>23641</v>
      </c>
    </row>
    <row r="61" spans="1:5" x14ac:dyDescent="0.25">
      <c r="A61" s="58" t="s">
        <v>278</v>
      </c>
      <c r="B61" s="43">
        <v>0</v>
      </c>
      <c r="C61" s="43">
        <v>0</v>
      </c>
      <c r="D61" s="43">
        <v>0</v>
      </c>
      <c r="E61" s="43">
        <v>0</v>
      </c>
    </row>
    <row r="62" spans="1:5" x14ac:dyDescent="0.25">
      <c r="A62" s="58" t="s">
        <v>279</v>
      </c>
      <c r="B62" s="43">
        <v>40</v>
      </c>
      <c r="C62" s="43">
        <v>57</v>
      </c>
      <c r="D62" s="43">
        <v>344</v>
      </c>
      <c r="E62" s="43">
        <v>441</v>
      </c>
    </row>
    <row r="63" spans="1:5" x14ac:dyDescent="0.25">
      <c r="A63" s="58" t="s">
        <v>295</v>
      </c>
      <c r="B63" s="43">
        <v>3</v>
      </c>
      <c r="C63" s="43">
        <v>34</v>
      </c>
      <c r="D63" s="43">
        <v>35</v>
      </c>
      <c r="E63" s="43">
        <v>72</v>
      </c>
    </row>
    <row r="64" spans="1:5" x14ac:dyDescent="0.25">
      <c r="A64" s="58" t="s">
        <v>280</v>
      </c>
      <c r="B64" s="43">
        <v>247</v>
      </c>
      <c r="C64" s="43">
        <v>97</v>
      </c>
      <c r="D64" s="43">
        <v>1583</v>
      </c>
      <c r="E64" s="43">
        <v>1927</v>
      </c>
    </row>
    <row r="65" spans="1:5" x14ac:dyDescent="0.25">
      <c r="A65" s="58" t="s">
        <v>281</v>
      </c>
      <c r="B65" s="43">
        <v>88</v>
      </c>
      <c r="C65" s="43">
        <v>103</v>
      </c>
      <c r="D65" s="43">
        <v>1010</v>
      </c>
      <c r="E65" s="43">
        <v>1201</v>
      </c>
    </row>
    <row r="66" spans="1:5" x14ac:dyDescent="0.25">
      <c r="A66" s="58" t="s">
        <v>282</v>
      </c>
      <c r="B66" s="43">
        <v>49</v>
      </c>
      <c r="C66" s="43">
        <v>3</v>
      </c>
      <c r="D66" s="43">
        <v>153</v>
      </c>
      <c r="E66" s="43">
        <v>205</v>
      </c>
    </row>
    <row r="67" spans="1:5" x14ac:dyDescent="0.25">
      <c r="A67" s="58" t="s">
        <v>283</v>
      </c>
      <c r="B67" s="43">
        <v>16</v>
      </c>
      <c r="C67" s="43">
        <v>41</v>
      </c>
      <c r="D67" s="43">
        <v>142</v>
      </c>
      <c r="E67" s="43">
        <v>199</v>
      </c>
    </row>
    <row r="68" spans="1:5" x14ac:dyDescent="0.25">
      <c r="A68" s="58" t="s">
        <v>284</v>
      </c>
      <c r="B68" s="43">
        <v>0</v>
      </c>
      <c r="C68" s="43">
        <v>0</v>
      </c>
      <c r="D68" s="43">
        <v>0</v>
      </c>
      <c r="E68" s="43">
        <v>0</v>
      </c>
    </row>
    <row r="69" spans="1:5" x14ac:dyDescent="0.25">
      <c r="A69" s="58" t="s">
        <v>286</v>
      </c>
      <c r="B69" s="43">
        <v>0</v>
      </c>
      <c r="C69" s="43">
        <v>0</v>
      </c>
      <c r="D69" s="43">
        <v>0</v>
      </c>
      <c r="E69" s="43">
        <v>0</v>
      </c>
    </row>
    <row r="70" spans="1:5" x14ac:dyDescent="0.25">
      <c r="A70" s="59" t="s">
        <v>4</v>
      </c>
      <c r="B70" s="44">
        <f>SUM(B54:B69)</f>
        <v>2086</v>
      </c>
      <c r="C70" s="44">
        <f t="shared" ref="C70:E70" si="1">SUM(C54:C69)</f>
        <v>3749</v>
      </c>
      <c r="D70" s="44">
        <f t="shared" si="1"/>
        <v>23033</v>
      </c>
      <c r="E70" s="44">
        <f t="shared" si="1"/>
        <v>28868</v>
      </c>
    </row>
    <row r="71" spans="1:5" x14ac:dyDescent="0.25">
      <c r="A71" s="45"/>
      <c r="B71" s="45"/>
      <c r="C71" s="45"/>
      <c r="D71" s="45"/>
      <c r="E71" s="46"/>
    </row>
    <row r="72" spans="1:5" ht="15.75" x14ac:dyDescent="0.25">
      <c r="A72" s="53" t="s">
        <v>357</v>
      </c>
      <c r="B72" s="46"/>
      <c r="C72" s="46"/>
      <c r="D72" s="46"/>
      <c r="E72" s="46"/>
    </row>
    <row r="73" spans="1:5" x14ac:dyDescent="0.25">
      <c r="A73" s="60" t="s">
        <v>10</v>
      </c>
      <c r="B73" s="47" t="s">
        <v>228</v>
      </c>
      <c r="C73" s="47" t="s">
        <v>229</v>
      </c>
      <c r="D73" s="47" t="s">
        <v>8</v>
      </c>
      <c r="E73" s="46"/>
    </row>
    <row r="74" spans="1:5" x14ac:dyDescent="0.25">
      <c r="A74" s="58" t="s">
        <v>11</v>
      </c>
      <c r="B74" s="48">
        <v>3485</v>
      </c>
      <c r="C74" s="48">
        <v>3807</v>
      </c>
      <c r="D74" s="48">
        <f>SUM(B74:C74)</f>
        <v>7292</v>
      </c>
      <c r="E74" s="46"/>
    </row>
    <row r="75" spans="1:5" x14ac:dyDescent="0.25">
      <c r="A75" s="92" t="s">
        <v>12</v>
      </c>
      <c r="B75" s="48">
        <v>91</v>
      </c>
      <c r="C75" s="48">
        <v>144</v>
      </c>
      <c r="D75" s="48">
        <f t="shared" ref="D75:D84" si="2">SUM(B75:C75)</f>
        <v>235</v>
      </c>
      <c r="E75" s="46"/>
    </row>
    <row r="76" spans="1:5" x14ac:dyDescent="0.25">
      <c r="A76" s="92" t="s">
        <v>13</v>
      </c>
      <c r="B76" s="48">
        <v>290</v>
      </c>
      <c r="C76" s="48">
        <v>215</v>
      </c>
      <c r="D76" s="48">
        <f t="shared" si="2"/>
        <v>505</v>
      </c>
      <c r="E76" s="46"/>
    </row>
    <row r="77" spans="1:5" x14ac:dyDescent="0.25">
      <c r="A77" s="92" t="s">
        <v>14</v>
      </c>
      <c r="B77" s="48">
        <v>54</v>
      </c>
      <c r="C77" s="48">
        <v>57</v>
      </c>
      <c r="D77" s="48">
        <f t="shared" si="2"/>
        <v>111</v>
      </c>
      <c r="E77" s="46"/>
    </row>
    <row r="78" spans="1:5" x14ac:dyDescent="0.25">
      <c r="A78" s="92" t="s">
        <v>15</v>
      </c>
      <c r="B78" s="48">
        <v>2775</v>
      </c>
      <c r="C78" s="48">
        <v>1507</v>
      </c>
      <c r="D78" s="48">
        <f t="shared" si="2"/>
        <v>4282</v>
      </c>
      <c r="E78" s="46"/>
    </row>
    <row r="79" spans="1:5" x14ac:dyDescent="0.25">
      <c r="A79" s="92" t="s">
        <v>16</v>
      </c>
      <c r="B79" s="48">
        <v>535</v>
      </c>
      <c r="C79" s="48">
        <v>501</v>
      </c>
      <c r="D79" s="48">
        <f t="shared" si="2"/>
        <v>1036</v>
      </c>
      <c r="E79" s="46"/>
    </row>
    <row r="80" spans="1:5" x14ac:dyDescent="0.25">
      <c r="A80" s="92" t="s">
        <v>17</v>
      </c>
      <c r="B80" s="48">
        <v>4430</v>
      </c>
      <c r="C80" s="48">
        <v>1489</v>
      </c>
      <c r="D80" s="48">
        <f t="shared" si="2"/>
        <v>5919</v>
      </c>
      <c r="E80" s="46"/>
    </row>
    <row r="81" spans="1:5" x14ac:dyDescent="0.25">
      <c r="A81" s="92" t="s">
        <v>18</v>
      </c>
      <c r="B81" s="48">
        <v>212</v>
      </c>
      <c r="C81" s="48">
        <v>120</v>
      </c>
      <c r="D81" s="48">
        <f t="shared" si="2"/>
        <v>332</v>
      </c>
      <c r="E81" s="46"/>
    </row>
    <row r="82" spans="1:5" x14ac:dyDescent="0.25">
      <c r="A82" s="92" t="s">
        <v>19</v>
      </c>
      <c r="B82" s="48">
        <v>4786</v>
      </c>
      <c r="C82" s="48">
        <v>2488</v>
      </c>
      <c r="D82" s="48">
        <f t="shared" si="2"/>
        <v>7274</v>
      </c>
      <c r="E82" s="46"/>
    </row>
    <row r="83" spans="1:5" x14ac:dyDescent="0.25">
      <c r="A83" s="92" t="s">
        <v>20</v>
      </c>
      <c r="B83" s="48">
        <v>617</v>
      </c>
      <c r="C83" s="48">
        <v>1265</v>
      </c>
      <c r="D83" s="48">
        <f t="shared" si="2"/>
        <v>1882</v>
      </c>
      <c r="E83" s="46"/>
    </row>
    <row r="84" spans="1:5" x14ac:dyDescent="0.25">
      <c r="A84" s="59" t="s">
        <v>287</v>
      </c>
      <c r="B84" s="49">
        <f>SUM(B74:B83)</f>
        <v>17275</v>
      </c>
      <c r="C84" s="49">
        <f>SUM(C74:C83)</f>
        <v>11593</v>
      </c>
      <c r="D84" s="49">
        <f t="shared" si="2"/>
        <v>28868</v>
      </c>
      <c r="E84" s="46"/>
    </row>
    <row r="85" spans="1:5" x14ac:dyDescent="0.25">
      <c r="A85" s="46"/>
      <c r="B85" s="46"/>
      <c r="C85" s="46"/>
      <c r="D85" s="46"/>
      <c r="E85" s="46"/>
    </row>
    <row r="86" spans="1:5" ht="15.75" x14ac:dyDescent="0.25">
      <c r="A86" s="53" t="s">
        <v>358</v>
      </c>
      <c r="B86" s="46"/>
      <c r="C86" s="46"/>
      <c r="D86" s="46"/>
      <c r="E86" s="46"/>
    </row>
    <row r="87" spans="1:5" x14ac:dyDescent="0.25">
      <c r="A87" s="60" t="s">
        <v>9</v>
      </c>
      <c r="B87" s="47" t="s">
        <v>228</v>
      </c>
      <c r="C87" s="47" t="s">
        <v>229</v>
      </c>
      <c r="D87" s="47" t="s">
        <v>8</v>
      </c>
      <c r="E87" s="46"/>
    </row>
    <row r="88" spans="1:5" x14ac:dyDescent="0.25">
      <c r="A88" s="58" t="s">
        <v>272</v>
      </c>
      <c r="B88">
        <v>1</v>
      </c>
      <c r="C88" s="50">
        <v>0</v>
      </c>
      <c r="D88" s="48">
        <f>SUM(B88:C88)</f>
        <v>1</v>
      </c>
      <c r="E88" s="46"/>
    </row>
    <row r="89" spans="1:5" x14ac:dyDescent="0.25">
      <c r="A89" s="58" t="s">
        <v>273</v>
      </c>
      <c r="B89" s="50">
        <v>0</v>
      </c>
      <c r="C89" s="50">
        <v>0</v>
      </c>
      <c r="D89" s="48">
        <f t="shared" ref="D89:D104" si="3">SUM(B89:C89)</f>
        <v>0</v>
      </c>
      <c r="E89" s="46"/>
    </row>
    <row r="90" spans="1:5" x14ac:dyDescent="0.25">
      <c r="A90" s="58" t="s">
        <v>274</v>
      </c>
      <c r="B90" s="48">
        <v>47</v>
      </c>
      <c r="C90" s="48">
        <v>17</v>
      </c>
      <c r="D90" s="48">
        <f t="shared" si="3"/>
        <v>64</v>
      </c>
      <c r="E90" s="46"/>
    </row>
    <row r="91" spans="1:5" x14ac:dyDescent="0.25">
      <c r="A91" s="58" t="s">
        <v>275</v>
      </c>
      <c r="B91" s="50">
        <v>37</v>
      </c>
      <c r="C91" s="50">
        <v>30</v>
      </c>
      <c r="D91" s="48">
        <f t="shared" si="3"/>
        <v>67</v>
      </c>
      <c r="E91" s="46"/>
    </row>
    <row r="92" spans="1:5" x14ac:dyDescent="0.25">
      <c r="A92" s="58" t="s">
        <v>276</v>
      </c>
      <c r="B92" s="48">
        <v>251</v>
      </c>
      <c r="C92" s="48">
        <v>221</v>
      </c>
      <c r="D92" s="48">
        <f t="shared" si="3"/>
        <v>472</v>
      </c>
      <c r="E92" s="46"/>
    </row>
    <row r="93" spans="1:5" x14ac:dyDescent="0.25">
      <c r="A93" s="58" t="s">
        <v>277</v>
      </c>
      <c r="B93" s="48">
        <v>368</v>
      </c>
      <c r="C93" s="48">
        <v>210</v>
      </c>
      <c r="D93" s="48">
        <f t="shared" si="3"/>
        <v>578</v>
      </c>
      <c r="E93" s="46"/>
    </row>
    <row r="94" spans="1:5" x14ac:dyDescent="0.25">
      <c r="A94" s="97" t="s">
        <v>289</v>
      </c>
      <c r="B94" s="48">
        <v>14007</v>
      </c>
      <c r="C94" s="48">
        <v>9634</v>
      </c>
      <c r="D94" s="48">
        <f t="shared" si="3"/>
        <v>23641</v>
      </c>
      <c r="E94" s="46"/>
    </row>
    <row r="95" spans="1:5" x14ac:dyDescent="0.25">
      <c r="A95" s="58" t="s">
        <v>278</v>
      </c>
      <c r="B95" s="48">
        <v>0</v>
      </c>
      <c r="C95" s="48">
        <v>0</v>
      </c>
      <c r="D95" s="48">
        <v>0</v>
      </c>
      <c r="E95" s="46"/>
    </row>
    <row r="96" spans="1:5" x14ac:dyDescent="0.25">
      <c r="A96" s="58" t="s">
        <v>279</v>
      </c>
      <c r="B96" s="48">
        <v>262</v>
      </c>
      <c r="C96" s="48">
        <v>179</v>
      </c>
      <c r="D96" s="48">
        <f t="shared" si="3"/>
        <v>441</v>
      </c>
      <c r="E96" s="46"/>
    </row>
    <row r="97" spans="1:5" x14ac:dyDescent="0.25">
      <c r="A97" s="58" t="s">
        <v>295</v>
      </c>
      <c r="B97" s="48">
        <v>54</v>
      </c>
      <c r="C97" s="48">
        <v>18</v>
      </c>
      <c r="D97" s="48">
        <f t="shared" si="3"/>
        <v>72</v>
      </c>
      <c r="E97" s="46"/>
    </row>
    <row r="98" spans="1:5" x14ac:dyDescent="0.25">
      <c r="A98" s="58" t="s">
        <v>280</v>
      </c>
      <c r="B98" s="48">
        <v>1293</v>
      </c>
      <c r="C98" s="48">
        <v>634</v>
      </c>
      <c r="D98" s="48">
        <f t="shared" si="3"/>
        <v>1927</v>
      </c>
      <c r="E98" s="46"/>
    </row>
    <row r="99" spans="1:5" x14ac:dyDescent="0.25">
      <c r="A99" s="58" t="s">
        <v>281</v>
      </c>
      <c r="B99" s="48">
        <v>683</v>
      </c>
      <c r="C99" s="48">
        <v>518</v>
      </c>
      <c r="D99" s="48">
        <f t="shared" si="3"/>
        <v>1201</v>
      </c>
      <c r="E99" s="46"/>
    </row>
    <row r="100" spans="1:5" x14ac:dyDescent="0.25">
      <c r="A100" s="58" t="s">
        <v>282</v>
      </c>
      <c r="B100" s="48">
        <v>134</v>
      </c>
      <c r="C100" s="48">
        <v>71</v>
      </c>
      <c r="D100" s="48">
        <f t="shared" si="3"/>
        <v>205</v>
      </c>
      <c r="E100" s="46"/>
    </row>
    <row r="101" spans="1:5" x14ac:dyDescent="0.25">
      <c r="A101" s="58" t="s">
        <v>283</v>
      </c>
      <c r="B101" s="48">
        <v>138</v>
      </c>
      <c r="C101" s="48">
        <v>61</v>
      </c>
      <c r="D101" s="48">
        <f t="shared" si="3"/>
        <v>199</v>
      </c>
      <c r="E101" s="46"/>
    </row>
    <row r="102" spans="1:5" x14ac:dyDescent="0.25">
      <c r="A102" s="58" t="s">
        <v>284</v>
      </c>
      <c r="B102" s="48">
        <v>0</v>
      </c>
      <c r="C102" s="48">
        <v>0</v>
      </c>
      <c r="D102" s="48">
        <f t="shared" si="3"/>
        <v>0</v>
      </c>
      <c r="E102" s="46"/>
    </row>
    <row r="103" spans="1:5" x14ac:dyDescent="0.25">
      <c r="A103" s="58" t="s">
        <v>286</v>
      </c>
      <c r="B103" s="48">
        <v>0</v>
      </c>
      <c r="C103" s="48">
        <v>0</v>
      </c>
      <c r="D103" s="48">
        <f t="shared" si="3"/>
        <v>0</v>
      </c>
      <c r="E103" s="46"/>
    </row>
    <row r="104" spans="1:5" x14ac:dyDescent="0.25">
      <c r="A104" s="81" t="s">
        <v>4</v>
      </c>
      <c r="B104" s="49">
        <f>SUM(B88:B103)</f>
        <v>17275</v>
      </c>
      <c r="C104" s="49">
        <f>SUM(C88:C103)</f>
        <v>11593</v>
      </c>
      <c r="D104" s="49">
        <f t="shared" si="3"/>
        <v>28868</v>
      </c>
      <c r="E104" s="46"/>
    </row>
    <row r="105" spans="1:5" x14ac:dyDescent="0.25">
      <c r="A105" s="46"/>
      <c r="B105" s="46"/>
      <c r="C105" s="46"/>
      <c r="D105" s="46"/>
      <c r="E105" s="46"/>
    </row>
    <row r="106" spans="1:5" x14ac:dyDescent="0.25">
      <c r="A106" s="46"/>
      <c r="B106" s="46"/>
      <c r="C106" s="46"/>
      <c r="D106" s="46"/>
      <c r="E106" s="46"/>
    </row>
    <row r="107" spans="1:5" x14ac:dyDescent="0.25">
      <c r="A107" s="70" t="s">
        <v>264</v>
      </c>
      <c r="B107" s="73"/>
      <c r="C107" s="73"/>
      <c r="D107" s="73"/>
      <c r="E107" s="73"/>
    </row>
    <row r="108" spans="1:5" x14ac:dyDescent="0.25">
      <c r="A108" s="73"/>
      <c r="B108" s="73"/>
      <c r="C108" s="73"/>
      <c r="D108" s="73"/>
      <c r="E108" s="73"/>
    </row>
    <row r="109" spans="1:5" x14ac:dyDescent="0.25">
      <c r="A109" s="74" t="s">
        <v>21</v>
      </c>
      <c r="B109" s="73"/>
      <c r="C109" s="73"/>
      <c r="D109" s="73"/>
      <c r="E109" s="73"/>
    </row>
    <row r="110" spans="1:5" x14ac:dyDescent="0.25">
      <c r="A110" s="73"/>
      <c r="B110" s="73"/>
      <c r="C110" s="73"/>
      <c r="D110" s="73"/>
      <c r="E110" s="73"/>
    </row>
  </sheetData>
  <hyperlinks>
    <hyperlink ref="A109" location="Indice!A5" display="Volver al índice"/>
  </hyperlinks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2"/>
  <sheetViews>
    <sheetView showGridLines="0" zoomScale="90" zoomScaleNormal="90" workbookViewId="0">
      <pane ySplit="2" topLeftCell="A3" activePane="bottomLeft" state="frozen"/>
      <selection pane="bottomLeft" activeCell="N6" sqref="N6"/>
    </sheetView>
  </sheetViews>
  <sheetFormatPr baseColWidth="10" defaultColWidth="10.85546875" defaultRowHeight="15" x14ac:dyDescent="0.25"/>
  <cols>
    <col min="1" max="1" width="40.42578125" style="1" customWidth="1"/>
    <col min="2" max="6" width="8.42578125" style="1" bestFit="1" customWidth="1"/>
    <col min="7" max="7" width="6.85546875" style="1" bestFit="1" customWidth="1"/>
    <col min="8" max="12" width="8" style="1" bestFit="1" customWidth="1"/>
    <col min="13" max="14" width="8" style="1" customWidth="1"/>
    <col min="15" max="18" width="12.7109375" style="1" customWidth="1"/>
    <col min="19" max="16384" width="10.85546875" style="2"/>
  </cols>
  <sheetData>
    <row r="1" spans="1:18" ht="21" x14ac:dyDescent="0.25">
      <c r="A1" s="66" t="s">
        <v>383</v>
      </c>
      <c r="B1" s="66"/>
      <c r="C1" s="66"/>
      <c r="D1" s="66"/>
      <c r="E1" s="66"/>
      <c r="F1" s="66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</row>
    <row r="2" spans="1:18" ht="18.75" x14ac:dyDescent="0.25">
      <c r="A2" s="38"/>
      <c r="B2" s="38"/>
      <c r="C2" s="38"/>
      <c r="D2" s="38"/>
      <c r="E2" s="38"/>
      <c r="F2" s="38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1:18" x14ac:dyDescent="0.25">
      <c r="A3" s="40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1:18" ht="15.75" x14ac:dyDescent="0.25">
      <c r="A4" s="25" t="s">
        <v>103</v>
      </c>
      <c r="B4" s="25"/>
      <c r="C4" s="25"/>
      <c r="D4" s="25"/>
      <c r="E4" s="25"/>
      <c r="F4" s="25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</row>
    <row r="5" spans="1:18" ht="38.25" x14ac:dyDescent="0.25">
      <c r="A5" s="88" t="s">
        <v>0</v>
      </c>
      <c r="B5" s="3">
        <v>2007</v>
      </c>
      <c r="C5" s="3">
        <v>2008</v>
      </c>
      <c r="D5" s="3">
        <v>2009</v>
      </c>
      <c r="E5" s="3">
        <v>2010</v>
      </c>
      <c r="F5" s="3">
        <v>2011</v>
      </c>
      <c r="G5" s="3">
        <v>2012</v>
      </c>
      <c r="H5" s="3">
        <v>2013</v>
      </c>
      <c r="I5" s="3">
        <v>2014</v>
      </c>
      <c r="J5" s="3">
        <v>2015</v>
      </c>
      <c r="K5" s="3">
        <v>2016</v>
      </c>
      <c r="L5" s="3">
        <v>2017</v>
      </c>
      <c r="M5" s="3">
        <v>2018</v>
      </c>
      <c r="N5" s="3">
        <v>2019</v>
      </c>
      <c r="O5" s="13" t="s">
        <v>371</v>
      </c>
      <c r="P5" s="13" t="s">
        <v>372</v>
      </c>
      <c r="Q5" s="13" t="s">
        <v>310</v>
      </c>
      <c r="R5" s="13" t="s">
        <v>311</v>
      </c>
    </row>
    <row r="6" spans="1:18" x14ac:dyDescent="0.25">
      <c r="A6" s="4" t="s">
        <v>5</v>
      </c>
      <c r="B6" s="4"/>
      <c r="C6" s="4"/>
      <c r="D6" s="4">
        <v>10</v>
      </c>
      <c r="E6" s="4">
        <v>11</v>
      </c>
      <c r="F6" s="4">
        <v>13</v>
      </c>
      <c r="G6" s="4">
        <v>8</v>
      </c>
      <c r="H6" s="4">
        <v>10</v>
      </c>
      <c r="I6" s="4"/>
      <c r="J6" s="4"/>
      <c r="K6" s="4">
        <v>9</v>
      </c>
      <c r="L6" s="4">
        <v>10</v>
      </c>
      <c r="M6" s="4">
        <v>5</v>
      </c>
      <c r="N6" s="4">
        <v>3</v>
      </c>
      <c r="O6" s="100">
        <f t="shared" ref="O6:O9" si="0">(N6-E6)/E6</f>
        <v>-0.72727272727272729</v>
      </c>
      <c r="P6" s="82" t="s">
        <v>24</v>
      </c>
      <c r="Q6" s="108">
        <f>(N6-M6)/M6</f>
        <v>-0.4</v>
      </c>
      <c r="R6" s="14">
        <f>N6/$N$9</f>
        <v>1.0392129693778578E-4</v>
      </c>
    </row>
    <row r="7" spans="1:18" x14ac:dyDescent="0.25">
      <c r="A7" s="4" t="s">
        <v>6</v>
      </c>
      <c r="B7" s="4"/>
      <c r="C7" s="4"/>
      <c r="D7" s="4">
        <v>28</v>
      </c>
      <c r="E7" s="4"/>
      <c r="F7" s="4"/>
      <c r="G7" s="4"/>
      <c r="H7" s="4">
        <v>5</v>
      </c>
      <c r="I7" s="4">
        <v>21</v>
      </c>
      <c r="J7" s="4">
        <v>256</v>
      </c>
      <c r="K7" s="4">
        <v>2641</v>
      </c>
      <c r="L7" s="4">
        <v>1164</v>
      </c>
      <c r="M7" s="4">
        <v>880</v>
      </c>
      <c r="N7" s="4">
        <v>1442</v>
      </c>
      <c r="O7" s="82" t="s">
        <v>24</v>
      </c>
      <c r="P7" s="100">
        <f t="shared" ref="P7:P9" si="1">(N7-J7)/J7</f>
        <v>4.6328125</v>
      </c>
      <c r="Q7" s="108">
        <f t="shared" ref="Q7:Q9" si="2">(N7-M7)/M7</f>
        <v>0.63863636363636367</v>
      </c>
      <c r="R7" s="14">
        <f t="shared" ref="R7:R9" si="3">N7/$N$9</f>
        <v>4.995150339476237E-2</v>
      </c>
    </row>
    <row r="8" spans="1:18" x14ac:dyDescent="0.25">
      <c r="A8" s="4" t="s">
        <v>7</v>
      </c>
      <c r="B8" s="4">
        <v>5103</v>
      </c>
      <c r="C8" s="4">
        <v>7656</v>
      </c>
      <c r="D8" s="4">
        <v>8757</v>
      </c>
      <c r="E8" s="4">
        <v>8851</v>
      </c>
      <c r="F8" s="4">
        <v>8755</v>
      </c>
      <c r="G8" s="4">
        <v>9711</v>
      </c>
      <c r="H8" s="4">
        <v>12573</v>
      </c>
      <c r="I8" s="4">
        <v>12893</v>
      </c>
      <c r="J8" s="4">
        <v>13271</v>
      </c>
      <c r="K8" s="4">
        <v>16315</v>
      </c>
      <c r="L8" s="4">
        <v>21459</v>
      </c>
      <c r="M8" s="4">
        <v>24018</v>
      </c>
      <c r="N8" s="4">
        <v>27423</v>
      </c>
      <c r="O8" s="100">
        <f t="shared" si="0"/>
        <v>2.0982939780815726</v>
      </c>
      <c r="P8" s="100">
        <f t="shared" si="1"/>
        <v>1.0663853515183483</v>
      </c>
      <c r="Q8" s="108">
        <f t="shared" si="2"/>
        <v>0.14176867349487884</v>
      </c>
      <c r="R8" s="14">
        <f t="shared" si="3"/>
        <v>0.9499445753082999</v>
      </c>
    </row>
    <row r="9" spans="1:18" x14ac:dyDescent="0.25">
      <c r="A9" s="5" t="s">
        <v>4</v>
      </c>
      <c r="B9" s="5">
        <v>5103</v>
      </c>
      <c r="C9" s="5">
        <v>7656</v>
      </c>
      <c r="D9" s="5">
        <v>8795</v>
      </c>
      <c r="E9" s="5">
        <v>8862</v>
      </c>
      <c r="F9" s="5">
        <v>8768</v>
      </c>
      <c r="G9" s="5">
        <v>9719</v>
      </c>
      <c r="H9" s="5">
        <v>12588</v>
      </c>
      <c r="I9" s="5">
        <v>12914</v>
      </c>
      <c r="J9" s="5">
        <v>13527</v>
      </c>
      <c r="K9" s="5">
        <v>18965</v>
      </c>
      <c r="L9" s="5">
        <v>22633</v>
      </c>
      <c r="M9" s="5">
        <v>24903</v>
      </c>
      <c r="N9" s="5">
        <v>28868</v>
      </c>
      <c r="O9" s="83">
        <f t="shared" si="0"/>
        <v>2.2575039494470772</v>
      </c>
      <c r="P9" s="83">
        <f t="shared" si="1"/>
        <v>1.1341021660382937</v>
      </c>
      <c r="Q9" s="109">
        <f t="shared" si="2"/>
        <v>0.15921776492792034</v>
      </c>
      <c r="R9" s="16">
        <f t="shared" si="3"/>
        <v>1</v>
      </c>
    </row>
    <row r="10" spans="1:18" x14ac:dyDescent="0.25">
      <c r="A10" s="40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</row>
    <row r="11" spans="1:18" ht="15.75" x14ac:dyDescent="0.25">
      <c r="A11" s="25" t="s">
        <v>104</v>
      </c>
      <c r="B11" s="25"/>
      <c r="C11" s="25"/>
      <c r="D11" s="25"/>
      <c r="E11" s="25"/>
      <c r="F11" s="25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</row>
    <row r="12" spans="1:18" ht="38.25" x14ac:dyDescent="0.25">
      <c r="A12" s="88" t="s">
        <v>98</v>
      </c>
      <c r="B12" s="3">
        <v>2007</v>
      </c>
      <c r="C12" s="3">
        <v>2008</v>
      </c>
      <c r="D12" s="3">
        <v>2009</v>
      </c>
      <c r="E12" s="3">
        <v>2010</v>
      </c>
      <c r="F12" s="3">
        <v>2011</v>
      </c>
      <c r="G12" s="3">
        <v>2012</v>
      </c>
      <c r="H12" s="3">
        <v>2013</v>
      </c>
      <c r="I12" s="3">
        <v>2014</v>
      </c>
      <c r="J12" s="3">
        <v>2015</v>
      </c>
      <c r="K12" s="3">
        <v>2016</v>
      </c>
      <c r="L12" s="3">
        <v>2017</v>
      </c>
      <c r="M12" s="3">
        <v>2018</v>
      </c>
      <c r="N12" s="3">
        <v>2019</v>
      </c>
      <c r="O12" s="13" t="s">
        <v>371</v>
      </c>
      <c r="P12" s="13" t="s">
        <v>372</v>
      </c>
      <c r="Q12" s="13" t="s">
        <v>310</v>
      </c>
      <c r="R12" s="13" t="s">
        <v>311</v>
      </c>
    </row>
    <row r="13" spans="1:18" x14ac:dyDescent="0.25">
      <c r="A13" s="4" t="s">
        <v>100</v>
      </c>
      <c r="B13" s="4">
        <v>816</v>
      </c>
      <c r="C13" s="4">
        <v>912</v>
      </c>
      <c r="D13" s="4">
        <v>856</v>
      </c>
      <c r="E13" s="4">
        <v>979</v>
      </c>
      <c r="F13" s="4">
        <v>931</v>
      </c>
      <c r="G13" s="4">
        <v>1068</v>
      </c>
      <c r="H13" s="4">
        <v>1220</v>
      </c>
      <c r="I13" s="4">
        <v>1342</v>
      </c>
      <c r="J13" s="4">
        <v>1507</v>
      </c>
      <c r="K13" s="4">
        <v>1922</v>
      </c>
      <c r="L13" s="4">
        <v>1733</v>
      </c>
      <c r="M13" s="4">
        <v>2212</v>
      </c>
      <c r="N13" s="4">
        <v>2086</v>
      </c>
      <c r="O13" s="100">
        <f t="shared" ref="O13:O16" si="4">(N13-E13)/E13</f>
        <v>1.1307456588355465</v>
      </c>
      <c r="P13" s="100">
        <f t="shared" ref="P13:P16" si="5">(N13-J13)/J13</f>
        <v>0.38420703384207033</v>
      </c>
      <c r="Q13" s="108">
        <f t="shared" ref="Q13:Q16" si="6">(N13-M13)/M13</f>
        <v>-5.6962025316455694E-2</v>
      </c>
      <c r="R13" s="14">
        <f t="shared" ref="R13:R16" si="7">N13/$N$9</f>
        <v>7.2259941804073718E-2</v>
      </c>
    </row>
    <row r="14" spans="1:18" x14ac:dyDescent="0.25">
      <c r="A14" s="4" t="s">
        <v>3</v>
      </c>
      <c r="B14" s="4">
        <v>1793</v>
      </c>
      <c r="C14" s="4">
        <v>2835</v>
      </c>
      <c r="D14" s="4">
        <v>3076</v>
      </c>
      <c r="E14" s="4">
        <v>2673</v>
      </c>
      <c r="F14" s="4">
        <v>3718</v>
      </c>
      <c r="G14" s="4">
        <v>2607</v>
      </c>
      <c r="H14" s="4">
        <v>4130</v>
      </c>
      <c r="I14" s="4">
        <v>3831</v>
      </c>
      <c r="J14" s="4">
        <v>3194</v>
      </c>
      <c r="K14" s="4">
        <v>5335</v>
      </c>
      <c r="L14" s="4">
        <v>4165</v>
      </c>
      <c r="M14" s="4">
        <v>3558</v>
      </c>
      <c r="N14" s="4">
        <v>3749</v>
      </c>
      <c r="O14" s="100">
        <f t="shared" si="4"/>
        <v>0.40254395809951365</v>
      </c>
      <c r="P14" s="100">
        <f t="shared" si="5"/>
        <v>0.17376330619912336</v>
      </c>
      <c r="Q14" s="108">
        <f t="shared" si="6"/>
        <v>5.3681843732433954E-2</v>
      </c>
      <c r="R14" s="14">
        <f t="shared" si="7"/>
        <v>0.12986698073991965</v>
      </c>
    </row>
    <row r="15" spans="1:18" x14ac:dyDescent="0.25">
      <c r="A15" s="4" t="s">
        <v>101</v>
      </c>
      <c r="B15" s="4">
        <v>2494</v>
      </c>
      <c r="C15" s="4">
        <v>3909</v>
      </c>
      <c r="D15" s="4">
        <v>4863</v>
      </c>
      <c r="E15" s="4">
        <v>5210</v>
      </c>
      <c r="F15" s="4">
        <v>4119</v>
      </c>
      <c r="G15" s="4">
        <v>6044</v>
      </c>
      <c r="H15" s="4">
        <v>7238</v>
      </c>
      <c r="I15" s="4">
        <v>7741</v>
      </c>
      <c r="J15" s="4">
        <v>8826</v>
      </c>
      <c r="K15" s="4">
        <v>11708</v>
      </c>
      <c r="L15" s="4">
        <v>16735</v>
      </c>
      <c r="M15" s="4">
        <v>19133</v>
      </c>
      <c r="N15" s="4">
        <v>23033</v>
      </c>
      <c r="O15" s="100">
        <f t="shared" si="4"/>
        <v>3.4209213051823415</v>
      </c>
      <c r="P15" s="100">
        <f t="shared" si="5"/>
        <v>1.609675957398595</v>
      </c>
      <c r="Q15" s="108">
        <f t="shared" si="6"/>
        <v>0.20383630376835835</v>
      </c>
      <c r="R15" s="14">
        <f t="shared" si="7"/>
        <v>0.79787307745600666</v>
      </c>
    </row>
    <row r="16" spans="1:18" x14ac:dyDescent="0.25">
      <c r="A16" s="5" t="s">
        <v>4</v>
      </c>
      <c r="B16" s="5">
        <v>5103</v>
      </c>
      <c r="C16" s="5">
        <v>7656</v>
      </c>
      <c r="D16" s="5">
        <v>8795</v>
      </c>
      <c r="E16" s="5">
        <v>8862</v>
      </c>
      <c r="F16" s="5">
        <v>8768</v>
      </c>
      <c r="G16" s="5">
        <v>9719</v>
      </c>
      <c r="H16" s="5">
        <v>12588</v>
      </c>
      <c r="I16" s="5">
        <v>12914</v>
      </c>
      <c r="J16" s="5">
        <v>13527</v>
      </c>
      <c r="K16" s="5">
        <v>18965</v>
      </c>
      <c r="L16" s="5">
        <v>22633</v>
      </c>
      <c r="M16" s="5">
        <v>24903</v>
      </c>
      <c r="N16" s="5">
        <v>28868</v>
      </c>
      <c r="O16" s="83">
        <f t="shared" si="4"/>
        <v>2.2575039494470772</v>
      </c>
      <c r="P16" s="83">
        <f t="shared" si="5"/>
        <v>1.1341021660382937</v>
      </c>
      <c r="Q16" s="109">
        <f t="shared" si="6"/>
        <v>0.15921776492792034</v>
      </c>
      <c r="R16" s="16">
        <f t="shared" si="7"/>
        <v>1</v>
      </c>
    </row>
    <row r="17" spans="1:18" x14ac:dyDescent="0.25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</row>
    <row r="18" spans="1:18" ht="15.75" x14ac:dyDescent="0.25">
      <c r="A18" s="25" t="s">
        <v>105</v>
      </c>
      <c r="B18" s="25"/>
      <c r="C18" s="25"/>
      <c r="D18" s="25"/>
      <c r="E18" s="25"/>
      <c r="F18" s="25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</row>
    <row r="19" spans="1:18" ht="38.25" x14ac:dyDescent="0.25">
      <c r="A19" s="88" t="s">
        <v>99</v>
      </c>
      <c r="B19" s="3">
        <v>2007</v>
      </c>
      <c r="C19" s="3">
        <v>2008</v>
      </c>
      <c r="D19" s="3">
        <v>2009</v>
      </c>
      <c r="E19" s="3">
        <v>2010</v>
      </c>
      <c r="F19" s="3">
        <v>2011</v>
      </c>
      <c r="G19" s="3">
        <v>2012</v>
      </c>
      <c r="H19" s="3">
        <v>2013</v>
      </c>
      <c r="I19" s="3">
        <v>2014</v>
      </c>
      <c r="J19" s="3">
        <v>2015</v>
      </c>
      <c r="K19" s="3">
        <v>2016</v>
      </c>
      <c r="L19" s="3">
        <v>2017</v>
      </c>
      <c r="M19" s="3">
        <v>2018</v>
      </c>
      <c r="N19" s="3">
        <v>2019</v>
      </c>
      <c r="O19" s="13" t="s">
        <v>371</v>
      </c>
      <c r="P19" s="13" t="s">
        <v>372</v>
      </c>
      <c r="Q19" s="13" t="s">
        <v>310</v>
      </c>
      <c r="R19" s="13" t="s">
        <v>311</v>
      </c>
    </row>
    <row r="20" spans="1:18" x14ac:dyDescent="0.25">
      <c r="A20" s="5" t="s">
        <v>5</v>
      </c>
      <c r="B20" s="5"/>
      <c r="C20" s="5"/>
      <c r="D20" s="5">
        <v>10</v>
      </c>
      <c r="E20" s="5">
        <v>11</v>
      </c>
      <c r="F20" s="5">
        <v>13</v>
      </c>
      <c r="G20" s="17">
        <v>8</v>
      </c>
      <c r="H20" s="17">
        <v>10</v>
      </c>
      <c r="I20" s="17"/>
      <c r="J20" s="17"/>
      <c r="K20" s="17">
        <v>9</v>
      </c>
      <c r="L20" s="17">
        <v>10</v>
      </c>
      <c r="M20" s="17">
        <v>5</v>
      </c>
      <c r="N20" s="17">
        <v>3</v>
      </c>
      <c r="O20" s="100">
        <f t="shared" ref="O20:O29" si="8">(N20-E20)/E20</f>
        <v>-0.72727272727272729</v>
      </c>
      <c r="P20" s="82" t="s">
        <v>24</v>
      </c>
      <c r="Q20" s="108">
        <f t="shared" ref="Q20:Q29" si="9">(N20-M20)/M20</f>
        <v>-0.4</v>
      </c>
      <c r="R20" s="14">
        <f t="shared" ref="R20:R29" si="10">N20/$N$9</f>
        <v>1.0392129693778578E-4</v>
      </c>
    </row>
    <row r="21" spans="1:18" x14ac:dyDescent="0.25">
      <c r="A21" s="85" t="s">
        <v>101</v>
      </c>
      <c r="B21" s="85"/>
      <c r="C21" s="85"/>
      <c r="D21" s="85">
        <v>10</v>
      </c>
      <c r="E21" s="85">
        <v>11</v>
      </c>
      <c r="F21" s="85">
        <v>13</v>
      </c>
      <c r="G21" s="18">
        <v>8</v>
      </c>
      <c r="H21" s="18">
        <v>10</v>
      </c>
      <c r="I21" s="18"/>
      <c r="J21" s="18"/>
      <c r="K21" s="18">
        <v>9</v>
      </c>
      <c r="L21" s="18">
        <v>10</v>
      </c>
      <c r="M21" s="18">
        <v>5</v>
      </c>
      <c r="N21" s="18">
        <v>3</v>
      </c>
      <c r="O21" s="100">
        <f t="shared" si="8"/>
        <v>-0.72727272727272729</v>
      </c>
      <c r="P21" s="82" t="s">
        <v>24</v>
      </c>
      <c r="Q21" s="108">
        <f t="shared" si="9"/>
        <v>-0.4</v>
      </c>
      <c r="R21" s="14">
        <f t="shared" si="10"/>
        <v>1.0392129693778578E-4</v>
      </c>
    </row>
    <row r="22" spans="1:18" x14ac:dyDescent="0.25">
      <c r="A22" s="5" t="s">
        <v>6</v>
      </c>
      <c r="B22" s="5"/>
      <c r="C22" s="5"/>
      <c r="D22" s="5">
        <v>28</v>
      </c>
      <c r="E22" s="5"/>
      <c r="F22" s="5"/>
      <c r="G22" s="17"/>
      <c r="H22" s="17">
        <v>5</v>
      </c>
      <c r="I22" s="17">
        <v>21</v>
      </c>
      <c r="J22" s="17">
        <v>256</v>
      </c>
      <c r="K22" s="17">
        <v>2641</v>
      </c>
      <c r="L22" s="17">
        <v>1164</v>
      </c>
      <c r="M22" s="17">
        <v>880</v>
      </c>
      <c r="N22" s="17">
        <v>1442</v>
      </c>
      <c r="O22" s="82" t="s">
        <v>24</v>
      </c>
      <c r="P22" s="100">
        <f t="shared" ref="P22:P29" si="11">(N22-J22)/J22</f>
        <v>4.6328125</v>
      </c>
      <c r="Q22" s="108">
        <f t="shared" si="9"/>
        <v>0.63863636363636367</v>
      </c>
      <c r="R22" s="14">
        <f t="shared" si="10"/>
        <v>4.995150339476237E-2</v>
      </c>
    </row>
    <row r="23" spans="1:18" x14ac:dyDescent="0.25">
      <c r="A23" s="85" t="s">
        <v>3</v>
      </c>
      <c r="B23" s="85"/>
      <c r="C23" s="85"/>
      <c r="D23" s="85">
        <v>28</v>
      </c>
      <c r="E23" s="85"/>
      <c r="F23" s="85"/>
      <c r="G23" s="18"/>
      <c r="H23" s="18"/>
      <c r="I23" s="18">
        <v>19</v>
      </c>
      <c r="J23" s="18">
        <v>129</v>
      </c>
      <c r="K23" s="18">
        <v>2267</v>
      </c>
      <c r="L23" s="18">
        <v>934</v>
      </c>
      <c r="M23" s="18">
        <v>767</v>
      </c>
      <c r="N23" s="18">
        <v>1070</v>
      </c>
      <c r="O23" s="82" t="s">
        <v>24</v>
      </c>
      <c r="P23" s="100">
        <f t="shared" si="11"/>
        <v>7.2945736434108523</v>
      </c>
      <c r="Q23" s="108">
        <f t="shared" si="9"/>
        <v>0.39504563233376794</v>
      </c>
      <c r="R23" s="14">
        <f t="shared" si="10"/>
        <v>3.7065262574476933E-2</v>
      </c>
    </row>
    <row r="24" spans="1:18" x14ac:dyDescent="0.25">
      <c r="A24" s="85" t="s">
        <v>101</v>
      </c>
      <c r="B24" s="85"/>
      <c r="C24" s="85"/>
      <c r="D24" s="85"/>
      <c r="E24" s="85"/>
      <c r="F24" s="85"/>
      <c r="G24" s="18"/>
      <c r="H24" s="18">
        <v>5</v>
      </c>
      <c r="I24" s="18">
        <v>2</v>
      </c>
      <c r="J24" s="18">
        <v>127</v>
      </c>
      <c r="K24" s="18">
        <v>374</v>
      </c>
      <c r="L24" s="18">
        <v>230</v>
      </c>
      <c r="M24" s="18">
        <v>113</v>
      </c>
      <c r="N24" s="18">
        <v>372</v>
      </c>
      <c r="O24" s="82" t="s">
        <v>24</v>
      </c>
      <c r="P24" s="100">
        <f t="shared" si="11"/>
        <v>1.9291338582677164</v>
      </c>
      <c r="Q24" s="108">
        <f t="shared" si="9"/>
        <v>2.2920353982300883</v>
      </c>
      <c r="R24" s="14">
        <f t="shared" si="10"/>
        <v>1.2886240820285437E-2</v>
      </c>
    </row>
    <row r="25" spans="1:18" x14ac:dyDescent="0.25">
      <c r="A25" s="5" t="s">
        <v>7</v>
      </c>
      <c r="B25" s="5">
        <v>5103</v>
      </c>
      <c r="C25" s="5">
        <v>7656</v>
      </c>
      <c r="D25" s="5">
        <v>8757</v>
      </c>
      <c r="E25" s="5">
        <v>8851</v>
      </c>
      <c r="F25" s="5">
        <v>8755</v>
      </c>
      <c r="G25" s="17">
        <v>9711</v>
      </c>
      <c r="H25" s="17">
        <v>12573</v>
      </c>
      <c r="I25" s="17">
        <v>12893</v>
      </c>
      <c r="J25" s="17">
        <v>13271</v>
      </c>
      <c r="K25" s="17">
        <v>16315</v>
      </c>
      <c r="L25" s="17">
        <v>21459</v>
      </c>
      <c r="M25" s="17">
        <v>24018</v>
      </c>
      <c r="N25" s="17">
        <v>27423</v>
      </c>
      <c r="O25" s="100">
        <f t="shared" si="8"/>
        <v>2.0982939780815726</v>
      </c>
      <c r="P25" s="100">
        <f t="shared" si="11"/>
        <v>1.0663853515183483</v>
      </c>
      <c r="Q25" s="108">
        <f t="shared" si="9"/>
        <v>0.14176867349487884</v>
      </c>
      <c r="R25" s="14">
        <f t="shared" si="10"/>
        <v>0.9499445753082999</v>
      </c>
    </row>
    <row r="26" spans="1:18" x14ac:dyDescent="0.25">
      <c r="A26" s="85" t="s">
        <v>100</v>
      </c>
      <c r="B26" s="85">
        <v>816</v>
      </c>
      <c r="C26" s="85">
        <v>912</v>
      </c>
      <c r="D26" s="85">
        <v>856</v>
      </c>
      <c r="E26" s="85">
        <v>979</v>
      </c>
      <c r="F26" s="85">
        <v>931</v>
      </c>
      <c r="G26" s="18">
        <v>1068</v>
      </c>
      <c r="H26" s="18">
        <v>1220</v>
      </c>
      <c r="I26" s="18">
        <v>1342</v>
      </c>
      <c r="J26" s="18">
        <v>1507</v>
      </c>
      <c r="K26" s="18">
        <v>1922</v>
      </c>
      <c r="L26" s="18">
        <v>1733</v>
      </c>
      <c r="M26" s="18">
        <v>2212</v>
      </c>
      <c r="N26" s="18">
        <v>2086</v>
      </c>
      <c r="O26" s="100">
        <f t="shared" si="8"/>
        <v>1.1307456588355465</v>
      </c>
      <c r="P26" s="100">
        <f t="shared" si="11"/>
        <v>0.38420703384207033</v>
      </c>
      <c r="Q26" s="108">
        <f t="shared" si="9"/>
        <v>-5.6962025316455694E-2</v>
      </c>
      <c r="R26" s="14">
        <f t="shared" si="10"/>
        <v>7.2259941804073718E-2</v>
      </c>
    </row>
    <row r="27" spans="1:18" x14ac:dyDescent="0.25">
      <c r="A27" s="85" t="s">
        <v>3</v>
      </c>
      <c r="B27" s="85">
        <v>1793</v>
      </c>
      <c r="C27" s="85">
        <v>2835</v>
      </c>
      <c r="D27" s="85">
        <v>3048</v>
      </c>
      <c r="E27" s="85">
        <v>2673</v>
      </c>
      <c r="F27" s="85">
        <v>3718</v>
      </c>
      <c r="G27" s="18">
        <v>2607</v>
      </c>
      <c r="H27" s="18">
        <v>4130</v>
      </c>
      <c r="I27" s="18">
        <v>3812</v>
      </c>
      <c r="J27" s="18">
        <v>3065</v>
      </c>
      <c r="K27" s="18">
        <v>3068</v>
      </c>
      <c r="L27" s="18">
        <v>3231</v>
      </c>
      <c r="M27" s="18">
        <v>2791</v>
      </c>
      <c r="N27" s="18">
        <v>2679</v>
      </c>
      <c r="O27" s="100">
        <f t="shared" si="8"/>
        <v>2.2446689113355782E-3</v>
      </c>
      <c r="P27" s="100">
        <f t="shared" si="11"/>
        <v>-0.12593800978792821</v>
      </c>
      <c r="Q27" s="108">
        <f t="shared" si="9"/>
        <v>-4.0128986026513797E-2</v>
      </c>
      <c r="R27" s="14">
        <f t="shared" si="10"/>
        <v>9.2801718165442706E-2</v>
      </c>
    </row>
    <row r="28" spans="1:18" x14ac:dyDescent="0.25">
      <c r="A28" s="85" t="s">
        <v>101</v>
      </c>
      <c r="B28" s="85">
        <v>2494</v>
      </c>
      <c r="C28" s="85">
        <v>3909</v>
      </c>
      <c r="D28" s="85">
        <v>4853</v>
      </c>
      <c r="E28" s="85">
        <v>5199</v>
      </c>
      <c r="F28" s="85">
        <v>4106</v>
      </c>
      <c r="G28" s="18">
        <v>6036</v>
      </c>
      <c r="H28" s="18">
        <v>7223</v>
      </c>
      <c r="I28" s="18">
        <v>7739</v>
      </c>
      <c r="J28" s="18">
        <v>8699</v>
      </c>
      <c r="K28" s="18">
        <v>11325</v>
      </c>
      <c r="L28" s="18">
        <v>16495</v>
      </c>
      <c r="M28" s="18">
        <v>19015</v>
      </c>
      <c r="N28" s="18">
        <v>22658</v>
      </c>
      <c r="O28" s="100">
        <f t="shared" si="8"/>
        <v>3.3581457972687057</v>
      </c>
      <c r="P28" s="100">
        <f t="shared" si="11"/>
        <v>1.6046672031267961</v>
      </c>
      <c r="Q28" s="108">
        <f t="shared" si="9"/>
        <v>0.19158559032342887</v>
      </c>
      <c r="R28" s="14">
        <f t="shared" si="10"/>
        <v>0.7848829153387834</v>
      </c>
    </row>
    <row r="29" spans="1:18" x14ac:dyDescent="0.25">
      <c r="A29" s="5" t="s">
        <v>4</v>
      </c>
      <c r="B29" s="5">
        <v>5103</v>
      </c>
      <c r="C29" s="5">
        <v>7656</v>
      </c>
      <c r="D29" s="5">
        <v>8795</v>
      </c>
      <c r="E29" s="5">
        <v>8862</v>
      </c>
      <c r="F29" s="5">
        <v>8768</v>
      </c>
      <c r="G29" s="17">
        <v>9719</v>
      </c>
      <c r="H29" s="17">
        <v>12588</v>
      </c>
      <c r="I29" s="17">
        <v>12914</v>
      </c>
      <c r="J29" s="17">
        <v>13527</v>
      </c>
      <c r="K29" s="17">
        <v>18965</v>
      </c>
      <c r="L29" s="17">
        <v>22633</v>
      </c>
      <c r="M29" s="17">
        <v>24903</v>
      </c>
      <c r="N29" s="17">
        <v>28868</v>
      </c>
      <c r="O29" s="83">
        <f t="shared" si="8"/>
        <v>2.2575039494470772</v>
      </c>
      <c r="P29" s="83">
        <f t="shared" si="11"/>
        <v>1.1341021660382937</v>
      </c>
      <c r="Q29" s="109">
        <f t="shared" si="9"/>
        <v>0.15921776492792034</v>
      </c>
      <c r="R29" s="16">
        <f t="shared" si="10"/>
        <v>1</v>
      </c>
    </row>
    <row r="30" spans="1:18" x14ac:dyDescent="0.25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</row>
    <row r="31" spans="1:18" ht="15.75" x14ac:dyDescent="0.25">
      <c r="A31" s="41" t="s">
        <v>257</v>
      </c>
      <c r="B31" s="41"/>
      <c r="C31" s="41"/>
      <c r="D31" s="41"/>
      <c r="E31" s="41"/>
      <c r="F31" s="41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</row>
    <row r="32" spans="1:18" ht="38.25" x14ac:dyDescent="0.25">
      <c r="A32" s="88" t="s">
        <v>99</v>
      </c>
      <c r="B32" s="3">
        <v>2007</v>
      </c>
      <c r="C32" s="3">
        <v>2008</v>
      </c>
      <c r="D32" s="3">
        <v>2009</v>
      </c>
      <c r="E32" s="3">
        <v>2010</v>
      </c>
      <c r="F32" s="3">
        <v>2011</v>
      </c>
      <c r="G32" s="3">
        <v>2012</v>
      </c>
      <c r="H32" s="3">
        <v>2013</v>
      </c>
      <c r="I32" s="3">
        <v>2014</v>
      </c>
      <c r="J32" s="3">
        <v>2015</v>
      </c>
      <c r="K32" s="3">
        <v>2016</v>
      </c>
      <c r="L32" s="3">
        <v>2017</v>
      </c>
      <c r="M32" s="3">
        <v>2018</v>
      </c>
      <c r="N32" s="3">
        <v>2019</v>
      </c>
      <c r="O32" s="13" t="s">
        <v>371</v>
      </c>
      <c r="P32" s="13" t="s">
        <v>372</v>
      </c>
      <c r="Q32" s="13" t="s">
        <v>310</v>
      </c>
      <c r="R32" s="13" t="s">
        <v>311</v>
      </c>
    </row>
    <row r="33" spans="1:18" x14ac:dyDescent="0.25">
      <c r="A33" s="5" t="s">
        <v>228</v>
      </c>
      <c r="B33" s="5">
        <v>3190</v>
      </c>
      <c r="C33" s="5">
        <v>5015</v>
      </c>
      <c r="D33" s="5">
        <v>5557</v>
      </c>
      <c r="E33" s="5">
        <v>5303</v>
      </c>
      <c r="F33" s="5">
        <v>5582</v>
      </c>
      <c r="G33" s="23">
        <v>5881</v>
      </c>
      <c r="H33" s="23">
        <v>7816</v>
      </c>
      <c r="I33" s="23">
        <v>8137</v>
      </c>
      <c r="J33" s="23">
        <v>8295</v>
      </c>
      <c r="K33" s="23">
        <v>11666</v>
      </c>
      <c r="L33" s="23">
        <v>14330</v>
      </c>
      <c r="M33" s="23">
        <v>15164</v>
      </c>
      <c r="N33" s="23">
        <v>17275</v>
      </c>
      <c r="O33" s="100">
        <f t="shared" ref="O33:O41" si="12">(N33-E33)/E33</f>
        <v>2.2575900433716765</v>
      </c>
      <c r="P33" s="100">
        <f t="shared" ref="P33:P41" si="13">(N33-J33)/J33</f>
        <v>1.082579867389994</v>
      </c>
      <c r="Q33" s="108">
        <f t="shared" ref="Q33:Q41" si="14">(N33-M33)/M33</f>
        <v>0.13921128989712478</v>
      </c>
      <c r="R33" s="16">
        <f t="shared" ref="R33:R41" si="15">N33/$N$9</f>
        <v>0.59841346820008312</v>
      </c>
    </row>
    <row r="34" spans="1:18" x14ac:dyDescent="0.25">
      <c r="A34" s="85" t="s">
        <v>100</v>
      </c>
      <c r="B34" s="85">
        <v>376</v>
      </c>
      <c r="C34" s="85">
        <v>513</v>
      </c>
      <c r="D34" s="85">
        <v>448</v>
      </c>
      <c r="E34" s="85">
        <v>463</v>
      </c>
      <c r="F34" s="85">
        <v>456</v>
      </c>
      <c r="G34" s="24">
        <v>500</v>
      </c>
      <c r="H34" s="24">
        <v>607</v>
      </c>
      <c r="I34" s="24">
        <v>670</v>
      </c>
      <c r="J34" s="24">
        <v>748</v>
      </c>
      <c r="K34" s="24">
        <v>979</v>
      </c>
      <c r="L34" s="24">
        <v>936</v>
      </c>
      <c r="M34" s="24">
        <v>1096</v>
      </c>
      <c r="N34" s="24">
        <v>1100</v>
      </c>
      <c r="O34" s="100">
        <f t="shared" si="12"/>
        <v>1.3758099352051836</v>
      </c>
      <c r="P34" s="100">
        <f t="shared" si="13"/>
        <v>0.47058823529411764</v>
      </c>
      <c r="Q34" s="108">
        <f t="shared" si="14"/>
        <v>3.6496350364963502E-3</v>
      </c>
      <c r="R34" s="14">
        <f t="shared" si="15"/>
        <v>3.8104475543854786E-2</v>
      </c>
    </row>
    <row r="35" spans="1:18" x14ac:dyDescent="0.25">
      <c r="A35" s="85" t="s">
        <v>3</v>
      </c>
      <c r="B35" s="85">
        <v>1355</v>
      </c>
      <c r="C35" s="85">
        <v>2280</v>
      </c>
      <c r="D35" s="85">
        <v>2344</v>
      </c>
      <c r="E35" s="85">
        <v>1994</v>
      </c>
      <c r="F35" s="85">
        <v>2824</v>
      </c>
      <c r="G35" s="24">
        <v>2011</v>
      </c>
      <c r="H35" s="24">
        <v>3201</v>
      </c>
      <c r="I35" s="24">
        <v>2971</v>
      </c>
      <c r="J35" s="24">
        <v>2313</v>
      </c>
      <c r="K35" s="24">
        <v>4075</v>
      </c>
      <c r="L35" s="24">
        <v>3206</v>
      </c>
      <c r="M35" s="24">
        <v>2727</v>
      </c>
      <c r="N35" s="24">
        <v>2895</v>
      </c>
      <c r="O35" s="100">
        <f t="shared" si="12"/>
        <v>0.4518555667001003</v>
      </c>
      <c r="P35" s="100">
        <f t="shared" si="13"/>
        <v>0.25162127107652399</v>
      </c>
      <c r="Q35" s="108">
        <f t="shared" si="14"/>
        <v>6.1606160616061605E-2</v>
      </c>
      <c r="R35" s="14">
        <f t="shared" si="15"/>
        <v>0.10028405154496328</v>
      </c>
    </row>
    <row r="36" spans="1:18" x14ac:dyDescent="0.25">
      <c r="A36" s="85" t="s">
        <v>101</v>
      </c>
      <c r="B36" s="85">
        <v>1459</v>
      </c>
      <c r="C36" s="85">
        <v>2222</v>
      </c>
      <c r="D36" s="85">
        <v>2765</v>
      </c>
      <c r="E36" s="85">
        <v>2846</v>
      </c>
      <c r="F36" s="85">
        <v>2302</v>
      </c>
      <c r="G36" s="24">
        <v>3370</v>
      </c>
      <c r="H36" s="24">
        <v>4008</v>
      </c>
      <c r="I36" s="24">
        <v>4496</v>
      </c>
      <c r="J36" s="24">
        <v>5234</v>
      </c>
      <c r="K36" s="24">
        <v>6612</v>
      </c>
      <c r="L36" s="24">
        <v>10188</v>
      </c>
      <c r="M36" s="24">
        <v>11341</v>
      </c>
      <c r="N36" s="24">
        <v>13280</v>
      </c>
      <c r="O36" s="100">
        <f t="shared" si="12"/>
        <v>3.6661981728742092</v>
      </c>
      <c r="P36" s="100">
        <f t="shared" si="13"/>
        <v>1.5372564004585403</v>
      </c>
      <c r="Q36" s="108">
        <f t="shared" si="14"/>
        <v>0.17097257737412927</v>
      </c>
      <c r="R36" s="14">
        <f t="shared" si="15"/>
        <v>0.46002494111126507</v>
      </c>
    </row>
    <row r="37" spans="1:18" x14ac:dyDescent="0.25">
      <c r="A37" s="5" t="s">
        <v>229</v>
      </c>
      <c r="B37" s="5">
        <v>1913</v>
      </c>
      <c r="C37" s="5">
        <v>2641</v>
      </c>
      <c r="D37" s="5">
        <v>3238</v>
      </c>
      <c r="E37" s="5">
        <v>3559</v>
      </c>
      <c r="F37" s="5">
        <v>3186</v>
      </c>
      <c r="G37" s="23">
        <v>3838</v>
      </c>
      <c r="H37" s="23">
        <v>4772</v>
      </c>
      <c r="I37" s="23">
        <v>4777</v>
      </c>
      <c r="J37" s="23">
        <v>5232</v>
      </c>
      <c r="K37" s="23">
        <v>7299</v>
      </c>
      <c r="L37" s="23">
        <v>8303</v>
      </c>
      <c r="M37" s="23">
        <v>9739</v>
      </c>
      <c r="N37" s="23">
        <v>11593</v>
      </c>
      <c r="O37" s="100">
        <f t="shared" si="12"/>
        <v>2.2573756673222816</v>
      </c>
      <c r="P37" s="100">
        <f t="shared" si="13"/>
        <v>1.2157874617737003</v>
      </c>
      <c r="Q37" s="108">
        <f t="shared" si="14"/>
        <v>0.19036862100831708</v>
      </c>
      <c r="R37" s="16">
        <f t="shared" si="15"/>
        <v>0.40158653179991688</v>
      </c>
    </row>
    <row r="38" spans="1:18" x14ac:dyDescent="0.25">
      <c r="A38" s="85" t="s">
        <v>100</v>
      </c>
      <c r="B38" s="85">
        <v>440</v>
      </c>
      <c r="C38" s="85">
        <v>399</v>
      </c>
      <c r="D38" s="85">
        <v>408</v>
      </c>
      <c r="E38" s="85">
        <v>516</v>
      </c>
      <c r="F38" s="85">
        <v>475</v>
      </c>
      <c r="G38" s="24">
        <v>568</v>
      </c>
      <c r="H38" s="24">
        <v>613</v>
      </c>
      <c r="I38" s="24">
        <v>672</v>
      </c>
      <c r="J38" s="24">
        <v>759</v>
      </c>
      <c r="K38" s="24">
        <v>943</v>
      </c>
      <c r="L38" s="24">
        <v>797</v>
      </c>
      <c r="M38" s="24">
        <v>1116</v>
      </c>
      <c r="N38" s="24">
        <v>986</v>
      </c>
      <c r="O38" s="100">
        <f t="shared" si="12"/>
        <v>0.91085271317829453</v>
      </c>
      <c r="P38" s="100">
        <f t="shared" si="13"/>
        <v>0.29907773386034253</v>
      </c>
      <c r="Q38" s="108">
        <f t="shared" si="14"/>
        <v>-0.11648745519713262</v>
      </c>
      <c r="R38" s="14">
        <f t="shared" si="15"/>
        <v>3.4155466260218925E-2</v>
      </c>
    </row>
    <row r="39" spans="1:18" x14ac:dyDescent="0.25">
      <c r="A39" s="85" t="s">
        <v>3</v>
      </c>
      <c r="B39" s="85">
        <v>438</v>
      </c>
      <c r="C39" s="85">
        <v>555</v>
      </c>
      <c r="D39" s="85">
        <v>732</v>
      </c>
      <c r="E39" s="85">
        <v>679</v>
      </c>
      <c r="F39" s="85">
        <v>894</v>
      </c>
      <c r="G39" s="24">
        <v>596</v>
      </c>
      <c r="H39" s="24">
        <v>929</v>
      </c>
      <c r="I39" s="24">
        <v>860</v>
      </c>
      <c r="J39" s="24">
        <v>881</v>
      </c>
      <c r="K39" s="24">
        <v>1260</v>
      </c>
      <c r="L39" s="24">
        <v>959</v>
      </c>
      <c r="M39" s="24">
        <v>831</v>
      </c>
      <c r="N39" s="24">
        <v>854</v>
      </c>
      <c r="O39" s="100">
        <f t="shared" si="12"/>
        <v>0.25773195876288657</v>
      </c>
      <c r="P39" s="100">
        <f t="shared" si="13"/>
        <v>-3.0646992054483541E-2</v>
      </c>
      <c r="Q39" s="108">
        <f t="shared" si="14"/>
        <v>2.7677496991576414E-2</v>
      </c>
      <c r="R39" s="14">
        <f t="shared" si="15"/>
        <v>2.9582929194956354E-2</v>
      </c>
    </row>
    <row r="40" spans="1:18" x14ac:dyDescent="0.25">
      <c r="A40" s="85" t="s">
        <v>101</v>
      </c>
      <c r="B40" s="85">
        <v>1035</v>
      </c>
      <c r="C40" s="85">
        <v>1687</v>
      </c>
      <c r="D40" s="85">
        <v>2098</v>
      </c>
      <c r="E40" s="85">
        <v>2364</v>
      </c>
      <c r="F40" s="85">
        <v>1817</v>
      </c>
      <c r="G40" s="24">
        <v>2674</v>
      </c>
      <c r="H40" s="24">
        <v>3230</v>
      </c>
      <c r="I40" s="24">
        <v>3245</v>
      </c>
      <c r="J40" s="24">
        <v>3592</v>
      </c>
      <c r="K40" s="24">
        <v>5096</v>
      </c>
      <c r="L40" s="24">
        <v>6547</v>
      </c>
      <c r="M40" s="24">
        <v>7792</v>
      </c>
      <c r="N40" s="24">
        <v>9753</v>
      </c>
      <c r="O40" s="100">
        <f t="shared" si="12"/>
        <v>3.1256345177664975</v>
      </c>
      <c r="P40" s="100">
        <f t="shared" si="13"/>
        <v>1.7152004454342984</v>
      </c>
      <c r="Q40" s="108">
        <f t="shared" si="14"/>
        <v>0.25166837782340862</v>
      </c>
      <c r="R40" s="14">
        <f t="shared" si="15"/>
        <v>0.33784813634474159</v>
      </c>
    </row>
    <row r="41" spans="1:18" x14ac:dyDescent="0.25">
      <c r="A41" s="5" t="s">
        <v>4</v>
      </c>
      <c r="B41" s="5">
        <v>5103</v>
      </c>
      <c r="C41" s="5">
        <f>SUM(C33,C37)</f>
        <v>7656</v>
      </c>
      <c r="D41" s="5">
        <f t="shared" ref="D41:N41" si="16">SUM(D33,D37)</f>
        <v>8795</v>
      </c>
      <c r="E41" s="5">
        <f t="shared" si="16"/>
        <v>8862</v>
      </c>
      <c r="F41" s="5">
        <f t="shared" si="16"/>
        <v>8768</v>
      </c>
      <c r="G41" s="5">
        <f t="shared" si="16"/>
        <v>9719</v>
      </c>
      <c r="H41" s="5">
        <f t="shared" si="16"/>
        <v>12588</v>
      </c>
      <c r="I41" s="5">
        <f t="shared" si="16"/>
        <v>12914</v>
      </c>
      <c r="J41" s="5">
        <f t="shared" si="16"/>
        <v>13527</v>
      </c>
      <c r="K41" s="5">
        <f t="shared" si="16"/>
        <v>18965</v>
      </c>
      <c r="L41" s="5">
        <f t="shared" si="16"/>
        <v>22633</v>
      </c>
      <c r="M41" s="5">
        <f t="shared" si="16"/>
        <v>24903</v>
      </c>
      <c r="N41" s="5">
        <f t="shared" si="16"/>
        <v>28868</v>
      </c>
      <c r="O41" s="83">
        <f t="shared" si="12"/>
        <v>2.2575039494470772</v>
      </c>
      <c r="P41" s="83">
        <f t="shared" si="13"/>
        <v>1.1341021660382937</v>
      </c>
      <c r="Q41" s="109">
        <f t="shared" si="14"/>
        <v>0.15921776492792034</v>
      </c>
      <c r="R41" s="16">
        <f t="shared" si="15"/>
        <v>1</v>
      </c>
    </row>
    <row r="42" spans="1:18" x14ac:dyDescent="0.25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</row>
    <row r="43" spans="1:18" x14ac:dyDescent="0.25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</row>
    <row r="44" spans="1:18" x14ac:dyDescent="0.25">
      <c r="A44" s="70" t="s">
        <v>264</v>
      </c>
      <c r="B44" s="70"/>
      <c r="C44" s="70"/>
      <c r="D44" s="70"/>
      <c r="E44" s="70"/>
      <c r="F44" s="7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</row>
    <row r="45" spans="1:18" x14ac:dyDescent="0.25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</row>
    <row r="46" spans="1:18" x14ac:dyDescent="0.25">
      <c r="A46" s="71" t="s">
        <v>21</v>
      </c>
      <c r="B46" s="71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</row>
    <row r="47" spans="1:18" x14ac:dyDescent="0.25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</row>
    <row r="48" spans="1:18" x14ac:dyDescent="0.25"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</row>
    <row r="49" spans="3:18" x14ac:dyDescent="0.25"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</row>
    <row r="50" spans="3:18" x14ac:dyDescent="0.25"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</row>
    <row r="51" spans="3:18" x14ac:dyDescent="0.25"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</row>
    <row r="52" spans="3:18" x14ac:dyDescent="0.25"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</row>
  </sheetData>
  <hyperlinks>
    <hyperlink ref="A46" location="Indice!A5" display="Volver al índice"/>
  </hyperlinks>
  <pageMargins left="0.7" right="0.7" top="0.75" bottom="0.75" header="0.3" footer="0.3"/>
  <pageSetup orientation="portrait" verticalDpi="300" r:id="rId1"/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3"/>
  <sheetViews>
    <sheetView showGridLines="0" workbookViewId="0">
      <pane ySplit="2" topLeftCell="A120" activePane="bottomLeft" state="frozen"/>
      <selection pane="bottomLeft" activeCell="A3" sqref="A3"/>
    </sheetView>
  </sheetViews>
  <sheetFormatPr baseColWidth="10" defaultColWidth="10.85546875" defaultRowHeight="15" x14ac:dyDescent="0.25"/>
  <cols>
    <col min="1" max="1" width="55.28515625" style="1" customWidth="1"/>
    <col min="2" max="5" width="16.7109375" style="45" customWidth="1"/>
    <col min="6" max="16384" width="10.85546875" style="2"/>
  </cols>
  <sheetData>
    <row r="1" spans="1:5" ht="21" x14ac:dyDescent="0.25">
      <c r="A1" s="66" t="s">
        <v>359</v>
      </c>
      <c r="B1" s="46"/>
      <c r="C1" s="46"/>
      <c r="D1" s="46"/>
      <c r="E1" s="46"/>
    </row>
    <row r="2" spans="1:5" ht="18.75" x14ac:dyDescent="0.25">
      <c r="A2" s="38"/>
      <c r="B2" s="46"/>
      <c r="C2" s="46"/>
      <c r="D2" s="46"/>
      <c r="E2" s="46"/>
    </row>
    <row r="3" spans="1:5" x14ac:dyDescent="0.25">
      <c r="A3" s="40"/>
      <c r="B3" s="46"/>
      <c r="C3" s="46"/>
      <c r="D3" s="46"/>
      <c r="E3" s="46"/>
    </row>
    <row r="4" spans="1:5" ht="25.5" x14ac:dyDescent="0.25">
      <c r="A4" s="42" t="s">
        <v>106</v>
      </c>
      <c r="B4" s="52" t="s">
        <v>360</v>
      </c>
      <c r="C4" s="52" t="s">
        <v>379</v>
      </c>
      <c r="D4" s="52" t="s">
        <v>361</v>
      </c>
      <c r="E4" s="52" t="s">
        <v>362</v>
      </c>
    </row>
    <row r="5" spans="1:5" x14ac:dyDescent="0.25">
      <c r="A5" s="4" t="s">
        <v>299</v>
      </c>
      <c r="B5" s="43">
        <v>9</v>
      </c>
      <c r="C5" s="43"/>
      <c r="D5" s="43"/>
      <c r="E5" s="44">
        <v>9</v>
      </c>
    </row>
    <row r="6" spans="1:5" x14ac:dyDescent="0.25">
      <c r="A6" s="4" t="s">
        <v>300</v>
      </c>
      <c r="B6" s="43">
        <v>19</v>
      </c>
      <c r="C6" s="43"/>
      <c r="D6" s="43"/>
      <c r="E6" s="44">
        <v>19</v>
      </c>
    </row>
    <row r="7" spans="1:5" x14ac:dyDescent="0.25">
      <c r="A7" s="4" t="s">
        <v>107</v>
      </c>
      <c r="B7" s="43">
        <v>23</v>
      </c>
      <c r="C7" s="43"/>
      <c r="D7" s="43"/>
      <c r="E7" s="44">
        <v>23</v>
      </c>
    </row>
    <row r="8" spans="1:5" x14ac:dyDescent="0.25">
      <c r="A8" s="4" t="s">
        <v>108</v>
      </c>
      <c r="B8" s="43">
        <v>265</v>
      </c>
      <c r="C8" s="43"/>
      <c r="D8" s="43"/>
      <c r="E8" s="44">
        <v>265</v>
      </c>
    </row>
    <row r="9" spans="1:5" x14ac:dyDescent="0.25">
      <c r="A9" s="4" t="s">
        <v>109</v>
      </c>
      <c r="B9" s="43">
        <v>487</v>
      </c>
      <c r="C9" s="43"/>
      <c r="D9" s="43"/>
      <c r="E9" s="44">
        <v>487</v>
      </c>
    </row>
    <row r="10" spans="1:5" x14ac:dyDescent="0.25">
      <c r="A10" s="4" t="s">
        <v>110</v>
      </c>
      <c r="B10" s="43">
        <v>892</v>
      </c>
      <c r="C10" s="43"/>
      <c r="D10" s="43"/>
      <c r="E10" s="44">
        <v>892</v>
      </c>
    </row>
    <row r="11" spans="1:5" x14ac:dyDescent="0.25">
      <c r="A11" s="4" t="s">
        <v>111</v>
      </c>
      <c r="B11" s="43">
        <v>6</v>
      </c>
      <c r="C11" s="43"/>
      <c r="D11" s="43"/>
      <c r="E11" s="44">
        <v>6</v>
      </c>
    </row>
    <row r="12" spans="1:5" x14ac:dyDescent="0.25">
      <c r="A12" s="4" t="s">
        <v>112</v>
      </c>
      <c r="B12" s="43">
        <v>671</v>
      </c>
      <c r="C12" s="43"/>
      <c r="D12" s="43"/>
      <c r="E12" s="44">
        <v>671</v>
      </c>
    </row>
    <row r="13" spans="1:5" x14ac:dyDescent="0.25">
      <c r="A13" s="4" t="s">
        <v>301</v>
      </c>
      <c r="B13" s="43">
        <v>9</v>
      </c>
      <c r="C13" s="43"/>
      <c r="D13" s="43"/>
      <c r="E13" s="44">
        <v>9</v>
      </c>
    </row>
    <row r="14" spans="1:5" x14ac:dyDescent="0.25">
      <c r="A14" s="4" t="s">
        <v>113</v>
      </c>
      <c r="B14" s="43">
        <v>16</v>
      </c>
      <c r="C14" s="43"/>
      <c r="D14" s="43">
        <v>3</v>
      </c>
      <c r="E14" s="44">
        <v>19</v>
      </c>
    </row>
    <row r="15" spans="1:5" x14ac:dyDescent="0.25">
      <c r="A15" s="4" t="s">
        <v>114</v>
      </c>
      <c r="B15" s="43">
        <v>1277</v>
      </c>
      <c r="C15" s="43"/>
      <c r="D15" s="43"/>
      <c r="E15" s="44">
        <v>1277</v>
      </c>
    </row>
    <row r="16" spans="1:5" x14ac:dyDescent="0.25">
      <c r="A16" s="4" t="s">
        <v>317</v>
      </c>
      <c r="B16" s="43">
        <v>17</v>
      </c>
      <c r="C16" s="43"/>
      <c r="D16" s="43"/>
      <c r="E16" s="44">
        <v>17</v>
      </c>
    </row>
    <row r="17" spans="1:5" x14ac:dyDescent="0.25">
      <c r="A17" s="4" t="s">
        <v>115</v>
      </c>
      <c r="B17" s="43">
        <v>868</v>
      </c>
      <c r="C17" s="43"/>
      <c r="D17" s="43"/>
      <c r="E17" s="44">
        <v>868</v>
      </c>
    </row>
    <row r="18" spans="1:5" x14ac:dyDescent="0.25">
      <c r="A18" s="4" t="s">
        <v>116</v>
      </c>
      <c r="B18" s="43">
        <v>336</v>
      </c>
      <c r="C18" s="43"/>
      <c r="D18" s="43"/>
      <c r="E18" s="44">
        <v>336</v>
      </c>
    </row>
    <row r="19" spans="1:5" x14ac:dyDescent="0.25">
      <c r="A19" s="4" t="s">
        <v>117</v>
      </c>
      <c r="B19" s="43">
        <v>5</v>
      </c>
      <c r="C19" s="43"/>
      <c r="D19" s="43"/>
      <c r="E19" s="44">
        <v>5</v>
      </c>
    </row>
    <row r="20" spans="1:5" x14ac:dyDescent="0.25">
      <c r="A20" s="4" t="s">
        <v>118</v>
      </c>
      <c r="B20" s="43">
        <v>69</v>
      </c>
      <c r="C20" s="43"/>
      <c r="D20" s="43"/>
      <c r="E20" s="44">
        <v>69</v>
      </c>
    </row>
    <row r="21" spans="1:5" x14ac:dyDescent="0.25">
      <c r="A21" s="4" t="s">
        <v>302</v>
      </c>
      <c r="B21" s="43">
        <v>83</v>
      </c>
      <c r="C21" s="43"/>
      <c r="D21" s="43"/>
      <c r="E21" s="44">
        <v>83</v>
      </c>
    </row>
    <row r="22" spans="1:5" x14ac:dyDescent="0.25">
      <c r="A22" s="4" t="s">
        <v>303</v>
      </c>
      <c r="B22" s="43">
        <v>50</v>
      </c>
      <c r="C22" s="43"/>
      <c r="D22" s="43"/>
      <c r="E22" s="44">
        <v>50</v>
      </c>
    </row>
    <row r="23" spans="1:5" x14ac:dyDescent="0.25">
      <c r="A23" s="4" t="s">
        <v>119</v>
      </c>
      <c r="B23" s="43">
        <v>12</v>
      </c>
      <c r="C23" s="43"/>
      <c r="D23" s="43"/>
      <c r="E23" s="44">
        <v>12</v>
      </c>
    </row>
    <row r="24" spans="1:5" x14ac:dyDescent="0.25">
      <c r="A24" s="4" t="s">
        <v>120</v>
      </c>
      <c r="B24" s="43">
        <v>13464</v>
      </c>
      <c r="C24" s="43"/>
      <c r="D24" s="43"/>
      <c r="E24" s="44">
        <v>13464</v>
      </c>
    </row>
    <row r="25" spans="1:5" x14ac:dyDescent="0.25">
      <c r="A25" s="4" t="s">
        <v>121</v>
      </c>
      <c r="B25" s="43">
        <v>253</v>
      </c>
      <c r="C25" s="43"/>
      <c r="D25" s="43"/>
      <c r="E25" s="44">
        <v>253</v>
      </c>
    </row>
    <row r="26" spans="1:5" x14ac:dyDescent="0.25">
      <c r="A26" s="4" t="s">
        <v>318</v>
      </c>
      <c r="B26" s="43">
        <v>12</v>
      </c>
      <c r="C26" s="43"/>
      <c r="D26" s="43"/>
      <c r="E26" s="44">
        <v>12</v>
      </c>
    </row>
    <row r="27" spans="1:5" x14ac:dyDescent="0.25">
      <c r="A27" s="4" t="s">
        <v>122</v>
      </c>
      <c r="B27" s="43">
        <v>160</v>
      </c>
      <c r="C27" s="43"/>
      <c r="D27" s="43"/>
      <c r="E27" s="44">
        <v>160</v>
      </c>
    </row>
    <row r="28" spans="1:5" x14ac:dyDescent="0.25">
      <c r="A28" s="4" t="s">
        <v>123</v>
      </c>
      <c r="B28" s="43">
        <v>254</v>
      </c>
      <c r="C28" s="43"/>
      <c r="D28" s="43"/>
      <c r="E28" s="44">
        <v>254</v>
      </c>
    </row>
    <row r="29" spans="1:5" x14ac:dyDescent="0.25">
      <c r="A29" s="4" t="s">
        <v>124</v>
      </c>
      <c r="B29" s="43">
        <v>118</v>
      </c>
      <c r="C29" s="43"/>
      <c r="D29" s="43"/>
      <c r="E29" s="44">
        <v>118</v>
      </c>
    </row>
    <row r="30" spans="1:5" x14ac:dyDescent="0.25">
      <c r="A30" s="4" t="s">
        <v>125</v>
      </c>
      <c r="B30" s="43">
        <v>358</v>
      </c>
      <c r="C30" s="43"/>
      <c r="D30" s="43"/>
      <c r="E30" s="44">
        <v>358</v>
      </c>
    </row>
    <row r="31" spans="1:5" x14ac:dyDescent="0.25">
      <c r="A31" s="4" t="s">
        <v>126</v>
      </c>
      <c r="B31" s="43">
        <v>97</v>
      </c>
      <c r="C31" s="43"/>
      <c r="D31" s="43"/>
      <c r="E31" s="44">
        <v>97</v>
      </c>
    </row>
    <row r="32" spans="1:5" x14ac:dyDescent="0.25">
      <c r="A32" s="4" t="s">
        <v>127</v>
      </c>
      <c r="B32" s="43">
        <v>787</v>
      </c>
      <c r="C32" s="43"/>
      <c r="D32" s="43"/>
      <c r="E32" s="44">
        <v>787</v>
      </c>
    </row>
    <row r="33" spans="1:5" x14ac:dyDescent="0.25">
      <c r="A33" s="4" t="s">
        <v>128</v>
      </c>
      <c r="B33" s="43">
        <v>419</v>
      </c>
      <c r="C33" s="43"/>
      <c r="D33" s="43"/>
      <c r="E33" s="44">
        <v>419</v>
      </c>
    </row>
    <row r="34" spans="1:5" x14ac:dyDescent="0.25">
      <c r="A34" s="4" t="s">
        <v>291</v>
      </c>
      <c r="B34" s="43">
        <v>61</v>
      </c>
      <c r="C34" s="43"/>
      <c r="D34" s="43"/>
      <c r="E34" s="44">
        <v>61</v>
      </c>
    </row>
    <row r="35" spans="1:5" x14ac:dyDescent="0.25">
      <c r="A35" s="4" t="s">
        <v>129</v>
      </c>
      <c r="B35" s="43">
        <v>214</v>
      </c>
      <c r="C35" s="43"/>
      <c r="D35" s="43"/>
      <c r="E35" s="44">
        <v>214</v>
      </c>
    </row>
    <row r="36" spans="1:5" x14ac:dyDescent="0.25">
      <c r="A36" s="4" t="s">
        <v>130</v>
      </c>
      <c r="B36" s="43">
        <v>15</v>
      </c>
      <c r="C36" s="43"/>
      <c r="D36" s="43"/>
      <c r="E36" s="44">
        <v>15</v>
      </c>
    </row>
    <row r="37" spans="1:5" x14ac:dyDescent="0.25">
      <c r="A37" s="4" t="s">
        <v>131</v>
      </c>
      <c r="B37" s="43">
        <v>753</v>
      </c>
      <c r="C37" s="43"/>
      <c r="D37" s="43"/>
      <c r="E37" s="44">
        <v>753</v>
      </c>
    </row>
    <row r="38" spans="1:5" x14ac:dyDescent="0.25">
      <c r="A38" s="4" t="s">
        <v>132</v>
      </c>
      <c r="B38" s="43">
        <v>62</v>
      </c>
      <c r="C38" s="43"/>
      <c r="D38" s="43"/>
      <c r="E38" s="44">
        <v>62</v>
      </c>
    </row>
    <row r="39" spans="1:5" x14ac:dyDescent="0.25">
      <c r="A39" s="4" t="s">
        <v>133</v>
      </c>
      <c r="B39" s="43">
        <v>60</v>
      </c>
      <c r="C39" s="43"/>
      <c r="D39" s="43"/>
      <c r="E39" s="44">
        <v>60</v>
      </c>
    </row>
    <row r="40" spans="1:5" x14ac:dyDescent="0.25">
      <c r="A40" s="4" t="s">
        <v>304</v>
      </c>
      <c r="B40" s="43">
        <v>862</v>
      </c>
      <c r="C40" s="43"/>
      <c r="D40" s="43"/>
      <c r="E40" s="44">
        <v>862</v>
      </c>
    </row>
    <row r="41" spans="1:5" x14ac:dyDescent="0.25">
      <c r="A41" s="4" t="s">
        <v>305</v>
      </c>
      <c r="B41" s="43">
        <v>1323</v>
      </c>
      <c r="C41" s="43"/>
      <c r="D41" s="43"/>
      <c r="E41" s="44">
        <v>1323</v>
      </c>
    </row>
    <row r="42" spans="1:5" x14ac:dyDescent="0.25">
      <c r="A42" s="4" t="s">
        <v>134</v>
      </c>
      <c r="B42" s="43">
        <v>8497</v>
      </c>
      <c r="C42" s="43"/>
      <c r="D42" s="43"/>
      <c r="E42" s="44">
        <v>8497</v>
      </c>
    </row>
    <row r="43" spans="1:5" x14ac:dyDescent="0.25">
      <c r="A43" s="4" t="s">
        <v>135</v>
      </c>
      <c r="B43" s="43">
        <v>326</v>
      </c>
      <c r="C43" s="43"/>
      <c r="D43" s="43"/>
      <c r="E43" s="44">
        <v>326</v>
      </c>
    </row>
    <row r="44" spans="1:5" x14ac:dyDescent="0.25">
      <c r="A44" s="4" t="s">
        <v>306</v>
      </c>
      <c r="B44" s="43">
        <v>88</v>
      </c>
      <c r="C44" s="43"/>
      <c r="D44" s="43"/>
      <c r="E44" s="44">
        <v>88</v>
      </c>
    </row>
    <row r="45" spans="1:5" x14ac:dyDescent="0.25">
      <c r="A45" s="4" t="s">
        <v>136</v>
      </c>
      <c r="B45" s="43">
        <v>107</v>
      </c>
      <c r="C45" s="43"/>
      <c r="D45" s="43"/>
      <c r="E45" s="44">
        <v>107</v>
      </c>
    </row>
    <row r="46" spans="1:5" x14ac:dyDescent="0.25">
      <c r="A46" s="4" t="s">
        <v>137</v>
      </c>
      <c r="B46" s="43">
        <v>21641</v>
      </c>
      <c r="C46" s="43"/>
      <c r="D46" s="43"/>
      <c r="E46" s="44">
        <v>21641</v>
      </c>
    </row>
    <row r="47" spans="1:5" x14ac:dyDescent="0.25">
      <c r="A47" s="4" t="s">
        <v>138</v>
      </c>
      <c r="B47" s="43">
        <v>334</v>
      </c>
      <c r="C47" s="43"/>
      <c r="D47" s="43"/>
      <c r="E47" s="44">
        <v>334</v>
      </c>
    </row>
    <row r="48" spans="1:5" x14ac:dyDescent="0.25">
      <c r="A48" s="4" t="s">
        <v>307</v>
      </c>
      <c r="B48" s="43">
        <v>27</v>
      </c>
      <c r="C48" s="43"/>
      <c r="D48" s="43"/>
      <c r="E48" s="44">
        <v>27</v>
      </c>
    </row>
    <row r="49" spans="1:5" x14ac:dyDescent="0.25">
      <c r="A49" s="4" t="s">
        <v>139</v>
      </c>
      <c r="B49" s="43">
        <v>166</v>
      </c>
      <c r="C49" s="43"/>
      <c r="D49" s="43"/>
      <c r="E49" s="44">
        <v>166</v>
      </c>
    </row>
    <row r="50" spans="1:5" x14ac:dyDescent="0.25">
      <c r="A50" s="4" t="s">
        <v>140</v>
      </c>
      <c r="B50" s="43">
        <v>453</v>
      </c>
      <c r="C50" s="43"/>
      <c r="D50" s="43"/>
      <c r="E50" s="44">
        <v>453</v>
      </c>
    </row>
    <row r="51" spans="1:5" x14ac:dyDescent="0.25">
      <c r="A51" s="4" t="s">
        <v>292</v>
      </c>
      <c r="B51" s="43">
        <v>3</v>
      </c>
      <c r="C51" s="43"/>
      <c r="D51" s="43"/>
      <c r="E51" s="44">
        <v>3</v>
      </c>
    </row>
    <row r="52" spans="1:5" x14ac:dyDescent="0.25">
      <c r="A52" s="4" t="s">
        <v>141</v>
      </c>
      <c r="B52" s="43">
        <v>5114</v>
      </c>
      <c r="C52" s="43"/>
      <c r="D52" s="43"/>
      <c r="E52" s="44">
        <v>5114</v>
      </c>
    </row>
    <row r="53" spans="1:5" x14ac:dyDescent="0.25">
      <c r="A53" s="4" t="s">
        <v>142</v>
      </c>
      <c r="B53" s="43">
        <v>7</v>
      </c>
      <c r="C53" s="43"/>
      <c r="D53" s="43"/>
      <c r="E53" s="44">
        <v>7</v>
      </c>
    </row>
    <row r="54" spans="1:5" x14ac:dyDescent="0.25">
      <c r="A54" s="4" t="s">
        <v>143</v>
      </c>
      <c r="B54" s="43">
        <v>43</v>
      </c>
      <c r="C54" s="43"/>
      <c r="D54" s="43"/>
      <c r="E54" s="44">
        <v>43</v>
      </c>
    </row>
    <row r="55" spans="1:5" x14ac:dyDescent="0.25">
      <c r="A55" s="4" t="s">
        <v>144</v>
      </c>
      <c r="B55" s="43">
        <v>69</v>
      </c>
      <c r="C55" s="43"/>
      <c r="D55" s="43"/>
      <c r="E55" s="44">
        <v>69</v>
      </c>
    </row>
    <row r="56" spans="1:5" x14ac:dyDescent="0.25">
      <c r="A56" s="4" t="s">
        <v>145</v>
      </c>
      <c r="B56" s="43">
        <v>170</v>
      </c>
      <c r="C56" s="43"/>
      <c r="D56" s="43"/>
      <c r="E56" s="44">
        <v>170</v>
      </c>
    </row>
    <row r="57" spans="1:5" x14ac:dyDescent="0.25">
      <c r="A57" s="4" t="s">
        <v>146</v>
      </c>
      <c r="B57" s="43">
        <v>2825</v>
      </c>
      <c r="C57" s="43"/>
      <c r="D57" s="43"/>
      <c r="E57" s="44">
        <v>2825</v>
      </c>
    </row>
    <row r="58" spans="1:5" x14ac:dyDescent="0.25">
      <c r="A58" s="4" t="s">
        <v>147</v>
      </c>
      <c r="B58" s="43">
        <v>623</v>
      </c>
      <c r="C58" s="43"/>
      <c r="D58" s="43"/>
      <c r="E58" s="44">
        <v>623</v>
      </c>
    </row>
    <row r="59" spans="1:5" x14ac:dyDescent="0.25">
      <c r="A59" s="4" t="s">
        <v>148</v>
      </c>
      <c r="B59" s="43">
        <v>2289</v>
      </c>
      <c r="C59" s="43"/>
      <c r="D59" s="43"/>
      <c r="E59" s="44">
        <v>2289</v>
      </c>
    </row>
    <row r="60" spans="1:5" x14ac:dyDescent="0.25">
      <c r="A60" s="4" t="s">
        <v>149</v>
      </c>
      <c r="B60" s="43">
        <v>18325</v>
      </c>
      <c r="C60" s="43"/>
      <c r="D60" s="43"/>
      <c r="E60" s="44">
        <v>18325</v>
      </c>
    </row>
    <row r="61" spans="1:5" x14ac:dyDescent="0.25">
      <c r="A61" s="4" t="s">
        <v>150</v>
      </c>
      <c r="B61" s="43">
        <v>106</v>
      </c>
      <c r="C61" s="43"/>
      <c r="D61" s="43"/>
      <c r="E61" s="44">
        <v>106</v>
      </c>
    </row>
    <row r="62" spans="1:5" x14ac:dyDescent="0.25">
      <c r="A62" s="4" t="s">
        <v>293</v>
      </c>
      <c r="B62" s="43">
        <v>6</v>
      </c>
      <c r="C62" s="43"/>
      <c r="D62" s="43"/>
      <c r="E62" s="44">
        <v>6</v>
      </c>
    </row>
    <row r="63" spans="1:5" x14ac:dyDescent="0.25">
      <c r="A63" s="4" t="s">
        <v>151</v>
      </c>
      <c r="B63" s="43">
        <v>239</v>
      </c>
      <c r="C63" s="43"/>
      <c r="D63" s="43"/>
      <c r="E63" s="44">
        <v>239</v>
      </c>
    </row>
    <row r="64" spans="1:5" x14ac:dyDescent="0.25">
      <c r="A64" s="4" t="s">
        <v>319</v>
      </c>
      <c r="B64" s="43">
        <v>5</v>
      </c>
      <c r="C64" s="43"/>
      <c r="D64" s="43"/>
      <c r="E64" s="44">
        <v>5</v>
      </c>
    </row>
    <row r="65" spans="1:5" x14ac:dyDescent="0.25">
      <c r="A65" s="4" t="s">
        <v>152</v>
      </c>
      <c r="B65" s="43">
        <v>53</v>
      </c>
      <c r="C65" s="43"/>
      <c r="D65" s="43"/>
      <c r="E65" s="44">
        <v>53</v>
      </c>
    </row>
    <row r="66" spans="1:5" x14ac:dyDescent="0.25">
      <c r="A66" s="4" t="s">
        <v>153</v>
      </c>
      <c r="B66" s="43">
        <v>417</v>
      </c>
      <c r="C66" s="43"/>
      <c r="D66" s="43"/>
      <c r="E66" s="44">
        <v>417</v>
      </c>
    </row>
    <row r="67" spans="1:5" x14ac:dyDescent="0.25">
      <c r="A67" s="4" t="s">
        <v>154</v>
      </c>
      <c r="B67" s="43">
        <v>5626</v>
      </c>
      <c r="C67" s="43"/>
      <c r="D67" s="43"/>
      <c r="E67" s="44">
        <v>5626</v>
      </c>
    </row>
    <row r="68" spans="1:5" x14ac:dyDescent="0.25">
      <c r="A68" s="4" t="s">
        <v>155</v>
      </c>
      <c r="B68" s="43">
        <v>843</v>
      </c>
      <c r="C68" s="43"/>
      <c r="D68" s="43"/>
      <c r="E68" s="44">
        <v>843</v>
      </c>
    </row>
    <row r="69" spans="1:5" x14ac:dyDescent="0.25">
      <c r="A69" s="4" t="s">
        <v>156</v>
      </c>
      <c r="B69" s="43">
        <v>130</v>
      </c>
      <c r="C69" s="43"/>
      <c r="D69" s="43"/>
      <c r="E69" s="44">
        <v>130</v>
      </c>
    </row>
    <row r="70" spans="1:5" x14ac:dyDescent="0.25">
      <c r="A70" s="4" t="s">
        <v>157</v>
      </c>
      <c r="B70" s="43">
        <v>188</v>
      </c>
      <c r="C70" s="43"/>
      <c r="D70" s="43">
        <v>32</v>
      </c>
      <c r="E70" s="44">
        <v>220</v>
      </c>
    </row>
    <row r="71" spans="1:5" x14ac:dyDescent="0.25">
      <c r="A71" s="4" t="s">
        <v>158</v>
      </c>
      <c r="B71" s="43">
        <v>1597</v>
      </c>
      <c r="C71" s="43"/>
      <c r="D71" s="43"/>
      <c r="E71" s="44">
        <v>1597</v>
      </c>
    </row>
    <row r="72" spans="1:5" x14ac:dyDescent="0.25">
      <c r="A72" s="4" t="s">
        <v>159</v>
      </c>
      <c r="B72" s="43">
        <v>1158</v>
      </c>
      <c r="C72" s="43"/>
      <c r="D72" s="43"/>
      <c r="E72" s="44">
        <v>1158</v>
      </c>
    </row>
    <row r="73" spans="1:5" x14ac:dyDescent="0.25">
      <c r="A73" s="4" t="s">
        <v>297</v>
      </c>
      <c r="B73" s="43">
        <v>2014</v>
      </c>
      <c r="C73" s="43"/>
      <c r="D73" s="43">
        <v>1410</v>
      </c>
      <c r="E73" s="44">
        <v>3424</v>
      </c>
    </row>
    <row r="74" spans="1:5" x14ac:dyDescent="0.25">
      <c r="A74" s="4" t="s">
        <v>160</v>
      </c>
      <c r="B74" s="43">
        <v>93</v>
      </c>
      <c r="C74" s="43"/>
      <c r="D74" s="43"/>
      <c r="E74" s="44">
        <v>93</v>
      </c>
    </row>
    <row r="75" spans="1:5" x14ac:dyDescent="0.25">
      <c r="A75" s="4" t="s">
        <v>161</v>
      </c>
      <c r="B75" s="43">
        <v>1208</v>
      </c>
      <c r="C75" s="43"/>
      <c r="D75" s="43"/>
      <c r="E75" s="44">
        <v>1208</v>
      </c>
    </row>
    <row r="76" spans="1:5" x14ac:dyDescent="0.25">
      <c r="A76" s="4" t="s">
        <v>162</v>
      </c>
      <c r="B76" s="43">
        <v>2070</v>
      </c>
      <c r="C76" s="43"/>
      <c r="D76" s="43"/>
      <c r="E76" s="44">
        <v>2070</v>
      </c>
    </row>
    <row r="77" spans="1:5" x14ac:dyDescent="0.25">
      <c r="A77" s="4" t="s">
        <v>163</v>
      </c>
      <c r="B77" s="43">
        <v>484</v>
      </c>
      <c r="C77" s="43"/>
      <c r="D77" s="43"/>
      <c r="E77" s="44">
        <v>484</v>
      </c>
    </row>
    <row r="78" spans="1:5" x14ac:dyDescent="0.25">
      <c r="A78" s="4" t="s">
        <v>164</v>
      </c>
      <c r="B78" s="43">
        <v>4991</v>
      </c>
      <c r="C78" s="43"/>
      <c r="D78" s="43"/>
      <c r="E78" s="44">
        <v>4991</v>
      </c>
    </row>
    <row r="79" spans="1:5" x14ac:dyDescent="0.25">
      <c r="A79" s="4" t="s">
        <v>165</v>
      </c>
      <c r="B79" s="43">
        <v>23</v>
      </c>
      <c r="C79" s="43"/>
      <c r="D79" s="43"/>
      <c r="E79" s="44">
        <v>23</v>
      </c>
    </row>
    <row r="80" spans="1:5" x14ac:dyDescent="0.25">
      <c r="A80" s="4" t="s">
        <v>166</v>
      </c>
      <c r="B80" s="43">
        <v>2963</v>
      </c>
      <c r="C80" s="43">
        <v>1265</v>
      </c>
      <c r="D80" s="43">
        <v>6970</v>
      </c>
      <c r="E80" s="44">
        <v>11198</v>
      </c>
    </row>
    <row r="81" spans="1:5" x14ac:dyDescent="0.25">
      <c r="A81" s="4" t="s">
        <v>167</v>
      </c>
      <c r="B81" s="43">
        <v>1630</v>
      </c>
      <c r="C81" s="43">
        <v>436</v>
      </c>
      <c r="D81" s="43">
        <v>116</v>
      </c>
      <c r="E81" s="44">
        <v>2182</v>
      </c>
    </row>
    <row r="82" spans="1:5" x14ac:dyDescent="0.25">
      <c r="A82" s="4" t="s">
        <v>168</v>
      </c>
      <c r="B82" s="43">
        <v>617</v>
      </c>
      <c r="C82" s="43">
        <v>77</v>
      </c>
      <c r="D82" s="43"/>
      <c r="E82" s="44">
        <v>694</v>
      </c>
    </row>
    <row r="83" spans="1:5" x14ac:dyDescent="0.25">
      <c r="A83" s="4" t="s">
        <v>169</v>
      </c>
      <c r="B83" s="43">
        <v>1487</v>
      </c>
      <c r="C83" s="43">
        <v>1440</v>
      </c>
      <c r="D83" s="43">
        <v>3593</v>
      </c>
      <c r="E83" s="44">
        <v>6520</v>
      </c>
    </row>
    <row r="84" spans="1:5" x14ac:dyDescent="0.25">
      <c r="A84" s="4" t="s">
        <v>170</v>
      </c>
      <c r="B84" s="43">
        <v>330</v>
      </c>
      <c r="C84" s="43">
        <v>8</v>
      </c>
      <c r="D84" s="43"/>
      <c r="E84" s="44">
        <v>338</v>
      </c>
    </row>
    <row r="85" spans="1:5" x14ac:dyDescent="0.25">
      <c r="A85" s="4" t="s">
        <v>171</v>
      </c>
      <c r="B85" s="43">
        <v>280</v>
      </c>
      <c r="C85" s="43">
        <v>83</v>
      </c>
      <c r="D85" s="43">
        <v>117</v>
      </c>
      <c r="E85" s="44">
        <v>480</v>
      </c>
    </row>
    <row r="86" spans="1:5" x14ac:dyDescent="0.25">
      <c r="A86" s="4" t="s">
        <v>172</v>
      </c>
      <c r="B86" s="43">
        <v>6812</v>
      </c>
      <c r="C86" s="43">
        <v>1873</v>
      </c>
      <c r="D86" s="43">
        <v>254</v>
      </c>
      <c r="E86" s="44">
        <v>8939</v>
      </c>
    </row>
    <row r="87" spans="1:5" x14ac:dyDescent="0.25">
      <c r="A87" s="4" t="s">
        <v>173</v>
      </c>
      <c r="B87" s="43">
        <v>2658</v>
      </c>
      <c r="C87" s="43">
        <v>255</v>
      </c>
      <c r="D87" s="43"/>
      <c r="E87" s="44">
        <v>2913</v>
      </c>
    </row>
    <row r="88" spans="1:5" x14ac:dyDescent="0.25">
      <c r="A88" s="4" t="s">
        <v>174</v>
      </c>
      <c r="B88" s="43">
        <v>1514</v>
      </c>
      <c r="C88" s="43">
        <v>178</v>
      </c>
      <c r="D88" s="43">
        <v>179</v>
      </c>
      <c r="E88" s="44">
        <v>1871</v>
      </c>
    </row>
    <row r="89" spans="1:5" x14ac:dyDescent="0.25">
      <c r="A89" s="4" t="s">
        <v>175</v>
      </c>
      <c r="B89" s="43">
        <v>2893</v>
      </c>
      <c r="C89" s="43">
        <v>178</v>
      </c>
      <c r="D89" s="43">
        <v>35</v>
      </c>
      <c r="E89" s="44">
        <v>3106</v>
      </c>
    </row>
    <row r="90" spans="1:5" x14ac:dyDescent="0.25">
      <c r="A90" s="4" t="s">
        <v>176</v>
      </c>
      <c r="B90" s="43">
        <v>813</v>
      </c>
      <c r="C90" s="43">
        <v>67</v>
      </c>
      <c r="D90" s="43">
        <v>96</v>
      </c>
      <c r="E90" s="44">
        <v>976</v>
      </c>
    </row>
    <row r="91" spans="1:5" x14ac:dyDescent="0.25">
      <c r="A91" s="4" t="s">
        <v>177</v>
      </c>
      <c r="B91" s="43">
        <v>1219</v>
      </c>
      <c r="C91" s="43">
        <v>13</v>
      </c>
      <c r="D91" s="43">
        <v>6</v>
      </c>
      <c r="E91" s="44">
        <v>1238</v>
      </c>
    </row>
    <row r="92" spans="1:5" x14ac:dyDescent="0.25">
      <c r="A92" s="4" t="s">
        <v>298</v>
      </c>
      <c r="B92" s="43">
        <v>763</v>
      </c>
      <c r="C92" s="43">
        <v>38</v>
      </c>
      <c r="D92" s="43">
        <v>315</v>
      </c>
      <c r="E92" s="44">
        <v>1116</v>
      </c>
    </row>
    <row r="93" spans="1:5" x14ac:dyDescent="0.25">
      <c r="A93" s="4" t="s">
        <v>178</v>
      </c>
      <c r="B93" s="43">
        <v>2105</v>
      </c>
      <c r="C93" s="43">
        <v>164</v>
      </c>
      <c r="D93" s="43">
        <v>354</v>
      </c>
      <c r="E93" s="44">
        <v>2623</v>
      </c>
    </row>
    <row r="94" spans="1:5" x14ac:dyDescent="0.25">
      <c r="A94" s="4" t="s">
        <v>179</v>
      </c>
      <c r="B94" s="43">
        <v>1301</v>
      </c>
      <c r="C94" s="43">
        <v>79</v>
      </c>
      <c r="D94" s="43">
        <v>918</v>
      </c>
      <c r="E94" s="44">
        <v>2298</v>
      </c>
    </row>
    <row r="95" spans="1:5" x14ac:dyDescent="0.25">
      <c r="A95" s="4" t="s">
        <v>180</v>
      </c>
      <c r="B95" s="43">
        <v>822</v>
      </c>
      <c r="C95" s="43">
        <v>112</v>
      </c>
      <c r="D95" s="43">
        <v>215</v>
      </c>
      <c r="E95" s="44">
        <v>1149</v>
      </c>
    </row>
    <row r="96" spans="1:5" x14ac:dyDescent="0.25">
      <c r="A96" s="4" t="s">
        <v>181</v>
      </c>
      <c r="B96" s="43">
        <v>1084</v>
      </c>
      <c r="C96" s="43">
        <v>180</v>
      </c>
      <c r="D96" s="43">
        <v>80</v>
      </c>
      <c r="E96" s="44">
        <v>1344</v>
      </c>
    </row>
    <row r="97" spans="1:5" x14ac:dyDescent="0.25">
      <c r="A97" s="4" t="s">
        <v>182</v>
      </c>
      <c r="B97" s="43">
        <v>1910</v>
      </c>
      <c r="C97" s="43">
        <v>413</v>
      </c>
      <c r="D97" s="43">
        <v>2100</v>
      </c>
      <c r="E97" s="44">
        <v>4423</v>
      </c>
    </row>
    <row r="98" spans="1:5" x14ac:dyDescent="0.25">
      <c r="A98" s="4" t="s">
        <v>183</v>
      </c>
      <c r="B98" s="43">
        <v>74</v>
      </c>
      <c r="C98" s="43"/>
      <c r="D98" s="43"/>
      <c r="E98" s="44">
        <v>74</v>
      </c>
    </row>
    <row r="99" spans="1:5" x14ac:dyDescent="0.25">
      <c r="A99" s="4" t="s">
        <v>184</v>
      </c>
      <c r="B99" s="43">
        <v>1259</v>
      </c>
      <c r="C99" s="43">
        <v>5</v>
      </c>
      <c r="D99" s="43">
        <v>153</v>
      </c>
      <c r="E99" s="44">
        <v>1417</v>
      </c>
    </row>
    <row r="100" spans="1:5" x14ac:dyDescent="0.25">
      <c r="A100" s="4" t="s">
        <v>185</v>
      </c>
      <c r="B100" s="43">
        <v>1000</v>
      </c>
      <c r="C100" s="43">
        <v>81</v>
      </c>
      <c r="D100" s="43">
        <v>2</v>
      </c>
      <c r="E100" s="44">
        <v>1083</v>
      </c>
    </row>
    <row r="101" spans="1:5" x14ac:dyDescent="0.25">
      <c r="A101" s="4" t="s">
        <v>186</v>
      </c>
      <c r="B101" s="43">
        <v>627</v>
      </c>
      <c r="C101" s="43">
        <v>89</v>
      </c>
      <c r="D101" s="43"/>
      <c r="E101" s="44">
        <v>716</v>
      </c>
    </row>
    <row r="102" spans="1:5" x14ac:dyDescent="0.25">
      <c r="A102" s="4" t="s">
        <v>187</v>
      </c>
      <c r="B102" s="43">
        <v>950</v>
      </c>
      <c r="C102" s="43">
        <v>25</v>
      </c>
      <c r="D102" s="43">
        <v>67</v>
      </c>
      <c r="E102" s="44">
        <v>1042</v>
      </c>
    </row>
    <row r="103" spans="1:5" x14ac:dyDescent="0.25">
      <c r="A103" s="4" t="s">
        <v>188</v>
      </c>
      <c r="B103" s="43">
        <v>3880</v>
      </c>
      <c r="C103" s="43">
        <v>1976</v>
      </c>
      <c r="D103" s="43">
        <v>660</v>
      </c>
      <c r="E103" s="44">
        <v>6516</v>
      </c>
    </row>
    <row r="104" spans="1:5" x14ac:dyDescent="0.25">
      <c r="A104" s="4" t="s">
        <v>189</v>
      </c>
      <c r="B104" s="43">
        <v>2743</v>
      </c>
      <c r="C104" s="43">
        <v>587</v>
      </c>
      <c r="D104" s="43">
        <v>749</v>
      </c>
      <c r="E104" s="44">
        <v>4079</v>
      </c>
    </row>
    <row r="105" spans="1:5" x14ac:dyDescent="0.25">
      <c r="A105" s="4" t="s">
        <v>190</v>
      </c>
      <c r="B105" s="43">
        <v>1249</v>
      </c>
      <c r="C105" s="43">
        <v>256</v>
      </c>
      <c r="D105" s="43">
        <v>76</v>
      </c>
      <c r="E105" s="44">
        <v>1581</v>
      </c>
    </row>
    <row r="106" spans="1:5" x14ac:dyDescent="0.25">
      <c r="A106" s="4" t="s">
        <v>191</v>
      </c>
      <c r="B106" s="43">
        <v>813</v>
      </c>
      <c r="C106" s="43">
        <v>38</v>
      </c>
      <c r="D106" s="43">
        <v>110</v>
      </c>
      <c r="E106" s="44">
        <v>961</v>
      </c>
    </row>
    <row r="107" spans="1:5" x14ac:dyDescent="0.25">
      <c r="A107" s="4" t="s">
        <v>192</v>
      </c>
      <c r="B107" s="43">
        <v>3282</v>
      </c>
      <c r="C107" s="43">
        <v>18</v>
      </c>
      <c r="D107" s="43">
        <v>337</v>
      </c>
      <c r="E107" s="44">
        <v>3637</v>
      </c>
    </row>
    <row r="108" spans="1:5" x14ac:dyDescent="0.25">
      <c r="A108" s="4" t="s">
        <v>193</v>
      </c>
      <c r="B108" s="43">
        <v>1072</v>
      </c>
      <c r="C108" s="43">
        <v>315</v>
      </c>
      <c r="D108" s="43">
        <v>1805</v>
      </c>
      <c r="E108" s="44">
        <v>3192</v>
      </c>
    </row>
    <row r="109" spans="1:5" x14ac:dyDescent="0.25">
      <c r="A109" s="4" t="s">
        <v>194</v>
      </c>
      <c r="B109" s="43">
        <v>1630</v>
      </c>
      <c r="C109" s="43">
        <v>40</v>
      </c>
      <c r="D109" s="43"/>
      <c r="E109" s="44">
        <v>1670</v>
      </c>
    </row>
    <row r="110" spans="1:5" x14ac:dyDescent="0.25">
      <c r="A110" s="4" t="s">
        <v>195</v>
      </c>
      <c r="B110" s="43">
        <v>277</v>
      </c>
      <c r="C110" s="43"/>
      <c r="D110" s="43"/>
      <c r="E110" s="44">
        <v>277</v>
      </c>
    </row>
    <row r="111" spans="1:5" x14ac:dyDescent="0.25">
      <c r="A111" s="4" t="s">
        <v>196</v>
      </c>
      <c r="B111" s="43">
        <v>1044</v>
      </c>
      <c r="C111" s="43">
        <v>154</v>
      </c>
      <c r="D111" s="43">
        <v>82</v>
      </c>
      <c r="E111" s="44">
        <v>1280</v>
      </c>
    </row>
    <row r="112" spans="1:5" x14ac:dyDescent="0.25">
      <c r="A112" s="4" t="s">
        <v>197</v>
      </c>
      <c r="B112" s="43">
        <v>2642</v>
      </c>
      <c r="C112" s="43">
        <v>446</v>
      </c>
      <c r="D112" s="43">
        <v>280</v>
      </c>
      <c r="E112" s="44">
        <v>3368</v>
      </c>
    </row>
    <row r="113" spans="1:5" x14ac:dyDescent="0.25">
      <c r="A113" s="4" t="s">
        <v>198</v>
      </c>
      <c r="B113" s="43">
        <v>1284</v>
      </c>
      <c r="C113" s="43">
        <v>240</v>
      </c>
      <c r="D113" s="43">
        <v>239</v>
      </c>
      <c r="E113" s="44">
        <v>1763</v>
      </c>
    </row>
    <row r="114" spans="1:5" x14ac:dyDescent="0.25">
      <c r="A114" s="4" t="s">
        <v>199</v>
      </c>
      <c r="B114" s="43">
        <v>707</v>
      </c>
      <c r="C114" s="43">
        <v>78</v>
      </c>
      <c r="D114" s="43">
        <v>1</v>
      </c>
      <c r="E114" s="44">
        <v>786</v>
      </c>
    </row>
    <row r="115" spans="1:5" x14ac:dyDescent="0.25">
      <c r="A115" s="4" t="s">
        <v>200</v>
      </c>
      <c r="B115" s="43">
        <v>1960</v>
      </c>
      <c r="C115" s="43">
        <v>110</v>
      </c>
      <c r="D115" s="43">
        <v>216</v>
      </c>
      <c r="E115" s="44">
        <v>2286</v>
      </c>
    </row>
    <row r="116" spans="1:5" x14ac:dyDescent="0.25">
      <c r="A116" s="4" t="s">
        <v>201</v>
      </c>
      <c r="B116" s="43">
        <v>1058</v>
      </c>
      <c r="C116" s="43">
        <v>108</v>
      </c>
      <c r="D116" s="43"/>
      <c r="E116" s="44">
        <v>1166</v>
      </c>
    </row>
    <row r="117" spans="1:5" x14ac:dyDescent="0.25">
      <c r="A117" s="4" t="s">
        <v>202</v>
      </c>
      <c r="B117" s="43">
        <v>1742</v>
      </c>
      <c r="C117" s="43">
        <v>136</v>
      </c>
      <c r="D117" s="43">
        <v>145</v>
      </c>
      <c r="E117" s="44">
        <v>2023</v>
      </c>
    </row>
    <row r="118" spans="1:5" x14ac:dyDescent="0.25">
      <c r="A118" s="4" t="s">
        <v>203</v>
      </c>
      <c r="B118" s="43">
        <v>1665</v>
      </c>
      <c r="C118" s="43">
        <v>506</v>
      </c>
      <c r="D118" s="43">
        <v>2943</v>
      </c>
      <c r="E118" s="44">
        <v>5114</v>
      </c>
    </row>
    <row r="119" spans="1:5" x14ac:dyDescent="0.25">
      <c r="A119" s="4" t="s">
        <v>320</v>
      </c>
      <c r="B119" s="43">
        <v>58</v>
      </c>
      <c r="C119" s="43"/>
      <c r="D119" s="43"/>
      <c r="E119" s="44">
        <v>58</v>
      </c>
    </row>
    <row r="120" spans="1:5" x14ac:dyDescent="0.25">
      <c r="A120" s="4" t="s">
        <v>204</v>
      </c>
      <c r="B120" s="43">
        <v>1799</v>
      </c>
      <c r="C120" s="43">
        <v>348</v>
      </c>
      <c r="D120" s="43">
        <v>594</v>
      </c>
      <c r="E120" s="44">
        <v>2741</v>
      </c>
    </row>
    <row r="121" spans="1:5" x14ac:dyDescent="0.25">
      <c r="A121" s="4" t="s">
        <v>205</v>
      </c>
      <c r="B121" s="43">
        <v>867</v>
      </c>
      <c r="C121" s="43">
        <v>348</v>
      </c>
      <c r="D121" s="43">
        <v>436</v>
      </c>
      <c r="E121" s="44">
        <v>1651</v>
      </c>
    </row>
    <row r="122" spans="1:5" x14ac:dyDescent="0.25">
      <c r="A122" s="4" t="s">
        <v>206</v>
      </c>
      <c r="B122" s="43">
        <v>553</v>
      </c>
      <c r="C122" s="43">
        <v>97</v>
      </c>
      <c r="D122" s="43"/>
      <c r="E122" s="44">
        <v>650</v>
      </c>
    </row>
    <row r="123" spans="1:5" x14ac:dyDescent="0.25">
      <c r="A123" s="4" t="s">
        <v>321</v>
      </c>
      <c r="B123" s="43">
        <v>82</v>
      </c>
      <c r="C123" s="43"/>
      <c r="D123" s="43"/>
      <c r="E123" s="44">
        <v>82</v>
      </c>
    </row>
    <row r="124" spans="1:5" x14ac:dyDescent="0.25">
      <c r="A124" s="4" t="s">
        <v>207</v>
      </c>
      <c r="B124" s="43">
        <v>1934</v>
      </c>
      <c r="C124" s="43"/>
      <c r="D124" s="43"/>
      <c r="E124" s="44">
        <v>1934</v>
      </c>
    </row>
    <row r="125" spans="1:5" x14ac:dyDescent="0.25">
      <c r="A125" s="4" t="s">
        <v>208</v>
      </c>
      <c r="B125" s="43">
        <v>2827</v>
      </c>
      <c r="C125" s="43">
        <v>1227</v>
      </c>
      <c r="D125" s="43">
        <v>877</v>
      </c>
      <c r="E125" s="44">
        <v>4931</v>
      </c>
    </row>
    <row r="126" spans="1:5" x14ac:dyDescent="0.25">
      <c r="A126" s="4" t="s">
        <v>209</v>
      </c>
      <c r="B126" s="43">
        <v>402</v>
      </c>
      <c r="C126" s="43">
        <v>47</v>
      </c>
      <c r="D126" s="43"/>
      <c r="E126" s="44">
        <v>449</v>
      </c>
    </row>
    <row r="127" spans="1:5" x14ac:dyDescent="0.25">
      <c r="A127" s="4" t="s">
        <v>210</v>
      </c>
      <c r="B127" s="43">
        <v>133</v>
      </c>
      <c r="C127" s="43">
        <v>669</v>
      </c>
      <c r="D127" s="43">
        <v>795</v>
      </c>
      <c r="E127" s="44">
        <v>1597</v>
      </c>
    </row>
    <row r="128" spans="1:5" x14ac:dyDescent="0.25">
      <c r="A128" s="4" t="s">
        <v>211</v>
      </c>
      <c r="B128" s="43">
        <v>683</v>
      </c>
      <c r="C128" s="43">
        <v>21</v>
      </c>
      <c r="D128" s="43"/>
      <c r="E128" s="44">
        <v>704</v>
      </c>
    </row>
    <row r="129" spans="1:5" x14ac:dyDescent="0.25">
      <c r="A129" s="4" t="s">
        <v>212</v>
      </c>
      <c r="B129" s="43">
        <v>3926</v>
      </c>
      <c r="C129" s="43">
        <v>806</v>
      </c>
      <c r="D129" s="43">
        <v>1277</v>
      </c>
      <c r="E129" s="44">
        <v>6009</v>
      </c>
    </row>
    <row r="130" spans="1:5" x14ac:dyDescent="0.25">
      <c r="A130" s="4" t="s">
        <v>213</v>
      </c>
      <c r="B130" s="43">
        <v>3719</v>
      </c>
      <c r="C130" s="43">
        <v>118</v>
      </c>
      <c r="D130" s="43"/>
      <c r="E130" s="44">
        <v>3837</v>
      </c>
    </row>
    <row r="131" spans="1:5" x14ac:dyDescent="0.25">
      <c r="A131" s="4" t="s">
        <v>214</v>
      </c>
      <c r="B131" s="43">
        <v>2409</v>
      </c>
      <c r="C131" s="43">
        <v>29</v>
      </c>
      <c r="D131" s="43"/>
      <c r="E131" s="44">
        <v>2438</v>
      </c>
    </row>
    <row r="132" spans="1:5" x14ac:dyDescent="0.25">
      <c r="A132" s="4" t="s">
        <v>215</v>
      </c>
      <c r="B132" s="43">
        <v>2281</v>
      </c>
      <c r="C132" s="43">
        <v>299</v>
      </c>
      <c r="D132" s="43">
        <v>100</v>
      </c>
      <c r="E132" s="44">
        <v>2680</v>
      </c>
    </row>
    <row r="133" spans="1:5" x14ac:dyDescent="0.25">
      <c r="A133" s="4" t="s">
        <v>216</v>
      </c>
      <c r="B133" s="43">
        <v>6428</v>
      </c>
      <c r="C133" s="43">
        <v>78</v>
      </c>
      <c r="D133" s="43">
        <v>14</v>
      </c>
      <c r="E133" s="44">
        <v>6520</v>
      </c>
    </row>
    <row r="134" spans="1:5" x14ac:dyDescent="0.25">
      <c r="A134" s="4" t="s">
        <v>217</v>
      </c>
      <c r="B134" s="43">
        <v>884</v>
      </c>
      <c r="C134" s="43">
        <v>16</v>
      </c>
      <c r="D134" s="43">
        <v>117</v>
      </c>
      <c r="E134" s="44">
        <v>1017</v>
      </c>
    </row>
    <row r="135" spans="1:5" x14ac:dyDescent="0.25">
      <c r="A135" s="5" t="s">
        <v>4</v>
      </c>
      <c r="B135" s="44">
        <v>197888</v>
      </c>
      <c r="C135" s="44">
        <v>16170</v>
      </c>
      <c r="D135" s="44">
        <v>28868</v>
      </c>
      <c r="E135" s="44">
        <v>242926</v>
      </c>
    </row>
    <row r="136" spans="1:5" x14ac:dyDescent="0.25">
      <c r="A136" s="40"/>
      <c r="B136" s="46"/>
      <c r="C136" s="46"/>
      <c r="D136" s="46"/>
      <c r="E136" s="46"/>
    </row>
    <row r="137" spans="1:5" x14ac:dyDescent="0.25">
      <c r="A137" s="40"/>
      <c r="B137" s="46"/>
      <c r="C137" s="46"/>
      <c r="D137" s="46"/>
      <c r="E137" s="46"/>
    </row>
    <row r="138" spans="1:5" x14ac:dyDescent="0.25">
      <c r="A138" s="40"/>
      <c r="B138" s="46"/>
      <c r="C138" s="46"/>
      <c r="D138" s="46"/>
      <c r="E138" s="46"/>
    </row>
    <row r="139" spans="1:5" x14ac:dyDescent="0.25">
      <c r="A139" s="40"/>
      <c r="B139" s="46"/>
      <c r="C139" s="46"/>
      <c r="D139" s="46"/>
      <c r="E139" s="46"/>
    </row>
    <row r="140" spans="1:5" x14ac:dyDescent="0.25">
      <c r="A140" s="70" t="s">
        <v>264</v>
      </c>
      <c r="B140" s="46"/>
      <c r="C140" s="46"/>
      <c r="D140" s="46"/>
      <c r="E140" s="46"/>
    </row>
    <row r="141" spans="1:5" x14ac:dyDescent="0.25">
      <c r="A141" s="40"/>
      <c r="B141" s="46"/>
      <c r="C141" s="46"/>
      <c r="D141" s="46"/>
      <c r="E141" s="46"/>
    </row>
    <row r="142" spans="1:5" x14ac:dyDescent="0.25">
      <c r="A142" s="71" t="s">
        <v>21</v>
      </c>
      <c r="B142" s="46"/>
      <c r="C142" s="46"/>
      <c r="D142" s="46"/>
      <c r="E142" s="46"/>
    </row>
    <row r="143" spans="1:5" x14ac:dyDescent="0.25">
      <c r="A143" s="40"/>
      <c r="B143" s="46"/>
      <c r="C143" s="46"/>
      <c r="D143" s="46"/>
      <c r="E143" s="46"/>
    </row>
  </sheetData>
  <hyperlinks>
    <hyperlink ref="A142" location="Indice!A5" display="Volver al índice"/>
  </hyperlinks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Indice</vt:lpstr>
      <vt:lpstr>Titulación Total 2019</vt:lpstr>
      <vt:lpstr>Evolución Titulación Total</vt:lpstr>
      <vt:lpstr>Titulación Pregrado 2019</vt:lpstr>
      <vt:lpstr>Evolución Titulación Pregrado</vt:lpstr>
      <vt:lpstr>Titulación Posgrado 2019</vt:lpstr>
      <vt:lpstr>Evolución Titulación Posgrado</vt:lpstr>
      <vt:lpstr>Titulacion Postitulo 2019</vt:lpstr>
      <vt:lpstr>Evolucion Titulacion Postitulo</vt:lpstr>
      <vt:lpstr>Listado de Instituciones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Salamanca Velazquez</dc:creator>
  <cp:lastModifiedBy>Usuario de Windows</cp:lastModifiedBy>
  <dcterms:created xsi:type="dcterms:W3CDTF">2015-09-10T13:36:10Z</dcterms:created>
  <dcterms:modified xsi:type="dcterms:W3CDTF">2020-08-03T20:10:03Z</dcterms:modified>
</cp:coreProperties>
</file>