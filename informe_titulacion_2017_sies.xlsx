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729"/>
  <workbookPr autoCompressPictures="0"/>
  <bookViews>
    <workbookView xWindow="14320" yWindow="1220" windowWidth="28880" windowHeight="14960" tabRatio="892"/>
  </bookViews>
  <sheets>
    <sheet name="Indice" sheetId="11" r:id="rId1"/>
    <sheet name="Titulación Total 2017" sheetId="2" r:id="rId2"/>
    <sheet name="Evolución Titulación Total" sheetId="3" r:id="rId3"/>
    <sheet name="Titulación Pregrado 2017" sheetId="4" r:id="rId4"/>
    <sheet name="Evolución Titulación Pregrado" sheetId="5" r:id="rId5"/>
    <sheet name="Titulación Posgrado 2017" sheetId="6" r:id="rId6"/>
    <sheet name="Evolución Titulación Posgrado" sheetId="7" r:id="rId7"/>
    <sheet name="Titulacion Postitulo 2017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Pregrado'!$A$98:$M$118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4" i="8" l="1"/>
  <c r="D75" i="8"/>
  <c r="D76" i="8"/>
  <c r="D77" i="8"/>
  <c r="D78" i="8"/>
  <c r="D79" i="8"/>
  <c r="D80" i="8"/>
  <c r="D81" i="8"/>
  <c r="D82" i="8"/>
  <c r="D83" i="8"/>
  <c r="D73" i="8"/>
  <c r="C102" i="8"/>
  <c r="B102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87" i="8"/>
  <c r="C69" i="8"/>
  <c r="D69" i="8"/>
  <c r="E69" i="8"/>
  <c r="B69" i="8"/>
  <c r="C15" i="8"/>
  <c r="D15" i="8"/>
  <c r="E15" i="8"/>
  <c r="B15" i="8"/>
  <c r="E19" i="8"/>
  <c r="E20" i="8"/>
  <c r="E21" i="8"/>
  <c r="E22" i="8"/>
  <c r="E23" i="8"/>
  <c r="E24" i="8"/>
  <c r="E25" i="8"/>
  <c r="D26" i="8"/>
  <c r="C26" i="8"/>
  <c r="B26" i="8"/>
  <c r="C25" i="6"/>
  <c r="D25" i="6"/>
  <c r="B25" i="6"/>
  <c r="B15" i="6"/>
  <c r="C15" i="6"/>
  <c r="D15" i="6"/>
  <c r="C68" i="6"/>
  <c r="D68" i="6"/>
  <c r="B68" i="6"/>
  <c r="D73" i="6"/>
  <c r="D74" i="6"/>
  <c r="D75" i="6"/>
  <c r="D76" i="6"/>
  <c r="D77" i="6"/>
  <c r="D78" i="6"/>
  <c r="D79" i="6"/>
  <c r="D80" i="6"/>
  <c r="D81" i="6"/>
  <c r="D82" i="6"/>
  <c r="D72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86" i="6"/>
  <c r="C101" i="6"/>
  <c r="B101" i="6"/>
  <c r="D103" i="4"/>
  <c r="D102" i="4"/>
  <c r="D101" i="4"/>
  <c r="D100" i="4"/>
  <c r="D99" i="4"/>
  <c r="D98" i="4"/>
  <c r="D94" i="4"/>
  <c r="D95" i="4"/>
  <c r="D96" i="4"/>
  <c r="D97" i="4"/>
  <c r="D91" i="4"/>
  <c r="D92" i="4"/>
  <c r="D93" i="4"/>
  <c r="D89" i="4"/>
  <c r="D90" i="4"/>
  <c r="D88" i="4"/>
  <c r="D53" i="4"/>
  <c r="D54" i="4"/>
  <c r="D55" i="4"/>
  <c r="D56" i="4"/>
  <c r="D47" i="4"/>
  <c r="D48" i="4"/>
  <c r="D49" i="4"/>
  <c r="D50" i="4"/>
  <c r="D51" i="4"/>
  <c r="D52" i="4"/>
  <c r="D46" i="4"/>
  <c r="C19" i="4"/>
  <c r="D19" i="4"/>
  <c r="B19" i="4"/>
  <c r="E19" i="4"/>
  <c r="E13" i="4"/>
  <c r="E14" i="4"/>
  <c r="E15" i="4"/>
  <c r="E16" i="4"/>
  <c r="E17" i="4"/>
  <c r="E18" i="4"/>
  <c r="E12" i="4"/>
  <c r="C8" i="4"/>
  <c r="D8" i="4"/>
  <c r="E8" i="4"/>
  <c r="B8" i="4"/>
  <c r="N41" i="9"/>
  <c r="M41" i="9"/>
  <c r="L41" i="9"/>
  <c r="N29" i="9"/>
  <c r="M29" i="9"/>
  <c r="L29" i="9"/>
  <c r="N28" i="9"/>
  <c r="M28" i="9"/>
  <c r="L28" i="9"/>
  <c r="N27" i="9"/>
  <c r="M27" i="9"/>
  <c r="L27" i="9"/>
  <c r="N26" i="9"/>
  <c r="M26" i="9"/>
  <c r="L26" i="9"/>
  <c r="N25" i="9"/>
  <c r="M25" i="9"/>
  <c r="L25" i="9"/>
  <c r="N24" i="9"/>
  <c r="M24" i="9"/>
  <c r="N23" i="9"/>
  <c r="M23" i="9"/>
  <c r="N22" i="9"/>
  <c r="M22" i="9"/>
  <c r="N21" i="9"/>
  <c r="M21" i="9"/>
  <c r="N20" i="9"/>
  <c r="M20" i="9"/>
  <c r="N16" i="9"/>
  <c r="M16" i="9"/>
  <c r="L16" i="9"/>
  <c r="N15" i="9"/>
  <c r="M15" i="9"/>
  <c r="L15" i="9"/>
  <c r="N14" i="9"/>
  <c r="M14" i="9"/>
  <c r="L14" i="9"/>
  <c r="N13" i="9"/>
  <c r="M13" i="9"/>
  <c r="L13" i="9"/>
  <c r="L9" i="9"/>
  <c r="M9" i="9"/>
  <c r="N9" i="9"/>
  <c r="M7" i="9"/>
  <c r="N7" i="9"/>
  <c r="L8" i="9"/>
  <c r="M8" i="9"/>
  <c r="N8" i="9"/>
  <c r="N6" i="9"/>
  <c r="M6" i="9"/>
  <c r="N37" i="7"/>
  <c r="M37" i="7"/>
  <c r="L37" i="7"/>
  <c r="N36" i="7"/>
  <c r="M36" i="7"/>
  <c r="L36" i="7"/>
  <c r="N35" i="7"/>
  <c r="M35" i="7"/>
  <c r="L35" i="7"/>
  <c r="N34" i="7"/>
  <c r="M34" i="7"/>
  <c r="L34" i="7"/>
  <c r="N33" i="7"/>
  <c r="M33" i="7"/>
  <c r="L33" i="7"/>
  <c r="N32" i="7"/>
  <c r="M32" i="7"/>
  <c r="L32" i="7"/>
  <c r="C38" i="7"/>
  <c r="D38" i="7"/>
  <c r="E38" i="7"/>
  <c r="F38" i="7"/>
  <c r="G38" i="7"/>
  <c r="H38" i="7"/>
  <c r="I38" i="7"/>
  <c r="J38" i="7"/>
  <c r="K38" i="7"/>
  <c r="N38" i="7"/>
  <c r="B38" i="7"/>
  <c r="L38" i="7"/>
  <c r="N28" i="7"/>
  <c r="M28" i="7"/>
  <c r="L28" i="7"/>
  <c r="N27" i="7"/>
  <c r="M27" i="7"/>
  <c r="L27" i="7"/>
  <c r="N26" i="7"/>
  <c r="M26" i="7"/>
  <c r="L26" i="7"/>
  <c r="N25" i="7"/>
  <c r="M25" i="7"/>
  <c r="L25" i="7"/>
  <c r="N24" i="7"/>
  <c r="M24" i="7"/>
  <c r="L24" i="7"/>
  <c r="N23" i="7"/>
  <c r="M23" i="7"/>
  <c r="L23" i="7"/>
  <c r="N22" i="7"/>
  <c r="M22" i="7"/>
  <c r="L22" i="7"/>
  <c r="N21" i="7"/>
  <c r="M21" i="7"/>
  <c r="L21" i="7"/>
  <c r="N20" i="7"/>
  <c r="M20" i="7"/>
  <c r="L20" i="7"/>
  <c r="N19" i="7"/>
  <c r="M19" i="7"/>
  <c r="L19" i="7"/>
  <c r="N15" i="7"/>
  <c r="M15" i="7"/>
  <c r="L15" i="7"/>
  <c r="N14" i="7"/>
  <c r="M14" i="7"/>
  <c r="L14" i="7"/>
  <c r="N13" i="7"/>
  <c r="M13" i="7"/>
  <c r="L13" i="7"/>
  <c r="L7" i="7"/>
  <c r="M7" i="7"/>
  <c r="N7" i="7"/>
  <c r="L8" i="7"/>
  <c r="M8" i="7"/>
  <c r="N8" i="7"/>
  <c r="L9" i="7"/>
  <c r="M9" i="7"/>
  <c r="N9" i="7"/>
  <c r="L6" i="7"/>
  <c r="N6" i="7"/>
  <c r="M6" i="7"/>
  <c r="K182" i="5"/>
  <c r="N181" i="5"/>
  <c r="M187" i="5"/>
  <c r="L187" i="5"/>
  <c r="M186" i="5"/>
  <c r="L186" i="5"/>
  <c r="M181" i="5"/>
  <c r="L181" i="5"/>
  <c r="M180" i="5"/>
  <c r="L180" i="5"/>
  <c r="K188" i="5"/>
  <c r="N187" i="5"/>
  <c r="J188" i="5"/>
  <c r="I188" i="5"/>
  <c r="H188" i="5"/>
  <c r="G188" i="5"/>
  <c r="F188" i="5"/>
  <c r="E188" i="5"/>
  <c r="D188" i="5"/>
  <c r="C188" i="5"/>
  <c r="B188" i="5"/>
  <c r="L188" i="5"/>
  <c r="B182" i="5"/>
  <c r="L182" i="5"/>
  <c r="J182" i="5"/>
  <c r="I182" i="5"/>
  <c r="H182" i="5"/>
  <c r="G182" i="5"/>
  <c r="F182" i="5"/>
  <c r="E182" i="5"/>
  <c r="D182" i="5"/>
  <c r="C182" i="5"/>
  <c r="M175" i="5"/>
  <c r="L175" i="5"/>
  <c r="M174" i="5"/>
  <c r="L174" i="5"/>
  <c r="K176" i="5"/>
  <c r="J176" i="5"/>
  <c r="M176" i="5"/>
  <c r="I176" i="5"/>
  <c r="H176" i="5"/>
  <c r="G176" i="5"/>
  <c r="F176" i="5"/>
  <c r="E176" i="5"/>
  <c r="D176" i="5"/>
  <c r="C176" i="5"/>
  <c r="B176" i="5"/>
  <c r="N169" i="5"/>
  <c r="M169" i="5"/>
  <c r="L169" i="5"/>
  <c r="N168" i="5"/>
  <c r="M168" i="5"/>
  <c r="L168" i="5"/>
  <c r="C170" i="5"/>
  <c r="D170" i="5"/>
  <c r="E170" i="5"/>
  <c r="F170" i="5"/>
  <c r="G170" i="5"/>
  <c r="H170" i="5"/>
  <c r="I170" i="5"/>
  <c r="J170" i="5"/>
  <c r="K170" i="5"/>
  <c r="N170" i="5"/>
  <c r="B170" i="5"/>
  <c r="L170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K95" i="5"/>
  <c r="N95" i="5"/>
  <c r="N94" i="5"/>
  <c r="M94" i="5"/>
  <c r="L94" i="5"/>
  <c r="N93" i="5"/>
  <c r="M93" i="5"/>
  <c r="L93" i="5"/>
  <c r="N92" i="5"/>
  <c r="M92" i="5"/>
  <c r="L92" i="5"/>
  <c r="N91" i="5"/>
  <c r="M91" i="5"/>
  <c r="L91" i="5"/>
  <c r="N90" i="5"/>
  <c r="M90" i="5"/>
  <c r="L90" i="5"/>
  <c r="N89" i="5"/>
  <c r="M89" i="5"/>
  <c r="L89" i="5"/>
  <c r="N88" i="5"/>
  <c r="M88" i="5"/>
  <c r="L88" i="5"/>
  <c r="N87" i="5"/>
  <c r="M87" i="5"/>
  <c r="L87" i="5"/>
  <c r="N86" i="5"/>
  <c r="M86" i="5"/>
  <c r="L86" i="5"/>
  <c r="N85" i="5"/>
  <c r="M85" i="5"/>
  <c r="L85" i="5"/>
  <c r="C95" i="5"/>
  <c r="D95" i="5"/>
  <c r="E95" i="5"/>
  <c r="F95" i="5"/>
  <c r="G95" i="5"/>
  <c r="H95" i="5"/>
  <c r="I95" i="5"/>
  <c r="J95" i="5"/>
  <c r="M95" i="5"/>
  <c r="B95" i="5"/>
  <c r="L95" i="5"/>
  <c r="L76" i="5"/>
  <c r="M76" i="5"/>
  <c r="N76" i="5"/>
  <c r="N81" i="5"/>
  <c r="M81" i="5"/>
  <c r="L81" i="5"/>
  <c r="N80" i="5"/>
  <c r="M80" i="5"/>
  <c r="L80" i="5"/>
  <c r="N79" i="5"/>
  <c r="M79" i="5"/>
  <c r="L79" i="5"/>
  <c r="N78" i="5"/>
  <c r="M78" i="5"/>
  <c r="L78" i="5"/>
  <c r="N77" i="5"/>
  <c r="M77" i="5"/>
  <c r="L77" i="5"/>
  <c r="N72" i="5"/>
  <c r="M72" i="5"/>
  <c r="L72" i="5"/>
  <c r="N71" i="5"/>
  <c r="M71" i="5"/>
  <c r="L71" i="5"/>
  <c r="N70" i="5"/>
  <c r="M70" i="5"/>
  <c r="L70" i="5"/>
  <c r="N69" i="5"/>
  <c r="M69" i="5"/>
  <c r="L69" i="5"/>
  <c r="N68" i="5"/>
  <c r="M68" i="5"/>
  <c r="L68" i="5"/>
  <c r="N67" i="5"/>
  <c r="M67" i="5"/>
  <c r="L67" i="5"/>
  <c r="N66" i="5"/>
  <c r="M66" i="5"/>
  <c r="L66" i="5"/>
  <c r="N65" i="5"/>
  <c r="M65" i="5"/>
  <c r="L65" i="5"/>
  <c r="N64" i="5"/>
  <c r="M64" i="5"/>
  <c r="L64" i="5"/>
  <c r="N63" i="5"/>
  <c r="M63" i="5"/>
  <c r="L63" i="5"/>
  <c r="N62" i="5"/>
  <c r="M62" i="5"/>
  <c r="L62" i="5"/>
  <c r="N61" i="5"/>
  <c r="M61" i="5"/>
  <c r="L61" i="5"/>
  <c r="N60" i="5"/>
  <c r="M60" i="5"/>
  <c r="L60" i="5"/>
  <c r="N59" i="5"/>
  <c r="M59" i="5"/>
  <c r="L59" i="5"/>
  <c r="N58" i="5"/>
  <c r="M58" i="5"/>
  <c r="L58" i="5"/>
  <c r="N57" i="5"/>
  <c r="M57" i="5"/>
  <c r="L57" i="5"/>
  <c r="N56" i="5"/>
  <c r="M56" i="5"/>
  <c r="L56" i="5"/>
  <c r="N55" i="5"/>
  <c r="M55" i="5"/>
  <c r="L55" i="5"/>
  <c r="N54" i="5"/>
  <c r="M54" i="5"/>
  <c r="L54" i="5"/>
  <c r="N53" i="5"/>
  <c r="M53" i="5"/>
  <c r="L53" i="5"/>
  <c r="N52" i="5"/>
  <c r="M52" i="5"/>
  <c r="L52" i="5"/>
  <c r="N48" i="5"/>
  <c r="M48" i="5"/>
  <c r="L48" i="5"/>
  <c r="N47" i="5"/>
  <c r="M47" i="5"/>
  <c r="L47" i="5"/>
  <c r="N46" i="5"/>
  <c r="M46" i="5"/>
  <c r="L46" i="5"/>
  <c r="N45" i="5"/>
  <c r="M45" i="5"/>
  <c r="L45" i="5"/>
  <c r="N44" i="5"/>
  <c r="M44" i="5"/>
  <c r="L44" i="5"/>
  <c r="N43" i="5"/>
  <c r="M43" i="5"/>
  <c r="L43" i="5"/>
  <c r="N42" i="5"/>
  <c r="M42" i="5"/>
  <c r="L42" i="5"/>
  <c r="N41" i="5"/>
  <c r="M41" i="5"/>
  <c r="L41" i="5"/>
  <c r="N40" i="5"/>
  <c r="M40" i="5"/>
  <c r="L40" i="5"/>
  <c r="N39" i="5"/>
  <c r="M39" i="5"/>
  <c r="L39" i="5"/>
  <c r="N38" i="5"/>
  <c r="M38" i="5"/>
  <c r="L38" i="5"/>
  <c r="K30" i="5"/>
  <c r="N30" i="5"/>
  <c r="J30" i="5"/>
  <c r="M30" i="5"/>
  <c r="C30" i="5"/>
  <c r="D30" i="5"/>
  <c r="D31" i="5"/>
  <c r="D32" i="5"/>
  <c r="E30" i="5"/>
  <c r="E31" i="5"/>
  <c r="E32" i="5"/>
  <c r="F30" i="5"/>
  <c r="G30" i="5"/>
  <c r="H30" i="5"/>
  <c r="H31" i="5"/>
  <c r="H32" i="5"/>
  <c r="I30" i="5"/>
  <c r="I31" i="5"/>
  <c r="I32" i="5"/>
  <c r="B30" i="5"/>
  <c r="L30" i="5"/>
  <c r="C31" i="5"/>
  <c r="C32" i="5"/>
  <c r="F31" i="5"/>
  <c r="F32" i="5"/>
  <c r="G31" i="5"/>
  <c r="G32" i="5"/>
  <c r="J31" i="5"/>
  <c r="K31" i="5"/>
  <c r="M31" i="5"/>
  <c r="J32" i="5"/>
  <c r="B31" i="5"/>
  <c r="B32" i="5"/>
  <c r="N26" i="5"/>
  <c r="M26" i="5"/>
  <c r="L26" i="5"/>
  <c r="N25" i="5"/>
  <c r="M25" i="5"/>
  <c r="L25" i="5"/>
  <c r="N24" i="5"/>
  <c r="M24" i="5"/>
  <c r="L24" i="5"/>
  <c r="N23" i="5"/>
  <c r="M23" i="5"/>
  <c r="L23" i="5"/>
  <c r="N22" i="5"/>
  <c r="M22" i="5"/>
  <c r="L22" i="5"/>
  <c r="N18" i="5"/>
  <c r="M18" i="5"/>
  <c r="L18" i="5"/>
  <c r="N17" i="5"/>
  <c r="M17" i="5"/>
  <c r="L17" i="5"/>
  <c r="N16" i="5"/>
  <c r="M16" i="5"/>
  <c r="L16" i="5"/>
  <c r="N15" i="5"/>
  <c r="M15" i="5"/>
  <c r="L15" i="5"/>
  <c r="N14" i="5"/>
  <c r="M14" i="5"/>
  <c r="L14" i="5"/>
  <c r="N13" i="5"/>
  <c r="M13" i="5"/>
  <c r="L13" i="5"/>
  <c r="M6" i="5"/>
  <c r="L6" i="5"/>
  <c r="N9" i="5"/>
  <c r="M9" i="5"/>
  <c r="L9" i="5"/>
  <c r="N8" i="5"/>
  <c r="M8" i="5"/>
  <c r="L8" i="5"/>
  <c r="N7" i="5"/>
  <c r="M7" i="5"/>
  <c r="L7" i="5"/>
  <c r="N6" i="5"/>
  <c r="B199" i="5"/>
  <c r="C199" i="5"/>
  <c r="D199" i="5"/>
  <c r="E199" i="5"/>
  <c r="F199" i="5"/>
  <c r="G199" i="5"/>
  <c r="H199" i="5"/>
  <c r="I199" i="5"/>
  <c r="J199" i="5"/>
  <c r="K199" i="5"/>
  <c r="N77" i="3"/>
  <c r="M77" i="3"/>
  <c r="L77" i="3"/>
  <c r="N76" i="3"/>
  <c r="M76" i="3"/>
  <c r="L76" i="3"/>
  <c r="N75" i="3"/>
  <c r="M75" i="3"/>
  <c r="L75" i="3"/>
  <c r="N74" i="3"/>
  <c r="M74" i="3"/>
  <c r="L74" i="3"/>
  <c r="N73" i="3"/>
  <c r="M73" i="3"/>
  <c r="L73" i="3"/>
  <c r="N72" i="3"/>
  <c r="M72" i="3"/>
  <c r="L72" i="3"/>
  <c r="N71" i="3"/>
  <c r="M71" i="3"/>
  <c r="L71" i="3"/>
  <c r="C78" i="3"/>
  <c r="D78" i="3"/>
  <c r="E78" i="3"/>
  <c r="F78" i="3"/>
  <c r="G78" i="3"/>
  <c r="H78" i="3"/>
  <c r="I78" i="3"/>
  <c r="J78" i="3"/>
  <c r="K78" i="3"/>
  <c r="N78" i="3"/>
  <c r="B78" i="3"/>
  <c r="N66" i="3"/>
  <c r="M66" i="3"/>
  <c r="L66" i="3"/>
  <c r="N65" i="3"/>
  <c r="M65" i="3"/>
  <c r="L65" i="3"/>
  <c r="B67" i="3"/>
  <c r="C67" i="3"/>
  <c r="D67" i="3"/>
  <c r="E67" i="3"/>
  <c r="F67" i="3"/>
  <c r="G67" i="3"/>
  <c r="H67" i="3"/>
  <c r="I67" i="3"/>
  <c r="J67" i="3"/>
  <c r="K67" i="3"/>
  <c r="M67" i="3"/>
  <c r="L67" i="3"/>
  <c r="N98" i="3"/>
  <c r="M98" i="3"/>
  <c r="L98" i="3"/>
  <c r="N97" i="3"/>
  <c r="M97" i="3"/>
  <c r="L97" i="3"/>
  <c r="N96" i="3"/>
  <c r="M96" i="3"/>
  <c r="L96" i="3"/>
  <c r="N95" i="3"/>
  <c r="M95" i="3"/>
  <c r="L95" i="3"/>
  <c r="N94" i="3"/>
  <c r="M94" i="3"/>
  <c r="L94" i="3"/>
  <c r="N93" i="3"/>
  <c r="M93" i="3"/>
  <c r="L93" i="3"/>
  <c r="N92" i="3"/>
  <c r="M92" i="3"/>
  <c r="L92" i="3"/>
  <c r="N91" i="3"/>
  <c r="M91" i="3"/>
  <c r="L91" i="3"/>
  <c r="N90" i="3"/>
  <c r="M90" i="3"/>
  <c r="L90" i="3"/>
  <c r="N89" i="3"/>
  <c r="M89" i="3"/>
  <c r="L89" i="3"/>
  <c r="N88" i="3"/>
  <c r="M88" i="3"/>
  <c r="L88" i="3"/>
  <c r="N87" i="3"/>
  <c r="M87" i="3"/>
  <c r="L87" i="3"/>
  <c r="N86" i="3"/>
  <c r="M86" i="3"/>
  <c r="L86" i="3"/>
  <c r="N85" i="3"/>
  <c r="M85" i="3"/>
  <c r="L85" i="3"/>
  <c r="N84" i="3"/>
  <c r="M84" i="3"/>
  <c r="L84" i="3"/>
  <c r="N83" i="3"/>
  <c r="M83" i="3"/>
  <c r="L83" i="3"/>
  <c r="N61" i="3"/>
  <c r="M61" i="3"/>
  <c r="L61" i="3"/>
  <c r="N60" i="3"/>
  <c r="M60" i="3"/>
  <c r="L60" i="3"/>
  <c r="N59" i="3"/>
  <c r="M59" i="3"/>
  <c r="L59" i="3"/>
  <c r="N58" i="3"/>
  <c r="M58" i="3"/>
  <c r="L58" i="3"/>
  <c r="N57" i="3"/>
  <c r="M57" i="3"/>
  <c r="L57" i="3"/>
  <c r="N56" i="3"/>
  <c r="M56" i="3"/>
  <c r="L56" i="3"/>
  <c r="N55" i="3"/>
  <c r="M55" i="3"/>
  <c r="L55" i="3"/>
  <c r="N54" i="3"/>
  <c r="M54" i="3"/>
  <c r="L54" i="3"/>
  <c r="N53" i="3"/>
  <c r="M53" i="3"/>
  <c r="L53" i="3"/>
  <c r="N52" i="3"/>
  <c r="M52" i="3"/>
  <c r="L52" i="3"/>
  <c r="N51" i="3"/>
  <c r="M51" i="3"/>
  <c r="L51" i="3"/>
  <c r="N50" i="3"/>
  <c r="M50" i="3"/>
  <c r="L50" i="3"/>
  <c r="N49" i="3"/>
  <c r="M49" i="3"/>
  <c r="L49" i="3"/>
  <c r="N48" i="3"/>
  <c r="M48" i="3"/>
  <c r="N47" i="3"/>
  <c r="M47" i="3"/>
  <c r="L47" i="3"/>
  <c r="N46" i="3"/>
  <c r="M46" i="3"/>
  <c r="L46" i="3"/>
  <c r="N45" i="3"/>
  <c r="M45" i="3"/>
  <c r="N44" i="3"/>
  <c r="M44" i="3"/>
  <c r="L44" i="3"/>
  <c r="N43" i="3"/>
  <c r="M43" i="3"/>
  <c r="L43" i="3"/>
  <c r="N39" i="3"/>
  <c r="M39" i="3"/>
  <c r="L39" i="3"/>
  <c r="N38" i="3"/>
  <c r="M38" i="3"/>
  <c r="L38" i="3"/>
  <c r="N37" i="3"/>
  <c r="M37" i="3"/>
  <c r="L37" i="3"/>
  <c r="N36" i="3"/>
  <c r="M36" i="3"/>
  <c r="L36" i="3"/>
  <c r="N35" i="3"/>
  <c r="M35" i="3"/>
  <c r="L35" i="3"/>
  <c r="N34" i="3"/>
  <c r="M34" i="3"/>
  <c r="L34" i="3"/>
  <c r="N30" i="3"/>
  <c r="M30" i="3"/>
  <c r="L30" i="3"/>
  <c r="N29" i="3"/>
  <c r="M29" i="3"/>
  <c r="L29" i="3"/>
  <c r="N28" i="3"/>
  <c r="M28" i="3"/>
  <c r="L28" i="3"/>
  <c r="N27" i="3"/>
  <c r="M27" i="3"/>
  <c r="L27" i="3"/>
  <c r="N26" i="3"/>
  <c r="M26" i="3"/>
  <c r="L26" i="3"/>
  <c r="N25" i="3"/>
  <c r="M25" i="3"/>
  <c r="N24" i="3"/>
  <c r="M24" i="3"/>
  <c r="L24" i="3"/>
  <c r="N23" i="3"/>
  <c r="M23" i="3"/>
  <c r="L23" i="3"/>
  <c r="N22" i="3"/>
  <c r="M22" i="3"/>
  <c r="N21" i="3"/>
  <c r="M21" i="3"/>
  <c r="L21" i="3"/>
  <c r="N20" i="3"/>
  <c r="M20" i="3"/>
  <c r="L20" i="3"/>
  <c r="N16" i="3"/>
  <c r="M16" i="3"/>
  <c r="L16" i="3"/>
  <c r="N15" i="3"/>
  <c r="M15" i="3"/>
  <c r="L15" i="3"/>
  <c r="N14" i="3"/>
  <c r="M14" i="3"/>
  <c r="L14" i="3"/>
  <c r="N13" i="3"/>
  <c r="M13" i="3"/>
  <c r="L13" i="3"/>
  <c r="M7" i="3"/>
  <c r="M8" i="3"/>
  <c r="M9" i="3"/>
  <c r="M6" i="3"/>
  <c r="L6" i="3"/>
  <c r="L7" i="3"/>
  <c r="L8" i="3"/>
  <c r="L9" i="3"/>
  <c r="N7" i="3"/>
  <c r="N8" i="3"/>
  <c r="N6" i="3"/>
  <c r="D58" i="2"/>
  <c r="D59" i="2"/>
  <c r="D60" i="2"/>
  <c r="D61" i="2"/>
  <c r="D62" i="2"/>
  <c r="D63" i="2"/>
  <c r="D64" i="2"/>
  <c r="D65" i="2"/>
  <c r="D66" i="2"/>
  <c r="D67" i="2"/>
  <c r="D5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14" i="2"/>
  <c r="D15" i="2"/>
  <c r="D16" i="2"/>
  <c r="D13" i="2"/>
  <c r="D30" i="2"/>
  <c r="D31" i="2"/>
  <c r="D32" i="2"/>
  <c r="D33" i="2"/>
  <c r="D34" i="2"/>
  <c r="D29" i="2"/>
  <c r="D102" i="8"/>
  <c r="E26" i="8"/>
  <c r="D101" i="6"/>
  <c r="M38" i="7"/>
  <c r="K32" i="5"/>
  <c r="N31" i="5"/>
  <c r="N174" i="5"/>
  <c r="N175" i="5"/>
  <c r="N176" i="5"/>
  <c r="M182" i="5"/>
  <c r="N180" i="5"/>
  <c r="N182" i="5"/>
  <c r="L31" i="5"/>
  <c r="M170" i="5"/>
  <c r="L176" i="5"/>
  <c r="M188" i="5"/>
  <c r="N186" i="5"/>
  <c r="N188" i="5"/>
  <c r="N67" i="3"/>
  <c r="L78" i="3"/>
  <c r="N9" i="3"/>
  <c r="M78" i="3"/>
  <c r="N32" i="5"/>
  <c r="L32" i="5"/>
  <c r="M32" i="5"/>
</calcChain>
</file>

<file path=xl/sharedStrings.xml><?xml version="1.0" encoding="utf-8"?>
<sst xmlns="http://schemas.openxmlformats.org/spreadsheetml/2006/main" count="1151" uniqueCount="401">
  <si>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</si>
  <si>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</si>
  <si>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</si>
  <si>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</si>
  <si>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</si>
  <si>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</si>
  <si>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</si>
  <si>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</si>
  <si>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</si>
  <si>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</si>
  <si>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</si>
  <si>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</si>
  <si>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</si>
  <si>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</si>
  <si>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</si>
  <si>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</si>
  <si>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</si>
  <si>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</si>
  <si>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</si>
  <si>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</si>
  <si>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</si>
  <si>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</si>
  <si>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</si>
  <si>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</si>
  <si>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</si>
  <si>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</si>
  <si>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</si>
  <si>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</si>
  <si>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</si>
  <si>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</si>
  <si>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</si>
  <si>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</si>
  <si>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</si>
  <si>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</si>
  <si>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Promedio de edad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</si>
  <si>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</si>
  <si>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</si>
  <si>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</si>
  <si>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</si>
  <si>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</si>
  <si>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</si>
  <si>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</si>
  <si>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</si>
  <si>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</si>
  <si>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</si>
  <si>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</si>
  <si>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</si>
  <si>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</si>
  <si>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Técnico - Profesionales*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</si>
  <si>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</si>
  <si>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</si>
  <si>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</si>
  <si>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</si>
  <si>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</si>
  <si>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</si>
  <si>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</si>
  <si>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</si>
  <si>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</si>
  <si>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</si>
  <si>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</si>
  <si>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</si>
  <si>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</si>
  <si>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</si>
  <si>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</si>
  <si>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</si>
  <si>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en Deporte, Recreación y Preparación Física</t>
  </si>
  <si>
    <t>Técnico Agropecuario</t>
  </si>
  <si>
    <t>Técnico en Construcción y Obras Civiles</t>
  </si>
  <si>
    <t>Técnico en Administración de Recursos Humanos y Personal</t>
  </si>
  <si>
    <t>Técnico en Contabilidad General</t>
  </si>
  <si>
    <t>Técnico en Instrumentación, Automatización y Control Industrial</t>
  </si>
  <si>
    <t>Evolución de Titulación Total de Pregrado en carreras con mayor titulación - IP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</si>
  <si>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</si>
  <si>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</si>
  <si>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</si>
  <si>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</si>
  <si>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</si>
  <si>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</si>
  <si>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</si>
  <si>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</si>
  <si>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</si>
  <si>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</si>
  <si>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Evolución de Titulación Total de Pregrado en carreras con mayor titulación - Universidades</t>
  </si>
  <si>
    <t>Ingeniería Comercial</t>
  </si>
  <si>
    <t>Ingeniería Civil Industrial</t>
  </si>
  <si>
    <t>Enfermería</t>
  </si>
  <si>
    <t>Psicología</t>
  </si>
  <si>
    <t>Pedagogía en Educación Básica</t>
  </si>
  <si>
    <t>Pedagogía en Educación Física</t>
  </si>
  <si>
    <t>Kinesiología</t>
  </si>
  <si>
    <t>Medicina</t>
  </si>
  <si>
    <t>Pedagogía en Educación Diferencial</t>
  </si>
  <si>
    <t>Pedagogía en Idiomas</t>
  </si>
  <si>
    <t>Odontología</t>
  </si>
  <si>
    <t>Arquitectura</t>
  </si>
  <si>
    <t>Nutrición y Dietética</t>
  </si>
  <si>
    <t>Evolución de Titulación Total de Pregrado por rango de edad</t>
  </si>
  <si>
    <t xml:space="preserve">Promedio de edad 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</si>
  <si>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</si>
  <si>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</si>
  <si>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</si>
  <si>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</si>
  <si>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</si>
  <si>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</si>
  <si>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</si>
  <si>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 xml:space="preserve">Administración y Comercio </t>
  </si>
  <si>
    <t>Evolución de Titulación Total de Postítulo por tipo de institución</t>
  </si>
  <si>
    <t>Evolución de Titulación Total de Postítulo por tipo de programa</t>
  </si>
  <si>
    <t>Evolución de Titulación Total de Postítulo por tipo de institución y programa</t>
  </si>
  <si>
    <t>Nombre de la institución</t>
  </si>
  <si>
    <t>CFT ALPES</t>
  </si>
  <si>
    <t>CFT ANDRES BELLO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</si>
  <si>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</si>
  <si>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</si>
  <si>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</si>
  <si>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</si>
  <si>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</si>
  <si>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</si>
  <si>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ENSEÑANZA DE ALTA COSTURA PAULINA DIARD</t>
  </si>
  <si>
    <t>CFT DE LA INDUSTRIA GRAFICA - INGRAF</t>
  </si>
  <si>
    <t>CFT DE TARAPACA</t>
  </si>
  <si>
    <t>CFT DEL MEDIO AMBIENTE</t>
  </si>
  <si>
    <t>CFT DUOC UC</t>
  </si>
  <si>
    <t>CFT EDUCAP</t>
  </si>
  <si>
    <t>CFT ESANE DEL NORTE</t>
  </si>
  <si>
    <t>CFT ESCUELA CULINARIA FRANCESA - ECOLE</t>
  </si>
  <si>
    <t>CFT ESCUELA DE ARTES APLICADAS OFICIOS DEL FUEGO</t>
  </si>
  <si>
    <t>CFT ESTUDIO PROFESOR VALERO</t>
  </si>
  <si>
    <t>CFT ICEL</t>
  </si>
  <si>
    <t>CFT INACAP</t>
  </si>
  <si>
    <t>CFT INSTITUTO CENTRAL DE CAPACITACION EDUCACIONAL ICCE</t>
  </si>
  <si>
    <t>CFT INSTITUTO SUPERIOR ALEMAN DE COMERCIO INSALCO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</si>
  <si>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</si>
  <si>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</si>
  <si>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</si>
  <si>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</si>
  <si>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</si>
  <si>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</si>
  <si>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</si>
  <si>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</si>
  <si>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</si>
  <si>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PROANDES</t>
  </si>
  <si>
    <t>CFT PRODATA</t>
  </si>
  <si>
    <t>CFT PROFASOC</t>
  </si>
  <si>
    <t>CFT PROTEC</t>
  </si>
  <si>
    <t>CFT SAN AGUSTIN DE TALCA</t>
  </si>
  <si>
    <t>CFT SANTO TOMAS</t>
  </si>
  <si>
    <t>CFT TEODORO WICKEL KLUWEN</t>
  </si>
  <si>
    <t>CFT U.VALPO.</t>
  </si>
  <si>
    <t>CFT UCEVALPO</t>
  </si>
  <si>
    <t>CFT UDA</t>
  </si>
  <si>
    <t>IP AGRARIO ADOLFO MATTHEI</t>
  </si>
  <si>
    <t>IP AIEP</t>
  </si>
  <si>
    <t>IP ALEMAN WILHELM VON HUMBOLDT</t>
  </si>
  <si>
    <t>IP CARLOS CASANUEVA</t>
  </si>
  <si>
    <t>IP CHILENO NORTEAMERICANO</t>
  </si>
  <si>
    <t>IP CHILENO-BRITANICO DE CULTURA</t>
  </si>
  <si>
    <t>IP CIISA</t>
  </si>
  <si>
    <t>IP DE ARTE Y COMUNICACION ARCOS</t>
  </si>
  <si>
    <t>IP DE CHILE</t>
  </si>
  <si>
    <t>IP DE CIENCIAS DE LA COMPUTACION ACUARIO DATA</t>
  </si>
  <si>
    <t>IP DE CIENCIAS Y EDUCACION HELEN KELLER</t>
  </si>
  <si>
    <t>IP DE LOS ANGELES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</si>
  <si>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</si>
  <si>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</si>
  <si>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</si>
  <si>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</si>
  <si>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</si>
  <si>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</si>
  <si>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</si>
  <si>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</si>
  <si>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</si>
  <si>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HOGAR CATEQUISTICO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</si>
  <si>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</si>
  <si>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</si>
  <si>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</si>
  <si>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</si>
  <si>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</si>
  <si>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</si>
  <si>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LA ARAUCANA</t>
  </si>
  <si>
    <t>IP LATINOAMERICANO DE COMERCIO EXTERIOR</t>
  </si>
  <si>
    <t>IP LIBERTADOR DE LOS ANDES</t>
  </si>
  <si>
    <t>IP LOS LAGOS</t>
  </si>
  <si>
    <t>IP LOS LEONES</t>
  </si>
  <si>
    <t>IP PROJAZZ</t>
  </si>
  <si>
    <t>IP PROVIDENCIA</t>
  </si>
  <si>
    <t>IP SANTO TOMAS</t>
  </si>
  <si>
    <t>IP VERTICAL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</si>
  <si>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</si>
  <si>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</si>
  <si>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</si>
  <si>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</si>
  <si>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</si>
  <si>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</si>
  <si>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</si>
  <si>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</si>
  <si>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</si>
  <si>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</si>
  <si>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</si>
  <si>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</si>
  <si>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</si>
  <si>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</si>
  <si>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</si>
  <si>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</si>
  <si>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CATOLICA SILVA HENRIQUEZ</t>
  </si>
  <si>
    <t>UNIVERSIDAD CENTRAL DE CHILE</t>
  </si>
  <si>
    <t>UNIVERSIDAD CHILENO BRITANICA DE CULTURA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</si>
  <si>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</si>
  <si>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</si>
  <si>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</si>
  <si>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</si>
  <si>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</si>
  <si>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</si>
  <si>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</si>
  <si>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</si>
  <si>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</si>
  <si>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</si>
  <si>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</si>
  <si>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</si>
  <si>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</si>
  <si>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</si>
  <si>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</si>
  <si>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</si>
  <si>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</si>
  <si>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</si>
  <si>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</si>
  <si>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</si>
  <si>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DEL MAR</t>
  </si>
  <si>
    <t>UNIVERSIDAD DEL PACIFICO</t>
  </si>
  <si>
    <t>UNIVERSIDAD DIEGO PORTALES</t>
  </si>
  <si>
    <t>UNIVERSIDAD FINIS TERRAE</t>
  </si>
  <si>
    <t>UNIVERSIDAD GABRIELA MISTRAL</t>
  </si>
  <si>
    <t>UNIVERSIDAD IBEROAMERICANA DE CIENCIAS Y TECNOLOGIA, UNICYT</t>
  </si>
  <si>
    <t>UNIVERSIDAD LA REPUBLICA</t>
  </si>
  <si>
    <t>UNIVERSIDAD LOS LEONES</t>
  </si>
  <si>
    <t>UNIVERSIDAD MAYOR</t>
  </si>
  <si>
    <t>UNIVERSIDAD METROPOLITANA DE CIENCIAS DE LA EDUCACION</t>
  </si>
  <si>
    <t>UNIVERSIDAD MIGUEL DE CERVANTES</t>
  </si>
  <si>
    <t>UNIVERSIDAD PEDRO DE VALDIVIA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</si>
  <si>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</si>
  <si>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</si>
  <si>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</si>
  <si>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</si>
  <si>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</si>
  <si>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</si>
  <si>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>UNIVERSIDAD UCINF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</si>
  <si>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</si>
  <si>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</si>
  <si>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</si>
  <si>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</si>
  <si>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</si>
  <si>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</si>
  <si>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</si>
  <si>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</si>
  <si>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</si>
  <si>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</si>
  <si>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</si>
  <si>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</si>
  <si>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</si>
  <si>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</si>
  <si>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</si>
  <si>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</si>
  <si>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</si>
  <si>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</si>
  <si>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</si>
  <si>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</si>
  <si>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</si>
  <si>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</si>
  <si>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</si>
  <si>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</si>
  <si>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</si>
  <si>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</si>
  <si>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</si>
  <si>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</si>
  <si>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</si>
  <si>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</si>
  <si>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*Incluye programas de pregrado, posgrado y postítulo</t>
  </si>
  <si>
    <t>Nivel de formación</t>
  </si>
  <si>
    <t>Semipresencial</t>
  </si>
  <si>
    <t>A Distancia</t>
  </si>
  <si>
    <t>Evolución de Titulación Total de Pregrado en carreras con mayor titulación - CFT</t>
  </si>
  <si>
    <t>Técnico en Computación e Informática</t>
  </si>
  <si>
    <t>Fonoaudiología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</si>
  <si>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</si>
  <si>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</si>
  <si>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</si>
  <si>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</si>
  <si>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Postgrado</t>
  </si>
  <si>
    <t>Ingeniería en Recursos Humanos</t>
  </si>
  <si>
    <t>CFT BARROS ARANA</t>
  </si>
  <si>
    <t>CFT FINNING</t>
  </si>
  <si>
    <t>U. Cruch Estatal</t>
  </si>
  <si>
    <t>U. Cruch Privada</t>
  </si>
  <si>
    <t>U. Privada</t>
  </si>
  <si>
    <t>Fuente: Servicio de Información de Educación Superior (SIES), de Mineduc.</t>
  </si>
  <si>
    <t xml:space="preserve">U. Cruch Estatal </t>
  </si>
  <si>
    <t>* Incluye Carreras Técnicas y Profesionales sin licenciatura.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</si>
  <si>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</si>
  <si>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</si>
  <si>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</si>
  <si>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</si>
  <si>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</si>
  <si>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</si>
  <si>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</si>
  <si>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</si>
  <si>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</si>
  <si>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</si>
  <si>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</si>
  <si>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</si>
  <si>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Lib. Gral B. O'Higgins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</si>
  <si>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</si>
  <si>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</si>
  <si>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</si>
  <si>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</si>
  <si>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</si>
  <si>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</si>
  <si>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</si>
  <si>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</si>
  <si>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Agropecuaria </t>
  </si>
  <si>
    <t xml:space="preserve">Arte y Arquitectura </t>
  </si>
  <si>
    <t xml:space="preserve">Ciencias Básicas </t>
  </si>
  <si>
    <t xml:space="preserve">Ciencias Sociales </t>
  </si>
  <si>
    <t xml:space="preserve">Derecho </t>
  </si>
  <si>
    <t xml:space="preserve">Educación </t>
  </si>
  <si>
    <t xml:space="preserve">Humanidades </t>
  </si>
  <si>
    <t xml:space="preserve">Salud </t>
  </si>
  <si>
    <t xml:space="preserve">Tecnología </t>
  </si>
  <si>
    <t xml:space="preserve">Total general </t>
  </si>
  <si>
    <t>Diplomado 
(superior a un semestre)</t>
  </si>
  <si>
    <t>Metropolitana</t>
  </si>
  <si>
    <t>INFORME TITULACIÓN 2017</t>
  </si>
  <si>
    <t>1. TITULACIÓN TOTAL 2017</t>
  </si>
  <si>
    <t>Titulación Total 2017 por tipo de institución y nivel de formación</t>
  </si>
  <si>
    <t>Titulación Total 2017 por tipo de institución y sexo</t>
  </si>
  <si>
    <t>Titulación Total 2017 por tipo de institución 2 y nivel de formación</t>
  </si>
  <si>
    <t>Titulación Total 2017 por tipo de institución 2 y sexo</t>
  </si>
  <si>
    <t>Titulación Total 2017 por región y sexo</t>
  </si>
  <si>
    <t>Titulación Total 2017  por área y sexo</t>
  </si>
  <si>
    <t>3. TITULACIÓN DE PREGRADO 2017</t>
  </si>
  <si>
    <t>Titulación Total 2017 de Pregrado por sexo y tipo de institución</t>
  </si>
  <si>
    <t xml:space="preserve">Titulación Total 2017 de Pregrado por rango de edad y tipo de institución </t>
  </si>
  <si>
    <t>Titulación Total 2017 de Pregrado por tipo de carrera y tipo de institución</t>
  </si>
  <si>
    <t>Titulación Total 2017 de Pregrado por área y tipo de institución</t>
  </si>
  <si>
    <t>Titulación Total 2017 de Pregrado por área y sexo</t>
  </si>
  <si>
    <t>Titulación Total 2017 de Pregrado por jornada y tipo de institución</t>
  </si>
  <si>
    <t>Titulación Total 2017 de Pregrado por región y tipo de institución</t>
  </si>
  <si>
    <t>Titulación Total 2017 de Pregrado por región y sexo</t>
  </si>
  <si>
    <t>5. TITULACIÓN DE POSGRADO 2017</t>
  </si>
  <si>
    <t>Titulación Total 2017 de Posgrado por tipo de universidad y tipo de programa</t>
  </si>
  <si>
    <t>Titulación Total 2017 de Posgrado por sexo y tipo de programa</t>
  </si>
  <si>
    <t>Titulación Total 2017 de Posgrado por rango de edad y tipo de programa</t>
  </si>
  <si>
    <t>Titulación Total 2017 de Posgrado por área y tipo de programa</t>
  </si>
  <si>
    <t>Titulación Total 2017 de Posgrado por jornada y tipo de programa</t>
  </si>
  <si>
    <t>Titulación Total 2017 de Posgrado por región y tipo de programa</t>
  </si>
  <si>
    <t>Titulación Total 2017 de Posgrado por área y sexo</t>
  </si>
  <si>
    <t>Titulación Total 2017 de Posgrado por región y sexo</t>
  </si>
  <si>
    <t>7. TITULACIÓN DE POSTÍTULO 2017</t>
  </si>
  <si>
    <t>Titulación Total 2017 de Postítulo por tipo de universidad y tipo de programa</t>
  </si>
  <si>
    <t>Titulación Total 2017 de Postítulo por sexo y tipo de programa</t>
  </si>
  <si>
    <t>Titulación Total 2017 de Postítulo por rango de edad y tipo de programa</t>
  </si>
  <si>
    <t>Titulación Total 2017 de Postítulo por área y tipo de programa</t>
  </si>
  <si>
    <t>Titulación Total 2017 de Postítulo por jornada y tipo de programa</t>
  </si>
  <si>
    <t>Titulación Total 2017 de Postítulo por región y tipo de programa</t>
  </si>
  <si>
    <t>Titulación Total 2017 de Postítulo por área y sexo</t>
  </si>
  <si>
    <t>Titulación Total 2017 de Postítulo por región y sexo</t>
  </si>
  <si>
    <t>Listado de instituciones participantes 2017</t>
  </si>
  <si>
    <t>TITULACIÓN TOTAL 2017</t>
  </si>
  <si>
    <t>% distribución Titulación 2017</t>
  </si>
  <si>
    <t>% incremento 2016 - 2017</t>
  </si>
  <si>
    <t>% incremento 2008 - 2017</t>
  </si>
  <si>
    <t>EVOLUCIÓN TITULACIÓN TOTAL 2008 - 2017</t>
  </si>
  <si>
    <t>Técnico en Logística</t>
  </si>
  <si>
    <t>Técnico en Administración Financiera y Finanzas</t>
  </si>
  <si>
    <t>EVOLUCIÓN TITULACIÓN DE POSGRADO 2008 - 2017</t>
  </si>
  <si>
    <t>EVOLUCIÓN TITULACIÓN DE POSTÍTULO 2008 - 2017</t>
  </si>
  <si>
    <t>Instituciones participantes en proceso Titulación 2017</t>
  </si>
  <si>
    <t>Titulados de Pregrado 2017</t>
  </si>
  <si>
    <t>Titulados de Posgrado 2017</t>
  </si>
  <si>
    <t>Titulados de Postítulo 2017</t>
  </si>
  <si>
    <t>Total Titulados y/o graduados 2017</t>
  </si>
  <si>
    <t>CFT LUIS ALBERTO VERA</t>
  </si>
  <si>
    <t>IP DE ARTES ESCENICAS KAREN CONNOLLY</t>
  </si>
  <si>
    <t>IP ESCUELA DE CINE DE CHILE</t>
  </si>
  <si>
    <t>TITULACIÓN DE POSTÍTULO 2017</t>
  </si>
  <si>
    <t>Titulación Total 2017 de Postítulo por tipo de institución y tipo de programa</t>
  </si>
  <si>
    <t>Titulación 2017 de Postìtulo Mujeres</t>
  </si>
  <si>
    <t>Titulación 2017 de Postítulo Hombres</t>
  </si>
  <si>
    <t>Titulación Total 2017 de Postítulo</t>
  </si>
  <si>
    <t>TITULACIÓN DE POSGRADO 2017</t>
  </si>
  <si>
    <t>Titulación 2017 de Posgrado Mujeres</t>
  </si>
  <si>
    <t>Titulación 2017 de Posgrado Hombres</t>
  </si>
  <si>
    <t>Titulación Total 2017 de Posgrado</t>
  </si>
  <si>
    <t>EVOLUCIÓN TITULACIÓN DE PREGRADO 2008-2017</t>
  </si>
  <si>
    <t>TITULACIÓN DE PREGRADO 2017</t>
  </si>
  <si>
    <t>Titulación 2017 de Pregrado Mujeres</t>
  </si>
  <si>
    <t>Titulación 2017 de Pregrado Hombres</t>
  </si>
  <si>
    <t>Titulación Total 2017 de Pregrado</t>
  </si>
  <si>
    <t>2. EVOLUCIÓN TITULACIÓN TOTAL 2008 - 2017</t>
  </si>
  <si>
    <t>4. EVOLUCIÓN TITULACIÓN DE PREGRADO 2008 - 2017</t>
  </si>
  <si>
    <t>6. EVOLUCIÓN TITULACIÓN DE POSGRADO 2008 - 2017</t>
  </si>
  <si>
    <t>8. EVOLUCIÓN TITULACIÓN DE POSTÍTULO 2008 - 2017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</si>
</sst>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\ _€_-;\-* #,##0\ _€_-;_-* &quot;-&quot;??\ _€_-;_-@_-"/>
    <numFmt numFmtId="169" formatCode="_-* #,##0.0\ _€_-;\-* #,##0.0\ _€_-;_-* &quot;-&quot;??\ _€_-;_-@_-"/>
  </numFmts>
  <fonts count="2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9" fontId="17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1" applyAlignment="1">
      <alignment vertical="center"/>
    </xf>
    <xf numFmtId="0" fontId="4" fillId="0" borderId="0" xfId="1"/>
    <xf numFmtId="0" fontId="3" fillId="2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/>
    </xf>
    <xf numFmtId="165" fontId="3" fillId="3" borderId="1" xfId="2" applyNumberFormat="1" applyFont="1" applyFill="1" applyBorder="1" applyAlignment="1">
      <alignment horizontal="left" vertical="center"/>
    </xf>
    <xf numFmtId="166" fontId="0" fillId="0" borderId="0" xfId="3" applyNumberFormat="1" applyFont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165" fontId="2" fillId="3" borderId="1" xfId="4" applyNumberFormat="1" applyFont="1" applyFill="1" applyBorder="1" applyAlignment="1">
      <alignment horizontal="left" vertical="center"/>
    </xf>
    <xf numFmtId="165" fontId="2" fillId="0" borderId="1" xfId="4" applyNumberFormat="1" applyFont="1" applyBorder="1" applyAlignment="1">
      <alignment horizontal="center" vertical="center"/>
    </xf>
    <xf numFmtId="165" fontId="3" fillId="3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166" fontId="2" fillId="3" borderId="1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3" fillId="3" borderId="1" xfId="3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Fill="1" applyBorder="1" applyAlignment="1">
      <alignment horizontal="left" vertical="center"/>
    </xf>
    <xf numFmtId="165" fontId="2" fillId="3" borderId="1" xfId="2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14" fillId="0" borderId="0" xfId="1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ill="1" applyAlignment="1">
      <alignment vertical="center"/>
    </xf>
    <xf numFmtId="0" fontId="5" fillId="0" borderId="0" xfId="1" applyFont="1" applyFill="1" applyAlignment="1">
      <alignment vertical="center"/>
    </xf>
    <xf numFmtId="165" fontId="0" fillId="3" borderId="1" xfId="2" applyNumberFormat="1" applyFont="1" applyFill="1" applyBorder="1" applyAlignment="1">
      <alignment horizontal="left" vertical="center"/>
    </xf>
    <xf numFmtId="165" fontId="3" fillId="3" borderId="0" xfId="2" applyNumberFormat="1" applyFont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165" fontId="2" fillId="3" borderId="1" xfId="7" applyNumberFormat="1" applyFont="1" applyFill="1" applyBorder="1" applyAlignment="1">
      <alignment horizontal="left" vertical="center"/>
    </xf>
    <xf numFmtId="0" fontId="8" fillId="0" borderId="0" xfId="5"/>
    <xf numFmtId="0" fontId="8" fillId="0" borderId="0" xfId="5" applyAlignment="1">
      <alignment vertical="center"/>
    </xf>
    <xf numFmtId="0" fontId="5" fillId="3" borderId="0" xfId="1" applyFont="1" applyFill="1" applyAlignment="1">
      <alignment vertical="center"/>
    </xf>
    <xf numFmtId="0" fontId="7" fillId="3" borderId="0" xfId="0" applyFont="1" applyFill="1"/>
    <xf numFmtId="0" fontId="4" fillId="3" borderId="0" xfId="1" applyFill="1" applyAlignment="1">
      <alignment vertical="center"/>
    </xf>
    <xf numFmtId="0" fontId="6" fillId="3" borderId="0" xfId="1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168" fontId="2" fillId="0" borderId="1" xfId="22" applyNumberFormat="1" applyFont="1" applyBorder="1" applyAlignment="1">
      <alignment horizontal="center" vertical="center"/>
    </xf>
    <xf numFmtId="168" fontId="3" fillId="0" borderId="1" xfId="22" applyNumberFormat="1" applyFont="1" applyBorder="1" applyAlignment="1">
      <alignment horizontal="center" vertical="center"/>
    </xf>
    <xf numFmtId="168" fontId="4" fillId="0" borderId="0" xfId="22" applyNumberFormat="1" applyFont="1" applyAlignment="1">
      <alignment vertical="center"/>
    </xf>
    <xf numFmtId="168" fontId="4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horizontal="center" vertical="center" wrapText="1"/>
    </xf>
    <xf numFmtId="168" fontId="11" fillId="0" borderId="1" xfId="22" applyNumberFormat="1" applyFont="1" applyFill="1" applyBorder="1" applyAlignment="1">
      <alignment horizontal="right" vertical="center"/>
    </xf>
    <xf numFmtId="168" fontId="12" fillId="0" borderId="1" xfId="22" applyNumberFormat="1" applyFont="1" applyFill="1" applyBorder="1" applyAlignment="1">
      <alignment horizontal="right" vertical="center"/>
    </xf>
    <xf numFmtId="168" fontId="13" fillId="0" borderId="1" xfId="22" applyNumberFormat="1" applyFont="1" applyFill="1" applyBorder="1" applyAlignment="1">
      <alignment horizontal="right" vertical="center"/>
    </xf>
    <xf numFmtId="168" fontId="4" fillId="0" borderId="0" xfId="22" applyNumberFormat="1" applyFont="1"/>
    <xf numFmtId="168" fontId="19" fillId="2" borderId="1" xfId="22" applyNumberFormat="1" applyFont="1" applyFill="1" applyBorder="1" applyAlignment="1">
      <alignment horizontal="center" vertical="center" wrapText="1"/>
    </xf>
    <xf numFmtId="168" fontId="6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vertical="center"/>
    </xf>
    <xf numFmtId="168" fontId="0" fillId="0" borderId="1" xfId="22" applyNumberFormat="1" applyFont="1" applyBorder="1" applyAlignment="1">
      <alignment vertical="center"/>
    </xf>
    <xf numFmtId="168" fontId="3" fillId="0" borderId="1" xfId="22" applyNumberFormat="1" applyFont="1" applyBorder="1" applyAlignment="1">
      <alignment vertical="center"/>
    </xf>
    <xf numFmtId="168" fontId="3" fillId="2" borderId="1" xfId="22" applyNumberFormat="1" applyFont="1" applyFill="1" applyBorder="1" applyAlignment="1">
      <alignment horizontal="left" vertical="center"/>
    </xf>
    <xf numFmtId="168" fontId="2" fillId="3" borderId="1" xfId="22" applyNumberFormat="1" applyFont="1" applyFill="1" applyBorder="1" applyAlignment="1">
      <alignment horizontal="left" vertical="center"/>
    </xf>
    <xf numFmtId="168" fontId="3" fillId="3" borderId="1" xfId="2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/>
    </xf>
    <xf numFmtId="168" fontId="3" fillId="3" borderId="0" xfId="22" applyNumberFormat="1" applyFont="1" applyFill="1" applyBorder="1" applyAlignment="1">
      <alignment vertical="center"/>
    </xf>
    <xf numFmtId="168" fontId="3" fillId="3" borderId="0" xfId="22" applyNumberFormat="1" applyFont="1" applyFill="1" applyBorder="1" applyAlignment="1">
      <alignment horizontal="center" vertical="center"/>
    </xf>
    <xf numFmtId="168" fontId="5" fillId="3" borderId="0" xfId="22" applyNumberFormat="1" applyFont="1" applyFill="1" applyAlignment="1">
      <alignment vertical="center"/>
    </xf>
    <xf numFmtId="168" fontId="2" fillId="0" borderId="1" xfId="2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center" vertical="center"/>
    </xf>
    <xf numFmtId="0" fontId="20" fillId="3" borderId="0" xfId="1" applyFont="1" applyFill="1" applyAlignment="1">
      <alignment vertical="center"/>
    </xf>
    <xf numFmtId="0" fontId="1" fillId="3" borderId="0" xfId="6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7" fillId="3" borderId="0" xfId="1" applyFont="1" applyFill="1" applyAlignment="1">
      <alignment horizontal="left" vertical="center"/>
    </xf>
    <xf numFmtId="0" fontId="8" fillId="3" borderId="0" xfId="5" applyFill="1" applyAlignment="1">
      <alignment vertical="center"/>
    </xf>
    <xf numFmtId="0" fontId="9" fillId="3" borderId="0" xfId="1" applyFont="1" applyFill="1" applyAlignment="1">
      <alignment vertical="center"/>
    </xf>
    <xf numFmtId="168" fontId="4" fillId="3" borderId="0" xfId="22" applyNumberFormat="1" applyFont="1" applyFill="1"/>
    <xf numFmtId="168" fontId="8" fillId="3" borderId="0" xfId="22" applyNumberFormat="1" applyFont="1" applyFill="1"/>
    <xf numFmtId="0" fontId="10" fillId="3" borderId="0" xfId="1" applyFont="1" applyFill="1" applyAlignment="1">
      <alignment horizontal="left" vertical="center"/>
    </xf>
    <xf numFmtId="0" fontId="4" fillId="3" borderId="0" xfId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8" fillId="3" borderId="0" xfId="5" applyFill="1" applyAlignment="1">
      <alignment horizontal="left" vertical="center"/>
    </xf>
    <xf numFmtId="165" fontId="3" fillId="0" borderId="1" xfId="2" applyNumberFormat="1" applyFont="1" applyFill="1" applyBorder="1" applyAlignment="1">
      <alignment horizontal="left" vertical="center"/>
    </xf>
    <xf numFmtId="165" fontId="3" fillId="0" borderId="1" xfId="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left" vertical="center"/>
    </xf>
    <xf numFmtId="166" fontId="0" fillId="3" borderId="1" xfId="23" applyNumberFormat="1" applyFont="1" applyFill="1" applyBorder="1" applyAlignment="1">
      <alignment horizontal="center" vertical="center"/>
    </xf>
    <xf numFmtId="166" fontId="3" fillId="3" borderId="1" xfId="2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 indent="1"/>
    </xf>
    <xf numFmtId="0" fontId="20" fillId="3" borderId="0" xfId="1" applyFont="1" applyFill="1" applyAlignment="1">
      <alignment horizontal="left" vertical="center"/>
    </xf>
    <xf numFmtId="168" fontId="20" fillId="3" borderId="0" xfId="22" applyNumberFormat="1" applyFont="1" applyFill="1" applyAlignment="1">
      <alignment vertical="center"/>
    </xf>
    <xf numFmtId="165" fontId="3" fillId="4" borderId="1" xfId="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 wrapText="1"/>
    </xf>
    <xf numFmtId="165" fontId="0" fillId="3" borderId="1" xfId="4" applyNumberFormat="1" applyFont="1" applyFill="1" applyBorder="1" applyAlignment="1">
      <alignment horizontal="left" vertical="center"/>
    </xf>
    <xf numFmtId="0" fontId="6" fillId="0" borderId="0" xfId="1" applyFont="1" applyAlignment="1">
      <alignment vertical="center"/>
    </xf>
    <xf numFmtId="168" fontId="0" fillId="3" borderId="1" xfId="22" applyNumberFormat="1" applyFont="1" applyFill="1" applyBorder="1" applyAlignment="1">
      <alignment horizontal="left" vertical="center"/>
    </xf>
    <xf numFmtId="166" fontId="2" fillId="4" borderId="1" xfId="3" applyNumberFormat="1" applyFont="1" applyFill="1" applyBorder="1" applyAlignment="1">
      <alignment horizontal="center" vertical="center"/>
    </xf>
    <xf numFmtId="167" fontId="3" fillId="4" borderId="1" xfId="2" applyNumberFormat="1" applyFont="1" applyFill="1" applyBorder="1" applyAlignment="1">
      <alignment horizontal="left" vertical="center"/>
    </xf>
    <xf numFmtId="169" fontId="3" fillId="4" borderId="1" xfId="22" applyNumberFormat="1" applyFont="1" applyFill="1" applyBorder="1" applyAlignment="1">
      <alignment horizontal="center" vertical="center"/>
    </xf>
    <xf numFmtId="166" fontId="3" fillId="4" borderId="1" xfId="3" applyNumberFormat="1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left" vertical="center"/>
    </xf>
    <xf numFmtId="168" fontId="0" fillId="0" borderId="1" xfId="22" applyNumberFormat="1" applyFont="1" applyFill="1" applyBorder="1" applyAlignment="1">
      <alignment horizontal="left" vertical="center"/>
    </xf>
    <xf numFmtId="165" fontId="2" fillId="3" borderId="1" xfId="4" applyNumberFormat="1" applyFont="1" applyFill="1" applyBorder="1" applyAlignment="1">
      <alignment horizontal="center" vertical="center"/>
    </xf>
    <xf numFmtId="165" fontId="3" fillId="3" borderId="1" xfId="4" applyNumberFormat="1" applyFont="1" applyFill="1" applyBorder="1" applyAlignment="1">
      <alignment horizontal="center" vertical="center"/>
    </xf>
    <xf numFmtId="166" fontId="2" fillId="3" borderId="1" xfId="23" applyNumberFormat="1" applyFont="1" applyFill="1" applyBorder="1" applyAlignment="1">
      <alignment horizontal="center" vertical="center"/>
    </xf>
    <xf numFmtId="169" fontId="3" fillId="4" borderId="1" xfId="22" applyNumberFormat="1" applyFont="1" applyFill="1" applyBorder="1" applyAlignment="1">
      <alignment horizontal="left" vertical="center"/>
    </xf>
    <xf numFmtId="0" fontId="8" fillId="0" borderId="0" xfId="5" applyFill="1"/>
    <xf numFmtId="165" fontId="3" fillId="3" borderId="1" xfId="1" applyNumberFormat="1" applyFont="1" applyFill="1" applyBorder="1" applyAlignment="1">
      <alignment horizontal="center" vertical="center"/>
    </xf>
  </cellXfs>
  <cellStyles count="24">
    <cellStyle name="Hipervínculo" xfId="5" builtinId="8"/>
    <cellStyle name="Millares" xfId="22" builtinId="3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Porcentaje 2" xfId="3"/>
    <cellStyle name="Porcentaje 2 2" xfId="9"/>
    <cellStyle name="Porcentaje 3" xfId="20"/>
    <cellStyle name="Porcentual" xfId="23" builtinId="5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4629149</xdr:colOff>
      <xdr:row>0</xdr:row>
      <xdr:rowOff>132792</xdr:rowOff>
    </xdr:from>
    <xdr:to>
      <xdr:col>3</xdr:col>
      <xdr:colOff>447675</xdr:colOff>
      <xdr:row>2</xdr:row>
      <xdr:rowOff>41350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49" y="132792"/>
          <a:ext cx="1590676" cy="52768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495303</xdr:colOff>
      <xdr:row>0</xdr:row>
      <xdr:rowOff>9525</xdr:rowOff>
    </xdr:from>
    <xdr:to>
      <xdr:col>5</xdr:col>
      <xdr:colOff>118039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3" y="9525"/>
          <a:ext cx="16229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447675</xdr:colOff>
      <xdr:row>0</xdr:row>
      <xdr:rowOff>0</xdr:rowOff>
    </xdr:from>
    <xdr:to>
      <xdr:col>14</xdr:col>
      <xdr:colOff>48186</xdr:colOff>
      <xdr:row>2</xdr:row>
      <xdr:rowOff>33131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0"/>
          <a:ext cx="14578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9525</xdr:rowOff>
    </xdr:from>
    <xdr:to>
      <xdr:col>5</xdr:col>
      <xdr:colOff>83111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409575</xdr:colOff>
      <xdr:row>0</xdr:row>
      <xdr:rowOff>19050</xdr:rowOff>
    </xdr:from>
    <xdr:to>
      <xdr:col>14</xdr:col>
      <xdr:colOff>45011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19050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</xdr:rowOff>
    </xdr:from>
    <xdr:to>
      <xdr:col>4</xdr:col>
      <xdr:colOff>73586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0</xdr:row>
      <xdr:rowOff>9525</xdr:rowOff>
    </xdr:from>
    <xdr:to>
      <xdr:col>14</xdr:col>
      <xdr:colOff>76761</xdr:colOff>
      <xdr:row>1</xdr:row>
      <xdr:rowOff>233156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9525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849314</xdr:colOff>
      <xdr:row>0</xdr:row>
      <xdr:rowOff>7938</xdr:rowOff>
    </xdr:from>
    <xdr:to>
      <xdr:col>5</xdr:col>
      <xdr:colOff>54538</xdr:colOff>
      <xdr:row>1</xdr:row>
      <xdr:rowOff>231569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414" y="7938"/>
          <a:ext cx="1624574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500064</xdr:colOff>
      <xdr:row>0</xdr:row>
      <xdr:rowOff>7938</xdr:rowOff>
    </xdr:from>
    <xdr:to>
      <xdr:col>14</xdr:col>
      <xdr:colOff>100575</xdr:colOff>
      <xdr:row>1</xdr:row>
      <xdr:rowOff>231569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939" y="7938"/>
          <a:ext cx="1616636" cy="4935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</xdr:rowOff>
    </xdr:from>
    <xdr:to>
      <xdr:col>5</xdr:col>
      <xdr:colOff>57711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19050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6"/>
  <sheetViews>
    <sheetView showGridLines="0" tabSelected="1" workbookViewId="0">
      <pane ySplit="2" topLeftCell="A3" activePane="bottomLeft" state="frozen"/>
      <selection pane="bottomLeft" activeCell="C13" sqref="C13"/>
    </sheetView>
  </sheetViews>
  <sheetFormatPr baseColWidth="10" defaultRowHeight="14" x14ac:dyDescent="0"/>
  <cols>
    <col min="1" max="2" width="10.83203125" style="1"/>
    <col min="3" max="3" width="86.5" style="1" customWidth="1"/>
    <col min="4" max="16384" width="10.83203125" style="1"/>
  </cols>
  <sheetData>
    <row r="2" spans="1:3" ht="33">
      <c r="B2" s="26" t="s">
        <v>330</v>
      </c>
    </row>
    <row r="5" spans="1:3">
      <c r="A5" s="27" t="s">
        <v>246</v>
      </c>
      <c r="B5" s="27" t="s">
        <v>247</v>
      </c>
      <c r="C5" s="28" t="s">
        <v>248</v>
      </c>
    </row>
    <row r="6" spans="1:3">
      <c r="A6" s="29">
        <v>1</v>
      </c>
      <c r="B6" s="29">
        <v>1</v>
      </c>
      <c r="C6" s="30" t="s">
        <v>249</v>
      </c>
    </row>
    <row r="7" spans="1:3">
      <c r="A7" s="29"/>
      <c r="B7" s="29"/>
    </row>
    <row r="8" spans="1:3" ht="18">
      <c r="A8" s="27" t="s">
        <v>246</v>
      </c>
      <c r="B8" s="27" t="s">
        <v>247</v>
      </c>
      <c r="C8" s="31" t="s">
        <v>331</v>
      </c>
    </row>
    <row r="9" spans="1:3">
      <c r="A9" s="29">
        <v>2</v>
      </c>
      <c r="B9" s="29">
        <v>1</v>
      </c>
      <c r="C9" s="103" t="s">
        <v>332</v>
      </c>
    </row>
    <row r="10" spans="1:3">
      <c r="A10" s="29">
        <v>2</v>
      </c>
      <c r="B10" s="29">
        <v>2</v>
      </c>
      <c r="C10" s="103" t="s">
        <v>333</v>
      </c>
    </row>
    <row r="11" spans="1:3">
      <c r="A11" s="29">
        <v>2</v>
      </c>
      <c r="B11" s="29">
        <v>3</v>
      </c>
      <c r="C11" s="103" t="s">
        <v>334</v>
      </c>
    </row>
    <row r="12" spans="1:3">
      <c r="A12" s="29">
        <v>2</v>
      </c>
      <c r="B12" s="29">
        <v>4</v>
      </c>
      <c r="C12" s="103" t="s">
        <v>335</v>
      </c>
    </row>
    <row r="13" spans="1:3">
      <c r="A13" s="29">
        <v>2</v>
      </c>
      <c r="B13" s="29">
        <v>5</v>
      </c>
      <c r="C13" s="103" t="s">
        <v>336</v>
      </c>
    </row>
    <row r="14" spans="1:3">
      <c r="A14" s="29">
        <v>2</v>
      </c>
      <c r="B14" s="29">
        <v>6</v>
      </c>
      <c r="C14" s="103" t="s">
        <v>337</v>
      </c>
    </row>
    <row r="16" spans="1:3" ht="18">
      <c r="A16" s="27" t="s">
        <v>246</v>
      </c>
      <c r="B16" s="27" t="s">
        <v>247</v>
      </c>
      <c r="C16" s="31" t="s">
        <v>397</v>
      </c>
    </row>
    <row r="17" spans="1:3">
      <c r="A17" s="29">
        <v>3</v>
      </c>
      <c r="B17" s="29">
        <v>1</v>
      </c>
      <c r="C17" s="103" t="s">
        <v>265</v>
      </c>
    </row>
    <row r="18" spans="1:3">
      <c r="A18" s="29">
        <v>3</v>
      </c>
      <c r="B18" s="29">
        <v>2</v>
      </c>
      <c r="C18" s="103" t="s">
        <v>22</v>
      </c>
    </row>
    <row r="19" spans="1:3">
      <c r="A19" s="29">
        <v>3</v>
      </c>
      <c r="B19" s="29">
        <v>3</v>
      </c>
      <c r="C19" s="103" t="s">
        <v>266</v>
      </c>
    </row>
    <row r="20" spans="1:3">
      <c r="A20" s="29">
        <v>3</v>
      </c>
      <c r="B20" s="29">
        <v>4</v>
      </c>
      <c r="C20" s="103" t="s">
        <v>260</v>
      </c>
    </row>
    <row r="21" spans="1:3">
      <c r="A21" s="29">
        <v>3</v>
      </c>
      <c r="B21" s="29">
        <v>5</v>
      </c>
      <c r="C21" s="103" t="s">
        <v>267</v>
      </c>
    </row>
    <row r="22" spans="1:3">
      <c r="A22" s="29">
        <v>3</v>
      </c>
      <c r="B22" s="29">
        <v>6</v>
      </c>
      <c r="C22" s="103" t="s">
        <v>258</v>
      </c>
    </row>
    <row r="23" spans="1:3">
      <c r="A23" s="29">
        <v>3</v>
      </c>
      <c r="B23" s="29">
        <v>7</v>
      </c>
      <c r="C23" s="103" t="s">
        <v>25</v>
      </c>
    </row>
    <row r="24" spans="1:3">
      <c r="A24" s="29">
        <v>3</v>
      </c>
      <c r="B24" s="29">
        <v>8</v>
      </c>
      <c r="C24" s="103" t="s">
        <v>35</v>
      </c>
    </row>
    <row r="27" spans="1:3" ht="18">
      <c r="A27" s="27" t="s">
        <v>246</v>
      </c>
      <c r="B27" s="27" t="s">
        <v>247</v>
      </c>
      <c r="C27" s="38" t="s">
        <v>338</v>
      </c>
    </row>
    <row r="28" spans="1:3">
      <c r="A28" s="29">
        <v>4</v>
      </c>
      <c r="B28" s="29">
        <v>1</v>
      </c>
      <c r="C28" s="103" t="s">
        <v>339</v>
      </c>
    </row>
    <row r="29" spans="1:3">
      <c r="A29" s="29">
        <v>4</v>
      </c>
      <c r="B29" s="29">
        <v>2</v>
      </c>
      <c r="C29" s="103" t="s">
        <v>340</v>
      </c>
    </row>
    <row r="30" spans="1:3">
      <c r="A30" s="29">
        <v>4</v>
      </c>
      <c r="B30" s="29">
        <v>3</v>
      </c>
      <c r="C30" s="103" t="s">
        <v>341</v>
      </c>
    </row>
    <row r="31" spans="1:3">
      <c r="A31" s="29">
        <v>4</v>
      </c>
      <c r="B31" s="29">
        <v>4</v>
      </c>
      <c r="C31" s="103" t="s">
        <v>342</v>
      </c>
    </row>
    <row r="32" spans="1:3">
      <c r="A32" s="29">
        <v>4</v>
      </c>
      <c r="B32" s="29">
        <v>5</v>
      </c>
      <c r="C32" s="103" t="s">
        <v>343</v>
      </c>
    </row>
    <row r="33" spans="1:3">
      <c r="A33" s="29">
        <v>4</v>
      </c>
      <c r="B33" s="29">
        <v>6</v>
      </c>
      <c r="C33" s="103" t="s">
        <v>344</v>
      </c>
    </row>
    <row r="34" spans="1:3">
      <c r="A34" s="29">
        <v>4</v>
      </c>
      <c r="B34" s="29">
        <v>7</v>
      </c>
      <c r="C34" s="103" t="s">
        <v>345</v>
      </c>
    </row>
    <row r="35" spans="1:3">
      <c r="A35" s="29">
        <v>4</v>
      </c>
      <c r="B35" s="29">
        <v>8</v>
      </c>
      <c r="C35" s="103" t="s">
        <v>346</v>
      </c>
    </row>
    <row r="38" spans="1:3" ht="18">
      <c r="A38" s="27" t="s">
        <v>246</v>
      </c>
      <c r="B38" s="27" t="s">
        <v>247</v>
      </c>
      <c r="C38" s="31" t="s">
        <v>398</v>
      </c>
    </row>
    <row r="39" spans="1:3">
      <c r="A39" s="29">
        <v>5</v>
      </c>
      <c r="B39" s="29">
        <v>1</v>
      </c>
      <c r="C39" s="36" t="s">
        <v>46</v>
      </c>
    </row>
    <row r="40" spans="1:3">
      <c r="A40" s="29">
        <v>5</v>
      </c>
      <c r="B40" s="29">
        <v>2</v>
      </c>
      <c r="C40" s="36" t="s">
        <v>250</v>
      </c>
    </row>
    <row r="41" spans="1:3">
      <c r="A41" s="29">
        <v>5</v>
      </c>
      <c r="B41" s="29">
        <v>3</v>
      </c>
      <c r="C41" s="36" t="s">
        <v>47</v>
      </c>
    </row>
    <row r="42" spans="1:3">
      <c r="A42" s="29">
        <v>5</v>
      </c>
      <c r="B42" s="29">
        <v>4</v>
      </c>
      <c r="C42" s="36" t="s">
        <v>251</v>
      </c>
    </row>
    <row r="43" spans="1:3">
      <c r="A43" s="29">
        <v>5</v>
      </c>
      <c r="B43" s="29">
        <v>5</v>
      </c>
      <c r="C43" s="36" t="s">
        <v>263</v>
      </c>
    </row>
    <row r="44" spans="1:3">
      <c r="A44" s="29">
        <v>5</v>
      </c>
      <c r="B44" s="29">
        <v>6</v>
      </c>
      <c r="C44" s="36" t="s">
        <v>264</v>
      </c>
    </row>
    <row r="45" spans="1:3">
      <c r="A45" s="29">
        <v>5</v>
      </c>
      <c r="B45" s="29">
        <v>7</v>
      </c>
      <c r="C45" s="36" t="s">
        <v>51</v>
      </c>
    </row>
    <row r="46" spans="1:3">
      <c r="A46" s="29">
        <v>5</v>
      </c>
      <c r="B46" s="29">
        <v>8</v>
      </c>
      <c r="C46" s="36" t="s">
        <v>52</v>
      </c>
    </row>
    <row r="47" spans="1:3">
      <c r="A47" s="29">
        <v>5</v>
      </c>
      <c r="B47" s="29">
        <v>9</v>
      </c>
      <c r="C47" s="36" t="s">
        <v>252</v>
      </c>
    </row>
    <row r="48" spans="1:3">
      <c r="A48" s="29">
        <v>5</v>
      </c>
      <c r="B48" s="29">
        <v>10</v>
      </c>
      <c r="C48" s="36" t="s">
        <v>253</v>
      </c>
    </row>
    <row r="49" spans="1:3">
      <c r="A49" s="29">
        <v>5</v>
      </c>
      <c r="B49" s="29">
        <v>11</v>
      </c>
      <c r="C49" s="36" t="s">
        <v>254</v>
      </c>
    </row>
    <row r="50" spans="1:3">
      <c r="A50" s="29">
        <v>5</v>
      </c>
      <c r="B50" s="29">
        <v>12</v>
      </c>
      <c r="C50" s="36" t="s">
        <v>271</v>
      </c>
    </row>
    <row r="51" spans="1:3">
      <c r="A51" s="29">
        <v>5</v>
      </c>
      <c r="B51" s="29">
        <v>13</v>
      </c>
      <c r="C51" s="36" t="s">
        <v>272</v>
      </c>
    </row>
    <row r="52" spans="1:3">
      <c r="A52" s="29">
        <v>5</v>
      </c>
      <c r="B52" s="29">
        <v>14</v>
      </c>
      <c r="C52" s="36" t="s">
        <v>273</v>
      </c>
    </row>
    <row r="53" spans="1:3">
      <c r="A53" s="29">
        <v>5</v>
      </c>
      <c r="B53" s="29">
        <v>15</v>
      </c>
      <c r="C53" s="36" t="s">
        <v>274</v>
      </c>
    </row>
    <row r="54" spans="1:3">
      <c r="A54" s="29">
        <v>5</v>
      </c>
      <c r="B54" s="29">
        <v>16</v>
      </c>
      <c r="C54" s="36" t="s">
        <v>96</v>
      </c>
    </row>
    <row r="57" spans="1:3" ht="18">
      <c r="A57" s="27" t="s">
        <v>246</v>
      </c>
      <c r="B57" s="27" t="s">
        <v>247</v>
      </c>
      <c r="C57" s="38" t="s">
        <v>347</v>
      </c>
    </row>
    <row r="58" spans="1:3">
      <c r="A58" s="29">
        <v>6</v>
      </c>
      <c r="B58" s="29">
        <v>1</v>
      </c>
      <c r="C58" s="103" t="s">
        <v>348</v>
      </c>
    </row>
    <row r="59" spans="1:3">
      <c r="A59" s="29">
        <v>6</v>
      </c>
      <c r="B59" s="29">
        <v>2</v>
      </c>
      <c r="C59" s="103" t="s">
        <v>349</v>
      </c>
    </row>
    <row r="60" spans="1:3">
      <c r="A60" s="29">
        <v>6</v>
      </c>
      <c r="B60" s="29">
        <v>3</v>
      </c>
      <c r="C60" s="103" t="s">
        <v>350</v>
      </c>
    </row>
    <row r="61" spans="1:3">
      <c r="A61" s="29">
        <v>6</v>
      </c>
      <c r="B61" s="29">
        <v>4</v>
      </c>
      <c r="C61" s="103" t="s">
        <v>351</v>
      </c>
    </row>
    <row r="62" spans="1:3">
      <c r="A62" s="29">
        <v>6</v>
      </c>
      <c r="B62" s="29">
        <v>5</v>
      </c>
      <c r="C62" s="103" t="s">
        <v>352</v>
      </c>
    </row>
    <row r="63" spans="1:3">
      <c r="A63" s="29">
        <v>6</v>
      </c>
      <c r="B63" s="29">
        <v>6</v>
      </c>
      <c r="C63" s="103" t="s">
        <v>353</v>
      </c>
    </row>
    <row r="64" spans="1:3">
      <c r="A64" s="29">
        <v>6</v>
      </c>
      <c r="B64" s="29">
        <v>7</v>
      </c>
      <c r="C64" s="103" t="s">
        <v>354</v>
      </c>
    </row>
    <row r="65" spans="1:3">
      <c r="A65" s="29">
        <v>6</v>
      </c>
      <c r="B65" s="29">
        <v>8</v>
      </c>
      <c r="C65" s="103" t="s">
        <v>355</v>
      </c>
    </row>
    <row r="68" spans="1:3" ht="18">
      <c r="A68" s="27" t="s">
        <v>246</v>
      </c>
      <c r="B68" s="27" t="s">
        <v>247</v>
      </c>
      <c r="C68" s="38" t="s">
        <v>399</v>
      </c>
    </row>
    <row r="69" spans="1:3">
      <c r="A69" s="29">
        <v>7</v>
      </c>
      <c r="B69" s="29">
        <v>1</v>
      </c>
      <c r="C69" s="36" t="s">
        <v>268</v>
      </c>
    </row>
    <row r="70" spans="1:3">
      <c r="A70" s="29">
        <v>7</v>
      </c>
      <c r="B70" s="29">
        <v>2</v>
      </c>
      <c r="C70" s="36" t="s">
        <v>255</v>
      </c>
    </row>
    <row r="71" spans="1:3">
      <c r="A71" s="29">
        <v>7</v>
      </c>
      <c r="B71" s="29">
        <v>3</v>
      </c>
      <c r="C71" s="36" t="s">
        <v>269</v>
      </c>
    </row>
    <row r="72" spans="1:3">
      <c r="A72" s="29">
        <v>7</v>
      </c>
      <c r="B72" s="29">
        <v>4</v>
      </c>
      <c r="C72" s="36" t="s">
        <v>284</v>
      </c>
    </row>
    <row r="75" spans="1:3" ht="18">
      <c r="A75" s="27" t="s">
        <v>246</v>
      </c>
      <c r="B75" s="27" t="s">
        <v>247</v>
      </c>
      <c r="C75" s="38" t="s">
        <v>356</v>
      </c>
    </row>
    <row r="76" spans="1:3">
      <c r="A76" s="29">
        <v>8</v>
      </c>
      <c r="B76" s="29">
        <v>1</v>
      </c>
      <c r="C76" s="103" t="s">
        <v>357</v>
      </c>
    </row>
    <row r="77" spans="1:3">
      <c r="A77" s="29">
        <v>8</v>
      </c>
      <c r="B77" s="29">
        <v>2</v>
      </c>
      <c r="C77" s="103" t="s">
        <v>358</v>
      </c>
    </row>
    <row r="78" spans="1:3">
      <c r="A78" s="29">
        <v>8</v>
      </c>
      <c r="B78" s="29">
        <v>3</v>
      </c>
      <c r="C78" s="103" t="s">
        <v>359</v>
      </c>
    </row>
    <row r="79" spans="1:3">
      <c r="A79" s="29">
        <v>8</v>
      </c>
      <c r="B79" s="29">
        <v>4</v>
      </c>
      <c r="C79" s="103" t="s">
        <v>360</v>
      </c>
    </row>
    <row r="80" spans="1:3">
      <c r="A80" s="29">
        <v>8</v>
      </c>
      <c r="B80" s="29">
        <v>5</v>
      </c>
      <c r="C80" s="103" t="s">
        <v>361</v>
      </c>
    </row>
    <row r="81" spans="1:3">
      <c r="A81" s="29">
        <v>8</v>
      </c>
      <c r="B81" s="29">
        <v>6</v>
      </c>
      <c r="C81" s="103" t="s">
        <v>362</v>
      </c>
    </row>
    <row r="82" spans="1:3">
      <c r="A82" s="29">
        <v>8</v>
      </c>
      <c r="B82" s="29">
        <v>7</v>
      </c>
      <c r="C82" s="103" t="s">
        <v>363</v>
      </c>
    </row>
    <row r="83" spans="1:3">
      <c r="A83" s="29">
        <v>8</v>
      </c>
      <c r="B83" s="29">
        <v>8</v>
      </c>
      <c r="C83" s="103" t="s">
        <v>364</v>
      </c>
    </row>
    <row r="86" spans="1:3" ht="18">
      <c r="A86" s="27" t="s">
        <v>246</v>
      </c>
      <c r="B86" s="27" t="s">
        <v>247</v>
      </c>
      <c r="C86" s="38" t="s">
        <v>400</v>
      </c>
    </row>
    <row r="87" spans="1:3">
      <c r="A87" s="29">
        <v>9</v>
      </c>
      <c r="B87" s="29">
        <v>1</v>
      </c>
      <c r="C87" s="36" t="s">
        <v>106</v>
      </c>
    </row>
    <row r="88" spans="1:3">
      <c r="A88" s="29">
        <v>9</v>
      </c>
      <c r="B88" s="29">
        <v>2</v>
      </c>
      <c r="C88" s="36" t="s">
        <v>107</v>
      </c>
    </row>
    <row r="89" spans="1:3">
      <c r="A89" s="29">
        <v>9</v>
      </c>
      <c r="B89" s="29">
        <v>3</v>
      </c>
      <c r="C89" s="36" t="s">
        <v>270</v>
      </c>
    </row>
    <row r="90" spans="1:3">
      <c r="A90" s="29">
        <v>9</v>
      </c>
      <c r="B90" s="29">
        <v>4</v>
      </c>
      <c r="C90" s="36" t="s">
        <v>285</v>
      </c>
    </row>
    <row r="92" spans="1:3">
      <c r="A92" s="27" t="s">
        <v>246</v>
      </c>
      <c r="B92" s="27" t="s">
        <v>247</v>
      </c>
      <c r="C92" s="28" t="s">
        <v>248</v>
      </c>
    </row>
    <row r="93" spans="1:3">
      <c r="A93" s="29">
        <v>10</v>
      </c>
      <c r="B93" s="29">
        <v>1</v>
      </c>
      <c r="C93" s="37" t="s">
        <v>365</v>
      </c>
    </row>
    <row r="96" spans="1:3">
      <c r="B96" s="39" t="s">
        <v>302</v>
      </c>
    </row>
  </sheetData>
  <hyperlinks>
    <hyperlink ref="C38" location="'Evolución Tituación Pregrado'!A1" display="Evolución titulación Pregrado 2008-2012"/>
    <hyperlink ref="C68" location="'Evolución Titulados Posgrado'!A1" display="Evolución titulación Posgrado 2008-2012"/>
    <hyperlink ref="C86" location="'Evolución Titulados Postítulo'!A1" display="Evolución titulación Postítulo 2008-2012"/>
    <hyperlink ref="C93" location="'Listado de Instituciones'!A1" display="Listado de instituciones participantes 2016"/>
    <hyperlink ref="C39:C54" location="'Evolución titulación pregrado'!A1" display="Evolución de Titulación Total de Pregrado por tipo de institución"/>
    <hyperlink ref="C39" location="'Evolución titulación pregrado'!A4" display="Evolución de Titulación Total de Pregrado por tipo de institución"/>
    <hyperlink ref="C40" location="'Evolución titulación pregrado'!A11" display="Evolución de Titulación Total de Pregrado por tipo de institución 2"/>
    <hyperlink ref="C41" location="'Evolución titulación pregrado'!A20" display="Evolución de Titulación Total de Pregrado por tipo de carrera"/>
    <hyperlink ref="C42" location="'Evolución titulación pregrado'!A28" display="Evolución de Titulación Total de Pregrado por tipo de carrera (técnico y profesional)"/>
    <hyperlink ref="C43" location="'Evolución titulación pregrado'!A36" display="Evolución de Titulación Total de Pregrado por tipo de institución y tipo de carrera"/>
    <hyperlink ref="C44" location="'Evolución titulación pregrado'!A50" display="Evolución de Titulación Total de Pregrado por tipo de institución 2 y tipo de carrera"/>
    <hyperlink ref="C45" location="'Evolución titulación pregrado'!A74" display="Evolución de Titulación Total de Pregrado por jornada"/>
    <hyperlink ref="C46" location="'Evolución titulación pregrado'!A83" display="Evolución de Titulación Total de Pregrado por área"/>
    <hyperlink ref="C47" location="'Evolución titulación pregrado'!A97" display="Evolución de Titulación Total de Pregrado en carreras de mayor titulación - CFT"/>
    <hyperlink ref="C48" location="'Evolución titulación pregrado'!A120" display="Evolución de Titulación Total de Pregrado en carreras de mayor titulación - IP"/>
    <hyperlink ref="C49" location="'Evolución titulación pregrado'!A143" display="Evolución de Titulación Total de Pregrado en carreras de mayor titulación - Universidades"/>
    <hyperlink ref="C50" location="'Evolución titulación pregrado'!A166" display="Evolución de Titulación Total de Pregrado por sexo"/>
    <hyperlink ref="C51" location="'Evolución titulación pregrado'!A172" display="Evolución de Titulación Total de Pregrado por sexo - CFT"/>
    <hyperlink ref="C52" location="'Evolución titulación pregrado'!A178" display="Evolución de Titulación Total de Pregrado por sexo - IP"/>
    <hyperlink ref="C53" location="'Evolución titulación pregrado'!A184" display="Evolución de Titulación Total de Pregrado por sexo - Universidades"/>
    <hyperlink ref="C54" location="'Evolución titulación pregrado'!A190" display="Evolución de Titulación Total de Pregrado por rango de edad"/>
    <hyperlink ref="C69:C71" location="'Evolución Titulación Posgrado'!A1" display="Evolución de Titulación Total de Posgrado por tipo de universidad"/>
    <hyperlink ref="C69" location="'Evolución Titulación Posgrado'!A4" display="Evolución de Titulación Total de Posgrado por tipo de universidad"/>
    <hyperlink ref="C70" location="'Evolución Titulación Posgrado'!A11" display="Evolución de Titulación Total de Posgrado por tipo de programa "/>
    <hyperlink ref="C71" location="'Evolución Titulación Posgrado'!A17" display="Evolución de Titulación Total de Posgrado por tipo de universidad y tipo de programa "/>
    <hyperlink ref="C87:C89" location="'Evolucion Titulacion postitulo'!A1" display="Evolución de Titulación Total de Postítulo por tipo de institución"/>
    <hyperlink ref="C87" location="'Evolucion Titulacion postitulo'!A4" display="Evolución de Titulación Total de Postítulo por tipo de institución"/>
    <hyperlink ref="C88" location="'Evolucion Titulacion postitulo'!A11" display="Evolución de Titulación Total de Postítulo por tipo de programa"/>
    <hyperlink ref="C89" location="'Evolucion Titulacion postitulo'!A18" display="Evolución de Titulación Total de Postítulo por tipo de institución y tipo de programa"/>
    <hyperlink ref="C72" location="'Evolución Titulación Posgrado'!A30" display="Evolución de Titulación Total de Pregrado por sexo y tipo de programa"/>
    <hyperlink ref="C90" location="'Evolucion Titulacion postitulo'!A31" display="Evolución de Titulación Total de Postítulo por sexo y tipo de programa"/>
    <hyperlink ref="C76:C83" location="'Titulacion Postitulo 2017'!A1" display="Titulación Total 2017 de Postítulo por tipo de universidad y tipo de programa"/>
    <hyperlink ref="C9:C14" location="'Titulación Total 2017'!A1" display="Titulación Total 2017 por tipo de institución y nivel de formación"/>
    <hyperlink ref="C9" location="'Titulación Total 2017'!A4" display="Titulación Total 2017 por tipo de institución y nivel de formación"/>
    <hyperlink ref="C10" location="'Titulación Total 2017'!A11" display="Titulación Total 2017 por tipo de institución y sexo"/>
    <hyperlink ref="C11" location="'Titulación Total 2017'!A18" display="Titulación Total 2017 por tipo de institución 2 y nivel de formación"/>
    <hyperlink ref="C12" location="'Titulación Total 2017'!A27" display="Titulación Total 2017 por tipo de institución 2 y sexo"/>
    <hyperlink ref="C13" location="'Titulación Total 2017'!A36" display="Titulación Total 2017 por región y sexo"/>
    <hyperlink ref="C14" location="'Titulación Total 2017'!A55" display="Titulación Total 2017  por área y sexo"/>
    <hyperlink ref="C17:C24" location="'Evolución Titulación Total'!A1" display="Evolución de Titulación Total por nivel de formación"/>
    <hyperlink ref="C17" location="'Evolución Titulación Total'!A4" display="Evolución de Titulación Total por nivel de formación"/>
    <hyperlink ref="C18" location="'Evolución Titulación Total'!A11" display="Evolución de Titulación Total por tipo de institución "/>
    <hyperlink ref="C19" location="'Evolución Titulación Total'!A18" display="Evolución de Titulación Total por tipo de institución y nivel de formación"/>
    <hyperlink ref="C20" location="'Evolución Titulación Total'!A32" display="Evolución de Titulación Total por tipo de institución 2 "/>
    <hyperlink ref="C21" location="'Evolución Titulación Total'!A41" display="Evolución de Titulación Total por tipo de institución 2 y nivel de formación"/>
    <hyperlink ref="C22" location="'Evolución Titulación Total'!A63" display="Evolución de Titulación Total por sexo"/>
    <hyperlink ref="C23" location="'Evolución Titulación Total'!A69" display="Evolución de Titulación Total por rango de edad y/o promedio de edad"/>
    <hyperlink ref="C24" location="'Evolución Titulación Total'!A81" display="Evolución de Titulación Total por región"/>
    <hyperlink ref="C28:C35" location="'Titulación Pregrado 2017'!A1" display="Titulación Total 2017 de Pregrado por sexo y tipo de institución"/>
    <hyperlink ref="C28" location="'Titulación Pregrado 2017'!A4" display="Titulación Total 2017 de Pregrado por sexo y tipo de institución"/>
    <hyperlink ref="C29" location="'Titulación Pregrado 2017'!A10" display="Titulación Total 2017 de Pregrado por rango de edad y tipo de institución "/>
    <hyperlink ref="C30" location="'Titulación Pregrado 2017'!A22" display="Titulación Total 2017 de Pregrado por tipo de carrera y tipo de institución"/>
    <hyperlink ref="C31" location="'Titulación Pregrado 2017'!A30" display="Titulación Total 2017 de Pregrado por área y tipo de institución"/>
    <hyperlink ref="C32" location="'Titulación Pregrado 2017'!A44" display="Titulación Total 2017 de Pregrado por área y sexo"/>
    <hyperlink ref="C33" location="'Titulación Pregrado 2017'!A58" display="Titulación Total 2017 de Pregrado por jornada y tipo de institución"/>
    <hyperlink ref="C34" location="'Titulación Pregrado 2017'!A67" display="Titulación Total 2017 de Pregrado por región y tipo de institución"/>
    <hyperlink ref="C35" location="'Titulación Pregrado 2017'!A85" display="Titulación Total 2017 de Pregrado por región y sexo"/>
    <hyperlink ref="C58:C65" location="'Titulación Posgrado 2017'!A1" display="Titulación Total 2017 de Posgrado por tipo de universidad y tipo de programa"/>
    <hyperlink ref="C58" location="'Titulación Posgrado 2017'!A4" display="Titulación Total 2017 de Posgrado por tipo de universidad y tipo de programa"/>
    <hyperlink ref="C59" location="'Titulación Posgrado 2017'!A11" display="Titulación Total 2017 de Posgrado por sexo y tipo de programa"/>
    <hyperlink ref="C60" location="'Titulación Posgrado 2017'!A17" display="Titulación Total 2017 de Posgrado por rango de edad y tipo de programa"/>
    <hyperlink ref="C61" location="'Titulación Posgrado 2017'!A28" display="Titulación Total 2017 de Posgrado por área y tipo de programa"/>
    <hyperlink ref="C62" location="'Titulación Posgrado 2017'!A42" display="Titulación Total 2017 de Posgrado por jornada y tipo de programa"/>
    <hyperlink ref="C63" location="'Titulación Posgrado 2017'!A51" display="Titulación Total 2017 de Posgrado por región y tipo de programa"/>
    <hyperlink ref="C64" location="'Titulación Posgrado 2017'!A70" display="Titulación Total 2017 de Posgrado por área y sexo"/>
    <hyperlink ref="C65" location="'Titulación Posgrado 2017'!A84" display="Titulación Total 2017 de Posgrado por región y sexo"/>
    <hyperlink ref="C76" location="'Titulacion Postitulo 2017'!A4" display="Titulación Total 2017 de Postítulo por tipo de universidad y tipo de programa"/>
    <hyperlink ref="C77" location="'Titulacion Postitulo 2017'!A11" display="Titulación Total 2017 de Postítulo por sexo y tipo de programa"/>
    <hyperlink ref="C78" location="'Titulacion Postitulo 2017'!A17" display="Titulación Total 2017 de Postítulo por rango de edad y tipo de programa"/>
    <hyperlink ref="C79" location="'Titulacion Postitulo 2017'!A29" display="Titulación Total 2017 de Postítulo por área y tipo de programa"/>
    <hyperlink ref="C80" location="'Titulacion Postitulo 2017'!A43" display="Titulación Total 2017 de Postítulo por jornada y tipo de programa"/>
    <hyperlink ref="C81" location="'Titulacion Postitulo 2017'!A52" display="Titulación Total 2017 de Postítulo por región y tipo de programa"/>
    <hyperlink ref="C82" location="'Titulacion Postitulo 2017'!A71" display="Titulación Total 2017 de Postítulo por área y sexo"/>
    <hyperlink ref="C83" location="'Titulacion Postitulo 2017'!A85" display="Titulación Total 2017 de Postítulo por región y sexo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showGridLines="0" workbookViewId="0">
      <pane ySplit="2" topLeftCell="A3" activePane="bottomLeft" state="frozen"/>
      <selection pane="bottomLeft"/>
    </sheetView>
  </sheetViews>
  <sheetFormatPr baseColWidth="10" defaultRowHeight="14" x14ac:dyDescent="0"/>
  <cols>
    <col min="1" max="1" width="40.1640625" style="1" customWidth="1"/>
    <col min="2" max="2" width="12.33203125" style="1" customWidth="1"/>
    <col min="3" max="3" width="12.5" style="1" customWidth="1"/>
    <col min="4" max="4" width="15.6640625" style="1" customWidth="1"/>
    <col min="5" max="5" width="14.33203125" style="1" customWidth="1"/>
    <col min="6" max="16384" width="10.83203125" style="1"/>
  </cols>
  <sheetData>
    <row r="1" spans="1:5" ht="20">
      <c r="A1" s="66" t="s">
        <v>366</v>
      </c>
      <c r="B1" s="40"/>
      <c r="C1" s="40"/>
      <c r="D1" s="40"/>
      <c r="E1" s="40"/>
    </row>
    <row r="2" spans="1:5" ht="15" customHeight="1">
      <c r="A2" s="67" t="s">
        <v>276</v>
      </c>
      <c r="B2" s="40"/>
      <c r="C2" s="40"/>
      <c r="D2" s="40"/>
      <c r="E2" s="40"/>
    </row>
    <row r="3" spans="1:5" ht="15" customHeight="1">
      <c r="A3" s="38"/>
      <c r="B3" s="40"/>
      <c r="C3" s="40"/>
      <c r="D3" s="40"/>
      <c r="E3" s="40"/>
    </row>
    <row r="4" spans="1:5" ht="15">
      <c r="A4" s="25" t="s">
        <v>332</v>
      </c>
      <c r="B4" s="40"/>
      <c r="C4" s="40"/>
      <c r="D4" s="40"/>
      <c r="E4" s="40"/>
    </row>
    <row r="5" spans="1:5">
      <c r="A5" s="88" t="s">
        <v>0</v>
      </c>
      <c r="B5" s="3" t="s">
        <v>1</v>
      </c>
      <c r="C5" s="3" t="s">
        <v>2</v>
      </c>
      <c r="D5" s="3" t="s">
        <v>3</v>
      </c>
      <c r="E5" s="84" t="s">
        <v>8</v>
      </c>
    </row>
    <row r="6" spans="1:5">
      <c r="A6" s="4" t="s">
        <v>5</v>
      </c>
      <c r="B6" s="4">
        <v>32188</v>
      </c>
      <c r="C6" s="4"/>
      <c r="D6" s="4">
        <v>10</v>
      </c>
      <c r="E6" s="4">
        <v>32198</v>
      </c>
    </row>
    <row r="7" spans="1:5">
      <c r="A7" s="4" t="s">
        <v>6</v>
      </c>
      <c r="B7" s="4">
        <v>77981</v>
      </c>
      <c r="C7" s="4"/>
      <c r="D7" s="4">
        <v>1164</v>
      </c>
      <c r="E7" s="4">
        <v>79145</v>
      </c>
    </row>
    <row r="8" spans="1:5">
      <c r="A8" s="4" t="s">
        <v>7</v>
      </c>
      <c r="B8" s="4">
        <v>92406</v>
      </c>
      <c r="C8" s="4">
        <v>14561</v>
      </c>
      <c r="D8" s="4">
        <v>21449</v>
      </c>
      <c r="E8" s="4">
        <v>128416</v>
      </c>
    </row>
    <row r="9" spans="1:5">
      <c r="A9" s="5" t="s">
        <v>4</v>
      </c>
      <c r="B9" s="5">
        <v>202575</v>
      </c>
      <c r="C9" s="5">
        <v>14561</v>
      </c>
      <c r="D9" s="5">
        <v>22623</v>
      </c>
      <c r="E9" s="5">
        <v>239759</v>
      </c>
    </row>
    <row r="10" spans="1:5">
      <c r="A10" s="40"/>
      <c r="B10" s="68"/>
      <c r="C10" s="68"/>
      <c r="D10" s="68"/>
      <c r="E10" s="68"/>
    </row>
    <row r="11" spans="1:5" ht="15">
      <c r="A11" s="25" t="s">
        <v>333</v>
      </c>
      <c r="B11" s="40"/>
      <c r="C11" s="40"/>
      <c r="D11" s="40"/>
      <c r="E11" s="40"/>
    </row>
    <row r="12" spans="1:5">
      <c r="A12" s="88" t="s">
        <v>0</v>
      </c>
      <c r="B12" s="7" t="s">
        <v>256</v>
      </c>
      <c r="C12" s="7" t="s">
        <v>257</v>
      </c>
      <c r="D12" s="84" t="s">
        <v>8</v>
      </c>
      <c r="E12" s="40"/>
    </row>
    <row r="13" spans="1:5">
      <c r="A13" s="4" t="s">
        <v>5</v>
      </c>
      <c r="B13" s="4">
        <v>17981</v>
      </c>
      <c r="C13" s="4">
        <v>14217</v>
      </c>
      <c r="D13" s="4">
        <f>SUM(B13:C13)</f>
        <v>32198</v>
      </c>
      <c r="E13" s="40"/>
    </row>
    <row r="14" spans="1:5">
      <c r="A14" s="4" t="s">
        <v>6</v>
      </c>
      <c r="B14" s="4">
        <v>45473</v>
      </c>
      <c r="C14" s="4">
        <v>33672</v>
      </c>
      <c r="D14" s="4">
        <f t="shared" ref="D14:D16" si="0">SUM(B14:C14)</f>
        <v>79145</v>
      </c>
      <c r="E14" s="40"/>
    </row>
    <row r="15" spans="1:5">
      <c r="A15" s="4" t="s">
        <v>7</v>
      </c>
      <c r="B15" s="4">
        <v>72715</v>
      </c>
      <c r="C15" s="4">
        <v>55701</v>
      </c>
      <c r="D15" s="4">
        <f t="shared" si="0"/>
        <v>128416</v>
      </c>
      <c r="E15" s="40"/>
    </row>
    <row r="16" spans="1:5">
      <c r="A16" s="5" t="s">
        <v>4</v>
      </c>
      <c r="B16" s="5">
        <v>136169</v>
      </c>
      <c r="C16" s="5">
        <v>103590</v>
      </c>
      <c r="D16" s="5">
        <f t="shared" si="0"/>
        <v>239759</v>
      </c>
      <c r="E16" s="40"/>
    </row>
    <row r="17" spans="1:5">
      <c r="A17" s="40"/>
      <c r="B17" s="68"/>
      <c r="C17" s="68"/>
      <c r="D17" s="68"/>
      <c r="E17" s="40"/>
    </row>
    <row r="18" spans="1:5" ht="15">
      <c r="A18" s="25" t="s">
        <v>334</v>
      </c>
      <c r="B18" s="40"/>
      <c r="C18" s="40"/>
      <c r="D18" s="40"/>
      <c r="E18" s="40"/>
    </row>
    <row r="19" spans="1:5">
      <c r="A19" s="88" t="s">
        <v>0</v>
      </c>
      <c r="B19" s="3" t="s">
        <v>1</v>
      </c>
      <c r="C19" s="3" t="s">
        <v>2</v>
      </c>
      <c r="D19" s="3" t="s">
        <v>3</v>
      </c>
      <c r="E19" s="7" t="s">
        <v>8</v>
      </c>
    </row>
    <row r="20" spans="1:5">
      <c r="A20" s="4" t="s">
        <v>5</v>
      </c>
      <c r="B20" s="4">
        <v>32188</v>
      </c>
      <c r="C20" s="4"/>
      <c r="D20" s="4">
        <v>10</v>
      </c>
      <c r="E20" s="4">
        <v>32198</v>
      </c>
    </row>
    <row r="21" spans="1:5">
      <c r="A21" s="4" t="s">
        <v>6</v>
      </c>
      <c r="B21" s="4">
        <v>77981</v>
      </c>
      <c r="C21" s="4"/>
      <c r="D21" s="4">
        <v>1164</v>
      </c>
      <c r="E21" s="4">
        <v>79145</v>
      </c>
    </row>
    <row r="22" spans="1:5">
      <c r="A22" s="32" t="s">
        <v>291</v>
      </c>
      <c r="B22" s="4">
        <v>23601</v>
      </c>
      <c r="C22" s="4">
        <v>3990</v>
      </c>
      <c r="D22" s="4">
        <v>1903</v>
      </c>
      <c r="E22" s="4">
        <v>29494</v>
      </c>
    </row>
    <row r="23" spans="1:5">
      <c r="A23" s="32" t="s">
        <v>292</v>
      </c>
      <c r="B23" s="4">
        <v>18270</v>
      </c>
      <c r="C23" s="4">
        <v>3416</v>
      </c>
      <c r="D23" s="4">
        <v>8551</v>
      </c>
      <c r="E23" s="4">
        <v>30237</v>
      </c>
    </row>
    <row r="24" spans="1:5">
      <c r="A24" s="32" t="s">
        <v>293</v>
      </c>
      <c r="B24" s="4">
        <v>50535</v>
      </c>
      <c r="C24" s="4">
        <v>7155</v>
      </c>
      <c r="D24" s="4">
        <v>10995</v>
      </c>
      <c r="E24" s="4">
        <v>68685</v>
      </c>
    </row>
    <row r="25" spans="1:5">
      <c r="A25" s="5" t="s">
        <v>4</v>
      </c>
      <c r="B25" s="5">
        <v>202575</v>
      </c>
      <c r="C25" s="5">
        <v>14561</v>
      </c>
      <c r="D25" s="5">
        <v>22623</v>
      </c>
      <c r="E25" s="5">
        <v>239759</v>
      </c>
    </row>
    <row r="26" spans="1:5">
      <c r="A26" s="40"/>
      <c r="B26" s="68"/>
      <c r="C26" s="68"/>
      <c r="D26" s="68"/>
      <c r="E26" s="68"/>
    </row>
    <row r="27" spans="1:5" ht="15">
      <c r="A27" s="25" t="s">
        <v>335</v>
      </c>
      <c r="B27" s="40"/>
      <c r="C27" s="40"/>
      <c r="D27" s="40"/>
      <c r="E27" s="40"/>
    </row>
    <row r="28" spans="1:5">
      <c r="A28" s="88" t="s">
        <v>0</v>
      </c>
      <c r="B28" s="7" t="s">
        <v>256</v>
      </c>
      <c r="C28" s="7" t="s">
        <v>257</v>
      </c>
      <c r="D28" s="7" t="s">
        <v>8</v>
      </c>
      <c r="E28" s="40"/>
    </row>
    <row r="29" spans="1:5">
      <c r="A29" s="4" t="s">
        <v>5</v>
      </c>
      <c r="B29" s="4">
        <v>17981</v>
      </c>
      <c r="C29" s="4">
        <v>14217</v>
      </c>
      <c r="D29" s="4">
        <f>SUM(B29:C29)</f>
        <v>32198</v>
      </c>
      <c r="E29" s="40"/>
    </row>
    <row r="30" spans="1:5">
      <c r="A30" s="4" t="s">
        <v>6</v>
      </c>
      <c r="B30" s="4">
        <v>45473</v>
      </c>
      <c r="C30" s="4">
        <v>33672</v>
      </c>
      <c r="D30" s="4">
        <f t="shared" ref="D30:D34" si="1">SUM(B30:C30)</f>
        <v>79145</v>
      </c>
      <c r="E30" s="40"/>
    </row>
    <row r="31" spans="1:5">
      <c r="A31" s="32" t="s">
        <v>291</v>
      </c>
      <c r="B31" s="4">
        <v>15302</v>
      </c>
      <c r="C31" s="4">
        <v>14192</v>
      </c>
      <c r="D31" s="4">
        <f t="shared" si="1"/>
        <v>29494</v>
      </c>
      <c r="E31" s="40"/>
    </row>
    <row r="32" spans="1:5">
      <c r="A32" s="32" t="s">
        <v>292</v>
      </c>
      <c r="B32" s="4">
        <v>16296</v>
      </c>
      <c r="C32" s="4">
        <v>13941</v>
      </c>
      <c r="D32" s="4">
        <f t="shared" si="1"/>
        <v>30237</v>
      </c>
      <c r="E32" s="40"/>
    </row>
    <row r="33" spans="1:6">
      <c r="A33" s="32" t="s">
        <v>293</v>
      </c>
      <c r="B33" s="4">
        <v>41117</v>
      </c>
      <c r="C33" s="4">
        <v>27568</v>
      </c>
      <c r="D33" s="4">
        <f t="shared" si="1"/>
        <v>68685</v>
      </c>
      <c r="E33" s="40"/>
    </row>
    <row r="34" spans="1:6">
      <c r="A34" s="5" t="s">
        <v>4</v>
      </c>
      <c r="B34" s="5">
        <v>136169</v>
      </c>
      <c r="C34" s="5">
        <v>103590</v>
      </c>
      <c r="D34" s="5">
        <f t="shared" si="1"/>
        <v>239759</v>
      </c>
      <c r="E34" s="40"/>
    </row>
    <row r="35" spans="1:6">
      <c r="A35" s="40"/>
      <c r="B35" s="68"/>
      <c r="C35" s="68"/>
      <c r="D35" s="68"/>
      <c r="E35" s="40"/>
    </row>
    <row r="36" spans="1:6" ht="15">
      <c r="A36" s="25" t="s">
        <v>336</v>
      </c>
      <c r="B36" s="40"/>
      <c r="C36" s="40"/>
      <c r="D36" s="40"/>
      <c r="E36" s="40"/>
    </row>
    <row r="37" spans="1:6" ht="15" customHeight="1">
      <c r="A37" s="88" t="s">
        <v>9</v>
      </c>
      <c r="B37" s="7" t="s">
        <v>256</v>
      </c>
      <c r="C37" s="7" t="s">
        <v>257</v>
      </c>
      <c r="D37" s="7" t="s">
        <v>8</v>
      </c>
      <c r="E37" s="40"/>
    </row>
    <row r="38" spans="1:6">
      <c r="A38" s="8" t="s">
        <v>303</v>
      </c>
      <c r="B38" s="9">
        <v>1635</v>
      </c>
      <c r="C38" s="9">
        <v>1071</v>
      </c>
      <c r="D38" s="9">
        <f>SUM(B38:C38)</f>
        <v>2706</v>
      </c>
      <c r="E38" s="40"/>
      <c r="F38"/>
    </row>
    <row r="39" spans="1:6">
      <c r="A39" s="8" t="s">
        <v>304</v>
      </c>
      <c r="B39" s="9">
        <v>1576</v>
      </c>
      <c r="C39" s="9">
        <v>1271</v>
      </c>
      <c r="D39" s="9">
        <f t="shared" ref="D39:D53" si="2">SUM(B39:C39)</f>
        <v>2847</v>
      </c>
      <c r="E39" s="40"/>
      <c r="F39"/>
    </row>
    <row r="40" spans="1:6">
      <c r="A40" s="8" t="s">
        <v>305</v>
      </c>
      <c r="B40" s="9">
        <v>3907</v>
      </c>
      <c r="C40" s="9">
        <v>3209</v>
      </c>
      <c r="D40" s="9">
        <f t="shared" si="2"/>
        <v>7116</v>
      </c>
      <c r="E40" s="40"/>
      <c r="F40"/>
    </row>
    <row r="41" spans="1:6">
      <c r="A41" s="8" t="s">
        <v>306</v>
      </c>
      <c r="B41" s="9">
        <v>1072</v>
      </c>
      <c r="C41" s="9">
        <v>952</v>
      </c>
      <c r="D41" s="9">
        <f t="shared" si="2"/>
        <v>2024</v>
      </c>
      <c r="E41" s="40"/>
      <c r="F41"/>
    </row>
    <row r="42" spans="1:6">
      <c r="A42" s="8" t="s">
        <v>307</v>
      </c>
      <c r="B42" s="9">
        <v>4216</v>
      </c>
      <c r="C42" s="9">
        <v>3267</v>
      </c>
      <c r="D42" s="9">
        <f t="shared" si="2"/>
        <v>7483</v>
      </c>
      <c r="E42" s="40"/>
      <c r="F42"/>
    </row>
    <row r="43" spans="1:6">
      <c r="A43" s="90" t="s">
        <v>308</v>
      </c>
      <c r="B43" s="9">
        <v>13573</v>
      </c>
      <c r="C43" s="9">
        <v>10647</v>
      </c>
      <c r="D43" s="9">
        <f t="shared" si="2"/>
        <v>24220</v>
      </c>
      <c r="E43" s="40"/>
      <c r="F43"/>
    </row>
    <row r="44" spans="1:6">
      <c r="A44" s="90" t="s">
        <v>329</v>
      </c>
      <c r="B44" s="9">
        <v>66408</v>
      </c>
      <c r="C44" s="9">
        <v>53759</v>
      </c>
      <c r="D44" s="9">
        <f t="shared" si="2"/>
        <v>120167</v>
      </c>
      <c r="E44" s="40"/>
      <c r="F44"/>
    </row>
    <row r="45" spans="1:6">
      <c r="A45" s="90" t="s">
        <v>309</v>
      </c>
      <c r="B45" s="9">
        <v>3805</v>
      </c>
      <c r="C45" s="9">
        <v>2801</v>
      </c>
      <c r="D45" s="9">
        <f t="shared" si="2"/>
        <v>6606</v>
      </c>
      <c r="E45" s="40"/>
      <c r="F45"/>
    </row>
    <row r="46" spans="1:6">
      <c r="A46" s="8" t="s">
        <v>310</v>
      </c>
      <c r="B46" s="9">
        <v>6048</v>
      </c>
      <c r="C46" s="9">
        <v>3996</v>
      </c>
      <c r="D46" s="9">
        <f t="shared" si="2"/>
        <v>10044</v>
      </c>
      <c r="E46" s="40"/>
      <c r="F46"/>
    </row>
    <row r="47" spans="1:6">
      <c r="A47" s="8" t="s">
        <v>311</v>
      </c>
      <c r="B47" s="9">
        <v>18083</v>
      </c>
      <c r="C47" s="9">
        <v>12950</v>
      </c>
      <c r="D47" s="9">
        <f t="shared" si="2"/>
        <v>31033</v>
      </c>
      <c r="E47" s="40"/>
      <c r="F47"/>
    </row>
    <row r="48" spans="1:6">
      <c r="A48" s="8" t="s">
        <v>312</v>
      </c>
      <c r="B48" s="9">
        <v>6855</v>
      </c>
      <c r="C48" s="9">
        <v>3961</v>
      </c>
      <c r="D48" s="9">
        <f t="shared" si="2"/>
        <v>10816</v>
      </c>
      <c r="E48" s="40"/>
      <c r="F48"/>
    </row>
    <row r="49" spans="1:6">
      <c r="A49" s="8" t="s">
        <v>313</v>
      </c>
      <c r="B49" s="9">
        <v>2472</v>
      </c>
      <c r="C49" s="9">
        <v>1724</v>
      </c>
      <c r="D49" s="9">
        <f t="shared" si="2"/>
        <v>4196</v>
      </c>
      <c r="E49" s="40"/>
      <c r="F49"/>
    </row>
    <row r="50" spans="1:6">
      <c r="A50" s="8" t="s">
        <v>314</v>
      </c>
      <c r="B50" s="9">
        <v>5303</v>
      </c>
      <c r="C50" s="9">
        <v>3165</v>
      </c>
      <c r="D50" s="9">
        <f t="shared" si="2"/>
        <v>8468</v>
      </c>
      <c r="E50" s="40"/>
      <c r="F50"/>
    </row>
    <row r="51" spans="1:6">
      <c r="A51" s="90" t="s">
        <v>315</v>
      </c>
      <c r="B51" s="9">
        <v>370</v>
      </c>
      <c r="C51" s="9">
        <v>178</v>
      </c>
      <c r="D51" s="9">
        <f t="shared" si="2"/>
        <v>548</v>
      </c>
      <c r="E51" s="40"/>
      <c r="F51"/>
    </row>
    <row r="52" spans="1:6">
      <c r="A52" s="90" t="s">
        <v>316</v>
      </c>
      <c r="B52" s="9">
        <v>846</v>
      </c>
      <c r="C52" s="9">
        <v>639</v>
      </c>
      <c r="D52" s="9">
        <f t="shared" si="2"/>
        <v>1485</v>
      </c>
      <c r="E52" s="40"/>
      <c r="F52"/>
    </row>
    <row r="53" spans="1:6">
      <c r="A53" s="10" t="s">
        <v>4</v>
      </c>
      <c r="B53" s="11">
        <v>136169</v>
      </c>
      <c r="C53" s="11">
        <v>103590</v>
      </c>
      <c r="D53" s="11">
        <f t="shared" si="2"/>
        <v>239759</v>
      </c>
      <c r="E53" s="40"/>
    </row>
    <row r="54" spans="1:6">
      <c r="A54" s="40"/>
      <c r="B54" s="40"/>
      <c r="C54" s="40"/>
      <c r="D54" s="40"/>
      <c r="E54" s="69"/>
    </row>
    <row r="55" spans="1:6" ht="15">
      <c r="A55" s="25" t="s">
        <v>337</v>
      </c>
      <c r="B55" s="40"/>
      <c r="C55" s="40"/>
      <c r="D55" s="40"/>
      <c r="E55" s="40"/>
    </row>
    <row r="56" spans="1:6">
      <c r="A56" s="88" t="s">
        <v>10</v>
      </c>
      <c r="B56" s="7" t="s">
        <v>256</v>
      </c>
      <c r="C56" s="7" t="s">
        <v>257</v>
      </c>
      <c r="D56" s="7" t="s">
        <v>8</v>
      </c>
      <c r="E56" s="40"/>
    </row>
    <row r="57" spans="1:6">
      <c r="A57" s="8" t="s">
        <v>11</v>
      </c>
      <c r="B57" s="99">
        <v>30128</v>
      </c>
      <c r="C57" s="99">
        <v>22581</v>
      </c>
      <c r="D57" s="99">
        <f>SUM(B57:C57)</f>
        <v>52709</v>
      </c>
      <c r="E57" s="68"/>
    </row>
    <row r="58" spans="1:6">
      <c r="A58" s="8" t="s">
        <v>12</v>
      </c>
      <c r="B58" s="99">
        <v>1984</v>
      </c>
      <c r="C58" s="99">
        <v>2222</v>
      </c>
      <c r="D58" s="99">
        <f t="shared" ref="D58:D67" si="3">SUM(B58:C58)</f>
        <v>4206</v>
      </c>
      <c r="E58" s="68"/>
    </row>
    <row r="59" spans="1:6">
      <c r="A59" s="8" t="s">
        <v>13</v>
      </c>
      <c r="B59" s="99">
        <v>4678</v>
      </c>
      <c r="C59" s="99">
        <v>3381</v>
      </c>
      <c r="D59" s="99">
        <f t="shared" si="3"/>
        <v>8059</v>
      </c>
      <c r="E59" s="68"/>
    </row>
    <row r="60" spans="1:6">
      <c r="A60" s="8" t="s">
        <v>14</v>
      </c>
      <c r="B60" s="99">
        <v>1072</v>
      </c>
      <c r="C60" s="99">
        <v>1341</v>
      </c>
      <c r="D60" s="99">
        <f t="shared" si="3"/>
        <v>2413</v>
      </c>
      <c r="E60" s="68"/>
    </row>
    <row r="61" spans="1:6">
      <c r="A61" s="8" t="s">
        <v>15</v>
      </c>
      <c r="B61" s="99">
        <v>15700</v>
      </c>
      <c r="C61" s="99">
        <v>6837</v>
      </c>
      <c r="D61" s="99">
        <f t="shared" si="3"/>
        <v>22537</v>
      </c>
      <c r="E61" s="68"/>
    </row>
    <row r="62" spans="1:6">
      <c r="A62" s="8" t="s">
        <v>16</v>
      </c>
      <c r="B62" s="99">
        <v>3568</v>
      </c>
      <c r="C62" s="99">
        <v>3402</v>
      </c>
      <c r="D62" s="99">
        <f t="shared" si="3"/>
        <v>6970</v>
      </c>
      <c r="E62" s="68"/>
    </row>
    <row r="63" spans="1:6">
      <c r="A63" s="8" t="s">
        <v>17</v>
      </c>
      <c r="B63" s="99">
        <v>29780</v>
      </c>
      <c r="C63" s="99">
        <v>8215</v>
      </c>
      <c r="D63" s="99">
        <f t="shared" si="3"/>
        <v>37995</v>
      </c>
      <c r="E63" s="68"/>
    </row>
    <row r="64" spans="1:6">
      <c r="A64" s="8" t="s">
        <v>18</v>
      </c>
      <c r="B64" s="99">
        <v>1180</v>
      </c>
      <c r="C64" s="99">
        <v>692</v>
      </c>
      <c r="D64" s="99">
        <f t="shared" si="3"/>
        <v>1872</v>
      </c>
      <c r="E64" s="68"/>
    </row>
    <row r="65" spans="1:5">
      <c r="A65" s="8" t="s">
        <v>19</v>
      </c>
      <c r="B65" s="99">
        <v>33597</v>
      </c>
      <c r="C65" s="99">
        <v>10026</v>
      </c>
      <c r="D65" s="99">
        <f t="shared" si="3"/>
        <v>43623</v>
      </c>
      <c r="E65" s="68"/>
    </row>
    <row r="66" spans="1:5">
      <c r="A66" s="8" t="s">
        <v>20</v>
      </c>
      <c r="B66" s="99">
        <v>14482</v>
      </c>
      <c r="C66" s="99">
        <v>44893</v>
      </c>
      <c r="D66" s="99">
        <f t="shared" si="3"/>
        <v>59375</v>
      </c>
      <c r="E66" s="68"/>
    </row>
    <row r="67" spans="1:5">
      <c r="A67" s="10" t="s">
        <v>4</v>
      </c>
      <c r="B67" s="100">
        <v>136169</v>
      </c>
      <c r="C67" s="100">
        <v>103590</v>
      </c>
      <c r="D67" s="100">
        <f t="shared" si="3"/>
        <v>239759</v>
      </c>
      <c r="E67" s="68"/>
    </row>
    <row r="68" spans="1:5">
      <c r="A68" s="40"/>
      <c r="B68" s="40"/>
      <c r="C68" s="40"/>
      <c r="D68" s="40"/>
      <c r="E68" s="40"/>
    </row>
    <row r="69" spans="1:5">
      <c r="A69" s="40"/>
      <c r="B69" s="40"/>
      <c r="C69" s="40"/>
      <c r="D69" s="40"/>
      <c r="E69" s="40"/>
    </row>
    <row r="70" spans="1:5">
      <c r="A70" s="70" t="s">
        <v>294</v>
      </c>
      <c r="B70" s="40"/>
      <c r="C70" s="40"/>
      <c r="D70" s="40"/>
      <c r="E70" s="40"/>
    </row>
    <row r="71" spans="1:5">
      <c r="A71" s="40"/>
      <c r="B71" s="40"/>
      <c r="C71" s="40"/>
      <c r="D71" s="40"/>
      <c r="E71" s="40"/>
    </row>
    <row r="72" spans="1:5">
      <c r="A72" s="71" t="s">
        <v>21</v>
      </c>
      <c r="B72" s="40"/>
      <c r="C72" s="40"/>
      <c r="D72" s="40"/>
      <c r="E72" s="40"/>
    </row>
    <row r="73" spans="1:5">
      <c r="A73" s="40"/>
      <c r="B73" s="40"/>
      <c r="C73" s="40"/>
      <c r="D73" s="40"/>
      <c r="E73" s="40"/>
    </row>
    <row r="77" spans="1:5">
      <c r="B77" s="88"/>
    </row>
  </sheetData>
  <conditionalFormatting sqref="E57:E6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2" location="Indice!A5" display="Volver al índice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E57:E66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showGridLines="0" workbookViewId="0">
      <pane ySplit="2" topLeftCell="A3" activePane="bottomLeft" state="frozen"/>
      <selection pane="bottomLeft" activeCell="M9" sqref="M9"/>
    </sheetView>
  </sheetViews>
  <sheetFormatPr baseColWidth="10" defaultRowHeight="14" x14ac:dyDescent="0"/>
  <cols>
    <col min="1" max="1" width="26.5" style="1" customWidth="1"/>
    <col min="2" max="11" width="10.6640625" style="1" customWidth="1"/>
    <col min="12" max="12" width="14.5" style="1" customWidth="1"/>
    <col min="13" max="13" width="14" style="1" customWidth="1"/>
    <col min="14" max="14" width="13.83203125" style="1" customWidth="1"/>
    <col min="15" max="15" width="20.5" style="1" customWidth="1"/>
    <col min="16" max="16384" width="10.83203125" style="1"/>
  </cols>
  <sheetData>
    <row r="1" spans="1:14" ht="20">
      <c r="A1" s="66" t="s">
        <v>370</v>
      </c>
      <c r="B1" s="66"/>
      <c r="C1" s="66"/>
      <c r="D1" s="66"/>
      <c r="E1" s="66"/>
      <c r="F1" s="40"/>
      <c r="G1" s="40"/>
      <c r="H1" s="40"/>
      <c r="I1" s="40"/>
      <c r="J1" s="40"/>
      <c r="K1" s="40"/>
      <c r="L1" s="40"/>
      <c r="M1" s="40"/>
      <c r="N1" s="40"/>
    </row>
    <row r="2" spans="1:14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>
      <c r="A3" s="72"/>
      <c r="B3" s="72"/>
      <c r="C3" s="72"/>
      <c r="D3" s="72"/>
      <c r="E3" s="72"/>
      <c r="F3" s="40"/>
      <c r="G3" s="40"/>
      <c r="H3" s="40"/>
      <c r="I3" s="40"/>
      <c r="J3" s="40"/>
      <c r="K3" s="40"/>
      <c r="L3" s="40"/>
      <c r="M3" s="40"/>
      <c r="N3" s="40"/>
    </row>
    <row r="4" spans="1:14" ht="15">
      <c r="A4" s="25" t="s">
        <v>265</v>
      </c>
      <c r="B4" s="25"/>
      <c r="C4" s="25"/>
      <c r="D4" s="25"/>
      <c r="E4" s="25"/>
      <c r="F4" s="40"/>
      <c r="G4" s="40"/>
      <c r="H4" s="40"/>
      <c r="I4" s="40"/>
      <c r="J4" s="40"/>
      <c r="K4" s="40"/>
      <c r="L4" s="40"/>
      <c r="M4" s="40"/>
      <c r="N4" s="40"/>
    </row>
    <row r="5" spans="1:14" ht="28">
      <c r="A5" s="88" t="s">
        <v>277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13" t="s">
        <v>369</v>
      </c>
      <c r="M5" s="13" t="s">
        <v>368</v>
      </c>
      <c r="N5" s="13" t="s">
        <v>367</v>
      </c>
    </row>
    <row r="6" spans="1:14">
      <c r="A6" s="4" t="s">
        <v>1</v>
      </c>
      <c r="B6" s="4">
        <v>97760</v>
      </c>
      <c r="C6" s="4">
        <v>108829</v>
      </c>
      <c r="D6" s="4">
        <v>102025</v>
      </c>
      <c r="E6" s="4">
        <v>120137</v>
      </c>
      <c r="F6" s="4">
        <v>135180</v>
      </c>
      <c r="G6" s="4">
        <v>156814</v>
      </c>
      <c r="H6" s="4">
        <v>170608</v>
      </c>
      <c r="I6" s="4">
        <v>187514</v>
      </c>
      <c r="J6" s="4">
        <v>195838</v>
      </c>
      <c r="K6" s="4">
        <v>202575</v>
      </c>
      <c r="L6" s="101">
        <f>(K6-B6)/B6</f>
        <v>1.0721665302782324</v>
      </c>
      <c r="M6" s="101">
        <f>(K6-J6)/J6</f>
        <v>3.4400882361952226E-2</v>
      </c>
      <c r="N6" s="14">
        <f>K6/K$9</f>
        <v>0.84491093139360773</v>
      </c>
    </row>
    <row r="7" spans="1:14">
      <c r="A7" s="4" t="s">
        <v>2</v>
      </c>
      <c r="B7" s="4">
        <v>6256</v>
      </c>
      <c r="C7" s="4">
        <v>8671</v>
      </c>
      <c r="D7" s="4">
        <v>8135</v>
      </c>
      <c r="E7" s="4">
        <v>10034</v>
      </c>
      <c r="F7" s="4">
        <v>10711</v>
      </c>
      <c r="G7" s="4">
        <v>12631</v>
      </c>
      <c r="H7" s="4">
        <v>12949</v>
      </c>
      <c r="I7" s="4">
        <v>13925</v>
      </c>
      <c r="J7" s="4">
        <v>13873</v>
      </c>
      <c r="K7" s="4">
        <v>14561</v>
      </c>
      <c r="L7" s="101">
        <f t="shared" ref="L7:L9" si="0">(K7-B7)/B7</f>
        <v>1.3275255754475703</v>
      </c>
      <c r="M7" s="101">
        <f t="shared" ref="M7:M9" si="1">(K7-J7)/J7</f>
        <v>4.9592734087796436E-2</v>
      </c>
      <c r="N7" s="14">
        <f t="shared" ref="N7:N8" si="2">K7/K$9</f>
        <v>6.0731818200776611E-2</v>
      </c>
    </row>
    <row r="8" spans="1:14">
      <c r="A8" s="4" t="s">
        <v>3</v>
      </c>
      <c r="B8" s="4">
        <v>7669</v>
      </c>
      <c r="C8" s="4">
        <v>8805</v>
      </c>
      <c r="D8" s="4">
        <v>8856</v>
      </c>
      <c r="E8" s="4">
        <v>8699</v>
      </c>
      <c r="F8" s="4">
        <v>9757</v>
      </c>
      <c r="G8" s="4">
        <v>12523</v>
      </c>
      <c r="H8" s="4">
        <v>12921</v>
      </c>
      <c r="I8" s="4">
        <v>13528</v>
      </c>
      <c r="J8" s="4">
        <v>18950</v>
      </c>
      <c r="K8" s="4">
        <v>22623</v>
      </c>
      <c r="L8" s="101">
        <f t="shared" si="0"/>
        <v>1.9499282826965707</v>
      </c>
      <c r="M8" s="101">
        <f t="shared" si="1"/>
        <v>0.19382585751978892</v>
      </c>
      <c r="N8" s="14">
        <f t="shared" si="2"/>
        <v>9.4357250405615642E-2</v>
      </c>
    </row>
    <row r="9" spans="1:14">
      <c r="A9" s="5" t="s">
        <v>4</v>
      </c>
      <c r="B9" s="5">
        <v>111685</v>
      </c>
      <c r="C9" s="5">
        <v>126305</v>
      </c>
      <c r="D9" s="5">
        <v>119016</v>
      </c>
      <c r="E9" s="5">
        <v>138870</v>
      </c>
      <c r="F9" s="5">
        <v>155648</v>
      </c>
      <c r="G9" s="5">
        <v>181968</v>
      </c>
      <c r="H9" s="5">
        <v>196478</v>
      </c>
      <c r="I9" s="5">
        <v>214967</v>
      </c>
      <c r="J9" s="5">
        <v>228661</v>
      </c>
      <c r="K9" s="5">
        <v>239759</v>
      </c>
      <c r="L9" s="83">
        <f t="shared" si="0"/>
        <v>1.1467430720329499</v>
      </c>
      <c r="M9" s="83">
        <f t="shared" si="1"/>
        <v>4.8534730452503928E-2</v>
      </c>
      <c r="N9" s="16">
        <f>SUM(N6:N8)</f>
        <v>1</v>
      </c>
    </row>
    <row r="10" spans="1:14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 ht="15">
      <c r="A11" s="25" t="s">
        <v>22</v>
      </c>
      <c r="B11" s="25"/>
      <c r="C11" s="25"/>
      <c r="D11" s="25"/>
      <c r="E11" s="25"/>
      <c r="F11" s="40"/>
      <c r="G11" s="40"/>
      <c r="H11" s="40"/>
      <c r="I11" s="40"/>
      <c r="J11" s="40"/>
      <c r="K11" s="40"/>
      <c r="L11" s="40"/>
      <c r="M11" s="40"/>
      <c r="N11" s="40"/>
    </row>
    <row r="12" spans="1:14" ht="28">
      <c r="A12" s="88" t="s">
        <v>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13" t="s">
        <v>369</v>
      </c>
      <c r="M12" s="13" t="s">
        <v>368</v>
      </c>
      <c r="N12" s="13" t="s">
        <v>367</v>
      </c>
    </row>
    <row r="13" spans="1:14">
      <c r="A13" s="4" t="s">
        <v>5</v>
      </c>
      <c r="B13" s="4">
        <v>19314</v>
      </c>
      <c r="C13" s="4">
        <v>16646</v>
      </c>
      <c r="D13" s="4">
        <v>13853</v>
      </c>
      <c r="E13" s="4">
        <v>22296</v>
      </c>
      <c r="F13" s="4">
        <v>25494</v>
      </c>
      <c r="G13" s="4">
        <v>28375</v>
      </c>
      <c r="H13" s="4">
        <v>27844</v>
      </c>
      <c r="I13" s="4">
        <v>30536</v>
      </c>
      <c r="J13" s="4">
        <v>33694</v>
      </c>
      <c r="K13" s="4">
        <v>32198</v>
      </c>
      <c r="L13" s="101">
        <f t="shared" ref="L13:L16" si="3">(K13-B13)/B13</f>
        <v>0.66708087397742566</v>
      </c>
      <c r="M13" s="101">
        <f t="shared" ref="M13:M16" si="4">(K13-J13)/J13</f>
        <v>-4.4399596367305755E-2</v>
      </c>
      <c r="N13" s="14">
        <f t="shared" ref="N13:N16" si="5">K13/K$9</f>
        <v>0.13429318607434965</v>
      </c>
    </row>
    <row r="14" spans="1:14">
      <c r="A14" s="4" t="s">
        <v>6</v>
      </c>
      <c r="B14" s="4">
        <v>18682</v>
      </c>
      <c r="C14" s="4">
        <v>23691</v>
      </c>
      <c r="D14" s="4">
        <v>23644</v>
      </c>
      <c r="E14" s="4">
        <v>30682</v>
      </c>
      <c r="F14" s="4">
        <v>38127</v>
      </c>
      <c r="G14" s="4">
        <v>47162</v>
      </c>
      <c r="H14" s="4">
        <v>55823</v>
      </c>
      <c r="I14" s="4">
        <v>67526</v>
      </c>
      <c r="J14" s="4">
        <v>75627</v>
      </c>
      <c r="K14" s="4">
        <v>79145</v>
      </c>
      <c r="L14" s="101">
        <f t="shared" si="3"/>
        <v>3.2364307889947543</v>
      </c>
      <c r="M14" s="101">
        <f t="shared" si="4"/>
        <v>4.6517778042233594E-2</v>
      </c>
      <c r="N14" s="14">
        <f t="shared" si="5"/>
        <v>0.33010231107070015</v>
      </c>
    </row>
    <row r="15" spans="1:14">
      <c r="A15" s="4" t="s">
        <v>7</v>
      </c>
      <c r="B15" s="4">
        <v>73689</v>
      </c>
      <c r="C15" s="4">
        <v>85968</v>
      </c>
      <c r="D15" s="4">
        <v>81519</v>
      </c>
      <c r="E15" s="4">
        <v>85892</v>
      </c>
      <c r="F15" s="4">
        <v>92027</v>
      </c>
      <c r="G15" s="4">
        <v>106431</v>
      </c>
      <c r="H15" s="4">
        <v>112811</v>
      </c>
      <c r="I15" s="4">
        <v>116905</v>
      </c>
      <c r="J15" s="4">
        <v>119340</v>
      </c>
      <c r="K15" s="4">
        <v>128416</v>
      </c>
      <c r="L15" s="101">
        <f t="shared" si="3"/>
        <v>0.74267529753423167</v>
      </c>
      <c r="M15" s="101">
        <f t="shared" si="4"/>
        <v>7.6051617228087814E-2</v>
      </c>
      <c r="N15" s="14">
        <f t="shared" si="5"/>
        <v>0.5356045028549502</v>
      </c>
    </row>
    <row r="16" spans="1:14">
      <c r="A16" s="5" t="s">
        <v>4</v>
      </c>
      <c r="B16" s="5">
        <v>111685</v>
      </c>
      <c r="C16" s="5">
        <v>126305</v>
      </c>
      <c r="D16" s="5">
        <v>119016</v>
      </c>
      <c r="E16" s="5">
        <v>138870</v>
      </c>
      <c r="F16" s="5">
        <v>155648</v>
      </c>
      <c r="G16" s="5">
        <v>181968</v>
      </c>
      <c r="H16" s="5">
        <v>196478</v>
      </c>
      <c r="I16" s="5">
        <v>214967</v>
      </c>
      <c r="J16" s="5">
        <v>228661</v>
      </c>
      <c r="K16" s="5">
        <v>239759</v>
      </c>
      <c r="L16" s="83">
        <f t="shared" si="3"/>
        <v>1.1467430720329499</v>
      </c>
      <c r="M16" s="83">
        <f t="shared" si="4"/>
        <v>4.8534730452503928E-2</v>
      </c>
      <c r="N16" s="16">
        <f t="shared" si="5"/>
        <v>1</v>
      </c>
    </row>
    <row r="17" spans="1:14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ht="15">
      <c r="A18" s="25" t="s">
        <v>266</v>
      </c>
      <c r="B18" s="25"/>
      <c r="C18" s="25"/>
      <c r="D18" s="25"/>
      <c r="E18" s="25"/>
      <c r="F18" s="40"/>
      <c r="G18" s="40"/>
      <c r="H18" s="40"/>
      <c r="I18" s="40"/>
      <c r="J18" s="40"/>
      <c r="K18" s="40"/>
      <c r="L18" s="40"/>
      <c r="M18" s="40"/>
      <c r="N18" s="40"/>
    </row>
    <row r="19" spans="1:14" ht="28">
      <c r="A19" s="88" t="s">
        <v>23</v>
      </c>
      <c r="B19" s="3">
        <v>2008</v>
      </c>
      <c r="C19" s="3">
        <v>2009</v>
      </c>
      <c r="D19" s="3">
        <v>2010</v>
      </c>
      <c r="E19" s="3">
        <v>2011</v>
      </c>
      <c r="F19" s="3">
        <v>2012</v>
      </c>
      <c r="G19" s="3">
        <v>2013</v>
      </c>
      <c r="H19" s="3">
        <v>2014</v>
      </c>
      <c r="I19" s="3">
        <v>2015</v>
      </c>
      <c r="J19" s="3">
        <v>2016</v>
      </c>
      <c r="K19" s="3">
        <v>2017</v>
      </c>
      <c r="L19" s="13" t="s">
        <v>369</v>
      </c>
      <c r="M19" s="13" t="s">
        <v>368</v>
      </c>
      <c r="N19" s="13" t="s">
        <v>367</v>
      </c>
    </row>
    <row r="20" spans="1:14">
      <c r="A20" s="5" t="s">
        <v>5</v>
      </c>
      <c r="B20" s="5">
        <v>19314</v>
      </c>
      <c r="C20" s="5">
        <v>16646</v>
      </c>
      <c r="D20" s="5">
        <v>13853</v>
      </c>
      <c r="E20" s="5">
        <v>22296</v>
      </c>
      <c r="F20" s="23">
        <v>25494</v>
      </c>
      <c r="G20" s="23">
        <v>28375</v>
      </c>
      <c r="H20" s="23">
        <v>27844</v>
      </c>
      <c r="I20" s="23">
        <v>30536</v>
      </c>
      <c r="J20" s="23">
        <v>33694</v>
      </c>
      <c r="K20" s="23">
        <v>32198</v>
      </c>
      <c r="L20" s="83">
        <f t="shared" ref="L20:L30" si="6">(K20-B20)/B20</f>
        <v>0.66708087397742566</v>
      </c>
      <c r="M20" s="83">
        <f t="shared" ref="M20:M30" si="7">(K20-J20)/J20</f>
        <v>-4.4399596367305755E-2</v>
      </c>
      <c r="N20" s="16">
        <f t="shared" ref="N20:N30" si="8">K20/K$9</f>
        <v>0.13429318607434965</v>
      </c>
    </row>
    <row r="21" spans="1:14">
      <c r="A21" s="85" t="s">
        <v>1</v>
      </c>
      <c r="B21" s="85">
        <v>19314</v>
      </c>
      <c r="C21" s="85">
        <v>16636</v>
      </c>
      <c r="D21" s="85">
        <v>13842</v>
      </c>
      <c r="E21" s="85">
        <v>22283</v>
      </c>
      <c r="F21" s="4">
        <v>25486</v>
      </c>
      <c r="G21" s="4">
        <v>28365</v>
      </c>
      <c r="H21" s="4">
        <v>27844</v>
      </c>
      <c r="I21" s="4">
        <v>30536</v>
      </c>
      <c r="J21" s="4">
        <v>33685</v>
      </c>
      <c r="K21" s="4">
        <v>32188</v>
      </c>
      <c r="L21" s="101">
        <f t="shared" si="6"/>
        <v>0.6665631148389769</v>
      </c>
      <c r="M21" s="101">
        <f t="shared" si="7"/>
        <v>-4.4441145910642722E-2</v>
      </c>
      <c r="N21" s="14">
        <f t="shared" si="8"/>
        <v>0.13425147752534838</v>
      </c>
    </row>
    <row r="22" spans="1:14">
      <c r="A22" s="85" t="s">
        <v>3</v>
      </c>
      <c r="B22" s="85"/>
      <c r="C22" s="85">
        <v>10</v>
      </c>
      <c r="D22" s="85">
        <v>11</v>
      </c>
      <c r="E22" s="85">
        <v>13</v>
      </c>
      <c r="F22" s="4">
        <v>8</v>
      </c>
      <c r="G22" s="4">
        <v>10</v>
      </c>
      <c r="H22" s="4"/>
      <c r="I22" s="4"/>
      <c r="J22" s="4">
        <v>9</v>
      </c>
      <c r="K22" s="4">
        <v>10</v>
      </c>
      <c r="L22" s="82" t="s">
        <v>24</v>
      </c>
      <c r="M22" s="101">
        <f t="shared" si="7"/>
        <v>0.1111111111111111</v>
      </c>
      <c r="N22" s="14">
        <f t="shared" si="8"/>
        <v>4.1708549001288794E-5</v>
      </c>
    </row>
    <row r="23" spans="1:14">
      <c r="A23" s="5" t="s">
        <v>6</v>
      </c>
      <c r="B23" s="5">
        <v>18682</v>
      </c>
      <c r="C23" s="5">
        <v>23691</v>
      </c>
      <c r="D23" s="5">
        <v>23644</v>
      </c>
      <c r="E23" s="5">
        <v>30682</v>
      </c>
      <c r="F23" s="23">
        <v>38127</v>
      </c>
      <c r="G23" s="23">
        <v>47162</v>
      </c>
      <c r="H23" s="23">
        <v>55823</v>
      </c>
      <c r="I23" s="23">
        <v>67526</v>
      </c>
      <c r="J23" s="23">
        <v>75627</v>
      </c>
      <c r="K23" s="23">
        <v>79145</v>
      </c>
      <c r="L23" s="83">
        <f t="shared" si="6"/>
        <v>3.2364307889947543</v>
      </c>
      <c r="M23" s="83">
        <f t="shared" si="7"/>
        <v>4.6517778042233594E-2</v>
      </c>
      <c r="N23" s="16">
        <f t="shared" si="8"/>
        <v>0.33010231107070015</v>
      </c>
    </row>
    <row r="24" spans="1:14">
      <c r="A24" s="85" t="s">
        <v>1</v>
      </c>
      <c r="B24" s="85">
        <v>18682</v>
      </c>
      <c r="C24" s="85">
        <v>23663</v>
      </c>
      <c r="D24" s="85">
        <v>23644</v>
      </c>
      <c r="E24" s="85">
        <v>30682</v>
      </c>
      <c r="F24" s="4">
        <v>38127</v>
      </c>
      <c r="G24" s="4">
        <v>47157</v>
      </c>
      <c r="H24" s="4">
        <v>55802</v>
      </c>
      <c r="I24" s="4">
        <v>67270</v>
      </c>
      <c r="J24" s="4">
        <v>72986</v>
      </c>
      <c r="K24" s="4">
        <v>77981</v>
      </c>
      <c r="L24" s="101">
        <f t="shared" si="6"/>
        <v>3.1741248260357562</v>
      </c>
      <c r="M24" s="101">
        <f t="shared" si="7"/>
        <v>6.8437782588441617E-2</v>
      </c>
      <c r="N24" s="14">
        <f t="shared" si="8"/>
        <v>0.32524743596695016</v>
      </c>
    </row>
    <row r="25" spans="1:14">
      <c r="A25" s="85" t="s">
        <v>3</v>
      </c>
      <c r="B25" s="85"/>
      <c r="C25" s="85">
        <v>28</v>
      </c>
      <c r="D25" s="85"/>
      <c r="E25" s="85"/>
      <c r="F25" s="4"/>
      <c r="G25" s="4">
        <v>5</v>
      </c>
      <c r="H25" s="4">
        <v>21</v>
      </c>
      <c r="I25" s="4">
        <v>256</v>
      </c>
      <c r="J25" s="4">
        <v>2641</v>
      </c>
      <c r="K25" s="4">
        <v>1164</v>
      </c>
      <c r="L25" s="82" t="s">
        <v>24</v>
      </c>
      <c r="M25" s="101">
        <f t="shared" si="7"/>
        <v>-0.55925785687239682</v>
      </c>
      <c r="N25" s="14">
        <f t="shared" si="8"/>
        <v>4.8548751037500153E-3</v>
      </c>
    </row>
    <row r="26" spans="1:14">
      <c r="A26" s="5" t="s">
        <v>7</v>
      </c>
      <c r="B26" s="5">
        <v>73689</v>
      </c>
      <c r="C26" s="5">
        <v>85968</v>
      </c>
      <c r="D26" s="5">
        <v>81519</v>
      </c>
      <c r="E26" s="5">
        <v>85892</v>
      </c>
      <c r="F26" s="23">
        <v>92027</v>
      </c>
      <c r="G26" s="23">
        <v>106431</v>
      </c>
      <c r="H26" s="23">
        <v>112811</v>
      </c>
      <c r="I26" s="23">
        <v>116905</v>
      </c>
      <c r="J26" s="23">
        <v>119340</v>
      </c>
      <c r="K26" s="23">
        <v>128416</v>
      </c>
      <c r="L26" s="83">
        <f t="shared" si="6"/>
        <v>0.74267529753423167</v>
      </c>
      <c r="M26" s="83">
        <f t="shared" si="7"/>
        <v>7.6051617228087814E-2</v>
      </c>
      <c r="N26" s="16">
        <f t="shared" si="8"/>
        <v>0.5356045028549502</v>
      </c>
    </row>
    <row r="27" spans="1:14">
      <c r="A27" s="85" t="s">
        <v>1</v>
      </c>
      <c r="B27" s="85">
        <v>59764</v>
      </c>
      <c r="C27" s="85">
        <v>68530</v>
      </c>
      <c r="D27" s="85">
        <v>64539</v>
      </c>
      <c r="E27" s="85">
        <v>67172</v>
      </c>
      <c r="F27" s="4">
        <v>71567</v>
      </c>
      <c r="G27" s="4">
        <v>81292</v>
      </c>
      <c r="H27" s="4">
        <v>86962</v>
      </c>
      <c r="I27" s="4">
        <v>89708</v>
      </c>
      <c r="J27" s="4">
        <v>89167</v>
      </c>
      <c r="K27" s="4">
        <v>92406</v>
      </c>
      <c r="L27" s="101">
        <f t="shared" si="6"/>
        <v>0.54618164781473799</v>
      </c>
      <c r="M27" s="101">
        <f t="shared" si="7"/>
        <v>3.6325097850101497E-2</v>
      </c>
      <c r="N27" s="14">
        <f t="shared" si="8"/>
        <v>0.38541201790130925</v>
      </c>
    </row>
    <row r="28" spans="1:14">
      <c r="A28" s="85" t="s">
        <v>287</v>
      </c>
      <c r="B28" s="85">
        <v>6256</v>
      </c>
      <c r="C28" s="85">
        <v>8671</v>
      </c>
      <c r="D28" s="85">
        <v>8135</v>
      </c>
      <c r="E28" s="85">
        <v>10034</v>
      </c>
      <c r="F28" s="4">
        <v>10711</v>
      </c>
      <c r="G28" s="4">
        <v>12631</v>
      </c>
      <c r="H28" s="4">
        <v>12949</v>
      </c>
      <c r="I28" s="4">
        <v>13925</v>
      </c>
      <c r="J28" s="4">
        <v>13873</v>
      </c>
      <c r="K28" s="4">
        <v>14561</v>
      </c>
      <c r="L28" s="101">
        <f t="shared" si="6"/>
        <v>1.3275255754475703</v>
      </c>
      <c r="M28" s="101">
        <f t="shared" si="7"/>
        <v>4.9592734087796436E-2</v>
      </c>
      <c r="N28" s="14">
        <f t="shared" si="8"/>
        <v>6.0731818200776611E-2</v>
      </c>
    </row>
    <row r="29" spans="1:14">
      <c r="A29" s="85" t="s">
        <v>3</v>
      </c>
      <c r="B29" s="85">
        <v>7669</v>
      </c>
      <c r="C29" s="85">
        <v>8767</v>
      </c>
      <c r="D29" s="85">
        <v>8845</v>
      </c>
      <c r="E29" s="85">
        <v>8686</v>
      </c>
      <c r="F29" s="4">
        <v>9749</v>
      </c>
      <c r="G29" s="4">
        <v>12508</v>
      </c>
      <c r="H29" s="4">
        <v>12900</v>
      </c>
      <c r="I29" s="4">
        <v>13272</v>
      </c>
      <c r="J29" s="4">
        <v>16300</v>
      </c>
      <c r="K29" s="4">
        <v>21449</v>
      </c>
      <c r="L29" s="101">
        <f t="shared" si="6"/>
        <v>1.7968444386491067</v>
      </c>
      <c r="M29" s="101">
        <f t="shared" si="7"/>
        <v>0.31588957055214723</v>
      </c>
      <c r="N29" s="14">
        <f t="shared" si="8"/>
        <v>8.9460666752864335E-2</v>
      </c>
    </row>
    <row r="30" spans="1:14">
      <c r="A30" s="5" t="s">
        <v>4</v>
      </c>
      <c r="B30" s="5">
        <v>111685</v>
      </c>
      <c r="C30" s="5">
        <v>126305</v>
      </c>
      <c r="D30" s="5">
        <v>119016</v>
      </c>
      <c r="E30" s="5">
        <v>138870</v>
      </c>
      <c r="F30" s="5">
        <v>155648</v>
      </c>
      <c r="G30" s="5">
        <v>181968</v>
      </c>
      <c r="H30" s="5">
        <v>196478</v>
      </c>
      <c r="I30" s="5">
        <v>214967</v>
      </c>
      <c r="J30" s="5">
        <v>228661</v>
      </c>
      <c r="K30" s="5">
        <v>239759</v>
      </c>
      <c r="L30" s="83">
        <f t="shared" si="6"/>
        <v>1.1467430720329499</v>
      </c>
      <c r="M30" s="83">
        <f t="shared" si="7"/>
        <v>4.8534730452503928E-2</v>
      </c>
      <c r="N30" s="16">
        <f t="shared" si="8"/>
        <v>1</v>
      </c>
    </row>
    <row r="31" spans="1:14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spans="1:14" ht="15">
      <c r="A32" s="25" t="s">
        <v>259</v>
      </c>
      <c r="B32" s="25"/>
      <c r="C32" s="25"/>
      <c r="D32" s="25"/>
      <c r="E32" s="25"/>
      <c r="F32" s="40"/>
      <c r="G32" s="40"/>
      <c r="H32" s="40"/>
      <c r="I32" s="40"/>
      <c r="J32" s="40"/>
      <c r="K32" s="40"/>
      <c r="L32" s="40"/>
      <c r="M32" s="40"/>
      <c r="N32" s="40"/>
    </row>
    <row r="33" spans="1:14" ht="28">
      <c r="A33" s="88" t="s">
        <v>0</v>
      </c>
      <c r="B33" s="3">
        <v>2008</v>
      </c>
      <c r="C33" s="3">
        <v>2009</v>
      </c>
      <c r="D33" s="3">
        <v>2010</v>
      </c>
      <c r="E33" s="3">
        <v>2011</v>
      </c>
      <c r="F33" s="3">
        <v>2012</v>
      </c>
      <c r="G33" s="3">
        <v>2013</v>
      </c>
      <c r="H33" s="3">
        <v>2014</v>
      </c>
      <c r="I33" s="3">
        <v>2015</v>
      </c>
      <c r="J33" s="3">
        <v>2016</v>
      </c>
      <c r="K33" s="3">
        <v>2017</v>
      </c>
      <c r="L33" s="13" t="s">
        <v>369</v>
      </c>
      <c r="M33" s="13" t="s">
        <v>368</v>
      </c>
      <c r="N33" s="13" t="s">
        <v>367</v>
      </c>
    </row>
    <row r="34" spans="1:14">
      <c r="A34" s="4" t="s">
        <v>5</v>
      </c>
      <c r="B34" s="4">
        <v>19314</v>
      </c>
      <c r="C34" s="4">
        <v>16646</v>
      </c>
      <c r="D34" s="4">
        <v>13853</v>
      </c>
      <c r="E34" s="4">
        <v>22296</v>
      </c>
      <c r="F34" s="4">
        <v>25494</v>
      </c>
      <c r="G34" s="4">
        <v>28375</v>
      </c>
      <c r="H34" s="4">
        <v>27844</v>
      </c>
      <c r="I34" s="4">
        <v>30536</v>
      </c>
      <c r="J34" s="4">
        <v>33694</v>
      </c>
      <c r="K34" s="4">
        <v>32198</v>
      </c>
      <c r="L34" s="101">
        <f t="shared" ref="L34:L39" si="9">(K34-B34)/B34</f>
        <v>0.66708087397742566</v>
      </c>
      <c r="M34" s="101">
        <f t="shared" ref="M34:M39" si="10">(K34-J34)/J34</f>
        <v>-4.4399596367305755E-2</v>
      </c>
      <c r="N34" s="14">
        <f t="shared" ref="N34:N39" si="11">K34/K$9</f>
        <v>0.13429318607434965</v>
      </c>
    </row>
    <row r="35" spans="1:14">
      <c r="A35" s="4" t="s">
        <v>6</v>
      </c>
      <c r="B35" s="4">
        <v>18682</v>
      </c>
      <c r="C35" s="4">
        <v>23691</v>
      </c>
      <c r="D35" s="4">
        <v>23644</v>
      </c>
      <c r="E35" s="4">
        <v>30682</v>
      </c>
      <c r="F35" s="4">
        <v>38127</v>
      </c>
      <c r="G35" s="4">
        <v>47162</v>
      </c>
      <c r="H35" s="4">
        <v>55823</v>
      </c>
      <c r="I35" s="4">
        <v>67526</v>
      </c>
      <c r="J35" s="4">
        <v>75627</v>
      </c>
      <c r="K35" s="4">
        <v>79145</v>
      </c>
      <c r="L35" s="101">
        <f t="shared" si="9"/>
        <v>3.2364307889947543</v>
      </c>
      <c r="M35" s="101">
        <f t="shared" si="10"/>
        <v>4.6517778042233594E-2</v>
      </c>
      <c r="N35" s="14">
        <f t="shared" si="11"/>
        <v>0.33010231107070015</v>
      </c>
    </row>
    <row r="36" spans="1:14">
      <c r="A36" s="32" t="s">
        <v>291</v>
      </c>
      <c r="B36" s="32">
        <v>24555</v>
      </c>
      <c r="C36" s="32">
        <v>29386</v>
      </c>
      <c r="D36" s="32">
        <v>27546</v>
      </c>
      <c r="E36" s="32">
        <v>26883</v>
      </c>
      <c r="F36" s="4">
        <v>26591</v>
      </c>
      <c r="G36" s="4">
        <v>27711</v>
      </c>
      <c r="H36" s="4">
        <v>28250</v>
      </c>
      <c r="I36" s="4">
        <v>29193</v>
      </c>
      <c r="J36" s="4">
        <v>28414</v>
      </c>
      <c r="K36" s="4">
        <v>29494</v>
      </c>
      <c r="L36" s="101">
        <f t="shared" si="9"/>
        <v>0.20114029729179395</v>
      </c>
      <c r="M36" s="101">
        <f t="shared" si="10"/>
        <v>3.8009431970155556E-2</v>
      </c>
      <c r="N36" s="14">
        <f t="shared" si="11"/>
        <v>0.12301519442440118</v>
      </c>
    </row>
    <row r="37" spans="1:14">
      <c r="A37" s="32" t="s">
        <v>292</v>
      </c>
      <c r="B37" s="32">
        <v>15147</v>
      </c>
      <c r="C37" s="32">
        <v>17556</v>
      </c>
      <c r="D37" s="32">
        <v>17375</v>
      </c>
      <c r="E37" s="32">
        <v>17434</v>
      </c>
      <c r="F37" s="4">
        <v>18937</v>
      </c>
      <c r="G37" s="4">
        <v>20602</v>
      </c>
      <c r="H37" s="4">
        <v>21730</v>
      </c>
      <c r="I37" s="4">
        <v>22646</v>
      </c>
      <c r="J37" s="4">
        <v>22378</v>
      </c>
      <c r="K37" s="4">
        <v>30237</v>
      </c>
      <c r="L37" s="101">
        <f t="shared" si="9"/>
        <v>0.9962368785898198</v>
      </c>
      <c r="M37" s="101">
        <f t="shared" si="10"/>
        <v>0.35119313611582803</v>
      </c>
      <c r="N37" s="14">
        <f t="shared" si="11"/>
        <v>0.12611413961519694</v>
      </c>
    </row>
    <row r="38" spans="1:14">
      <c r="A38" s="32" t="s">
        <v>293</v>
      </c>
      <c r="B38" s="32">
        <v>33987</v>
      </c>
      <c r="C38" s="32">
        <v>39026</v>
      </c>
      <c r="D38" s="32">
        <v>36598</v>
      </c>
      <c r="E38" s="32">
        <v>41575</v>
      </c>
      <c r="F38" s="4">
        <v>46499</v>
      </c>
      <c r="G38" s="4">
        <v>58118</v>
      </c>
      <c r="H38" s="4">
        <v>62831</v>
      </c>
      <c r="I38" s="4">
        <v>65066</v>
      </c>
      <c r="J38" s="4">
        <v>68548</v>
      </c>
      <c r="K38" s="4">
        <v>68685</v>
      </c>
      <c r="L38" s="101">
        <f t="shared" si="9"/>
        <v>1.020919763438962</v>
      </c>
      <c r="M38" s="101">
        <f t="shared" si="10"/>
        <v>1.9985995215031803E-3</v>
      </c>
      <c r="N38" s="14">
        <f t="shared" si="11"/>
        <v>0.28647516881535207</v>
      </c>
    </row>
    <row r="39" spans="1:14">
      <c r="A39" s="5" t="s">
        <v>4</v>
      </c>
      <c r="B39" s="5">
        <v>111685</v>
      </c>
      <c r="C39" s="5">
        <v>126305</v>
      </c>
      <c r="D39" s="5">
        <v>119016</v>
      </c>
      <c r="E39" s="5">
        <v>138870</v>
      </c>
      <c r="F39" s="5">
        <v>155648</v>
      </c>
      <c r="G39" s="5">
        <v>181968</v>
      </c>
      <c r="H39" s="5">
        <v>196478</v>
      </c>
      <c r="I39" s="5">
        <v>214967</v>
      </c>
      <c r="J39" s="5">
        <v>228661</v>
      </c>
      <c r="K39" s="5">
        <v>239759</v>
      </c>
      <c r="L39" s="83">
        <f t="shared" si="9"/>
        <v>1.1467430720329499</v>
      </c>
      <c r="M39" s="83">
        <f t="shared" si="10"/>
        <v>4.8534730452503928E-2</v>
      </c>
      <c r="N39" s="16">
        <f t="shared" si="11"/>
        <v>1</v>
      </c>
    </row>
    <row r="40" spans="1:14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spans="1:14" ht="15">
      <c r="A41" s="25" t="s">
        <v>267</v>
      </c>
      <c r="B41" s="25"/>
      <c r="C41" s="25"/>
      <c r="D41" s="25"/>
      <c r="E41" s="25"/>
      <c r="F41" s="40"/>
      <c r="G41" s="40"/>
      <c r="H41" s="40"/>
      <c r="I41" s="40"/>
      <c r="J41" s="40"/>
      <c r="K41" s="40"/>
      <c r="L41" s="40"/>
      <c r="M41" s="40"/>
      <c r="N41" s="40"/>
    </row>
    <row r="42" spans="1:14" ht="28">
      <c r="A42" s="88" t="s">
        <v>23</v>
      </c>
      <c r="B42" s="3">
        <v>2008</v>
      </c>
      <c r="C42" s="3">
        <v>2009</v>
      </c>
      <c r="D42" s="3">
        <v>2010</v>
      </c>
      <c r="E42" s="3">
        <v>2011</v>
      </c>
      <c r="F42" s="3">
        <v>2012</v>
      </c>
      <c r="G42" s="3">
        <v>2013</v>
      </c>
      <c r="H42" s="3">
        <v>2014</v>
      </c>
      <c r="I42" s="3">
        <v>2015</v>
      </c>
      <c r="J42" s="3">
        <v>2016</v>
      </c>
      <c r="K42" s="3">
        <v>2017</v>
      </c>
      <c r="L42" s="13" t="s">
        <v>369</v>
      </c>
      <c r="M42" s="13" t="s">
        <v>368</v>
      </c>
      <c r="N42" s="13" t="s">
        <v>367</v>
      </c>
    </row>
    <row r="43" spans="1:14">
      <c r="A43" s="5" t="s">
        <v>5</v>
      </c>
      <c r="B43" s="5">
        <v>19314</v>
      </c>
      <c r="C43" s="5">
        <v>16646</v>
      </c>
      <c r="D43" s="5">
        <v>13853</v>
      </c>
      <c r="E43" s="5">
        <v>22296</v>
      </c>
      <c r="F43" s="23">
        <v>25494</v>
      </c>
      <c r="G43" s="23">
        <v>28375</v>
      </c>
      <c r="H43" s="23">
        <v>27844</v>
      </c>
      <c r="I43" s="23">
        <v>30536</v>
      </c>
      <c r="J43" s="23">
        <v>33694</v>
      </c>
      <c r="K43" s="23">
        <v>32198</v>
      </c>
      <c r="L43" s="83">
        <f t="shared" ref="L43:L61" si="12">(K43-B43)/B43</f>
        <v>0.66708087397742566</v>
      </c>
      <c r="M43" s="83">
        <f t="shared" ref="M43:M61" si="13">(K43-J43)/J43</f>
        <v>-4.4399596367305755E-2</v>
      </c>
      <c r="N43" s="16">
        <f t="shared" ref="N43:N61" si="14">K43/K$9</f>
        <v>0.13429318607434965</v>
      </c>
    </row>
    <row r="44" spans="1:14">
      <c r="A44" s="85" t="s">
        <v>1</v>
      </c>
      <c r="B44" s="85">
        <v>19314</v>
      </c>
      <c r="C44" s="85">
        <v>16636</v>
      </c>
      <c r="D44" s="85">
        <v>13842</v>
      </c>
      <c r="E44" s="85">
        <v>22283</v>
      </c>
      <c r="F44" s="4">
        <v>25486</v>
      </c>
      <c r="G44" s="4">
        <v>28365</v>
      </c>
      <c r="H44" s="4">
        <v>27844</v>
      </c>
      <c r="I44" s="4">
        <v>30536</v>
      </c>
      <c r="J44" s="4">
        <v>33685</v>
      </c>
      <c r="K44" s="4">
        <v>32188</v>
      </c>
      <c r="L44" s="101">
        <f t="shared" si="12"/>
        <v>0.6665631148389769</v>
      </c>
      <c r="M44" s="101">
        <f t="shared" si="13"/>
        <v>-4.4441145910642722E-2</v>
      </c>
      <c r="N44" s="14">
        <f t="shared" si="14"/>
        <v>0.13425147752534838</v>
      </c>
    </row>
    <row r="45" spans="1:14">
      <c r="A45" s="85" t="s">
        <v>3</v>
      </c>
      <c r="B45" s="85"/>
      <c r="C45" s="85">
        <v>10</v>
      </c>
      <c r="D45" s="85">
        <v>11</v>
      </c>
      <c r="E45" s="85">
        <v>13</v>
      </c>
      <c r="F45" s="4">
        <v>8</v>
      </c>
      <c r="G45" s="4">
        <v>10</v>
      </c>
      <c r="H45" s="4"/>
      <c r="I45" s="4"/>
      <c r="J45" s="4">
        <v>9</v>
      </c>
      <c r="K45" s="4">
        <v>10</v>
      </c>
      <c r="L45" s="101" t="s">
        <v>24</v>
      </c>
      <c r="M45" s="101">
        <f t="shared" si="13"/>
        <v>0.1111111111111111</v>
      </c>
      <c r="N45" s="14">
        <f t="shared" si="14"/>
        <v>4.1708549001288794E-5</v>
      </c>
    </row>
    <row r="46" spans="1:14">
      <c r="A46" s="5" t="s">
        <v>6</v>
      </c>
      <c r="B46" s="5">
        <v>18682</v>
      </c>
      <c r="C46" s="5">
        <v>23691</v>
      </c>
      <c r="D46" s="5">
        <v>23644</v>
      </c>
      <c r="E46" s="5">
        <v>30682</v>
      </c>
      <c r="F46" s="23">
        <v>38127</v>
      </c>
      <c r="G46" s="23">
        <v>47162</v>
      </c>
      <c r="H46" s="23">
        <v>55823</v>
      </c>
      <c r="I46" s="23">
        <v>67526</v>
      </c>
      <c r="J46" s="23">
        <v>75627</v>
      </c>
      <c r="K46" s="23">
        <v>79145</v>
      </c>
      <c r="L46" s="83">
        <f t="shared" si="12"/>
        <v>3.2364307889947543</v>
      </c>
      <c r="M46" s="83">
        <f t="shared" si="13"/>
        <v>4.6517778042233594E-2</v>
      </c>
      <c r="N46" s="16">
        <f t="shared" si="14"/>
        <v>0.33010231107070015</v>
      </c>
    </row>
    <row r="47" spans="1:14">
      <c r="A47" s="85" t="s">
        <v>1</v>
      </c>
      <c r="B47" s="85">
        <v>18682</v>
      </c>
      <c r="C47" s="85">
        <v>23663</v>
      </c>
      <c r="D47" s="85">
        <v>23644</v>
      </c>
      <c r="E47" s="85">
        <v>30682</v>
      </c>
      <c r="F47" s="4">
        <v>38127</v>
      </c>
      <c r="G47" s="4">
        <v>47157</v>
      </c>
      <c r="H47" s="4">
        <v>55802</v>
      </c>
      <c r="I47" s="4">
        <v>67270</v>
      </c>
      <c r="J47" s="4">
        <v>72986</v>
      </c>
      <c r="K47" s="4">
        <v>77981</v>
      </c>
      <c r="L47" s="101">
        <f t="shared" si="12"/>
        <v>3.1741248260357562</v>
      </c>
      <c r="M47" s="101">
        <f t="shared" si="13"/>
        <v>6.8437782588441617E-2</v>
      </c>
      <c r="N47" s="14">
        <f t="shared" si="14"/>
        <v>0.32524743596695016</v>
      </c>
    </row>
    <row r="48" spans="1:14">
      <c r="A48" s="85" t="s">
        <v>3</v>
      </c>
      <c r="B48" s="85"/>
      <c r="C48" s="85">
        <v>28</v>
      </c>
      <c r="D48" s="85"/>
      <c r="E48" s="85"/>
      <c r="F48" s="4"/>
      <c r="G48" s="4">
        <v>5</v>
      </c>
      <c r="H48" s="4">
        <v>21</v>
      </c>
      <c r="I48" s="4">
        <v>256</v>
      </c>
      <c r="J48" s="4">
        <v>2641</v>
      </c>
      <c r="K48" s="4">
        <v>1164</v>
      </c>
      <c r="L48" s="101" t="s">
        <v>24</v>
      </c>
      <c r="M48" s="101">
        <f t="shared" si="13"/>
        <v>-0.55925785687239682</v>
      </c>
      <c r="N48" s="14">
        <f t="shared" si="14"/>
        <v>4.8548751037500153E-3</v>
      </c>
    </row>
    <row r="49" spans="1:14">
      <c r="A49" s="5" t="s">
        <v>295</v>
      </c>
      <c r="B49" s="5">
        <v>24555</v>
      </c>
      <c r="C49" s="5">
        <v>29386</v>
      </c>
      <c r="D49" s="5">
        <v>27546</v>
      </c>
      <c r="E49" s="5">
        <v>26883</v>
      </c>
      <c r="F49" s="23">
        <v>26591</v>
      </c>
      <c r="G49" s="23">
        <v>27711</v>
      </c>
      <c r="H49" s="23">
        <v>28250</v>
      </c>
      <c r="I49" s="23">
        <v>29193</v>
      </c>
      <c r="J49" s="23">
        <v>28414</v>
      </c>
      <c r="K49" s="23">
        <v>29494</v>
      </c>
      <c r="L49" s="83">
        <f t="shared" si="12"/>
        <v>0.20114029729179395</v>
      </c>
      <c r="M49" s="83">
        <f t="shared" si="13"/>
        <v>3.8009431970155556E-2</v>
      </c>
      <c r="N49" s="16">
        <f t="shared" si="14"/>
        <v>0.12301519442440118</v>
      </c>
    </row>
    <row r="50" spans="1:14">
      <c r="A50" s="85" t="s">
        <v>1</v>
      </c>
      <c r="B50" s="85">
        <v>21052</v>
      </c>
      <c r="C50" s="85">
        <v>25523</v>
      </c>
      <c r="D50" s="85">
        <v>23285</v>
      </c>
      <c r="E50" s="85">
        <v>22545</v>
      </c>
      <c r="F50" s="4">
        <v>21622</v>
      </c>
      <c r="G50" s="4">
        <v>21910</v>
      </c>
      <c r="H50" s="4">
        <v>22298</v>
      </c>
      <c r="I50" s="4">
        <v>23250</v>
      </c>
      <c r="J50" s="4">
        <v>22426</v>
      </c>
      <c r="K50" s="4">
        <v>23601</v>
      </c>
      <c r="L50" s="101">
        <f t="shared" si="12"/>
        <v>0.12108113243397302</v>
      </c>
      <c r="M50" s="101">
        <f t="shared" si="13"/>
        <v>5.2394542049406939E-2</v>
      </c>
      <c r="N50" s="14">
        <f t="shared" si="14"/>
        <v>9.8436346497941682E-2</v>
      </c>
    </row>
    <row r="51" spans="1:14">
      <c r="A51" s="85" t="s">
        <v>287</v>
      </c>
      <c r="B51" s="85">
        <v>1922</v>
      </c>
      <c r="C51" s="85">
        <v>2356</v>
      </c>
      <c r="D51" s="85">
        <v>2426</v>
      </c>
      <c r="E51" s="85">
        <v>2699</v>
      </c>
      <c r="F51" s="4">
        <v>2992</v>
      </c>
      <c r="G51" s="4">
        <v>3335</v>
      </c>
      <c r="H51" s="4">
        <v>3551</v>
      </c>
      <c r="I51" s="4">
        <v>3714</v>
      </c>
      <c r="J51" s="4">
        <v>3541</v>
      </c>
      <c r="K51" s="4">
        <v>3990</v>
      </c>
      <c r="L51" s="101">
        <f t="shared" si="12"/>
        <v>1.0759625390218521</v>
      </c>
      <c r="M51" s="101">
        <f t="shared" si="13"/>
        <v>0.12680033888731998</v>
      </c>
      <c r="N51" s="14">
        <f t="shared" si="14"/>
        <v>1.664171105151423E-2</v>
      </c>
    </row>
    <row r="52" spans="1:14">
      <c r="A52" s="85" t="s">
        <v>3</v>
      </c>
      <c r="B52" s="85">
        <v>1581</v>
      </c>
      <c r="C52" s="85">
        <v>1507</v>
      </c>
      <c r="D52" s="85">
        <v>1835</v>
      </c>
      <c r="E52" s="85">
        <v>1639</v>
      </c>
      <c r="F52" s="4">
        <v>1977</v>
      </c>
      <c r="G52" s="4">
        <v>2466</v>
      </c>
      <c r="H52" s="4">
        <v>2401</v>
      </c>
      <c r="I52" s="4">
        <v>2229</v>
      </c>
      <c r="J52" s="4">
        <v>2447</v>
      </c>
      <c r="K52" s="4">
        <v>1903</v>
      </c>
      <c r="L52" s="101">
        <f t="shared" si="12"/>
        <v>0.2036685641998735</v>
      </c>
      <c r="M52" s="101">
        <f t="shared" si="13"/>
        <v>-0.22231303637106661</v>
      </c>
      <c r="N52" s="14">
        <f t="shared" si="14"/>
        <v>7.9371368749452578E-3</v>
      </c>
    </row>
    <row r="53" spans="1:14">
      <c r="A53" s="5" t="s">
        <v>292</v>
      </c>
      <c r="B53" s="5">
        <v>15147</v>
      </c>
      <c r="C53" s="5">
        <v>17556</v>
      </c>
      <c r="D53" s="5">
        <v>17375</v>
      </c>
      <c r="E53" s="5">
        <v>17434</v>
      </c>
      <c r="F53" s="23">
        <v>18937</v>
      </c>
      <c r="G53" s="23">
        <v>20602</v>
      </c>
      <c r="H53" s="23">
        <v>21730</v>
      </c>
      <c r="I53" s="23">
        <v>22646</v>
      </c>
      <c r="J53" s="104">
        <v>22378</v>
      </c>
      <c r="K53" s="104">
        <v>30237</v>
      </c>
      <c r="L53" s="83">
        <f t="shared" si="12"/>
        <v>0.9962368785898198</v>
      </c>
      <c r="M53" s="83">
        <f t="shared" si="13"/>
        <v>0.35119313611582803</v>
      </c>
      <c r="N53" s="16">
        <f t="shared" si="14"/>
        <v>0.12611413961519694</v>
      </c>
    </row>
    <row r="54" spans="1:14">
      <c r="A54" s="85" t="s">
        <v>1</v>
      </c>
      <c r="B54" s="85">
        <v>11876</v>
      </c>
      <c r="C54" s="85">
        <v>13556</v>
      </c>
      <c r="D54" s="85">
        <v>13199</v>
      </c>
      <c r="E54" s="85">
        <v>13022</v>
      </c>
      <c r="F54" s="4">
        <v>14600</v>
      </c>
      <c r="G54" s="4">
        <v>15836</v>
      </c>
      <c r="H54" s="4">
        <v>16354</v>
      </c>
      <c r="I54" s="4">
        <v>16888</v>
      </c>
      <c r="J54" s="4">
        <v>16281</v>
      </c>
      <c r="K54" s="4">
        <v>18270</v>
      </c>
      <c r="L54" s="101">
        <f t="shared" si="12"/>
        <v>0.53839676658807678</v>
      </c>
      <c r="M54" s="101">
        <f t="shared" si="13"/>
        <v>0.12216694306246545</v>
      </c>
      <c r="N54" s="14">
        <f t="shared" si="14"/>
        <v>7.620151902535463E-2</v>
      </c>
    </row>
    <row r="55" spans="1:14">
      <c r="A55" s="85" t="s">
        <v>287</v>
      </c>
      <c r="B55" s="85">
        <v>1479</v>
      </c>
      <c r="C55" s="85">
        <v>1909</v>
      </c>
      <c r="D55" s="85">
        <v>1894</v>
      </c>
      <c r="E55" s="85">
        <v>2099</v>
      </c>
      <c r="F55" s="4">
        <v>2086</v>
      </c>
      <c r="G55" s="4">
        <v>2821</v>
      </c>
      <c r="H55" s="4">
        <v>3029</v>
      </c>
      <c r="I55" s="4">
        <v>2931</v>
      </c>
      <c r="J55" s="4">
        <v>3106</v>
      </c>
      <c r="K55" s="4">
        <v>3416</v>
      </c>
      <c r="L55" s="101">
        <f t="shared" si="12"/>
        <v>1.3096686950642327</v>
      </c>
      <c r="M55" s="101">
        <f t="shared" si="13"/>
        <v>9.9806825499034121E-2</v>
      </c>
      <c r="N55" s="14">
        <f t="shared" si="14"/>
        <v>1.4247640338840252E-2</v>
      </c>
    </row>
    <row r="56" spans="1:14">
      <c r="A56" s="85" t="s">
        <v>3</v>
      </c>
      <c r="B56" s="85">
        <v>1792</v>
      </c>
      <c r="C56" s="85">
        <v>2091</v>
      </c>
      <c r="D56" s="85">
        <v>2282</v>
      </c>
      <c r="E56" s="85">
        <v>2313</v>
      </c>
      <c r="F56" s="4">
        <v>2251</v>
      </c>
      <c r="G56" s="4">
        <v>1945</v>
      </c>
      <c r="H56" s="4">
        <v>2347</v>
      </c>
      <c r="I56" s="4">
        <v>2827</v>
      </c>
      <c r="J56" s="4">
        <v>2991</v>
      </c>
      <c r="K56" s="4">
        <v>8551</v>
      </c>
      <c r="L56" s="101">
        <f t="shared" si="12"/>
        <v>3.7717633928571428</v>
      </c>
      <c r="M56" s="101">
        <f t="shared" si="13"/>
        <v>1.8589100635239051</v>
      </c>
      <c r="N56" s="14">
        <f t="shared" si="14"/>
        <v>3.5664980251002044E-2</v>
      </c>
    </row>
    <row r="57" spans="1:14">
      <c r="A57" s="5" t="s">
        <v>293</v>
      </c>
      <c r="B57" s="5">
        <v>33987</v>
      </c>
      <c r="C57" s="5">
        <v>39026</v>
      </c>
      <c r="D57" s="5">
        <v>36598</v>
      </c>
      <c r="E57" s="5">
        <v>41575</v>
      </c>
      <c r="F57" s="23">
        <v>46499</v>
      </c>
      <c r="G57" s="23">
        <v>58118</v>
      </c>
      <c r="H57" s="23">
        <v>62831</v>
      </c>
      <c r="I57" s="23">
        <v>65066</v>
      </c>
      <c r="J57" s="23">
        <v>68548</v>
      </c>
      <c r="K57" s="23">
        <v>68685</v>
      </c>
      <c r="L57" s="83">
        <f t="shared" si="12"/>
        <v>1.020919763438962</v>
      </c>
      <c r="M57" s="83">
        <f t="shared" si="13"/>
        <v>1.9985995215031803E-3</v>
      </c>
      <c r="N57" s="16">
        <f t="shared" si="14"/>
        <v>0.28647516881535207</v>
      </c>
    </row>
    <row r="58" spans="1:14">
      <c r="A58" s="85" t="s">
        <v>1</v>
      </c>
      <c r="B58" s="85">
        <v>26836</v>
      </c>
      <c r="C58" s="85">
        <v>29451</v>
      </c>
      <c r="D58" s="85">
        <v>28055</v>
      </c>
      <c r="E58" s="85">
        <v>31605</v>
      </c>
      <c r="F58" s="4">
        <v>35345</v>
      </c>
      <c r="G58" s="4">
        <v>43546</v>
      </c>
      <c r="H58" s="4">
        <v>48310</v>
      </c>
      <c r="I58" s="4">
        <v>49570</v>
      </c>
      <c r="J58" s="4">
        <v>50460</v>
      </c>
      <c r="K58" s="4">
        <v>50535</v>
      </c>
      <c r="L58" s="101">
        <f t="shared" si="12"/>
        <v>0.88310478461767772</v>
      </c>
      <c r="M58" s="101">
        <f t="shared" si="13"/>
        <v>1.4863258026159335E-3</v>
      </c>
      <c r="N58" s="14">
        <f t="shared" si="14"/>
        <v>0.21077415237801292</v>
      </c>
    </row>
    <row r="59" spans="1:14">
      <c r="A59" s="85" t="s">
        <v>287</v>
      </c>
      <c r="B59" s="85">
        <v>2855</v>
      </c>
      <c r="C59" s="85">
        <v>4406</v>
      </c>
      <c r="D59" s="85">
        <v>3815</v>
      </c>
      <c r="E59" s="85">
        <v>5236</v>
      </c>
      <c r="F59" s="4">
        <v>5633</v>
      </c>
      <c r="G59" s="4">
        <v>6475</v>
      </c>
      <c r="H59" s="4">
        <v>6369</v>
      </c>
      <c r="I59" s="4">
        <v>7280</v>
      </c>
      <c r="J59" s="4">
        <v>7226</v>
      </c>
      <c r="K59" s="4">
        <v>7155</v>
      </c>
      <c r="L59" s="101">
        <f t="shared" si="12"/>
        <v>1.5061295971978985</v>
      </c>
      <c r="M59" s="101">
        <f t="shared" si="13"/>
        <v>-9.8256296706338217E-3</v>
      </c>
      <c r="N59" s="14">
        <f t="shared" si="14"/>
        <v>2.9842466810422134E-2</v>
      </c>
    </row>
    <row r="60" spans="1:14">
      <c r="A60" s="85" t="s">
        <v>3</v>
      </c>
      <c r="B60" s="85">
        <v>4296</v>
      </c>
      <c r="C60" s="85">
        <v>5169</v>
      </c>
      <c r="D60" s="85">
        <v>4728</v>
      </c>
      <c r="E60" s="85">
        <v>4734</v>
      </c>
      <c r="F60" s="4">
        <v>5521</v>
      </c>
      <c r="G60" s="4">
        <v>8097</v>
      </c>
      <c r="H60" s="4">
        <v>8152</v>
      </c>
      <c r="I60" s="4">
        <v>8216</v>
      </c>
      <c r="J60" s="4">
        <v>10862</v>
      </c>
      <c r="K60" s="4">
        <v>10995</v>
      </c>
      <c r="L60" s="101">
        <f t="shared" si="12"/>
        <v>1.5593575418994414</v>
      </c>
      <c r="M60" s="101">
        <f t="shared" si="13"/>
        <v>1.224452218744246E-2</v>
      </c>
      <c r="N60" s="14">
        <f t="shared" si="14"/>
        <v>4.5858549626917031E-2</v>
      </c>
    </row>
    <row r="61" spans="1:14">
      <c r="A61" s="5" t="s">
        <v>4</v>
      </c>
      <c r="B61" s="5">
        <v>111685</v>
      </c>
      <c r="C61" s="5">
        <v>126305</v>
      </c>
      <c r="D61" s="5">
        <v>119016</v>
      </c>
      <c r="E61" s="5">
        <v>138870</v>
      </c>
      <c r="F61" s="5">
        <v>155648</v>
      </c>
      <c r="G61" s="5">
        <v>181968</v>
      </c>
      <c r="H61" s="5">
        <v>196478</v>
      </c>
      <c r="I61" s="5">
        <v>214967</v>
      </c>
      <c r="J61" s="5">
        <v>228661</v>
      </c>
      <c r="K61" s="5">
        <v>239759</v>
      </c>
      <c r="L61" s="83">
        <f t="shared" si="12"/>
        <v>1.1467430720329499</v>
      </c>
      <c r="M61" s="83">
        <f t="shared" si="13"/>
        <v>4.8534730452503928E-2</v>
      </c>
      <c r="N61" s="16">
        <f t="shared" si="14"/>
        <v>1</v>
      </c>
    </row>
    <row r="62" spans="1:14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</row>
    <row r="63" spans="1:14" ht="15">
      <c r="A63" s="25" t="s">
        <v>258</v>
      </c>
      <c r="B63" s="25"/>
      <c r="C63" s="25"/>
      <c r="D63" s="25"/>
      <c r="E63" s="25"/>
      <c r="F63" s="40"/>
      <c r="G63" s="40"/>
      <c r="H63" s="40"/>
      <c r="I63" s="40"/>
      <c r="J63" s="40"/>
      <c r="K63" s="40"/>
      <c r="L63" s="40"/>
      <c r="M63" s="40"/>
      <c r="N63" s="40"/>
    </row>
    <row r="64" spans="1:14" ht="28">
      <c r="A64" s="88" t="s">
        <v>275</v>
      </c>
      <c r="B64" s="3">
        <v>2008</v>
      </c>
      <c r="C64" s="3">
        <v>2009</v>
      </c>
      <c r="D64" s="3">
        <v>2010</v>
      </c>
      <c r="E64" s="3">
        <v>2011</v>
      </c>
      <c r="F64" s="3">
        <v>2012</v>
      </c>
      <c r="G64" s="3">
        <v>2013</v>
      </c>
      <c r="H64" s="3">
        <v>2014</v>
      </c>
      <c r="I64" s="3">
        <v>2015</v>
      </c>
      <c r="J64" s="3">
        <v>2016</v>
      </c>
      <c r="K64" s="3">
        <v>2017</v>
      </c>
      <c r="L64" s="13" t="s">
        <v>369</v>
      </c>
      <c r="M64" s="13" t="s">
        <v>368</v>
      </c>
      <c r="N64" s="13" t="s">
        <v>367</v>
      </c>
    </row>
    <row r="65" spans="1:14">
      <c r="A65" s="32" t="s">
        <v>256</v>
      </c>
      <c r="B65" s="32">
        <v>62698</v>
      </c>
      <c r="C65" s="32">
        <v>69341</v>
      </c>
      <c r="D65" s="32">
        <v>64679</v>
      </c>
      <c r="E65" s="32">
        <v>77319</v>
      </c>
      <c r="F65" s="4">
        <v>87513</v>
      </c>
      <c r="G65" s="4">
        <v>102803</v>
      </c>
      <c r="H65" s="4">
        <v>109783</v>
      </c>
      <c r="I65" s="4">
        <v>119604</v>
      </c>
      <c r="J65" s="4">
        <v>129467</v>
      </c>
      <c r="K65" s="4">
        <v>136169</v>
      </c>
      <c r="L65" s="101">
        <f t="shared" ref="L65:L67" si="15">(K65-B65)/B65</f>
        <v>1.1718236626367666</v>
      </c>
      <c r="M65" s="101">
        <f t="shared" ref="M65:M67" si="16">(K65-J65)/J65</f>
        <v>5.1766087111001259E-2</v>
      </c>
      <c r="N65" s="14">
        <f t="shared" ref="N65:N67" si="17">K65/K$9</f>
        <v>0.5679411408956494</v>
      </c>
    </row>
    <row r="66" spans="1:14">
      <c r="A66" s="32" t="s">
        <v>257</v>
      </c>
      <c r="B66" s="32">
        <v>48987</v>
      </c>
      <c r="C66" s="32">
        <v>56964</v>
      </c>
      <c r="D66" s="32">
        <v>54337</v>
      </c>
      <c r="E66" s="32">
        <v>61551</v>
      </c>
      <c r="F66" s="4">
        <v>68135</v>
      </c>
      <c r="G66" s="4">
        <v>79165</v>
      </c>
      <c r="H66" s="4">
        <v>86695</v>
      </c>
      <c r="I66" s="4">
        <v>95363</v>
      </c>
      <c r="J66" s="4">
        <v>99194</v>
      </c>
      <c r="K66" s="4">
        <v>103590</v>
      </c>
      <c r="L66" s="101">
        <f t="shared" si="15"/>
        <v>1.11464266029763</v>
      </c>
      <c r="M66" s="101">
        <f t="shared" si="16"/>
        <v>4.4317196604633347E-2</v>
      </c>
      <c r="N66" s="14">
        <f t="shared" si="17"/>
        <v>0.4320588591043506</v>
      </c>
    </row>
    <row r="67" spans="1:14">
      <c r="A67" s="5" t="s">
        <v>4</v>
      </c>
      <c r="B67" s="5">
        <f t="shared" ref="B67:J67" si="18">SUM(B65:B66)</f>
        <v>111685</v>
      </c>
      <c r="C67" s="5">
        <f t="shared" si="18"/>
        <v>126305</v>
      </c>
      <c r="D67" s="5">
        <f t="shared" si="18"/>
        <v>119016</v>
      </c>
      <c r="E67" s="5">
        <f t="shared" si="18"/>
        <v>138870</v>
      </c>
      <c r="F67" s="5">
        <f t="shared" si="18"/>
        <v>155648</v>
      </c>
      <c r="G67" s="5">
        <f t="shared" si="18"/>
        <v>181968</v>
      </c>
      <c r="H67" s="5">
        <f t="shared" si="18"/>
        <v>196478</v>
      </c>
      <c r="I67" s="5">
        <f t="shared" si="18"/>
        <v>214967</v>
      </c>
      <c r="J67" s="5">
        <f t="shared" si="18"/>
        <v>228661</v>
      </c>
      <c r="K67" s="5">
        <f>SUM(K65:K66)</f>
        <v>239759</v>
      </c>
      <c r="L67" s="83">
        <f t="shared" si="15"/>
        <v>1.1467430720329499</v>
      </c>
      <c r="M67" s="83">
        <f t="shared" si="16"/>
        <v>4.8534730452503928E-2</v>
      </c>
      <c r="N67" s="16">
        <f t="shared" si="17"/>
        <v>1</v>
      </c>
    </row>
    <row r="68" spans="1:14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</row>
    <row r="69" spans="1:14" ht="15">
      <c r="A69" s="25" t="s">
        <v>25</v>
      </c>
      <c r="B69" s="25"/>
      <c r="C69" s="25"/>
      <c r="D69" s="25"/>
      <c r="E69" s="25"/>
      <c r="F69" s="40"/>
      <c r="G69" s="40"/>
      <c r="H69" s="40"/>
      <c r="I69" s="40"/>
      <c r="J69" s="40"/>
      <c r="K69" s="40"/>
      <c r="L69" s="40"/>
      <c r="M69" s="40"/>
      <c r="N69" s="40"/>
    </row>
    <row r="70" spans="1:14" ht="28">
      <c r="A70" s="88" t="s">
        <v>26</v>
      </c>
      <c r="B70" s="3">
        <v>2008</v>
      </c>
      <c r="C70" s="3">
        <v>2009</v>
      </c>
      <c r="D70" s="3">
        <v>2010</v>
      </c>
      <c r="E70" s="3">
        <v>2011</v>
      </c>
      <c r="F70" s="3">
        <v>2012</v>
      </c>
      <c r="G70" s="3">
        <v>2013</v>
      </c>
      <c r="H70" s="3">
        <v>2014</v>
      </c>
      <c r="I70" s="3">
        <v>2015</v>
      </c>
      <c r="J70" s="3">
        <v>2016</v>
      </c>
      <c r="K70" s="3">
        <v>2017</v>
      </c>
      <c r="L70" s="13" t="s">
        <v>369</v>
      </c>
      <c r="M70" s="13" t="s">
        <v>368</v>
      </c>
      <c r="N70" s="13" t="s">
        <v>367</v>
      </c>
    </row>
    <row r="71" spans="1:14">
      <c r="A71" s="4" t="s">
        <v>27</v>
      </c>
      <c r="B71" s="4">
        <v>17</v>
      </c>
      <c r="C71" s="4">
        <v>27</v>
      </c>
      <c r="D71" s="4">
        <v>21</v>
      </c>
      <c r="E71" s="4">
        <v>39</v>
      </c>
      <c r="F71" s="4">
        <v>21</v>
      </c>
      <c r="G71" s="4">
        <v>35</v>
      </c>
      <c r="H71" s="4">
        <v>64</v>
      </c>
      <c r="I71" s="4">
        <v>77</v>
      </c>
      <c r="J71" s="4">
        <v>209</v>
      </c>
      <c r="K71" s="4">
        <v>260</v>
      </c>
      <c r="L71" s="101">
        <f t="shared" ref="L71:L78" si="19">(K71-B71)/B71</f>
        <v>14.294117647058824</v>
      </c>
      <c r="M71" s="101">
        <f t="shared" ref="M71:M78" si="20">(K71-J71)/J71</f>
        <v>0.24401913875598086</v>
      </c>
      <c r="N71" s="14">
        <f t="shared" ref="N71:N78" si="21">K71/K$9</f>
        <v>1.0844222740335086E-3</v>
      </c>
    </row>
    <row r="72" spans="1:14">
      <c r="A72" s="4" t="s">
        <v>28</v>
      </c>
      <c r="B72" s="4">
        <v>33837</v>
      </c>
      <c r="C72" s="4">
        <v>36306</v>
      </c>
      <c r="D72" s="4">
        <v>34336</v>
      </c>
      <c r="E72" s="4">
        <v>44633</v>
      </c>
      <c r="F72" s="4">
        <v>50230</v>
      </c>
      <c r="G72" s="4">
        <v>57434</v>
      </c>
      <c r="H72" s="4">
        <v>60572</v>
      </c>
      <c r="I72" s="4">
        <v>66273</v>
      </c>
      <c r="J72" s="4">
        <v>73182</v>
      </c>
      <c r="K72" s="4">
        <v>75801</v>
      </c>
      <c r="L72" s="101">
        <f t="shared" si="19"/>
        <v>1.2401808670981469</v>
      </c>
      <c r="M72" s="101">
        <f t="shared" si="20"/>
        <v>3.578748872673608E-2</v>
      </c>
      <c r="N72" s="14">
        <f t="shared" si="21"/>
        <v>0.31615497228466921</v>
      </c>
    </row>
    <row r="73" spans="1:14">
      <c r="A73" s="4" t="s">
        <v>29</v>
      </c>
      <c r="B73" s="4">
        <v>44236</v>
      </c>
      <c r="C73" s="4">
        <v>49868</v>
      </c>
      <c r="D73" s="4">
        <v>47149</v>
      </c>
      <c r="E73" s="4">
        <v>51805</v>
      </c>
      <c r="F73" s="4">
        <v>57860</v>
      </c>
      <c r="G73" s="4">
        <v>68095</v>
      </c>
      <c r="H73" s="4">
        <v>74176</v>
      </c>
      <c r="I73" s="4">
        <v>79830</v>
      </c>
      <c r="J73" s="4">
        <v>80077</v>
      </c>
      <c r="K73" s="4">
        <v>84256</v>
      </c>
      <c r="L73" s="101">
        <f t="shared" si="19"/>
        <v>0.90469301021792203</v>
      </c>
      <c r="M73" s="101">
        <f t="shared" si="20"/>
        <v>5.2187269752862871E-2</v>
      </c>
      <c r="N73" s="14">
        <f t="shared" si="21"/>
        <v>0.35141955046525886</v>
      </c>
    </row>
    <row r="74" spans="1:14">
      <c r="A74" s="4" t="s">
        <v>30</v>
      </c>
      <c r="B74" s="4">
        <v>14693</v>
      </c>
      <c r="C74" s="4">
        <v>17089</v>
      </c>
      <c r="D74" s="4">
        <v>16421</v>
      </c>
      <c r="E74" s="4">
        <v>18977</v>
      </c>
      <c r="F74" s="4">
        <v>21463</v>
      </c>
      <c r="G74" s="4">
        <v>25861</v>
      </c>
      <c r="H74" s="4">
        <v>28789</v>
      </c>
      <c r="I74" s="4">
        <v>31346</v>
      </c>
      <c r="J74" s="4">
        <v>33649</v>
      </c>
      <c r="K74" s="4">
        <v>35254</v>
      </c>
      <c r="L74" s="101">
        <f t="shared" si="19"/>
        <v>1.3993738514939087</v>
      </c>
      <c r="M74" s="101">
        <f t="shared" si="20"/>
        <v>4.7698297126214748E-2</v>
      </c>
      <c r="N74" s="14">
        <f t="shared" si="21"/>
        <v>0.14703931864914352</v>
      </c>
    </row>
    <row r="75" spans="1:14">
      <c r="A75" s="4" t="s">
        <v>31</v>
      </c>
      <c r="B75" s="4">
        <v>7751</v>
      </c>
      <c r="C75" s="4">
        <v>9585</v>
      </c>
      <c r="D75" s="4">
        <v>8973</v>
      </c>
      <c r="E75" s="4">
        <v>9986</v>
      </c>
      <c r="F75" s="4">
        <v>11334</v>
      </c>
      <c r="G75" s="4">
        <v>13325</v>
      </c>
      <c r="H75" s="4">
        <v>14569</v>
      </c>
      <c r="I75" s="4">
        <v>16550</v>
      </c>
      <c r="J75" s="4">
        <v>18503</v>
      </c>
      <c r="K75" s="4">
        <v>20082</v>
      </c>
      <c r="L75" s="101">
        <f t="shared" si="19"/>
        <v>1.5908914978712425</v>
      </c>
      <c r="M75" s="101">
        <f t="shared" si="20"/>
        <v>8.5337512835756357E-2</v>
      </c>
      <c r="N75" s="14">
        <f t="shared" si="21"/>
        <v>8.375910810438815E-2</v>
      </c>
    </row>
    <row r="76" spans="1:14">
      <c r="A76" s="4" t="s">
        <v>32</v>
      </c>
      <c r="B76" s="4">
        <v>10923</v>
      </c>
      <c r="C76" s="4">
        <v>13372</v>
      </c>
      <c r="D76" s="4">
        <v>12036</v>
      </c>
      <c r="E76" s="4">
        <v>13348</v>
      </c>
      <c r="F76" s="4">
        <v>14627</v>
      </c>
      <c r="G76" s="4">
        <v>17097</v>
      </c>
      <c r="H76" s="4">
        <v>17920</v>
      </c>
      <c r="I76" s="4">
        <v>20754</v>
      </c>
      <c r="J76" s="4">
        <v>23037</v>
      </c>
      <c r="K76" s="4">
        <v>24100</v>
      </c>
      <c r="L76" s="101">
        <f t="shared" si="19"/>
        <v>1.2063535658701823</v>
      </c>
      <c r="M76" s="101">
        <f t="shared" si="20"/>
        <v>4.6143161001866564E-2</v>
      </c>
      <c r="N76" s="14">
        <f t="shared" si="21"/>
        <v>0.10051760309310599</v>
      </c>
    </row>
    <row r="77" spans="1:14">
      <c r="A77" s="4" t="s">
        <v>33</v>
      </c>
      <c r="B77" s="4">
        <v>228</v>
      </c>
      <c r="C77" s="4">
        <v>58</v>
      </c>
      <c r="D77" s="4">
        <v>80</v>
      </c>
      <c r="E77" s="4">
        <v>82</v>
      </c>
      <c r="F77" s="4">
        <v>113</v>
      </c>
      <c r="G77" s="4">
        <v>121</v>
      </c>
      <c r="H77" s="4">
        <v>388</v>
      </c>
      <c r="I77" s="4">
        <v>137</v>
      </c>
      <c r="J77" s="4">
        <v>4</v>
      </c>
      <c r="K77" s="4">
        <v>6</v>
      </c>
      <c r="L77" s="101">
        <f t="shared" si="19"/>
        <v>-0.97368421052631582</v>
      </c>
      <c r="M77" s="101">
        <f t="shared" si="20"/>
        <v>0.5</v>
      </c>
      <c r="N77" s="14">
        <f t="shared" si="21"/>
        <v>2.5025129400773278E-5</v>
      </c>
    </row>
    <row r="78" spans="1:14">
      <c r="A78" s="5" t="s">
        <v>4</v>
      </c>
      <c r="B78" s="5">
        <f>SUM(B71:B77)</f>
        <v>111685</v>
      </c>
      <c r="C78" s="5">
        <f t="shared" ref="C78:K78" si="22">SUM(C71:C77)</f>
        <v>126305</v>
      </c>
      <c r="D78" s="5">
        <f t="shared" si="22"/>
        <v>119016</v>
      </c>
      <c r="E78" s="5">
        <f t="shared" si="22"/>
        <v>138870</v>
      </c>
      <c r="F78" s="5">
        <f t="shared" si="22"/>
        <v>155648</v>
      </c>
      <c r="G78" s="5">
        <f t="shared" si="22"/>
        <v>181968</v>
      </c>
      <c r="H78" s="5">
        <f t="shared" si="22"/>
        <v>196478</v>
      </c>
      <c r="I78" s="5">
        <f t="shared" si="22"/>
        <v>214967</v>
      </c>
      <c r="J78" s="5">
        <f t="shared" si="22"/>
        <v>228661</v>
      </c>
      <c r="K78" s="5">
        <f t="shared" si="22"/>
        <v>239759</v>
      </c>
      <c r="L78" s="83">
        <f t="shared" si="19"/>
        <v>1.1467430720329499</v>
      </c>
      <c r="M78" s="83">
        <f t="shared" si="20"/>
        <v>4.8534730452503928E-2</v>
      </c>
      <c r="N78" s="16">
        <f t="shared" si="21"/>
        <v>1</v>
      </c>
    </row>
    <row r="79" spans="1:14">
      <c r="A79" s="88" t="s">
        <v>34</v>
      </c>
      <c r="B79" s="102">
        <v>28.831666023668319</v>
      </c>
      <c r="C79" s="102">
        <v>29.172824383764308</v>
      </c>
      <c r="D79" s="102">
        <v>29.048681130145958</v>
      </c>
      <c r="E79" s="102">
        <v>28.71437052482208</v>
      </c>
      <c r="F79" s="102">
        <v>28.711955508406469</v>
      </c>
      <c r="G79" s="102">
        <v>28.761519299191079</v>
      </c>
      <c r="H79" s="102">
        <v>28.737926462338724</v>
      </c>
      <c r="I79" s="102">
        <v>28.859447004608295</v>
      </c>
      <c r="J79" s="102">
        <v>28.94057474732897</v>
      </c>
      <c r="K79" s="102">
        <v>28.985814567492376</v>
      </c>
      <c r="L79" s="96"/>
      <c r="M79" s="96"/>
      <c r="N79" s="93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 spans="1:15" ht="15">
      <c r="A81" s="25" t="s">
        <v>35</v>
      </c>
      <c r="B81" s="25"/>
      <c r="C81" s="25"/>
      <c r="D81" s="25"/>
      <c r="E81" s="25"/>
      <c r="F81" s="40"/>
      <c r="G81" s="40"/>
      <c r="H81" s="40"/>
      <c r="I81" s="40"/>
      <c r="J81" s="40"/>
      <c r="K81" s="40"/>
      <c r="L81" s="40"/>
      <c r="M81" s="40"/>
      <c r="N81" s="40"/>
      <c r="O81" s="91"/>
    </row>
    <row r="82" spans="1:15" ht="28">
      <c r="A82" s="88" t="s">
        <v>9</v>
      </c>
      <c r="B82" s="3">
        <v>2008</v>
      </c>
      <c r="C82" s="3">
        <v>2009</v>
      </c>
      <c r="D82" s="3">
        <v>2010</v>
      </c>
      <c r="E82" s="3">
        <v>2011</v>
      </c>
      <c r="F82" s="3">
        <v>2012</v>
      </c>
      <c r="G82" s="3">
        <v>2013</v>
      </c>
      <c r="H82" s="3">
        <v>2014</v>
      </c>
      <c r="I82" s="3">
        <v>2015</v>
      </c>
      <c r="J82" s="3">
        <v>2016</v>
      </c>
      <c r="K82" s="3">
        <v>2017</v>
      </c>
      <c r="L82" s="13" t="s">
        <v>369</v>
      </c>
      <c r="M82" s="13" t="s">
        <v>368</v>
      </c>
      <c r="N82" s="13" t="s">
        <v>367</v>
      </c>
    </row>
    <row r="83" spans="1:15">
      <c r="A83" s="4" t="s">
        <v>303</v>
      </c>
      <c r="B83" s="4">
        <v>1820</v>
      </c>
      <c r="C83" s="4">
        <v>1960</v>
      </c>
      <c r="D83" s="4">
        <v>1865</v>
      </c>
      <c r="E83" s="4">
        <v>2083</v>
      </c>
      <c r="F83" s="18">
        <v>2080</v>
      </c>
      <c r="G83" s="18">
        <v>2364</v>
      </c>
      <c r="H83" s="18">
        <v>2771</v>
      </c>
      <c r="I83" s="18">
        <v>2577</v>
      </c>
      <c r="J83" s="18">
        <v>2514</v>
      </c>
      <c r="K83" s="18">
        <v>2706</v>
      </c>
      <c r="L83" s="101">
        <f t="shared" ref="L83:L98" si="23">(K83-B83)/B83</f>
        <v>0.4868131868131868</v>
      </c>
      <c r="M83" s="101">
        <f t="shared" ref="M83:M98" si="24">(K83-J83)/J83</f>
        <v>7.6372315035799526E-2</v>
      </c>
      <c r="N83" s="14">
        <f t="shared" ref="N83:N98" si="25">K83/K$9</f>
        <v>1.1286333359748747E-2</v>
      </c>
    </row>
    <row r="84" spans="1:15">
      <c r="A84" s="4" t="s">
        <v>304</v>
      </c>
      <c r="B84" s="4">
        <v>1476</v>
      </c>
      <c r="C84" s="4">
        <v>1412</v>
      </c>
      <c r="D84" s="4">
        <v>1307</v>
      </c>
      <c r="E84" s="4">
        <v>1529</v>
      </c>
      <c r="F84" s="18">
        <v>1591</v>
      </c>
      <c r="G84" s="18">
        <v>1911</v>
      </c>
      <c r="H84" s="18">
        <v>2200</v>
      </c>
      <c r="I84" s="18">
        <v>2548</v>
      </c>
      <c r="J84" s="18">
        <v>2544</v>
      </c>
      <c r="K84" s="18">
        <v>2847</v>
      </c>
      <c r="L84" s="101">
        <f t="shared" si="23"/>
        <v>0.92886178861788615</v>
      </c>
      <c r="M84" s="101">
        <f t="shared" si="24"/>
        <v>0.11910377358490566</v>
      </c>
      <c r="N84" s="14">
        <f t="shared" si="25"/>
        <v>1.187442390066692E-2</v>
      </c>
    </row>
    <row r="85" spans="1:15">
      <c r="A85" s="4" t="s">
        <v>305</v>
      </c>
      <c r="B85" s="4">
        <v>3539</v>
      </c>
      <c r="C85" s="4">
        <v>4224</v>
      </c>
      <c r="D85" s="4">
        <v>4045</v>
      </c>
      <c r="E85" s="4">
        <v>4366</v>
      </c>
      <c r="F85" s="18">
        <v>5180</v>
      </c>
      <c r="G85" s="18">
        <v>6102</v>
      </c>
      <c r="H85" s="18">
        <v>6592</v>
      </c>
      <c r="I85" s="18">
        <v>8260</v>
      </c>
      <c r="J85" s="18">
        <v>7592</v>
      </c>
      <c r="K85" s="18">
        <v>7116</v>
      </c>
      <c r="L85" s="101">
        <f t="shared" si="23"/>
        <v>1.0107374964679288</v>
      </c>
      <c r="M85" s="101">
        <f t="shared" si="24"/>
        <v>-6.2697576396206531E-2</v>
      </c>
      <c r="N85" s="14">
        <f t="shared" si="25"/>
        <v>2.9679803469317107E-2</v>
      </c>
    </row>
    <row r="86" spans="1:15">
      <c r="A86" s="4" t="s">
        <v>306</v>
      </c>
      <c r="B86" s="4">
        <v>739</v>
      </c>
      <c r="C86" s="4">
        <v>951</v>
      </c>
      <c r="D86" s="4">
        <v>1073</v>
      </c>
      <c r="E86" s="4">
        <v>831</v>
      </c>
      <c r="F86" s="18">
        <v>1063</v>
      </c>
      <c r="G86" s="18">
        <v>1177</v>
      </c>
      <c r="H86" s="18">
        <v>1368</v>
      </c>
      <c r="I86" s="18">
        <v>1586</v>
      </c>
      <c r="J86" s="18">
        <v>1923</v>
      </c>
      <c r="K86" s="18">
        <v>2024</v>
      </c>
      <c r="L86" s="101">
        <f t="shared" si="23"/>
        <v>1.7388362652232747</v>
      </c>
      <c r="M86" s="101">
        <f t="shared" si="24"/>
        <v>5.2522100884035361E-2</v>
      </c>
      <c r="N86" s="14">
        <f t="shared" si="25"/>
        <v>8.4418103178608515E-3</v>
      </c>
    </row>
    <row r="87" spans="1:15">
      <c r="A87" s="4" t="s">
        <v>307</v>
      </c>
      <c r="B87" s="4">
        <v>4120</v>
      </c>
      <c r="C87" s="4">
        <v>3729</v>
      </c>
      <c r="D87" s="4">
        <v>3369</v>
      </c>
      <c r="E87" s="4">
        <v>3634</v>
      </c>
      <c r="F87" s="18">
        <v>4449</v>
      </c>
      <c r="G87" s="18">
        <v>6011</v>
      </c>
      <c r="H87" s="18">
        <v>5966</v>
      </c>
      <c r="I87" s="18">
        <v>6364</v>
      </c>
      <c r="J87" s="18">
        <v>7091</v>
      </c>
      <c r="K87" s="18">
        <v>7483</v>
      </c>
      <c r="L87" s="101">
        <f t="shared" si="23"/>
        <v>0.8162621359223301</v>
      </c>
      <c r="M87" s="101">
        <f t="shared" si="24"/>
        <v>5.5281342546890426E-2</v>
      </c>
      <c r="N87" s="14">
        <f t="shared" si="25"/>
        <v>3.1210507217664406E-2</v>
      </c>
    </row>
    <row r="88" spans="1:15">
      <c r="A88" s="4" t="s">
        <v>308</v>
      </c>
      <c r="B88" s="4">
        <v>12429</v>
      </c>
      <c r="C88" s="4">
        <v>14164</v>
      </c>
      <c r="D88" s="4">
        <v>12503</v>
      </c>
      <c r="E88" s="4">
        <v>14218</v>
      </c>
      <c r="F88" s="18">
        <v>17602</v>
      </c>
      <c r="G88" s="18">
        <v>19126</v>
      </c>
      <c r="H88" s="18">
        <v>21085</v>
      </c>
      <c r="I88" s="18">
        <v>22716</v>
      </c>
      <c r="J88" s="18">
        <v>23562</v>
      </c>
      <c r="K88" s="18">
        <v>24220</v>
      </c>
      <c r="L88" s="101">
        <f t="shared" si="23"/>
        <v>0.94866843672057288</v>
      </c>
      <c r="M88" s="101">
        <f t="shared" si="24"/>
        <v>2.7926322043969103E-2</v>
      </c>
      <c r="N88" s="14">
        <f t="shared" si="25"/>
        <v>0.10101810568112146</v>
      </c>
    </row>
    <row r="89" spans="1:15">
      <c r="A89" s="32" t="s">
        <v>329</v>
      </c>
      <c r="B89" s="32">
        <v>54319</v>
      </c>
      <c r="C89" s="32">
        <v>62124</v>
      </c>
      <c r="D89" s="32">
        <v>61121</v>
      </c>
      <c r="E89" s="32">
        <v>71573</v>
      </c>
      <c r="F89" s="18">
        <v>77949</v>
      </c>
      <c r="G89" s="18">
        <v>91316</v>
      </c>
      <c r="H89" s="18">
        <v>96732</v>
      </c>
      <c r="I89" s="18">
        <v>104307</v>
      </c>
      <c r="J89" s="18">
        <v>111846</v>
      </c>
      <c r="K89" s="18">
        <v>120167</v>
      </c>
      <c r="L89" s="101">
        <f t="shared" si="23"/>
        <v>1.2122461753714171</v>
      </c>
      <c r="M89" s="101">
        <f t="shared" si="24"/>
        <v>7.4396938647783559E-2</v>
      </c>
      <c r="N89" s="14">
        <f t="shared" si="25"/>
        <v>0.50119912078378703</v>
      </c>
    </row>
    <row r="90" spans="1:15">
      <c r="A90" s="4" t="s">
        <v>309</v>
      </c>
      <c r="B90" s="4">
        <v>2262</v>
      </c>
      <c r="C90" s="4">
        <v>2395</v>
      </c>
      <c r="D90" s="4">
        <v>2327</v>
      </c>
      <c r="E90" s="4">
        <v>3383</v>
      </c>
      <c r="F90" s="18">
        <v>3821</v>
      </c>
      <c r="G90" s="18">
        <v>4637</v>
      </c>
      <c r="H90" s="18">
        <v>5229</v>
      </c>
      <c r="I90" s="18">
        <v>6348</v>
      </c>
      <c r="J90" s="18">
        <v>7103</v>
      </c>
      <c r="K90" s="18">
        <v>6606</v>
      </c>
      <c r="L90" s="101">
        <f t="shared" si="23"/>
        <v>1.9204244031830238</v>
      </c>
      <c r="M90" s="101">
        <f t="shared" si="24"/>
        <v>-6.997043502745319E-2</v>
      </c>
      <c r="N90" s="14">
        <f t="shared" si="25"/>
        <v>2.7552667470251379E-2</v>
      </c>
    </row>
    <row r="91" spans="1:15">
      <c r="A91" s="4" t="s">
        <v>310</v>
      </c>
      <c r="B91" s="4">
        <v>4443</v>
      </c>
      <c r="C91" s="4">
        <v>6244</v>
      </c>
      <c r="D91" s="4">
        <v>4342</v>
      </c>
      <c r="E91" s="4">
        <v>5145</v>
      </c>
      <c r="F91" s="18">
        <v>6664</v>
      </c>
      <c r="G91" s="18">
        <v>7544</v>
      </c>
      <c r="H91" s="18">
        <v>8307</v>
      </c>
      <c r="I91" s="18">
        <v>9211</v>
      </c>
      <c r="J91" s="18">
        <v>9950</v>
      </c>
      <c r="K91" s="18">
        <v>10044</v>
      </c>
      <c r="L91" s="101">
        <f t="shared" si="23"/>
        <v>1.2606347062795409</v>
      </c>
      <c r="M91" s="101">
        <f t="shared" si="24"/>
        <v>9.4472361809045217E-3</v>
      </c>
      <c r="N91" s="14">
        <f t="shared" si="25"/>
        <v>4.1892066616894465E-2</v>
      </c>
    </row>
    <row r="92" spans="1:15">
      <c r="A92" s="4" t="s">
        <v>311</v>
      </c>
      <c r="B92" s="4">
        <v>15250</v>
      </c>
      <c r="C92" s="4">
        <v>16195</v>
      </c>
      <c r="D92" s="4">
        <v>14707</v>
      </c>
      <c r="E92" s="4">
        <v>18324</v>
      </c>
      <c r="F92" s="18">
        <v>20162</v>
      </c>
      <c r="G92" s="18">
        <v>24721</v>
      </c>
      <c r="H92" s="18">
        <v>26566</v>
      </c>
      <c r="I92" s="18">
        <v>29264</v>
      </c>
      <c r="J92" s="18">
        <v>30218</v>
      </c>
      <c r="K92" s="18">
        <v>31033</v>
      </c>
      <c r="L92" s="101">
        <f t="shared" si="23"/>
        <v>1.0349508196721311</v>
      </c>
      <c r="M92" s="101">
        <f t="shared" si="24"/>
        <v>2.6970679727314845E-2</v>
      </c>
      <c r="N92" s="14">
        <f t="shared" si="25"/>
        <v>0.12943414011569951</v>
      </c>
    </row>
    <row r="93" spans="1:15">
      <c r="A93" s="4" t="s">
        <v>312</v>
      </c>
      <c r="B93" s="4">
        <v>5809</v>
      </c>
      <c r="C93" s="4">
        <v>5904</v>
      </c>
      <c r="D93" s="4">
        <v>5892</v>
      </c>
      <c r="E93" s="4">
        <v>6351</v>
      </c>
      <c r="F93" s="18">
        <v>6811</v>
      </c>
      <c r="G93" s="18">
        <v>7750</v>
      </c>
      <c r="H93" s="18">
        <v>9349</v>
      </c>
      <c r="I93" s="18">
        <v>10192</v>
      </c>
      <c r="J93" s="18">
        <v>11338</v>
      </c>
      <c r="K93" s="18">
        <v>10816</v>
      </c>
      <c r="L93" s="101">
        <f t="shared" si="23"/>
        <v>0.86193837149251162</v>
      </c>
      <c r="M93" s="101">
        <f t="shared" si="24"/>
        <v>-4.6039865937555123E-2</v>
      </c>
      <c r="N93" s="14">
        <f t="shared" si="25"/>
        <v>4.5111966599793961E-2</v>
      </c>
    </row>
    <row r="94" spans="1:15">
      <c r="A94" s="4" t="s">
        <v>313</v>
      </c>
      <c r="B94" s="4">
        <v>1794</v>
      </c>
      <c r="C94" s="4">
        <v>2309</v>
      </c>
      <c r="D94" s="4">
        <v>1962</v>
      </c>
      <c r="E94" s="4">
        <v>2297</v>
      </c>
      <c r="F94" s="18">
        <v>2263</v>
      </c>
      <c r="G94" s="18">
        <v>2768</v>
      </c>
      <c r="H94" s="18">
        <v>3064</v>
      </c>
      <c r="I94" s="18">
        <v>3313</v>
      </c>
      <c r="J94" s="18">
        <v>3493</v>
      </c>
      <c r="K94" s="18">
        <v>4196</v>
      </c>
      <c r="L94" s="101">
        <f t="shared" si="23"/>
        <v>1.338907469342252</v>
      </c>
      <c r="M94" s="101">
        <f t="shared" si="24"/>
        <v>0.20125966218150587</v>
      </c>
      <c r="N94" s="14">
        <f t="shared" si="25"/>
        <v>1.7500907160940778E-2</v>
      </c>
    </row>
    <row r="95" spans="1:15">
      <c r="A95" s="4" t="s">
        <v>314</v>
      </c>
      <c r="B95" s="4">
        <v>2778</v>
      </c>
      <c r="C95" s="4">
        <v>3466</v>
      </c>
      <c r="D95" s="4">
        <v>3490</v>
      </c>
      <c r="E95" s="4">
        <v>3830</v>
      </c>
      <c r="F95" s="18">
        <v>4838</v>
      </c>
      <c r="G95" s="18">
        <v>5116</v>
      </c>
      <c r="H95" s="18">
        <v>5605</v>
      </c>
      <c r="I95" s="18">
        <v>6471</v>
      </c>
      <c r="J95" s="18">
        <v>7843</v>
      </c>
      <c r="K95" s="18">
        <v>8468</v>
      </c>
      <c r="L95" s="101">
        <f t="shared" si="23"/>
        <v>2.0482361411087111</v>
      </c>
      <c r="M95" s="101">
        <f t="shared" si="24"/>
        <v>7.9688894555654727E-2</v>
      </c>
      <c r="N95" s="14">
        <f t="shared" si="25"/>
        <v>3.5318799294291353E-2</v>
      </c>
    </row>
    <row r="96" spans="1:15">
      <c r="A96" s="4" t="s">
        <v>315</v>
      </c>
      <c r="B96" s="4">
        <v>133</v>
      </c>
      <c r="C96" s="4">
        <v>198</v>
      </c>
      <c r="D96" s="4">
        <v>265</v>
      </c>
      <c r="E96" s="4">
        <v>223</v>
      </c>
      <c r="F96" s="18">
        <v>173</v>
      </c>
      <c r="G96" s="18">
        <v>211</v>
      </c>
      <c r="H96" s="18">
        <v>408</v>
      </c>
      <c r="I96" s="18">
        <v>402</v>
      </c>
      <c r="J96" s="18">
        <v>446</v>
      </c>
      <c r="K96" s="18">
        <v>548</v>
      </c>
      <c r="L96" s="101">
        <f t="shared" si="23"/>
        <v>3.1203007518796992</v>
      </c>
      <c r="M96" s="101">
        <f t="shared" si="24"/>
        <v>0.22869955156950672</v>
      </c>
      <c r="N96" s="14">
        <f t="shared" si="25"/>
        <v>2.2856284852706258E-3</v>
      </c>
    </row>
    <row r="97" spans="1:14">
      <c r="A97" s="4" t="s">
        <v>317</v>
      </c>
      <c r="B97" s="4">
        <v>774</v>
      </c>
      <c r="C97" s="4">
        <v>1030</v>
      </c>
      <c r="D97" s="4">
        <v>748</v>
      </c>
      <c r="E97" s="4">
        <v>1083</v>
      </c>
      <c r="F97" s="18">
        <v>1002</v>
      </c>
      <c r="G97" s="18">
        <v>1214</v>
      </c>
      <c r="H97" s="18">
        <v>1236</v>
      </c>
      <c r="I97" s="18">
        <v>1408</v>
      </c>
      <c r="J97" s="18">
        <v>1198</v>
      </c>
      <c r="K97" s="18">
        <v>1485</v>
      </c>
      <c r="L97" s="101">
        <f t="shared" si="23"/>
        <v>0.91860465116279066</v>
      </c>
      <c r="M97" s="101">
        <f t="shared" si="24"/>
        <v>0.2395659432387312</v>
      </c>
      <c r="N97" s="14">
        <f t="shared" si="25"/>
        <v>6.1937195266913861E-3</v>
      </c>
    </row>
    <row r="98" spans="1:14">
      <c r="A98" s="5" t="s">
        <v>4</v>
      </c>
      <c r="B98" s="5">
        <v>111685</v>
      </c>
      <c r="C98" s="5">
        <v>126305</v>
      </c>
      <c r="D98" s="5">
        <v>119016</v>
      </c>
      <c r="E98" s="5">
        <v>138870</v>
      </c>
      <c r="F98" s="5">
        <v>155648</v>
      </c>
      <c r="G98" s="5">
        <v>181968</v>
      </c>
      <c r="H98" s="5">
        <v>196478</v>
      </c>
      <c r="I98" s="5">
        <v>214967</v>
      </c>
      <c r="J98" s="5">
        <v>228661</v>
      </c>
      <c r="K98" s="5">
        <v>239759</v>
      </c>
      <c r="L98" s="83">
        <f t="shared" si="23"/>
        <v>1.1467430720329499</v>
      </c>
      <c r="M98" s="83">
        <f t="shared" si="24"/>
        <v>4.8534730452503928E-2</v>
      </c>
      <c r="N98" s="16">
        <f t="shared" si="25"/>
        <v>1</v>
      </c>
    </row>
    <row r="99" spans="1:14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</row>
    <row r="100" spans="1:14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</row>
    <row r="101" spans="1:14">
      <c r="A101" s="70" t="s">
        <v>294</v>
      </c>
      <c r="B101" s="70"/>
      <c r="C101" s="70"/>
      <c r="D101" s="70"/>
      <c r="E101" s="70"/>
      <c r="F101" s="40"/>
      <c r="G101" s="40"/>
      <c r="H101" s="40"/>
      <c r="I101" s="40"/>
      <c r="J101" s="40"/>
      <c r="K101" s="40"/>
      <c r="L101" s="40"/>
      <c r="M101" s="40"/>
      <c r="N101" s="40"/>
    </row>
    <row r="102" spans="1:14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</row>
    <row r="103" spans="1:14">
      <c r="A103" s="71" t="s">
        <v>21</v>
      </c>
      <c r="B103" s="71"/>
      <c r="C103" s="71"/>
      <c r="D103" s="71"/>
      <c r="E103" s="71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</sheetData>
  <hyperlinks>
    <hyperlink ref="A103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showGridLines="0" workbookViewId="0">
      <pane ySplit="2" topLeftCell="A3" activePane="bottomLeft" state="frozen"/>
      <selection pane="bottomLeft" activeCell="A30" sqref="A30"/>
    </sheetView>
  </sheetViews>
  <sheetFormatPr baseColWidth="10" defaultRowHeight="14" x14ac:dyDescent="0"/>
  <cols>
    <col min="1" max="1" width="31.33203125" style="1" customWidth="1"/>
    <col min="2" max="2" width="17.33203125" style="45" customWidth="1"/>
    <col min="3" max="3" width="14.5" style="45" customWidth="1"/>
    <col min="4" max="4" width="15.33203125" style="45" customWidth="1"/>
    <col min="5" max="5" width="15.1640625" style="45" customWidth="1"/>
    <col min="6" max="6" width="10.83203125" style="1"/>
    <col min="7" max="7" width="28.83203125" style="1" customWidth="1"/>
    <col min="8" max="16384" width="10.83203125" style="1"/>
  </cols>
  <sheetData>
    <row r="1" spans="1:6" ht="20">
      <c r="A1" s="66" t="s">
        <v>393</v>
      </c>
      <c r="B1" s="46"/>
      <c r="C1" s="46"/>
      <c r="D1" s="46"/>
      <c r="E1" s="46"/>
    </row>
    <row r="2" spans="1:6">
      <c r="A2" s="40"/>
      <c r="B2" s="46"/>
      <c r="C2" s="46"/>
      <c r="D2" s="46"/>
      <c r="E2" s="46"/>
    </row>
    <row r="3" spans="1:6">
      <c r="A3" s="40"/>
      <c r="B3" s="46"/>
      <c r="C3" s="46"/>
      <c r="D3" s="46"/>
      <c r="E3" s="46"/>
    </row>
    <row r="4" spans="1:6" ht="15">
      <c r="A4" s="25" t="s">
        <v>339</v>
      </c>
      <c r="B4" s="46"/>
      <c r="C4" s="46"/>
      <c r="D4" s="46"/>
      <c r="E4" s="46"/>
    </row>
    <row r="5" spans="1:6" ht="28">
      <c r="A5" s="89" t="s">
        <v>275</v>
      </c>
      <c r="B5" s="47" t="s">
        <v>5</v>
      </c>
      <c r="C5" s="47" t="s">
        <v>6</v>
      </c>
      <c r="D5" s="47" t="s">
        <v>7</v>
      </c>
      <c r="E5" s="47" t="s">
        <v>8</v>
      </c>
    </row>
    <row r="6" spans="1:6">
      <c r="A6" s="4" t="s">
        <v>394</v>
      </c>
      <c r="B6" s="43">
        <v>17977</v>
      </c>
      <c r="C6" s="43">
        <v>44519</v>
      </c>
      <c r="D6" s="43">
        <v>52120</v>
      </c>
      <c r="E6" s="43">
        <v>114616</v>
      </c>
    </row>
    <row r="7" spans="1:6">
      <c r="A7" s="4" t="s">
        <v>395</v>
      </c>
      <c r="B7" s="43">
        <v>14211</v>
      </c>
      <c r="C7" s="43">
        <v>33462</v>
      </c>
      <c r="D7" s="43">
        <v>40286</v>
      </c>
      <c r="E7" s="43">
        <v>87959</v>
      </c>
    </row>
    <row r="8" spans="1:6">
      <c r="A8" s="5" t="s">
        <v>396</v>
      </c>
      <c r="B8" s="44">
        <f>SUM(B6:B7)</f>
        <v>32188</v>
      </c>
      <c r="C8" s="44">
        <f t="shared" ref="C8:E8" si="0">SUM(C6:C7)</f>
        <v>77981</v>
      </c>
      <c r="D8" s="44">
        <f t="shared" si="0"/>
        <v>92406</v>
      </c>
      <c r="E8" s="44">
        <f t="shared" si="0"/>
        <v>202575</v>
      </c>
    </row>
    <row r="9" spans="1:6">
      <c r="A9" s="40"/>
      <c r="B9" s="46"/>
      <c r="C9" s="46"/>
      <c r="D9" s="46"/>
      <c r="E9" s="46"/>
    </row>
    <row r="10" spans="1:6" ht="15">
      <c r="A10" s="25" t="s">
        <v>340</v>
      </c>
      <c r="B10" s="46"/>
      <c r="C10" s="46"/>
      <c r="D10" s="46"/>
      <c r="E10" s="46"/>
    </row>
    <row r="11" spans="1:6" ht="28">
      <c r="A11" s="89" t="s">
        <v>26</v>
      </c>
      <c r="B11" s="47" t="s">
        <v>5</v>
      </c>
      <c r="C11" s="47" t="s">
        <v>6</v>
      </c>
      <c r="D11" s="47" t="s">
        <v>7</v>
      </c>
      <c r="E11" s="47" t="s">
        <v>8</v>
      </c>
    </row>
    <row r="12" spans="1:6">
      <c r="A12" s="4" t="s">
        <v>27</v>
      </c>
      <c r="B12" s="43">
        <v>103</v>
      </c>
      <c r="C12" s="43">
        <v>68</v>
      </c>
      <c r="D12" s="43">
        <v>67</v>
      </c>
      <c r="E12" s="43">
        <f>SUM(B12:D12)</f>
        <v>238</v>
      </c>
      <c r="F12" s="6"/>
    </row>
    <row r="13" spans="1:6">
      <c r="A13" s="4" t="s">
        <v>28</v>
      </c>
      <c r="B13" s="43">
        <v>16156</v>
      </c>
      <c r="C13" s="43">
        <v>30353</v>
      </c>
      <c r="D13" s="43">
        <v>28134</v>
      </c>
      <c r="E13" s="43">
        <f t="shared" ref="E13:E19" si="1">SUM(B13:D13)</f>
        <v>74643</v>
      </c>
      <c r="F13" s="6"/>
    </row>
    <row r="14" spans="1:6">
      <c r="A14" s="4" t="s">
        <v>29</v>
      </c>
      <c r="B14" s="43">
        <v>8050</v>
      </c>
      <c r="C14" s="43">
        <v>23201</v>
      </c>
      <c r="D14" s="43">
        <v>42965</v>
      </c>
      <c r="E14" s="43">
        <f t="shared" si="1"/>
        <v>74216</v>
      </c>
      <c r="F14" s="6"/>
    </row>
    <row r="15" spans="1:6">
      <c r="A15" s="4" t="s">
        <v>30</v>
      </c>
      <c r="B15" s="43">
        <v>3483</v>
      </c>
      <c r="C15" s="43">
        <v>11157</v>
      </c>
      <c r="D15" s="43">
        <v>10875</v>
      </c>
      <c r="E15" s="43">
        <f t="shared" si="1"/>
        <v>25515</v>
      </c>
      <c r="F15" s="6"/>
    </row>
    <row r="16" spans="1:6">
      <c r="A16" s="4" t="s">
        <v>31</v>
      </c>
      <c r="B16" s="43">
        <v>2085</v>
      </c>
      <c r="C16" s="43">
        <v>6475</v>
      </c>
      <c r="D16" s="43">
        <v>5111</v>
      </c>
      <c r="E16" s="43">
        <f t="shared" si="1"/>
        <v>13671</v>
      </c>
      <c r="F16" s="6"/>
    </row>
    <row r="17" spans="1:6">
      <c r="A17" s="4" t="s">
        <v>32</v>
      </c>
      <c r="B17" s="43">
        <v>2311</v>
      </c>
      <c r="C17" s="43">
        <v>6727</v>
      </c>
      <c r="D17" s="43">
        <v>5253</v>
      </c>
      <c r="E17" s="43">
        <f t="shared" si="1"/>
        <v>14291</v>
      </c>
      <c r="F17" s="6"/>
    </row>
    <row r="18" spans="1:6">
      <c r="A18" s="4" t="s">
        <v>33</v>
      </c>
      <c r="B18" s="43"/>
      <c r="C18" s="43"/>
      <c r="D18" s="43">
        <v>1</v>
      </c>
      <c r="E18" s="43">
        <f t="shared" si="1"/>
        <v>1</v>
      </c>
      <c r="F18" s="6"/>
    </row>
    <row r="19" spans="1:6">
      <c r="A19" s="5" t="s">
        <v>4</v>
      </c>
      <c r="B19" s="44">
        <f>SUM(B12:B18)</f>
        <v>32188</v>
      </c>
      <c r="C19" s="44">
        <f t="shared" ref="C19:D19" si="2">SUM(C12:C18)</f>
        <v>77981</v>
      </c>
      <c r="D19" s="44">
        <f t="shared" si="2"/>
        <v>92406</v>
      </c>
      <c r="E19" s="44">
        <f t="shared" si="1"/>
        <v>202575</v>
      </c>
      <c r="F19" s="6"/>
    </row>
    <row r="20" spans="1:6">
      <c r="A20" s="94" t="s">
        <v>36</v>
      </c>
      <c r="B20" s="95">
        <v>26.950478439169878</v>
      </c>
      <c r="C20" s="95">
        <v>28.240340595786154</v>
      </c>
      <c r="D20" s="95">
        <v>27.761030247280992</v>
      </c>
      <c r="E20" s="95">
        <v>27.816748447480922</v>
      </c>
    </row>
    <row r="21" spans="1:6">
      <c r="A21" s="40"/>
      <c r="B21" s="40"/>
      <c r="C21" s="40"/>
      <c r="D21" s="40"/>
      <c r="E21" s="40"/>
      <c r="F21" s="40"/>
    </row>
    <row r="22" spans="1:6" ht="15">
      <c r="A22" s="25" t="s">
        <v>341</v>
      </c>
      <c r="B22" s="46"/>
      <c r="C22" s="46"/>
      <c r="D22" s="46"/>
      <c r="E22" s="46"/>
    </row>
    <row r="23" spans="1:6" ht="28">
      <c r="A23" s="89" t="s">
        <v>37</v>
      </c>
      <c r="B23" s="47" t="s">
        <v>5</v>
      </c>
      <c r="C23" s="47" t="s">
        <v>6</v>
      </c>
      <c r="D23" s="47" t="s">
        <v>7</v>
      </c>
      <c r="E23" s="47" t="s">
        <v>8</v>
      </c>
    </row>
    <row r="24" spans="1:6">
      <c r="A24" s="4" t="s">
        <v>38</v>
      </c>
      <c r="B24" s="43">
        <v>32188</v>
      </c>
      <c r="C24" s="43">
        <v>40335</v>
      </c>
      <c r="D24" s="43">
        <v>6843</v>
      </c>
      <c r="E24" s="43">
        <v>79366</v>
      </c>
    </row>
    <row r="25" spans="1:6">
      <c r="A25" s="4" t="s">
        <v>39</v>
      </c>
      <c r="B25" s="43"/>
      <c r="C25" s="43">
        <v>37646</v>
      </c>
      <c r="D25" s="43">
        <v>7722</v>
      </c>
      <c r="E25" s="43">
        <v>45368</v>
      </c>
    </row>
    <row r="26" spans="1:6">
      <c r="A26" s="4" t="s">
        <v>40</v>
      </c>
      <c r="B26" s="43"/>
      <c r="C26" s="43"/>
      <c r="D26" s="43">
        <v>2311</v>
      </c>
      <c r="E26" s="43">
        <v>2311</v>
      </c>
    </row>
    <row r="27" spans="1:6">
      <c r="A27" s="4" t="s">
        <v>41</v>
      </c>
      <c r="B27" s="44"/>
      <c r="C27" s="44"/>
      <c r="D27" s="43">
        <v>75530</v>
      </c>
      <c r="E27" s="43">
        <v>75530</v>
      </c>
    </row>
    <row r="28" spans="1:6">
      <c r="A28" s="5" t="s">
        <v>4</v>
      </c>
      <c r="B28" s="65">
        <v>32188</v>
      </c>
      <c r="C28" s="65">
        <v>77981</v>
      </c>
      <c r="D28" s="65">
        <v>92406</v>
      </c>
      <c r="E28" s="65">
        <v>202575</v>
      </c>
    </row>
    <row r="29" spans="1:6">
      <c r="A29" s="40"/>
      <c r="B29" s="46"/>
      <c r="C29" s="46"/>
      <c r="D29" s="46"/>
      <c r="E29" s="46"/>
    </row>
    <row r="30" spans="1:6" ht="15">
      <c r="A30" s="25" t="s">
        <v>342</v>
      </c>
      <c r="B30" s="46"/>
      <c r="C30" s="46"/>
      <c r="D30" s="46"/>
      <c r="E30" s="46"/>
    </row>
    <row r="31" spans="1:6" ht="28">
      <c r="A31" s="89" t="s">
        <v>10</v>
      </c>
      <c r="B31" s="47" t="s">
        <v>5</v>
      </c>
      <c r="C31" s="47" t="s">
        <v>6</v>
      </c>
      <c r="D31" s="47" t="s">
        <v>7</v>
      </c>
      <c r="E31" s="47" t="s">
        <v>8</v>
      </c>
    </row>
    <row r="32" spans="1:6">
      <c r="A32" s="4" t="s">
        <v>11</v>
      </c>
      <c r="B32" s="43">
        <v>8817</v>
      </c>
      <c r="C32" s="43">
        <v>19411</v>
      </c>
      <c r="D32" s="43">
        <v>15083</v>
      </c>
      <c r="E32" s="43">
        <v>43311</v>
      </c>
    </row>
    <row r="33" spans="1:5">
      <c r="A33" s="4" t="s">
        <v>12</v>
      </c>
      <c r="B33" s="43">
        <v>801</v>
      </c>
      <c r="C33" s="43">
        <v>938</v>
      </c>
      <c r="D33" s="43">
        <v>2138</v>
      </c>
      <c r="E33" s="43">
        <v>3877</v>
      </c>
    </row>
    <row r="34" spans="1:5">
      <c r="A34" s="4" t="s">
        <v>13</v>
      </c>
      <c r="B34" s="43">
        <v>348</v>
      </c>
      <c r="C34" s="43">
        <v>3854</v>
      </c>
      <c r="D34" s="43">
        <v>3065</v>
      </c>
      <c r="E34" s="43">
        <v>7267</v>
      </c>
    </row>
    <row r="35" spans="1:5">
      <c r="A35" s="4" t="s">
        <v>14</v>
      </c>
      <c r="B35" s="43">
        <v>276</v>
      </c>
      <c r="C35" s="43">
        <v>167</v>
      </c>
      <c r="D35" s="43">
        <v>1219</v>
      </c>
      <c r="E35" s="43">
        <v>1662</v>
      </c>
    </row>
    <row r="36" spans="1:5">
      <c r="A36" s="4" t="s">
        <v>15</v>
      </c>
      <c r="B36" s="43">
        <v>817</v>
      </c>
      <c r="C36" s="43">
        <v>7025</v>
      </c>
      <c r="D36" s="43">
        <v>9914</v>
      </c>
      <c r="E36" s="43">
        <v>17756</v>
      </c>
    </row>
    <row r="37" spans="1:5">
      <c r="A37" s="4" t="s">
        <v>16</v>
      </c>
      <c r="B37" s="43">
        <v>255</v>
      </c>
      <c r="C37" s="43">
        <v>328</v>
      </c>
      <c r="D37" s="43">
        <v>4326</v>
      </c>
      <c r="E37" s="43">
        <v>4909</v>
      </c>
    </row>
    <row r="38" spans="1:5">
      <c r="A38" s="4" t="s">
        <v>17</v>
      </c>
      <c r="B38" s="43">
        <v>3390</v>
      </c>
      <c r="C38" s="43">
        <v>10206</v>
      </c>
      <c r="D38" s="43">
        <v>15971</v>
      </c>
      <c r="E38" s="43">
        <v>29567</v>
      </c>
    </row>
    <row r="39" spans="1:5">
      <c r="A39" s="4" t="s">
        <v>18</v>
      </c>
      <c r="B39" s="43">
        <v>3</v>
      </c>
      <c r="C39" s="43">
        <v>273</v>
      </c>
      <c r="D39" s="43">
        <v>1044</v>
      </c>
      <c r="E39" s="43">
        <v>1320</v>
      </c>
    </row>
    <row r="40" spans="1:5">
      <c r="A40" s="4" t="s">
        <v>19</v>
      </c>
      <c r="B40" s="43">
        <v>6628</v>
      </c>
      <c r="C40" s="43">
        <v>9847</v>
      </c>
      <c r="D40" s="43">
        <v>19562</v>
      </c>
      <c r="E40" s="43">
        <v>36037</v>
      </c>
    </row>
    <row r="41" spans="1:5">
      <c r="A41" s="4" t="s">
        <v>20</v>
      </c>
      <c r="B41" s="43">
        <v>10853</v>
      </c>
      <c r="C41" s="43">
        <v>25932</v>
      </c>
      <c r="D41" s="43">
        <v>20084</v>
      </c>
      <c r="E41" s="43">
        <v>56869</v>
      </c>
    </row>
    <row r="42" spans="1:5">
      <c r="A42" s="5" t="s">
        <v>4</v>
      </c>
      <c r="B42" s="44">
        <v>32188</v>
      </c>
      <c r="C42" s="44">
        <v>77981</v>
      </c>
      <c r="D42" s="44">
        <v>92406</v>
      </c>
      <c r="E42" s="44">
        <v>202575</v>
      </c>
    </row>
    <row r="43" spans="1:5">
      <c r="A43" s="40"/>
      <c r="B43" s="46"/>
      <c r="C43" s="46"/>
      <c r="D43" s="46"/>
      <c r="E43" s="46"/>
    </row>
    <row r="44" spans="1:5" ht="15">
      <c r="A44" s="25" t="s">
        <v>343</v>
      </c>
      <c r="B44" s="46"/>
      <c r="C44" s="46"/>
      <c r="D44" s="46"/>
      <c r="E44" s="46"/>
    </row>
    <row r="45" spans="1:5">
      <c r="A45" s="89" t="s">
        <v>10</v>
      </c>
      <c r="B45" s="47" t="s">
        <v>256</v>
      </c>
      <c r="C45" s="47" t="s">
        <v>257</v>
      </c>
      <c r="D45" s="47" t="s">
        <v>8</v>
      </c>
      <c r="E45" s="46"/>
    </row>
    <row r="46" spans="1:5">
      <c r="A46" s="4" t="s">
        <v>11</v>
      </c>
      <c r="B46" s="43">
        <v>25938</v>
      </c>
      <c r="C46" s="43">
        <v>17373</v>
      </c>
      <c r="D46" s="43">
        <f>SUM(B46:C46)</f>
        <v>43311</v>
      </c>
      <c r="E46" s="46"/>
    </row>
    <row r="47" spans="1:5">
      <c r="A47" s="4" t="s">
        <v>12</v>
      </c>
      <c r="B47" s="43">
        <v>1826</v>
      </c>
      <c r="C47" s="43">
        <v>2051</v>
      </c>
      <c r="D47" s="43">
        <f t="shared" ref="D47:D56" si="3">SUM(B47:C47)</f>
        <v>3877</v>
      </c>
      <c r="E47" s="46"/>
    </row>
    <row r="48" spans="1:5">
      <c r="A48" s="4" t="s">
        <v>13</v>
      </c>
      <c r="B48" s="43">
        <v>4233</v>
      </c>
      <c r="C48" s="43">
        <v>3034</v>
      </c>
      <c r="D48" s="43">
        <f t="shared" si="3"/>
        <v>7267</v>
      </c>
      <c r="E48" s="46"/>
    </row>
    <row r="49" spans="1:5">
      <c r="A49" s="4" t="s">
        <v>14</v>
      </c>
      <c r="B49" s="43">
        <v>770</v>
      </c>
      <c r="C49" s="43">
        <v>892</v>
      </c>
      <c r="D49" s="43">
        <f t="shared" si="3"/>
        <v>1662</v>
      </c>
      <c r="E49" s="46"/>
    </row>
    <row r="50" spans="1:5">
      <c r="A50" s="4" t="s">
        <v>15</v>
      </c>
      <c r="B50" s="43">
        <v>12680</v>
      </c>
      <c r="C50" s="43">
        <v>5076</v>
      </c>
      <c r="D50" s="43">
        <f t="shared" si="3"/>
        <v>17756</v>
      </c>
      <c r="E50" s="46"/>
    </row>
    <row r="51" spans="1:5">
      <c r="A51" s="4" t="s">
        <v>16</v>
      </c>
      <c r="B51" s="43">
        <v>2598</v>
      </c>
      <c r="C51" s="43">
        <v>2311</v>
      </c>
      <c r="D51" s="43">
        <f t="shared" si="3"/>
        <v>4909</v>
      </c>
      <c r="E51" s="46"/>
    </row>
    <row r="52" spans="1:5">
      <c r="A52" s="4" t="s">
        <v>17</v>
      </c>
      <c r="B52" s="43">
        <v>23516</v>
      </c>
      <c r="C52" s="43">
        <v>6051</v>
      </c>
      <c r="D52" s="43">
        <f t="shared" si="3"/>
        <v>29567</v>
      </c>
      <c r="E52" s="46"/>
    </row>
    <row r="53" spans="1:5">
      <c r="A53" s="4" t="s">
        <v>18</v>
      </c>
      <c r="B53" s="43">
        <v>867</v>
      </c>
      <c r="C53" s="43">
        <v>453</v>
      </c>
      <c r="D53" s="43">
        <f>SUM(B53:C53)</f>
        <v>1320</v>
      </c>
      <c r="E53" s="46"/>
    </row>
    <row r="54" spans="1:5">
      <c r="A54" s="4" t="s">
        <v>19</v>
      </c>
      <c r="B54" s="43">
        <v>28559</v>
      </c>
      <c r="C54" s="43">
        <v>7478</v>
      </c>
      <c r="D54" s="43">
        <f t="shared" si="3"/>
        <v>36037</v>
      </c>
      <c r="E54" s="46"/>
    </row>
    <row r="55" spans="1:5">
      <c r="A55" s="4" t="s">
        <v>20</v>
      </c>
      <c r="B55" s="43">
        <v>13629</v>
      </c>
      <c r="C55" s="43">
        <v>43240</v>
      </c>
      <c r="D55" s="43">
        <f t="shared" si="3"/>
        <v>56869</v>
      </c>
      <c r="E55" s="46"/>
    </row>
    <row r="56" spans="1:5">
      <c r="A56" s="5" t="s">
        <v>4</v>
      </c>
      <c r="B56" s="44">
        <v>114616</v>
      </c>
      <c r="C56" s="44">
        <v>87959</v>
      </c>
      <c r="D56" s="44">
        <f t="shared" si="3"/>
        <v>202575</v>
      </c>
      <c r="E56" s="46"/>
    </row>
    <row r="57" spans="1:5">
      <c r="A57" s="40"/>
      <c r="B57" s="46"/>
      <c r="C57" s="46"/>
      <c r="D57" s="46"/>
      <c r="E57" s="46"/>
    </row>
    <row r="58" spans="1:5" ht="15">
      <c r="A58" s="25" t="s">
        <v>344</v>
      </c>
      <c r="B58" s="46"/>
      <c r="C58" s="46"/>
      <c r="D58" s="46"/>
      <c r="E58" s="46"/>
    </row>
    <row r="59" spans="1:5" ht="28">
      <c r="A59" s="89" t="s">
        <v>42</v>
      </c>
      <c r="B59" s="47" t="s">
        <v>5</v>
      </c>
      <c r="C59" s="47" t="s">
        <v>6</v>
      </c>
      <c r="D59" s="47" t="s">
        <v>7</v>
      </c>
      <c r="E59" s="47" t="s">
        <v>8</v>
      </c>
    </row>
    <row r="60" spans="1:5">
      <c r="A60" s="4" t="s">
        <v>43</v>
      </c>
      <c r="B60" s="43">
        <v>19175</v>
      </c>
      <c r="C60" s="43">
        <v>36839</v>
      </c>
      <c r="D60" s="43">
        <v>71163</v>
      </c>
      <c r="E60" s="43">
        <v>127177</v>
      </c>
    </row>
    <row r="61" spans="1:5">
      <c r="A61" s="4" t="s">
        <v>44</v>
      </c>
      <c r="B61" s="43">
        <v>12498</v>
      </c>
      <c r="C61" s="43">
        <v>36974</v>
      </c>
      <c r="D61" s="43">
        <v>18248</v>
      </c>
      <c r="E61" s="43">
        <v>67720</v>
      </c>
    </row>
    <row r="62" spans="1:5">
      <c r="A62" s="32" t="s">
        <v>278</v>
      </c>
      <c r="B62" s="43">
        <v>8</v>
      </c>
      <c r="C62" s="43">
        <v>1155</v>
      </c>
      <c r="D62" s="43">
        <v>804</v>
      </c>
      <c r="E62" s="43">
        <v>1967</v>
      </c>
    </row>
    <row r="63" spans="1:5">
      <c r="A63" s="32" t="s">
        <v>279</v>
      </c>
      <c r="B63" s="43">
        <v>318</v>
      </c>
      <c r="C63" s="43">
        <v>2855</v>
      </c>
      <c r="D63" s="43">
        <v>341</v>
      </c>
      <c r="E63" s="43">
        <v>3514</v>
      </c>
    </row>
    <row r="64" spans="1:5">
      <c r="A64" s="4" t="s">
        <v>45</v>
      </c>
      <c r="B64" s="43">
        <v>189</v>
      </c>
      <c r="C64" s="43">
        <v>158</v>
      </c>
      <c r="D64" s="43">
        <v>1850</v>
      </c>
      <c r="E64" s="43">
        <v>2197</v>
      </c>
    </row>
    <row r="65" spans="1:5">
      <c r="A65" s="5" t="s">
        <v>4</v>
      </c>
      <c r="B65" s="44">
        <v>32188</v>
      </c>
      <c r="C65" s="44">
        <v>77981</v>
      </c>
      <c r="D65" s="44">
        <v>92406</v>
      </c>
      <c r="E65" s="44">
        <v>202575</v>
      </c>
    </row>
    <row r="66" spans="1:5">
      <c r="A66" s="40"/>
      <c r="B66" s="46"/>
      <c r="C66" s="46"/>
      <c r="D66" s="46"/>
      <c r="E66" s="46"/>
    </row>
    <row r="67" spans="1:5" ht="15">
      <c r="A67" s="25" t="s">
        <v>345</v>
      </c>
      <c r="B67" s="46"/>
      <c r="C67" s="46"/>
      <c r="D67" s="46"/>
      <c r="E67" s="46"/>
    </row>
    <row r="68" spans="1:5" ht="28">
      <c r="A68" s="89" t="s">
        <v>9</v>
      </c>
      <c r="B68" s="47" t="s">
        <v>5</v>
      </c>
      <c r="C68" s="47" t="s">
        <v>6</v>
      </c>
      <c r="D68" s="47" t="s">
        <v>7</v>
      </c>
      <c r="E68" s="47" t="s">
        <v>8</v>
      </c>
    </row>
    <row r="69" spans="1:5">
      <c r="A69" s="4" t="s">
        <v>303</v>
      </c>
      <c r="B69" s="43">
        <v>1030</v>
      </c>
      <c r="C69" s="43">
        <v>213</v>
      </c>
      <c r="D69" s="43">
        <v>1312</v>
      </c>
      <c r="E69" s="43">
        <v>2555</v>
      </c>
    </row>
    <row r="70" spans="1:5">
      <c r="A70" s="4" t="s">
        <v>304</v>
      </c>
      <c r="B70" s="43">
        <v>661</v>
      </c>
      <c r="C70" s="43">
        <v>431</v>
      </c>
      <c r="D70" s="43">
        <v>1646</v>
      </c>
      <c r="E70" s="43">
        <v>2738</v>
      </c>
    </row>
    <row r="71" spans="1:5">
      <c r="A71" s="4" t="s">
        <v>305</v>
      </c>
      <c r="B71" s="43">
        <v>1428</v>
      </c>
      <c r="C71" s="43">
        <v>2161</v>
      </c>
      <c r="D71" s="43">
        <v>3055</v>
      </c>
      <c r="E71" s="43">
        <v>6644</v>
      </c>
    </row>
    <row r="72" spans="1:5">
      <c r="A72" s="4" t="s">
        <v>306</v>
      </c>
      <c r="B72" s="43">
        <v>593</v>
      </c>
      <c r="C72" s="43">
        <v>331</v>
      </c>
      <c r="D72" s="43">
        <v>1089</v>
      </c>
      <c r="E72" s="43">
        <v>2013</v>
      </c>
    </row>
    <row r="73" spans="1:5">
      <c r="A73" s="4" t="s">
        <v>307</v>
      </c>
      <c r="B73" s="43">
        <v>1776</v>
      </c>
      <c r="C73" s="43">
        <v>2812</v>
      </c>
      <c r="D73" s="43">
        <v>2620</v>
      </c>
      <c r="E73" s="43">
        <v>7208</v>
      </c>
    </row>
    <row r="74" spans="1:5">
      <c r="A74" s="4" t="s">
        <v>308</v>
      </c>
      <c r="B74" s="43">
        <v>2989</v>
      </c>
      <c r="C74" s="43">
        <v>8332</v>
      </c>
      <c r="D74" s="43">
        <v>11172</v>
      </c>
      <c r="E74" s="43">
        <v>22493</v>
      </c>
    </row>
    <row r="75" spans="1:5">
      <c r="A75" s="32" t="s">
        <v>329</v>
      </c>
      <c r="B75" s="43">
        <v>11247</v>
      </c>
      <c r="C75" s="43">
        <v>37339</v>
      </c>
      <c r="D75" s="43">
        <v>43248</v>
      </c>
      <c r="E75" s="43">
        <v>91834</v>
      </c>
    </row>
    <row r="76" spans="1:5">
      <c r="A76" s="4" t="s">
        <v>309</v>
      </c>
      <c r="B76" s="43">
        <v>1159</v>
      </c>
      <c r="C76" s="43">
        <v>4488</v>
      </c>
      <c r="D76" s="43">
        <v>932</v>
      </c>
      <c r="E76" s="43">
        <v>6579</v>
      </c>
    </row>
    <row r="77" spans="1:5">
      <c r="A77" s="4" t="s">
        <v>310</v>
      </c>
      <c r="B77" s="43">
        <v>2544</v>
      </c>
      <c r="C77" s="43">
        <v>3476</v>
      </c>
      <c r="D77" s="43">
        <v>3398</v>
      </c>
      <c r="E77" s="43">
        <v>9418</v>
      </c>
    </row>
    <row r="78" spans="1:5">
      <c r="A78" s="4" t="s">
        <v>311</v>
      </c>
      <c r="B78" s="43">
        <v>3925</v>
      </c>
      <c r="C78" s="43">
        <v>10327</v>
      </c>
      <c r="D78" s="43">
        <v>13331</v>
      </c>
      <c r="E78" s="43">
        <v>27583</v>
      </c>
    </row>
    <row r="79" spans="1:5">
      <c r="A79" s="4" t="s">
        <v>312</v>
      </c>
      <c r="B79" s="43">
        <v>1739</v>
      </c>
      <c r="C79" s="43">
        <v>2904</v>
      </c>
      <c r="D79" s="43">
        <v>4902</v>
      </c>
      <c r="E79" s="43">
        <v>9545</v>
      </c>
    </row>
    <row r="80" spans="1:5">
      <c r="A80" s="4" t="s">
        <v>313</v>
      </c>
      <c r="B80" s="43">
        <v>668</v>
      </c>
      <c r="C80" s="43">
        <v>1151</v>
      </c>
      <c r="D80" s="43">
        <v>1825</v>
      </c>
      <c r="E80" s="43">
        <v>3644</v>
      </c>
    </row>
    <row r="81" spans="1:5">
      <c r="A81" s="4" t="s">
        <v>314</v>
      </c>
      <c r="B81" s="43">
        <v>1523</v>
      </c>
      <c r="C81" s="43">
        <v>3733</v>
      </c>
      <c r="D81" s="43">
        <v>3036</v>
      </c>
      <c r="E81" s="43">
        <v>8292</v>
      </c>
    </row>
    <row r="82" spans="1:5">
      <c r="A82" s="4" t="s">
        <v>315</v>
      </c>
      <c r="B82" s="43">
        <v>308</v>
      </c>
      <c r="C82" s="43">
        <v>105</v>
      </c>
      <c r="D82" s="43">
        <v>135</v>
      </c>
      <c r="E82" s="43">
        <v>548</v>
      </c>
    </row>
    <row r="83" spans="1:5">
      <c r="A83" s="4" t="s">
        <v>317</v>
      </c>
      <c r="B83" s="43">
        <v>598</v>
      </c>
      <c r="C83" s="43">
        <v>178</v>
      </c>
      <c r="D83" s="43">
        <v>705</v>
      </c>
      <c r="E83" s="43">
        <v>1481</v>
      </c>
    </row>
    <row r="84" spans="1:5">
      <c r="A84" s="5" t="s">
        <v>4</v>
      </c>
      <c r="B84" s="44">
        <v>32188</v>
      </c>
      <c r="C84" s="44">
        <v>77981</v>
      </c>
      <c r="D84" s="44">
        <v>92406</v>
      </c>
      <c r="E84" s="44">
        <v>202575</v>
      </c>
    </row>
    <row r="85" spans="1:5">
      <c r="A85" s="40"/>
      <c r="B85" s="46"/>
      <c r="C85" s="46"/>
      <c r="D85" s="46"/>
      <c r="E85" s="46"/>
    </row>
    <row r="86" spans="1:5" ht="15">
      <c r="A86" s="25" t="s">
        <v>346</v>
      </c>
      <c r="B86" s="46"/>
      <c r="C86" s="46"/>
      <c r="D86" s="46"/>
      <c r="E86" s="46"/>
    </row>
    <row r="87" spans="1:5">
      <c r="A87" s="89" t="s">
        <v>9</v>
      </c>
      <c r="B87" s="47" t="s">
        <v>256</v>
      </c>
      <c r="C87" s="47" t="s">
        <v>257</v>
      </c>
      <c r="D87" s="47" t="s">
        <v>8</v>
      </c>
    </row>
    <row r="88" spans="1:5">
      <c r="A88" s="4" t="s">
        <v>303</v>
      </c>
      <c r="B88" s="43">
        <v>1518</v>
      </c>
      <c r="C88" s="43">
        <v>1037</v>
      </c>
      <c r="D88" s="43">
        <f>SUM(B88:C88)</f>
        <v>2555</v>
      </c>
    </row>
    <row r="89" spans="1:5">
      <c r="A89" s="4" t="s">
        <v>304</v>
      </c>
      <c r="B89" s="43">
        <v>1504</v>
      </c>
      <c r="C89" s="43">
        <v>1234</v>
      </c>
      <c r="D89" s="43">
        <f t="shared" ref="D89:D96" si="4">SUM(B89:C89)</f>
        <v>2738</v>
      </c>
    </row>
    <row r="90" spans="1:5">
      <c r="A90" s="4" t="s">
        <v>305</v>
      </c>
      <c r="B90" s="43">
        <v>3637</v>
      </c>
      <c r="C90" s="43">
        <v>3007</v>
      </c>
      <c r="D90" s="43">
        <f t="shared" si="4"/>
        <v>6644</v>
      </c>
    </row>
    <row r="91" spans="1:5">
      <c r="A91" s="4" t="s">
        <v>306</v>
      </c>
      <c r="B91" s="43">
        <v>1068</v>
      </c>
      <c r="C91" s="43">
        <v>945</v>
      </c>
      <c r="D91" s="43">
        <f>SUM(B91:C91)</f>
        <v>2013</v>
      </c>
    </row>
    <row r="92" spans="1:5">
      <c r="A92" s="4" t="s">
        <v>307</v>
      </c>
      <c r="B92" s="43">
        <v>4068</v>
      </c>
      <c r="C92" s="43">
        <v>3140</v>
      </c>
      <c r="D92" s="43">
        <f t="shared" si="4"/>
        <v>7208</v>
      </c>
    </row>
    <row r="93" spans="1:5">
      <c r="A93" s="4" t="s">
        <v>308</v>
      </c>
      <c r="B93" s="43">
        <v>12694</v>
      </c>
      <c r="C93" s="43">
        <v>9799</v>
      </c>
      <c r="D93" s="43">
        <f t="shared" si="4"/>
        <v>22493</v>
      </c>
    </row>
    <row r="94" spans="1:5">
      <c r="A94" s="32" t="s">
        <v>329</v>
      </c>
      <c r="B94" s="43">
        <v>50050</v>
      </c>
      <c r="C94" s="43">
        <v>41784</v>
      </c>
      <c r="D94" s="43">
        <f>SUM(B94:C94)</f>
        <v>91834</v>
      </c>
    </row>
    <row r="95" spans="1:5">
      <c r="A95" s="4" t="s">
        <v>309</v>
      </c>
      <c r="B95" s="43">
        <v>3791</v>
      </c>
      <c r="C95" s="43">
        <v>2788</v>
      </c>
      <c r="D95" s="43">
        <f t="shared" si="4"/>
        <v>6579</v>
      </c>
    </row>
    <row r="96" spans="1:5">
      <c r="A96" s="4" t="s">
        <v>310</v>
      </c>
      <c r="B96" s="43">
        <v>5689</v>
      </c>
      <c r="C96" s="43">
        <v>3729</v>
      </c>
      <c r="D96" s="43">
        <f t="shared" si="4"/>
        <v>9418</v>
      </c>
    </row>
    <row r="97" spans="1:5">
      <c r="A97" s="4" t="s">
        <v>311</v>
      </c>
      <c r="B97" s="43">
        <v>16004</v>
      </c>
      <c r="C97" s="43">
        <v>11579</v>
      </c>
      <c r="D97" s="43">
        <f>SUM(B97:C97)</f>
        <v>27583</v>
      </c>
    </row>
    <row r="98" spans="1:5">
      <c r="A98" s="4" t="s">
        <v>312</v>
      </c>
      <c r="B98" s="43">
        <v>6015</v>
      </c>
      <c r="C98" s="43">
        <v>3530</v>
      </c>
      <c r="D98" s="43">
        <f>SUM(B98:C98)</f>
        <v>9545</v>
      </c>
    </row>
    <row r="99" spans="1:5">
      <c r="A99" s="4" t="s">
        <v>313</v>
      </c>
      <c r="B99" s="43">
        <v>2177</v>
      </c>
      <c r="C99" s="43">
        <v>1467</v>
      </c>
      <c r="D99" s="43">
        <f t="shared" ref="D99:D103" si="5">SUM(B99:C99)</f>
        <v>3644</v>
      </c>
    </row>
    <row r="100" spans="1:5">
      <c r="A100" s="4" t="s">
        <v>314</v>
      </c>
      <c r="B100" s="43">
        <v>5188</v>
      </c>
      <c r="C100" s="43">
        <v>3104</v>
      </c>
      <c r="D100" s="43">
        <f t="shared" si="5"/>
        <v>8292</v>
      </c>
    </row>
    <row r="101" spans="1:5">
      <c r="A101" s="4" t="s">
        <v>315</v>
      </c>
      <c r="B101" s="43">
        <v>370</v>
      </c>
      <c r="C101" s="43">
        <v>178</v>
      </c>
      <c r="D101" s="43">
        <f>SUM(B101:C101)</f>
        <v>548</v>
      </c>
    </row>
    <row r="102" spans="1:5">
      <c r="A102" s="4" t="s">
        <v>317</v>
      </c>
      <c r="B102" s="43">
        <v>843</v>
      </c>
      <c r="C102" s="43">
        <v>638</v>
      </c>
      <c r="D102" s="43">
        <f t="shared" si="5"/>
        <v>1481</v>
      </c>
    </row>
    <row r="103" spans="1:5">
      <c r="A103" s="5" t="s">
        <v>4</v>
      </c>
      <c r="B103" s="44">
        <v>114616</v>
      </c>
      <c r="C103" s="44">
        <v>87959</v>
      </c>
      <c r="D103" s="44">
        <f t="shared" si="5"/>
        <v>202575</v>
      </c>
      <c r="E103" s="46"/>
    </row>
    <row r="104" spans="1:5">
      <c r="A104" s="40"/>
      <c r="B104" s="46"/>
      <c r="C104" s="46"/>
      <c r="D104" s="46"/>
      <c r="E104" s="46"/>
    </row>
    <row r="105" spans="1:5">
      <c r="A105" s="40"/>
      <c r="B105" s="46"/>
      <c r="C105" s="46"/>
      <c r="D105" s="46"/>
      <c r="E105" s="46"/>
    </row>
    <row r="106" spans="1:5">
      <c r="A106" s="70" t="s">
        <v>294</v>
      </c>
      <c r="B106" s="46"/>
      <c r="C106" s="46"/>
      <c r="D106" s="46"/>
      <c r="E106" s="46"/>
    </row>
    <row r="107" spans="1:5">
      <c r="A107" s="40"/>
      <c r="B107" s="46"/>
      <c r="C107" s="46"/>
      <c r="D107" s="46"/>
      <c r="E107" s="46"/>
    </row>
    <row r="108" spans="1:5">
      <c r="A108" s="71" t="s">
        <v>21</v>
      </c>
      <c r="B108" s="46"/>
      <c r="C108" s="46"/>
      <c r="D108" s="46"/>
      <c r="E108" s="46"/>
    </row>
    <row r="109" spans="1:5">
      <c r="A109" s="40"/>
      <c r="B109" s="46"/>
      <c r="C109" s="46"/>
      <c r="D109" s="46"/>
      <c r="E109" s="46"/>
    </row>
  </sheetData>
  <hyperlinks>
    <hyperlink ref="A108" location="Indice!A5" display="Volver al índice"/>
  </hyperlinks>
  <pageMargins left="0.7" right="0.7" top="0.75" bottom="0.75" header="0.3" footer="0.3"/>
  <pageSetup paperSize="3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"/>
  <sheetViews>
    <sheetView showGridLines="0" workbookViewId="0">
      <pane ySplit="2" topLeftCell="A3" activePane="bottomLeft" state="frozen"/>
      <selection pane="bottomLeft" activeCell="E34" sqref="E34"/>
    </sheetView>
  </sheetViews>
  <sheetFormatPr baseColWidth="10" defaultRowHeight="14" x14ac:dyDescent="0"/>
  <cols>
    <col min="1" max="1" width="37" style="34" customWidth="1"/>
    <col min="2" max="5" width="12.33203125" style="34" customWidth="1"/>
    <col min="6" max="11" width="11.1640625" style="1" customWidth="1"/>
    <col min="12" max="12" width="14.5" style="1" customWidth="1"/>
    <col min="13" max="13" width="15.1640625" style="1" customWidth="1"/>
    <col min="14" max="14" width="14.5" style="1" customWidth="1"/>
    <col min="15" max="16384" width="10.83203125" style="1"/>
  </cols>
  <sheetData>
    <row r="1" spans="1:14" ht="20">
      <c r="A1" s="86" t="s">
        <v>392</v>
      </c>
      <c r="B1" s="86"/>
      <c r="C1" s="86"/>
      <c r="D1" s="86"/>
      <c r="E1" s="86"/>
      <c r="F1" s="40"/>
      <c r="G1" s="40"/>
      <c r="H1" s="40"/>
      <c r="I1" s="40"/>
      <c r="J1" s="40"/>
      <c r="K1" s="40"/>
      <c r="L1" s="40"/>
      <c r="M1" s="40"/>
      <c r="N1" s="40"/>
    </row>
    <row r="2" spans="1:14" ht="18">
      <c r="A2" s="77"/>
      <c r="B2" s="77"/>
      <c r="C2" s="77"/>
      <c r="D2" s="77"/>
      <c r="E2" s="77"/>
      <c r="F2" s="40"/>
      <c r="G2" s="40"/>
      <c r="H2" s="40"/>
      <c r="I2" s="40"/>
      <c r="J2" s="40"/>
      <c r="K2" s="40"/>
      <c r="L2" s="40"/>
      <c r="M2" s="40"/>
      <c r="N2" s="40"/>
    </row>
    <row r="3" spans="1:14">
      <c r="A3" s="76"/>
      <c r="B3" s="76"/>
      <c r="C3" s="76"/>
      <c r="D3" s="76"/>
      <c r="E3" s="76"/>
      <c r="F3" s="40"/>
      <c r="G3" s="40"/>
      <c r="H3" s="40"/>
      <c r="I3" s="40"/>
      <c r="J3" s="40"/>
      <c r="K3" s="40"/>
      <c r="L3" s="40"/>
      <c r="M3" s="40"/>
      <c r="N3" s="40"/>
    </row>
    <row r="4" spans="1:14" ht="15">
      <c r="A4" s="41" t="s">
        <v>46</v>
      </c>
      <c r="B4" s="41"/>
      <c r="C4" s="41"/>
      <c r="D4" s="41"/>
      <c r="E4" s="41"/>
      <c r="F4" s="40"/>
      <c r="G4" s="40"/>
      <c r="H4" s="40"/>
      <c r="I4" s="40"/>
      <c r="J4" s="40"/>
      <c r="K4" s="40"/>
      <c r="L4" s="40"/>
      <c r="M4" s="40"/>
      <c r="N4" s="40"/>
    </row>
    <row r="5" spans="1:14" ht="28">
      <c r="A5" s="88" t="s">
        <v>0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13" t="s">
        <v>369</v>
      </c>
      <c r="M5" s="13" t="s">
        <v>368</v>
      </c>
      <c r="N5" s="13" t="s">
        <v>367</v>
      </c>
    </row>
    <row r="6" spans="1:14">
      <c r="A6" s="4" t="s">
        <v>5</v>
      </c>
      <c r="B6" s="4">
        <v>19314</v>
      </c>
      <c r="C6" s="4">
        <v>16636</v>
      </c>
      <c r="D6" s="4">
        <v>13842</v>
      </c>
      <c r="E6" s="4">
        <v>22283</v>
      </c>
      <c r="F6" s="4">
        <v>25486</v>
      </c>
      <c r="G6" s="4">
        <v>28365</v>
      </c>
      <c r="H6" s="4">
        <v>27844</v>
      </c>
      <c r="I6" s="4">
        <v>30536</v>
      </c>
      <c r="J6" s="4">
        <v>33685</v>
      </c>
      <c r="K6" s="4">
        <v>32188</v>
      </c>
      <c r="L6" s="101">
        <f>(K6-B6)/B6</f>
        <v>0.6665631148389769</v>
      </c>
      <c r="M6" s="101">
        <f>(K6-J6)/J6</f>
        <v>-4.4441145910642722E-2</v>
      </c>
      <c r="N6" s="14">
        <f>K6/K$9</f>
        <v>0.15889423670245589</v>
      </c>
    </row>
    <row r="7" spans="1:14">
      <c r="A7" s="4" t="s">
        <v>6</v>
      </c>
      <c r="B7" s="4">
        <v>18682</v>
      </c>
      <c r="C7" s="4">
        <v>23663</v>
      </c>
      <c r="D7" s="4">
        <v>23644</v>
      </c>
      <c r="E7" s="4">
        <v>30682</v>
      </c>
      <c r="F7" s="4">
        <v>38127</v>
      </c>
      <c r="G7" s="4">
        <v>47157</v>
      </c>
      <c r="H7" s="4">
        <v>55802</v>
      </c>
      <c r="I7" s="4">
        <v>67270</v>
      </c>
      <c r="J7" s="4">
        <v>72986</v>
      </c>
      <c r="K7" s="4">
        <v>77981</v>
      </c>
      <c r="L7" s="101">
        <f>(K7-B7)/B7</f>
        <v>3.1741248260357562</v>
      </c>
      <c r="M7" s="101">
        <f>(K7-J7)/J7</f>
        <v>6.8437782588441617E-2</v>
      </c>
      <c r="N7" s="14">
        <f>K7/K$9</f>
        <v>0.38494878440083918</v>
      </c>
    </row>
    <row r="8" spans="1:14">
      <c r="A8" s="4" t="s">
        <v>7</v>
      </c>
      <c r="B8" s="4">
        <v>59764</v>
      </c>
      <c r="C8" s="4">
        <v>68530</v>
      </c>
      <c r="D8" s="4">
        <v>64539</v>
      </c>
      <c r="E8" s="4">
        <v>67172</v>
      </c>
      <c r="F8" s="4">
        <v>71567</v>
      </c>
      <c r="G8" s="4">
        <v>81292</v>
      </c>
      <c r="H8" s="4">
        <v>86962</v>
      </c>
      <c r="I8" s="4">
        <v>89708</v>
      </c>
      <c r="J8" s="4">
        <v>89167</v>
      </c>
      <c r="K8" s="4">
        <v>92406</v>
      </c>
      <c r="L8" s="101">
        <f>(K8-B8)/B8</f>
        <v>0.54618164781473799</v>
      </c>
      <c r="M8" s="101">
        <f>(K8-J8)/J8</f>
        <v>3.6325097850101497E-2</v>
      </c>
      <c r="N8" s="14">
        <f>K8/K$9</f>
        <v>0.45615697889670492</v>
      </c>
    </row>
    <row r="9" spans="1:14">
      <c r="A9" s="5" t="s">
        <v>4</v>
      </c>
      <c r="B9" s="5">
        <v>97760</v>
      </c>
      <c r="C9" s="5">
        <v>108829</v>
      </c>
      <c r="D9" s="5">
        <v>102025</v>
      </c>
      <c r="E9" s="5">
        <v>120137</v>
      </c>
      <c r="F9" s="5">
        <v>135180</v>
      </c>
      <c r="G9" s="5">
        <v>156814</v>
      </c>
      <c r="H9" s="5">
        <v>170608</v>
      </c>
      <c r="I9" s="5">
        <v>187514</v>
      </c>
      <c r="J9" s="5">
        <v>195838</v>
      </c>
      <c r="K9" s="5">
        <v>202575</v>
      </c>
      <c r="L9" s="83">
        <f>(K9-B9)/B9</f>
        <v>1.0721665302782324</v>
      </c>
      <c r="M9" s="83">
        <f>(K9-J9)/J9</f>
        <v>3.4400882361952226E-2</v>
      </c>
      <c r="N9" s="16">
        <f>K9/K$9</f>
        <v>1</v>
      </c>
    </row>
    <row r="11" spans="1:14" ht="15">
      <c r="A11" s="41" t="s">
        <v>250</v>
      </c>
      <c r="B11" s="41"/>
      <c r="C11" s="41"/>
      <c r="D11" s="41"/>
      <c r="E11" s="41"/>
      <c r="F11" s="40"/>
      <c r="G11" s="40"/>
      <c r="H11" s="40"/>
      <c r="I11" s="40"/>
      <c r="J11" s="40"/>
      <c r="K11" s="40"/>
      <c r="L11" s="40"/>
      <c r="M11" s="40"/>
      <c r="N11" s="40"/>
    </row>
    <row r="12" spans="1:14" ht="28">
      <c r="A12" s="88" t="s">
        <v>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13" t="s">
        <v>369</v>
      </c>
      <c r="M12" s="13" t="s">
        <v>368</v>
      </c>
      <c r="N12" s="13" t="s">
        <v>367</v>
      </c>
    </row>
    <row r="13" spans="1:14">
      <c r="A13" s="4" t="s">
        <v>5</v>
      </c>
      <c r="B13" s="4">
        <v>19314</v>
      </c>
      <c r="C13" s="4">
        <v>16636</v>
      </c>
      <c r="D13" s="4">
        <v>13842</v>
      </c>
      <c r="E13" s="4">
        <v>22283</v>
      </c>
      <c r="F13" s="4">
        <v>25486</v>
      </c>
      <c r="G13" s="4">
        <v>28365</v>
      </c>
      <c r="H13" s="4">
        <v>27844</v>
      </c>
      <c r="I13" s="4">
        <v>30536</v>
      </c>
      <c r="J13" s="4">
        <v>33685</v>
      </c>
      <c r="K13" s="4">
        <v>32188</v>
      </c>
      <c r="L13" s="101">
        <f t="shared" ref="L13:L18" si="0">(K13-B13)/B13</f>
        <v>0.6665631148389769</v>
      </c>
      <c r="M13" s="101">
        <f t="shared" ref="M13:M18" si="1">(K13-J13)/J13</f>
        <v>-4.4441145910642722E-2</v>
      </c>
      <c r="N13" s="14">
        <f t="shared" ref="N13:N18" si="2">K13/K$9</f>
        <v>0.15889423670245589</v>
      </c>
    </row>
    <row r="14" spans="1:14">
      <c r="A14" s="4" t="s">
        <v>6</v>
      </c>
      <c r="B14" s="4">
        <v>18682</v>
      </c>
      <c r="C14" s="4">
        <v>23663</v>
      </c>
      <c r="D14" s="4">
        <v>23644</v>
      </c>
      <c r="E14" s="4">
        <v>30682</v>
      </c>
      <c r="F14" s="4">
        <v>38127</v>
      </c>
      <c r="G14" s="4">
        <v>47157</v>
      </c>
      <c r="H14" s="4">
        <v>55802</v>
      </c>
      <c r="I14" s="4">
        <v>67270</v>
      </c>
      <c r="J14" s="4">
        <v>72986</v>
      </c>
      <c r="K14" s="4">
        <v>77981</v>
      </c>
      <c r="L14" s="101">
        <f t="shared" si="0"/>
        <v>3.1741248260357562</v>
      </c>
      <c r="M14" s="101">
        <f t="shared" si="1"/>
        <v>6.8437782588441617E-2</v>
      </c>
      <c r="N14" s="14">
        <f t="shared" si="2"/>
        <v>0.38494878440083918</v>
      </c>
    </row>
    <row r="15" spans="1:14">
      <c r="A15" s="32" t="s">
        <v>291</v>
      </c>
      <c r="B15" s="32">
        <v>21052</v>
      </c>
      <c r="C15" s="32">
        <v>25523</v>
      </c>
      <c r="D15" s="32">
        <v>23285</v>
      </c>
      <c r="E15" s="32">
        <v>22545</v>
      </c>
      <c r="F15" s="4">
        <v>21622</v>
      </c>
      <c r="G15" s="4">
        <v>21910</v>
      </c>
      <c r="H15" s="4">
        <v>22298</v>
      </c>
      <c r="I15" s="4">
        <v>23250</v>
      </c>
      <c r="J15" s="4">
        <v>22426</v>
      </c>
      <c r="K15" s="4">
        <v>23601</v>
      </c>
      <c r="L15" s="101">
        <f t="shared" si="0"/>
        <v>0.12108113243397302</v>
      </c>
      <c r="M15" s="101">
        <f t="shared" si="1"/>
        <v>5.2394542049406939E-2</v>
      </c>
      <c r="N15" s="14">
        <f t="shared" si="2"/>
        <v>0.11650499814883376</v>
      </c>
    </row>
    <row r="16" spans="1:14">
      <c r="A16" s="32" t="s">
        <v>292</v>
      </c>
      <c r="B16" s="32">
        <v>11876</v>
      </c>
      <c r="C16" s="32">
        <v>13556</v>
      </c>
      <c r="D16" s="32">
        <v>13199</v>
      </c>
      <c r="E16" s="32">
        <v>13022</v>
      </c>
      <c r="F16" s="4">
        <v>14600</v>
      </c>
      <c r="G16" s="4">
        <v>15836</v>
      </c>
      <c r="H16" s="4">
        <v>16354</v>
      </c>
      <c r="I16" s="4">
        <v>16888</v>
      </c>
      <c r="J16" s="4">
        <v>16281</v>
      </c>
      <c r="K16" s="4">
        <v>18270</v>
      </c>
      <c r="L16" s="101">
        <f t="shared" si="0"/>
        <v>0.53839676658807678</v>
      </c>
      <c r="M16" s="101">
        <f t="shared" si="1"/>
        <v>0.12216694306246545</v>
      </c>
      <c r="N16" s="14">
        <f t="shared" si="2"/>
        <v>9.0188818955942246E-2</v>
      </c>
    </row>
    <row r="17" spans="1:15">
      <c r="A17" s="32" t="s">
        <v>293</v>
      </c>
      <c r="B17" s="32">
        <v>26836</v>
      </c>
      <c r="C17" s="32">
        <v>29451</v>
      </c>
      <c r="D17" s="32">
        <v>28055</v>
      </c>
      <c r="E17" s="32">
        <v>31605</v>
      </c>
      <c r="F17" s="4">
        <v>35345</v>
      </c>
      <c r="G17" s="4">
        <v>43546</v>
      </c>
      <c r="H17" s="4">
        <v>48310</v>
      </c>
      <c r="I17" s="4">
        <v>49570</v>
      </c>
      <c r="J17" s="4">
        <v>50460</v>
      </c>
      <c r="K17" s="4">
        <v>50535</v>
      </c>
      <c r="L17" s="101">
        <f t="shared" si="0"/>
        <v>0.88310478461767772</v>
      </c>
      <c r="M17" s="101">
        <f t="shared" si="1"/>
        <v>1.4863258026159335E-3</v>
      </c>
      <c r="N17" s="14">
        <f t="shared" si="2"/>
        <v>0.24946316179192893</v>
      </c>
    </row>
    <row r="18" spans="1:15">
      <c r="A18" s="5" t="s">
        <v>4</v>
      </c>
      <c r="B18" s="5">
        <v>97760</v>
      </c>
      <c r="C18" s="5">
        <v>108829</v>
      </c>
      <c r="D18" s="5">
        <v>102025</v>
      </c>
      <c r="E18" s="5">
        <v>120137</v>
      </c>
      <c r="F18" s="5">
        <v>135180</v>
      </c>
      <c r="G18" s="5">
        <v>156814</v>
      </c>
      <c r="H18" s="5">
        <v>170608</v>
      </c>
      <c r="I18" s="5">
        <v>187514</v>
      </c>
      <c r="J18" s="5">
        <v>195838</v>
      </c>
      <c r="K18" s="5">
        <v>202575</v>
      </c>
      <c r="L18" s="83">
        <f t="shared" si="0"/>
        <v>1.0721665302782324</v>
      </c>
      <c r="M18" s="83">
        <f t="shared" si="1"/>
        <v>3.4400882361952226E-2</v>
      </c>
      <c r="N18" s="16">
        <f t="shared" si="2"/>
        <v>1</v>
      </c>
    </row>
    <row r="19" spans="1:15"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1:15" ht="15">
      <c r="A20" s="41" t="s">
        <v>47</v>
      </c>
      <c r="B20" s="41"/>
      <c r="C20" s="41"/>
      <c r="D20" s="41"/>
      <c r="E20" s="41"/>
      <c r="F20" s="40"/>
      <c r="G20" s="40"/>
      <c r="H20" s="40"/>
      <c r="I20" s="40"/>
      <c r="J20" s="40"/>
      <c r="K20" s="40"/>
      <c r="L20" s="40"/>
      <c r="M20" s="40"/>
      <c r="N20" s="40"/>
    </row>
    <row r="21" spans="1:15" ht="28">
      <c r="A21" s="88" t="s">
        <v>37</v>
      </c>
      <c r="B21" s="3">
        <v>2008</v>
      </c>
      <c r="C21" s="3">
        <v>2009</v>
      </c>
      <c r="D21" s="3">
        <v>2010</v>
      </c>
      <c r="E21" s="3">
        <v>2011</v>
      </c>
      <c r="F21" s="3">
        <v>2012</v>
      </c>
      <c r="G21" s="3">
        <v>2013</v>
      </c>
      <c r="H21" s="3">
        <v>2014</v>
      </c>
      <c r="I21" s="3">
        <v>2015</v>
      </c>
      <c r="J21" s="3">
        <v>2016</v>
      </c>
      <c r="K21" s="3">
        <v>2017</v>
      </c>
      <c r="L21" s="13" t="s">
        <v>369</v>
      </c>
      <c r="M21" s="13" t="s">
        <v>368</v>
      </c>
      <c r="N21" s="13" t="s">
        <v>367</v>
      </c>
    </row>
    <row r="22" spans="1:15">
      <c r="A22" s="4" t="s">
        <v>38</v>
      </c>
      <c r="B22" s="4">
        <v>31826</v>
      </c>
      <c r="C22" s="4">
        <v>33081</v>
      </c>
      <c r="D22" s="4">
        <v>30301</v>
      </c>
      <c r="E22" s="4">
        <v>42886</v>
      </c>
      <c r="F22" s="4">
        <v>51042</v>
      </c>
      <c r="G22" s="4">
        <v>58570</v>
      </c>
      <c r="H22" s="4">
        <v>63666</v>
      </c>
      <c r="I22" s="4">
        <v>74280</v>
      </c>
      <c r="J22" s="4">
        <v>81419</v>
      </c>
      <c r="K22" s="4">
        <v>79366</v>
      </c>
      <c r="L22" s="101">
        <f t="shared" ref="L22:L26" si="3">(K22-B22)/B22</f>
        <v>1.4937472506755483</v>
      </c>
      <c r="M22" s="101">
        <f t="shared" ref="M22:M26" si="4">(K22-J22)/J22</f>
        <v>-2.5215244598926542E-2</v>
      </c>
      <c r="N22" s="14">
        <f t="shared" ref="N22:N26" si="5">K22/K$9</f>
        <v>0.3917857583611008</v>
      </c>
    </row>
    <row r="23" spans="1:15">
      <c r="A23" s="32" t="s">
        <v>261</v>
      </c>
      <c r="B23" s="32">
        <v>16223</v>
      </c>
      <c r="C23" s="32">
        <v>18425</v>
      </c>
      <c r="D23" s="32">
        <v>16770</v>
      </c>
      <c r="E23" s="32">
        <v>20213</v>
      </c>
      <c r="F23" s="4">
        <v>23754</v>
      </c>
      <c r="G23" s="4">
        <v>29686</v>
      </c>
      <c r="H23" s="4">
        <v>33512</v>
      </c>
      <c r="I23" s="4">
        <v>38607</v>
      </c>
      <c r="J23" s="4">
        <v>39870</v>
      </c>
      <c r="K23" s="4">
        <v>45368</v>
      </c>
      <c r="L23" s="101">
        <f t="shared" si="3"/>
        <v>1.7965234543549282</v>
      </c>
      <c r="M23" s="101">
        <f t="shared" si="4"/>
        <v>0.13789816904941057</v>
      </c>
      <c r="N23" s="14">
        <f t="shared" si="5"/>
        <v>0.22395655929902505</v>
      </c>
    </row>
    <row r="24" spans="1:15">
      <c r="A24" s="4" t="s">
        <v>40</v>
      </c>
      <c r="B24" s="4">
        <v>1123</v>
      </c>
      <c r="C24" s="4">
        <v>1159</v>
      </c>
      <c r="D24" s="4">
        <v>1299</v>
      </c>
      <c r="E24" s="4">
        <v>1285</v>
      </c>
      <c r="F24" s="4">
        <v>1367</v>
      </c>
      <c r="G24" s="4">
        <v>1361</v>
      </c>
      <c r="H24" s="4">
        <v>1417</v>
      </c>
      <c r="I24" s="4">
        <v>1527</v>
      </c>
      <c r="J24" s="4">
        <v>1868</v>
      </c>
      <c r="K24" s="4">
        <v>2311</v>
      </c>
      <c r="L24" s="101">
        <f t="shared" si="3"/>
        <v>1.0578806767586821</v>
      </c>
      <c r="M24" s="101">
        <f t="shared" si="4"/>
        <v>0.23715203426124196</v>
      </c>
      <c r="N24" s="14">
        <f t="shared" si="5"/>
        <v>1.140812044921634E-2</v>
      </c>
    </row>
    <row r="25" spans="1:15">
      <c r="A25" s="32" t="s">
        <v>262</v>
      </c>
      <c r="B25" s="32">
        <v>48588</v>
      </c>
      <c r="C25" s="32">
        <v>56164</v>
      </c>
      <c r="D25" s="32">
        <v>53655</v>
      </c>
      <c r="E25" s="32">
        <v>55753</v>
      </c>
      <c r="F25" s="4">
        <v>59017</v>
      </c>
      <c r="G25" s="4">
        <v>67197</v>
      </c>
      <c r="H25" s="4">
        <v>72013</v>
      </c>
      <c r="I25" s="4">
        <v>73100</v>
      </c>
      <c r="J25" s="4">
        <v>72681</v>
      </c>
      <c r="K25" s="4">
        <v>75530</v>
      </c>
      <c r="L25" s="101">
        <f t="shared" si="3"/>
        <v>0.55449905326418047</v>
      </c>
      <c r="M25" s="101">
        <f t="shared" si="4"/>
        <v>3.9198690166618512E-2</v>
      </c>
      <c r="N25" s="14">
        <f t="shared" si="5"/>
        <v>0.37284956189065777</v>
      </c>
    </row>
    <row r="26" spans="1:15">
      <c r="A26" s="5" t="s">
        <v>4</v>
      </c>
      <c r="B26" s="5">
        <v>97760</v>
      </c>
      <c r="C26" s="5">
        <v>108829</v>
      </c>
      <c r="D26" s="5">
        <v>102025</v>
      </c>
      <c r="E26" s="5">
        <v>120137</v>
      </c>
      <c r="F26" s="5">
        <v>135180</v>
      </c>
      <c r="G26" s="5">
        <v>156814</v>
      </c>
      <c r="H26" s="5">
        <v>170608</v>
      </c>
      <c r="I26" s="5">
        <v>187514</v>
      </c>
      <c r="J26" s="5">
        <v>195838</v>
      </c>
      <c r="K26" s="5">
        <v>202575</v>
      </c>
      <c r="L26" s="83">
        <f t="shared" si="3"/>
        <v>1.0721665302782324</v>
      </c>
      <c r="M26" s="83">
        <f t="shared" si="4"/>
        <v>3.4400882361952226E-2</v>
      </c>
      <c r="N26" s="16">
        <f t="shared" si="5"/>
        <v>1</v>
      </c>
    </row>
    <row r="27" spans="1:15">
      <c r="A27" s="76"/>
      <c r="B27" s="76"/>
      <c r="C27" s="76"/>
      <c r="D27" s="76"/>
      <c r="E27" s="76"/>
      <c r="F27" s="40"/>
      <c r="G27" s="40"/>
      <c r="H27" s="40"/>
      <c r="I27" s="40"/>
      <c r="J27" s="40"/>
      <c r="K27" s="40"/>
      <c r="L27" s="40"/>
      <c r="M27" s="40"/>
      <c r="N27" s="40"/>
    </row>
    <row r="28" spans="1:15" ht="15">
      <c r="A28" s="41" t="s">
        <v>251</v>
      </c>
      <c r="B28" s="41"/>
      <c r="C28" s="41"/>
      <c r="D28" s="41"/>
      <c r="E28" s="41"/>
      <c r="F28" s="40"/>
      <c r="G28" s="40"/>
      <c r="H28" s="40"/>
      <c r="I28" s="40"/>
      <c r="J28" s="40"/>
      <c r="K28" s="40"/>
      <c r="L28" s="40"/>
      <c r="M28" s="40"/>
      <c r="N28" s="40"/>
    </row>
    <row r="29" spans="1:15" ht="28">
      <c r="A29" s="88" t="s">
        <v>37</v>
      </c>
      <c r="B29" s="3">
        <v>2008</v>
      </c>
      <c r="C29" s="3">
        <v>2009</v>
      </c>
      <c r="D29" s="3">
        <v>2010</v>
      </c>
      <c r="E29" s="3">
        <v>2011</v>
      </c>
      <c r="F29" s="3">
        <v>2012</v>
      </c>
      <c r="G29" s="3">
        <v>2013</v>
      </c>
      <c r="H29" s="3">
        <v>2014</v>
      </c>
      <c r="I29" s="3">
        <v>2015</v>
      </c>
      <c r="J29" s="3">
        <v>2016</v>
      </c>
      <c r="K29" s="3">
        <v>2017</v>
      </c>
      <c r="L29" s="13" t="s">
        <v>369</v>
      </c>
      <c r="M29" s="13" t="s">
        <v>368</v>
      </c>
      <c r="N29" s="13" t="s">
        <v>367</v>
      </c>
    </row>
    <row r="30" spans="1:15">
      <c r="A30" s="4" t="s">
        <v>48</v>
      </c>
      <c r="B30" s="4">
        <f>B22+B23</f>
        <v>48049</v>
      </c>
      <c r="C30" s="4">
        <f t="shared" ref="C30:K30" si="6">C22+C23</f>
        <v>51506</v>
      </c>
      <c r="D30" s="4">
        <f t="shared" si="6"/>
        <v>47071</v>
      </c>
      <c r="E30" s="4">
        <f t="shared" si="6"/>
        <v>63099</v>
      </c>
      <c r="F30" s="4">
        <f t="shared" si="6"/>
        <v>74796</v>
      </c>
      <c r="G30" s="4">
        <f t="shared" si="6"/>
        <v>88256</v>
      </c>
      <c r="H30" s="4">
        <f t="shared" si="6"/>
        <v>97178</v>
      </c>
      <c r="I30" s="4">
        <f t="shared" si="6"/>
        <v>112887</v>
      </c>
      <c r="J30" s="4">
        <f t="shared" si="6"/>
        <v>121289</v>
      </c>
      <c r="K30" s="4">
        <f t="shared" si="6"/>
        <v>124734</v>
      </c>
      <c r="L30" s="101">
        <f t="shared" ref="L30:L32" si="7">(K30-B30)/B30</f>
        <v>1.5959749422464566</v>
      </c>
      <c r="M30" s="101">
        <f t="shared" ref="M30:M32" si="8">(K30-J30)/J30</f>
        <v>2.8403235248043928E-2</v>
      </c>
      <c r="N30" s="14">
        <f t="shared" ref="N30:N32" si="9">K30/K$9</f>
        <v>0.61574231766012588</v>
      </c>
    </row>
    <row r="31" spans="1:15">
      <c r="A31" s="4" t="s">
        <v>49</v>
      </c>
      <c r="B31" s="4">
        <f>B24+B25</f>
        <v>49711</v>
      </c>
      <c r="C31" s="4">
        <f t="shared" ref="C31:K31" si="10">C24+C25</f>
        <v>57323</v>
      </c>
      <c r="D31" s="4">
        <f t="shared" si="10"/>
        <v>54954</v>
      </c>
      <c r="E31" s="4">
        <f t="shared" si="10"/>
        <v>57038</v>
      </c>
      <c r="F31" s="4">
        <f t="shared" si="10"/>
        <v>60384</v>
      </c>
      <c r="G31" s="4">
        <f t="shared" si="10"/>
        <v>68558</v>
      </c>
      <c r="H31" s="4">
        <f t="shared" si="10"/>
        <v>73430</v>
      </c>
      <c r="I31" s="4">
        <f t="shared" si="10"/>
        <v>74627</v>
      </c>
      <c r="J31" s="4">
        <f t="shared" si="10"/>
        <v>74549</v>
      </c>
      <c r="K31" s="4">
        <f t="shared" si="10"/>
        <v>77841</v>
      </c>
      <c r="L31" s="101">
        <f t="shared" si="7"/>
        <v>0.56587073283579092</v>
      </c>
      <c r="M31" s="101">
        <f t="shared" si="8"/>
        <v>4.4158875370561644E-2</v>
      </c>
      <c r="N31" s="14">
        <f t="shared" si="9"/>
        <v>0.38425768233987412</v>
      </c>
    </row>
    <row r="32" spans="1:15">
      <c r="A32" s="5" t="s">
        <v>4</v>
      </c>
      <c r="B32" s="5">
        <f>SUM(B30:B31)</f>
        <v>97760</v>
      </c>
      <c r="C32" s="5">
        <f t="shared" ref="C32:K32" si="11">SUM(C30:C31)</f>
        <v>108829</v>
      </c>
      <c r="D32" s="5">
        <f t="shared" si="11"/>
        <v>102025</v>
      </c>
      <c r="E32" s="5">
        <f t="shared" si="11"/>
        <v>120137</v>
      </c>
      <c r="F32" s="5">
        <f t="shared" si="11"/>
        <v>135180</v>
      </c>
      <c r="G32" s="5">
        <f t="shared" si="11"/>
        <v>156814</v>
      </c>
      <c r="H32" s="5">
        <f t="shared" si="11"/>
        <v>170608</v>
      </c>
      <c r="I32" s="5">
        <f t="shared" si="11"/>
        <v>187514</v>
      </c>
      <c r="J32" s="5">
        <f t="shared" si="11"/>
        <v>195838</v>
      </c>
      <c r="K32" s="5">
        <f t="shared" si="11"/>
        <v>202575</v>
      </c>
      <c r="L32" s="83">
        <f t="shared" si="7"/>
        <v>1.0721665302782324</v>
      </c>
      <c r="M32" s="83">
        <f t="shared" si="8"/>
        <v>3.4400882361952226E-2</v>
      </c>
      <c r="N32" s="16">
        <f t="shared" si="9"/>
        <v>1</v>
      </c>
    </row>
    <row r="33" spans="1:14">
      <c r="A33" s="75" t="s">
        <v>296</v>
      </c>
      <c r="B33" s="75"/>
      <c r="C33" s="75"/>
      <c r="D33" s="75"/>
      <c r="E33" s="75"/>
      <c r="F33" s="40"/>
      <c r="G33" s="40"/>
      <c r="H33" s="40"/>
      <c r="I33" s="40"/>
      <c r="J33" s="40"/>
      <c r="K33" s="40"/>
      <c r="L33" s="40"/>
      <c r="M33" s="40"/>
      <c r="N33" s="40"/>
    </row>
    <row r="34" spans="1:14">
      <c r="A34" s="75" t="s">
        <v>297</v>
      </c>
      <c r="B34" s="75"/>
      <c r="C34" s="75"/>
      <c r="D34" s="75"/>
      <c r="E34" s="75"/>
      <c r="F34" s="40"/>
      <c r="G34" s="40"/>
      <c r="H34" s="40"/>
      <c r="I34" s="40"/>
      <c r="J34" s="40"/>
      <c r="K34" s="40"/>
      <c r="L34" s="40"/>
      <c r="M34" s="40"/>
      <c r="N34" s="40"/>
    </row>
    <row r="35" spans="1:14">
      <c r="A35" s="76"/>
      <c r="B35" s="76"/>
      <c r="C35" s="76"/>
      <c r="D35" s="76"/>
      <c r="E35" s="76"/>
      <c r="F35" s="40"/>
      <c r="G35" s="40"/>
      <c r="H35" s="40"/>
      <c r="I35" s="40"/>
      <c r="J35" s="40"/>
      <c r="K35" s="40"/>
      <c r="L35" s="40"/>
      <c r="M35" s="40"/>
      <c r="N35" s="40"/>
    </row>
    <row r="36" spans="1:14" ht="15">
      <c r="A36" s="41" t="s">
        <v>263</v>
      </c>
      <c r="B36" s="41"/>
      <c r="C36" s="41"/>
      <c r="D36" s="41"/>
      <c r="E36" s="41"/>
      <c r="F36" s="40"/>
      <c r="G36" s="40"/>
      <c r="H36" s="40"/>
      <c r="I36" s="40"/>
      <c r="J36" s="40"/>
      <c r="K36" s="40"/>
      <c r="L36" s="40"/>
      <c r="M36" s="40"/>
      <c r="N36" s="40"/>
    </row>
    <row r="37" spans="1:14" ht="28">
      <c r="A37" s="88" t="s">
        <v>50</v>
      </c>
      <c r="B37" s="3">
        <v>2008</v>
      </c>
      <c r="C37" s="3">
        <v>2009</v>
      </c>
      <c r="D37" s="3">
        <v>2010</v>
      </c>
      <c r="E37" s="3">
        <v>2011</v>
      </c>
      <c r="F37" s="3">
        <v>2012</v>
      </c>
      <c r="G37" s="3">
        <v>2013</v>
      </c>
      <c r="H37" s="3">
        <v>2014</v>
      </c>
      <c r="I37" s="3">
        <v>2015</v>
      </c>
      <c r="J37" s="3">
        <v>2016</v>
      </c>
      <c r="K37" s="3">
        <v>2017</v>
      </c>
      <c r="L37" s="13" t="s">
        <v>369</v>
      </c>
      <c r="M37" s="13" t="s">
        <v>368</v>
      </c>
      <c r="N37" s="13" t="s">
        <v>367</v>
      </c>
    </row>
    <row r="38" spans="1:14" s="12" customFormat="1">
      <c r="A38" s="5" t="s">
        <v>5</v>
      </c>
      <c r="B38" s="5">
        <v>19314</v>
      </c>
      <c r="C38" s="5">
        <v>16636</v>
      </c>
      <c r="D38" s="5">
        <v>13842</v>
      </c>
      <c r="E38" s="5">
        <v>22283</v>
      </c>
      <c r="F38" s="23">
        <v>25486</v>
      </c>
      <c r="G38" s="23">
        <v>28365</v>
      </c>
      <c r="H38" s="23">
        <v>27844</v>
      </c>
      <c r="I38" s="23">
        <v>30536</v>
      </c>
      <c r="J38" s="23">
        <v>33685</v>
      </c>
      <c r="K38" s="23">
        <v>32188</v>
      </c>
      <c r="L38" s="83">
        <f t="shared" ref="L38:L48" si="12">(K38-B38)/B38</f>
        <v>0.6665631148389769</v>
      </c>
      <c r="M38" s="83">
        <f t="shared" ref="M38:M48" si="13">(K38-J38)/J38</f>
        <v>-4.4441145910642722E-2</v>
      </c>
      <c r="N38" s="16">
        <f t="shared" ref="N38:N48" si="14">K38/K$9</f>
        <v>0.15889423670245589</v>
      </c>
    </row>
    <row r="39" spans="1:14">
      <c r="A39" s="85" t="s">
        <v>38</v>
      </c>
      <c r="B39" s="85">
        <v>19314</v>
      </c>
      <c r="C39" s="85">
        <v>16636</v>
      </c>
      <c r="D39" s="85">
        <v>13842</v>
      </c>
      <c r="E39" s="85">
        <v>22283</v>
      </c>
      <c r="F39" s="4">
        <v>25486</v>
      </c>
      <c r="G39" s="4">
        <v>28365</v>
      </c>
      <c r="H39" s="4">
        <v>27844</v>
      </c>
      <c r="I39" s="4">
        <v>30536</v>
      </c>
      <c r="J39" s="4">
        <v>33685</v>
      </c>
      <c r="K39" s="4">
        <v>32188</v>
      </c>
      <c r="L39" s="101">
        <f t="shared" si="12"/>
        <v>0.6665631148389769</v>
      </c>
      <c r="M39" s="101">
        <f t="shared" si="13"/>
        <v>-4.4441145910642722E-2</v>
      </c>
      <c r="N39" s="14">
        <f t="shared" si="14"/>
        <v>0.15889423670245589</v>
      </c>
    </row>
    <row r="40" spans="1:14" s="12" customFormat="1">
      <c r="A40" s="5" t="s">
        <v>6</v>
      </c>
      <c r="B40" s="5">
        <v>18682</v>
      </c>
      <c r="C40" s="5">
        <v>23663</v>
      </c>
      <c r="D40" s="5">
        <v>23644</v>
      </c>
      <c r="E40" s="5">
        <v>30682</v>
      </c>
      <c r="F40" s="23">
        <v>38127</v>
      </c>
      <c r="G40" s="23">
        <v>47157</v>
      </c>
      <c r="H40" s="23">
        <v>55802</v>
      </c>
      <c r="I40" s="23">
        <v>67270</v>
      </c>
      <c r="J40" s="23">
        <v>72986</v>
      </c>
      <c r="K40" s="23">
        <v>77981</v>
      </c>
      <c r="L40" s="83">
        <f t="shared" si="12"/>
        <v>3.1741248260357562</v>
      </c>
      <c r="M40" s="83">
        <f t="shared" si="13"/>
        <v>6.8437782588441617E-2</v>
      </c>
      <c r="N40" s="16">
        <f t="shared" si="14"/>
        <v>0.38494878440083918</v>
      </c>
    </row>
    <row r="41" spans="1:14">
      <c r="A41" s="85" t="s">
        <v>38</v>
      </c>
      <c r="B41" s="85">
        <v>9185</v>
      </c>
      <c r="C41" s="85">
        <v>12131</v>
      </c>
      <c r="D41" s="85">
        <v>12491</v>
      </c>
      <c r="E41" s="85">
        <v>16757</v>
      </c>
      <c r="F41" s="18">
        <v>21100</v>
      </c>
      <c r="G41" s="18">
        <v>24973</v>
      </c>
      <c r="H41" s="18">
        <v>30415</v>
      </c>
      <c r="I41" s="18">
        <v>37454</v>
      </c>
      <c r="J41" s="18">
        <v>40843</v>
      </c>
      <c r="K41" s="18">
        <v>40335</v>
      </c>
      <c r="L41" s="101">
        <f t="shared" si="12"/>
        <v>3.3913990201415349</v>
      </c>
      <c r="M41" s="101">
        <f t="shared" si="13"/>
        <v>-1.2437871850745538E-2</v>
      </c>
      <c r="N41" s="14">
        <f t="shared" si="14"/>
        <v>0.19911144020733063</v>
      </c>
    </row>
    <row r="42" spans="1:14">
      <c r="A42" s="85" t="s">
        <v>39</v>
      </c>
      <c r="B42" s="85">
        <v>9497</v>
      </c>
      <c r="C42" s="85">
        <v>11532</v>
      </c>
      <c r="D42" s="85">
        <v>11153</v>
      </c>
      <c r="E42" s="85">
        <v>13925</v>
      </c>
      <c r="F42" s="18">
        <v>17027</v>
      </c>
      <c r="G42" s="18">
        <v>22184</v>
      </c>
      <c r="H42" s="18">
        <v>25387</v>
      </c>
      <c r="I42" s="18">
        <v>29816</v>
      </c>
      <c r="J42" s="18">
        <v>32143</v>
      </c>
      <c r="K42" s="18">
        <v>37646</v>
      </c>
      <c r="L42" s="101">
        <f t="shared" si="12"/>
        <v>2.9639886279877854</v>
      </c>
      <c r="M42" s="101">
        <f t="shared" si="13"/>
        <v>0.17120368353918428</v>
      </c>
      <c r="N42" s="14">
        <f t="shared" si="14"/>
        <v>0.18583734419350859</v>
      </c>
    </row>
    <row r="43" spans="1:14" s="12" customFormat="1">
      <c r="A43" s="5" t="s">
        <v>7</v>
      </c>
      <c r="B43" s="5">
        <v>59764</v>
      </c>
      <c r="C43" s="5">
        <v>68530</v>
      </c>
      <c r="D43" s="5">
        <v>64539</v>
      </c>
      <c r="E43" s="5">
        <v>67172</v>
      </c>
      <c r="F43" s="23">
        <v>71567</v>
      </c>
      <c r="G43" s="23">
        <v>81292</v>
      </c>
      <c r="H43" s="23">
        <v>86962</v>
      </c>
      <c r="I43" s="23">
        <v>89708</v>
      </c>
      <c r="J43" s="23">
        <v>89167</v>
      </c>
      <c r="K43" s="23">
        <v>92406</v>
      </c>
      <c r="L43" s="83">
        <f t="shared" si="12"/>
        <v>0.54618164781473799</v>
      </c>
      <c r="M43" s="83">
        <f t="shared" si="13"/>
        <v>3.6325097850101497E-2</v>
      </c>
      <c r="N43" s="16">
        <f t="shared" si="14"/>
        <v>0.45615697889670492</v>
      </c>
    </row>
    <row r="44" spans="1:14">
      <c r="A44" s="85" t="s">
        <v>38</v>
      </c>
      <c r="B44" s="85">
        <v>3327</v>
      </c>
      <c r="C44" s="85">
        <v>4314</v>
      </c>
      <c r="D44" s="85">
        <v>3968</v>
      </c>
      <c r="E44" s="85">
        <v>3846</v>
      </c>
      <c r="F44" s="18">
        <v>4456</v>
      </c>
      <c r="G44" s="18">
        <v>5232</v>
      </c>
      <c r="H44" s="18">
        <v>5407</v>
      </c>
      <c r="I44" s="18">
        <v>6290</v>
      </c>
      <c r="J44" s="18">
        <v>6891</v>
      </c>
      <c r="K44" s="18">
        <v>6843</v>
      </c>
      <c r="L44" s="101">
        <f t="shared" si="12"/>
        <v>1.0568079350766457</v>
      </c>
      <c r="M44" s="101">
        <f t="shared" si="13"/>
        <v>-6.9656073138876793E-3</v>
      </c>
      <c r="N44" s="14">
        <f t="shared" si="14"/>
        <v>3.378008145131433E-2</v>
      </c>
    </row>
    <row r="45" spans="1:14">
      <c r="A45" s="85" t="s">
        <v>39</v>
      </c>
      <c r="B45" s="85">
        <v>6726</v>
      </c>
      <c r="C45" s="85">
        <v>6893</v>
      </c>
      <c r="D45" s="85">
        <v>5617</v>
      </c>
      <c r="E45" s="85">
        <v>6288</v>
      </c>
      <c r="F45" s="18">
        <v>6727</v>
      </c>
      <c r="G45" s="18">
        <v>7502</v>
      </c>
      <c r="H45" s="18">
        <v>8125</v>
      </c>
      <c r="I45" s="18">
        <v>8791</v>
      </c>
      <c r="J45" s="18">
        <v>7727</v>
      </c>
      <c r="K45" s="18">
        <v>7722</v>
      </c>
      <c r="L45" s="101">
        <f t="shared" si="12"/>
        <v>0.1480820695807315</v>
      </c>
      <c r="M45" s="101">
        <f t="shared" si="13"/>
        <v>-6.4708166170570724E-4</v>
      </c>
      <c r="N45" s="14">
        <f t="shared" si="14"/>
        <v>3.8119215105516475E-2</v>
      </c>
    </row>
    <row r="46" spans="1:14">
      <c r="A46" s="85" t="s">
        <v>40</v>
      </c>
      <c r="B46" s="85">
        <v>1123</v>
      </c>
      <c r="C46" s="85">
        <v>1159</v>
      </c>
      <c r="D46" s="85">
        <v>1299</v>
      </c>
      <c r="E46" s="85">
        <v>1285</v>
      </c>
      <c r="F46" s="18">
        <v>1367</v>
      </c>
      <c r="G46" s="18">
        <v>1361</v>
      </c>
      <c r="H46" s="18">
        <v>1417</v>
      </c>
      <c r="I46" s="18">
        <v>1527</v>
      </c>
      <c r="J46" s="18">
        <v>1868</v>
      </c>
      <c r="K46" s="18">
        <v>2311</v>
      </c>
      <c r="L46" s="101">
        <f t="shared" si="12"/>
        <v>1.0578806767586821</v>
      </c>
      <c r="M46" s="101">
        <f t="shared" si="13"/>
        <v>0.23715203426124196</v>
      </c>
      <c r="N46" s="14">
        <f t="shared" si="14"/>
        <v>1.140812044921634E-2</v>
      </c>
    </row>
    <row r="47" spans="1:14">
      <c r="A47" s="85" t="s">
        <v>41</v>
      </c>
      <c r="B47" s="85">
        <v>48588</v>
      </c>
      <c r="C47" s="85">
        <v>56164</v>
      </c>
      <c r="D47" s="85">
        <v>53655</v>
      </c>
      <c r="E47" s="85">
        <v>55753</v>
      </c>
      <c r="F47" s="18">
        <v>59017</v>
      </c>
      <c r="G47" s="18">
        <v>67197</v>
      </c>
      <c r="H47" s="18">
        <v>72013</v>
      </c>
      <c r="I47" s="18">
        <v>73100</v>
      </c>
      <c r="J47" s="18">
        <v>72681</v>
      </c>
      <c r="K47" s="18">
        <v>75530</v>
      </c>
      <c r="L47" s="101">
        <f t="shared" si="12"/>
        <v>0.55449905326418047</v>
      </c>
      <c r="M47" s="101">
        <f t="shared" si="13"/>
        <v>3.9198690166618512E-2</v>
      </c>
      <c r="N47" s="14">
        <f t="shared" si="14"/>
        <v>0.37284956189065777</v>
      </c>
    </row>
    <row r="48" spans="1:14">
      <c r="A48" s="5" t="s">
        <v>4</v>
      </c>
      <c r="B48" s="5">
        <v>97760</v>
      </c>
      <c r="C48" s="5">
        <v>108829</v>
      </c>
      <c r="D48" s="5">
        <v>102025</v>
      </c>
      <c r="E48" s="5">
        <v>120137</v>
      </c>
      <c r="F48" s="17">
        <v>135180</v>
      </c>
      <c r="G48" s="17">
        <v>156814</v>
      </c>
      <c r="H48" s="17">
        <v>170608</v>
      </c>
      <c r="I48" s="17">
        <v>187514</v>
      </c>
      <c r="J48" s="17">
        <v>195838</v>
      </c>
      <c r="K48" s="17">
        <v>202575</v>
      </c>
      <c r="L48" s="83">
        <f t="shared" si="12"/>
        <v>1.0721665302782324</v>
      </c>
      <c r="M48" s="83">
        <f t="shared" si="13"/>
        <v>3.4400882361952226E-2</v>
      </c>
      <c r="N48" s="16">
        <f t="shared" si="14"/>
        <v>1</v>
      </c>
    </row>
    <row r="49" spans="1:14">
      <c r="A49" s="76"/>
      <c r="B49" s="76"/>
      <c r="C49" s="76"/>
      <c r="D49" s="76"/>
      <c r="E49" s="76"/>
      <c r="F49" s="40"/>
      <c r="G49" s="40"/>
      <c r="H49" s="40"/>
      <c r="I49" s="40"/>
      <c r="J49" s="40"/>
      <c r="K49" s="40"/>
      <c r="L49" s="40"/>
      <c r="M49" s="40"/>
      <c r="N49" s="40"/>
    </row>
    <row r="50" spans="1:14" ht="15">
      <c r="A50" s="41" t="s">
        <v>264</v>
      </c>
      <c r="B50" s="41"/>
      <c r="C50" s="41"/>
      <c r="D50" s="41"/>
      <c r="E50" s="41"/>
      <c r="F50" s="40"/>
      <c r="G50" s="40"/>
      <c r="H50" s="40"/>
      <c r="I50" s="40"/>
      <c r="J50" s="40"/>
      <c r="K50" s="40"/>
      <c r="L50" s="40"/>
      <c r="M50" s="40"/>
      <c r="N50" s="40"/>
    </row>
    <row r="51" spans="1:14" ht="28">
      <c r="A51" s="88" t="s">
        <v>50</v>
      </c>
      <c r="B51" s="3">
        <v>2008</v>
      </c>
      <c r="C51" s="3">
        <v>2009</v>
      </c>
      <c r="D51" s="3">
        <v>2010</v>
      </c>
      <c r="E51" s="3">
        <v>2011</v>
      </c>
      <c r="F51" s="3">
        <v>2012</v>
      </c>
      <c r="G51" s="3">
        <v>2013</v>
      </c>
      <c r="H51" s="3">
        <v>2014</v>
      </c>
      <c r="I51" s="3">
        <v>2015</v>
      </c>
      <c r="J51" s="3">
        <v>2016</v>
      </c>
      <c r="K51" s="3">
        <v>2017</v>
      </c>
      <c r="L51" s="13" t="s">
        <v>369</v>
      </c>
      <c r="M51" s="13" t="s">
        <v>368</v>
      </c>
      <c r="N51" s="13" t="s">
        <v>367</v>
      </c>
    </row>
    <row r="52" spans="1:14" s="12" customFormat="1">
      <c r="A52" s="5" t="s">
        <v>5</v>
      </c>
      <c r="B52" s="5">
        <v>19314</v>
      </c>
      <c r="C52" s="5">
        <v>16636</v>
      </c>
      <c r="D52" s="5">
        <v>13842</v>
      </c>
      <c r="E52" s="5">
        <v>22283</v>
      </c>
      <c r="F52" s="23">
        <v>25486</v>
      </c>
      <c r="G52" s="23">
        <v>28365</v>
      </c>
      <c r="H52" s="23">
        <v>27844</v>
      </c>
      <c r="I52" s="23">
        <v>30536</v>
      </c>
      <c r="J52" s="23">
        <v>33685</v>
      </c>
      <c r="K52" s="23">
        <v>32188</v>
      </c>
      <c r="L52" s="83">
        <f t="shared" ref="L52:L72" si="15">(K52-B52)/B52</f>
        <v>0.6665631148389769</v>
      </c>
      <c r="M52" s="83">
        <f t="shared" ref="M52:M72" si="16">(K52-J52)/J52</f>
        <v>-4.4441145910642722E-2</v>
      </c>
      <c r="N52" s="16">
        <f t="shared" ref="N52:N72" si="17">K52/K$9</f>
        <v>0.15889423670245589</v>
      </c>
    </row>
    <row r="53" spans="1:14">
      <c r="A53" s="85" t="s">
        <v>38</v>
      </c>
      <c r="B53" s="85">
        <v>19314</v>
      </c>
      <c r="C53" s="85">
        <v>16636</v>
      </c>
      <c r="D53" s="85">
        <v>13842</v>
      </c>
      <c r="E53" s="85">
        <v>22283</v>
      </c>
      <c r="F53" s="4">
        <v>25486</v>
      </c>
      <c r="G53" s="4">
        <v>28365</v>
      </c>
      <c r="H53" s="4">
        <v>27844</v>
      </c>
      <c r="I53" s="4">
        <v>30536</v>
      </c>
      <c r="J53" s="4">
        <v>33685</v>
      </c>
      <c r="K53" s="4">
        <v>32188</v>
      </c>
      <c r="L53" s="101">
        <f t="shared" si="15"/>
        <v>0.6665631148389769</v>
      </c>
      <c r="M53" s="101">
        <f t="shared" si="16"/>
        <v>-4.4441145910642722E-2</v>
      </c>
      <c r="N53" s="14">
        <f t="shared" si="17"/>
        <v>0.15889423670245589</v>
      </c>
    </row>
    <row r="54" spans="1:14" s="12" customFormat="1">
      <c r="A54" s="5" t="s">
        <v>6</v>
      </c>
      <c r="B54" s="5">
        <v>18682</v>
      </c>
      <c r="C54" s="5">
        <v>23663</v>
      </c>
      <c r="D54" s="5">
        <v>23644</v>
      </c>
      <c r="E54" s="5">
        <v>30682</v>
      </c>
      <c r="F54" s="23">
        <v>38127</v>
      </c>
      <c r="G54" s="23">
        <v>47157</v>
      </c>
      <c r="H54" s="23">
        <v>55802</v>
      </c>
      <c r="I54" s="23">
        <v>67270</v>
      </c>
      <c r="J54" s="23">
        <v>72986</v>
      </c>
      <c r="K54" s="23">
        <v>77981</v>
      </c>
      <c r="L54" s="83">
        <f t="shared" si="15"/>
        <v>3.1741248260357562</v>
      </c>
      <c r="M54" s="83">
        <f t="shared" si="16"/>
        <v>6.8437782588441617E-2</v>
      </c>
      <c r="N54" s="16">
        <f t="shared" si="17"/>
        <v>0.38494878440083918</v>
      </c>
    </row>
    <row r="55" spans="1:14">
      <c r="A55" s="85" t="s">
        <v>38</v>
      </c>
      <c r="B55" s="85">
        <v>9185</v>
      </c>
      <c r="C55" s="85">
        <v>12131</v>
      </c>
      <c r="D55" s="85">
        <v>12491</v>
      </c>
      <c r="E55" s="85">
        <v>16757</v>
      </c>
      <c r="F55" s="18">
        <v>21100</v>
      </c>
      <c r="G55" s="18">
        <v>24973</v>
      </c>
      <c r="H55" s="18">
        <v>30415</v>
      </c>
      <c r="I55" s="18">
        <v>37454</v>
      </c>
      <c r="J55" s="18">
        <v>40843</v>
      </c>
      <c r="K55" s="18">
        <v>40335</v>
      </c>
      <c r="L55" s="101">
        <f t="shared" si="15"/>
        <v>3.3913990201415349</v>
      </c>
      <c r="M55" s="101">
        <f t="shared" si="16"/>
        <v>-1.2437871850745538E-2</v>
      </c>
      <c r="N55" s="14">
        <f t="shared" si="17"/>
        <v>0.19911144020733063</v>
      </c>
    </row>
    <row r="56" spans="1:14">
      <c r="A56" s="85" t="s">
        <v>39</v>
      </c>
      <c r="B56" s="85">
        <v>9497</v>
      </c>
      <c r="C56" s="85">
        <v>11532</v>
      </c>
      <c r="D56" s="85">
        <v>11153</v>
      </c>
      <c r="E56" s="85">
        <v>13925</v>
      </c>
      <c r="F56" s="18">
        <v>17027</v>
      </c>
      <c r="G56" s="18">
        <v>22184</v>
      </c>
      <c r="H56" s="18">
        <v>25387</v>
      </c>
      <c r="I56" s="18">
        <v>29816</v>
      </c>
      <c r="J56" s="18">
        <v>32143</v>
      </c>
      <c r="K56" s="18">
        <v>37646</v>
      </c>
      <c r="L56" s="101">
        <f t="shared" si="15"/>
        <v>2.9639886279877854</v>
      </c>
      <c r="M56" s="101">
        <f t="shared" si="16"/>
        <v>0.17120368353918428</v>
      </c>
      <c r="N56" s="14">
        <f t="shared" si="17"/>
        <v>0.18583734419350859</v>
      </c>
    </row>
    <row r="57" spans="1:14" s="12" customFormat="1">
      <c r="A57" s="5" t="s">
        <v>295</v>
      </c>
      <c r="B57" s="5">
        <v>21052</v>
      </c>
      <c r="C57" s="5">
        <v>25523</v>
      </c>
      <c r="D57" s="5">
        <v>23285</v>
      </c>
      <c r="E57" s="5">
        <v>22545</v>
      </c>
      <c r="F57" s="23">
        <v>21622</v>
      </c>
      <c r="G57" s="23">
        <v>21910</v>
      </c>
      <c r="H57" s="23">
        <v>22298</v>
      </c>
      <c r="I57" s="23">
        <v>23250</v>
      </c>
      <c r="J57" s="23">
        <v>22426</v>
      </c>
      <c r="K57" s="23">
        <v>23601</v>
      </c>
      <c r="L57" s="83">
        <f t="shared" si="15"/>
        <v>0.12108113243397302</v>
      </c>
      <c r="M57" s="83">
        <f t="shared" si="16"/>
        <v>5.2394542049406939E-2</v>
      </c>
      <c r="N57" s="16">
        <f t="shared" si="17"/>
        <v>0.11650499814883376</v>
      </c>
    </row>
    <row r="58" spans="1:14">
      <c r="A58" s="85" t="s">
        <v>38</v>
      </c>
      <c r="B58" s="85">
        <v>917</v>
      </c>
      <c r="C58" s="85">
        <v>1332</v>
      </c>
      <c r="D58" s="85">
        <v>1488</v>
      </c>
      <c r="E58" s="85">
        <v>1260</v>
      </c>
      <c r="F58" s="18">
        <v>1043</v>
      </c>
      <c r="G58" s="18">
        <v>1160</v>
      </c>
      <c r="H58" s="18">
        <v>1646</v>
      </c>
      <c r="I58" s="18">
        <v>2282</v>
      </c>
      <c r="J58" s="18">
        <v>2713</v>
      </c>
      <c r="K58" s="18">
        <v>2835</v>
      </c>
      <c r="L58" s="101">
        <f t="shared" si="15"/>
        <v>2.0916030534351147</v>
      </c>
      <c r="M58" s="101">
        <f t="shared" si="16"/>
        <v>4.4968669369701439E-2</v>
      </c>
      <c r="N58" s="14">
        <f t="shared" si="17"/>
        <v>1.3994816734542762E-2</v>
      </c>
    </row>
    <row r="59" spans="1:14">
      <c r="A59" s="85" t="s">
        <v>39</v>
      </c>
      <c r="B59" s="85">
        <v>3420</v>
      </c>
      <c r="C59" s="85">
        <v>3853</v>
      </c>
      <c r="D59" s="85">
        <v>2560</v>
      </c>
      <c r="E59" s="85">
        <v>2704</v>
      </c>
      <c r="F59" s="18">
        <v>2205</v>
      </c>
      <c r="G59" s="18">
        <v>2306</v>
      </c>
      <c r="H59" s="18">
        <v>2386</v>
      </c>
      <c r="I59" s="18">
        <v>3142</v>
      </c>
      <c r="J59" s="18">
        <v>2471</v>
      </c>
      <c r="K59" s="18">
        <v>2540</v>
      </c>
      <c r="L59" s="101">
        <f t="shared" si="15"/>
        <v>-0.25730994152046782</v>
      </c>
      <c r="M59" s="101">
        <f t="shared" si="16"/>
        <v>2.7923917442331039E-2</v>
      </c>
      <c r="N59" s="14">
        <f t="shared" si="17"/>
        <v>1.2538565963223497E-2</v>
      </c>
    </row>
    <row r="60" spans="1:14">
      <c r="A60" s="85" t="s">
        <v>40</v>
      </c>
      <c r="B60" s="85">
        <v>488</v>
      </c>
      <c r="C60" s="85">
        <v>424</v>
      </c>
      <c r="D60" s="85">
        <v>435</v>
      </c>
      <c r="E60" s="85">
        <v>397</v>
      </c>
      <c r="F60" s="18">
        <v>524</v>
      </c>
      <c r="G60" s="18">
        <v>377</v>
      </c>
      <c r="H60" s="18">
        <v>396</v>
      </c>
      <c r="I60" s="18">
        <v>335</v>
      </c>
      <c r="J60" s="18">
        <v>359</v>
      </c>
      <c r="K60" s="18">
        <v>408</v>
      </c>
      <c r="L60" s="101">
        <f t="shared" si="15"/>
        <v>-0.16393442622950818</v>
      </c>
      <c r="M60" s="101">
        <f t="shared" si="16"/>
        <v>0.13649025069637882</v>
      </c>
      <c r="N60" s="14">
        <f t="shared" si="17"/>
        <v>2.014068863383932E-3</v>
      </c>
    </row>
    <row r="61" spans="1:14">
      <c r="A61" s="85" t="s">
        <v>41</v>
      </c>
      <c r="B61" s="85">
        <v>16227</v>
      </c>
      <c r="C61" s="85">
        <v>19914</v>
      </c>
      <c r="D61" s="85">
        <v>18802</v>
      </c>
      <c r="E61" s="85">
        <v>18184</v>
      </c>
      <c r="F61" s="18">
        <v>17850</v>
      </c>
      <c r="G61" s="18">
        <v>18067</v>
      </c>
      <c r="H61" s="18">
        <v>17870</v>
      </c>
      <c r="I61" s="18">
        <v>17491</v>
      </c>
      <c r="J61" s="18">
        <v>16883</v>
      </c>
      <c r="K61" s="18">
        <v>17818</v>
      </c>
      <c r="L61" s="101">
        <f t="shared" si="15"/>
        <v>9.8046465766931656E-2</v>
      </c>
      <c r="M61" s="101">
        <f t="shared" si="16"/>
        <v>5.5381152638749036E-2</v>
      </c>
      <c r="N61" s="14">
        <f t="shared" si="17"/>
        <v>8.795754658768358E-2</v>
      </c>
    </row>
    <row r="62" spans="1:14" s="12" customFormat="1">
      <c r="A62" s="5" t="s">
        <v>292</v>
      </c>
      <c r="B62" s="5">
        <v>11876</v>
      </c>
      <c r="C62" s="5">
        <v>13556</v>
      </c>
      <c r="D62" s="5">
        <v>13199</v>
      </c>
      <c r="E62" s="5">
        <v>13022</v>
      </c>
      <c r="F62" s="23">
        <v>14600</v>
      </c>
      <c r="G62" s="23">
        <v>15836</v>
      </c>
      <c r="H62" s="23">
        <v>16354</v>
      </c>
      <c r="I62" s="23">
        <v>16888</v>
      </c>
      <c r="J62" s="23">
        <v>16281</v>
      </c>
      <c r="K62" s="23">
        <v>18270</v>
      </c>
      <c r="L62" s="83">
        <f t="shared" si="15"/>
        <v>0.53839676658807678</v>
      </c>
      <c r="M62" s="83">
        <f t="shared" si="16"/>
        <v>0.12216694306246545</v>
      </c>
      <c r="N62" s="16">
        <f t="shared" si="17"/>
        <v>9.0188818955942246E-2</v>
      </c>
    </row>
    <row r="63" spans="1:14">
      <c r="A63" s="85" t="s">
        <v>38</v>
      </c>
      <c r="B63" s="85">
        <v>685</v>
      </c>
      <c r="C63" s="85">
        <v>814</v>
      </c>
      <c r="D63" s="85">
        <v>704</v>
      </c>
      <c r="E63" s="85">
        <v>730</v>
      </c>
      <c r="F63" s="18">
        <v>928</v>
      </c>
      <c r="G63" s="18">
        <v>1303</v>
      </c>
      <c r="H63" s="18">
        <v>1162</v>
      </c>
      <c r="I63" s="18">
        <v>1595</v>
      </c>
      <c r="J63" s="18">
        <v>1987</v>
      </c>
      <c r="K63" s="18">
        <v>2307</v>
      </c>
      <c r="L63" s="101">
        <f t="shared" si="15"/>
        <v>2.3678832116788322</v>
      </c>
      <c r="M63" s="101">
        <f t="shared" si="16"/>
        <v>0.16104680422747861</v>
      </c>
      <c r="N63" s="14">
        <f t="shared" si="17"/>
        <v>1.1388374676045908E-2</v>
      </c>
    </row>
    <row r="64" spans="1:14">
      <c r="A64" s="85" t="s">
        <v>39</v>
      </c>
      <c r="B64" s="85">
        <v>1058</v>
      </c>
      <c r="C64" s="85">
        <v>840</v>
      </c>
      <c r="D64" s="85">
        <v>703</v>
      </c>
      <c r="E64" s="85">
        <v>776</v>
      </c>
      <c r="F64" s="18">
        <v>1059</v>
      </c>
      <c r="G64" s="18">
        <v>1054</v>
      </c>
      <c r="H64" s="18">
        <v>1196</v>
      </c>
      <c r="I64" s="18">
        <v>1353</v>
      </c>
      <c r="J64" s="18">
        <v>1102</v>
      </c>
      <c r="K64" s="18">
        <v>1020</v>
      </c>
      <c r="L64" s="101">
        <f t="shared" si="15"/>
        <v>-3.5916824196597356E-2</v>
      </c>
      <c r="M64" s="101">
        <f t="shared" si="16"/>
        <v>-7.441016333938294E-2</v>
      </c>
      <c r="N64" s="14">
        <f t="shared" si="17"/>
        <v>5.0351721584598295E-3</v>
      </c>
    </row>
    <row r="65" spans="1:14">
      <c r="A65" s="85" t="s">
        <v>40</v>
      </c>
      <c r="B65" s="85">
        <v>313</v>
      </c>
      <c r="C65" s="85">
        <v>414</v>
      </c>
      <c r="D65" s="85">
        <v>465</v>
      </c>
      <c r="E65" s="85">
        <v>478</v>
      </c>
      <c r="F65" s="18">
        <v>455</v>
      </c>
      <c r="G65" s="18">
        <v>358</v>
      </c>
      <c r="H65" s="18">
        <v>394</v>
      </c>
      <c r="I65" s="18">
        <v>391</v>
      </c>
      <c r="J65" s="18">
        <v>487</v>
      </c>
      <c r="K65" s="18">
        <v>514</v>
      </c>
      <c r="L65" s="101">
        <f t="shared" si="15"/>
        <v>0.64217252396166136</v>
      </c>
      <c r="M65" s="101">
        <f t="shared" si="16"/>
        <v>5.5441478439425054E-2</v>
      </c>
      <c r="N65" s="14">
        <f t="shared" si="17"/>
        <v>2.5373318524003455E-3</v>
      </c>
    </row>
    <row r="66" spans="1:14">
      <c r="A66" s="85" t="s">
        <v>41</v>
      </c>
      <c r="B66" s="85">
        <v>9820</v>
      </c>
      <c r="C66" s="85">
        <v>11488</v>
      </c>
      <c r="D66" s="85">
        <v>11327</v>
      </c>
      <c r="E66" s="85">
        <v>11038</v>
      </c>
      <c r="F66" s="18">
        <v>12158</v>
      </c>
      <c r="G66" s="18">
        <v>13121</v>
      </c>
      <c r="H66" s="18">
        <v>13602</v>
      </c>
      <c r="I66" s="18">
        <v>13549</v>
      </c>
      <c r="J66" s="18">
        <v>12705</v>
      </c>
      <c r="K66" s="18">
        <v>14429</v>
      </c>
      <c r="L66" s="101">
        <f t="shared" si="15"/>
        <v>0.46934826883910385</v>
      </c>
      <c r="M66" s="101">
        <f t="shared" si="16"/>
        <v>0.13569460842188114</v>
      </c>
      <c r="N66" s="14">
        <f t="shared" si="17"/>
        <v>7.1227940269036158E-2</v>
      </c>
    </row>
    <row r="67" spans="1:14" s="12" customFormat="1">
      <c r="A67" s="5" t="s">
        <v>293</v>
      </c>
      <c r="B67" s="5">
        <v>26836</v>
      </c>
      <c r="C67" s="5">
        <v>29451</v>
      </c>
      <c r="D67" s="5">
        <v>28055</v>
      </c>
      <c r="E67" s="5">
        <v>31605</v>
      </c>
      <c r="F67" s="23">
        <v>35345</v>
      </c>
      <c r="G67" s="23">
        <v>43546</v>
      </c>
      <c r="H67" s="23">
        <v>48310</v>
      </c>
      <c r="I67" s="23">
        <v>49570</v>
      </c>
      <c r="J67" s="23">
        <v>50460</v>
      </c>
      <c r="K67" s="23">
        <v>50535</v>
      </c>
      <c r="L67" s="83">
        <f t="shared" si="15"/>
        <v>0.88310478461767772</v>
      </c>
      <c r="M67" s="83">
        <f t="shared" si="16"/>
        <v>1.4863258026159335E-3</v>
      </c>
      <c r="N67" s="16">
        <f t="shared" si="17"/>
        <v>0.24946316179192893</v>
      </c>
    </row>
    <row r="68" spans="1:14">
      <c r="A68" s="85" t="s">
        <v>38</v>
      </c>
      <c r="B68" s="85">
        <v>1725</v>
      </c>
      <c r="C68" s="85">
        <v>2168</v>
      </c>
      <c r="D68" s="85">
        <v>1776</v>
      </c>
      <c r="E68" s="85">
        <v>1856</v>
      </c>
      <c r="F68" s="18">
        <v>2485</v>
      </c>
      <c r="G68" s="18">
        <v>2769</v>
      </c>
      <c r="H68" s="18">
        <v>2599</v>
      </c>
      <c r="I68" s="18">
        <v>2413</v>
      </c>
      <c r="J68" s="18">
        <v>2191</v>
      </c>
      <c r="K68" s="18">
        <v>1701</v>
      </c>
      <c r="L68" s="101">
        <f t="shared" si="15"/>
        <v>-1.391304347826087E-2</v>
      </c>
      <c r="M68" s="101">
        <f t="shared" si="16"/>
        <v>-0.22364217252396165</v>
      </c>
      <c r="N68" s="14">
        <f t="shared" si="17"/>
        <v>8.3968900407256578E-3</v>
      </c>
    </row>
    <row r="69" spans="1:14">
      <c r="A69" s="85" t="s">
        <v>39</v>
      </c>
      <c r="B69" s="85">
        <v>2248</v>
      </c>
      <c r="C69" s="85">
        <v>2200</v>
      </c>
      <c r="D69" s="85">
        <v>2354</v>
      </c>
      <c r="E69" s="85">
        <v>2808</v>
      </c>
      <c r="F69" s="18">
        <v>3463</v>
      </c>
      <c r="G69" s="18">
        <v>4142</v>
      </c>
      <c r="H69" s="18">
        <v>4543</v>
      </c>
      <c r="I69" s="18">
        <v>4296</v>
      </c>
      <c r="J69" s="18">
        <v>4154</v>
      </c>
      <c r="K69" s="18">
        <v>4162</v>
      </c>
      <c r="L69" s="101">
        <f t="shared" si="15"/>
        <v>0.85142348754448394</v>
      </c>
      <c r="M69" s="101">
        <f t="shared" si="16"/>
        <v>1.9258545979778526E-3</v>
      </c>
      <c r="N69" s="14">
        <f t="shared" si="17"/>
        <v>2.0545476983833147E-2</v>
      </c>
    </row>
    <row r="70" spans="1:14">
      <c r="A70" s="85" t="s">
        <v>40</v>
      </c>
      <c r="B70" s="85">
        <v>322</v>
      </c>
      <c r="C70" s="85">
        <v>321</v>
      </c>
      <c r="D70" s="85">
        <v>399</v>
      </c>
      <c r="E70" s="85">
        <v>410</v>
      </c>
      <c r="F70" s="18">
        <v>388</v>
      </c>
      <c r="G70" s="18">
        <v>626</v>
      </c>
      <c r="H70" s="18">
        <v>627</v>
      </c>
      <c r="I70" s="18">
        <v>801</v>
      </c>
      <c r="J70" s="18">
        <v>1022</v>
      </c>
      <c r="K70" s="18">
        <v>1389</v>
      </c>
      <c r="L70" s="101">
        <f t="shared" si="15"/>
        <v>3.3136645962732918</v>
      </c>
      <c r="M70" s="101">
        <f t="shared" si="16"/>
        <v>0.35909980430528377</v>
      </c>
      <c r="N70" s="14">
        <f t="shared" si="17"/>
        <v>6.8567197334320623E-3</v>
      </c>
    </row>
    <row r="71" spans="1:14">
      <c r="A71" s="85" t="s">
        <v>41</v>
      </c>
      <c r="B71" s="85">
        <v>22541</v>
      </c>
      <c r="C71" s="85">
        <v>24762</v>
      </c>
      <c r="D71" s="85">
        <v>23526</v>
      </c>
      <c r="E71" s="85">
        <v>26531</v>
      </c>
      <c r="F71" s="18">
        <v>29009</v>
      </c>
      <c r="G71" s="18">
        <v>36009</v>
      </c>
      <c r="H71" s="18">
        <v>40541</v>
      </c>
      <c r="I71" s="18">
        <v>42060</v>
      </c>
      <c r="J71" s="18">
        <v>43093</v>
      </c>
      <c r="K71" s="18">
        <v>43283</v>
      </c>
      <c r="L71" s="101">
        <f t="shared" si="15"/>
        <v>0.9201898762255446</v>
      </c>
      <c r="M71" s="101">
        <f t="shared" si="16"/>
        <v>4.4090687582670042E-3</v>
      </c>
      <c r="N71" s="14">
        <f t="shared" si="17"/>
        <v>0.21366407503393806</v>
      </c>
    </row>
    <row r="72" spans="1:14">
      <c r="A72" s="5" t="s">
        <v>4</v>
      </c>
      <c r="B72" s="5">
        <v>97760</v>
      </c>
      <c r="C72" s="5">
        <v>108829</v>
      </c>
      <c r="D72" s="5">
        <v>102025</v>
      </c>
      <c r="E72" s="5">
        <v>120137</v>
      </c>
      <c r="F72" s="17">
        <v>135180</v>
      </c>
      <c r="G72" s="17">
        <v>156814</v>
      </c>
      <c r="H72" s="17">
        <v>170608</v>
      </c>
      <c r="I72" s="17">
        <v>187514</v>
      </c>
      <c r="J72" s="17">
        <v>195838</v>
      </c>
      <c r="K72" s="17">
        <v>202575</v>
      </c>
      <c r="L72" s="83">
        <f t="shared" si="15"/>
        <v>1.0721665302782324</v>
      </c>
      <c r="M72" s="83">
        <f t="shared" si="16"/>
        <v>3.4400882361952226E-2</v>
      </c>
      <c r="N72" s="16">
        <f t="shared" si="17"/>
        <v>1</v>
      </c>
    </row>
    <row r="73" spans="1:14">
      <c r="A73" s="76"/>
      <c r="B73" s="76"/>
      <c r="C73" s="76"/>
      <c r="D73" s="76"/>
      <c r="E73" s="76"/>
      <c r="F73" s="40"/>
      <c r="G73" s="40"/>
      <c r="H73" s="40"/>
      <c r="I73" s="40"/>
      <c r="J73" s="40"/>
      <c r="K73" s="40"/>
      <c r="L73" s="40"/>
      <c r="M73" s="40"/>
      <c r="N73" s="40"/>
    </row>
    <row r="74" spans="1:14" ht="15">
      <c r="A74" s="41" t="s">
        <v>51</v>
      </c>
      <c r="B74" s="41"/>
      <c r="C74" s="41"/>
      <c r="D74" s="41"/>
      <c r="E74" s="41"/>
      <c r="F74" s="40"/>
      <c r="G74" s="40"/>
      <c r="H74" s="40"/>
      <c r="I74" s="40"/>
      <c r="J74" s="40"/>
      <c r="K74" s="40"/>
      <c r="L74" s="40"/>
      <c r="M74" s="40"/>
      <c r="N74" s="40"/>
    </row>
    <row r="75" spans="1:14" ht="28">
      <c r="A75" s="88" t="s">
        <v>42</v>
      </c>
      <c r="B75" s="3">
        <v>2008</v>
      </c>
      <c r="C75" s="3">
        <v>2009</v>
      </c>
      <c r="D75" s="3">
        <v>2010</v>
      </c>
      <c r="E75" s="3">
        <v>2011</v>
      </c>
      <c r="F75" s="3">
        <v>2012</v>
      </c>
      <c r="G75" s="3">
        <v>2013</v>
      </c>
      <c r="H75" s="3">
        <v>2014</v>
      </c>
      <c r="I75" s="3">
        <v>2015</v>
      </c>
      <c r="J75" s="3">
        <v>2016</v>
      </c>
      <c r="K75" s="3">
        <v>2017</v>
      </c>
      <c r="L75" s="13" t="s">
        <v>369</v>
      </c>
      <c r="M75" s="13" t="s">
        <v>368</v>
      </c>
      <c r="N75" s="13" t="s">
        <v>367</v>
      </c>
    </row>
    <row r="76" spans="1:14">
      <c r="A76" s="4" t="s">
        <v>43</v>
      </c>
      <c r="B76" s="4">
        <v>75298</v>
      </c>
      <c r="C76" s="4">
        <v>78812</v>
      </c>
      <c r="D76" s="4">
        <v>73528</v>
      </c>
      <c r="E76" s="4">
        <v>84038</v>
      </c>
      <c r="F76" s="18">
        <v>93597</v>
      </c>
      <c r="G76" s="18">
        <v>104947</v>
      </c>
      <c r="H76" s="18">
        <v>111098</v>
      </c>
      <c r="I76" s="18">
        <v>118122</v>
      </c>
      <c r="J76" s="18">
        <v>123455</v>
      </c>
      <c r="K76" s="18">
        <v>127177</v>
      </c>
      <c r="L76" s="101">
        <f t="shared" ref="L76" si="18">(K76-B76)/B76</f>
        <v>0.68898244309277801</v>
      </c>
      <c r="M76" s="101">
        <f t="shared" ref="M76" si="19">(K76-J76)/J76</f>
        <v>3.0148637155238751E-2</v>
      </c>
      <c r="N76" s="14">
        <f t="shared" ref="N76" si="20">K76/K$9</f>
        <v>0.62780204862396638</v>
      </c>
    </row>
    <row r="77" spans="1:14">
      <c r="A77" s="4" t="s">
        <v>44</v>
      </c>
      <c r="B77" s="4">
        <v>21054</v>
      </c>
      <c r="C77" s="4">
        <v>28091</v>
      </c>
      <c r="D77" s="4">
        <v>26712</v>
      </c>
      <c r="E77" s="4">
        <v>33369</v>
      </c>
      <c r="F77" s="18">
        <v>39558</v>
      </c>
      <c r="G77" s="18">
        <v>48407</v>
      </c>
      <c r="H77" s="18">
        <v>55039</v>
      </c>
      <c r="I77" s="18">
        <v>61819</v>
      </c>
      <c r="J77" s="18">
        <v>64488</v>
      </c>
      <c r="K77" s="18">
        <v>67720</v>
      </c>
      <c r="L77" s="101">
        <f t="shared" ref="L77:L81" si="21">(K77-B77)/B77</f>
        <v>2.2164909280896743</v>
      </c>
      <c r="M77" s="101">
        <f t="shared" ref="M77:M81" si="22">(K77-J77)/J77</f>
        <v>5.0117851383203078E-2</v>
      </c>
      <c r="N77" s="14">
        <f t="shared" ref="N77:N81" si="23">K77/K$9</f>
        <v>0.33429593977539185</v>
      </c>
    </row>
    <row r="78" spans="1:14">
      <c r="A78" s="4" t="s">
        <v>278</v>
      </c>
      <c r="B78" s="4">
        <v>3</v>
      </c>
      <c r="C78" s="4">
        <v>43</v>
      </c>
      <c r="D78" s="4">
        <v>95</v>
      </c>
      <c r="E78" s="4">
        <v>914</v>
      </c>
      <c r="F78" s="18">
        <v>391</v>
      </c>
      <c r="G78" s="18">
        <v>612</v>
      </c>
      <c r="H78" s="18">
        <v>716</v>
      </c>
      <c r="I78" s="18">
        <v>1420</v>
      </c>
      <c r="J78" s="18">
        <v>1596</v>
      </c>
      <c r="K78" s="18">
        <v>1967</v>
      </c>
      <c r="L78" s="101">
        <f t="shared" si="21"/>
        <v>654.66666666666663</v>
      </c>
      <c r="M78" s="101">
        <f t="shared" si="22"/>
        <v>0.23245614035087719</v>
      </c>
      <c r="N78" s="14">
        <f t="shared" si="23"/>
        <v>9.7099839565592989E-3</v>
      </c>
    </row>
    <row r="79" spans="1:14">
      <c r="A79" s="4" t="s">
        <v>279</v>
      </c>
      <c r="B79" s="4">
        <v>664</v>
      </c>
      <c r="C79" s="4">
        <v>722</v>
      </c>
      <c r="D79" s="4">
        <v>709</v>
      </c>
      <c r="E79" s="4">
        <v>731</v>
      </c>
      <c r="F79" s="18">
        <v>992</v>
      </c>
      <c r="G79" s="18">
        <v>1724</v>
      </c>
      <c r="H79" s="18">
        <v>1721</v>
      </c>
      <c r="I79" s="18">
        <v>3211</v>
      </c>
      <c r="J79" s="18">
        <v>3767</v>
      </c>
      <c r="K79" s="18">
        <v>3514</v>
      </c>
      <c r="L79" s="101">
        <f t="shared" si="21"/>
        <v>4.2921686746987948</v>
      </c>
      <c r="M79" s="101">
        <f t="shared" si="22"/>
        <v>-6.7162198035572079E-2</v>
      </c>
      <c r="N79" s="14">
        <f t="shared" si="23"/>
        <v>1.7346661730223374E-2</v>
      </c>
    </row>
    <row r="80" spans="1:14">
      <c r="A80" s="4" t="s">
        <v>45</v>
      </c>
      <c r="B80" s="4">
        <v>741</v>
      </c>
      <c r="C80" s="4">
        <v>1161</v>
      </c>
      <c r="D80" s="4">
        <v>981</v>
      </c>
      <c r="E80" s="4">
        <v>1085</v>
      </c>
      <c r="F80" s="18">
        <v>642</v>
      </c>
      <c r="G80" s="18">
        <v>1124</v>
      </c>
      <c r="H80" s="18">
        <v>2034</v>
      </c>
      <c r="I80" s="18">
        <v>2942</v>
      </c>
      <c r="J80" s="18">
        <v>2532</v>
      </c>
      <c r="K80" s="18">
        <v>2197</v>
      </c>
      <c r="L80" s="101">
        <f t="shared" si="21"/>
        <v>1.9649122807017543</v>
      </c>
      <c r="M80" s="101">
        <f t="shared" si="22"/>
        <v>-0.13230647709320695</v>
      </c>
      <c r="N80" s="14">
        <f t="shared" si="23"/>
        <v>1.0845365913859064E-2</v>
      </c>
    </row>
    <row r="81" spans="1:14">
      <c r="A81" s="5" t="s">
        <v>4</v>
      </c>
      <c r="B81" s="5">
        <v>97760</v>
      </c>
      <c r="C81" s="5">
        <v>108829</v>
      </c>
      <c r="D81" s="5">
        <v>102025</v>
      </c>
      <c r="E81" s="5">
        <v>120137</v>
      </c>
      <c r="F81" s="5">
        <v>135180</v>
      </c>
      <c r="G81" s="5">
        <v>156814</v>
      </c>
      <c r="H81" s="5">
        <v>170608</v>
      </c>
      <c r="I81" s="5">
        <v>187514</v>
      </c>
      <c r="J81" s="5">
        <v>195838</v>
      </c>
      <c r="K81" s="5">
        <v>202575</v>
      </c>
      <c r="L81" s="83">
        <f t="shared" si="21"/>
        <v>1.0721665302782324</v>
      </c>
      <c r="M81" s="83">
        <f t="shared" si="22"/>
        <v>3.4400882361952226E-2</v>
      </c>
      <c r="N81" s="16">
        <f t="shared" si="23"/>
        <v>1</v>
      </c>
    </row>
    <row r="82" spans="1:14">
      <c r="A82" s="76"/>
      <c r="B82" s="76"/>
      <c r="C82" s="76"/>
      <c r="D82" s="76"/>
      <c r="E82" s="76"/>
      <c r="F82" s="40"/>
      <c r="G82" s="40"/>
      <c r="H82" s="40"/>
      <c r="I82" s="40"/>
      <c r="J82" s="40"/>
      <c r="K82" s="40"/>
      <c r="L82" s="40"/>
      <c r="M82" s="40"/>
      <c r="N82" s="40"/>
    </row>
    <row r="83" spans="1:14" ht="15">
      <c r="A83" s="41" t="s">
        <v>52</v>
      </c>
      <c r="B83" s="41"/>
      <c r="C83" s="41"/>
      <c r="D83" s="41"/>
      <c r="E83" s="41"/>
      <c r="F83" s="40"/>
      <c r="G83" s="40"/>
      <c r="H83" s="40"/>
      <c r="I83" s="40"/>
      <c r="J83" s="40"/>
      <c r="K83" s="40"/>
      <c r="L83" s="40"/>
      <c r="M83" s="40"/>
      <c r="N83" s="40"/>
    </row>
    <row r="84" spans="1:14" ht="28">
      <c r="A84" s="88" t="s">
        <v>10</v>
      </c>
      <c r="B84" s="3">
        <v>2008</v>
      </c>
      <c r="C84" s="3">
        <v>2009</v>
      </c>
      <c r="D84" s="3">
        <v>2010</v>
      </c>
      <c r="E84" s="3">
        <v>2011</v>
      </c>
      <c r="F84" s="3">
        <v>2012</v>
      </c>
      <c r="G84" s="3">
        <v>2013</v>
      </c>
      <c r="H84" s="3">
        <v>2014</v>
      </c>
      <c r="I84" s="3">
        <v>2015</v>
      </c>
      <c r="J84" s="3">
        <v>2016</v>
      </c>
      <c r="K84" s="3">
        <v>2017</v>
      </c>
      <c r="L84" s="13" t="s">
        <v>369</v>
      </c>
      <c r="M84" s="13" t="s">
        <v>368</v>
      </c>
      <c r="N84" s="13" t="s">
        <v>367</v>
      </c>
    </row>
    <row r="85" spans="1:14">
      <c r="A85" s="4" t="s">
        <v>11</v>
      </c>
      <c r="B85" s="4">
        <v>15683</v>
      </c>
      <c r="C85" s="4">
        <v>18104</v>
      </c>
      <c r="D85" s="4">
        <v>17925</v>
      </c>
      <c r="E85" s="4">
        <v>22276</v>
      </c>
      <c r="F85" s="18">
        <v>25677</v>
      </c>
      <c r="G85" s="18">
        <v>30112</v>
      </c>
      <c r="H85" s="18">
        <v>33716</v>
      </c>
      <c r="I85" s="18">
        <v>37226</v>
      </c>
      <c r="J85" s="18">
        <v>41449</v>
      </c>
      <c r="K85" s="18">
        <v>43311</v>
      </c>
      <c r="L85" s="101">
        <f t="shared" ref="L85:L95" si="24">(K85-B85)/B85</f>
        <v>1.761652745010521</v>
      </c>
      <c r="M85" s="101">
        <f t="shared" ref="M85:M95" si="25">(K85-J85)/J85</f>
        <v>4.4922676059736058E-2</v>
      </c>
      <c r="N85" s="14">
        <f t="shared" ref="N85:N95" si="26">K85/K$9</f>
        <v>0.21380229544613105</v>
      </c>
    </row>
    <row r="86" spans="1:14">
      <c r="A86" s="4" t="s">
        <v>12</v>
      </c>
      <c r="B86" s="4">
        <v>3343</v>
      </c>
      <c r="C86" s="4">
        <v>3241</v>
      </c>
      <c r="D86" s="4">
        <v>3017</v>
      </c>
      <c r="E86" s="4">
        <v>3259</v>
      </c>
      <c r="F86" s="18">
        <v>3535</v>
      </c>
      <c r="G86" s="18">
        <v>3714</v>
      </c>
      <c r="H86" s="18">
        <v>4007</v>
      </c>
      <c r="I86" s="18">
        <v>4029</v>
      </c>
      <c r="J86" s="18">
        <v>3997</v>
      </c>
      <c r="K86" s="18">
        <v>3877</v>
      </c>
      <c r="L86" s="101">
        <f t="shared" si="24"/>
        <v>0.15973676338618006</v>
      </c>
      <c r="M86" s="101">
        <f t="shared" si="25"/>
        <v>-3.0022516887665749E-2</v>
      </c>
      <c r="N86" s="14">
        <f t="shared" si="26"/>
        <v>1.9138590645439959E-2</v>
      </c>
    </row>
    <row r="87" spans="1:14">
      <c r="A87" s="4" t="s">
        <v>13</v>
      </c>
      <c r="B87" s="4">
        <v>5037</v>
      </c>
      <c r="C87" s="4">
        <v>5800</v>
      </c>
      <c r="D87" s="4">
        <v>5234</v>
      </c>
      <c r="E87" s="4">
        <v>6012</v>
      </c>
      <c r="F87" s="18">
        <v>6416</v>
      </c>
      <c r="G87" s="18">
        <v>7495</v>
      </c>
      <c r="H87" s="18">
        <v>7242</v>
      </c>
      <c r="I87" s="18">
        <v>7344</v>
      </c>
      <c r="J87" s="18">
        <v>6749</v>
      </c>
      <c r="K87" s="18">
        <v>7267</v>
      </c>
      <c r="L87" s="101">
        <f t="shared" si="24"/>
        <v>0.44272384355767319</v>
      </c>
      <c r="M87" s="101">
        <f t="shared" si="25"/>
        <v>7.6752111423914651E-2</v>
      </c>
      <c r="N87" s="14">
        <f t="shared" si="26"/>
        <v>3.5873133407379985E-2</v>
      </c>
    </row>
    <row r="88" spans="1:14">
      <c r="A88" s="4" t="s">
        <v>14</v>
      </c>
      <c r="B88" s="4">
        <v>1154</v>
      </c>
      <c r="C88" s="4">
        <v>1134</v>
      </c>
      <c r="D88" s="4">
        <v>1125</v>
      </c>
      <c r="E88" s="4">
        <v>1231</v>
      </c>
      <c r="F88" s="18">
        <v>1400</v>
      </c>
      <c r="G88" s="18">
        <v>1312</v>
      </c>
      <c r="H88" s="18">
        <v>1449</v>
      </c>
      <c r="I88" s="18">
        <v>1666</v>
      </c>
      <c r="J88" s="18">
        <v>1586</v>
      </c>
      <c r="K88" s="18">
        <v>1662</v>
      </c>
      <c r="L88" s="101">
        <f t="shared" si="24"/>
        <v>0.44020797227036396</v>
      </c>
      <c r="M88" s="101">
        <f t="shared" si="25"/>
        <v>4.7919293820933163E-2</v>
      </c>
      <c r="N88" s="14">
        <f t="shared" si="26"/>
        <v>8.2043687523139577E-3</v>
      </c>
    </row>
    <row r="89" spans="1:14">
      <c r="A89" s="4" t="s">
        <v>15</v>
      </c>
      <c r="B89" s="4">
        <v>10403</v>
      </c>
      <c r="C89" s="4">
        <v>11175</v>
      </c>
      <c r="D89" s="4">
        <v>9841</v>
      </c>
      <c r="E89" s="4">
        <v>11724</v>
      </c>
      <c r="F89" s="18">
        <v>13011</v>
      </c>
      <c r="G89" s="18">
        <v>14475</v>
      </c>
      <c r="H89" s="18">
        <v>15635</v>
      </c>
      <c r="I89" s="18">
        <v>16654</v>
      </c>
      <c r="J89" s="18">
        <v>16712</v>
      </c>
      <c r="K89" s="18">
        <v>17756</v>
      </c>
      <c r="L89" s="101">
        <f t="shared" si="24"/>
        <v>0.70681534172834759</v>
      </c>
      <c r="M89" s="101">
        <f t="shared" si="25"/>
        <v>6.2470081378650073E-2</v>
      </c>
      <c r="N89" s="14">
        <f t="shared" si="26"/>
        <v>8.7651487103541897E-2</v>
      </c>
    </row>
    <row r="90" spans="1:14">
      <c r="A90" s="4" t="s">
        <v>16</v>
      </c>
      <c r="B90" s="4">
        <v>5617</v>
      </c>
      <c r="C90" s="4">
        <v>5847</v>
      </c>
      <c r="D90" s="4">
        <v>4499</v>
      </c>
      <c r="E90" s="4">
        <v>4583</v>
      </c>
      <c r="F90" s="18">
        <v>4286</v>
      </c>
      <c r="G90" s="18">
        <v>4184</v>
      </c>
      <c r="H90" s="18">
        <v>4413</v>
      </c>
      <c r="I90" s="18">
        <v>4303</v>
      </c>
      <c r="J90" s="18">
        <v>4473</v>
      </c>
      <c r="K90" s="18">
        <v>4909</v>
      </c>
      <c r="L90" s="101">
        <f t="shared" si="24"/>
        <v>-0.12604593199216663</v>
      </c>
      <c r="M90" s="101">
        <f t="shared" si="25"/>
        <v>9.7473731276548181E-2</v>
      </c>
      <c r="N90" s="14">
        <f t="shared" si="26"/>
        <v>2.4233000123411081E-2</v>
      </c>
    </row>
    <row r="91" spans="1:14">
      <c r="A91" s="4" t="s">
        <v>17</v>
      </c>
      <c r="B91" s="4">
        <v>17990</v>
      </c>
      <c r="C91" s="4">
        <v>20860</v>
      </c>
      <c r="D91" s="4">
        <v>19855</v>
      </c>
      <c r="E91" s="4">
        <v>20874</v>
      </c>
      <c r="F91" s="18">
        <v>22359</v>
      </c>
      <c r="G91" s="18">
        <v>25926</v>
      </c>
      <c r="H91" s="18">
        <v>26340</v>
      </c>
      <c r="I91" s="18">
        <v>27779</v>
      </c>
      <c r="J91" s="18">
        <v>28124</v>
      </c>
      <c r="K91" s="18">
        <v>29567</v>
      </c>
      <c r="L91" s="101">
        <f t="shared" si="24"/>
        <v>0.64352418010005563</v>
      </c>
      <c r="M91" s="101">
        <f t="shared" si="25"/>
        <v>5.1308490968567773E-2</v>
      </c>
      <c r="N91" s="14">
        <f t="shared" si="26"/>
        <v>0.14595581883253117</v>
      </c>
    </row>
    <row r="92" spans="1:14">
      <c r="A92" s="4" t="s">
        <v>18</v>
      </c>
      <c r="B92" s="4">
        <v>990</v>
      </c>
      <c r="C92" s="4">
        <v>1067</v>
      </c>
      <c r="D92" s="4">
        <v>1021</v>
      </c>
      <c r="E92" s="4">
        <v>1129</v>
      </c>
      <c r="F92" s="18">
        <v>1181</v>
      </c>
      <c r="G92" s="18">
        <v>1092</v>
      </c>
      <c r="H92" s="18">
        <v>1184</v>
      </c>
      <c r="I92" s="18">
        <v>1347</v>
      </c>
      <c r="J92" s="18">
        <v>1185</v>
      </c>
      <c r="K92" s="18">
        <v>1320</v>
      </c>
      <c r="L92" s="101">
        <f t="shared" si="24"/>
        <v>0.33333333333333331</v>
      </c>
      <c r="M92" s="101">
        <f t="shared" si="25"/>
        <v>0.11392405063291139</v>
      </c>
      <c r="N92" s="14">
        <f t="shared" si="26"/>
        <v>6.5161051462421325E-3</v>
      </c>
    </row>
    <row r="93" spans="1:14">
      <c r="A93" s="4" t="s">
        <v>19</v>
      </c>
      <c r="B93" s="4">
        <v>16739</v>
      </c>
      <c r="C93" s="4">
        <v>16794</v>
      </c>
      <c r="D93" s="4">
        <v>15999</v>
      </c>
      <c r="E93" s="4">
        <v>21917</v>
      </c>
      <c r="F93" s="18">
        <v>25973</v>
      </c>
      <c r="G93" s="18">
        <v>30199</v>
      </c>
      <c r="H93" s="18">
        <v>32372</v>
      </c>
      <c r="I93" s="18">
        <v>34697</v>
      </c>
      <c r="J93" s="18">
        <v>36155</v>
      </c>
      <c r="K93" s="18">
        <v>36037</v>
      </c>
      <c r="L93" s="101">
        <f t="shared" si="24"/>
        <v>1.1528765159209033</v>
      </c>
      <c r="M93" s="101">
        <f t="shared" si="25"/>
        <v>-3.2637256257779007E-3</v>
      </c>
      <c r="N93" s="14">
        <f t="shared" si="26"/>
        <v>0.17789460693570283</v>
      </c>
    </row>
    <row r="94" spans="1:14">
      <c r="A94" s="4" t="s">
        <v>20</v>
      </c>
      <c r="B94" s="4">
        <v>20804</v>
      </c>
      <c r="C94" s="4">
        <v>24807</v>
      </c>
      <c r="D94" s="4">
        <v>23509</v>
      </c>
      <c r="E94" s="4">
        <v>27132</v>
      </c>
      <c r="F94" s="18">
        <v>31342</v>
      </c>
      <c r="G94" s="18">
        <v>38305</v>
      </c>
      <c r="H94" s="18">
        <v>44250</v>
      </c>
      <c r="I94" s="18">
        <v>52469</v>
      </c>
      <c r="J94" s="18">
        <v>55408</v>
      </c>
      <c r="K94" s="18">
        <v>56869</v>
      </c>
      <c r="L94" s="101">
        <f t="shared" si="24"/>
        <v>1.7335608536819842</v>
      </c>
      <c r="M94" s="101">
        <f t="shared" si="25"/>
        <v>2.6368033496967948E-2</v>
      </c>
      <c r="N94" s="14">
        <f t="shared" si="26"/>
        <v>0.28073059360730596</v>
      </c>
    </row>
    <row r="95" spans="1:14">
      <c r="A95" s="5" t="s">
        <v>4</v>
      </c>
      <c r="B95" s="5">
        <f>SUM(B85:B94)</f>
        <v>97760</v>
      </c>
      <c r="C95" s="5">
        <f t="shared" ref="C95:K95" si="27">SUM(C85:C94)</f>
        <v>108829</v>
      </c>
      <c r="D95" s="5">
        <f t="shared" si="27"/>
        <v>102025</v>
      </c>
      <c r="E95" s="5">
        <f t="shared" si="27"/>
        <v>120137</v>
      </c>
      <c r="F95" s="5">
        <f t="shared" si="27"/>
        <v>135180</v>
      </c>
      <c r="G95" s="5">
        <f t="shared" si="27"/>
        <v>156814</v>
      </c>
      <c r="H95" s="5">
        <f t="shared" si="27"/>
        <v>170608</v>
      </c>
      <c r="I95" s="5">
        <f t="shared" si="27"/>
        <v>187514</v>
      </c>
      <c r="J95" s="5">
        <f t="shared" si="27"/>
        <v>195838</v>
      </c>
      <c r="K95" s="5">
        <f t="shared" si="27"/>
        <v>202575</v>
      </c>
      <c r="L95" s="83">
        <f t="shared" si="24"/>
        <v>1.0721665302782324</v>
      </c>
      <c r="M95" s="83">
        <f t="shared" si="25"/>
        <v>3.4400882361952226E-2</v>
      </c>
      <c r="N95" s="16">
        <f t="shared" si="26"/>
        <v>1</v>
      </c>
    </row>
    <row r="96" spans="1:14">
      <c r="A96" s="76"/>
      <c r="B96" s="76"/>
      <c r="C96" s="76"/>
      <c r="D96" s="76"/>
      <c r="E96" s="76"/>
      <c r="F96" s="40"/>
      <c r="G96" s="40"/>
      <c r="H96" s="40"/>
      <c r="I96" s="40"/>
      <c r="J96" s="40"/>
      <c r="K96" s="40"/>
      <c r="L96" s="40"/>
      <c r="M96" s="40"/>
      <c r="N96" s="40"/>
    </row>
    <row r="97" spans="1:14" ht="15">
      <c r="A97" s="41" t="s">
        <v>280</v>
      </c>
      <c r="B97" s="41"/>
      <c r="C97" s="41"/>
      <c r="D97" s="41"/>
      <c r="E97" s="41"/>
      <c r="F97" s="40"/>
      <c r="G97" s="40"/>
      <c r="H97" s="40"/>
      <c r="I97" s="40"/>
      <c r="J97" s="40"/>
      <c r="K97" s="40"/>
      <c r="L97" s="40"/>
      <c r="M97" s="40"/>
      <c r="N97" s="40"/>
    </row>
    <row r="98" spans="1:14" ht="28">
      <c r="A98" s="88" t="s">
        <v>53</v>
      </c>
      <c r="B98" s="3">
        <v>2008</v>
      </c>
      <c r="C98" s="3">
        <v>2009</v>
      </c>
      <c r="D98" s="3">
        <v>2010</v>
      </c>
      <c r="E98" s="3">
        <v>2011</v>
      </c>
      <c r="F98" s="3">
        <v>2012</v>
      </c>
      <c r="G98" s="3">
        <v>2013</v>
      </c>
      <c r="H98" s="3">
        <v>2014</v>
      </c>
      <c r="I98" s="3">
        <v>2015</v>
      </c>
      <c r="J98" s="3">
        <v>2016</v>
      </c>
      <c r="K98" s="3">
        <v>2017</v>
      </c>
      <c r="L98" s="13" t="s">
        <v>369</v>
      </c>
      <c r="M98" s="13" t="s">
        <v>368</v>
      </c>
      <c r="N98" s="40"/>
    </row>
    <row r="99" spans="1:14">
      <c r="A99" s="4" t="s">
        <v>54</v>
      </c>
      <c r="B99" s="4">
        <v>4809</v>
      </c>
      <c r="C99" s="4">
        <v>3905</v>
      </c>
      <c r="D99" s="4">
        <v>2278</v>
      </c>
      <c r="E99" s="4">
        <v>5281</v>
      </c>
      <c r="F99" s="4">
        <v>6492</v>
      </c>
      <c r="G99" s="4">
        <v>6791</v>
      </c>
      <c r="H99" s="4">
        <v>6114</v>
      </c>
      <c r="I99" s="4">
        <v>5947</v>
      </c>
      <c r="J99" s="4">
        <v>5847</v>
      </c>
      <c r="K99" s="4">
        <v>4614</v>
      </c>
      <c r="L99" s="101">
        <f t="shared" ref="L99:L118" si="28">(K99-B99)/B99</f>
        <v>-4.0548970679975045E-2</v>
      </c>
      <c r="M99" s="101">
        <f t="shared" ref="M99:M118" si="29">(K99-J99)/J99</f>
        <v>-0.21087737301180093</v>
      </c>
      <c r="N99" s="40"/>
    </row>
    <row r="100" spans="1:14">
      <c r="A100" s="4" t="s">
        <v>56</v>
      </c>
      <c r="B100" s="4">
        <v>765</v>
      </c>
      <c r="C100" s="4">
        <v>814</v>
      </c>
      <c r="D100" s="4">
        <v>968</v>
      </c>
      <c r="E100" s="4">
        <v>1462</v>
      </c>
      <c r="F100" s="4">
        <v>1595</v>
      </c>
      <c r="G100" s="4">
        <v>1924</v>
      </c>
      <c r="H100" s="4">
        <v>1809</v>
      </c>
      <c r="I100" s="4">
        <v>2321</v>
      </c>
      <c r="J100" s="4">
        <v>3746</v>
      </c>
      <c r="K100" s="4">
        <v>3174</v>
      </c>
      <c r="L100" s="101">
        <f t="shared" si="28"/>
        <v>3.1490196078431372</v>
      </c>
      <c r="M100" s="101">
        <f t="shared" si="29"/>
        <v>-0.15269620928990923</v>
      </c>
      <c r="N100" s="40"/>
    </row>
    <row r="101" spans="1:14">
      <c r="A101" s="4" t="s">
        <v>55</v>
      </c>
      <c r="B101" s="4">
        <v>661</v>
      </c>
      <c r="C101" s="4">
        <v>715</v>
      </c>
      <c r="D101" s="4">
        <v>659</v>
      </c>
      <c r="E101" s="4">
        <v>1048</v>
      </c>
      <c r="F101" s="4">
        <v>1502</v>
      </c>
      <c r="G101" s="4">
        <v>2007</v>
      </c>
      <c r="H101" s="4">
        <v>2297</v>
      </c>
      <c r="I101" s="4">
        <v>3620</v>
      </c>
      <c r="J101" s="4">
        <v>3633</v>
      </c>
      <c r="K101" s="4">
        <v>2834</v>
      </c>
      <c r="L101" s="101">
        <f t="shared" si="28"/>
        <v>3.287443267776097</v>
      </c>
      <c r="M101" s="101">
        <f t="shared" si="29"/>
        <v>-0.21992843380126617</v>
      </c>
      <c r="N101" s="40"/>
    </row>
    <row r="102" spans="1:14">
      <c r="A102" s="4" t="s">
        <v>58</v>
      </c>
      <c r="B102" s="4">
        <v>1068</v>
      </c>
      <c r="C102" s="4">
        <v>872</v>
      </c>
      <c r="D102" s="4">
        <v>705</v>
      </c>
      <c r="E102" s="4">
        <v>982</v>
      </c>
      <c r="F102" s="4">
        <v>1282</v>
      </c>
      <c r="G102" s="4">
        <v>1454</v>
      </c>
      <c r="H102" s="4">
        <v>1339</v>
      </c>
      <c r="I102" s="4">
        <v>1349</v>
      </c>
      <c r="J102" s="4">
        <v>1598</v>
      </c>
      <c r="K102" s="4">
        <v>2128</v>
      </c>
      <c r="L102" s="101">
        <f t="shared" si="28"/>
        <v>0.99250936329588013</v>
      </c>
      <c r="M102" s="101">
        <f t="shared" si="29"/>
        <v>0.33166458072590738</v>
      </c>
      <c r="N102" s="40"/>
    </row>
    <row r="103" spans="1:14">
      <c r="A103" s="4" t="s">
        <v>59</v>
      </c>
      <c r="B103" s="4">
        <v>709</v>
      </c>
      <c r="C103" s="4">
        <v>688</v>
      </c>
      <c r="D103" s="4">
        <v>696</v>
      </c>
      <c r="E103" s="4">
        <v>908</v>
      </c>
      <c r="F103" s="4">
        <v>1071</v>
      </c>
      <c r="G103" s="4">
        <v>1147</v>
      </c>
      <c r="H103" s="4">
        <v>1404</v>
      </c>
      <c r="I103" s="4">
        <v>1753</v>
      </c>
      <c r="J103" s="4">
        <v>1909</v>
      </c>
      <c r="K103" s="4">
        <v>1958</v>
      </c>
      <c r="L103" s="101">
        <f t="shared" si="28"/>
        <v>1.7616361071932298</v>
      </c>
      <c r="M103" s="101">
        <f t="shared" si="29"/>
        <v>2.566788894709272E-2</v>
      </c>
      <c r="N103" s="40"/>
    </row>
    <row r="104" spans="1:14">
      <c r="A104" s="4" t="s">
        <v>57</v>
      </c>
      <c r="B104" s="4">
        <v>356</v>
      </c>
      <c r="C104" s="4">
        <v>342</v>
      </c>
      <c r="D104" s="4">
        <v>401</v>
      </c>
      <c r="E104" s="4">
        <v>830</v>
      </c>
      <c r="F104" s="4">
        <v>1140</v>
      </c>
      <c r="G104" s="4">
        <v>1684</v>
      </c>
      <c r="H104" s="4">
        <v>1709</v>
      </c>
      <c r="I104" s="4">
        <v>1734</v>
      </c>
      <c r="J104" s="4">
        <v>1911</v>
      </c>
      <c r="K104" s="4">
        <v>1943</v>
      </c>
      <c r="L104" s="101">
        <f t="shared" si="28"/>
        <v>4.4578651685393256</v>
      </c>
      <c r="M104" s="101">
        <f t="shared" si="29"/>
        <v>1.674515960230246E-2</v>
      </c>
      <c r="N104" s="40"/>
    </row>
    <row r="105" spans="1:14">
      <c r="A105" s="4" t="s">
        <v>62</v>
      </c>
      <c r="B105" s="4">
        <v>229</v>
      </c>
      <c r="C105" s="4">
        <v>312</v>
      </c>
      <c r="D105" s="4">
        <v>359</v>
      </c>
      <c r="E105" s="4">
        <v>537</v>
      </c>
      <c r="F105" s="4">
        <v>450</v>
      </c>
      <c r="G105" s="4">
        <v>598</v>
      </c>
      <c r="H105" s="4">
        <v>725</v>
      </c>
      <c r="I105" s="4">
        <v>793</v>
      </c>
      <c r="J105" s="4">
        <v>1180</v>
      </c>
      <c r="K105" s="4">
        <v>1403</v>
      </c>
      <c r="L105" s="101">
        <f t="shared" si="28"/>
        <v>5.1266375545851526</v>
      </c>
      <c r="M105" s="101">
        <f t="shared" si="29"/>
        <v>0.18898305084745762</v>
      </c>
      <c r="N105" s="40"/>
    </row>
    <row r="106" spans="1:14">
      <c r="A106" s="4" t="s">
        <v>61</v>
      </c>
      <c r="B106" s="4">
        <v>685</v>
      </c>
      <c r="C106" s="4">
        <v>376</v>
      </c>
      <c r="D106" s="4">
        <v>24</v>
      </c>
      <c r="E106" s="4">
        <v>495</v>
      </c>
      <c r="F106" s="4">
        <v>577</v>
      </c>
      <c r="G106" s="4">
        <v>688</v>
      </c>
      <c r="H106" s="4">
        <v>802</v>
      </c>
      <c r="I106" s="4">
        <v>811</v>
      </c>
      <c r="J106" s="4">
        <v>829</v>
      </c>
      <c r="K106" s="4">
        <v>899</v>
      </c>
      <c r="L106" s="101">
        <f t="shared" si="28"/>
        <v>0.31240875912408761</v>
      </c>
      <c r="M106" s="101">
        <f t="shared" si="29"/>
        <v>8.4439083232810616E-2</v>
      </c>
      <c r="N106" s="40"/>
    </row>
    <row r="107" spans="1:14">
      <c r="A107" s="4" t="s">
        <v>64</v>
      </c>
      <c r="B107" s="4">
        <v>233</v>
      </c>
      <c r="C107" s="4">
        <v>218</v>
      </c>
      <c r="D107" s="4">
        <v>279</v>
      </c>
      <c r="E107" s="4">
        <v>407</v>
      </c>
      <c r="F107" s="4">
        <v>403</v>
      </c>
      <c r="G107" s="4">
        <v>465</v>
      </c>
      <c r="H107" s="4">
        <v>594</v>
      </c>
      <c r="I107" s="4">
        <v>598</v>
      </c>
      <c r="J107" s="4">
        <v>816</v>
      </c>
      <c r="K107" s="4">
        <v>827</v>
      </c>
      <c r="L107" s="101">
        <f t="shared" si="28"/>
        <v>2.5493562231759657</v>
      </c>
      <c r="M107" s="101">
        <f t="shared" si="29"/>
        <v>1.3480392156862746E-2</v>
      </c>
      <c r="N107" s="40"/>
    </row>
    <row r="108" spans="1:14">
      <c r="A108" s="4" t="s">
        <v>60</v>
      </c>
      <c r="B108" s="4">
        <v>455</v>
      </c>
      <c r="C108" s="4">
        <v>537</v>
      </c>
      <c r="D108" s="4">
        <v>732</v>
      </c>
      <c r="E108" s="4">
        <v>655</v>
      </c>
      <c r="F108" s="4">
        <v>713</v>
      </c>
      <c r="G108" s="4">
        <v>798</v>
      </c>
      <c r="H108" s="4">
        <v>782</v>
      </c>
      <c r="I108" s="4">
        <v>782</v>
      </c>
      <c r="J108" s="4">
        <v>807</v>
      </c>
      <c r="K108" s="4">
        <v>774</v>
      </c>
      <c r="L108" s="101">
        <f t="shared" si="28"/>
        <v>0.70109890109890105</v>
      </c>
      <c r="M108" s="101">
        <f t="shared" si="29"/>
        <v>-4.0892193308550186E-2</v>
      </c>
      <c r="N108" s="40"/>
    </row>
    <row r="109" spans="1:14">
      <c r="A109" s="4" t="s">
        <v>67</v>
      </c>
      <c r="B109" s="4">
        <v>240</v>
      </c>
      <c r="C109" s="4">
        <v>206</v>
      </c>
      <c r="D109" s="4">
        <v>211</v>
      </c>
      <c r="E109" s="4">
        <v>406</v>
      </c>
      <c r="F109" s="4">
        <v>371</v>
      </c>
      <c r="G109" s="4">
        <v>477</v>
      </c>
      <c r="H109" s="4">
        <v>516</v>
      </c>
      <c r="I109" s="4">
        <v>608</v>
      </c>
      <c r="J109" s="4">
        <v>699</v>
      </c>
      <c r="K109" s="4">
        <v>739</v>
      </c>
      <c r="L109" s="101">
        <f t="shared" si="28"/>
        <v>2.0791666666666666</v>
      </c>
      <c r="M109" s="101">
        <f t="shared" si="29"/>
        <v>5.7224606580829757E-2</v>
      </c>
      <c r="N109" s="40"/>
    </row>
    <row r="110" spans="1:14">
      <c r="A110" s="4" t="s">
        <v>66</v>
      </c>
      <c r="B110" s="4">
        <v>541</v>
      </c>
      <c r="C110" s="4">
        <v>345</v>
      </c>
      <c r="D110" s="4">
        <v>166</v>
      </c>
      <c r="E110" s="4">
        <v>408</v>
      </c>
      <c r="F110" s="4">
        <v>487</v>
      </c>
      <c r="G110" s="4">
        <v>523</v>
      </c>
      <c r="H110" s="4">
        <v>513</v>
      </c>
      <c r="I110" s="4">
        <v>609</v>
      </c>
      <c r="J110" s="4">
        <v>724</v>
      </c>
      <c r="K110" s="4">
        <v>678</v>
      </c>
      <c r="L110" s="101">
        <f t="shared" si="28"/>
        <v>0.25323475046210719</v>
      </c>
      <c r="M110" s="101">
        <f t="shared" si="29"/>
        <v>-6.3535911602209949E-2</v>
      </c>
      <c r="N110" s="40"/>
    </row>
    <row r="111" spans="1:14">
      <c r="A111" s="4" t="s">
        <v>63</v>
      </c>
      <c r="B111" s="4">
        <v>257</v>
      </c>
      <c r="C111" s="4">
        <v>231</v>
      </c>
      <c r="D111" s="4">
        <v>216</v>
      </c>
      <c r="E111" s="4">
        <v>762</v>
      </c>
      <c r="F111" s="4">
        <v>701</v>
      </c>
      <c r="G111" s="4">
        <v>717</v>
      </c>
      <c r="H111" s="4">
        <v>662</v>
      </c>
      <c r="I111" s="4">
        <v>608</v>
      </c>
      <c r="J111" s="4">
        <v>643</v>
      </c>
      <c r="K111" s="4">
        <v>642</v>
      </c>
      <c r="L111" s="101">
        <f t="shared" si="28"/>
        <v>1.4980544747081712</v>
      </c>
      <c r="M111" s="101">
        <f t="shared" si="29"/>
        <v>-1.5552099533437014E-3</v>
      </c>
      <c r="N111" s="40"/>
    </row>
    <row r="112" spans="1:14">
      <c r="A112" s="4" t="s">
        <v>68</v>
      </c>
      <c r="B112" s="4">
        <v>24</v>
      </c>
      <c r="C112" s="4">
        <v>10</v>
      </c>
      <c r="D112" s="4">
        <v>86</v>
      </c>
      <c r="E112" s="4">
        <v>166</v>
      </c>
      <c r="F112" s="4">
        <v>217</v>
      </c>
      <c r="G112" s="4">
        <v>338</v>
      </c>
      <c r="H112" s="4">
        <v>373</v>
      </c>
      <c r="I112" s="4">
        <v>527</v>
      </c>
      <c r="J112" s="4">
        <v>604</v>
      </c>
      <c r="K112" s="4">
        <v>622</v>
      </c>
      <c r="L112" s="101">
        <f t="shared" si="28"/>
        <v>24.916666666666668</v>
      </c>
      <c r="M112" s="101">
        <f t="shared" si="29"/>
        <v>2.9801324503311258E-2</v>
      </c>
      <c r="N112" s="40"/>
    </row>
    <row r="113" spans="1:14">
      <c r="A113" s="4" t="s">
        <v>70</v>
      </c>
      <c r="B113" s="4">
        <v>172</v>
      </c>
      <c r="C113" s="4">
        <v>208</v>
      </c>
      <c r="D113" s="4">
        <v>227</v>
      </c>
      <c r="E113" s="4">
        <v>352</v>
      </c>
      <c r="F113" s="4">
        <v>382</v>
      </c>
      <c r="G113" s="4">
        <v>388</v>
      </c>
      <c r="H113" s="4">
        <v>369</v>
      </c>
      <c r="I113" s="4">
        <v>483</v>
      </c>
      <c r="J113" s="4">
        <v>480</v>
      </c>
      <c r="K113" s="4">
        <v>602</v>
      </c>
      <c r="L113" s="101">
        <f t="shared" si="28"/>
        <v>2.5</v>
      </c>
      <c r="M113" s="101">
        <f t="shared" si="29"/>
        <v>0.25416666666666665</v>
      </c>
      <c r="N113" s="40"/>
    </row>
    <row r="114" spans="1:14">
      <c r="A114" s="4" t="s">
        <v>69</v>
      </c>
      <c r="B114" s="4">
        <v>387</v>
      </c>
      <c r="C114" s="4">
        <v>344</v>
      </c>
      <c r="D114" s="4">
        <v>330</v>
      </c>
      <c r="E114" s="4">
        <v>396</v>
      </c>
      <c r="F114" s="4">
        <v>346</v>
      </c>
      <c r="G114" s="4">
        <v>407</v>
      </c>
      <c r="H114" s="4">
        <v>366</v>
      </c>
      <c r="I114" s="4">
        <v>421</v>
      </c>
      <c r="J114" s="4">
        <v>566</v>
      </c>
      <c r="K114" s="4">
        <v>577</v>
      </c>
      <c r="L114" s="101">
        <f t="shared" si="28"/>
        <v>0.49095607235142119</v>
      </c>
      <c r="M114" s="101">
        <f t="shared" si="29"/>
        <v>1.9434628975265017E-2</v>
      </c>
      <c r="N114" s="40"/>
    </row>
    <row r="115" spans="1:14">
      <c r="A115" s="4" t="s">
        <v>65</v>
      </c>
      <c r="B115" s="4">
        <v>298</v>
      </c>
      <c r="C115" s="4">
        <v>282</v>
      </c>
      <c r="D115" s="4">
        <v>148</v>
      </c>
      <c r="E115" s="4">
        <v>362</v>
      </c>
      <c r="F115" s="4">
        <v>518</v>
      </c>
      <c r="G115" s="4">
        <v>580</v>
      </c>
      <c r="H115" s="4">
        <v>537</v>
      </c>
      <c r="I115" s="4">
        <v>556</v>
      </c>
      <c r="J115" s="4">
        <v>582</v>
      </c>
      <c r="K115" s="4">
        <v>541</v>
      </c>
      <c r="L115" s="101">
        <f t="shared" si="28"/>
        <v>0.81543624161073824</v>
      </c>
      <c r="M115" s="101">
        <f t="shared" si="29"/>
        <v>-7.0446735395189003E-2</v>
      </c>
      <c r="N115" s="40"/>
    </row>
    <row r="116" spans="1:14">
      <c r="A116" s="4" t="s">
        <v>281</v>
      </c>
      <c r="B116" s="4">
        <v>217</v>
      </c>
      <c r="C116" s="4">
        <v>201</v>
      </c>
      <c r="D116" s="4">
        <v>264</v>
      </c>
      <c r="E116" s="4">
        <v>314</v>
      </c>
      <c r="F116" s="4">
        <v>353</v>
      </c>
      <c r="G116" s="4">
        <v>345</v>
      </c>
      <c r="H116" s="4">
        <v>399</v>
      </c>
      <c r="I116" s="4">
        <v>510</v>
      </c>
      <c r="J116" s="4">
        <v>458</v>
      </c>
      <c r="K116" s="4">
        <v>524</v>
      </c>
      <c r="L116" s="101">
        <f t="shared" si="28"/>
        <v>1.4147465437788018</v>
      </c>
      <c r="M116" s="101">
        <f t="shared" si="29"/>
        <v>0.14410480349344978</v>
      </c>
      <c r="N116" s="40"/>
    </row>
    <row r="117" spans="1:14">
      <c r="A117" s="4" t="s">
        <v>371</v>
      </c>
      <c r="B117" s="4">
        <v>141</v>
      </c>
      <c r="C117" s="4">
        <v>212</v>
      </c>
      <c r="D117" s="4">
        <v>101</v>
      </c>
      <c r="E117" s="4">
        <v>141</v>
      </c>
      <c r="F117" s="4">
        <v>275</v>
      </c>
      <c r="G117" s="4">
        <v>271</v>
      </c>
      <c r="H117" s="4">
        <v>284</v>
      </c>
      <c r="I117" s="4">
        <v>360</v>
      </c>
      <c r="J117" s="4">
        <v>337</v>
      </c>
      <c r="K117" s="4">
        <v>476</v>
      </c>
      <c r="L117" s="101">
        <f t="shared" si="28"/>
        <v>2.375886524822695</v>
      </c>
      <c r="M117" s="101">
        <f t="shared" si="29"/>
        <v>0.41246290801186941</v>
      </c>
      <c r="N117" s="40"/>
    </row>
    <row r="118" spans="1:14">
      <c r="A118" s="4" t="s">
        <v>80</v>
      </c>
      <c r="B118" s="4">
        <v>77</v>
      </c>
      <c r="C118" s="4">
        <v>99</v>
      </c>
      <c r="D118" s="4">
        <v>84</v>
      </c>
      <c r="E118" s="4">
        <v>113</v>
      </c>
      <c r="F118" s="4">
        <v>102</v>
      </c>
      <c r="G118" s="4">
        <v>133</v>
      </c>
      <c r="H118" s="4">
        <v>193</v>
      </c>
      <c r="I118" s="4">
        <v>246</v>
      </c>
      <c r="J118" s="4">
        <v>317</v>
      </c>
      <c r="K118" s="4">
        <v>457</v>
      </c>
      <c r="L118" s="101">
        <f t="shared" si="28"/>
        <v>4.9350649350649354</v>
      </c>
      <c r="M118" s="101">
        <f t="shared" si="29"/>
        <v>0.44164037854889587</v>
      </c>
      <c r="N118" s="40"/>
    </row>
    <row r="119" spans="1:14">
      <c r="N119" s="40"/>
    </row>
    <row r="120" spans="1:14" ht="15">
      <c r="A120" s="41" t="s">
        <v>71</v>
      </c>
      <c r="B120" s="41"/>
      <c r="C120" s="41"/>
      <c r="D120" s="41"/>
      <c r="E120" s="41"/>
      <c r="F120" s="40"/>
      <c r="G120" s="40"/>
      <c r="H120" s="40"/>
      <c r="I120" s="40"/>
      <c r="J120" s="40"/>
      <c r="K120" s="40"/>
      <c r="L120" s="40"/>
      <c r="M120" s="40"/>
      <c r="N120" s="40"/>
    </row>
    <row r="121" spans="1:14" ht="28">
      <c r="A121" s="88" t="s">
        <v>53</v>
      </c>
      <c r="B121" s="3">
        <v>2008</v>
      </c>
      <c r="C121" s="3">
        <v>2009</v>
      </c>
      <c r="D121" s="3">
        <v>2010</v>
      </c>
      <c r="E121" s="3">
        <v>2011</v>
      </c>
      <c r="F121" s="3">
        <v>2012</v>
      </c>
      <c r="G121" s="3">
        <v>2013</v>
      </c>
      <c r="H121" s="3">
        <v>2014</v>
      </c>
      <c r="I121" s="3">
        <v>2015</v>
      </c>
      <c r="J121" s="3">
        <v>2016</v>
      </c>
      <c r="K121" s="3">
        <v>2017</v>
      </c>
      <c r="L121" s="13" t="s">
        <v>369</v>
      </c>
      <c r="M121" s="13" t="s">
        <v>368</v>
      </c>
      <c r="N121" s="40"/>
    </row>
    <row r="122" spans="1:14">
      <c r="A122" s="4" t="s">
        <v>54</v>
      </c>
      <c r="B122" s="4">
        <v>2391</v>
      </c>
      <c r="C122" s="4">
        <v>3064</v>
      </c>
      <c r="D122" s="4">
        <v>3445</v>
      </c>
      <c r="E122" s="4">
        <v>3751</v>
      </c>
      <c r="F122" s="4">
        <v>4628</v>
      </c>
      <c r="G122" s="4">
        <v>5505</v>
      </c>
      <c r="H122" s="4">
        <v>6139</v>
      </c>
      <c r="I122" s="4">
        <v>6733</v>
      </c>
      <c r="J122" s="4">
        <v>6880</v>
      </c>
      <c r="K122" s="4">
        <v>6657</v>
      </c>
      <c r="L122" s="101">
        <f t="shared" ref="L122:L141" si="30">(K122-B122)/B122</f>
        <v>1.7841907151819323</v>
      </c>
      <c r="M122" s="101">
        <f t="shared" ref="M122:M141" si="31">(K122-J122)/J122</f>
        <v>-3.2412790697674422E-2</v>
      </c>
      <c r="N122" s="40"/>
    </row>
    <row r="123" spans="1:14">
      <c r="A123" s="4" t="s">
        <v>72</v>
      </c>
      <c r="B123" s="4">
        <v>748</v>
      </c>
      <c r="C123" s="4">
        <v>846</v>
      </c>
      <c r="D123" s="4">
        <v>948</v>
      </c>
      <c r="E123" s="4">
        <v>1423</v>
      </c>
      <c r="F123" s="4">
        <v>1865</v>
      </c>
      <c r="G123" s="4">
        <v>2990</v>
      </c>
      <c r="H123" s="4">
        <v>3463</v>
      </c>
      <c r="I123" s="4">
        <v>4465</v>
      </c>
      <c r="J123" s="4">
        <v>5382</v>
      </c>
      <c r="K123" s="4">
        <v>6427</v>
      </c>
      <c r="L123" s="101">
        <f t="shared" si="30"/>
        <v>7.5922459893048124</v>
      </c>
      <c r="M123" s="101">
        <f t="shared" si="31"/>
        <v>0.19416573764399853</v>
      </c>
      <c r="N123" s="40"/>
    </row>
    <row r="124" spans="1:14">
      <c r="A124" s="4" t="s">
        <v>73</v>
      </c>
      <c r="B124" s="4">
        <v>445</v>
      </c>
      <c r="C124" s="4">
        <v>404</v>
      </c>
      <c r="D124" s="4">
        <v>505</v>
      </c>
      <c r="E124" s="4">
        <v>878</v>
      </c>
      <c r="F124" s="4">
        <v>1402</v>
      </c>
      <c r="G124" s="4">
        <v>1618</v>
      </c>
      <c r="H124" s="4">
        <v>2117</v>
      </c>
      <c r="I124" s="4">
        <v>2758</v>
      </c>
      <c r="J124" s="4">
        <v>3032</v>
      </c>
      <c r="K124" s="4">
        <v>4547</v>
      </c>
      <c r="L124" s="101">
        <f t="shared" si="30"/>
        <v>9.2179775280898877</v>
      </c>
      <c r="M124" s="101">
        <f t="shared" si="31"/>
        <v>0.49967018469656993</v>
      </c>
      <c r="N124" s="40"/>
    </row>
    <row r="125" spans="1:14">
      <c r="A125" s="4" t="s">
        <v>56</v>
      </c>
      <c r="B125" s="4">
        <v>437</v>
      </c>
      <c r="C125" s="4">
        <v>756</v>
      </c>
      <c r="D125" s="4">
        <v>987</v>
      </c>
      <c r="E125" s="4">
        <v>1493</v>
      </c>
      <c r="F125" s="4">
        <v>2188</v>
      </c>
      <c r="G125" s="4">
        <v>2685</v>
      </c>
      <c r="H125" s="4">
        <v>3761</v>
      </c>
      <c r="I125" s="4">
        <v>4491</v>
      </c>
      <c r="J125" s="4">
        <v>5730</v>
      </c>
      <c r="K125" s="4">
        <v>4113</v>
      </c>
      <c r="L125" s="101">
        <f t="shared" si="30"/>
        <v>8.4118993135011433</v>
      </c>
      <c r="M125" s="101">
        <f t="shared" si="31"/>
        <v>-0.28219895287958113</v>
      </c>
      <c r="N125" s="40"/>
    </row>
    <row r="126" spans="1:14">
      <c r="A126" s="32" t="s">
        <v>57</v>
      </c>
      <c r="B126" s="4">
        <v>123</v>
      </c>
      <c r="C126" s="4">
        <v>158</v>
      </c>
      <c r="D126" s="4">
        <v>305</v>
      </c>
      <c r="E126" s="4">
        <v>772</v>
      </c>
      <c r="F126" s="4">
        <v>1003</v>
      </c>
      <c r="G126" s="4">
        <v>1396</v>
      </c>
      <c r="H126" s="4">
        <v>1601</v>
      </c>
      <c r="I126" s="4">
        <v>1968</v>
      </c>
      <c r="J126" s="4">
        <v>2161</v>
      </c>
      <c r="K126" s="4">
        <v>3319</v>
      </c>
      <c r="L126" s="101">
        <f t="shared" si="30"/>
        <v>25.983739837398375</v>
      </c>
      <c r="M126" s="101">
        <f t="shared" si="31"/>
        <v>0.53586302637667749</v>
      </c>
      <c r="N126" s="40"/>
    </row>
    <row r="127" spans="1:14">
      <c r="A127" s="32" t="s">
        <v>55</v>
      </c>
      <c r="B127" s="4">
        <v>248</v>
      </c>
      <c r="C127" s="4">
        <v>351</v>
      </c>
      <c r="D127" s="4">
        <v>527</v>
      </c>
      <c r="E127" s="4">
        <v>1002</v>
      </c>
      <c r="F127" s="4">
        <v>1568</v>
      </c>
      <c r="G127" s="4">
        <v>2330</v>
      </c>
      <c r="H127" s="4">
        <v>3752</v>
      </c>
      <c r="I127" s="4">
        <v>5055</v>
      </c>
      <c r="J127" s="4">
        <v>4665</v>
      </c>
      <c r="K127" s="4">
        <v>2962</v>
      </c>
      <c r="L127" s="101">
        <f t="shared" si="30"/>
        <v>10.943548387096774</v>
      </c>
      <c r="M127" s="101">
        <f t="shared" si="31"/>
        <v>-0.36505894962486601</v>
      </c>
      <c r="N127" s="40"/>
    </row>
    <row r="128" spans="1:14">
      <c r="A128" s="4" t="s">
        <v>74</v>
      </c>
      <c r="B128" s="4">
        <v>390</v>
      </c>
      <c r="C128" s="4">
        <v>605</v>
      </c>
      <c r="D128" s="4">
        <v>549</v>
      </c>
      <c r="E128" s="4">
        <v>769</v>
      </c>
      <c r="F128" s="4">
        <v>1250</v>
      </c>
      <c r="G128" s="4">
        <v>1746</v>
      </c>
      <c r="H128" s="4">
        <v>2048</v>
      </c>
      <c r="I128" s="4">
        <v>2380</v>
      </c>
      <c r="J128" s="4">
        <v>2545</v>
      </c>
      <c r="K128" s="4">
        <v>2757</v>
      </c>
      <c r="L128" s="101">
        <f t="shared" si="30"/>
        <v>6.069230769230769</v>
      </c>
      <c r="M128" s="101">
        <f t="shared" si="31"/>
        <v>8.3300589390962673E-2</v>
      </c>
      <c r="N128" s="40"/>
    </row>
    <row r="129" spans="1:14">
      <c r="A129" s="4" t="s">
        <v>76</v>
      </c>
      <c r="B129" s="4">
        <v>292</v>
      </c>
      <c r="C129" s="4">
        <v>388</v>
      </c>
      <c r="D129" s="4">
        <v>549</v>
      </c>
      <c r="E129" s="4">
        <v>570</v>
      </c>
      <c r="F129" s="4">
        <v>589</v>
      </c>
      <c r="G129" s="4">
        <v>1043</v>
      </c>
      <c r="H129" s="4">
        <v>1329</v>
      </c>
      <c r="I129" s="4">
        <v>1449</v>
      </c>
      <c r="J129" s="4">
        <v>1633</v>
      </c>
      <c r="K129" s="4">
        <v>2164</v>
      </c>
      <c r="L129" s="101">
        <f t="shared" si="30"/>
        <v>6.4109589041095889</v>
      </c>
      <c r="M129" s="101">
        <f t="shared" si="31"/>
        <v>0.32516840171463562</v>
      </c>
      <c r="N129" s="40"/>
    </row>
    <row r="130" spans="1:14">
      <c r="A130" s="4" t="s">
        <v>75</v>
      </c>
      <c r="B130" s="4">
        <v>777</v>
      </c>
      <c r="C130" s="4">
        <v>762</v>
      </c>
      <c r="D130" s="4">
        <v>809</v>
      </c>
      <c r="E130" s="4">
        <v>1013</v>
      </c>
      <c r="F130" s="4">
        <v>1292</v>
      </c>
      <c r="G130" s="4">
        <v>1336</v>
      </c>
      <c r="H130" s="4">
        <v>1539</v>
      </c>
      <c r="I130" s="4">
        <v>1837</v>
      </c>
      <c r="J130" s="4">
        <v>1671</v>
      </c>
      <c r="K130" s="4">
        <v>2112</v>
      </c>
      <c r="L130" s="101">
        <f t="shared" si="30"/>
        <v>1.718146718146718</v>
      </c>
      <c r="M130" s="101">
        <f t="shared" si="31"/>
        <v>0.26391382405745062</v>
      </c>
      <c r="N130" s="40"/>
    </row>
    <row r="131" spans="1:14">
      <c r="A131" s="4" t="s">
        <v>80</v>
      </c>
      <c r="B131" s="4">
        <v>254</v>
      </c>
      <c r="C131" s="4">
        <v>327</v>
      </c>
      <c r="D131" s="4">
        <v>254</v>
      </c>
      <c r="E131" s="4">
        <v>504</v>
      </c>
      <c r="F131" s="4">
        <v>811</v>
      </c>
      <c r="G131" s="4">
        <v>925</v>
      </c>
      <c r="H131" s="4">
        <v>1079</v>
      </c>
      <c r="I131" s="4">
        <v>1308</v>
      </c>
      <c r="J131" s="4">
        <v>1669</v>
      </c>
      <c r="K131" s="4">
        <v>2059</v>
      </c>
      <c r="L131" s="101">
        <f t="shared" si="30"/>
        <v>7.106299212598425</v>
      </c>
      <c r="M131" s="101">
        <f t="shared" si="31"/>
        <v>0.23367285799880166</v>
      </c>
      <c r="N131" s="40"/>
    </row>
    <row r="132" spans="1:14">
      <c r="A132" s="4" t="s">
        <v>78</v>
      </c>
      <c r="B132" s="4">
        <v>519</v>
      </c>
      <c r="C132" s="4">
        <v>867</v>
      </c>
      <c r="D132" s="4">
        <v>864</v>
      </c>
      <c r="E132" s="4">
        <v>906</v>
      </c>
      <c r="F132" s="4">
        <v>921</v>
      </c>
      <c r="G132" s="4">
        <v>1099</v>
      </c>
      <c r="H132" s="4">
        <v>1266</v>
      </c>
      <c r="I132" s="4">
        <v>1393</v>
      </c>
      <c r="J132" s="4">
        <v>1517</v>
      </c>
      <c r="K132" s="4">
        <v>1795</v>
      </c>
      <c r="L132" s="101">
        <f t="shared" si="30"/>
        <v>2.4585741811175339</v>
      </c>
      <c r="M132" s="101">
        <f t="shared" si="31"/>
        <v>0.18325642715886617</v>
      </c>
      <c r="N132" s="40"/>
    </row>
    <row r="133" spans="1:14">
      <c r="A133" s="4" t="s">
        <v>81</v>
      </c>
      <c r="B133" s="4">
        <v>240</v>
      </c>
      <c r="C133" s="4">
        <v>293</v>
      </c>
      <c r="D133" s="4">
        <v>266</v>
      </c>
      <c r="E133" s="4">
        <v>395</v>
      </c>
      <c r="F133" s="4">
        <v>479</v>
      </c>
      <c r="G133" s="4">
        <v>682</v>
      </c>
      <c r="H133" s="4">
        <v>778</v>
      </c>
      <c r="I133" s="4">
        <v>1011</v>
      </c>
      <c r="J133" s="4">
        <v>1069</v>
      </c>
      <c r="K133" s="4">
        <v>1771</v>
      </c>
      <c r="L133" s="101">
        <f t="shared" si="30"/>
        <v>6.3791666666666664</v>
      </c>
      <c r="M133" s="101">
        <f t="shared" si="31"/>
        <v>0.65668849391955098</v>
      </c>
      <c r="N133" s="40"/>
    </row>
    <row r="134" spans="1:14">
      <c r="A134" s="4" t="s">
        <v>77</v>
      </c>
      <c r="B134" s="4">
        <v>616</v>
      </c>
      <c r="C134" s="4">
        <v>637</v>
      </c>
      <c r="D134" s="4">
        <v>563</v>
      </c>
      <c r="E134" s="4">
        <v>649</v>
      </c>
      <c r="F134" s="4">
        <v>827</v>
      </c>
      <c r="G134" s="4">
        <v>947</v>
      </c>
      <c r="H134" s="4">
        <v>1175</v>
      </c>
      <c r="I134" s="4">
        <v>1325</v>
      </c>
      <c r="J134" s="4">
        <v>1502</v>
      </c>
      <c r="K134" s="4">
        <v>1578</v>
      </c>
      <c r="L134" s="101">
        <f t="shared" si="30"/>
        <v>1.5616883116883118</v>
      </c>
      <c r="M134" s="101">
        <f t="shared" si="31"/>
        <v>5.0599201065246339E-2</v>
      </c>
      <c r="N134" s="40"/>
    </row>
    <row r="135" spans="1:14">
      <c r="A135" s="4" t="s">
        <v>67</v>
      </c>
      <c r="B135" s="4">
        <v>260</v>
      </c>
      <c r="C135" s="4">
        <v>342</v>
      </c>
      <c r="D135" s="4">
        <v>541</v>
      </c>
      <c r="E135" s="4">
        <v>603</v>
      </c>
      <c r="F135" s="4">
        <v>768</v>
      </c>
      <c r="G135" s="4">
        <v>932</v>
      </c>
      <c r="H135" s="4">
        <v>1249</v>
      </c>
      <c r="I135" s="4">
        <v>1515</v>
      </c>
      <c r="J135" s="4">
        <v>1667</v>
      </c>
      <c r="K135" s="4">
        <v>1379</v>
      </c>
      <c r="L135" s="101">
        <f t="shared" si="30"/>
        <v>4.3038461538461537</v>
      </c>
      <c r="M135" s="101">
        <f t="shared" si="31"/>
        <v>-0.17276544691061788</v>
      </c>
      <c r="N135" s="40"/>
    </row>
    <row r="136" spans="1:14">
      <c r="A136" s="4" t="s">
        <v>65</v>
      </c>
      <c r="B136" s="4">
        <v>274</v>
      </c>
      <c r="C136" s="4">
        <v>364</v>
      </c>
      <c r="D136" s="4">
        <v>391</v>
      </c>
      <c r="E136" s="4">
        <v>588</v>
      </c>
      <c r="F136" s="4">
        <v>849</v>
      </c>
      <c r="G136" s="4">
        <v>841</v>
      </c>
      <c r="H136" s="4">
        <v>912</v>
      </c>
      <c r="I136" s="4">
        <v>1050</v>
      </c>
      <c r="J136" s="4">
        <v>1240</v>
      </c>
      <c r="K136" s="4">
        <v>1277</v>
      </c>
      <c r="L136" s="101">
        <f t="shared" si="30"/>
        <v>3.6605839416058394</v>
      </c>
      <c r="M136" s="101">
        <f t="shared" si="31"/>
        <v>2.9838709677419355E-2</v>
      </c>
      <c r="N136" s="40"/>
    </row>
    <row r="137" spans="1:14">
      <c r="A137" s="4" t="s">
        <v>79</v>
      </c>
      <c r="B137" s="4">
        <v>429</v>
      </c>
      <c r="C137" s="4">
        <v>496</v>
      </c>
      <c r="D137" s="4">
        <v>477</v>
      </c>
      <c r="E137" s="4">
        <v>592</v>
      </c>
      <c r="F137" s="4">
        <v>682</v>
      </c>
      <c r="G137" s="4">
        <v>1308</v>
      </c>
      <c r="H137" s="4">
        <v>1158</v>
      </c>
      <c r="I137" s="4">
        <v>1254</v>
      </c>
      <c r="J137" s="4">
        <v>1369</v>
      </c>
      <c r="K137" s="4">
        <v>1244</v>
      </c>
      <c r="L137" s="101">
        <f t="shared" si="30"/>
        <v>1.8997668997668997</v>
      </c>
      <c r="M137" s="101">
        <f t="shared" si="31"/>
        <v>-9.1307523739956167E-2</v>
      </c>
      <c r="N137" s="40"/>
    </row>
    <row r="138" spans="1:14">
      <c r="A138" s="32" t="s">
        <v>288</v>
      </c>
      <c r="B138" s="4">
        <v>79</v>
      </c>
      <c r="C138" s="4">
        <v>106</v>
      </c>
      <c r="D138" s="4">
        <v>175</v>
      </c>
      <c r="E138" s="4">
        <v>200</v>
      </c>
      <c r="F138" s="4">
        <v>316</v>
      </c>
      <c r="G138" s="4">
        <v>384</v>
      </c>
      <c r="H138" s="4">
        <v>499</v>
      </c>
      <c r="I138" s="4">
        <v>598</v>
      </c>
      <c r="J138" s="4">
        <v>1251</v>
      </c>
      <c r="K138" s="4">
        <v>1109</v>
      </c>
      <c r="L138" s="101">
        <f t="shared" si="30"/>
        <v>13.037974683544304</v>
      </c>
      <c r="M138" s="101">
        <f t="shared" si="31"/>
        <v>-0.1135091926458833</v>
      </c>
      <c r="N138" s="40"/>
    </row>
    <row r="139" spans="1:14">
      <c r="A139" s="32" t="s">
        <v>61</v>
      </c>
      <c r="B139" s="4">
        <v>25</v>
      </c>
      <c r="C139" s="4">
        <v>63</v>
      </c>
      <c r="D139" s="4">
        <v>162</v>
      </c>
      <c r="E139" s="4">
        <v>232</v>
      </c>
      <c r="F139" s="4">
        <v>433</v>
      </c>
      <c r="G139" s="4">
        <v>523</v>
      </c>
      <c r="H139" s="4">
        <v>682</v>
      </c>
      <c r="I139" s="4">
        <v>914</v>
      </c>
      <c r="J139" s="4">
        <v>1002</v>
      </c>
      <c r="K139" s="4">
        <v>1081</v>
      </c>
      <c r="L139" s="101">
        <f t="shared" si="30"/>
        <v>42.24</v>
      </c>
      <c r="M139" s="101">
        <f t="shared" si="31"/>
        <v>7.8842315369261479E-2</v>
      </c>
      <c r="N139" s="40"/>
    </row>
    <row r="140" spans="1:14">
      <c r="A140" s="4" t="s">
        <v>372</v>
      </c>
      <c r="B140" s="4">
        <v>394</v>
      </c>
      <c r="C140" s="4">
        <v>459</v>
      </c>
      <c r="D140" s="4">
        <v>444</v>
      </c>
      <c r="E140" s="4">
        <v>488</v>
      </c>
      <c r="F140" s="4">
        <v>514</v>
      </c>
      <c r="G140" s="4">
        <v>666</v>
      </c>
      <c r="H140" s="4">
        <v>623</v>
      </c>
      <c r="I140" s="4">
        <v>706</v>
      </c>
      <c r="J140" s="4">
        <v>796</v>
      </c>
      <c r="K140" s="4">
        <v>1073</v>
      </c>
      <c r="L140" s="101">
        <f t="shared" si="30"/>
        <v>1.7233502538071066</v>
      </c>
      <c r="M140" s="101">
        <f t="shared" si="31"/>
        <v>0.3479899497487437</v>
      </c>
      <c r="N140" s="40"/>
    </row>
    <row r="141" spans="1:14">
      <c r="A141" s="4" t="s">
        <v>59</v>
      </c>
      <c r="B141" s="4">
        <v>97</v>
      </c>
      <c r="C141" s="4">
        <v>178</v>
      </c>
      <c r="D141" s="4">
        <v>273</v>
      </c>
      <c r="E141" s="4">
        <v>314</v>
      </c>
      <c r="F141" s="4">
        <v>376</v>
      </c>
      <c r="G141" s="4">
        <v>426</v>
      </c>
      <c r="H141" s="4">
        <v>677</v>
      </c>
      <c r="I141" s="4">
        <v>789</v>
      </c>
      <c r="J141" s="4">
        <v>1039</v>
      </c>
      <c r="K141" s="4">
        <v>1050</v>
      </c>
      <c r="L141" s="101">
        <f t="shared" si="30"/>
        <v>9.8247422680412377</v>
      </c>
      <c r="M141" s="101">
        <f t="shared" si="31"/>
        <v>1.0587102983638113E-2</v>
      </c>
      <c r="N141" s="40"/>
    </row>
    <row r="142" spans="1:14">
      <c r="N142" s="40"/>
    </row>
    <row r="143" spans="1:14" ht="15">
      <c r="A143" s="41" t="s">
        <v>82</v>
      </c>
      <c r="B143" s="41"/>
      <c r="C143" s="41"/>
      <c r="D143" s="41"/>
      <c r="E143" s="41"/>
      <c r="F143" s="40"/>
      <c r="G143" s="40"/>
      <c r="H143" s="40"/>
      <c r="I143" s="40"/>
      <c r="J143" s="40"/>
      <c r="K143" s="40"/>
      <c r="L143" s="40"/>
      <c r="M143" s="40"/>
      <c r="N143" s="40"/>
    </row>
    <row r="144" spans="1:14" ht="28">
      <c r="A144" s="88" t="s">
        <v>53</v>
      </c>
      <c r="B144" s="3">
        <v>2008</v>
      </c>
      <c r="C144" s="3">
        <v>2009</v>
      </c>
      <c r="D144" s="3">
        <v>2010</v>
      </c>
      <c r="E144" s="3">
        <v>2011</v>
      </c>
      <c r="F144" s="3">
        <v>2012</v>
      </c>
      <c r="G144" s="3">
        <v>2013</v>
      </c>
      <c r="H144" s="3">
        <v>2014</v>
      </c>
      <c r="I144" s="3">
        <v>2015</v>
      </c>
      <c r="J144" s="3">
        <v>2016</v>
      </c>
      <c r="K144" s="3">
        <v>2017</v>
      </c>
      <c r="L144" s="13" t="s">
        <v>369</v>
      </c>
      <c r="M144" s="13" t="s">
        <v>368</v>
      </c>
      <c r="N144" s="40"/>
    </row>
    <row r="145" spans="1:14">
      <c r="A145" s="4" t="s">
        <v>83</v>
      </c>
      <c r="B145" s="4">
        <v>3714</v>
      </c>
      <c r="C145" s="4">
        <v>4157</v>
      </c>
      <c r="D145" s="4">
        <v>3672</v>
      </c>
      <c r="E145" s="4">
        <v>4237</v>
      </c>
      <c r="F145" s="4">
        <v>4599</v>
      </c>
      <c r="G145" s="4">
        <v>5515</v>
      </c>
      <c r="H145" s="4">
        <v>6068</v>
      </c>
      <c r="I145" s="4">
        <v>6666</v>
      </c>
      <c r="J145" s="4">
        <v>6726</v>
      </c>
      <c r="K145" s="4">
        <v>7210</v>
      </c>
      <c r="L145" s="101">
        <f t="shared" ref="L145:L164" si="32">(K145-B145)/B145</f>
        <v>0.94130317716747447</v>
      </c>
      <c r="M145" s="101">
        <f t="shared" ref="M145:M164" si="33">(K145-J145)/J145</f>
        <v>7.1959559916741009E-2</v>
      </c>
      <c r="N145" s="40"/>
    </row>
    <row r="146" spans="1:14">
      <c r="A146" s="4" t="s">
        <v>85</v>
      </c>
      <c r="B146" s="4">
        <v>1616</v>
      </c>
      <c r="C146" s="4">
        <v>1808</v>
      </c>
      <c r="D146" s="4">
        <v>1826</v>
      </c>
      <c r="E146" s="4">
        <v>2162</v>
      </c>
      <c r="F146" s="4">
        <v>2623</v>
      </c>
      <c r="G146" s="4">
        <v>3449</v>
      </c>
      <c r="H146" s="4">
        <v>4385</v>
      </c>
      <c r="I146" s="4">
        <v>4805</v>
      </c>
      <c r="J146" s="4">
        <v>5314</v>
      </c>
      <c r="K146" s="4">
        <v>5570</v>
      </c>
      <c r="L146" s="101">
        <f t="shared" si="32"/>
        <v>2.4467821782178216</v>
      </c>
      <c r="M146" s="101">
        <f t="shared" si="33"/>
        <v>4.8174633044787356E-2</v>
      </c>
      <c r="N146" s="40"/>
    </row>
    <row r="147" spans="1:14">
      <c r="A147" s="4" t="s">
        <v>84</v>
      </c>
      <c r="B147" s="4">
        <v>1590</v>
      </c>
      <c r="C147" s="4">
        <v>2265</v>
      </c>
      <c r="D147" s="4">
        <v>2068</v>
      </c>
      <c r="E147" s="4">
        <v>2064</v>
      </c>
      <c r="F147" s="4">
        <v>2620</v>
      </c>
      <c r="G147" s="4">
        <v>3555</v>
      </c>
      <c r="H147" s="4">
        <v>3772</v>
      </c>
      <c r="I147" s="4">
        <v>4325</v>
      </c>
      <c r="J147" s="4">
        <v>4359</v>
      </c>
      <c r="K147" s="4">
        <v>4452</v>
      </c>
      <c r="L147" s="101">
        <f t="shared" si="32"/>
        <v>1.8</v>
      </c>
      <c r="M147" s="101">
        <f t="shared" si="33"/>
        <v>2.1335168616655197E-2</v>
      </c>
      <c r="N147" s="40"/>
    </row>
    <row r="148" spans="1:14">
      <c r="A148" s="4" t="s">
        <v>16</v>
      </c>
      <c r="B148" s="4">
        <v>2095</v>
      </c>
      <c r="C148" s="4">
        <v>2409</v>
      </c>
      <c r="D148" s="4">
        <v>2371</v>
      </c>
      <c r="E148" s="4">
        <v>2502</v>
      </c>
      <c r="F148" s="4">
        <v>2591</v>
      </c>
      <c r="G148" s="4">
        <v>2845</v>
      </c>
      <c r="H148" s="4">
        <v>3493</v>
      </c>
      <c r="I148" s="4">
        <v>3495</v>
      </c>
      <c r="J148" s="4">
        <v>3726</v>
      </c>
      <c r="K148" s="4">
        <v>4284</v>
      </c>
      <c r="L148" s="101">
        <f t="shared" si="32"/>
        <v>1.0448687350835322</v>
      </c>
      <c r="M148" s="101">
        <f t="shared" si="33"/>
        <v>0.14975845410628019</v>
      </c>
      <c r="N148" s="40"/>
    </row>
    <row r="149" spans="1:14">
      <c r="A149" s="4" t="s">
        <v>86</v>
      </c>
      <c r="B149" s="4">
        <v>3267</v>
      </c>
      <c r="C149" s="4">
        <v>3310</v>
      </c>
      <c r="D149" s="4">
        <v>2842</v>
      </c>
      <c r="E149" s="4">
        <v>3149</v>
      </c>
      <c r="F149" s="4">
        <v>3058</v>
      </c>
      <c r="G149" s="4">
        <v>3457</v>
      </c>
      <c r="H149" s="4">
        <v>3717</v>
      </c>
      <c r="I149" s="4">
        <v>4060</v>
      </c>
      <c r="J149" s="4">
        <v>3953</v>
      </c>
      <c r="K149" s="4">
        <v>4022</v>
      </c>
      <c r="L149" s="101">
        <f t="shared" si="32"/>
        <v>0.23109886746250383</v>
      </c>
      <c r="M149" s="101">
        <f t="shared" si="33"/>
        <v>1.7455097394384011E-2</v>
      </c>
      <c r="N149" s="40"/>
    </row>
    <row r="150" spans="1:14">
      <c r="A150" s="4" t="s">
        <v>73</v>
      </c>
      <c r="B150" s="4">
        <v>1463</v>
      </c>
      <c r="C150" s="4">
        <v>1823</v>
      </c>
      <c r="D150" s="4">
        <v>1792</v>
      </c>
      <c r="E150" s="4">
        <v>2461</v>
      </c>
      <c r="F150" s="4">
        <v>2349</v>
      </c>
      <c r="G150" s="4">
        <v>3070</v>
      </c>
      <c r="H150" s="4">
        <v>3413</v>
      </c>
      <c r="I150" s="4">
        <v>3359</v>
      </c>
      <c r="J150" s="4">
        <v>3361</v>
      </c>
      <c r="K150" s="4">
        <v>3380</v>
      </c>
      <c r="L150" s="101">
        <f t="shared" si="32"/>
        <v>1.3103212576896788</v>
      </c>
      <c r="M150" s="101">
        <f t="shared" si="33"/>
        <v>5.6530794406426657E-3</v>
      </c>
      <c r="N150" s="40"/>
    </row>
    <row r="151" spans="1:14">
      <c r="A151" s="4" t="s">
        <v>89</v>
      </c>
      <c r="B151" s="4">
        <v>987</v>
      </c>
      <c r="C151" s="4">
        <v>1012</v>
      </c>
      <c r="D151" s="4">
        <v>1114</v>
      </c>
      <c r="E151" s="4">
        <v>1638</v>
      </c>
      <c r="F151" s="4">
        <v>1806</v>
      </c>
      <c r="G151" s="4">
        <v>2438</v>
      </c>
      <c r="H151" s="4">
        <v>2801</v>
      </c>
      <c r="I151" s="4">
        <v>2963</v>
      </c>
      <c r="J151" s="4">
        <v>2846</v>
      </c>
      <c r="K151" s="4">
        <v>3079</v>
      </c>
      <c r="L151" s="101">
        <f t="shared" si="32"/>
        <v>2.1195542046605875</v>
      </c>
      <c r="M151" s="101">
        <f t="shared" si="33"/>
        <v>8.1869290231904424E-2</v>
      </c>
      <c r="N151" s="40"/>
    </row>
    <row r="152" spans="1:14">
      <c r="A152" s="4" t="s">
        <v>91</v>
      </c>
      <c r="B152" s="4">
        <v>1340</v>
      </c>
      <c r="C152" s="4">
        <v>1144</v>
      </c>
      <c r="D152" s="4">
        <v>1168</v>
      </c>
      <c r="E152" s="4">
        <v>1191</v>
      </c>
      <c r="F152" s="4">
        <v>1281</v>
      </c>
      <c r="G152" s="4">
        <v>1922</v>
      </c>
      <c r="H152" s="4">
        <v>1864</v>
      </c>
      <c r="I152" s="4">
        <v>2843</v>
      </c>
      <c r="J152" s="4">
        <v>2664</v>
      </c>
      <c r="K152" s="4">
        <v>2875</v>
      </c>
      <c r="L152" s="101">
        <f t="shared" si="32"/>
        <v>1.1455223880597014</v>
      </c>
      <c r="M152" s="101">
        <f t="shared" si="33"/>
        <v>7.9204204204204209E-2</v>
      </c>
      <c r="N152" s="40"/>
    </row>
    <row r="153" spans="1:14">
      <c r="A153" s="4" t="s">
        <v>88</v>
      </c>
      <c r="B153" s="4">
        <v>1645</v>
      </c>
      <c r="C153" s="4">
        <v>2145</v>
      </c>
      <c r="D153" s="4">
        <v>2164</v>
      </c>
      <c r="E153" s="4">
        <v>2404</v>
      </c>
      <c r="F153" s="4">
        <v>2610</v>
      </c>
      <c r="G153" s="4">
        <v>2777</v>
      </c>
      <c r="H153" s="4">
        <v>2999</v>
      </c>
      <c r="I153" s="4">
        <v>2915</v>
      </c>
      <c r="J153" s="4">
        <v>2716</v>
      </c>
      <c r="K153" s="4">
        <v>2346</v>
      </c>
      <c r="L153" s="101">
        <f t="shared" si="32"/>
        <v>0.42613981762917935</v>
      </c>
      <c r="M153" s="101">
        <f t="shared" si="33"/>
        <v>-0.13622974963181148</v>
      </c>
      <c r="N153" s="40"/>
    </row>
    <row r="154" spans="1:14">
      <c r="A154" s="4" t="s">
        <v>74</v>
      </c>
      <c r="B154" s="4">
        <v>1712</v>
      </c>
      <c r="C154" s="4">
        <v>1709</v>
      </c>
      <c r="D154" s="4">
        <v>1579</v>
      </c>
      <c r="E154" s="4">
        <v>1927</v>
      </c>
      <c r="F154" s="4">
        <v>1952</v>
      </c>
      <c r="G154" s="4">
        <v>1965</v>
      </c>
      <c r="H154" s="4">
        <v>2385</v>
      </c>
      <c r="I154" s="4">
        <v>2153</v>
      </c>
      <c r="J154" s="4">
        <v>2158</v>
      </c>
      <c r="K154" s="4">
        <v>2340</v>
      </c>
      <c r="L154" s="101">
        <f t="shared" si="32"/>
        <v>0.36682242990654207</v>
      </c>
      <c r="M154" s="101">
        <f t="shared" si="33"/>
        <v>8.4337349397590355E-2</v>
      </c>
      <c r="N154" s="40"/>
    </row>
    <row r="155" spans="1:14">
      <c r="A155" s="4" t="s">
        <v>87</v>
      </c>
      <c r="B155" s="4">
        <v>5386</v>
      </c>
      <c r="C155" s="4">
        <v>5810</v>
      </c>
      <c r="D155" s="4">
        <v>5277</v>
      </c>
      <c r="E155" s="4">
        <v>4380</v>
      </c>
      <c r="F155" s="4">
        <v>3107</v>
      </c>
      <c r="G155" s="4">
        <v>2860</v>
      </c>
      <c r="H155" s="4">
        <v>2679</v>
      </c>
      <c r="I155" s="4">
        <v>2422</v>
      </c>
      <c r="J155" s="4">
        <v>2077</v>
      </c>
      <c r="K155" s="4">
        <v>1943</v>
      </c>
      <c r="L155" s="101">
        <f t="shared" si="32"/>
        <v>-0.63924990716672858</v>
      </c>
      <c r="M155" s="101">
        <f t="shared" si="33"/>
        <v>-6.4516129032258063E-2</v>
      </c>
      <c r="N155" s="40"/>
    </row>
    <row r="156" spans="1:14">
      <c r="A156" s="4" t="s">
        <v>75</v>
      </c>
      <c r="B156" s="4">
        <v>1563</v>
      </c>
      <c r="C156" s="4">
        <v>1559</v>
      </c>
      <c r="D156" s="4">
        <v>1449</v>
      </c>
      <c r="E156" s="4">
        <v>1649</v>
      </c>
      <c r="F156" s="4">
        <v>1846</v>
      </c>
      <c r="G156" s="4">
        <v>2035</v>
      </c>
      <c r="H156" s="4">
        <v>2140</v>
      </c>
      <c r="I156" s="4">
        <v>2217</v>
      </c>
      <c r="J156" s="4">
        <v>1946</v>
      </c>
      <c r="K156" s="4">
        <v>1876</v>
      </c>
      <c r="L156" s="101">
        <f t="shared" si="32"/>
        <v>0.20025591810620602</v>
      </c>
      <c r="M156" s="101">
        <f t="shared" si="33"/>
        <v>-3.5971223021582732E-2</v>
      </c>
      <c r="N156" s="40"/>
    </row>
    <row r="157" spans="1:14">
      <c r="A157" s="4" t="s">
        <v>95</v>
      </c>
      <c r="B157" s="4">
        <v>454</v>
      </c>
      <c r="C157" s="4">
        <v>530</v>
      </c>
      <c r="D157" s="4">
        <v>617</v>
      </c>
      <c r="E157" s="4">
        <v>785</v>
      </c>
      <c r="F157" s="4">
        <v>786</v>
      </c>
      <c r="G157" s="4">
        <v>1166</v>
      </c>
      <c r="H157" s="4">
        <v>1407</v>
      </c>
      <c r="I157" s="4">
        <v>1420</v>
      </c>
      <c r="J157" s="4">
        <v>1625</v>
      </c>
      <c r="K157" s="4">
        <v>1838</v>
      </c>
      <c r="L157" s="101">
        <f t="shared" si="32"/>
        <v>3.0484581497797358</v>
      </c>
      <c r="M157" s="101">
        <f t="shared" si="33"/>
        <v>0.13107692307692306</v>
      </c>
      <c r="N157" s="40"/>
    </row>
    <row r="158" spans="1:14">
      <c r="A158" s="4" t="s">
        <v>93</v>
      </c>
      <c r="B158" s="4">
        <v>729</v>
      </c>
      <c r="C158" s="4">
        <v>800</v>
      </c>
      <c r="D158" s="4">
        <v>844</v>
      </c>
      <c r="E158" s="4">
        <v>856</v>
      </c>
      <c r="F158" s="4">
        <v>1119</v>
      </c>
      <c r="G158" s="4">
        <v>1235</v>
      </c>
      <c r="H158" s="4">
        <v>1248</v>
      </c>
      <c r="I158" s="4">
        <v>1407</v>
      </c>
      <c r="J158" s="4">
        <v>1525</v>
      </c>
      <c r="K158" s="4">
        <v>1647</v>
      </c>
      <c r="L158" s="101">
        <f t="shared" si="32"/>
        <v>1.2592592592592593</v>
      </c>
      <c r="M158" s="101">
        <f t="shared" si="33"/>
        <v>0.08</v>
      </c>
      <c r="N158" s="40"/>
    </row>
    <row r="159" spans="1:14">
      <c r="A159" s="4" t="s">
        <v>90</v>
      </c>
      <c r="B159" s="4">
        <v>1110</v>
      </c>
      <c r="C159" s="4">
        <v>1226</v>
      </c>
      <c r="D159" s="4">
        <v>1421</v>
      </c>
      <c r="E159" s="4">
        <v>1296</v>
      </c>
      <c r="F159" s="4">
        <v>1320</v>
      </c>
      <c r="G159" s="4">
        <v>1502</v>
      </c>
      <c r="H159" s="4">
        <v>1563</v>
      </c>
      <c r="I159" s="4">
        <v>1632</v>
      </c>
      <c r="J159" s="4">
        <v>1597</v>
      </c>
      <c r="K159" s="4">
        <v>1637</v>
      </c>
      <c r="L159" s="101">
        <f t="shared" si="32"/>
        <v>0.47477477477477475</v>
      </c>
      <c r="M159" s="101">
        <f t="shared" si="33"/>
        <v>2.5046963055729492E-2</v>
      </c>
      <c r="N159" s="40"/>
    </row>
    <row r="160" spans="1:14">
      <c r="A160" s="4" t="s">
        <v>282</v>
      </c>
      <c r="B160" s="4">
        <v>404</v>
      </c>
      <c r="C160" s="4">
        <v>489</v>
      </c>
      <c r="D160" s="4">
        <v>571</v>
      </c>
      <c r="E160" s="4">
        <v>587</v>
      </c>
      <c r="F160" s="4">
        <v>915</v>
      </c>
      <c r="G160" s="4">
        <v>934</v>
      </c>
      <c r="H160" s="4">
        <v>1277</v>
      </c>
      <c r="I160" s="4">
        <v>1380</v>
      </c>
      <c r="J160" s="4">
        <v>1623</v>
      </c>
      <c r="K160" s="4">
        <v>1635</v>
      </c>
      <c r="L160" s="101">
        <f t="shared" si="32"/>
        <v>3.0470297029702968</v>
      </c>
      <c r="M160" s="101">
        <f t="shared" si="33"/>
        <v>7.3937153419593345E-3</v>
      </c>
      <c r="N160" s="40"/>
    </row>
    <row r="161" spans="1:14">
      <c r="A161" s="4" t="s">
        <v>79</v>
      </c>
      <c r="B161" s="4">
        <v>1899</v>
      </c>
      <c r="C161" s="4">
        <v>2033</v>
      </c>
      <c r="D161" s="4">
        <v>2054</v>
      </c>
      <c r="E161" s="4">
        <v>1648</v>
      </c>
      <c r="F161" s="4">
        <v>1523</v>
      </c>
      <c r="G161" s="4">
        <v>1644</v>
      </c>
      <c r="H161" s="4">
        <v>1774</v>
      </c>
      <c r="I161" s="4">
        <v>1548</v>
      </c>
      <c r="J161" s="4">
        <v>1445</v>
      </c>
      <c r="K161" s="4">
        <v>1592</v>
      </c>
      <c r="L161" s="101">
        <f t="shared" si="32"/>
        <v>-0.1616640337019484</v>
      </c>
      <c r="M161" s="101">
        <f t="shared" si="33"/>
        <v>0.10173010380622838</v>
      </c>
      <c r="N161" s="40"/>
    </row>
    <row r="162" spans="1:14">
      <c r="A162" s="4" t="s">
        <v>77</v>
      </c>
      <c r="B162" s="4">
        <v>1401</v>
      </c>
      <c r="C162" s="4">
        <v>1626</v>
      </c>
      <c r="D162" s="4">
        <v>1591</v>
      </c>
      <c r="E162" s="4">
        <v>1584</v>
      </c>
      <c r="F162" s="4">
        <v>1623</v>
      </c>
      <c r="G162" s="4">
        <v>1776</v>
      </c>
      <c r="H162" s="4">
        <v>1929</v>
      </c>
      <c r="I162" s="4">
        <v>1776</v>
      </c>
      <c r="J162" s="4">
        <v>1585</v>
      </c>
      <c r="K162" s="4">
        <v>1427</v>
      </c>
      <c r="L162" s="101">
        <f t="shared" si="32"/>
        <v>1.8558172733761598E-2</v>
      </c>
      <c r="M162" s="101">
        <f t="shared" si="33"/>
        <v>-9.9684542586750788E-2</v>
      </c>
      <c r="N162" s="40"/>
    </row>
    <row r="163" spans="1:14">
      <c r="A163" s="4" t="s">
        <v>94</v>
      </c>
      <c r="B163" s="4">
        <v>1223</v>
      </c>
      <c r="C163" s="4">
        <v>1508</v>
      </c>
      <c r="D163" s="4">
        <v>1365</v>
      </c>
      <c r="E163" s="4">
        <v>1177</v>
      </c>
      <c r="F163" s="4">
        <v>1202</v>
      </c>
      <c r="G163" s="4">
        <v>1437</v>
      </c>
      <c r="H163" s="4">
        <v>1274</v>
      </c>
      <c r="I163" s="4">
        <v>1282</v>
      </c>
      <c r="J163" s="4">
        <v>1213</v>
      </c>
      <c r="K163" s="4">
        <v>1243</v>
      </c>
      <c r="L163" s="101">
        <f t="shared" si="32"/>
        <v>1.6353229762878167E-2</v>
      </c>
      <c r="M163" s="101">
        <f t="shared" si="33"/>
        <v>2.47320692497939E-2</v>
      </c>
      <c r="N163" s="40"/>
    </row>
    <row r="164" spans="1:14">
      <c r="A164" s="4" t="s">
        <v>92</v>
      </c>
      <c r="B164" s="4">
        <v>835</v>
      </c>
      <c r="C164" s="4">
        <v>1249</v>
      </c>
      <c r="D164" s="4">
        <v>1279</v>
      </c>
      <c r="E164" s="4">
        <v>1270</v>
      </c>
      <c r="F164" s="4">
        <v>1445</v>
      </c>
      <c r="G164" s="4">
        <v>1544</v>
      </c>
      <c r="H164" s="4">
        <v>1688</v>
      </c>
      <c r="I164" s="4">
        <v>1486</v>
      </c>
      <c r="J164" s="4">
        <v>1482</v>
      </c>
      <c r="K164" s="4">
        <v>1240</v>
      </c>
      <c r="L164" s="101">
        <f t="shared" si="32"/>
        <v>0.48502994011976047</v>
      </c>
      <c r="M164" s="101">
        <f t="shared" si="33"/>
        <v>-0.16329284750337381</v>
      </c>
      <c r="N164" s="40"/>
    </row>
    <row r="165" spans="1:14">
      <c r="N165" s="40"/>
    </row>
    <row r="166" spans="1:14" ht="15">
      <c r="A166" s="41" t="s">
        <v>271</v>
      </c>
      <c r="B166" s="41"/>
      <c r="C166" s="41"/>
      <c r="D166" s="41"/>
      <c r="E166" s="41"/>
      <c r="F166" s="40"/>
      <c r="G166" s="40"/>
      <c r="H166" s="40"/>
      <c r="I166" s="40"/>
      <c r="J166" s="40"/>
      <c r="K166" s="40"/>
      <c r="L166" s="40"/>
      <c r="M166" s="40"/>
      <c r="N166" s="40"/>
    </row>
    <row r="167" spans="1:14" ht="28">
      <c r="A167" s="88" t="s">
        <v>275</v>
      </c>
      <c r="B167" s="3">
        <v>2008</v>
      </c>
      <c r="C167" s="3">
        <v>2009</v>
      </c>
      <c r="D167" s="3">
        <v>2010</v>
      </c>
      <c r="E167" s="3">
        <v>2011</v>
      </c>
      <c r="F167" s="3">
        <v>2012</v>
      </c>
      <c r="G167" s="3">
        <v>2013</v>
      </c>
      <c r="H167" s="3">
        <v>2014</v>
      </c>
      <c r="I167" s="3">
        <v>2015</v>
      </c>
      <c r="J167" s="3">
        <v>2016</v>
      </c>
      <c r="K167" s="3">
        <v>2017</v>
      </c>
      <c r="L167" s="13" t="s">
        <v>369</v>
      </c>
      <c r="M167" s="13" t="s">
        <v>368</v>
      </c>
      <c r="N167" s="13" t="s">
        <v>367</v>
      </c>
    </row>
    <row r="168" spans="1:14">
      <c r="A168" s="4" t="s">
        <v>256</v>
      </c>
      <c r="B168" s="4">
        <v>55042</v>
      </c>
      <c r="C168" s="4">
        <v>60016</v>
      </c>
      <c r="D168" s="4">
        <v>55694</v>
      </c>
      <c r="E168" s="4">
        <v>66943</v>
      </c>
      <c r="F168" s="4">
        <v>76451</v>
      </c>
      <c r="G168" s="4">
        <v>88921</v>
      </c>
      <c r="H168" s="4">
        <v>95455</v>
      </c>
      <c r="I168" s="4">
        <v>104562</v>
      </c>
      <c r="J168" s="4">
        <v>111030</v>
      </c>
      <c r="K168" s="4">
        <v>114616</v>
      </c>
      <c r="L168" s="101">
        <f t="shared" ref="L168:L170" si="34">(K168-B168)/B168</f>
        <v>1.082337124377748</v>
      </c>
      <c r="M168" s="101">
        <f t="shared" ref="M168:M170" si="35">(K168-J168)/J168</f>
        <v>3.229757723137891E-2</v>
      </c>
      <c r="N168" s="14">
        <f t="shared" ref="N168:N170" si="36">K168/K$9</f>
        <v>0.56579538442552146</v>
      </c>
    </row>
    <row r="169" spans="1:14">
      <c r="A169" s="4" t="s">
        <v>257</v>
      </c>
      <c r="B169" s="4">
        <v>42718</v>
      </c>
      <c r="C169" s="4">
        <v>48813</v>
      </c>
      <c r="D169" s="4">
        <v>46331</v>
      </c>
      <c r="E169" s="4">
        <v>53194</v>
      </c>
      <c r="F169" s="4">
        <v>58729</v>
      </c>
      <c r="G169" s="4">
        <v>67893</v>
      </c>
      <c r="H169" s="4">
        <v>75153</v>
      </c>
      <c r="I169" s="4">
        <v>82952</v>
      </c>
      <c r="J169" s="4">
        <v>84808</v>
      </c>
      <c r="K169" s="4">
        <v>87959</v>
      </c>
      <c r="L169" s="101">
        <f t="shared" si="34"/>
        <v>1.0590617538274263</v>
      </c>
      <c r="M169" s="101">
        <f t="shared" si="35"/>
        <v>3.715451372512027E-2</v>
      </c>
      <c r="N169" s="14">
        <f t="shared" si="36"/>
        <v>0.43420461557447859</v>
      </c>
    </row>
    <row r="170" spans="1:14">
      <c r="A170" s="5" t="s">
        <v>4</v>
      </c>
      <c r="B170" s="5">
        <f>SUM(B168:B169)</f>
        <v>97760</v>
      </c>
      <c r="C170" s="5">
        <f t="shared" ref="C170:K170" si="37">SUM(C168:C169)</f>
        <v>108829</v>
      </c>
      <c r="D170" s="5">
        <f t="shared" si="37"/>
        <v>102025</v>
      </c>
      <c r="E170" s="5">
        <f t="shared" si="37"/>
        <v>120137</v>
      </c>
      <c r="F170" s="5">
        <f t="shared" si="37"/>
        <v>135180</v>
      </c>
      <c r="G170" s="5">
        <f t="shared" si="37"/>
        <v>156814</v>
      </c>
      <c r="H170" s="5">
        <f t="shared" si="37"/>
        <v>170608</v>
      </c>
      <c r="I170" s="5">
        <f t="shared" si="37"/>
        <v>187514</v>
      </c>
      <c r="J170" s="5">
        <f t="shared" si="37"/>
        <v>195838</v>
      </c>
      <c r="K170" s="5">
        <f t="shared" si="37"/>
        <v>202575</v>
      </c>
      <c r="L170" s="83">
        <f t="shared" si="34"/>
        <v>1.0721665302782324</v>
      </c>
      <c r="M170" s="83">
        <f t="shared" si="35"/>
        <v>3.4400882361952226E-2</v>
      </c>
      <c r="N170" s="16">
        <f t="shared" si="36"/>
        <v>1</v>
      </c>
    </row>
    <row r="172" spans="1:14" ht="15">
      <c r="A172" s="41" t="s">
        <v>272</v>
      </c>
      <c r="B172" s="41"/>
      <c r="C172" s="41"/>
      <c r="D172" s="41"/>
      <c r="E172" s="41"/>
      <c r="F172" s="40"/>
      <c r="G172" s="40"/>
      <c r="H172" s="40"/>
      <c r="I172" s="40"/>
      <c r="J172" s="40"/>
      <c r="K172" s="40"/>
      <c r="L172" s="40"/>
      <c r="M172" s="40"/>
      <c r="N172" s="40"/>
    </row>
    <row r="173" spans="1:14" ht="28">
      <c r="A173" s="88" t="s">
        <v>275</v>
      </c>
      <c r="B173" s="3">
        <v>2008</v>
      </c>
      <c r="C173" s="3">
        <v>2009</v>
      </c>
      <c r="D173" s="3">
        <v>2010</v>
      </c>
      <c r="E173" s="3">
        <v>2011</v>
      </c>
      <c r="F173" s="3">
        <v>2012</v>
      </c>
      <c r="G173" s="3">
        <v>2013</v>
      </c>
      <c r="H173" s="3">
        <v>2014</v>
      </c>
      <c r="I173" s="3">
        <v>2015</v>
      </c>
      <c r="J173" s="3">
        <v>2016</v>
      </c>
      <c r="K173" s="3">
        <v>2017</v>
      </c>
      <c r="L173" s="13" t="s">
        <v>369</v>
      </c>
      <c r="M173" s="13" t="s">
        <v>368</v>
      </c>
      <c r="N173" s="13" t="s">
        <v>367</v>
      </c>
    </row>
    <row r="174" spans="1:14">
      <c r="A174" s="35" t="s">
        <v>256</v>
      </c>
      <c r="B174" s="35">
        <v>11939</v>
      </c>
      <c r="C174" s="35">
        <v>9844</v>
      </c>
      <c r="D174" s="35">
        <v>7798</v>
      </c>
      <c r="E174" s="35">
        <v>13651</v>
      </c>
      <c r="F174" s="4">
        <v>15758</v>
      </c>
      <c r="G174" s="4">
        <v>17386</v>
      </c>
      <c r="H174" s="4">
        <v>16699</v>
      </c>
      <c r="I174" s="4">
        <v>17670</v>
      </c>
      <c r="J174" s="4">
        <v>19532</v>
      </c>
      <c r="K174" s="4">
        <v>17977</v>
      </c>
      <c r="L174" s="101">
        <f t="shared" ref="L174:L176" si="38">(K174-B174)/B174</f>
        <v>0.50573749895301112</v>
      </c>
      <c r="M174" s="101">
        <f t="shared" ref="M174:M176" si="39">(K174-J174)/J174</f>
        <v>-7.9612942862994057E-2</v>
      </c>
      <c r="N174" s="14">
        <f>K174/K$176</f>
        <v>0.55850006213495718</v>
      </c>
    </row>
    <row r="175" spans="1:14">
      <c r="A175" s="35" t="s">
        <v>257</v>
      </c>
      <c r="B175" s="35">
        <v>7375</v>
      </c>
      <c r="C175" s="35">
        <v>6792</v>
      </c>
      <c r="D175" s="35">
        <v>6044</v>
      </c>
      <c r="E175" s="35">
        <v>8632</v>
      </c>
      <c r="F175" s="4">
        <v>9728</v>
      </c>
      <c r="G175" s="4">
        <v>10979</v>
      </c>
      <c r="H175" s="4">
        <v>11145</v>
      </c>
      <c r="I175" s="4">
        <v>12866</v>
      </c>
      <c r="J175" s="4">
        <v>14153</v>
      </c>
      <c r="K175" s="4">
        <v>14211</v>
      </c>
      <c r="L175" s="101">
        <f t="shared" si="38"/>
        <v>0.92691525423728816</v>
      </c>
      <c r="M175" s="101">
        <f t="shared" si="39"/>
        <v>4.0980710803363244E-3</v>
      </c>
      <c r="N175" s="14">
        <f>K175/K$176</f>
        <v>0.44149993786504288</v>
      </c>
    </row>
    <row r="176" spans="1:14">
      <c r="A176" s="5" t="s">
        <v>4</v>
      </c>
      <c r="B176" s="5">
        <f>SUM(B174:B175)</f>
        <v>19314</v>
      </c>
      <c r="C176" s="5">
        <f t="shared" ref="C176" si="40">SUM(C174:C175)</f>
        <v>16636</v>
      </c>
      <c r="D176" s="5">
        <f t="shared" ref="D176" si="41">SUM(D174:D175)</f>
        <v>13842</v>
      </c>
      <c r="E176" s="5">
        <f t="shared" ref="E176" si="42">SUM(E174:E175)</f>
        <v>22283</v>
      </c>
      <c r="F176" s="5">
        <f t="shared" ref="F176" si="43">SUM(F174:F175)</f>
        <v>25486</v>
      </c>
      <c r="G176" s="5">
        <f t="shared" ref="G176" si="44">SUM(G174:G175)</f>
        <v>28365</v>
      </c>
      <c r="H176" s="5">
        <f t="shared" ref="H176" si="45">SUM(H174:H175)</f>
        <v>27844</v>
      </c>
      <c r="I176" s="5">
        <f t="shared" ref="I176" si="46">SUM(I174:I175)</f>
        <v>30536</v>
      </c>
      <c r="J176" s="5">
        <f t="shared" ref="J176" si="47">SUM(J174:J175)</f>
        <v>33685</v>
      </c>
      <c r="K176" s="5">
        <f t="shared" ref="K176" si="48">SUM(K174:K175)</f>
        <v>32188</v>
      </c>
      <c r="L176" s="83">
        <f t="shared" si="38"/>
        <v>0.6665631148389769</v>
      </c>
      <c r="M176" s="83">
        <f t="shared" si="39"/>
        <v>-4.4441145910642722E-2</v>
      </c>
      <c r="N176" s="16">
        <f>SUM(N174:N175)</f>
        <v>1</v>
      </c>
    </row>
    <row r="178" spans="1:14" ht="15">
      <c r="A178" s="41" t="s">
        <v>273</v>
      </c>
      <c r="B178" s="41"/>
      <c r="C178" s="41"/>
      <c r="D178" s="41"/>
      <c r="E178" s="41"/>
      <c r="F178" s="40"/>
      <c r="G178" s="40"/>
      <c r="H178" s="40"/>
      <c r="I178" s="40"/>
      <c r="J178" s="40"/>
      <c r="K178" s="40"/>
      <c r="L178" s="40"/>
      <c r="M178" s="40"/>
      <c r="N178" s="40"/>
    </row>
    <row r="179" spans="1:14" ht="28">
      <c r="A179" s="88" t="s">
        <v>275</v>
      </c>
      <c r="B179" s="3">
        <v>2008</v>
      </c>
      <c r="C179" s="3">
        <v>2009</v>
      </c>
      <c r="D179" s="3">
        <v>2010</v>
      </c>
      <c r="E179" s="3">
        <v>2011</v>
      </c>
      <c r="F179" s="3">
        <v>2012</v>
      </c>
      <c r="G179" s="3">
        <v>2013</v>
      </c>
      <c r="H179" s="3">
        <v>2014</v>
      </c>
      <c r="I179" s="3">
        <v>2015</v>
      </c>
      <c r="J179" s="3">
        <v>2016</v>
      </c>
      <c r="K179" s="3">
        <v>2017</v>
      </c>
      <c r="L179" s="13" t="s">
        <v>369</v>
      </c>
      <c r="M179" s="13" t="s">
        <v>368</v>
      </c>
      <c r="N179" s="13" t="s">
        <v>367</v>
      </c>
    </row>
    <row r="180" spans="1:14">
      <c r="A180" s="35" t="s">
        <v>256</v>
      </c>
      <c r="B180" s="35">
        <v>9359</v>
      </c>
      <c r="C180" s="35">
        <v>12207</v>
      </c>
      <c r="D180" s="35">
        <v>12568</v>
      </c>
      <c r="E180" s="35">
        <v>16566</v>
      </c>
      <c r="F180" s="4">
        <v>21337</v>
      </c>
      <c r="G180" s="4">
        <v>26877</v>
      </c>
      <c r="H180" s="4">
        <v>31354</v>
      </c>
      <c r="I180" s="4">
        <v>37891</v>
      </c>
      <c r="J180" s="4">
        <v>41501</v>
      </c>
      <c r="K180" s="4">
        <v>44519</v>
      </c>
      <c r="L180" s="101">
        <f t="shared" ref="L180:L182" si="49">(K180-B180)/B180</f>
        <v>3.7568116251736297</v>
      </c>
      <c r="M180" s="101">
        <f t="shared" ref="M180:M182" si="50">(K180-J180)/J180</f>
        <v>7.2721139249656633E-2</v>
      </c>
      <c r="N180" s="14">
        <f>K180/K$182</f>
        <v>0.57089547453866962</v>
      </c>
    </row>
    <row r="181" spans="1:14">
      <c r="A181" s="35" t="s">
        <v>257</v>
      </c>
      <c r="B181" s="35">
        <v>9323</v>
      </c>
      <c r="C181" s="35">
        <v>11456</v>
      </c>
      <c r="D181" s="35">
        <v>11076</v>
      </c>
      <c r="E181" s="35">
        <v>14116</v>
      </c>
      <c r="F181" s="4">
        <v>16790</v>
      </c>
      <c r="G181" s="4">
        <v>20280</v>
      </c>
      <c r="H181" s="4">
        <v>24448</v>
      </c>
      <c r="I181" s="4">
        <v>29379</v>
      </c>
      <c r="J181" s="4">
        <v>31485</v>
      </c>
      <c r="K181" s="4">
        <v>33462</v>
      </c>
      <c r="L181" s="101">
        <f t="shared" si="49"/>
        <v>2.5891880296042045</v>
      </c>
      <c r="M181" s="101">
        <f t="shared" si="50"/>
        <v>6.2791805621724636E-2</v>
      </c>
      <c r="N181" s="14">
        <f>K181/K$182</f>
        <v>0.42910452546133032</v>
      </c>
    </row>
    <row r="182" spans="1:14">
      <c r="A182" s="5" t="s">
        <v>4</v>
      </c>
      <c r="B182" s="5">
        <f>SUM(B180:B181)</f>
        <v>18682</v>
      </c>
      <c r="C182" s="5">
        <f t="shared" ref="C182" si="51">SUM(C180:C181)</f>
        <v>23663</v>
      </c>
      <c r="D182" s="5">
        <f t="shared" ref="D182" si="52">SUM(D180:D181)</f>
        <v>23644</v>
      </c>
      <c r="E182" s="5">
        <f t="shared" ref="E182" si="53">SUM(E180:E181)</f>
        <v>30682</v>
      </c>
      <c r="F182" s="5">
        <f t="shared" ref="F182" si="54">SUM(F180:F181)</f>
        <v>38127</v>
      </c>
      <c r="G182" s="5">
        <f t="shared" ref="G182" si="55">SUM(G180:G181)</f>
        <v>47157</v>
      </c>
      <c r="H182" s="5">
        <f t="shared" ref="H182" si="56">SUM(H180:H181)</f>
        <v>55802</v>
      </c>
      <c r="I182" s="5">
        <f t="shared" ref="I182" si="57">SUM(I180:I181)</f>
        <v>67270</v>
      </c>
      <c r="J182" s="5">
        <f t="shared" ref="J182" si="58">SUM(J180:J181)</f>
        <v>72986</v>
      </c>
      <c r="K182" s="5">
        <f t="shared" ref="K182" si="59">SUM(K180:K181)</f>
        <v>77981</v>
      </c>
      <c r="L182" s="83">
        <f t="shared" si="49"/>
        <v>3.1741248260357562</v>
      </c>
      <c r="M182" s="83">
        <f t="shared" si="50"/>
        <v>6.8437782588441617E-2</v>
      </c>
      <c r="N182" s="16">
        <f>SUM(N180:N181)</f>
        <v>1</v>
      </c>
    </row>
    <row r="184" spans="1:14" ht="15">
      <c r="A184" s="41" t="s">
        <v>274</v>
      </c>
      <c r="B184" s="41"/>
      <c r="C184" s="41"/>
      <c r="D184" s="41"/>
      <c r="E184" s="41"/>
      <c r="F184" s="40"/>
      <c r="G184" s="40"/>
      <c r="H184" s="40"/>
      <c r="I184" s="40"/>
      <c r="J184" s="40"/>
      <c r="K184" s="40"/>
      <c r="L184" s="40"/>
      <c r="M184" s="40"/>
      <c r="N184" s="40"/>
    </row>
    <row r="185" spans="1:14" ht="28">
      <c r="A185" s="88" t="s">
        <v>275</v>
      </c>
      <c r="B185" s="3">
        <v>2008</v>
      </c>
      <c r="C185" s="3">
        <v>2009</v>
      </c>
      <c r="D185" s="3">
        <v>2010</v>
      </c>
      <c r="E185" s="3">
        <v>2011</v>
      </c>
      <c r="F185" s="3">
        <v>2012</v>
      </c>
      <c r="G185" s="3">
        <v>2013</v>
      </c>
      <c r="H185" s="3">
        <v>2014</v>
      </c>
      <c r="I185" s="3">
        <v>2015</v>
      </c>
      <c r="J185" s="3">
        <v>2016</v>
      </c>
      <c r="K185" s="3">
        <v>2017</v>
      </c>
      <c r="L185" s="13" t="s">
        <v>369</v>
      </c>
      <c r="M185" s="13" t="s">
        <v>368</v>
      </c>
      <c r="N185" s="13" t="s">
        <v>367</v>
      </c>
    </row>
    <row r="186" spans="1:14">
      <c r="A186" s="35" t="s">
        <v>256</v>
      </c>
      <c r="B186" s="35">
        <v>33744</v>
      </c>
      <c r="C186" s="35">
        <v>37965</v>
      </c>
      <c r="D186" s="35">
        <v>35328</v>
      </c>
      <c r="E186" s="35">
        <v>36726</v>
      </c>
      <c r="F186" s="4">
        <v>39356</v>
      </c>
      <c r="G186" s="4">
        <v>44658</v>
      </c>
      <c r="H186" s="4">
        <v>47402</v>
      </c>
      <c r="I186" s="4">
        <v>49001</v>
      </c>
      <c r="J186" s="4">
        <v>49997</v>
      </c>
      <c r="K186" s="4">
        <v>52120</v>
      </c>
      <c r="L186" s="101">
        <f t="shared" ref="L186:L188" si="60">(K186-B186)/B186</f>
        <v>0.54457088667614983</v>
      </c>
      <c r="M186" s="101">
        <f t="shared" ref="M186:M188" si="61">(K186-J186)/J186</f>
        <v>4.2462547752865169E-2</v>
      </c>
      <c r="N186" s="14">
        <f>K186/K$188</f>
        <v>0.56403263857325281</v>
      </c>
    </row>
    <row r="187" spans="1:14">
      <c r="A187" s="35" t="s">
        <v>257</v>
      </c>
      <c r="B187" s="35">
        <v>26020</v>
      </c>
      <c r="C187" s="35">
        <v>30565</v>
      </c>
      <c r="D187" s="35">
        <v>29211</v>
      </c>
      <c r="E187" s="35">
        <v>30446</v>
      </c>
      <c r="F187" s="4">
        <v>32211</v>
      </c>
      <c r="G187" s="4">
        <v>36634</v>
      </c>
      <c r="H187" s="4">
        <v>39560</v>
      </c>
      <c r="I187" s="4">
        <v>40707</v>
      </c>
      <c r="J187" s="4">
        <v>39170</v>
      </c>
      <c r="K187" s="4">
        <v>40286</v>
      </c>
      <c r="L187" s="101">
        <f t="shared" si="60"/>
        <v>0.54827056110684091</v>
      </c>
      <c r="M187" s="101">
        <f t="shared" si="61"/>
        <v>2.8491192238958386E-2</v>
      </c>
      <c r="N187" s="14">
        <f>K187/K$188</f>
        <v>0.43596736142674719</v>
      </c>
    </row>
    <row r="188" spans="1:14">
      <c r="A188" s="5" t="s">
        <v>4</v>
      </c>
      <c r="B188" s="5">
        <f>SUM(B186:B187)</f>
        <v>59764</v>
      </c>
      <c r="C188" s="5">
        <f t="shared" ref="C188" si="62">SUM(C186:C187)</f>
        <v>68530</v>
      </c>
      <c r="D188" s="5">
        <f t="shared" ref="D188" si="63">SUM(D186:D187)</f>
        <v>64539</v>
      </c>
      <c r="E188" s="5">
        <f t="shared" ref="E188" si="64">SUM(E186:E187)</f>
        <v>67172</v>
      </c>
      <c r="F188" s="5">
        <f t="shared" ref="F188" si="65">SUM(F186:F187)</f>
        <v>71567</v>
      </c>
      <c r="G188" s="5">
        <f t="shared" ref="G188" si="66">SUM(G186:G187)</f>
        <v>81292</v>
      </c>
      <c r="H188" s="5">
        <f t="shared" ref="H188" si="67">SUM(H186:H187)</f>
        <v>86962</v>
      </c>
      <c r="I188" s="5">
        <f t="shared" ref="I188" si="68">SUM(I186:I187)</f>
        <v>89708</v>
      </c>
      <c r="J188" s="5">
        <f t="shared" ref="J188" si="69">SUM(J186:J187)</f>
        <v>89167</v>
      </c>
      <c r="K188" s="5">
        <f t="shared" ref="K188" si="70">SUM(K186:K187)</f>
        <v>92406</v>
      </c>
      <c r="L188" s="83">
        <f t="shared" si="60"/>
        <v>0.54618164781473799</v>
      </c>
      <c r="M188" s="83">
        <f t="shared" si="61"/>
        <v>3.6325097850101497E-2</v>
      </c>
      <c r="N188" s="16">
        <f>SUM(N186:N187)</f>
        <v>1</v>
      </c>
    </row>
    <row r="189" spans="1:14">
      <c r="A189" s="76"/>
      <c r="B189" s="76"/>
      <c r="C189" s="76"/>
      <c r="D189" s="76"/>
      <c r="E189" s="76"/>
      <c r="F189" s="40"/>
      <c r="G189" s="40"/>
      <c r="H189" s="40"/>
      <c r="I189" s="40"/>
      <c r="J189" s="40"/>
      <c r="K189" s="40"/>
      <c r="L189" s="40"/>
      <c r="M189" s="40"/>
      <c r="N189" s="40"/>
    </row>
    <row r="190" spans="1:14" ht="15">
      <c r="A190" s="41" t="s">
        <v>96</v>
      </c>
      <c r="B190" s="41"/>
      <c r="C190" s="41"/>
      <c r="D190" s="41"/>
      <c r="E190" s="41"/>
      <c r="F190" s="40"/>
      <c r="G190" s="40"/>
      <c r="H190" s="40"/>
      <c r="I190" s="40"/>
      <c r="J190" s="40"/>
      <c r="K190" s="40"/>
      <c r="L190" s="40"/>
      <c r="M190" s="40"/>
      <c r="N190" s="40"/>
    </row>
    <row r="191" spans="1:14" ht="28">
      <c r="A191" s="88" t="s">
        <v>26</v>
      </c>
      <c r="B191" s="3">
        <v>2008</v>
      </c>
      <c r="C191" s="3">
        <v>2009</v>
      </c>
      <c r="D191" s="3">
        <v>2010</v>
      </c>
      <c r="E191" s="3">
        <v>2011</v>
      </c>
      <c r="F191" s="3">
        <v>2012</v>
      </c>
      <c r="G191" s="3">
        <v>2013</v>
      </c>
      <c r="H191" s="3">
        <v>2014</v>
      </c>
      <c r="I191" s="3">
        <v>2015</v>
      </c>
      <c r="J191" s="3">
        <v>2016</v>
      </c>
      <c r="K191" s="3">
        <v>2017</v>
      </c>
      <c r="L191" s="13" t="s">
        <v>369</v>
      </c>
      <c r="M191" s="13" t="s">
        <v>368</v>
      </c>
      <c r="N191" s="13" t="s">
        <v>367</v>
      </c>
    </row>
    <row r="192" spans="1:14">
      <c r="A192" s="4" t="s">
        <v>27</v>
      </c>
      <c r="B192" s="4">
        <v>16</v>
      </c>
      <c r="C192" s="4">
        <v>26</v>
      </c>
      <c r="D192" s="4">
        <v>17</v>
      </c>
      <c r="E192" s="4">
        <v>29</v>
      </c>
      <c r="F192" s="4">
        <v>20</v>
      </c>
      <c r="G192" s="4">
        <v>33</v>
      </c>
      <c r="H192" s="4">
        <v>61</v>
      </c>
      <c r="I192" s="4">
        <v>71</v>
      </c>
      <c r="J192" s="4">
        <v>202</v>
      </c>
      <c r="K192" s="4">
        <v>238</v>
      </c>
      <c r="L192" s="14">
        <v>9.1</v>
      </c>
      <c r="M192" s="14">
        <v>1.8450704225352113</v>
      </c>
      <c r="N192" s="14">
        <v>3.5597323081304287E-4</v>
      </c>
    </row>
    <row r="193" spans="1:14">
      <c r="A193" s="4" t="s">
        <v>28</v>
      </c>
      <c r="B193" s="4">
        <v>33404</v>
      </c>
      <c r="C193" s="4">
        <v>35822</v>
      </c>
      <c r="D193" s="4">
        <v>33788</v>
      </c>
      <c r="E193" s="4">
        <v>44146</v>
      </c>
      <c r="F193" s="4">
        <v>49618</v>
      </c>
      <c r="G193" s="4">
        <v>56569</v>
      </c>
      <c r="H193" s="4">
        <v>59701</v>
      </c>
      <c r="I193" s="4">
        <v>65430</v>
      </c>
      <c r="J193" s="4">
        <v>72171</v>
      </c>
      <c r="K193" s="4">
        <v>74643</v>
      </c>
      <c r="L193" s="14">
        <v>0.45456194449483039</v>
      </c>
      <c r="M193" s="14">
        <v>0.10300927694823554</v>
      </c>
      <c r="N193" s="14">
        <v>0.35421709620769853</v>
      </c>
    </row>
    <row r="194" spans="1:14">
      <c r="A194" s="4" t="s">
        <v>29</v>
      </c>
      <c r="B194" s="4">
        <v>40712</v>
      </c>
      <c r="C194" s="4">
        <v>45600</v>
      </c>
      <c r="D194" s="4">
        <v>42700</v>
      </c>
      <c r="E194" s="4">
        <v>46890</v>
      </c>
      <c r="F194" s="4">
        <v>52799</v>
      </c>
      <c r="G194" s="4">
        <v>61860</v>
      </c>
      <c r="H194" s="4">
        <v>67486</v>
      </c>
      <c r="I194" s="4">
        <v>72883</v>
      </c>
      <c r="J194" s="4">
        <v>71883</v>
      </c>
      <c r="K194" s="4">
        <v>74216</v>
      </c>
      <c r="L194" s="14">
        <v>0.36099999999999999</v>
      </c>
      <c r="M194" s="14">
        <v>-1.3720620720881413E-2</v>
      </c>
      <c r="N194" s="14">
        <v>0.39639992405904412</v>
      </c>
    </row>
    <row r="195" spans="1:14">
      <c r="A195" s="4" t="s">
        <v>30</v>
      </c>
      <c r="B195" s="4">
        <v>11440</v>
      </c>
      <c r="C195" s="4">
        <v>13120</v>
      </c>
      <c r="D195" s="4">
        <v>12389</v>
      </c>
      <c r="E195" s="4">
        <v>14405</v>
      </c>
      <c r="F195" s="4">
        <v>16418</v>
      </c>
      <c r="G195" s="4">
        <v>19499</v>
      </c>
      <c r="H195" s="4">
        <v>21912</v>
      </c>
      <c r="I195" s="4">
        <v>23928</v>
      </c>
      <c r="J195" s="4">
        <v>24527</v>
      </c>
      <c r="K195" s="4">
        <v>25515</v>
      </c>
      <c r="L195" s="14">
        <v>0.4944552766268584</v>
      </c>
      <c r="M195" s="14">
        <v>2.5033433634236043E-2</v>
      </c>
      <c r="N195" s="14">
        <v>0.12605012103089847</v>
      </c>
    </row>
    <row r="196" spans="1:14">
      <c r="A196" s="4" t="s">
        <v>31</v>
      </c>
      <c r="B196" s="4">
        <v>5491</v>
      </c>
      <c r="C196" s="4">
        <v>6642</v>
      </c>
      <c r="D196" s="4">
        <v>6223</v>
      </c>
      <c r="E196" s="4">
        <v>6974</v>
      </c>
      <c r="F196" s="4">
        <v>7794</v>
      </c>
      <c r="G196" s="4">
        <v>9103</v>
      </c>
      <c r="H196" s="4">
        <v>10307</v>
      </c>
      <c r="I196" s="4">
        <v>11953</v>
      </c>
      <c r="J196" s="4">
        <v>12766</v>
      </c>
      <c r="K196" s="4">
        <v>13671</v>
      </c>
      <c r="L196" s="14">
        <v>0.63800000000000001</v>
      </c>
      <c r="M196" s="14">
        <v>6.8016397557098637E-2</v>
      </c>
      <c r="N196" s="14">
        <v>5.9109354976505768E-2</v>
      </c>
    </row>
    <row r="197" spans="1:14">
      <c r="A197" s="4" t="s">
        <v>32</v>
      </c>
      <c r="B197" s="4">
        <v>6566</v>
      </c>
      <c r="C197" s="4">
        <v>7594</v>
      </c>
      <c r="D197" s="4">
        <v>6890</v>
      </c>
      <c r="E197" s="4">
        <v>7674</v>
      </c>
      <c r="F197" s="4">
        <v>8515</v>
      </c>
      <c r="G197" s="4">
        <v>9740</v>
      </c>
      <c r="H197" s="4">
        <v>11066</v>
      </c>
      <c r="I197" s="4">
        <v>13229</v>
      </c>
      <c r="J197" s="4">
        <v>14286</v>
      </c>
      <c r="K197" s="4">
        <v>14291</v>
      </c>
      <c r="L197" s="14">
        <v>0.67800000000000005</v>
      </c>
      <c r="M197" s="14">
        <v>7.9900219215360196E-2</v>
      </c>
      <c r="N197" s="14">
        <v>6.3428496843704024E-2</v>
      </c>
    </row>
    <row r="198" spans="1:14">
      <c r="A198" s="4" t="s">
        <v>33</v>
      </c>
      <c r="B198" s="4">
        <v>131</v>
      </c>
      <c r="C198" s="4">
        <v>25</v>
      </c>
      <c r="D198" s="4">
        <v>18</v>
      </c>
      <c r="E198" s="4">
        <v>19</v>
      </c>
      <c r="F198" s="4">
        <v>16</v>
      </c>
      <c r="G198" s="4">
        <v>10</v>
      </c>
      <c r="H198" s="4">
        <v>75</v>
      </c>
      <c r="I198" s="4">
        <v>20</v>
      </c>
      <c r="J198" s="4">
        <v>3</v>
      </c>
      <c r="K198" s="4">
        <v>1</v>
      </c>
      <c r="L198" s="14">
        <v>-0.8125</v>
      </c>
      <c r="M198" s="14">
        <v>-0.85</v>
      </c>
      <c r="N198" s="14">
        <v>4.3903365133608622E-4</v>
      </c>
    </row>
    <row r="199" spans="1:14">
      <c r="A199" s="5" t="s">
        <v>4</v>
      </c>
      <c r="B199" s="5">
        <f>SUM(B192:B198)</f>
        <v>97760</v>
      </c>
      <c r="C199" s="5">
        <f t="shared" ref="C199:K199" si="71">SUM(C192:C198)</f>
        <v>108829</v>
      </c>
      <c r="D199" s="5">
        <f t="shared" si="71"/>
        <v>102025</v>
      </c>
      <c r="E199" s="5">
        <f t="shared" si="71"/>
        <v>120137</v>
      </c>
      <c r="F199" s="5">
        <f t="shared" si="71"/>
        <v>135180</v>
      </c>
      <c r="G199" s="5">
        <f t="shared" si="71"/>
        <v>156814</v>
      </c>
      <c r="H199" s="5">
        <f t="shared" si="71"/>
        <v>170608</v>
      </c>
      <c r="I199" s="5">
        <f t="shared" si="71"/>
        <v>187514</v>
      </c>
      <c r="J199" s="5">
        <f t="shared" si="71"/>
        <v>195838</v>
      </c>
      <c r="K199" s="5">
        <f t="shared" si="71"/>
        <v>202575</v>
      </c>
      <c r="L199" s="16">
        <v>0.44904180540140587</v>
      </c>
      <c r="M199" s="16">
        <v>4.4385782470735671E-2</v>
      </c>
      <c r="N199" s="16">
        <v>1</v>
      </c>
    </row>
    <row r="200" spans="1:14">
      <c r="A200" s="94" t="s">
        <v>97</v>
      </c>
      <c r="B200" s="102">
        <v>27.761710147599587</v>
      </c>
      <c r="C200" s="102">
        <v>27.943703566978911</v>
      </c>
      <c r="D200" s="102">
        <v>27.881695746839931</v>
      </c>
      <c r="E200" s="102">
        <v>27.567140838121045</v>
      </c>
      <c r="F200" s="102">
        <v>27.582788316415613</v>
      </c>
      <c r="G200" s="102">
        <v>27.611451238488815</v>
      </c>
      <c r="H200" s="102">
        <v>27.735904487694462</v>
      </c>
      <c r="I200" s="102">
        <v>27.862544934771247</v>
      </c>
      <c r="J200" s="102">
        <v>27.837317129215922</v>
      </c>
      <c r="K200" s="102">
        <v>27.816748447480922</v>
      </c>
      <c r="L200" s="96"/>
      <c r="M200" s="96"/>
      <c r="N200" s="93"/>
    </row>
    <row r="201" spans="1:14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</row>
    <row r="202" spans="1:14">
      <c r="A202" s="76"/>
      <c r="B202" s="76"/>
      <c r="C202" s="76"/>
      <c r="D202" s="76"/>
      <c r="E202" s="76"/>
      <c r="F202" s="40"/>
      <c r="G202" s="40"/>
      <c r="H202" s="40"/>
      <c r="I202" s="40"/>
      <c r="J202" s="40"/>
      <c r="K202" s="40"/>
      <c r="L202" s="40"/>
      <c r="M202" s="40"/>
      <c r="N202" s="40"/>
    </row>
    <row r="203" spans="1:14">
      <c r="A203" s="70" t="s">
        <v>294</v>
      </c>
      <c r="B203" s="70"/>
      <c r="C203" s="70"/>
      <c r="D203" s="70"/>
      <c r="E203" s="70"/>
      <c r="F203" s="40"/>
      <c r="G203" s="40"/>
      <c r="H203" s="40"/>
      <c r="I203" s="40"/>
      <c r="J203" s="40"/>
      <c r="K203" s="40"/>
      <c r="L203" s="40"/>
      <c r="M203" s="40"/>
      <c r="N203" s="40"/>
    </row>
    <row r="204" spans="1:14">
      <c r="A204" s="76"/>
      <c r="B204" s="76"/>
      <c r="C204" s="76"/>
      <c r="D204" s="76"/>
      <c r="E204" s="76"/>
      <c r="F204" s="40"/>
      <c r="G204" s="40"/>
      <c r="H204" s="40"/>
      <c r="I204" s="40"/>
      <c r="J204" s="40"/>
      <c r="K204" s="40"/>
      <c r="L204" s="40"/>
      <c r="M204" s="40"/>
      <c r="N204" s="40"/>
    </row>
    <row r="205" spans="1:14">
      <c r="A205" s="78" t="s">
        <v>21</v>
      </c>
      <c r="B205" s="78"/>
      <c r="C205" s="78"/>
      <c r="D205" s="78"/>
      <c r="E205" s="78"/>
      <c r="F205" s="40"/>
      <c r="G205" s="40"/>
      <c r="H205" s="40"/>
      <c r="I205" s="40"/>
      <c r="J205" s="40"/>
      <c r="K205" s="40"/>
      <c r="L205" s="40"/>
      <c r="M205" s="40"/>
      <c r="N205" s="40"/>
    </row>
    <row r="206" spans="1:14">
      <c r="A206" s="76"/>
      <c r="B206" s="76"/>
      <c r="C206" s="76"/>
      <c r="D206" s="76"/>
      <c r="E206" s="76"/>
      <c r="F206" s="40"/>
      <c r="G206" s="40"/>
      <c r="H206" s="40"/>
      <c r="I206" s="40"/>
      <c r="J206" s="40"/>
      <c r="K206" s="40"/>
      <c r="L206" s="40"/>
      <c r="M206" s="40"/>
      <c r="N206" s="40"/>
    </row>
  </sheetData>
  <hyperlinks>
    <hyperlink ref="A205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showGridLines="0" workbookViewId="0">
      <pane ySplit="2" topLeftCell="A3" activePane="bottomLeft" state="frozen"/>
      <selection pane="bottomLeft" activeCell="F6" sqref="F6"/>
    </sheetView>
  </sheetViews>
  <sheetFormatPr baseColWidth="10" defaultRowHeight="14" x14ac:dyDescent="0"/>
  <cols>
    <col min="1" max="1" width="35.83203125" style="1" customWidth="1"/>
    <col min="2" max="3" width="14.33203125" style="45" customWidth="1"/>
    <col min="4" max="4" width="15.5" style="45" customWidth="1"/>
    <col min="5" max="16384" width="10.83203125" style="2"/>
  </cols>
  <sheetData>
    <row r="1" spans="1:6" ht="20">
      <c r="A1" s="66" t="s">
        <v>388</v>
      </c>
      <c r="B1" s="46"/>
      <c r="C1" s="46"/>
      <c r="D1" s="46"/>
      <c r="E1" s="1"/>
      <c r="F1" s="1"/>
    </row>
    <row r="2" spans="1:6">
      <c r="A2" s="40"/>
      <c r="B2" s="46"/>
      <c r="C2" s="46"/>
      <c r="D2" s="46"/>
      <c r="E2" s="1"/>
      <c r="F2" s="1"/>
    </row>
    <row r="3" spans="1:6">
      <c r="A3" s="40"/>
      <c r="B3" s="46"/>
      <c r="C3" s="46"/>
      <c r="D3" s="46"/>
      <c r="E3" s="1"/>
      <c r="F3" s="1"/>
    </row>
    <row r="4" spans="1:6" ht="15">
      <c r="A4" s="25" t="s">
        <v>348</v>
      </c>
      <c r="B4" s="46"/>
      <c r="C4" s="46"/>
      <c r="D4" s="46"/>
      <c r="E4" s="1"/>
      <c r="F4" s="1"/>
    </row>
    <row r="5" spans="1:6">
      <c r="A5" s="88" t="s">
        <v>298</v>
      </c>
      <c r="B5" s="47" t="s">
        <v>98</v>
      </c>
      <c r="C5" s="47" t="s">
        <v>99</v>
      </c>
      <c r="D5" s="47" t="s">
        <v>8</v>
      </c>
      <c r="E5" s="1"/>
      <c r="F5" s="1"/>
    </row>
    <row r="6" spans="1:6">
      <c r="A6" s="32" t="s">
        <v>291</v>
      </c>
      <c r="B6" s="43">
        <v>320</v>
      </c>
      <c r="C6" s="43">
        <v>3670</v>
      </c>
      <c r="D6" s="43">
        <v>3990</v>
      </c>
      <c r="E6" s="1"/>
      <c r="F6" s="1"/>
    </row>
    <row r="7" spans="1:6">
      <c r="A7" s="32" t="s">
        <v>292</v>
      </c>
      <c r="B7" s="43">
        <v>342</v>
      </c>
      <c r="C7" s="43">
        <v>3074</v>
      </c>
      <c r="D7" s="43">
        <v>3416</v>
      </c>
      <c r="E7" s="1"/>
      <c r="F7" s="1"/>
    </row>
    <row r="8" spans="1:6">
      <c r="A8" s="32" t="s">
        <v>293</v>
      </c>
      <c r="B8" s="43">
        <v>63</v>
      </c>
      <c r="C8" s="43">
        <v>7092</v>
      </c>
      <c r="D8" s="43">
        <v>7155</v>
      </c>
      <c r="E8" s="1"/>
      <c r="F8" s="1"/>
    </row>
    <row r="9" spans="1:6">
      <c r="A9" s="5" t="s">
        <v>4</v>
      </c>
      <c r="B9" s="44">
        <v>725</v>
      </c>
      <c r="C9" s="44">
        <v>13836</v>
      </c>
      <c r="D9" s="44">
        <v>14561</v>
      </c>
      <c r="E9" s="1"/>
      <c r="F9" s="1"/>
    </row>
    <row r="10" spans="1:6">
      <c r="A10" s="40"/>
      <c r="B10" s="46"/>
      <c r="C10" s="46"/>
      <c r="D10" s="46"/>
      <c r="E10" s="1"/>
      <c r="F10" s="1"/>
    </row>
    <row r="11" spans="1:6" ht="15">
      <c r="A11" s="25" t="s">
        <v>349</v>
      </c>
      <c r="B11" s="46"/>
      <c r="C11" s="46"/>
      <c r="D11" s="46"/>
      <c r="E11" s="1"/>
      <c r="F11" s="1"/>
    </row>
    <row r="12" spans="1:6">
      <c r="A12" s="88" t="s">
        <v>275</v>
      </c>
      <c r="B12" s="47" t="s">
        <v>98</v>
      </c>
      <c r="C12" s="47" t="s">
        <v>99</v>
      </c>
      <c r="D12" s="47" t="s">
        <v>8</v>
      </c>
      <c r="E12" s="1"/>
      <c r="F12" s="1"/>
    </row>
    <row r="13" spans="1:6">
      <c r="A13" s="4" t="s">
        <v>389</v>
      </c>
      <c r="B13" s="43">
        <v>317</v>
      </c>
      <c r="C13" s="43">
        <v>6904</v>
      </c>
      <c r="D13" s="43">
        <v>7221</v>
      </c>
      <c r="E13" s="1"/>
      <c r="F13" s="1"/>
    </row>
    <row r="14" spans="1:6">
      <c r="A14" s="4" t="s">
        <v>390</v>
      </c>
      <c r="B14" s="43">
        <v>408</v>
      </c>
      <c r="C14" s="43">
        <v>6932</v>
      </c>
      <c r="D14" s="43">
        <v>7340</v>
      </c>
      <c r="E14" s="1"/>
      <c r="F14" s="1"/>
    </row>
    <row r="15" spans="1:6">
      <c r="A15" s="5" t="s">
        <v>391</v>
      </c>
      <c r="B15" s="44">
        <f t="shared" ref="B15:C15" si="0">SUM(B13:B14)</f>
        <v>725</v>
      </c>
      <c r="C15" s="44">
        <f t="shared" si="0"/>
        <v>13836</v>
      </c>
      <c r="D15" s="44">
        <f>SUM(D13:D14)</f>
        <v>14561</v>
      </c>
      <c r="E15" s="1"/>
      <c r="F15" s="1"/>
    </row>
    <row r="16" spans="1:6">
      <c r="E16" s="1"/>
      <c r="F16" s="1"/>
    </row>
    <row r="17" spans="1:6" ht="15">
      <c r="A17" s="25" t="s">
        <v>350</v>
      </c>
      <c r="B17" s="46"/>
      <c r="C17" s="46"/>
      <c r="D17" s="46"/>
      <c r="E17" s="1"/>
      <c r="F17" s="1"/>
    </row>
    <row r="18" spans="1:6">
      <c r="A18" s="88" t="s">
        <v>26</v>
      </c>
      <c r="B18" s="47" t="s">
        <v>98</v>
      </c>
      <c r="C18" s="47" t="s">
        <v>99</v>
      </c>
      <c r="D18" s="47" t="s">
        <v>8</v>
      </c>
      <c r="E18" s="1"/>
      <c r="F18" s="1"/>
    </row>
    <row r="19" spans="1:6">
      <c r="A19" s="4" t="s">
        <v>28</v>
      </c>
      <c r="B19" s="43"/>
      <c r="C19" s="43">
        <v>457</v>
      </c>
      <c r="D19" s="43">
        <v>457</v>
      </c>
      <c r="E19" s="1"/>
      <c r="F19" s="1"/>
    </row>
    <row r="20" spans="1:6">
      <c r="A20" s="4" t="s">
        <v>29</v>
      </c>
      <c r="B20" s="43">
        <v>62</v>
      </c>
      <c r="C20" s="43">
        <v>3386</v>
      </c>
      <c r="D20" s="43">
        <v>3448</v>
      </c>
      <c r="E20" s="1"/>
      <c r="F20" s="1"/>
    </row>
    <row r="21" spans="1:6">
      <c r="A21" s="4" t="s">
        <v>30</v>
      </c>
      <c r="B21" s="43">
        <v>299</v>
      </c>
      <c r="C21" s="43">
        <v>3607</v>
      </c>
      <c r="D21" s="43">
        <v>3906</v>
      </c>
      <c r="E21" s="1"/>
      <c r="F21" s="1"/>
    </row>
    <row r="22" spans="1:6">
      <c r="A22" s="4" t="s">
        <v>31</v>
      </c>
      <c r="B22" s="43">
        <v>152</v>
      </c>
      <c r="C22" s="43">
        <v>2616</v>
      </c>
      <c r="D22" s="43">
        <v>2768</v>
      </c>
      <c r="E22" s="1"/>
      <c r="F22" s="1"/>
    </row>
    <row r="23" spans="1:6">
      <c r="A23" s="4" t="s">
        <v>32</v>
      </c>
      <c r="B23" s="43">
        <v>212</v>
      </c>
      <c r="C23" s="43">
        <v>3768</v>
      </c>
      <c r="D23" s="43">
        <v>3980</v>
      </c>
      <c r="E23" s="1"/>
      <c r="F23" s="1"/>
    </row>
    <row r="24" spans="1:6">
      <c r="A24" s="4" t="s">
        <v>33</v>
      </c>
      <c r="B24" s="43"/>
      <c r="C24" s="43">
        <v>2</v>
      </c>
      <c r="D24" s="43">
        <v>2</v>
      </c>
      <c r="E24" s="1"/>
      <c r="F24" s="1"/>
    </row>
    <row r="25" spans="1:6">
      <c r="A25" s="5" t="s">
        <v>4</v>
      </c>
      <c r="B25" s="44">
        <f>SUM(B19:B24)</f>
        <v>725</v>
      </c>
      <c r="C25" s="44">
        <f t="shared" ref="C25:D25" si="1">SUM(C19:C24)</f>
        <v>13836</v>
      </c>
      <c r="D25" s="44">
        <f t="shared" si="1"/>
        <v>14561</v>
      </c>
      <c r="E25" s="1"/>
      <c r="F25" s="1"/>
    </row>
    <row r="26" spans="1:6">
      <c r="A26" s="94" t="s">
        <v>34</v>
      </c>
      <c r="B26" s="95">
        <v>37.1</v>
      </c>
      <c r="C26" s="95">
        <v>35.5</v>
      </c>
      <c r="D26" s="95">
        <v>35.6</v>
      </c>
      <c r="E26" s="1"/>
      <c r="F26" s="1"/>
    </row>
    <row r="27" spans="1:6">
      <c r="B27" s="1"/>
      <c r="C27" s="1"/>
      <c r="D27" s="1"/>
      <c r="E27" s="1"/>
      <c r="F27" s="1"/>
    </row>
    <row r="28" spans="1:6" ht="15">
      <c r="A28" s="25" t="s">
        <v>351</v>
      </c>
      <c r="B28" s="46"/>
      <c r="C28" s="46"/>
      <c r="D28" s="46"/>
    </row>
    <row r="29" spans="1:6">
      <c r="A29" s="88" t="s">
        <v>10</v>
      </c>
      <c r="B29" s="47" t="s">
        <v>98</v>
      </c>
      <c r="C29" s="47" t="s">
        <v>99</v>
      </c>
      <c r="D29" s="47" t="s">
        <v>8</v>
      </c>
    </row>
    <row r="30" spans="1:6">
      <c r="A30" s="4" t="s">
        <v>11</v>
      </c>
      <c r="B30" s="43">
        <v>5</v>
      </c>
      <c r="C30" s="43">
        <v>4813</v>
      </c>
      <c r="D30" s="43">
        <v>4818</v>
      </c>
    </row>
    <row r="31" spans="1:6">
      <c r="A31" s="4" t="s">
        <v>12</v>
      </c>
      <c r="B31" s="43">
        <v>52</v>
      </c>
      <c r="C31" s="43">
        <v>200</v>
      </c>
      <c r="D31" s="43">
        <v>252</v>
      </c>
    </row>
    <row r="32" spans="1:6">
      <c r="A32" s="4" t="s">
        <v>13</v>
      </c>
      <c r="B32" s="43">
        <v>10</v>
      </c>
      <c r="C32" s="43">
        <v>341</v>
      </c>
      <c r="D32" s="43">
        <v>351</v>
      </c>
    </row>
    <row r="33" spans="1:6">
      <c r="A33" s="4" t="s">
        <v>14</v>
      </c>
      <c r="B33" s="43">
        <v>231</v>
      </c>
      <c r="C33" s="43">
        <v>400</v>
      </c>
      <c r="D33" s="43">
        <v>631</v>
      </c>
    </row>
    <row r="34" spans="1:6">
      <c r="A34" s="4" t="s">
        <v>15</v>
      </c>
      <c r="B34" s="43">
        <v>91</v>
      </c>
      <c r="C34" s="43">
        <v>2041</v>
      </c>
      <c r="D34" s="43">
        <v>2132</v>
      </c>
    </row>
    <row r="35" spans="1:6">
      <c r="A35" s="4" t="s">
        <v>16</v>
      </c>
      <c r="B35" s="43">
        <v>15</v>
      </c>
      <c r="C35" s="43">
        <v>717</v>
      </c>
      <c r="D35" s="43">
        <v>732</v>
      </c>
    </row>
    <row r="36" spans="1:6">
      <c r="A36" s="4" t="s">
        <v>17</v>
      </c>
      <c r="B36" s="43">
        <v>47</v>
      </c>
      <c r="C36" s="43">
        <v>3050</v>
      </c>
      <c r="D36" s="43">
        <v>3097</v>
      </c>
    </row>
    <row r="37" spans="1:6">
      <c r="A37" s="4" t="s">
        <v>18</v>
      </c>
      <c r="B37" s="43">
        <v>87</v>
      </c>
      <c r="C37" s="43">
        <v>250</v>
      </c>
      <c r="D37" s="43">
        <v>337</v>
      </c>
    </row>
    <row r="38" spans="1:6">
      <c r="A38" s="4" t="s">
        <v>19</v>
      </c>
      <c r="B38" s="43">
        <v>56</v>
      </c>
      <c r="C38" s="43">
        <v>690</v>
      </c>
      <c r="D38" s="43">
        <v>746</v>
      </c>
    </row>
    <row r="39" spans="1:6">
      <c r="A39" s="4" t="s">
        <v>20</v>
      </c>
      <c r="B39" s="43">
        <v>131</v>
      </c>
      <c r="C39" s="43">
        <v>1334</v>
      </c>
      <c r="D39" s="43">
        <v>1465</v>
      </c>
    </row>
    <row r="40" spans="1:6">
      <c r="A40" s="5" t="s">
        <v>4</v>
      </c>
      <c r="B40" s="44">
        <v>725</v>
      </c>
      <c r="C40" s="44">
        <v>13836</v>
      </c>
      <c r="D40" s="44">
        <v>14561</v>
      </c>
    </row>
    <row r="41" spans="1:6">
      <c r="A41" s="40"/>
      <c r="B41" s="46"/>
      <c r="C41" s="46"/>
      <c r="D41" s="46"/>
    </row>
    <row r="42" spans="1:6" ht="15">
      <c r="A42" s="25" t="s">
        <v>352</v>
      </c>
      <c r="B42" s="46"/>
      <c r="C42" s="46"/>
      <c r="D42" s="46"/>
    </row>
    <row r="43" spans="1:6">
      <c r="A43" s="88" t="s">
        <v>42</v>
      </c>
      <c r="B43" s="47" t="s">
        <v>98</v>
      </c>
      <c r="C43" s="47" t="s">
        <v>99</v>
      </c>
      <c r="D43" s="47" t="s">
        <v>8</v>
      </c>
      <c r="E43" s="1"/>
      <c r="F43" s="1"/>
    </row>
    <row r="44" spans="1:6">
      <c r="A44" s="4" t="s">
        <v>43</v>
      </c>
      <c r="B44" s="43">
        <v>622</v>
      </c>
      <c r="C44" s="43">
        <v>5552</v>
      </c>
      <c r="D44" s="44">
        <v>6174</v>
      </c>
      <c r="E44" s="1"/>
    </row>
    <row r="45" spans="1:6">
      <c r="A45" s="4" t="s">
        <v>44</v>
      </c>
      <c r="B45" s="43">
        <v>87</v>
      </c>
      <c r="C45" s="43">
        <v>5135</v>
      </c>
      <c r="D45" s="44">
        <v>5222</v>
      </c>
      <c r="E45" s="1"/>
    </row>
    <row r="46" spans="1:6">
      <c r="A46" s="32" t="s">
        <v>278</v>
      </c>
      <c r="B46" s="43">
        <v>2</v>
      </c>
      <c r="C46" s="43">
        <v>355</v>
      </c>
      <c r="D46" s="44">
        <v>357</v>
      </c>
      <c r="E46" s="1"/>
    </row>
    <row r="47" spans="1:6">
      <c r="A47" s="32" t="s">
        <v>283</v>
      </c>
      <c r="B47" s="43">
        <v>4</v>
      </c>
      <c r="C47" s="43">
        <v>1093</v>
      </c>
      <c r="D47" s="44">
        <v>1097</v>
      </c>
      <c r="E47" s="1"/>
    </row>
    <row r="48" spans="1:6">
      <c r="A48" s="4" t="s">
        <v>45</v>
      </c>
      <c r="B48" s="43">
        <v>10</v>
      </c>
      <c r="C48" s="43">
        <v>1701</v>
      </c>
      <c r="D48" s="44">
        <v>1711</v>
      </c>
      <c r="E48" s="1"/>
    </row>
    <row r="49" spans="1:6">
      <c r="A49" s="5" t="s">
        <v>4</v>
      </c>
      <c r="B49" s="44">
        <v>725</v>
      </c>
      <c r="C49" s="44">
        <v>13836</v>
      </c>
      <c r="D49" s="44">
        <v>14561</v>
      </c>
      <c r="E49" s="1"/>
    </row>
    <row r="50" spans="1:6">
      <c r="A50" s="40"/>
      <c r="B50" s="46"/>
      <c r="C50" s="46"/>
      <c r="D50" s="46"/>
      <c r="E50" s="1"/>
      <c r="F50" s="33"/>
    </row>
    <row r="51" spans="1:6" ht="15">
      <c r="A51" s="25" t="s">
        <v>353</v>
      </c>
      <c r="B51" s="46"/>
      <c r="C51" s="46"/>
      <c r="D51" s="46"/>
      <c r="E51" s="1"/>
    </row>
    <row r="52" spans="1:6">
      <c r="A52" s="88" t="s">
        <v>9</v>
      </c>
      <c r="B52" s="47" t="s">
        <v>98</v>
      </c>
      <c r="C52" s="47" t="s">
        <v>99</v>
      </c>
      <c r="D52" s="47" t="s">
        <v>8</v>
      </c>
      <c r="F52" s="33"/>
    </row>
    <row r="53" spans="1:6">
      <c r="A53" s="4" t="s">
        <v>303</v>
      </c>
      <c r="B53" s="43">
        <v>3</v>
      </c>
      <c r="C53" s="43">
        <v>62</v>
      </c>
      <c r="D53" s="43">
        <v>65</v>
      </c>
    </row>
    <row r="54" spans="1:6">
      <c r="A54" s="4" t="s">
        <v>304</v>
      </c>
      <c r="B54" s="43">
        <v>0</v>
      </c>
      <c r="C54" s="43">
        <v>107</v>
      </c>
      <c r="D54" s="43">
        <v>107</v>
      </c>
      <c r="F54" s="33"/>
    </row>
    <row r="55" spans="1:6">
      <c r="A55" s="4" t="s">
        <v>305</v>
      </c>
      <c r="B55" s="43">
        <v>23</v>
      </c>
      <c r="C55" s="43">
        <v>243</v>
      </c>
      <c r="D55" s="43">
        <v>266</v>
      </c>
    </row>
    <row r="56" spans="1:6">
      <c r="A56" s="4" t="s">
        <v>306</v>
      </c>
      <c r="B56" s="43">
        <v>0</v>
      </c>
      <c r="C56" s="43">
        <v>11</v>
      </c>
      <c r="D56" s="43">
        <v>11</v>
      </c>
      <c r="F56" s="33"/>
    </row>
    <row r="57" spans="1:6">
      <c r="A57" s="4" t="s">
        <v>307</v>
      </c>
      <c r="B57" s="43">
        <v>3</v>
      </c>
      <c r="C57" s="43">
        <v>139</v>
      </c>
      <c r="D57" s="43">
        <v>142</v>
      </c>
    </row>
    <row r="58" spans="1:6">
      <c r="A58" s="4" t="s">
        <v>308</v>
      </c>
      <c r="B58" s="43">
        <v>99</v>
      </c>
      <c r="C58" s="43">
        <v>980</v>
      </c>
      <c r="D58" s="43">
        <v>1079</v>
      </c>
      <c r="F58" s="33"/>
    </row>
    <row r="59" spans="1:6">
      <c r="A59" s="32" t="s">
        <v>329</v>
      </c>
      <c r="B59" s="43">
        <v>438</v>
      </c>
      <c r="C59" s="43">
        <v>9802</v>
      </c>
      <c r="D59" s="43">
        <v>10240</v>
      </c>
    </row>
    <row r="60" spans="1:6">
      <c r="A60" s="4" t="s">
        <v>309</v>
      </c>
      <c r="B60" s="43">
        <v>0</v>
      </c>
      <c r="C60" s="43">
        <v>0</v>
      </c>
      <c r="D60" s="43">
        <v>0</v>
      </c>
      <c r="F60" s="33"/>
    </row>
    <row r="61" spans="1:6">
      <c r="A61" s="4" t="s">
        <v>310</v>
      </c>
      <c r="B61" s="43">
        <v>15</v>
      </c>
      <c r="C61" s="43">
        <v>276</v>
      </c>
      <c r="D61" s="43">
        <v>291</v>
      </c>
    </row>
    <row r="62" spans="1:6">
      <c r="A62" s="4" t="s">
        <v>311</v>
      </c>
      <c r="B62" s="43">
        <v>88</v>
      </c>
      <c r="C62" s="43">
        <v>1381</v>
      </c>
      <c r="D62" s="43">
        <v>1469</v>
      </c>
      <c r="F62" s="33"/>
    </row>
    <row r="63" spans="1:6">
      <c r="A63" s="4" t="s">
        <v>312</v>
      </c>
      <c r="B63" s="43">
        <v>22</v>
      </c>
      <c r="C63" s="43">
        <v>540</v>
      </c>
      <c r="D63" s="43">
        <v>562</v>
      </c>
    </row>
    <row r="64" spans="1:6">
      <c r="A64" s="4" t="s">
        <v>313</v>
      </c>
      <c r="B64" s="43">
        <v>31</v>
      </c>
      <c r="C64" s="43">
        <v>255</v>
      </c>
      <c r="D64" s="43">
        <v>286</v>
      </c>
      <c r="F64" s="33"/>
    </row>
    <row r="65" spans="1:6">
      <c r="A65" s="4" t="s">
        <v>314</v>
      </c>
      <c r="B65" s="43">
        <v>3</v>
      </c>
      <c r="C65" s="43">
        <v>36</v>
      </c>
      <c r="D65" s="43">
        <v>39</v>
      </c>
    </row>
    <row r="66" spans="1:6">
      <c r="A66" s="4" t="s">
        <v>315</v>
      </c>
      <c r="B66" s="43">
        <v>0</v>
      </c>
      <c r="C66" s="43">
        <v>0</v>
      </c>
      <c r="D66" s="43">
        <v>0</v>
      </c>
      <c r="F66" s="33"/>
    </row>
    <row r="67" spans="1:6">
      <c r="A67" s="4" t="s">
        <v>317</v>
      </c>
      <c r="B67" s="43">
        <v>0</v>
      </c>
      <c r="C67" s="43">
        <v>4</v>
      </c>
      <c r="D67" s="43">
        <v>4</v>
      </c>
    </row>
    <row r="68" spans="1:6">
      <c r="A68" s="5" t="s">
        <v>4</v>
      </c>
      <c r="B68" s="44">
        <f>SUM(B53:B67)</f>
        <v>725</v>
      </c>
      <c r="C68" s="44">
        <f t="shared" ref="C68:D68" si="2">SUM(C53:C67)</f>
        <v>13836</v>
      </c>
      <c r="D68" s="44">
        <f t="shared" si="2"/>
        <v>14561</v>
      </c>
    </row>
    <row r="69" spans="1:6">
      <c r="E69" s="1"/>
    </row>
    <row r="70" spans="1:6" ht="15">
      <c r="A70" s="25" t="s">
        <v>354</v>
      </c>
      <c r="B70" s="46"/>
      <c r="C70" s="46"/>
      <c r="D70" s="46"/>
      <c r="E70" s="1"/>
    </row>
    <row r="71" spans="1:6">
      <c r="A71" s="88" t="s">
        <v>10</v>
      </c>
      <c r="B71" s="47" t="s">
        <v>256</v>
      </c>
      <c r="C71" s="47" t="s">
        <v>257</v>
      </c>
      <c r="D71" s="47" t="s">
        <v>8</v>
      </c>
      <c r="E71" s="1"/>
    </row>
    <row r="72" spans="1:6">
      <c r="A72" s="19" t="s">
        <v>11</v>
      </c>
      <c r="B72" s="48">
        <v>1895</v>
      </c>
      <c r="C72" s="48">
        <v>2923</v>
      </c>
      <c r="D72" s="48">
        <f>SUM(B72:C72)</f>
        <v>4818</v>
      </c>
      <c r="E72" s="1"/>
    </row>
    <row r="73" spans="1:6">
      <c r="A73" s="19" t="s">
        <v>12</v>
      </c>
      <c r="B73" s="48">
        <v>121</v>
      </c>
      <c r="C73" s="48">
        <v>131</v>
      </c>
      <c r="D73" s="48">
        <f t="shared" ref="D73:D82" si="3">SUM(B73:C73)</f>
        <v>252</v>
      </c>
      <c r="E73" s="1"/>
    </row>
    <row r="74" spans="1:6">
      <c r="A74" s="19" t="s">
        <v>13</v>
      </c>
      <c r="B74" s="48">
        <v>170</v>
      </c>
      <c r="C74" s="48">
        <v>181</v>
      </c>
      <c r="D74" s="48">
        <f t="shared" si="3"/>
        <v>351</v>
      </c>
      <c r="E74" s="1"/>
    </row>
    <row r="75" spans="1:6">
      <c r="A75" s="19" t="s">
        <v>14</v>
      </c>
      <c r="B75" s="48">
        <v>251</v>
      </c>
      <c r="C75" s="48">
        <v>380</v>
      </c>
      <c r="D75" s="48">
        <f t="shared" si="3"/>
        <v>631</v>
      </c>
      <c r="E75" s="1"/>
    </row>
    <row r="76" spans="1:6">
      <c r="A76" s="19" t="s">
        <v>15</v>
      </c>
      <c r="B76" s="48">
        <v>1249</v>
      </c>
      <c r="C76" s="48">
        <v>883</v>
      </c>
      <c r="D76" s="48">
        <f t="shared" si="3"/>
        <v>2132</v>
      </c>
      <c r="E76" s="1"/>
    </row>
    <row r="77" spans="1:6">
      <c r="A77" s="19" t="s">
        <v>16</v>
      </c>
      <c r="B77" s="48">
        <v>325</v>
      </c>
      <c r="C77" s="48">
        <v>407</v>
      </c>
      <c r="D77" s="48">
        <f t="shared" si="3"/>
        <v>732</v>
      </c>
      <c r="E77" s="1"/>
    </row>
    <row r="78" spans="1:6">
      <c r="A78" s="19" t="s">
        <v>17</v>
      </c>
      <c r="B78" s="48">
        <v>2120</v>
      </c>
      <c r="C78" s="48">
        <v>977</v>
      </c>
      <c r="D78" s="48">
        <f t="shared" si="3"/>
        <v>3097</v>
      </c>
      <c r="E78" s="1"/>
    </row>
    <row r="79" spans="1:6">
      <c r="A79" s="19" t="s">
        <v>18</v>
      </c>
      <c r="B79" s="48">
        <v>179</v>
      </c>
      <c r="C79" s="48">
        <v>158</v>
      </c>
      <c r="D79" s="48">
        <f t="shared" si="3"/>
        <v>337</v>
      </c>
      <c r="E79" s="1"/>
    </row>
    <row r="80" spans="1:6">
      <c r="A80" s="19" t="s">
        <v>19</v>
      </c>
      <c r="B80" s="48">
        <v>502</v>
      </c>
      <c r="C80" s="48">
        <v>244</v>
      </c>
      <c r="D80" s="48">
        <f t="shared" si="3"/>
        <v>746</v>
      </c>
      <c r="E80" s="1"/>
    </row>
    <row r="81" spans="1:5">
      <c r="A81" s="19" t="s">
        <v>20</v>
      </c>
      <c r="B81" s="48">
        <v>409</v>
      </c>
      <c r="C81" s="48">
        <v>1056</v>
      </c>
      <c r="D81" s="48">
        <f t="shared" si="3"/>
        <v>1465</v>
      </c>
      <c r="E81" s="1"/>
    </row>
    <row r="82" spans="1:5">
      <c r="A82" s="20" t="s">
        <v>4</v>
      </c>
      <c r="B82" s="49">
        <v>7221</v>
      </c>
      <c r="C82" s="49">
        <v>7340</v>
      </c>
      <c r="D82" s="49">
        <f t="shared" si="3"/>
        <v>14561</v>
      </c>
      <c r="E82" s="1"/>
    </row>
    <row r="83" spans="1:5">
      <c r="E83" s="1"/>
    </row>
    <row r="84" spans="1:5" ht="15">
      <c r="A84" s="25" t="s">
        <v>355</v>
      </c>
      <c r="B84" s="46"/>
      <c r="C84" s="46"/>
      <c r="D84" s="46"/>
      <c r="E84" s="1"/>
    </row>
    <row r="85" spans="1:5">
      <c r="A85" s="88" t="s">
        <v>9</v>
      </c>
      <c r="B85" s="47" t="s">
        <v>256</v>
      </c>
      <c r="C85" s="47" t="s">
        <v>257</v>
      </c>
      <c r="D85" s="47" t="s">
        <v>8</v>
      </c>
      <c r="E85" s="1"/>
    </row>
    <row r="86" spans="1:5">
      <c r="A86" s="19" t="s">
        <v>303</v>
      </c>
      <c r="B86" s="64">
        <v>39</v>
      </c>
      <c r="C86" s="64">
        <v>26</v>
      </c>
      <c r="D86" s="64">
        <f>SUM(B86:C86)</f>
        <v>65</v>
      </c>
      <c r="E86" s="1"/>
    </row>
    <row r="87" spans="1:5">
      <c r="A87" s="19" t="s">
        <v>304</v>
      </c>
      <c r="B87" s="64">
        <v>71</v>
      </c>
      <c r="C87" s="64">
        <v>36</v>
      </c>
      <c r="D87" s="64">
        <f t="shared" ref="D87:D100" si="4">SUM(B87:C87)</f>
        <v>107</v>
      </c>
      <c r="E87" s="1"/>
    </row>
    <row r="88" spans="1:5">
      <c r="A88" s="19" t="s">
        <v>305</v>
      </c>
      <c r="B88" s="64">
        <v>111</v>
      </c>
      <c r="C88" s="64">
        <v>155</v>
      </c>
      <c r="D88" s="64">
        <f t="shared" si="4"/>
        <v>266</v>
      </c>
      <c r="E88" s="1"/>
    </row>
    <row r="89" spans="1:5">
      <c r="A89" s="19" t="s">
        <v>306</v>
      </c>
      <c r="B89" s="64">
        <v>4</v>
      </c>
      <c r="C89" s="64">
        <v>7</v>
      </c>
      <c r="D89" s="64">
        <f t="shared" si="4"/>
        <v>11</v>
      </c>
      <c r="E89" s="1"/>
    </row>
    <row r="90" spans="1:5">
      <c r="A90" s="19" t="s">
        <v>307</v>
      </c>
      <c r="B90" s="64">
        <v>70</v>
      </c>
      <c r="C90" s="64">
        <v>72</v>
      </c>
      <c r="D90" s="64">
        <f t="shared" si="4"/>
        <v>142</v>
      </c>
      <c r="E90" s="1"/>
    </row>
    <row r="91" spans="1:5">
      <c r="A91" s="19" t="s">
        <v>308</v>
      </c>
      <c r="B91" s="64">
        <v>514</v>
      </c>
      <c r="C91" s="64">
        <v>565</v>
      </c>
      <c r="D91" s="64">
        <f t="shared" si="4"/>
        <v>1079</v>
      </c>
      <c r="E91" s="1"/>
    </row>
    <row r="92" spans="1:5">
      <c r="A92" s="97" t="s">
        <v>329</v>
      </c>
      <c r="B92" s="64">
        <v>4880</v>
      </c>
      <c r="C92" s="64">
        <v>5360</v>
      </c>
      <c r="D92" s="64">
        <f t="shared" si="4"/>
        <v>10240</v>
      </c>
      <c r="E92" s="1"/>
    </row>
    <row r="93" spans="1:5">
      <c r="A93" s="19" t="s">
        <v>309</v>
      </c>
      <c r="B93" s="64">
        <v>0</v>
      </c>
      <c r="C93" s="64">
        <v>0</v>
      </c>
      <c r="D93" s="64">
        <f t="shared" si="4"/>
        <v>0</v>
      </c>
      <c r="E93" s="1"/>
    </row>
    <row r="94" spans="1:5">
      <c r="A94" s="19" t="s">
        <v>310</v>
      </c>
      <c r="B94" s="64">
        <v>181</v>
      </c>
      <c r="C94" s="64">
        <v>110</v>
      </c>
      <c r="D94" s="64">
        <f t="shared" si="4"/>
        <v>291</v>
      </c>
      <c r="E94" s="1"/>
    </row>
    <row r="95" spans="1:5">
      <c r="A95" s="19" t="s">
        <v>311</v>
      </c>
      <c r="B95" s="64">
        <v>845</v>
      </c>
      <c r="C95" s="64">
        <v>624</v>
      </c>
      <c r="D95" s="64">
        <f t="shared" si="4"/>
        <v>1469</v>
      </c>
      <c r="E95" s="1"/>
    </row>
    <row r="96" spans="1:5">
      <c r="A96" s="19" t="s">
        <v>312</v>
      </c>
      <c r="B96" s="64">
        <v>347</v>
      </c>
      <c r="C96" s="64">
        <v>215</v>
      </c>
      <c r="D96" s="64">
        <f t="shared" si="4"/>
        <v>562</v>
      </c>
      <c r="E96" s="1"/>
    </row>
    <row r="97" spans="1:6">
      <c r="A97" s="19" t="s">
        <v>313</v>
      </c>
      <c r="B97" s="64">
        <v>136</v>
      </c>
      <c r="C97" s="64">
        <v>150</v>
      </c>
      <c r="D97" s="64">
        <f t="shared" si="4"/>
        <v>286</v>
      </c>
      <c r="E97" s="1"/>
    </row>
    <row r="98" spans="1:6">
      <c r="A98" s="19" t="s">
        <v>314</v>
      </c>
      <c r="B98" s="64">
        <v>20</v>
      </c>
      <c r="C98" s="64">
        <v>19</v>
      </c>
      <c r="D98" s="64">
        <f t="shared" si="4"/>
        <v>39</v>
      </c>
      <c r="E98" s="1"/>
    </row>
    <row r="99" spans="1:6">
      <c r="A99" s="19" t="s">
        <v>315</v>
      </c>
      <c r="B99" s="64">
        <v>0</v>
      </c>
      <c r="C99" s="64">
        <v>0</v>
      </c>
      <c r="D99" s="64">
        <f t="shared" si="4"/>
        <v>0</v>
      </c>
      <c r="E99" s="1"/>
    </row>
    <row r="100" spans="1:6">
      <c r="A100" s="19" t="s">
        <v>317</v>
      </c>
      <c r="B100" s="45">
        <v>3</v>
      </c>
      <c r="C100" s="64">
        <v>1</v>
      </c>
      <c r="D100" s="64">
        <f t="shared" si="4"/>
        <v>4</v>
      </c>
      <c r="E100" s="1"/>
    </row>
    <row r="101" spans="1:6">
      <c r="A101" s="20" t="s">
        <v>4</v>
      </c>
      <c r="B101" s="65">
        <f>SUM(B86:B100)</f>
        <v>7221</v>
      </c>
      <c r="C101" s="65">
        <f>SUM(C86:C100)</f>
        <v>7340</v>
      </c>
      <c r="D101" s="65">
        <f>SUM(D86:D100)</f>
        <v>14561</v>
      </c>
      <c r="E101" s="1"/>
    </row>
    <row r="102" spans="1:6">
      <c r="A102" s="40"/>
      <c r="B102" s="46"/>
      <c r="C102" s="46"/>
      <c r="D102" s="46"/>
      <c r="E102" s="1"/>
      <c r="F102" s="1"/>
    </row>
    <row r="103" spans="1:6">
      <c r="A103" s="40"/>
      <c r="B103" s="46"/>
      <c r="C103" s="46"/>
      <c r="D103" s="46"/>
      <c r="E103" s="1"/>
      <c r="F103" s="1"/>
    </row>
    <row r="104" spans="1:6">
      <c r="A104" s="70" t="s">
        <v>294</v>
      </c>
      <c r="B104" s="46"/>
      <c r="C104" s="46"/>
      <c r="D104" s="46"/>
      <c r="E104" s="1"/>
      <c r="F104" s="1"/>
    </row>
    <row r="105" spans="1:6">
      <c r="A105" s="40"/>
      <c r="B105" s="46"/>
      <c r="C105" s="46"/>
      <c r="D105" s="46"/>
      <c r="E105" s="1"/>
      <c r="F105" s="1"/>
    </row>
    <row r="106" spans="1:6">
      <c r="A106" s="71" t="s">
        <v>21</v>
      </c>
      <c r="B106" s="46"/>
      <c r="C106" s="46"/>
      <c r="D106" s="46"/>
      <c r="E106" s="1"/>
      <c r="F106" s="1"/>
    </row>
    <row r="107" spans="1:6">
      <c r="A107" s="40"/>
      <c r="B107" s="46"/>
      <c r="C107" s="46"/>
      <c r="D107" s="46"/>
      <c r="E107" s="1"/>
      <c r="F107" s="1"/>
    </row>
  </sheetData>
  <hyperlinks>
    <hyperlink ref="A106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showGridLines="0" workbookViewId="0">
      <pane ySplit="2" topLeftCell="A3" activePane="bottomLeft" state="frozen"/>
      <selection pane="bottomLeft" activeCell="N42" sqref="N42"/>
    </sheetView>
  </sheetViews>
  <sheetFormatPr baseColWidth="10" defaultRowHeight="14" x14ac:dyDescent="0"/>
  <cols>
    <col min="1" max="1" width="27.1640625" style="1" customWidth="1"/>
    <col min="2" max="6" width="11" style="1" customWidth="1"/>
    <col min="7" max="11" width="9.83203125" style="1" customWidth="1"/>
    <col min="12" max="12" width="15.33203125" style="1" customWidth="1"/>
    <col min="13" max="13" width="14.83203125" style="1" customWidth="1"/>
    <col min="14" max="14" width="18" style="1" customWidth="1"/>
    <col min="15" max="16384" width="10.83203125" style="1"/>
  </cols>
  <sheetData>
    <row r="1" spans="1:14" ht="20">
      <c r="A1" s="66" t="s">
        <v>373</v>
      </c>
      <c r="B1" s="66"/>
      <c r="C1" s="66"/>
      <c r="D1" s="66"/>
      <c r="E1" s="66"/>
      <c r="F1" s="66"/>
      <c r="G1" s="40"/>
      <c r="H1" s="40"/>
      <c r="I1" s="40"/>
      <c r="J1" s="40"/>
      <c r="K1" s="40"/>
      <c r="L1" s="40"/>
      <c r="M1" s="40"/>
      <c r="N1" s="40"/>
    </row>
    <row r="2" spans="1:14" ht="18">
      <c r="A2" s="38"/>
      <c r="B2" s="38"/>
      <c r="C2" s="38"/>
      <c r="D2" s="38"/>
      <c r="E2" s="38"/>
      <c r="F2" s="38"/>
      <c r="G2" s="40"/>
      <c r="H2" s="40"/>
      <c r="I2" s="40"/>
      <c r="J2" s="40"/>
      <c r="K2" s="40"/>
      <c r="L2" s="40"/>
      <c r="M2" s="40"/>
      <c r="N2" s="40"/>
    </row>
    <row r="3" spans="1:14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15">
      <c r="A4" s="41" t="s">
        <v>268</v>
      </c>
      <c r="B4" s="41"/>
      <c r="C4" s="41"/>
      <c r="D4" s="41"/>
      <c r="E4" s="41"/>
      <c r="F4" s="41"/>
      <c r="G4" s="40"/>
      <c r="H4" s="40"/>
      <c r="I4" s="40"/>
      <c r="J4" s="40"/>
      <c r="K4" s="40"/>
      <c r="L4" s="40"/>
      <c r="M4" s="40"/>
      <c r="N4" s="40"/>
    </row>
    <row r="5" spans="1:14" ht="28">
      <c r="A5" s="88" t="s">
        <v>298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13" t="s">
        <v>369</v>
      </c>
      <c r="M5" s="13" t="s">
        <v>368</v>
      </c>
      <c r="N5" s="13" t="s">
        <v>367</v>
      </c>
    </row>
    <row r="6" spans="1:14">
      <c r="A6" s="32" t="s">
        <v>291</v>
      </c>
      <c r="B6" s="4">
        <v>1922</v>
      </c>
      <c r="C6" s="4">
        <v>2356</v>
      </c>
      <c r="D6" s="4">
        <v>2426</v>
      </c>
      <c r="E6" s="4">
        <v>2699</v>
      </c>
      <c r="F6" s="4">
        <v>2992</v>
      </c>
      <c r="G6" s="4">
        <v>3335</v>
      </c>
      <c r="H6" s="4">
        <v>3551</v>
      </c>
      <c r="I6" s="4">
        <v>3714</v>
      </c>
      <c r="J6" s="4">
        <v>3541</v>
      </c>
      <c r="K6" s="4">
        <v>3990</v>
      </c>
      <c r="L6" s="101">
        <f>(K6-B6)/B6</f>
        <v>1.0759625390218521</v>
      </c>
      <c r="M6" s="101">
        <f>(K6-J6)/J6</f>
        <v>0.12680033888731998</v>
      </c>
      <c r="N6" s="14">
        <f>K6/K$9</f>
        <v>0.27401964150813818</v>
      </c>
    </row>
    <row r="7" spans="1:14">
      <c r="A7" s="32" t="s">
        <v>292</v>
      </c>
      <c r="B7" s="32">
        <v>1479</v>
      </c>
      <c r="C7" s="32">
        <v>1909</v>
      </c>
      <c r="D7" s="32">
        <v>1894</v>
      </c>
      <c r="E7" s="32">
        <v>2099</v>
      </c>
      <c r="F7" s="32">
        <v>2086</v>
      </c>
      <c r="G7" s="21">
        <v>2821</v>
      </c>
      <c r="H7" s="21">
        <v>3029</v>
      </c>
      <c r="I7" s="21">
        <v>2931</v>
      </c>
      <c r="J7" s="21">
        <v>3106</v>
      </c>
      <c r="K7" s="21">
        <v>3416</v>
      </c>
      <c r="L7" s="101">
        <f t="shared" ref="L7:L9" si="0">(K7-B7)/B7</f>
        <v>1.3096686950642327</v>
      </c>
      <c r="M7" s="101">
        <f t="shared" ref="M7:M9" si="1">(K7-J7)/J7</f>
        <v>9.9806825499034121E-2</v>
      </c>
      <c r="N7" s="14">
        <f t="shared" ref="N7:N9" si="2">K7/K$9</f>
        <v>0.23459927202802006</v>
      </c>
    </row>
    <row r="8" spans="1:14">
      <c r="A8" s="32" t="s">
        <v>293</v>
      </c>
      <c r="B8" s="32">
        <v>2855</v>
      </c>
      <c r="C8" s="32">
        <v>4406</v>
      </c>
      <c r="D8" s="32">
        <v>3815</v>
      </c>
      <c r="E8" s="32">
        <v>5236</v>
      </c>
      <c r="F8" s="32">
        <v>5633</v>
      </c>
      <c r="G8" s="21">
        <v>6475</v>
      </c>
      <c r="H8" s="21">
        <v>6369</v>
      </c>
      <c r="I8" s="21">
        <v>7280</v>
      </c>
      <c r="J8" s="21">
        <v>7226</v>
      </c>
      <c r="K8" s="21">
        <v>7155</v>
      </c>
      <c r="L8" s="101">
        <f t="shared" si="0"/>
        <v>1.5061295971978985</v>
      </c>
      <c r="M8" s="101">
        <f t="shared" si="1"/>
        <v>-9.8256296706338217E-3</v>
      </c>
      <c r="N8" s="14">
        <f t="shared" si="2"/>
        <v>0.49138108646384177</v>
      </c>
    </row>
    <row r="9" spans="1:14">
      <c r="A9" s="79" t="s">
        <v>4</v>
      </c>
      <c r="B9" s="79">
        <v>6256</v>
      </c>
      <c r="C9" s="79">
        <v>8671</v>
      </c>
      <c r="D9" s="79">
        <v>8135</v>
      </c>
      <c r="E9" s="79">
        <v>10034</v>
      </c>
      <c r="F9" s="79">
        <v>10711</v>
      </c>
      <c r="G9" s="80">
        <v>12631</v>
      </c>
      <c r="H9" s="80">
        <v>12949</v>
      </c>
      <c r="I9" s="80">
        <v>13925</v>
      </c>
      <c r="J9" s="80">
        <v>13873</v>
      </c>
      <c r="K9" s="80">
        <v>14561</v>
      </c>
      <c r="L9" s="83">
        <f t="shared" si="0"/>
        <v>1.3275255754475703</v>
      </c>
      <c r="M9" s="83">
        <f t="shared" si="1"/>
        <v>4.9592734087796436E-2</v>
      </c>
      <c r="N9" s="16">
        <f t="shared" si="2"/>
        <v>1</v>
      </c>
    </row>
    <row r="10" spans="1:14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 ht="15">
      <c r="A11" s="41" t="s">
        <v>255</v>
      </c>
      <c r="B11" s="41"/>
      <c r="C11" s="41"/>
      <c r="D11" s="41"/>
      <c r="E11" s="41"/>
      <c r="F11" s="41"/>
      <c r="G11" s="40"/>
      <c r="H11" s="40"/>
      <c r="I11" s="40"/>
      <c r="J11" s="40"/>
      <c r="K11" s="40"/>
      <c r="L11" s="40"/>
      <c r="M11" s="40"/>
      <c r="N11" s="40"/>
    </row>
    <row r="12" spans="1:14" ht="28">
      <c r="A12" s="88" t="s">
        <v>100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13" t="s">
        <v>369</v>
      </c>
      <c r="M12" s="13" t="s">
        <v>368</v>
      </c>
      <c r="N12" s="13" t="s">
        <v>367</v>
      </c>
    </row>
    <row r="13" spans="1:14">
      <c r="A13" s="4" t="s">
        <v>98</v>
      </c>
      <c r="B13" s="4">
        <v>374</v>
      </c>
      <c r="C13" s="4">
        <v>383</v>
      </c>
      <c r="D13" s="4">
        <v>426</v>
      </c>
      <c r="E13" s="4">
        <v>492</v>
      </c>
      <c r="F13" s="4">
        <v>604</v>
      </c>
      <c r="G13" s="21">
        <v>639</v>
      </c>
      <c r="H13" s="21">
        <v>619</v>
      </c>
      <c r="I13" s="21">
        <v>692</v>
      </c>
      <c r="J13" s="21">
        <v>704</v>
      </c>
      <c r="K13" s="21">
        <v>725</v>
      </c>
      <c r="L13" s="101">
        <f t="shared" ref="L13:L15" si="3">(K13-B13)/B13</f>
        <v>0.93850267379679142</v>
      </c>
      <c r="M13" s="101">
        <f t="shared" ref="M13:M15" si="4">(K13-J13)/J13</f>
        <v>2.9829545454545456E-2</v>
      </c>
      <c r="N13" s="14">
        <f t="shared" ref="N13:N15" si="5">K13/K$9</f>
        <v>4.9790536364260694E-2</v>
      </c>
    </row>
    <row r="14" spans="1:14">
      <c r="A14" s="4" t="s">
        <v>99</v>
      </c>
      <c r="B14" s="4">
        <v>5882</v>
      </c>
      <c r="C14" s="4">
        <v>8288</v>
      </c>
      <c r="D14" s="4">
        <v>7709</v>
      </c>
      <c r="E14" s="4">
        <v>9542</v>
      </c>
      <c r="F14" s="4">
        <v>10107</v>
      </c>
      <c r="G14" s="21">
        <v>11992</v>
      </c>
      <c r="H14" s="21">
        <v>12330</v>
      </c>
      <c r="I14" s="21">
        <v>13233</v>
      </c>
      <c r="J14" s="21">
        <v>13169</v>
      </c>
      <c r="K14" s="21">
        <v>13836</v>
      </c>
      <c r="L14" s="101">
        <f t="shared" si="3"/>
        <v>1.35226113566814</v>
      </c>
      <c r="M14" s="101">
        <f t="shared" si="4"/>
        <v>5.0649252031285598E-2</v>
      </c>
      <c r="N14" s="14">
        <f t="shared" si="5"/>
        <v>0.95020946363573933</v>
      </c>
    </row>
    <row r="15" spans="1:14">
      <c r="A15" s="5" t="s">
        <v>4</v>
      </c>
      <c r="B15" s="5">
        <v>6256</v>
      </c>
      <c r="C15" s="5">
        <v>8671</v>
      </c>
      <c r="D15" s="5">
        <v>8135</v>
      </c>
      <c r="E15" s="5">
        <v>10034</v>
      </c>
      <c r="F15" s="5">
        <v>10711</v>
      </c>
      <c r="G15" s="22">
        <v>12631</v>
      </c>
      <c r="H15" s="22">
        <v>12949</v>
      </c>
      <c r="I15" s="22">
        <v>13925</v>
      </c>
      <c r="J15" s="22">
        <v>13873</v>
      </c>
      <c r="K15" s="22">
        <v>14561</v>
      </c>
      <c r="L15" s="83">
        <f t="shared" si="3"/>
        <v>1.3275255754475703</v>
      </c>
      <c r="M15" s="83">
        <f t="shared" si="4"/>
        <v>4.9592734087796436E-2</v>
      </c>
      <c r="N15" s="16">
        <f t="shared" si="5"/>
        <v>1</v>
      </c>
    </row>
    <row r="16" spans="1:14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5" ht="15">
      <c r="A17" s="41" t="s">
        <v>269</v>
      </c>
      <c r="B17" s="41"/>
      <c r="C17" s="41"/>
      <c r="D17" s="41"/>
      <c r="E17" s="41"/>
      <c r="F17" s="41"/>
      <c r="G17" s="40"/>
      <c r="H17" s="40"/>
      <c r="I17" s="40"/>
      <c r="J17" s="40"/>
      <c r="K17" s="40"/>
      <c r="L17" s="40"/>
      <c r="M17" s="40"/>
      <c r="N17" s="40"/>
    </row>
    <row r="18" spans="1:15" ht="28">
      <c r="A18" s="88" t="s">
        <v>300</v>
      </c>
      <c r="B18" s="3">
        <v>2008</v>
      </c>
      <c r="C18" s="3">
        <v>2009</v>
      </c>
      <c r="D18" s="3">
        <v>2010</v>
      </c>
      <c r="E18" s="3">
        <v>2011</v>
      </c>
      <c r="F18" s="3">
        <v>2012</v>
      </c>
      <c r="G18" s="3">
        <v>2013</v>
      </c>
      <c r="H18" s="3">
        <v>2014</v>
      </c>
      <c r="I18" s="3">
        <v>2015</v>
      </c>
      <c r="J18" s="3">
        <v>2016</v>
      </c>
      <c r="K18" s="3">
        <v>2017</v>
      </c>
      <c r="L18" s="13" t="s">
        <v>369</v>
      </c>
      <c r="M18" s="13" t="s">
        <v>368</v>
      </c>
      <c r="N18" s="13" t="s">
        <v>367</v>
      </c>
    </row>
    <row r="19" spans="1:15" s="12" customFormat="1">
      <c r="A19" s="5" t="s">
        <v>295</v>
      </c>
      <c r="B19" s="5">
        <v>1922</v>
      </c>
      <c r="C19" s="5">
        <v>2356</v>
      </c>
      <c r="D19" s="5">
        <v>2426</v>
      </c>
      <c r="E19" s="5">
        <v>2699</v>
      </c>
      <c r="F19" s="5">
        <v>2992</v>
      </c>
      <c r="G19" s="23">
        <v>3335</v>
      </c>
      <c r="H19" s="23">
        <v>3551</v>
      </c>
      <c r="I19" s="23">
        <v>3714</v>
      </c>
      <c r="J19" s="23">
        <v>3541</v>
      </c>
      <c r="K19" s="23">
        <v>3990</v>
      </c>
      <c r="L19" s="83">
        <f t="shared" ref="L19:L28" si="6">(K19-B19)/B19</f>
        <v>1.0759625390218521</v>
      </c>
      <c r="M19" s="83">
        <f t="shared" ref="M19:M28" si="7">(K19-J19)/J19</f>
        <v>0.12680033888731998</v>
      </c>
      <c r="N19" s="16">
        <f t="shared" ref="N19:N28" si="8">K19/K$9</f>
        <v>0.27401964150813818</v>
      </c>
      <c r="O19" s="1"/>
    </row>
    <row r="20" spans="1:15">
      <c r="A20" s="85" t="s">
        <v>98</v>
      </c>
      <c r="B20" s="85">
        <v>132</v>
      </c>
      <c r="C20" s="85">
        <v>169</v>
      </c>
      <c r="D20" s="85">
        <v>187</v>
      </c>
      <c r="E20" s="85">
        <v>214</v>
      </c>
      <c r="F20" s="85">
        <v>254</v>
      </c>
      <c r="G20" s="24">
        <v>247</v>
      </c>
      <c r="H20" s="24">
        <v>251</v>
      </c>
      <c r="I20" s="24">
        <v>328</v>
      </c>
      <c r="J20" s="24">
        <v>326</v>
      </c>
      <c r="K20" s="24">
        <v>320</v>
      </c>
      <c r="L20" s="101">
        <f t="shared" si="6"/>
        <v>1.4242424242424243</v>
      </c>
      <c r="M20" s="101">
        <f t="shared" si="7"/>
        <v>-1.8404907975460124E-2</v>
      </c>
      <c r="N20" s="14">
        <f t="shared" si="8"/>
        <v>2.1976512602156446E-2</v>
      </c>
    </row>
    <row r="21" spans="1:15">
      <c r="A21" s="85" t="s">
        <v>99</v>
      </c>
      <c r="B21" s="85">
        <v>1790</v>
      </c>
      <c r="C21" s="85">
        <v>2187</v>
      </c>
      <c r="D21" s="85">
        <v>2239</v>
      </c>
      <c r="E21" s="85">
        <v>2485</v>
      </c>
      <c r="F21" s="85">
        <v>2738</v>
      </c>
      <c r="G21" s="24">
        <v>3088</v>
      </c>
      <c r="H21" s="24">
        <v>3300</v>
      </c>
      <c r="I21" s="24">
        <v>3386</v>
      </c>
      <c r="J21" s="24">
        <v>3215</v>
      </c>
      <c r="K21" s="24">
        <v>3670</v>
      </c>
      <c r="L21" s="101">
        <f t="shared" si="6"/>
        <v>1.0502793296089385</v>
      </c>
      <c r="M21" s="101">
        <f t="shared" si="7"/>
        <v>0.14152410575427682</v>
      </c>
      <c r="N21" s="14">
        <f t="shared" si="8"/>
        <v>0.25204312890598174</v>
      </c>
    </row>
    <row r="22" spans="1:15" s="12" customFormat="1">
      <c r="A22" s="5" t="s">
        <v>292</v>
      </c>
      <c r="B22" s="5">
        <v>1479</v>
      </c>
      <c r="C22" s="5">
        <v>1909</v>
      </c>
      <c r="D22" s="5">
        <v>1894</v>
      </c>
      <c r="E22" s="5">
        <v>2099</v>
      </c>
      <c r="F22" s="5">
        <v>2086</v>
      </c>
      <c r="G22" s="23">
        <v>2821</v>
      </c>
      <c r="H22" s="23">
        <v>3029</v>
      </c>
      <c r="I22" s="23">
        <v>2931</v>
      </c>
      <c r="J22" s="23">
        <v>3106</v>
      </c>
      <c r="K22" s="23">
        <v>3416</v>
      </c>
      <c r="L22" s="83">
        <f t="shared" si="6"/>
        <v>1.3096686950642327</v>
      </c>
      <c r="M22" s="83">
        <f t="shared" si="7"/>
        <v>9.9806825499034121E-2</v>
      </c>
      <c r="N22" s="16">
        <f t="shared" si="8"/>
        <v>0.23459927202802006</v>
      </c>
      <c r="O22" s="1"/>
    </row>
    <row r="23" spans="1:15">
      <c r="A23" s="85" t="s">
        <v>98</v>
      </c>
      <c r="B23" s="85">
        <v>235</v>
      </c>
      <c r="C23" s="85">
        <v>202</v>
      </c>
      <c r="D23" s="85">
        <v>223</v>
      </c>
      <c r="E23" s="85">
        <v>240</v>
      </c>
      <c r="F23" s="85">
        <v>253</v>
      </c>
      <c r="G23" s="24">
        <v>293</v>
      </c>
      <c r="H23" s="24">
        <v>309</v>
      </c>
      <c r="I23" s="24">
        <v>307</v>
      </c>
      <c r="J23" s="24">
        <v>318</v>
      </c>
      <c r="K23" s="24">
        <v>342</v>
      </c>
      <c r="L23" s="101">
        <f t="shared" si="6"/>
        <v>0.4553191489361702</v>
      </c>
      <c r="M23" s="101">
        <f t="shared" si="7"/>
        <v>7.5471698113207544E-2</v>
      </c>
      <c r="N23" s="14">
        <f t="shared" si="8"/>
        <v>2.3487397843554702E-2</v>
      </c>
    </row>
    <row r="24" spans="1:15">
      <c r="A24" s="85" t="s">
        <v>99</v>
      </c>
      <c r="B24" s="85">
        <v>1244</v>
      </c>
      <c r="C24" s="85">
        <v>1707</v>
      </c>
      <c r="D24" s="85">
        <v>1671</v>
      </c>
      <c r="E24" s="85">
        <v>1859</v>
      </c>
      <c r="F24" s="85">
        <v>1833</v>
      </c>
      <c r="G24" s="24">
        <v>2528</v>
      </c>
      <c r="H24" s="24">
        <v>2720</v>
      </c>
      <c r="I24" s="24">
        <v>2624</v>
      </c>
      <c r="J24" s="24">
        <v>2788</v>
      </c>
      <c r="K24" s="24">
        <v>3074</v>
      </c>
      <c r="L24" s="101">
        <f t="shared" si="6"/>
        <v>1.4710610932475885</v>
      </c>
      <c r="M24" s="101">
        <f t="shared" si="7"/>
        <v>0.10258249641319943</v>
      </c>
      <c r="N24" s="14">
        <f t="shared" si="8"/>
        <v>0.21111187418446536</v>
      </c>
    </row>
    <row r="25" spans="1:15" s="12" customFormat="1">
      <c r="A25" s="5" t="s">
        <v>293</v>
      </c>
      <c r="B25" s="5">
        <v>2855</v>
      </c>
      <c r="C25" s="5">
        <v>4406</v>
      </c>
      <c r="D25" s="5">
        <v>3815</v>
      </c>
      <c r="E25" s="5">
        <v>5236</v>
      </c>
      <c r="F25" s="5">
        <v>5633</v>
      </c>
      <c r="G25" s="23">
        <v>6475</v>
      </c>
      <c r="H25" s="23">
        <v>6369</v>
      </c>
      <c r="I25" s="23">
        <v>7280</v>
      </c>
      <c r="J25" s="23">
        <v>7226</v>
      </c>
      <c r="K25" s="23">
        <v>7155</v>
      </c>
      <c r="L25" s="83">
        <f t="shared" si="6"/>
        <v>1.5061295971978985</v>
      </c>
      <c r="M25" s="83">
        <f t="shared" si="7"/>
        <v>-9.8256296706338217E-3</v>
      </c>
      <c r="N25" s="16">
        <f t="shared" si="8"/>
        <v>0.49138108646384177</v>
      </c>
      <c r="O25" s="1"/>
    </row>
    <row r="26" spans="1:15">
      <c r="A26" s="85" t="s">
        <v>98</v>
      </c>
      <c r="B26" s="85">
        <v>7</v>
      </c>
      <c r="C26" s="85">
        <v>12</v>
      </c>
      <c r="D26" s="85">
        <v>16</v>
      </c>
      <c r="E26" s="85">
        <v>38</v>
      </c>
      <c r="F26" s="85">
        <v>97</v>
      </c>
      <c r="G26" s="24">
        <v>99</v>
      </c>
      <c r="H26" s="24">
        <v>59</v>
      </c>
      <c r="I26" s="24">
        <v>57</v>
      </c>
      <c r="J26" s="24">
        <v>60</v>
      </c>
      <c r="K26" s="24">
        <v>63</v>
      </c>
      <c r="L26" s="101">
        <f t="shared" si="6"/>
        <v>8</v>
      </c>
      <c r="M26" s="101">
        <f t="shared" si="7"/>
        <v>0.05</v>
      </c>
      <c r="N26" s="14">
        <f t="shared" si="8"/>
        <v>4.3266259185495504E-3</v>
      </c>
    </row>
    <row r="27" spans="1:15">
      <c r="A27" s="85" t="s">
        <v>99</v>
      </c>
      <c r="B27" s="85">
        <v>2848</v>
      </c>
      <c r="C27" s="85">
        <v>4394</v>
      </c>
      <c r="D27" s="85">
        <v>3799</v>
      </c>
      <c r="E27" s="85">
        <v>5198</v>
      </c>
      <c r="F27" s="85">
        <v>5536</v>
      </c>
      <c r="G27" s="24">
        <v>6376</v>
      </c>
      <c r="H27" s="24">
        <v>6310</v>
      </c>
      <c r="I27" s="24">
        <v>7223</v>
      </c>
      <c r="J27" s="24">
        <v>7166</v>
      </c>
      <c r="K27" s="24">
        <v>7092</v>
      </c>
      <c r="L27" s="101">
        <f t="shared" si="6"/>
        <v>1.4901685393258426</v>
      </c>
      <c r="M27" s="101">
        <f t="shared" si="7"/>
        <v>-1.0326542003907341E-2</v>
      </c>
      <c r="N27" s="14">
        <f t="shared" si="8"/>
        <v>0.48705446054529222</v>
      </c>
    </row>
    <row r="28" spans="1:15" s="12" customFormat="1">
      <c r="A28" s="5" t="s">
        <v>4</v>
      </c>
      <c r="B28" s="5">
        <v>6256</v>
      </c>
      <c r="C28" s="5">
        <v>8671</v>
      </c>
      <c r="D28" s="5">
        <v>8135</v>
      </c>
      <c r="E28" s="5">
        <v>10034</v>
      </c>
      <c r="F28" s="5">
        <v>10711</v>
      </c>
      <c r="G28" s="23">
        <v>12631</v>
      </c>
      <c r="H28" s="23">
        <v>12949</v>
      </c>
      <c r="I28" s="23">
        <v>13925</v>
      </c>
      <c r="J28" s="23">
        <v>13873</v>
      </c>
      <c r="K28" s="23">
        <v>14561</v>
      </c>
      <c r="L28" s="83">
        <f t="shared" si="6"/>
        <v>1.3275255754475703</v>
      </c>
      <c r="M28" s="83">
        <f t="shared" si="7"/>
        <v>4.9592734087796436E-2</v>
      </c>
      <c r="N28" s="16">
        <f t="shared" si="8"/>
        <v>1</v>
      </c>
    </row>
    <row r="29" spans="1:1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15" ht="15">
      <c r="A30" s="41" t="s">
        <v>284</v>
      </c>
      <c r="B30" s="41"/>
      <c r="C30" s="41"/>
      <c r="D30" s="41"/>
      <c r="E30" s="41"/>
      <c r="F30" s="41"/>
      <c r="G30" s="40"/>
      <c r="H30" s="40"/>
      <c r="I30" s="40"/>
      <c r="J30" s="40"/>
      <c r="K30" s="40"/>
      <c r="L30" s="40"/>
      <c r="M30" s="40"/>
      <c r="N30" s="40"/>
    </row>
    <row r="31" spans="1:15" ht="28">
      <c r="A31" s="88" t="s">
        <v>299</v>
      </c>
      <c r="B31" s="3">
        <v>2008</v>
      </c>
      <c r="C31" s="3">
        <v>2009</v>
      </c>
      <c r="D31" s="3">
        <v>2010</v>
      </c>
      <c r="E31" s="3">
        <v>2011</v>
      </c>
      <c r="F31" s="3">
        <v>2012</v>
      </c>
      <c r="G31" s="3">
        <v>2013</v>
      </c>
      <c r="H31" s="3">
        <v>2014</v>
      </c>
      <c r="I31" s="3">
        <v>2015</v>
      </c>
      <c r="J31" s="3">
        <v>2016</v>
      </c>
      <c r="K31" s="3">
        <v>2017</v>
      </c>
      <c r="L31" s="13" t="s">
        <v>369</v>
      </c>
      <c r="M31" s="13" t="s">
        <v>368</v>
      </c>
      <c r="N31" s="13" t="s">
        <v>367</v>
      </c>
    </row>
    <row r="32" spans="1:15">
      <c r="A32" s="5" t="s">
        <v>256</v>
      </c>
      <c r="B32" s="5">
        <v>2631</v>
      </c>
      <c r="C32" s="5">
        <v>3762</v>
      </c>
      <c r="D32" s="5">
        <v>3681</v>
      </c>
      <c r="E32" s="5">
        <v>4821</v>
      </c>
      <c r="F32" s="5">
        <v>5142</v>
      </c>
      <c r="G32" s="23">
        <v>6106</v>
      </c>
      <c r="H32" s="23">
        <v>6182</v>
      </c>
      <c r="I32" s="23">
        <v>6745</v>
      </c>
      <c r="J32" s="23">
        <v>6777</v>
      </c>
      <c r="K32" s="23">
        <v>7221</v>
      </c>
      <c r="L32" s="83">
        <f t="shared" ref="L32:L38" si="9">(K32-B32)/B32</f>
        <v>1.7445838084378564</v>
      </c>
      <c r="M32" s="83">
        <f t="shared" ref="M32:M38" si="10">(K32-J32)/J32</f>
        <v>6.5515714918105358E-2</v>
      </c>
      <c r="N32" s="16">
        <f t="shared" ref="N32:N38" si="11">K32/K$9</f>
        <v>0.49591374218803652</v>
      </c>
    </row>
    <row r="33" spans="1:14">
      <c r="A33" s="85" t="s">
        <v>98</v>
      </c>
      <c r="B33" s="85">
        <v>161</v>
      </c>
      <c r="C33" s="85">
        <v>155</v>
      </c>
      <c r="D33" s="85">
        <v>192</v>
      </c>
      <c r="E33" s="85">
        <v>212</v>
      </c>
      <c r="F33" s="85">
        <v>240</v>
      </c>
      <c r="G33" s="24">
        <v>297</v>
      </c>
      <c r="H33" s="24">
        <v>287</v>
      </c>
      <c r="I33" s="24">
        <v>307</v>
      </c>
      <c r="J33" s="24">
        <v>289</v>
      </c>
      <c r="K33" s="24">
        <v>317</v>
      </c>
      <c r="L33" s="101">
        <f t="shared" si="9"/>
        <v>0.96894409937888204</v>
      </c>
      <c r="M33" s="101">
        <f t="shared" si="10"/>
        <v>9.6885813148788927E-2</v>
      </c>
      <c r="N33" s="14">
        <f t="shared" si="11"/>
        <v>2.1770482796511229E-2</v>
      </c>
    </row>
    <row r="34" spans="1:14">
      <c r="A34" s="85" t="s">
        <v>99</v>
      </c>
      <c r="B34" s="85">
        <v>2470</v>
      </c>
      <c r="C34" s="85">
        <v>3607</v>
      </c>
      <c r="D34" s="85">
        <v>3489</v>
      </c>
      <c r="E34" s="85">
        <v>4609</v>
      </c>
      <c r="F34" s="85">
        <v>4902</v>
      </c>
      <c r="G34" s="24">
        <v>5809</v>
      </c>
      <c r="H34" s="24">
        <v>5895</v>
      </c>
      <c r="I34" s="24">
        <v>6438</v>
      </c>
      <c r="J34" s="24">
        <v>6488</v>
      </c>
      <c r="K34" s="24">
        <v>6904</v>
      </c>
      <c r="L34" s="101">
        <f t="shared" si="9"/>
        <v>1.7951417004048582</v>
      </c>
      <c r="M34" s="101">
        <f t="shared" si="10"/>
        <v>6.4118372379778049E-2</v>
      </c>
      <c r="N34" s="14">
        <f t="shared" si="11"/>
        <v>0.4741432593915253</v>
      </c>
    </row>
    <row r="35" spans="1:14">
      <c r="A35" s="5" t="s">
        <v>257</v>
      </c>
      <c r="B35" s="5">
        <v>3625</v>
      </c>
      <c r="C35" s="5">
        <v>4909</v>
      </c>
      <c r="D35" s="5">
        <v>4454</v>
      </c>
      <c r="E35" s="5">
        <v>5213</v>
      </c>
      <c r="F35" s="5">
        <v>5569</v>
      </c>
      <c r="G35" s="23">
        <v>6525</v>
      </c>
      <c r="H35" s="23">
        <v>6767</v>
      </c>
      <c r="I35" s="23">
        <v>7180</v>
      </c>
      <c r="J35" s="23">
        <v>7096</v>
      </c>
      <c r="K35" s="23">
        <v>7340</v>
      </c>
      <c r="L35" s="83">
        <f t="shared" si="9"/>
        <v>1.0248275862068965</v>
      </c>
      <c r="M35" s="83">
        <f t="shared" si="10"/>
        <v>3.4385569334836524E-2</v>
      </c>
      <c r="N35" s="16">
        <f t="shared" si="11"/>
        <v>0.50408625781196348</v>
      </c>
    </row>
    <row r="36" spans="1:14">
      <c r="A36" s="85" t="s">
        <v>98</v>
      </c>
      <c r="B36" s="85">
        <v>213</v>
      </c>
      <c r="C36" s="85">
        <v>228</v>
      </c>
      <c r="D36" s="85">
        <v>234</v>
      </c>
      <c r="E36" s="85">
        <v>280</v>
      </c>
      <c r="F36" s="85">
        <v>364</v>
      </c>
      <c r="G36" s="24">
        <v>342</v>
      </c>
      <c r="H36" s="24">
        <v>332</v>
      </c>
      <c r="I36" s="24">
        <v>385</v>
      </c>
      <c r="J36" s="24">
        <v>415</v>
      </c>
      <c r="K36" s="24">
        <v>408</v>
      </c>
      <c r="L36" s="101">
        <f t="shared" si="9"/>
        <v>0.91549295774647887</v>
      </c>
      <c r="M36" s="101">
        <f t="shared" si="10"/>
        <v>-1.6867469879518072E-2</v>
      </c>
      <c r="N36" s="14">
        <f t="shared" si="11"/>
        <v>2.8020053567749469E-2</v>
      </c>
    </row>
    <row r="37" spans="1:14">
      <c r="A37" s="85" t="s">
        <v>99</v>
      </c>
      <c r="B37" s="85">
        <v>3412</v>
      </c>
      <c r="C37" s="85">
        <v>4681</v>
      </c>
      <c r="D37" s="85">
        <v>4220</v>
      </c>
      <c r="E37" s="85">
        <v>4933</v>
      </c>
      <c r="F37" s="85">
        <v>5205</v>
      </c>
      <c r="G37" s="24">
        <v>6183</v>
      </c>
      <c r="H37" s="24">
        <v>6435</v>
      </c>
      <c r="I37" s="24">
        <v>6795</v>
      </c>
      <c r="J37" s="24">
        <v>6681</v>
      </c>
      <c r="K37" s="24">
        <v>6932</v>
      </c>
      <c r="L37" s="101">
        <f t="shared" si="9"/>
        <v>1.0316529894490034</v>
      </c>
      <c r="M37" s="101">
        <f t="shared" si="10"/>
        <v>3.7569226163747943E-2</v>
      </c>
      <c r="N37" s="14">
        <f t="shared" si="11"/>
        <v>0.47606620424421398</v>
      </c>
    </row>
    <row r="38" spans="1:14">
      <c r="A38" s="5" t="s">
        <v>4</v>
      </c>
      <c r="B38" s="5">
        <f>B32+B35</f>
        <v>6256</v>
      </c>
      <c r="C38" s="5">
        <f t="shared" ref="C38:K38" si="12">C32+C35</f>
        <v>8671</v>
      </c>
      <c r="D38" s="5">
        <f t="shared" si="12"/>
        <v>8135</v>
      </c>
      <c r="E38" s="5">
        <f t="shared" si="12"/>
        <v>10034</v>
      </c>
      <c r="F38" s="5">
        <f t="shared" si="12"/>
        <v>10711</v>
      </c>
      <c r="G38" s="5">
        <f t="shared" si="12"/>
        <v>12631</v>
      </c>
      <c r="H38" s="5">
        <f t="shared" si="12"/>
        <v>12949</v>
      </c>
      <c r="I38" s="5">
        <f t="shared" si="12"/>
        <v>13925</v>
      </c>
      <c r="J38" s="5">
        <f t="shared" si="12"/>
        <v>13873</v>
      </c>
      <c r="K38" s="5">
        <f t="shared" si="12"/>
        <v>14561</v>
      </c>
      <c r="L38" s="83">
        <f t="shared" si="9"/>
        <v>1.3275255754475703</v>
      </c>
      <c r="M38" s="83">
        <f t="shared" si="10"/>
        <v>4.9592734087796436E-2</v>
      </c>
      <c r="N38" s="16">
        <f t="shared" si="11"/>
        <v>1</v>
      </c>
    </row>
    <row r="39" spans="1:14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14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spans="1:14">
      <c r="A41" s="70" t="s">
        <v>294</v>
      </c>
      <c r="B41" s="70"/>
      <c r="C41" s="70"/>
      <c r="D41" s="70"/>
      <c r="E41" s="70"/>
      <c r="F41" s="70"/>
      <c r="G41" s="40"/>
      <c r="H41" s="40"/>
      <c r="I41" s="40"/>
      <c r="J41" s="40"/>
      <c r="K41" s="68"/>
      <c r="L41" s="40"/>
      <c r="M41" s="40"/>
      <c r="N41" s="40"/>
    </row>
    <row r="42" spans="1:14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>
      <c r="A43" s="71" t="s">
        <v>21</v>
      </c>
      <c r="B43" s="71"/>
      <c r="C43" s="71"/>
      <c r="D43" s="71"/>
      <c r="E43" s="71"/>
      <c r="F43" s="71"/>
      <c r="G43" s="40"/>
      <c r="H43" s="40"/>
      <c r="I43" s="40"/>
      <c r="J43" s="40"/>
      <c r="K43" s="40"/>
      <c r="L43" s="40"/>
      <c r="M43" s="40"/>
      <c r="N43" s="40"/>
    </row>
    <row r="44" spans="1:1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</sheetData>
  <hyperlinks>
    <hyperlink ref="A43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showGridLines="0" workbookViewId="0">
      <pane ySplit="2" topLeftCell="A3" activePane="bottomLeft" state="frozen"/>
      <selection pane="bottomLeft"/>
    </sheetView>
  </sheetViews>
  <sheetFormatPr baseColWidth="10" defaultRowHeight="14" x14ac:dyDescent="0"/>
  <cols>
    <col min="1" max="1" width="39.5" style="51" customWidth="1"/>
    <col min="2" max="2" width="18.1640625" style="51" customWidth="1"/>
    <col min="3" max="3" width="10.83203125" style="51"/>
    <col min="4" max="4" width="21.6640625" style="51" customWidth="1"/>
    <col min="5" max="5" width="14.5" style="51" customWidth="1"/>
    <col min="6" max="16384" width="10.83203125" style="2"/>
  </cols>
  <sheetData>
    <row r="1" spans="1:6" ht="20">
      <c r="A1" s="87" t="s">
        <v>383</v>
      </c>
      <c r="B1" s="46"/>
      <c r="C1" s="46"/>
      <c r="D1" s="46"/>
      <c r="E1" s="46"/>
    </row>
    <row r="2" spans="1:6" ht="18">
      <c r="A2" s="63"/>
      <c r="B2" s="46"/>
      <c r="C2" s="46"/>
      <c r="D2" s="46"/>
      <c r="E2" s="46"/>
    </row>
    <row r="3" spans="1:6">
      <c r="A3" s="46"/>
      <c r="B3" s="46"/>
      <c r="C3" s="46"/>
      <c r="D3" s="46"/>
      <c r="E3" s="46"/>
    </row>
    <row r="4" spans="1:6" ht="15">
      <c r="A4" s="53" t="s">
        <v>384</v>
      </c>
      <c r="B4" s="46"/>
      <c r="C4" s="46"/>
      <c r="D4" s="46"/>
      <c r="E4" s="46"/>
    </row>
    <row r="5" spans="1:6" ht="28">
      <c r="A5" s="54" t="s">
        <v>286</v>
      </c>
      <c r="B5" s="47" t="s">
        <v>102</v>
      </c>
      <c r="C5" s="47" t="s">
        <v>3</v>
      </c>
      <c r="D5" s="47" t="s">
        <v>328</v>
      </c>
      <c r="E5" s="47" t="s">
        <v>8</v>
      </c>
    </row>
    <row r="6" spans="1:6">
      <c r="A6" s="55" t="s">
        <v>5</v>
      </c>
      <c r="B6" s="43">
        <v>0</v>
      </c>
      <c r="C6" s="43">
        <v>0</v>
      </c>
      <c r="D6" s="43">
        <v>10</v>
      </c>
      <c r="E6" s="43">
        <v>10</v>
      </c>
    </row>
    <row r="7" spans="1:6">
      <c r="A7" s="55" t="s">
        <v>6</v>
      </c>
      <c r="B7" s="43">
        <v>0</v>
      </c>
      <c r="C7" s="43">
        <v>934</v>
      </c>
      <c r="D7" s="43">
        <v>230</v>
      </c>
      <c r="E7" s="43">
        <v>1164</v>
      </c>
    </row>
    <row r="8" spans="1:6">
      <c r="A8" s="55" t="s">
        <v>7</v>
      </c>
      <c r="B8" s="43">
        <v>1729</v>
      </c>
      <c r="C8" s="43">
        <v>3207</v>
      </c>
      <c r="D8" s="43">
        <v>16513</v>
      </c>
      <c r="E8" s="43">
        <v>21449</v>
      </c>
    </row>
    <row r="9" spans="1:6">
      <c r="A9" s="56" t="s">
        <v>4</v>
      </c>
      <c r="B9" s="44">
        <v>1729</v>
      </c>
      <c r="C9" s="44">
        <v>4141</v>
      </c>
      <c r="D9" s="44">
        <v>16753</v>
      </c>
      <c r="E9" s="44">
        <v>22623</v>
      </c>
    </row>
    <row r="10" spans="1:6">
      <c r="A10" s="61"/>
      <c r="B10" s="62"/>
      <c r="C10" s="62"/>
      <c r="D10" s="62"/>
      <c r="E10" s="46"/>
    </row>
    <row r="11" spans="1:6" ht="15">
      <c r="A11" s="53" t="s">
        <v>358</v>
      </c>
      <c r="B11" s="46"/>
      <c r="C11" s="46"/>
      <c r="D11" s="46"/>
      <c r="E11" s="46"/>
    </row>
    <row r="12" spans="1:6" ht="28">
      <c r="A12" s="54" t="s">
        <v>275</v>
      </c>
      <c r="B12" s="47" t="s">
        <v>102</v>
      </c>
      <c r="C12" s="47" t="s">
        <v>3</v>
      </c>
      <c r="D12" s="47" t="s">
        <v>301</v>
      </c>
      <c r="E12" s="47" t="s">
        <v>8</v>
      </c>
    </row>
    <row r="13" spans="1:6">
      <c r="A13" s="55" t="s">
        <v>385</v>
      </c>
      <c r="B13" s="43">
        <v>934</v>
      </c>
      <c r="C13" s="43">
        <v>3199</v>
      </c>
      <c r="D13" s="43">
        <v>10199</v>
      </c>
      <c r="E13" s="43">
        <v>14332</v>
      </c>
      <c r="F13" s="15"/>
    </row>
    <row r="14" spans="1:6">
      <c r="A14" s="55" t="s">
        <v>386</v>
      </c>
      <c r="B14" s="43">
        <v>795</v>
      </c>
      <c r="C14" s="43">
        <v>942</v>
      </c>
      <c r="D14" s="43">
        <v>6554</v>
      </c>
      <c r="E14" s="43">
        <v>8291</v>
      </c>
      <c r="F14" s="15"/>
    </row>
    <row r="15" spans="1:6">
      <c r="A15" s="56" t="s">
        <v>387</v>
      </c>
      <c r="B15" s="44">
        <f>SUM(B13:B14)</f>
        <v>1729</v>
      </c>
      <c r="C15" s="44">
        <f t="shared" ref="C15:E15" si="0">SUM(C13:C14)</f>
        <v>4141</v>
      </c>
      <c r="D15" s="44">
        <f t="shared" si="0"/>
        <v>16753</v>
      </c>
      <c r="E15" s="44">
        <f t="shared" si="0"/>
        <v>22623</v>
      </c>
    </row>
    <row r="16" spans="1:6">
      <c r="A16" s="46"/>
      <c r="B16" s="46"/>
      <c r="C16" s="46"/>
      <c r="D16" s="46"/>
      <c r="E16" s="46"/>
    </row>
    <row r="17" spans="1:6" ht="15">
      <c r="A17" s="53" t="s">
        <v>359</v>
      </c>
      <c r="B17" s="46"/>
      <c r="C17" s="46"/>
      <c r="D17" s="46"/>
      <c r="E17" s="46"/>
    </row>
    <row r="18" spans="1:6" ht="28">
      <c r="A18" s="57" t="s">
        <v>26</v>
      </c>
      <c r="B18" s="47" t="s">
        <v>102</v>
      </c>
      <c r="C18" s="47" t="s">
        <v>3</v>
      </c>
      <c r="D18" s="47" t="s">
        <v>301</v>
      </c>
      <c r="E18" s="47" t="s">
        <v>8</v>
      </c>
    </row>
    <row r="19" spans="1:6">
      <c r="A19" s="58" t="s">
        <v>27</v>
      </c>
      <c r="B19" s="43">
        <v>0</v>
      </c>
      <c r="C19" s="43">
        <v>0</v>
      </c>
      <c r="D19" s="43">
        <v>22</v>
      </c>
      <c r="E19" s="43">
        <f t="shared" ref="E19:E25" si="1">SUM(B19:D19)</f>
        <v>22</v>
      </c>
    </row>
    <row r="20" spans="1:6">
      <c r="A20" s="58" t="s">
        <v>28</v>
      </c>
      <c r="B20" s="43">
        <v>9</v>
      </c>
      <c r="C20" s="43">
        <v>97</v>
      </c>
      <c r="D20" s="43">
        <v>595</v>
      </c>
      <c r="E20" s="43">
        <f t="shared" si="1"/>
        <v>701</v>
      </c>
    </row>
    <row r="21" spans="1:6">
      <c r="A21" s="58" t="s">
        <v>29</v>
      </c>
      <c r="B21" s="43">
        <v>405</v>
      </c>
      <c r="C21" s="43">
        <v>1100</v>
      </c>
      <c r="D21" s="43">
        <v>5087</v>
      </c>
      <c r="E21" s="43">
        <f t="shared" si="1"/>
        <v>6592</v>
      </c>
    </row>
    <row r="22" spans="1:6">
      <c r="A22" s="58" t="s">
        <v>30</v>
      </c>
      <c r="B22" s="43">
        <v>807</v>
      </c>
      <c r="C22" s="43">
        <v>1002</v>
      </c>
      <c r="D22" s="43">
        <v>4024</v>
      </c>
      <c r="E22" s="43">
        <f t="shared" si="1"/>
        <v>5833</v>
      </c>
    </row>
    <row r="23" spans="1:6">
      <c r="A23" s="58" t="s">
        <v>31</v>
      </c>
      <c r="B23" s="43">
        <v>393</v>
      </c>
      <c r="C23" s="43">
        <v>708</v>
      </c>
      <c r="D23" s="43">
        <v>2542</v>
      </c>
      <c r="E23" s="43">
        <f t="shared" si="1"/>
        <v>3643</v>
      </c>
    </row>
    <row r="24" spans="1:6">
      <c r="A24" s="58" t="s">
        <v>32</v>
      </c>
      <c r="B24" s="43">
        <v>115</v>
      </c>
      <c r="C24" s="43">
        <v>1234</v>
      </c>
      <c r="D24" s="43">
        <v>4480</v>
      </c>
      <c r="E24" s="43">
        <f t="shared" si="1"/>
        <v>5829</v>
      </c>
    </row>
    <row r="25" spans="1:6">
      <c r="A25" s="58" t="s">
        <v>104</v>
      </c>
      <c r="B25" s="43">
        <v>0</v>
      </c>
      <c r="C25" s="43">
        <v>0</v>
      </c>
      <c r="D25" s="43">
        <v>3</v>
      </c>
      <c r="E25" s="43">
        <f t="shared" si="1"/>
        <v>3</v>
      </c>
    </row>
    <row r="26" spans="1:6">
      <c r="A26" s="59" t="s">
        <v>4</v>
      </c>
      <c r="B26" s="44">
        <f>SUM(B19:B25)</f>
        <v>1729</v>
      </c>
      <c r="C26" s="44">
        <f>SUM(C19:C25)</f>
        <v>4141</v>
      </c>
      <c r="D26" s="44">
        <f>SUM(D19:D25)</f>
        <v>16753</v>
      </c>
      <c r="E26" s="44">
        <f>SUM(B26:D26)</f>
        <v>22623</v>
      </c>
    </row>
    <row r="27" spans="1:6">
      <c r="A27" s="60" t="s">
        <v>34</v>
      </c>
      <c r="B27" s="95">
        <v>32.799999999999997</v>
      </c>
      <c r="C27" s="95">
        <v>36.1</v>
      </c>
      <c r="D27" s="95">
        <v>35.200000000000003</v>
      </c>
      <c r="E27" s="95">
        <v>35.185764809902743</v>
      </c>
    </row>
    <row r="28" spans="1:6">
      <c r="A28" s="46"/>
      <c r="B28" s="2"/>
      <c r="C28" s="2"/>
      <c r="D28" s="2"/>
      <c r="E28" s="2"/>
    </row>
    <row r="29" spans="1:6" ht="15">
      <c r="A29" s="53" t="s">
        <v>360</v>
      </c>
      <c r="B29" s="46"/>
      <c r="C29" s="46"/>
      <c r="D29" s="46"/>
      <c r="E29" s="46"/>
    </row>
    <row r="30" spans="1:6" ht="28">
      <c r="A30" s="57" t="s">
        <v>10</v>
      </c>
      <c r="B30" s="47" t="s">
        <v>102</v>
      </c>
      <c r="C30" s="47" t="s">
        <v>3</v>
      </c>
      <c r="D30" s="47" t="s">
        <v>301</v>
      </c>
      <c r="E30" s="47" t="s">
        <v>8</v>
      </c>
    </row>
    <row r="31" spans="1:6">
      <c r="A31" s="58" t="s">
        <v>11</v>
      </c>
      <c r="B31" s="43">
        <v>0</v>
      </c>
      <c r="C31" s="43">
        <v>158</v>
      </c>
      <c r="D31" s="43">
        <v>4422</v>
      </c>
      <c r="E31" s="43">
        <v>4580</v>
      </c>
      <c r="F31" s="15"/>
    </row>
    <row r="32" spans="1:6">
      <c r="A32" s="58" t="s">
        <v>12</v>
      </c>
      <c r="B32" s="43">
        <v>0</v>
      </c>
      <c r="C32" s="43">
        <v>12</v>
      </c>
      <c r="D32" s="43">
        <v>65</v>
      </c>
      <c r="E32" s="43">
        <v>77</v>
      </c>
      <c r="F32" s="15"/>
    </row>
    <row r="33" spans="1:6">
      <c r="A33" s="58" t="s">
        <v>13</v>
      </c>
      <c r="B33" s="43">
        <v>0</v>
      </c>
      <c r="C33" s="43">
        <v>18</v>
      </c>
      <c r="D33" s="43">
        <v>423</v>
      </c>
      <c r="E33" s="43">
        <v>441</v>
      </c>
      <c r="F33" s="15"/>
    </row>
    <row r="34" spans="1:6">
      <c r="A34" s="58" t="s">
        <v>14</v>
      </c>
      <c r="B34" s="43">
        <v>0</v>
      </c>
      <c r="C34" s="43">
        <v>4</v>
      </c>
      <c r="D34" s="43">
        <v>116</v>
      </c>
      <c r="E34" s="43">
        <v>120</v>
      </c>
      <c r="F34" s="15"/>
    </row>
    <row r="35" spans="1:6">
      <c r="A35" s="58" t="s">
        <v>15</v>
      </c>
      <c r="B35" s="43">
        <v>0</v>
      </c>
      <c r="C35" s="43">
        <v>470</v>
      </c>
      <c r="D35" s="43">
        <v>2179</v>
      </c>
      <c r="E35" s="43">
        <v>2649</v>
      </c>
      <c r="F35" s="15"/>
    </row>
    <row r="36" spans="1:6">
      <c r="A36" s="58" t="s">
        <v>16</v>
      </c>
      <c r="B36" s="43">
        <v>0</v>
      </c>
      <c r="C36" s="43">
        <v>95</v>
      </c>
      <c r="D36" s="43">
        <v>1234</v>
      </c>
      <c r="E36" s="43">
        <v>1329</v>
      </c>
      <c r="F36" s="15"/>
    </row>
    <row r="37" spans="1:6">
      <c r="A37" s="58" t="s">
        <v>17</v>
      </c>
      <c r="B37" s="43">
        <v>0</v>
      </c>
      <c r="C37" s="43">
        <v>3003</v>
      </c>
      <c r="D37" s="43">
        <v>2328</v>
      </c>
      <c r="E37" s="43">
        <v>5331</v>
      </c>
      <c r="F37" s="15"/>
    </row>
    <row r="38" spans="1:6">
      <c r="A38" s="58" t="s">
        <v>18</v>
      </c>
      <c r="B38" s="43">
        <v>0</v>
      </c>
      <c r="C38" s="43">
        <v>24</v>
      </c>
      <c r="D38" s="43">
        <v>191</v>
      </c>
      <c r="E38" s="43">
        <v>215</v>
      </c>
      <c r="F38" s="15"/>
    </row>
    <row r="39" spans="1:6">
      <c r="A39" s="58" t="s">
        <v>19</v>
      </c>
      <c r="B39" s="43">
        <v>1729</v>
      </c>
      <c r="C39" s="43">
        <v>258</v>
      </c>
      <c r="D39" s="43">
        <v>4853</v>
      </c>
      <c r="E39" s="43">
        <v>6840</v>
      </c>
      <c r="F39" s="15"/>
    </row>
    <row r="40" spans="1:6">
      <c r="A40" s="58" t="s">
        <v>20</v>
      </c>
      <c r="B40" s="43">
        <v>0</v>
      </c>
      <c r="C40" s="43">
        <v>99</v>
      </c>
      <c r="D40" s="43">
        <v>942</v>
      </c>
      <c r="E40" s="43">
        <v>1041</v>
      </c>
      <c r="F40" s="15"/>
    </row>
    <row r="41" spans="1:6">
      <c r="A41" s="59" t="s">
        <v>4</v>
      </c>
      <c r="B41" s="44">
        <v>1729</v>
      </c>
      <c r="C41" s="44">
        <v>4141</v>
      </c>
      <c r="D41" s="44">
        <v>16753</v>
      </c>
      <c r="E41" s="44">
        <v>22623</v>
      </c>
      <c r="F41" s="15"/>
    </row>
    <row r="42" spans="1:6">
      <c r="A42" s="46"/>
      <c r="B42" s="46"/>
      <c r="C42" s="46"/>
      <c r="D42" s="46"/>
      <c r="E42" s="46"/>
    </row>
    <row r="43" spans="1:6" ht="15">
      <c r="A43" s="53" t="s">
        <v>361</v>
      </c>
      <c r="B43" s="46"/>
      <c r="C43" s="46"/>
      <c r="D43" s="46"/>
      <c r="E43" s="46"/>
    </row>
    <row r="44" spans="1:6" ht="28">
      <c r="A44" s="57" t="s">
        <v>42</v>
      </c>
      <c r="B44" s="47" t="s">
        <v>102</v>
      </c>
      <c r="C44" s="47" t="s">
        <v>3</v>
      </c>
      <c r="D44" s="47" t="s">
        <v>301</v>
      </c>
      <c r="E44" s="47" t="s">
        <v>8</v>
      </c>
    </row>
    <row r="45" spans="1:6">
      <c r="A45" s="58" t="s">
        <v>43</v>
      </c>
      <c r="B45" s="43">
        <v>1563</v>
      </c>
      <c r="C45" s="43">
        <v>979</v>
      </c>
      <c r="D45" s="43">
        <v>6801</v>
      </c>
      <c r="E45" s="43">
        <v>9343</v>
      </c>
    </row>
    <row r="46" spans="1:6">
      <c r="A46" s="58" t="s">
        <v>44</v>
      </c>
      <c r="B46" s="43">
        <v>59</v>
      </c>
      <c r="C46" s="43">
        <v>771</v>
      </c>
      <c r="D46" s="43">
        <v>4569</v>
      </c>
      <c r="E46" s="43">
        <v>5399</v>
      </c>
    </row>
    <row r="47" spans="1:6">
      <c r="A47" s="58" t="s">
        <v>278</v>
      </c>
      <c r="B47" s="43">
        <v>12</v>
      </c>
      <c r="C47" s="43">
        <v>64</v>
      </c>
      <c r="D47" s="43">
        <v>1162</v>
      </c>
      <c r="E47" s="43">
        <v>1238</v>
      </c>
    </row>
    <row r="48" spans="1:6">
      <c r="A48" s="58" t="s">
        <v>283</v>
      </c>
      <c r="B48" s="43">
        <v>0</v>
      </c>
      <c r="C48" s="43">
        <v>2285</v>
      </c>
      <c r="D48" s="43">
        <v>2198</v>
      </c>
      <c r="E48" s="43">
        <v>4483</v>
      </c>
    </row>
    <row r="49" spans="1:5">
      <c r="A49" s="58" t="s">
        <v>45</v>
      </c>
      <c r="B49" s="43">
        <v>95</v>
      </c>
      <c r="C49" s="43">
        <v>42</v>
      </c>
      <c r="D49" s="43">
        <v>2023</v>
      </c>
      <c r="E49" s="43">
        <v>2160</v>
      </c>
    </row>
    <row r="50" spans="1:5">
      <c r="A50" s="59" t="s">
        <v>4</v>
      </c>
      <c r="B50" s="44">
        <v>1729</v>
      </c>
      <c r="C50" s="44">
        <v>4141</v>
      </c>
      <c r="D50" s="44">
        <v>16753</v>
      </c>
      <c r="E50" s="44">
        <v>22623</v>
      </c>
    </row>
    <row r="51" spans="1:5">
      <c r="A51" s="46"/>
      <c r="B51" s="46"/>
      <c r="C51" s="46"/>
      <c r="D51" s="46"/>
      <c r="E51" s="46"/>
    </row>
    <row r="52" spans="1:5" ht="15">
      <c r="A52" s="53" t="s">
        <v>362</v>
      </c>
      <c r="B52" s="46"/>
      <c r="C52" s="46"/>
      <c r="D52" s="46"/>
      <c r="E52" s="46"/>
    </row>
    <row r="53" spans="1:5" ht="28">
      <c r="A53" s="57" t="s">
        <v>9</v>
      </c>
      <c r="B53" s="47" t="s">
        <v>102</v>
      </c>
      <c r="C53" s="47" t="s">
        <v>3</v>
      </c>
      <c r="D53" s="47" t="s">
        <v>301</v>
      </c>
      <c r="E53" s="47" t="s">
        <v>8</v>
      </c>
    </row>
    <row r="54" spans="1:5">
      <c r="A54" s="58" t="s">
        <v>303</v>
      </c>
      <c r="B54" s="43">
        <v>0</v>
      </c>
      <c r="C54" s="43">
        <v>86</v>
      </c>
      <c r="D54" s="43">
        <v>0</v>
      </c>
      <c r="E54" s="43">
        <v>86</v>
      </c>
    </row>
    <row r="55" spans="1:5">
      <c r="A55" s="58" t="s">
        <v>304</v>
      </c>
      <c r="B55" s="43">
        <v>0</v>
      </c>
      <c r="C55" s="43">
        <v>0</v>
      </c>
      <c r="D55" s="43">
        <v>2</v>
      </c>
      <c r="E55" s="43">
        <v>2</v>
      </c>
    </row>
    <row r="56" spans="1:5">
      <c r="A56" s="58" t="s">
        <v>305</v>
      </c>
      <c r="B56" s="43">
        <v>4</v>
      </c>
      <c r="C56" s="43">
        <v>202</v>
      </c>
      <c r="D56" s="43">
        <v>0</v>
      </c>
      <c r="E56" s="43">
        <v>206</v>
      </c>
    </row>
    <row r="57" spans="1:5">
      <c r="A57" s="58" t="s">
        <v>306</v>
      </c>
      <c r="B57" s="43">
        <v>0</v>
      </c>
      <c r="C57" s="43">
        <v>0</v>
      </c>
      <c r="D57" s="43">
        <v>0</v>
      </c>
      <c r="E57" s="43">
        <v>0</v>
      </c>
    </row>
    <row r="58" spans="1:5">
      <c r="A58" s="58" t="s">
        <v>307</v>
      </c>
      <c r="B58" s="43">
        <v>16</v>
      </c>
      <c r="C58" s="43">
        <v>1</v>
      </c>
      <c r="D58" s="43">
        <v>116</v>
      </c>
      <c r="E58" s="43">
        <v>133</v>
      </c>
    </row>
    <row r="59" spans="1:5">
      <c r="A59" s="58" t="s">
        <v>308</v>
      </c>
      <c r="B59" s="43">
        <v>143</v>
      </c>
      <c r="C59" s="43">
        <v>309</v>
      </c>
      <c r="D59" s="43">
        <v>196</v>
      </c>
      <c r="E59" s="43">
        <v>648</v>
      </c>
    </row>
    <row r="60" spans="1:5">
      <c r="A60" s="92" t="s">
        <v>329</v>
      </c>
      <c r="B60" s="43">
        <v>1188</v>
      </c>
      <c r="C60" s="43">
        <v>3257</v>
      </c>
      <c r="D60" s="43">
        <v>13648</v>
      </c>
      <c r="E60" s="43">
        <v>18093</v>
      </c>
    </row>
    <row r="61" spans="1:5">
      <c r="A61" s="58" t="s">
        <v>309</v>
      </c>
      <c r="B61" s="43">
        <v>0</v>
      </c>
      <c r="C61" s="43">
        <v>0</v>
      </c>
      <c r="D61" s="43">
        <v>27</v>
      </c>
      <c r="E61" s="43">
        <v>27</v>
      </c>
    </row>
    <row r="62" spans="1:5">
      <c r="A62" s="58" t="s">
        <v>310</v>
      </c>
      <c r="B62" s="43">
        <v>28</v>
      </c>
      <c r="C62" s="43">
        <v>86</v>
      </c>
      <c r="D62" s="43">
        <v>221</v>
      </c>
      <c r="E62" s="43">
        <v>335</v>
      </c>
    </row>
    <row r="63" spans="1:5">
      <c r="A63" s="58" t="s">
        <v>311</v>
      </c>
      <c r="B63" s="43">
        <v>218</v>
      </c>
      <c r="C63" s="43">
        <v>130</v>
      </c>
      <c r="D63" s="43">
        <v>1633</v>
      </c>
      <c r="E63" s="43">
        <v>1981</v>
      </c>
    </row>
    <row r="64" spans="1:5">
      <c r="A64" s="58" t="s">
        <v>312</v>
      </c>
      <c r="B64" s="43">
        <v>71</v>
      </c>
      <c r="C64" s="43">
        <v>39</v>
      </c>
      <c r="D64" s="43">
        <v>599</v>
      </c>
      <c r="E64" s="43">
        <v>709</v>
      </c>
    </row>
    <row r="65" spans="1:5">
      <c r="A65" s="58" t="s">
        <v>313</v>
      </c>
      <c r="B65" s="43">
        <v>33</v>
      </c>
      <c r="C65" s="43">
        <v>8</v>
      </c>
      <c r="D65" s="43">
        <v>225</v>
      </c>
      <c r="E65" s="43">
        <v>266</v>
      </c>
    </row>
    <row r="66" spans="1:5">
      <c r="A66" s="58" t="s">
        <v>314</v>
      </c>
      <c r="B66" s="43">
        <v>28</v>
      </c>
      <c r="C66" s="43">
        <v>23</v>
      </c>
      <c r="D66" s="43">
        <v>86</v>
      </c>
      <c r="E66" s="43">
        <v>137</v>
      </c>
    </row>
    <row r="67" spans="1:5">
      <c r="A67" s="58" t="s">
        <v>315</v>
      </c>
      <c r="B67" s="43">
        <v>0</v>
      </c>
      <c r="C67" s="43">
        <v>0</v>
      </c>
      <c r="D67" s="43">
        <v>0</v>
      </c>
      <c r="E67" s="43">
        <v>0</v>
      </c>
    </row>
    <row r="68" spans="1:5">
      <c r="A68" s="58" t="s">
        <v>317</v>
      </c>
      <c r="B68" s="43">
        <v>0</v>
      </c>
      <c r="C68" s="43">
        <v>0</v>
      </c>
      <c r="D68" s="43">
        <v>0</v>
      </c>
      <c r="E68" s="43">
        <v>0</v>
      </c>
    </row>
    <row r="69" spans="1:5">
      <c r="A69" s="59" t="s">
        <v>4</v>
      </c>
      <c r="B69" s="44">
        <f>SUM(B54:B68)</f>
        <v>1729</v>
      </c>
      <c r="C69" s="44">
        <f t="shared" ref="C69:E69" si="2">SUM(C54:C68)</f>
        <v>4141</v>
      </c>
      <c r="D69" s="44">
        <f t="shared" si="2"/>
        <v>16753</v>
      </c>
      <c r="E69" s="44">
        <f t="shared" si="2"/>
        <v>22623</v>
      </c>
    </row>
    <row r="70" spans="1:5">
      <c r="A70" s="45"/>
      <c r="B70" s="45"/>
      <c r="C70" s="45"/>
      <c r="D70" s="45"/>
      <c r="E70" s="46"/>
    </row>
    <row r="71" spans="1:5" ht="15">
      <c r="A71" s="53" t="s">
        <v>363</v>
      </c>
      <c r="B71" s="46"/>
      <c r="C71" s="46"/>
      <c r="D71" s="46"/>
      <c r="E71" s="46"/>
    </row>
    <row r="72" spans="1:5">
      <c r="A72" s="60" t="s">
        <v>10</v>
      </c>
      <c r="B72" s="47" t="s">
        <v>256</v>
      </c>
      <c r="C72" s="47" t="s">
        <v>257</v>
      </c>
      <c r="D72" s="47" t="s">
        <v>8</v>
      </c>
      <c r="E72" s="46"/>
    </row>
    <row r="73" spans="1:5">
      <c r="A73" s="58" t="s">
        <v>105</v>
      </c>
      <c r="B73" s="48">
        <v>2295</v>
      </c>
      <c r="C73" s="48">
        <v>2285</v>
      </c>
      <c r="D73" s="48">
        <f>SUM(B73:C73)</f>
        <v>4580</v>
      </c>
      <c r="E73" s="46"/>
    </row>
    <row r="74" spans="1:5">
      <c r="A74" s="92" t="s">
        <v>318</v>
      </c>
      <c r="B74" s="48">
        <v>37</v>
      </c>
      <c r="C74" s="48">
        <v>40</v>
      </c>
      <c r="D74" s="48">
        <f t="shared" ref="D74:D83" si="3">SUM(B74:C74)</f>
        <v>77</v>
      </c>
      <c r="E74" s="46"/>
    </row>
    <row r="75" spans="1:5">
      <c r="A75" s="92" t="s">
        <v>319</v>
      </c>
      <c r="B75" s="48">
        <v>275</v>
      </c>
      <c r="C75" s="48">
        <v>166</v>
      </c>
      <c r="D75" s="48">
        <f t="shared" si="3"/>
        <v>441</v>
      </c>
      <c r="E75" s="46"/>
    </row>
    <row r="76" spans="1:5">
      <c r="A76" s="92" t="s">
        <v>320</v>
      </c>
      <c r="B76" s="48">
        <v>51</v>
      </c>
      <c r="C76" s="48">
        <v>69</v>
      </c>
      <c r="D76" s="48">
        <f t="shared" si="3"/>
        <v>120</v>
      </c>
      <c r="E76" s="46"/>
    </row>
    <row r="77" spans="1:5">
      <c r="A77" s="92" t="s">
        <v>321</v>
      </c>
      <c r="B77" s="48">
        <v>1771</v>
      </c>
      <c r="C77" s="48">
        <v>878</v>
      </c>
      <c r="D77" s="48">
        <f t="shared" si="3"/>
        <v>2649</v>
      </c>
      <c r="E77" s="46"/>
    </row>
    <row r="78" spans="1:5">
      <c r="A78" s="92" t="s">
        <v>322</v>
      </c>
      <c r="B78" s="48">
        <v>645</v>
      </c>
      <c r="C78" s="48">
        <v>684</v>
      </c>
      <c r="D78" s="48">
        <f t="shared" si="3"/>
        <v>1329</v>
      </c>
      <c r="E78" s="46"/>
    </row>
    <row r="79" spans="1:5">
      <c r="A79" s="92" t="s">
        <v>323</v>
      </c>
      <c r="B79" s="48">
        <v>4144</v>
      </c>
      <c r="C79" s="48">
        <v>1187</v>
      </c>
      <c r="D79" s="48">
        <f t="shared" si="3"/>
        <v>5331</v>
      </c>
      <c r="E79" s="46"/>
    </row>
    <row r="80" spans="1:5">
      <c r="A80" s="92" t="s">
        <v>324</v>
      </c>
      <c r="B80" s="48">
        <v>134</v>
      </c>
      <c r="C80" s="48">
        <v>81</v>
      </c>
      <c r="D80" s="48">
        <f t="shared" si="3"/>
        <v>215</v>
      </c>
      <c r="E80" s="46"/>
    </row>
    <row r="81" spans="1:5">
      <c r="A81" s="92" t="s">
        <v>325</v>
      </c>
      <c r="B81" s="48">
        <v>4536</v>
      </c>
      <c r="C81" s="48">
        <v>2304</v>
      </c>
      <c r="D81" s="48">
        <f t="shared" si="3"/>
        <v>6840</v>
      </c>
      <c r="E81" s="46"/>
    </row>
    <row r="82" spans="1:5">
      <c r="A82" s="92" t="s">
        <v>326</v>
      </c>
      <c r="B82" s="48">
        <v>444</v>
      </c>
      <c r="C82" s="48">
        <v>597</v>
      </c>
      <c r="D82" s="48">
        <f t="shared" si="3"/>
        <v>1041</v>
      </c>
      <c r="E82" s="46"/>
    </row>
    <row r="83" spans="1:5">
      <c r="A83" s="59" t="s">
        <v>327</v>
      </c>
      <c r="B83" s="49">
        <v>14332</v>
      </c>
      <c r="C83" s="49">
        <v>8291</v>
      </c>
      <c r="D83" s="49">
        <f t="shared" si="3"/>
        <v>22623</v>
      </c>
      <c r="E83" s="46"/>
    </row>
    <row r="84" spans="1:5">
      <c r="A84" s="46"/>
      <c r="B84" s="46"/>
      <c r="C84" s="46"/>
      <c r="D84" s="46"/>
      <c r="E84" s="46"/>
    </row>
    <row r="85" spans="1:5" ht="15">
      <c r="A85" s="53" t="s">
        <v>364</v>
      </c>
      <c r="B85" s="46"/>
      <c r="C85" s="46"/>
      <c r="D85" s="46"/>
      <c r="E85" s="46"/>
    </row>
    <row r="86" spans="1:5">
      <c r="A86" s="60" t="s">
        <v>9</v>
      </c>
      <c r="B86" s="47" t="s">
        <v>256</v>
      </c>
      <c r="C86" s="47" t="s">
        <v>257</v>
      </c>
      <c r="D86" s="47" t="s">
        <v>8</v>
      </c>
      <c r="E86" s="46"/>
    </row>
    <row r="87" spans="1:5">
      <c r="A87" s="58" t="s">
        <v>303</v>
      </c>
      <c r="B87" s="48">
        <v>78</v>
      </c>
      <c r="C87" s="48">
        <v>8</v>
      </c>
      <c r="D87" s="48">
        <f>SUM(B87:C87)</f>
        <v>86</v>
      </c>
      <c r="E87" s="46"/>
    </row>
    <row r="88" spans="1:5">
      <c r="A88" s="58" t="s">
        <v>304</v>
      </c>
      <c r="B88" s="48">
        <v>1</v>
      </c>
      <c r="C88" s="48">
        <v>1</v>
      </c>
      <c r="D88" s="48">
        <f t="shared" ref="D88:D102" si="4">SUM(B88:C88)</f>
        <v>2</v>
      </c>
      <c r="E88" s="46"/>
    </row>
    <row r="89" spans="1:5">
      <c r="A89" s="58" t="s">
        <v>305</v>
      </c>
      <c r="B89" s="48">
        <v>159</v>
      </c>
      <c r="C89" s="48">
        <v>47</v>
      </c>
      <c r="D89" s="48">
        <f t="shared" si="4"/>
        <v>206</v>
      </c>
      <c r="E89" s="46"/>
    </row>
    <row r="90" spans="1:5">
      <c r="A90" s="58" t="s">
        <v>306</v>
      </c>
      <c r="B90" s="50">
        <v>0</v>
      </c>
      <c r="C90" s="50">
        <v>0</v>
      </c>
      <c r="D90" s="48">
        <f t="shared" si="4"/>
        <v>0</v>
      </c>
      <c r="E90" s="46"/>
    </row>
    <row r="91" spans="1:5">
      <c r="A91" s="58" t="s">
        <v>307</v>
      </c>
      <c r="B91" s="48">
        <v>78</v>
      </c>
      <c r="C91" s="48">
        <v>55</v>
      </c>
      <c r="D91" s="48">
        <f t="shared" si="4"/>
        <v>133</v>
      </c>
      <c r="E91" s="46"/>
    </row>
    <row r="92" spans="1:5">
      <c r="A92" s="58" t="s">
        <v>308</v>
      </c>
      <c r="B92" s="48">
        <v>365</v>
      </c>
      <c r="C92" s="48">
        <v>283</v>
      </c>
      <c r="D92" s="48">
        <f t="shared" si="4"/>
        <v>648</v>
      </c>
      <c r="E92" s="46"/>
    </row>
    <row r="93" spans="1:5">
      <c r="A93" s="98" t="s">
        <v>329</v>
      </c>
      <c r="B93" s="48">
        <v>11478</v>
      </c>
      <c r="C93" s="48">
        <v>6615</v>
      </c>
      <c r="D93" s="48">
        <f t="shared" si="4"/>
        <v>18093</v>
      </c>
      <c r="E93" s="46"/>
    </row>
    <row r="94" spans="1:5">
      <c r="A94" s="58" t="s">
        <v>309</v>
      </c>
      <c r="B94" s="48">
        <v>14</v>
      </c>
      <c r="C94" s="48">
        <v>13</v>
      </c>
      <c r="D94" s="48">
        <f t="shared" si="4"/>
        <v>27</v>
      </c>
      <c r="E94" s="46"/>
    </row>
    <row r="95" spans="1:5">
      <c r="A95" s="58" t="s">
        <v>310</v>
      </c>
      <c r="B95" s="48">
        <v>178</v>
      </c>
      <c r="C95" s="48">
        <v>157</v>
      </c>
      <c r="D95" s="48">
        <f t="shared" si="4"/>
        <v>335</v>
      </c>
      <c r="E95" s="46"/>
    </row>
    <row r="96" spans="1:5">
      <c r="A96" s="58" t="s">
        <v>311</v>
      </c>
      <c r="B96" s="48">
        <v>1234</v>
      </c>
      <c r="C96" s="48">
        <v>747</v>
      </c>
      <c r="D96" s="48">
        <f t="shared" si="4"/>
        <v>1981</v>
      </c>
      <c r="E96" s="46"/>
    </row>
    <row r="97" spans="1:5">
      <c r="A97" s="58" t="s">
        <v>312</v>
      </c>
      <c r="B97" s="48">
        <v>493</v>
      </c>
      <c r="C97" s="48">
        <v>216</v>
      </c>
      <c r="D97" s="48">
        <f t="shared" si="4"/>
        <v>709</v>
      </c>
      <c r="E97" s="46"/>
    </row>
    <row r="98" spans="1:5">
      <c r="A98" s="58" t="s">
        <v>313</v>
      </c>
      <c r="B98" s="48">
        <v>159</v>
      </c>
      <c r="C98" s="48">
        <v>107</v>
      </c>
      <c r="D98" s="48">
        <f t="shared" si="4"/>
        <v>266</v>
      </c>
      <c r="E98" s="46"/>
    </row>
    <row r="99" spans="1:5">
      <c r="A99" s="58" t="s">
        <v>314</v>
      </c>
      <c r="B99" s="48">
        <v>95</v>
      </c>
      <c r="C99" s="48">
        <v>42</v>
      </c>
      <c r="D99" s="48">
        <f t="shared" si="4"/>
        <v>137</v>
      </c>
      <c r="E99" s="46"/>
    </row>
    <row r="100" spans="1:5">
      <c r="A100" s="58" t="s">
        <v>315</v>
      </c>
      <c r="B100" s="48">
        <v>0</v>
      </c>
      <c r="C100" s="48">
        <v>0</v>
      </c>
      <c r="D100" s="48">
        <f t="shared" si="4"/>
        <v>0</v>
      </c>
      <c r="E100" s="46"/>
    </row>
    <row r="101" spans="1:5">
      <c r="A101" s="58" t="s">
        <v>317</v>
      </c>
      <c r="B101" s="48">
        <v>0</v>
      </c>
      <c r="C101" s="48">
        <v>0</v>
      </c>
      <c r="D101" s="48">
        <f t="shared" si="4"/>
        <v>0</v>
      </c>
      <c r="E101" s="46"/>
    </row>
    <row r="102" spans="1:5">
      <c r="A102" s="81" t="s">
        <v>4</v>
      </c>
      <c r="B102" s="49">
        <f>SUM(B87:B101)</f>
        <v>14332</v>
      </c>
      <c r="C102" s="49">
        <f>SUM(C87:C101)</f>
        <v>8291</v>
      </c>
      <c r="D102" s="49">
        <f t="shared" si="4"/>
        <v>22623</v>
      </c>
      <c r="E102" s="46"/>
    </row>
    <row r="103" spans="1:5">
      <c r="A103" s="46"/>
      <c r="B103" s="46"/>
      <c r="C103" s="46"/>
      <c r="D103" s="46"/>
      <c r="E103" s="46"/>
    </row>
    <row r="104" spans="1:5">
      <c r="A104" s="46"/>
      <c r="B104" s="46"/>
      <c r="C104" s="46"/>
      <c r="D104" s="46"/>
      <c r="E104" s="46"/>
    </row>
    <row r="105" spans="1:5">
      <c r="A105" s="70" t="s">
        <v>294</v>
      </c>
      <c r="B105" s="73"/>
      <c r="C105" s="73"/>
      <c r="D105" s="73"/>
      <c r="E105" s="73"/>
    </row>
    <row r="106" spans="1:5">
      <c r="A106" s="73"/>
      <c r="B106" s="73"/>
      <c r="C106" s="73"/>
      <c r="D106" s="73"/>
      <c r="E106" s="73"/>
    </row>
    <row r="107" spans="1:5">
      <c r="A107" s="74" t="s">
        <v>21</v>
      </c>
      <c r="B107" s="73"/>
      <c r="C107" s="73"/>
      <c r="D107" s="73"/>
      <c r="E107" s="73"/>
    </row>
    <row r="108" spans="1:5">
      <c r="A108" s="73"/>
      <c r="B108" s="73"/>
      <c r="C108" s="73"/>
      <c r="D108" s="73"/>
      <c r="E108" s="73"/>
    </row>
  </sheetData>
  <hyperlinks>
    <hyperlink ref="A107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workbookViewId="0">
      <pane ySplit="2" topLeftCell="A3" activePane="bottomLeft" state="frozen"/>
      <selection pane="bottomLeft" activeCell="A11" sqref="A11"/>
    </sheetView>
  </sheetViews>
  <sheetFormatPr baseColWidth="10" defaultRowHeight="14" x14ac:dyDescent="0"/>
  <cols>
    <col min="1" max="1" width="40.5" style="1" customWidth="1"/>
    <col min="2" max="5" width="11.1640625" style="1" customWidth="1"/>
    <col min="6" max="11" width="10.33203125" style="1" customWidth="1"/>
    <col min="12" max="12" width="15.1640625" style="1" customWidth="1"/>
    <col min="13" max="13" width="13.83203125" style="1" customWidth="1"/>
    <col min="14" max="14" width="16.5" style="1" customWidth="1"/>
    <col min="15" max="16384" width="10.83203125" style="2"/>
  </cols>
  <sheetData>
    <row r="1" spans="1:14" ht="20">
      <c r="A1" s="66" t="s">
        <v>374</v>
      </c>
      <c r="B1" s="66"/>
      <c r="C1" s="66"/>
      <c r="D1" s="66"/>
      <c r="E1" s="66"/>
      <c r="F1" s="40"/>
      <c r="G1" s="40"/>
      <c r="H1" s="40"/>
      <c r="I1" s="40"/>
      <c r="J1" s="40"/>
      <c r="K1" s="40"/>
      <c r="L1" s="40"/>
      <c r="M1" s="40"/>
      <c r="N1" s="40"/>
    </row>
    <row r="2" spans="1:14" ht="18">
      <c r="A2" s="38"/>
      <c r="B2" s="38"/>
      <c r="C2" s="38"/>
      <c r="D2" s="38"/>
      <c r="E2" s="38"/>
      <c r="F2" s="40"/>
      <c r="G2" s="40"/>
      <c r="H2" s="40"/>
      <c r="I2" s="40"/>
      <c r="J2" s="40"/>
      <c r="K2" s="40"/>
      <c r="L2" s="40"/>
      <c r="M2" s="40"/>
      <c r="N2" s="40"/>
    </row>
    <row r="3" spans="1:14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15">
      <c r="A4" s="25" t="s">
        <v>106</v>
      </c>
      <c r="B4" s="25"/>
      <c r="C4" s="25"/>
      <c r="D4" s="25"/>
      <c r="E4" s="25"/>
      <c r="F4" s="40"/>
      <c r="G4" s="40"/>
      <c r="H4" s="40"/>
      <c r="I4" s="40"/>
      <c r="J4" s="40"/>
      <c r="K4" s="40"/>
      <c r="L4" s="40"/>
      <c r="M4" s="40"/>
      <c r="N4" s="40"/>
    </row>
    <row r="5" spans="1:14" ht="28">
      <c r="A5" s="88" t="s">
        <v>0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13" t="s">
        <v>369</v>
      </c>
      <c r="M5" s="13" t="s">
        <v>368</v>
      </c>
      <c r="N5" s="13" t="s">
        <v>367</v>
      </c>
    </row>
    <row r="6" spans="1:14">
      <c r="A6" s="4" t="s">
        <v>5</v>
      </c>
      <c r="B6" s="4"/>
      <c r="C6" s="4">
        <v>10</v>
      </c>
      <c r="D6" s="4">
        <v>11</v>
      </c>
      <c r="E6" s="4">
        <v>13</v>
      </c>
      <c r="F6" s="4">
        <v>8</v>
      </c>
      <c r="G6" s="4">
        <v>10</v>
      </c>
      <c r="H6" s="4"/>
      <c r="I6" s="4"/>
      <c r="J6" s="4">
        <v>9</v>
      </c>
      <c r="K6" s="4">
        <v>10</v>
      </c>
      <c r="L6" s="82" t="s">
        <v>24</v>
      </c>
      <c r="M6" s="101">
        <f>(K6-J6)/J6</f>
        <v>0.1111111111111111</v>
      </c>
      <c r="N6" s="14">
        <f>K6/K$9</f>
        <v>4.4202802457675818E-4</v>
      </c>
    </row>
    <row r="7" spans="1:14">
      <c r="A7" s="4" t="s">
        <v>6</v>
      </c>
      <c r="B7" s="4"/>
      <c r="C7" s="4">
        <v>28</v>
      </c>
      <c r="D7" s="4"/>
      <c r="E7" s="4"/>
      <c r="F7" s="4"/>
      <c r="G7" s="4">
        <v>5</v>
      </c>
      <c r="H7" s="4">
        <v>21</v>
      </c>
      <c r="I7" s="4">
        <v>256</v>
      </c>
      <c r="J7" s="4">
        <v>2641</v>
      </c>
      <c r="K7" s="4">
        <v>1164</v>
      </c>
      <c r="L7" s="82" t="s">
        <v>24</v>
      </c>
      <c r="M7" s="101">
        <f t="shared" ref="M7:M8" si="0">(K7-J7)/J7</f>
        <v>-0.55925785687239682</v>
      </c>
      <c r="N7" s="14">
        <f t="shared" ref="N7:N8" si="1">K7/K$9</f>
        <v>5.1452062060734653E-2</v>
      </c>
    </row>
    <row r="8" spans="1:14">
      <c r="A8" s="4" t="s">
        <v>7</v>
      </c>
      <c r="B8" s="4">
        <v>7669</v>
      </c>
      <c r="C8" s="4">
        <v>8767</v>
      </c>
      <c r="D8" s="4">
        <v>8845</v>
      </c>
      <c r="E8" s="4">
        <v>8686</v>
      </c>
      <c r="F8" s="4">
        <v>9749</v>
      </c>
      <c r="G8" s="4">
        <v>12508</v>
      </c>
      <c r="H8" s="4">
        <v>12900</v>
      </c>
      <c r="I8" s="4">
        <v>13272</v>
      </c>
      <c r="J8" s="4">
        <v>16300</v>
      </c>
      <c r="K8" s="4">
        <v>21449</v>
      </c>
      <c r="L8" s="101">
        <f t="shared" ref="L8" si="2">(K8-B8)/B8</f>
        <v>1.7968444386491067</v>
      </c>
      <c r="M8" s="101">
        <f t="shared" si="0"/>
        <v>0.31588957055214723</v>
      </c>
      <c r="N8" s="14">
        <f t="shared" si="1"/>
        <v>0.94810590991468857</v>
      </c>
    </row>
    <row r="9" spans="1:14">
      <c r="A9" s="5" t="s">
        <v>4</v>
      </c>
      <c r="B9" s="5">
        <v>7669</v>
      </c>
      <c r="C9" s="5">
        <v>8805</v>
      </c>
      <c r="D9" s="5">
        <v>8856</v>
      </c>
      <c r="E9" s="5">
        <v>8699</v>
      </c>
      <c r="F9" s="5">
        <v>9757</v>
      </c>
      <c r="G9" s="5">
        <v>12523</v>
      </c>
      <c r="H9" s="5">
        <v>12921</v>
      </c>
      <c r="I9" s="5">
        <v>13528</v>
      </c>
      <c r="J9" s="5">
        <v>18950</v>
      </c>
      <c r="K9" s="5">
        <v>22623</v>
      </c>
      <c r="L9" s="83">
        <f>(K9-B9)/B9</f>
        <v>1.9499282826965707</v>
      </c>
      <c r="M9" s="83">
        <f>(K9-J9)/J9</f>
        <v>0.19382585751978892</v>
      </c>
      <c r="N9" s="16">
        <f>K9/K$9</f>
        <v>1</v>
      </c>
    </row>
    <row r="10" spans="1:14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 ht="15">
      <c r="A11" s="25" t="s">
        <v>107</v>
      </c>
      <c r="B11" s="25"/>
      <c r="C11" s="25"/>
      <c r="D11" s="25"/>
      <c r="E11" s="25"/>
      <c r="F11" s="40"/>
      <c r="G11" s="40"/>
      <c r="H11" s="40"/>
      <c r="I11" s="40"/>
      <c r="J11" s="40"/>
      <c r="K11" s="40"/>
      <c r="L11" s="40"/>
      <c r="M11" s="40"/>
      <c r="N11" s="40"/>
    </row>
    <row r="12" spans="1:14" ht="28">
      <c r="A12" s="88" t="s">
        <v>100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13" t="s">
        <v>369</v>
      </c>
      <c r="M12" s="13" t="s">
        <v>368</v>
      </c>
      <c r="N12" s="13" t="s">
        <v>367</v>
      </c>
    </row>
    <row r="13" spans="1:14">
      <c r="A13" s="4" t="s">
        <v>102</v>
      </c>
      <c r="B13" s="4">
        <v>912</v>
      </c>
      <c r="C13" s="4">
        <v>856</v>
      </c>
      <c r="D13" s="4">
        <v>979</v>
      </c>
      <c r="E13" s="4">
        <v>933</v>
      </c>
      <c r="F13" s="4">
        <v>1077</v>
      </c>
      <c r="G13" s="4">
        <v>1230</v>
      </c>
      <c r="H13" s="4">
        <v>1348</v>
      </c>
      <c r="I13" s="4">
        <v>1509</v>
      </c>
      <c r="J13" s="4">
        <v>1922</v>
      </c>
      <c r="K13" s="4">
        <v>1729</v>
      </c>
      <c r="L13" s="101">
        <f>(K13-B13)/B13</f>
        <v>0.89583333333333337</v>
      </c>
      <c r="M13" s="101">
        <f>(K13-J13)/J13</f>
        <v>-0.1004162330905307</v>
      </c>
      <c r="N13" s="14">
        <f>K13/K$9</f>
        <v>7.6426645449321484E-2</v>
      </c>
    </row>
    <row r="14" spans="1:14">
      <c r="A14" s="4" t="s">
        <v>3</v>
      </c>
      <c r="B14" s="4">
        <v>2840</v>
      </c>
      <c r="C14" s="4">
        <v>3082</v>
      </c>
      <c r="D14" s="4">
        <v>2666</v>
      </c>
      <c r="E14" s="4">
        <v>3648</v>
      </c>
      <c r="F14" s="4">
        <v>2637</v>
      </c>
      <c r="G14" s="4">
        <v>4055</v>
      </c>
      <c r="H14" s="4">
        <v>3837</v>
      </c>
      <c r="I14" s="4">
        <v>3194</v>
      </c>
      <c r="J14" s="4">
        <v>5320</v>
      </c>
      <c r="K14" s="4">
        <v>4141</v>
      </c>
      <c r="L14" s="101">
        <f t="shared" ref="L14:L15" si="3">(K14-B14)/B14</f>
        <v>0.45809859154929577</v>
      </c>
      <c r="M14" s="101">
        <f t="shared" ref="M14:M15" si="4">(K14-J14)/J14</f>
        <v>-0.22161654135338346</v>
      </c>
      <c r="N14" s="14">
        <f t="shared" ref="N14:N15" si="5">K14/K$9</f>
        <v>0.18304380497723555</v>
      </c>
    </row>
    <row r="15" spans="1:14">
      <c r="A15" s="4" t="s">
        <v>103</v>
      </c>
      <c r="B15" s="4">
        <v>3917</v>
      </c>
      <c r="C15" s="4">
        <v>4867</v>
      </c>
      <c r="D15" s="4">
        <v>5211</v>
      </c>
      <c r="E15" s="4">
        <v>4118</v>
      </c>
      <c r="F15" s="4">
        <v>6043</v>
      </c>
      <c r="G15" s="4">
        <v>7238</v>
      </c>
      <c r="H15" s="4">
        <v>7736</v>
      </c>
      <c r="I15" s="4">
        <v>8825</v>
      </c>
      <c r="J15" s="4">
        <v>11708</v>
      </c>
      <c r="K15" s="4">
        <v>16753</v>
      </c>
      <c r="L15" s="101">
        <f t="shared" si="3"/>
        <v>3.2769977023232064</v>
      </c>
      <c r="M15" s="101">
        <f t="shared" si="4"/>
        <v>0.43090194738640247</v>
      </c>
      <c r="N15" s="14">
        <f t="shared" si="5"/>
        <v>0.74052954957344297</v>
      </c>
    </row>
    <row r="16" spans="1:14">
      <c r="A16" s="5" t="s">
        <v>4</v>
      </c>
      <c r="B16" s="5">
        <v>7669</v>
      </c>
      <c r="C16" s="5">
        <v>8805</v>
      </c>
      <c r="D16" s="5">
        <v>8856</v>
      </c>
      <c r="E16" s="5">
        <v>8699</v>
      </c>
      <c r="F16" s="5">
        <v>9757</v>
      </c>
      <c r="G16" s="5">
        <v>12523</v>
      </c>
      <c r="H16" s="5">
        <v>12921</v>
      </c>
      <c r="I16" s="5">
        <v>13528</v>
      </c>
      <c r="J16" s="5">
        <v>18950</v>
      </c>
      <c r="K16" s="5">
        <v>22623</v>
      </c>
      <c r="L16" s="83">
        <f>(K16-B16)/B16</f>
        <v>1.9499282826965707</v>
      </c>
      <c r="M16" s="83">
        <f>(K16-J16)/J16</f>
        <v>0.19382585751978892</v>
      </c>
      <c r="N16" s="16">
        <f>K16/K$9</f>
        <v>1</v>
      </c>
    </row>
    <row r="17" spans="1:14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ht="15">
      <c r="A18" s="25" t="s">
        <v>108</v>
      </c>
      <c r="B18" s="25"/>
      <c r="C18" s="25"/>
      <c r="D18" s="25"/>
      <c r="E18" s="25"/>
      <c r="F18" s="40"/>
      <c r="G18" s="40"/>
      <c r="H18" s="40"/>
      <c r="I18" s="40"/>
      <c r="J18" s="40"/>
      <c r="K18" s="40"/>
      <c r="L18" s="40"/>
      <c r="M18" s="40"/>
      <c r="N18" s="40"/>
    </row>
    <row r="19" spans="1:14" ht="28">
      <c r="A19" s="88" t="s">
        <v>101</v>
      </c>
      <c r="B19" s="3">
        <v>2008</v>
      </c>
      <c r="C19" s="3">
        <v>2009</v>
      </c>
      <c r="D19" s="3">
        <v>2010</v>
      </c>
      <c r="E19" s="3">
        <v>2011</v>
      </c>
      <c r="F19" s="3">
        <v>2012</v>
      </c>
      <c r="G19" s="3">
        <v>2013</v>
      </c>
      <c r="H19" s="3">
        <v>2014</v>
      </c>
      <c r="I19" s="3">
        <v>2015</v>
      </c>
      <c r="J19" s="3">
        <v>2016</v>
      </c>
      <c r="K19" s="3">
        <v>2017</v>
      </c>
      <c r="L19" s="13" t="s">
        <v>369</v>
      </c>
      <c r="M19" s="13" t="s">
        <v>368</v>
      </c>
      <c r="N19" s="13" t="s">
        <v>367</v>
      </c>
    </row>
    <row r="20" spans="1:14">
      <c r="A20" s="5" t="s">
        <v>5</v>
      </c>
      <c r="B20" s="5"/>
      <c r="C20" s="5">
        <v>10</v>
      </c>
      <c r="D20" s="5">
        <v>11</v>
      </c>
      <c r="E20" s="5">
        <v>13</v>
      </c>
      <c r="F20" s="17">
        <v>8</v>
      </c>
      <c r="G20" s="17">
        <v>10</v>
      </c>
      <c r="H20" s="17"/>
      <c r="I20" s="17"/>
      <c r="J20" s="17">
        <v>9</v>
      </c>
      <c r="K20" s="17">
        <v>10</v>
      </c>
      <c r="L20" s="82" t="s">
        <v>24</v>
      </c>
      <c r="M20" s="101">
        <f t="shared" ref="M20:M29" si="6">(K20-J20)/J20</f>
        <v>0.1111111111111111</v>
      </c>
      <c r="N20" s="14">
        <f t="shared" ref="N20:N29" si="7">K20/K$9</f>
        <v>4.4202802457675818E-4</v>
      </c>
    </row>
    <row r="21" spans="1:14">
      <c r="A21" s="85" t="s">
        <v>103</v>
      </c>
      <c r="B21" s="85"/>
      <c r="C21" s="85">
        <v>10</v>
      </c>
      <c r="D21" s="85">
        <v>11</v>
      </c>
      <c r="E21" s="85">
        <v>13</v>
      </c>
      <c r="F21" s="18">
        <v>8</v>
      </c>
      <c r="G21" s="18">
        <v>10</v>
      </c>
      <c r="H21" s="18"/>
      <c r="I21" s="18"/>
      <c r="J21" s="18">
        <v>9</v>
      </c>
      <c r="K21" s="18">
        <v>10</v>
      </c>
      <c r="L21" s="82" t="s">
        <v>24</v>
      </c>
      <c r="M21" s="101">
        <f t="shared" si="6"/>
        <v>0.1111111111111111</v>
      </c>
      <c r="N21" s="14">
        <f t="shared" si="7"/>
        <v>4.4202802457675818E-4</v>
      </c>
    </row>
    <row r="22" spans="1:14">
      <c r="A22" s="5" t="s">
        <v>6</v>
      </c>
      <c r="B22" s="5"/>
      <c r="C22" s="5">
        <v>28</v>
      </c>
      <c r="D22" s="5"/>
      <c r="E22" s="5"/>
      <c r="F22" s="17"/>
      <c r="G22" s="17">
        <v>5</v>
      </c>
      <c r="H22" s="17">
        <v>21</v>
      </c>
      <c r="I22" s="17">
        <v>256</v>
      </c>
      <c r="J22" s="17">
        <v>2641</v>
      </c>
      <c r="K22" s="17">
        <v>1164</v>
      </c>
      <c r="L22" s="83" t="s">
        <v>24</v>
      </c>
      <c r="M22" s="83">
        <f t="shared" si="6"/>
        <v>-0.55925785687239682</v>
      </c>
      <c r="N22" s="16">
        <f t="shared" si="7"/>
        <v>5.1452062060734653E-2</v>
      </c>
    </row>
    <row r="23" spans="1:14">
      <c r="A23" s="85" t="s">
        <v>3</v>
      </c>
      <c r="B23" s="85"/>
      <c r="C23" s="85">
        <v>28</v>
      </c>
      <c r="D23" s="85"/>
      <c r="E23" s="85"/>
      <c r="F23" s="18"/>
      <c r="G23" s="18"/>
      <c r="H23" s="18">
        <v>19</v>
      </c>
      <c r="I23" s="18">
        <v>129</v>
      </c>
      <c r="J23" s="18">
        <v>2267</v>
      </c>
      <c r="K23" s="18">
        <v>934</v>
      </c>
      <c r="L23" s="82" t="s">
        <v>24</v>
      </c>
      <c r="M23" s="101">
        <f t="shared" si="6"/>
        <v>-0.58800176444640495</v>
      </c>
      <c r="N23" s="14">
        <f t="shared" si="7"/>
        <v>4.1285417495469212E-2</v>
      </c>
    </row>
    <row r="24" spans="1:14">
      <c r="A24" s="85" t="s">
        <v>103</v>
      </c>
      <c r="B24" s="85"/>
      <c r="C24" s="85"/>
      <c r="D24" s="85"/>
      <c r="E24" s="85"/>
      <c r="F24" s="18"/>
      <c r="G24" s="18">
        <v>5</v>
      </c>
      <c r="H24" s="18">
        <v>2</v>
      </c>
      <c r="I24" s="18">
        <v>127</v>
      </c>
      <c r="J24" s="18">
        <v>374</v>
      </c>
      <c r="K24" s="18">
        <v>230</v>
      </c>
      <c r="L24" s="82" t="s">
        <v>24</v>
      </c>
      <c r="M24" s="101">
        <f t="shared" si="6"/>
        <v>-0.38502673796791442</v>
      </c>
      <c r="N24" s="14">
        <f t="shared" si="7"/>
        <v>1.0166644565265438E-2</v>
      </c>
    </row>
    <row r="25" spans="1:14">
      <c r="A25" s="5" t="s">
        <v>7</v>
      </c>
      <c r="B25" s="5">
        <v>7669</v>
      </c>
      <c r="C25" s="5">
        <v>8767</v>
      </c>
      <c r="D25" s="5">
        <v>8845</v>
      </c>
      <c r="E25" s="5">
        <v>8686</v>
      </c>
      <c r="F25" s="17">
        <v>9749</v>
      </c>
      <c r="G25" s="17">
        <v>12508</v>
      </c>
      <c r="H25" s="17">
        <v>12900</v>
      </c>
      <c r="I25" s="17">
        <v>13272</v>
      </c>
      <c r="J25" s="17">
        <v>16300</v>
      </c>
      <c r="K25" s="17">
        <v>21449</v>
      </c>
      <c r="L25" s="83">
        <f t="shared" ref="L25:L29" si="8">(K25-B25)/B25</f>
        <v>1.7968444386491067</v>
      </c>
      <c r="M25" s="83">
        <f t="shared" si="6"/>
        <v>0.31588957055214723</v>
      </c>
      <c r="N25" s="16">
        <f t="shared" si="7"/>
        <v>0.94810590991468857</v>
      </c>
    </row>
    <row r="26" spans="1:14">
      <c r="A26" s="85" t="s">
        <v>102</v>
      </c>
      <c r="B26" s="85">
        <v>912</v>
      </c>
      <c r="C26" s="85">
        <v>856</v>
      </c>
      <c r="D26" s="85">
        <v>979</v>
      </c>
      <c r="E26" s="85">
        <v>933</v>
      </c>
      <c r="F26" s="18">
        <v>1077</v>
      </c>
      <c r="G26" s="18">
        <v>1230</v>
      </c>
      <c r="H26" s="18">
        <v>1348</v>
      </c>
      <c r="I26" s="18">
        <v>1509</v>
      </c>
      <c r="J26" s="18">
        <v>1922</v>
      </c>
      <c r="K26" s="18">
        <v>1729</v>
      </c>
      <c r="L26" s="101">
        <f t="shared" si="8"/>
        <v>0.89583333333333337</v>
      </c>
      <c r="M26" s="101">
        <f t="shared" si="6"/>
        <v>-0.1004162330905307</v>
      </c>
      <c r="N26" s="14">
        <f t="shared" si="7"/>
        <v>7.6426645449321484E-2</v>
      </c>
    </row>
    <row r="27" spans="1:14">
      <c r="A27" s="85" t="s">
        <v>3</v>
      </c>
      <c r="B27" s="85">
        <v>2840</v>
      </c>
      <c r="C27" s="85">
        <v>3054</v>
      </c>
      <c r="D27" s="85">
        <v>2666</v>
      </c>
      <c r="E27" s="85">
        <v>3648</v>
      </c>
      <c r="F27" s="18">
        <v>2637</v>
      </c>
      <c r="G27" s="18">
        <v>4055</v>
      </c>
      <c r="H27" s="18">
        <v>3818</v>
      </c>
      <c r="I27" s="18">
        <v>3065</v>
      </c>
      <c r="J27" s="18">
        <v>3053</v>
      </c>
      <c r="K27" s="18">
        <v>3207</v>
      </c>
      <c r="L27" s="101">
        <f t="shared" si="8"/>
        <v>0.12922535211267605</v>
      </c>
      <c r="M27" s="101">
        <f t="shared" si="6"/>
        <v>5.0442188011791678E-2</v>
      </c>
      <c r="N27" s="14">
        <f t="shared" si="7"/>
        <v>0.14175838748176633</v>
      </c>
    </row>
    <row r="28" spans="1:14">
      <c r="A28" s="85" t="s">
        <v>103</v>
      </c>
      <c r="B28" s="85">
        <v>3917</v>
      </c>
      <c r="C28" s="85">
        <v>4857</v>
      </c>
      <c r="D28" s="85">
        <v>5200</v>
      </c>
      <c r="E28" s="85">
        <v>4105</v>
      </c>
      <c r="F28" s="18">
        <v>6035</v>
      </c>
      <c r="G28" s="18">
        <v>7223</v>
      </c>
      <c r="H28" s="18">
        <v>7734</v>
      </c>
      <c r="I28" s="18">
        <v>8698</v>
      </c>
      <c r="J28" s="18">
        <v>11325</v>
      </c>
      <c r="K28" s="18">
        <v>16513</v>
      </c>
      <c r="L28" s="101">
        <f t="shared" si="8"/>
        <v>3.2157263211641562</v>
      </c>
      <c r="M28" s="101">
        <f t="shared" si="6"/>
        <v>0.45810154525386315</v>
      </c>
      <c r="N28" s="14">
        <f t="shared" si="7"/>
        <v>0.72992087698360075</v>
      </c>
    </row>
    <row r="29" spans="1:14">
      <c r="A29" s="5" t="s">
        <v>4</v>
      </c>
      <c r="B29" s="5">
        <v>7669</v>
      </c>
      <c r="C29" s="5">
        <v>8805</v>
      </c>
      <c r="D29" s="5">
        <v>8856</v>
      </c>
      <c r="E29" s="5">
        <v>8699</v>
      </c>
      <c r="F29" s="17">
        <v>9757</v>
      </c>
      <c r="G29" s="17">
        <v>12523</v>
      </c>
      <c r="H29" s="17">
        <v>12921</v>
      </c>
      <c r="I29" s="17">
        <v>13528</v>
      </c>
      <c r="J29" s="17">
        <v>18950</v>
      </c>
      <c r="K29" s="17">
        <v>22623</v>
      </c>
      <c r="L29" s="83">
        <f t="shared" si="8"/>
        <v>1.9499282826965707</v>
      </c>
      <c r="M29" s="83">
        <f t="shared" si="6"/>
        <v>0.19382585751978892</v>
      </c>
      <c r="N29" s="16">
        <f t="shared" si="7"/>
        <v>1</v>
      </c>
    </row>
    <row r="30" spans="1:14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1:14" ht="15">
      <c r="A31" s="41" t="s">
        <v>285</v>
      </c>
      <c r="B31" s="41"/>
      <c r="C31" s="41"/>
      <c r="D31" s="41"/>
      <c r="E31" s="41"/>
      <c r="F31" s="40"/>
      <c r="G31" s="40"/>
      <c r="H31" s="40"/>
      <c r="I31" s="40"/>
      <c r="J31" s="40"/>
      <c r="K31" s="40"/>
      <c r="L31" s="40"/>
      <c r="M31" s="40"/>
      <c r="N31" s="40"/>
    </row>
    <row r="32" spans="1:14" ht="28">
      <c r="A32" s="88" t="s">
        <v>101</v>
      </c>
      <c r="B32" s="3">
        <v>2008</v>
      </c>
      <c r="C32" s="3">
        <v>2009</v>
      </c>
      <c r="D32" s="3">
        <v>2010</v>
      </c>
      <c r="E32" s="3">
        <v>2011</v>
      </c>
      <c r="F32" s="3">
        <v>2012</v>
      </c>
      <c r="G32" s="3">
        <v>2013</v>
      </c>
      <c r="H32" s="3">
        <v>2014</v>
      </c>
      <c r="I32" s="3">
        <v>2015</v>
      </c>
      <c r="J32" s="3">
        <v>2016</v>
      </c>
      <c r="K32" s="3">
        <v>2017</v>
      </c>
      <c r="L32" s="13" t="s">
        <v>369</v>
      </c>
      <c r="M32" s="13" t="s">
        <v>368</v>
      </c>
      <c r="N32" s="13" t="s">
        <v>367</v>
      </c>
    </row>
    <row r="33" spans="1:14">
      <c r="A33" s="5" t="s">
        <v>256</v>
      </c>
      <c r="B33" s="5">
        <v>5025</v>
      </c>
      <c r="C33" s="5">
        <v>5563</v>
      </c>
      <c r="D33" s="5">
        <v>5304</v>
      </c>
      <c r="E33" s="5">
        <v>5555</v>
      </c>
      <c r="F33" s="23">
        <v>5920</v>
      </c>
      <c r="G33" s="23">
        <v>7776</v>
      </c>
      <c r="H33" s="23">
        <v>8146</v>
      </c>
      <c r="I33" s="23">
        <v>8297</v>
      </c>
      <c r="J33" s="23">
        <v>11660</v>
      </c>
      <c r="K33" s="23">
        <v>14332</v>
      </c>
      <c r="L33" s="16">
        <v>0.96959459459459463</v>
      </c>
      <c r="M33" s="83">
        <v>0.40532722670844884</v>
      </c>
      <c r="N33" s="16">
        <v>0.61530343007915567</v>
      </c>
    </row>
    <row r="34" spans="1:14">
      <c r="A34" s="85" t="s">
        <v>102</v>
      </c>
      <c r="B34" s="85">
        <v>513</v>
      </c>
      <c r="C34" s="85">
        <v>448</v>
      </c>
      <c r="D34" s="85">
        <v>463</v>
      </c>
      <c r="E34" s="85">
        <v>456</v>
      </c>
      <c r="F34" s="24">
        <v>503</v>
      </c>
      <c r="G34" s="24">
        <v>613</v>
      </c>
      <c r="H34" s="24">
        <v>675</v>
      </c>
      <c r="I34" s="24">
        <v>749</v>
      </c>
      <c r="J34" s="24">
        <v>979</v>
      </c>
      <c r="K34" s="24">
        <v>934</v>
      </c>
      <c r="L34" s="14">
        <v>0.94632206759443338</v>
      </c>
      <c r="M34" s="82">
        <v>0.30707610146862485</v>
      </c>
      <c r="N34" s="14">
        <v>5.1662269129287598E-2</v>
      </c>
    </row>
    <row r="35" spans="1:14">
      <c r="A35" s="85" t="s">
        <v>3</v>
      </c>
      <c r="B35" s="85">
        <v>2285</v>
      </c>
      <c r="C35" s="85">
        <v>2347</v>
      </c>
      <c r="D35" s="85">
        <v>1994</v>
      </c>
      <c r="E35" s="85">
        <v>2798</v>
      </c>
      <c r="F35" s="24">
        <v>2048</v>
      </c>
      <c r="G35" s="24">
        <v>3155</v>
      </c>
      <c r="H35" s="24">
        <v>2980</v>
      </c>
      <c r="I35" s="24">
        <v>2314</v>
      </c>
      <c r="J35" s="24">
        <v>4070</v>
      </c>
      <c r="K35" s="24">
        <v>3199</v>
      </c>
      <c r="L35" s="14">
        <v>0.9873046875</v>
      </c>
      <c r="M35" s="82">
        <v>0.75885911840968023</v>
      </c>
      <c r="N35" s="14">
        <v>0.21477572559366753</v>
      </c>
    </row>
    <row r="36" spans="1:14">
      <c r="A36" s="85" t="s">
        <v>103</v>
      </c>
      <c r="B36" s="85">
        <v>2227</v>
      </c>
      <c r="C36" s="85">
        <v>2768</v>
      </c>
      <c r="D36" s="85">
        <v>2847</v>
      </c>
      <c r="E36" s="85">
        <v>2301</v>
      </c>
      <c r="F36" s="24">
        <v>3369</v>
      </c>
      <c r="G36" s="24">
        <v>4008</v>
      </c>
      <c r="H36" s="24">
        <v>4491</v>
      </c>
      <c r="I36" s="24">
        <v>5234</v>
      </c>
      <c r="J36" s="24">
        <v>6611</v>
      </c>
      <c r="K36" s="24">
        <v>10199</v>
      </c>
      <c r="L36" s="14">
        <v>0.9623033541110122</v>
      </c>
      <c r="M36" s="82">
        <v>0.26308750477646159</v>
      </c>
      <c r="N36" s="14">
        <v>0.34886543535620052</v>
      </c>
    </row>
    <row r="37" spans="1:14">
      <c r="A37" s="5" t="s">
        <v>257</v>
      </c>
      <c r="B37" s="5">
        <v>2644</v>
      </c>
      <c r="C37" s="5">
        <v>3242</v>
      </c>
      <c r="D37" s="5">
        <v>3552</v>
      </c>
      <c r="E37" s="5">
        <v>3144</v>
      </c>
      <c r="F37" s="23">
        <v>3837</v>
      </c>
      <c r="G37" s="23">
        <v>4747</v>
      </c>
      <c r="H37" s="23">
        <v>4775</v>
      </c>
      <c r="I37" s="23">
        <v>5231</v>
      </c>
      <c r="J37" s="23">
        <v>7290</v>
      </c>
      <c r="K37" s="23">
        <v>8291</v>
      </c>
      <c r="L37" s="16">
        <v>0.89992181391712278</v>
      </c>
      <c r="M37" s="83">
        <v>0.39361498757407759</v>
      </c>
      <c r="N37" s="16">
        <v>0.38469656992084433</v>
      </c>
    </row>
    <row r="38" spans="1:14">
      <c r="A38" s="85" t="s">
        <v>102</v>
      </c>
      <c r="B38" s="85">
        <v>399</v>
      </c>
      <c r="C38" s="85">
        <v>408</v>
      </c>
      <c r="D38" s="85">
        <v>516</v>
      </c>
      <c r="E38" s="85">
        <v>477</v>
      </c>
      <c r="F38" s="24">
        <v>574</v>
      </c>
      <c r="G38" s="24">
        <v>617</v>
      </c>
      <c r="H38" s="24">
        <v>673</v>
      </c>
      <c r="I38" s="24">
        <v>760</v>
      </c>
      <c r="J38" s="24">
        <v>943</v>
      </c>
      <c r="K38" s="24">
        <v>795</v>
      </c>
      <c r="L38" s="14">
        <v>0.6428571428571429</v>
      </c>
      <c r="M38" s="82">
        <v>0.24078947368421053</v>
      </c>
      <c r="N38" s="14">
        <v>4.9762532981530341E-2</v>
      </c>
    </row>
    <row r="39" spans="1:14">
      <c r="A39" s="85" t="s">
        <v>3</v>
      </c>
      <c r="B39" s="85">
        <v>555</v>
      </c>
      <c r="C39" s="85">
        <v>735</v>
      </c>
      <c r="D39" s="85">
        <v>672</v>
      </c>
      <c r="E39" s="85">
        <v>850</v>
      </c>
      <c r="F39" s="24">
        <v>589</v>
      </c>
      <c r="G39" s="24">
        <v>900</v>
      </c>
      <c r="H39" s="24">
        <v>857</v>
      </c>
      <c r="I39" s="24">
        <v>880</v>
      </c>
      <c r="J39" s="24">
        <v>1250</v>
      </c>
      <c r="K39" s="24">
        <v>942</v>
      </c>
      <c r="L39" s="14">
        <v>1.1222410865874364</v>
      </c>
      <c r="M39" s="82">
        <v>0.42045454545454547</v>
      </c>
      <c r="N39" s="14">
        <v>6.5963060686015831E-2</v>
      </c>
    </row>
    <row r="40" spans="1:14">
      <c r="A40" s="85" t="s">
        <v>103</v>
      </c>
      <c r="B40" s="85">
        <v>1690</v>
      </c>
      <c r="C40" s="85">
        <v>2099</v>
      </c>
      <c r="D40" s="85">
        <v>2364</v>
      </c>
      <c r="E40" s="85">
        <v>1817</v>
      </c>
      <c r="F40" s="24">
        <v>2674</v>
      </c>
      <c r="G40" s="24">
        <v>3230</v>
      </c>
      <c r="H40" s="24">
        <v>3245</v>
      </c>
      <c r="I40" s="24">
        <v>3591</v>
      </c>
      <c r="J40" s="24">
        <v>5097</v>
      </c>
      <c r="K40" s="24">
        <v>6554</v>
      </c>
      <c r="L40" s="14">
        <v>0.90613313388182493</v>
      </c>
      <c r="M40" s="82">
        <v>0.41938178780284041</v>
      </c>
      <c r="N40" s="14">
        <v>0.26897097625329813</v>
      </c>
    </row>
    <row r="41" spans="1:14">
      <c r="A41" s="5" t="s">
        <v>4</v>
      </c>
      <c r="B41" s="5">
        <v>7669</v>
      </c>
      <c r="C41" s="5">
        <v>8805</v>
      </c>
      <c r="D41" s="5">
        <v>8856</v>
      </c>
      <c r="E41" s="5">
        <v>8699</v>
      </c>
      <c r="F41" s="17">
        <v>9757</v>
      </c>
      <c r="G41" s="17">
        <v>12523</v>
      </c>
      <c r="H41" s="17">
        <v>12921</v>
      </c>
      <c r="I41" s="17">
        <v>13528</v>
      </c>
      <c r="J41" s="17">
        <v>18950</v>
      </c>
      <c r="K41" s="17">
        <v>22623</v>
      </c>
      <c r="L41" s="83">
        <f t="shared" ref="L41" si="9">(K41-B41)/B41</f>
        <v>1.9499282826965707</v>
      </c>
      <c r="M41" s="83">
        <f t="shared" ref="M41" si="10">(K41-J41)/J41</f>
        <v>0.19382585751978892</v>
      </c>
      <c r="N41" s="16">
        <f t="shared" ref="N41" si="11">K41/K$9</f>
        <v>1</v>
      </c>
    </row>
    <row r="42" spans="1:14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  <row r="44" spans="1:14">
      <c r="A44" s="70" t="s">
        <v>294</v>
      </c>
      <c r="B44" s="70"/>
      <c r="C44" s="70"/>
      <c r="D44" s="70"/>
      <c r="E44" s="70"/>
      <c r="F44" s="40"/>
      <c r="G44" s="40"/>
      <c r="H44" s="40"/>
      <c r="I44" s="40"/>
      <c r="J44" s="40"/>
      <c r="K44" s="40"/>
      <c r="L44" s="40"/>
      <c r="M44" s="40"/>
      <c r="N44" s="40"/>
    </row>
    <row r="45" spans="1:14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</row>
    <row r="46" spans="1:14">
      <c r="A46" s="71" t="s">
        <v>21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</row>
    <row r="47" spans="1:14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</row>
    <row r="48" spans="1:14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2:14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</row>
    <row r="50" spans="2:14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</row>
    <row r="51" spans="2:14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2:14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</sheetData>
  <hyperlinks>
    <hyperlink ref="A46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showGridLines="0" workbookViewId="0">
      <pane ySplit="2" topLeftCell="A3" activePane="bottomLeft" state="frozen"/>
      <selection pane="bottomLeft" activeCell="I4" sqref="I4"/>
    </sheetView>
  </sheetViews>
  <sheetFormatPr baseColWidth="10" defaultRowHeight="14" x14ac:dyDescent="0"/>
  <cols>
    <col min="1" max="1" width="55.33203125" style="1" customWidth="1"/>
    <col min="2" max="2" width="14.5" style="45" customWidth="1"/>
    <col min="3" max="3" width="15.1640625" style="45" customWidth="1"/>
    <col min="4" max="4" width="14.5" style="45" customWidth="1"/>
    <col min="5" max="5" width="17.5" style="45" customWidth="1"/>
    <col min="6" max="16384" width="10.83203125" style="2"/>
  </cols>
  <sheetData>
    <row r="1" spans="1:5" ht="20">
      <c r="A1" s="66" t="s">
        <v>375</v>
      </c>
      <c r="B1" s="46"/>
      <c r="C1" s="46"/>
      <c r="D1" s="46"/>
      <c r="E1" s="46"/>
    </row>
    <row r="2" spans="1:5" ht="18">
      <c r="A2" s="38"/>
      <c r="B2" s="46"/>
      <c r="C2" s="46"/>
      <c r="D2" s="46"/>
      <c r="E2" s="46"/>
    </row>
    <row r="3" spans="1:5">
      <c r="A3" s="40"/>
      <c r="B3" s="46"/>
      <c r="C3" s="46"/>
      <c r="D3" s="46"/>
      <c r="E3" s="46"/>
    </row>
    <row r="4" spans="1:5" ht="28">
      <c r="A4" s="42" t="s">
        <v>109</v>
      </c>
      <c r="B4" s="52" t="s">
        <v>376</v>
      </c>
      <c r="C4" s="52" t="s">
        <v>377</v>
      </c>
      <c r="D4" s="52" t="s">
        <v>378</v>
      </c>
      <c r="E4" s="52" t="s">
        <v>379</v>
      </c>
    </row>
    <row r="5" spans="1:5">
      <c r="A5" s="4" t="s">
        <v>110</v>
      </c>
      <c r="B5" s="43">
        <v>19</v>
      </c>
      <c r="C5" s="43"/>
      <c r="D5" s="43"/>
      <c r="E5" s="44">
        <v>19</v>
      </c>
    </row>
    <row r="6" spans="1:5">
      <c r="A6" s="4" t="s">
        <v>111</v>
      </c>
      <c r="B6" s="43">
        <v>279</v>
      </c>
      <c r="C6" s="43"/>
      <c r="D6" s="43"/>
      <c r="E6" s="44">
        <v>279</v>
      </c>
    </row>
    <row r="7" spans="1:5">
      <c r="A7" s="4" t="s">
        <v>289</v>
      </c>
      <c r="B7" s="43">
        <v>56</v>
      </c>
      <c r="C7" s="43"/>
      <c r="D7" s="43"/>
      <c r="E7" s="44">
        <v>56</v>
      </c>
    </row>
    <row r="8" spans="1:5">
      <c r="A8" s="4" t="s">
        <v>112</v>
      </c>
      <c r="B8" s="43">
        <v>432</v>
      </c>
      <c r="C8" s="43"/>
      <c r="D8" s="43"/>
      <c r="E8" s="44">
        <v>432</v>
      </c>
    </row>
    <row r="9" spans="1:5">
      <c r="A9" s="4" t="s">
        <v>113</v>
      </c>
      <c r="B9" s="43">
        <v>451</v>
      </c>
      <c r="C9" s="43"/>
      <c r="D9" s="43"/>
      <c r="E9" s="44">
        <v>451</v>
      </c>
    </row>
    <row r="10" spans="1:5">
      <c r="A10" s="4" t="s">
        <v>114</v>
      </c>
      <c r="B10" s="43">
        <v>44</v>
      </c>
      <c r="C10" s="43"/>
      <c r="D10" s="43"/>
      <c r="E10" s="44">
        <v>44</v>
      </c>
    </row>
    <row r="11" spans="1:5">
      <c r="A11" s="4" t="s">
        <v>115</v>
      </c>
      <c r="B11" s="43">
        <v>355</v>
      </c>
      <c r="C11" s="43"/>
      <c r="D11" s="43"/>
      <c r="E11" s="44">
        <v>355</v>
      </c>
    </row>
    <row r="12" spans="1:5">
      <c r="A12" s="4" t="s">
        <v>116</v>
      </c>
      <c r="B12" s="43">
        <v>9</v>
      </c>
      <c r="C12" s="43"/>
      <c r="D12" s="43">
        <v>10</v>
      </c>
      <c r="E12" s="44">
        <v>19</v>
      </c>
    </row>
    <row r="13" spans="1:5">
      <c r="A13" s="4" t="s">
        <v>117</v>
      </c>
      <c r="B13" s="43">
        <v>736</v>
      </c>
      <c r="C13" s="43"/>
      <c r="D13" s="43"/>
      <c r="E13" s="44">
        <v>736</v>
      </c>
    </row>
    <row r="14" spans="1:5">
      <c r="A14" s="4" t="s">
        <v>118</v>
      </c>
      <c r="B14" s="43">
        <v>5</v>
      </c>
      <c r="C14" s="43"/>
      <c r="D14" s="43"/>
      <c r="E14" s="44">
        <v>5</v>
      </c>
    </row>
    <row r="15" spans="1:5">
      <c r="A15" s="4" t="s">
        <v>119</v>
      </c>
      <c r="B15" s="43">
        <v>9</v>
      </c>
      <c r="C15" s="43"/>
      <c r="D15" s="43"/>
      <c r="E15" s="44">
        <v>9</v>
      </c>
    </row>
    <row r="16" spans="1:5">
      <c r="A16" s="4" t="s">
        <v>120</v>
      </c>
      <c r="B16" s="43">
        <v>721</v>
      </c>
      <c r="C16" s="43"/>
      <c r="D16" s="43"/>
      <c r="E16" s="44">
        <v>721</v>
      </c>
    </row>
    <row r="17" spans="1:5">
      <c r="A17" s="4" t="s">
        <v>121</v>
      </c>
      <c r="B17" s="43">
        <v>282</v>
      </c>
      <c r="C17" s="43"/>
      <c r="D17" s="43"/>
      <c r="E17" s="44">
        <v>282</v>
      </c>
    </row>
    <row r="18" spans="1:5">
      <c r="A18" s="4" t="s">
        <v>122</v>
      </c>
      <c r="B18" s="43">
        <v>1688</v>
      </c>
      <c r="C18" s="43"/>
      <c r="D18" s="43"/>
      <c r="E18" s="44">
        <v>1688</v>
      </c>
    </row>
    <row r="19" spans="1:5">
      <c r="A19" s="4" t="s">
        <v>123</v>
      </c>
      <c r="B19" s="43">
        <v>158</v>
      </c>
      <c r="C19" s="43"/>
      <c r="D19" s="43"/>
      <c r="E19" s="44">
        <v>158</v>
      </c>
    </row>
    <row r="20" spans="1:5">
      <c r="A20" s="4" t="s">
        <v>124</v>
      </c>
      <c r="B20" s="43">
        <v>35</v>
      </c>
      <c r="C20" s="43"/>
      <c r="D20" s="43"/>
      <c r="E20" s="44">
        <v>35</v>
      </c>
    </row>
    <row r="21" spans="1:5">
      <c r="A21" s="4" t="s">
        <v>125</v>
      </c>
      <c r="B21" s="43">
        <v>98</v>
      </c>
      <c r="C21" s="43"/>
      <c r="D21" s="43"/>
      <c r="E21" s="44">
        <v>98</v>
      </c>
    </row>
    <row r="22" spans="1:5">
      <c r="A22" s="4" t="s">
        <v>126</v>
      </c>
      <c r="B22" s="43">
        <v>12</v>
      </c>
      <c r="C22" s="43"/>
      <c r="D22" s="43"/>
      <c r="E22" s="44">
        <v>12</v>
      </c>
    </row>
    <row r="23" spans="1:5">
      <c r="A23" s="4" t="s">
        <v>127</v>
      </c>
      <c r="B23" s="43">
        <v>9</v>
      </c>
      <c r="C23" s="43"/>
      <c r="D23" s="43"/>
      <c r="E23" s="44">
        <v>9</v>
      </c>
    </row>
    <row r="24" spans="1:5">
      <c r="A24" s="4" t="s">
        <v>290</v>
      </c>
      <c r="B24" s="43">
        <v>49</v>
      </c>
      <c r="C24" s="43"/>
      <c r="D24" s="43"/>
      <c r="E24" s="44">
        <v>49</v>
      </c>
    </row>
    <row r="25" spans="1:5">
      <c r="A25" s="4" t="s">
        <v>128</v>
      </c>
      <c r="B25" s="43">
        <v>533</v>
      </c>
      <c r="C25" s="43"/>
      <c r="D25" s="43"/>
      <c r="E25" s="44">
        <v>533</v>
      </c>
    </row>
    <row r="26" spans="1:5">
      <c r="A26" s="4" t="s">
        <v>129</v>
      </c>
      <c r="B26" s="43">
        <v>12624</v>
      </c>
      <c r="C26" s="43"/>
      <c r="D26" s="43"/>
      <c r="E26" s="44">
        <v>12624</v>
      </c>
    </row>
    <row r="27" spans="1:5">
      <c r="A27" s="4" t="s">
        <v>130</v>
      </c>
      <c r="B27" s="43">
        <v>176</v>
      </c>
      <c r="C27" s="43"/>
      <c r="D27" s="43"/>
      <c r="E27" s="44">
        <v>176</v>
      </c>
    </row>
    <row r="28" spans="1:5">
      <c r="A28" s="4" t="s">
        <v>131</v>
      </c>
      <c r="B28" s="43">
        <v>12</v>
      </c>
      <c r="C28" s="43"/>
      <c r="D28" s="43"/>
      <c r="E28" s="44">
        <v>12</v>
      </c>
    </row>
    <row r="29" spans="1:5">
      <c r="A29" s="4" t="s">
        <v>132</v>
      </c>
      <c r="B29" s="43">
        <v>78</v>
      </c>
      <c r="C29" s="43"/>
      <c r="D29" s="43"/>
      <c r="E29" s="44">
        <v>78</v>
      </c>
    </row>
    <row r="30" spans="1:5">
      <c r="A30" s="4" t="s">
        <v>133</v>
      </c>
      <c r="B30" s="43">
        <v>558</v>
      </c>
      <c r="C30" s="43"/>
      <c r="D30" s="43"/>
      <c r="E30" s="44">
        <v>558</v>
      </c>
    </row>
    <row r="31" spans="1:5">
      <c r="A31" s="4" t="s">
        <v>134</v>
      </c>
      <c r="B31" s="43">
        <v>217</v>
      </c>
      <c r="C31" s="43"/>
      <c r="D31" s="43"/>
      <c r="E31" s="44">
        <v>217</v>
      </c>
    </row>
    <row r="32" spans="1:5">
      <c r="A32" s="4" t="s">
        <v>135</v>
      </c>
      <c r="B32" s="43">
        <v>321</v>
      </c>
      <c r="C32" s="43"/>
      <c r="D32" s="43"/>
      <c r="E32" s="44">
        <v>321</v>
      </c>
    </row>
    <row r="33" spans="1:5">
      <c r="A33" s="4" t="s">
        <v>136</v>
      </c>
      <c r="B33" s="43">
        <v>28</v>
      </c>
      <c r="C33" s="43"/>
      <c r="D33" s="43"/>
      <c r="E33" s="44">
        <v>28</v>
      </c>
    </row>
    <row r="34" spans="1:5">
      <c r="A34" s="4" t="s">
        <v>137</v>
      </c>
      <c r="B34" s="43">
        <v>482</v>
      </c>
      <c r="C34" s="43"/>
      <c r="D34" s="43"/>
      <c r="E34" s="44">
        <v>482</v>
      </c>
    </row>
    <row r="35" spans="1:5">
      <c r="A35" s="4" t="s">
        <v>138</v>
      </c>
      <c r="B35" s="43">
        <v>488</v>
      </c>
      <c r="C35" s="43"/>
      <c r="D35" s="43"/>
      <c r="E35" s="44">
        <v>488</v>
      </c>
    </row>
    <row r="36" spans="1:5">
      <c r="A36" s="4" t="s">
        <v>380</v>
      </c>
      <c r="B36" s="43">
        <v>94</v>
      </c>
      <c r="C36" s="43"/>
      <c r="D36" s="43"/>
      <c r="E36" s="44">
        <v>94</v>
      </c>
    </row>
    <row r="37" spans="1:5">
      <c r="A37" s="4" t="s">
        <v>139</v>
      </c>
      <c r="B37" s="43">
        <v>253</v>
      </c>
      <c r="C37" s="43"/>
      <c r="D37" s="43"/>
      <c r="E37" s="44">
        <v>253</v>
      </c>
    </row>
    <row r="38" spans="1:5">
      <c r="A38" s="4" t="s">
        <v>140</v>
      </c>
      <c r="B38" s="43">
        <v>84</v>
      </c>
      <c r="C38" s="43"/>
      <c r="D38" s="43"/>
      <c r="E38" s="44">
        <v>84</v>
      </c>
    </row>
    <row r="39" spans="1:5">
      <c r="A39" s="4" t="s">
        <v>141</v>
      </c>
      <c r="B39" s="43">
        <v>779</v>
      </c>
      <c r="C39" s="43"/>
      <c r="D39" s="43"/>
      <c r="E39" s="44">
        <v>779</v>
      </c>
    </row>
    <row r="40" spans="1:5">
      <c r="A40" s="4" t="s">
        <v>142</v>
      </c>
      <c r="B40" s="43">
        <v>80</v>
      </c>
      <c r="C40" s="43"/>
      <c r="D40" s="43"/>
      <c r="E40" s="44">
        <v>80</v>
      </c>
    </row>
    <row r="41" spans="1:5">
      <c r="A41" s="4" t="s">
        <v>143</v>
      </c>
      <c r="B41" s="43">
        <v>17</v>
      </c>
      <c r="C41" s="43"/>
      <c r="D41" s="43"/>
      <c r="E41" s="44">
        <v>17</v>
      </c>
    </row>
    <row r="42" spans="1:5">
      <c r="A42" s="4" t="s">
        <v>144</v>
      </c>
      <c r="B42" s="43">
        <v>6</v>
      </c>
      <c r="C42" s="43"/>
      <c r="D42" s="43"/>
      <c r="E42" s="44">
        <v>6</v>
      </c>
    </row>
    <row r="43" spans="1:5">
      <c r="A43" s="4" t="s">
        <v>145</v>
      </c>
      <c r="B43" s="43">
        <v>1016</v>
      </c>
      <c r="C43" s="43"/>
      <c r="D43" s="43"/>
      <c r="E43" s="44">
        <v>1016</v>
      </c>
    </row>
    <row r="44" spans="1:5">
      <c r="A44" s="4" t="s">
        <v>146</v>
      </c>
      <c r="B44" s="43">
        <v>7853</v>
      </c>
      <c r="C44" s="43"/>
      <c r="D44" s="43"/>
      <c r="E44" s="44">
        <v>7853</v>
      </c>
    </row>
    <row r="45" spans="1:5">
      <c r="A45" s="4" t="s">
        <v>147</v>
      </c>
      <c r="B45" s="43">
        <v>223</v>
      </c>
      <c r="C45" s="43"/>
      <c r="D45" s="43"/>
      <c r="E45" s="44">
        <v>223</v>
      </c>
    </row>
    <row r="46" spans="1:5">
      <c r="A46" s="4" t="s">
        <v>148</v>
      </c>
      <c r="B46" s="43">
        <v>165</v>
      </c>
      <c r="C46" s="43"/>
      <c r="D46" s="43"/>
      <c r="E46" s="44">
        <v>165</v>
      </c>
    </row>
    <row r="47" spans="1:5">
      <c r="A47" s="4" t="s">
        <v>149</v>
      </c>
      <c r="B47" s="43">
        <v>534</v>
      </c>
      <c r="C47" s="43"/>
      <c r="D47" s="43"/>
      <c r="E47" s="44">
        <v>534</v>
      </c>
    </row>
    <row r="48" spans="1:5">
      <c r="A48" s="4" t="s">
        <v>150</v>
      </c>
      <c r="B48" s="43">
        <v>120</v>
      </c>
      <c r="C48" s="43"/>
      <c r="D48" s="43"/>
      <c r="E48" s="44">
        <v>120</v>
      </c>
    </row>
    <row r="49" spans="1:5">
      <c r="A49" s="4" t="s">
        <v>151</v>
      </c>
      <c r="B49" s="43">
        <v>58</v>
      </c>
      <c r="C49" s="43"/>
      <c r="D49" s="43"/>
      <c r="E49" s="44">
        <v>58</v>
      </c>
    </row>
    <row r="50" spans="1:5">
      <c r="A50" s="4" t="s">
        <v>152</v>
      </c>
      <c r="B50" s="43">
        <v>22696</v>
      </c>
      <c r="C50" s="43"/>
      <c r="D50" s="43"/>
      <c r="E50" s="44">
        <v>22696</v>
      </c>
    </row>
    <row r="51" spans="1:5">
      <c r="A51" s="4" t="s">
        <v>153</v>
      </c>
      <c r="B51" s="43">
        <v>2</v>
      </c>
      <c r="C51" s="43"/>
      <c r="D51" s="43"/>
      <c r="E51" s="44">
        <v>2</v>
      </c>
    </row>
    <row r="52" spans="1:5">
      <c r="A52" s="4" t="s">
        <v>154</v>
      </c>
      <c r="B52" s="43">
        <v>260</v>
      </c>
      <c r="C52" s="43"/>
      <c r="D52" s="43"/>
      <c r="E52" s="44">
        <v>260</v>
      </c>
    </row>
    <row r="53" spans="1:5">
      <c r="A53" s="4" t="s">
        <v>155</v>
      </c>
      <c r="B53" s="43">
        <v>40</v>
      </c>
      <c r="C53" s="43"/>
      <c r="D53" s="43"/>
      <c r="E53" s="44">
        <v>40</v>
      </c>
    </row>
    <row r="54" spans="1:5">
      <c r="A54" s="4" t="s">
        <v>156</v>
      </c>
      <c r="B54" s="43">
        <v>37</v>
      </c>
      <c r="C54" s="43"/>
      <c r="D54" s="43"/>
      <c r="E54" s="44">
        <v>37</v>
      </c>
    </row>
    <row r="55" spans="1:5">
      <c r="A55" s="4" t="s">
        <v>157</v>
      </c>
      <c r="B55" s="43">
        <v>161</v>
      </c>
      <c r="C55" s="43"/>
      <c r="D55" s="43"/>
      <c r="E55" s="44">
        <v>161</v>
      </c>
    </row>
    <row r="56" spans="1:5">
      <c r="A56" s="4" t="s">
        <v>158</v>
      </c>
      <c r="B56" s="43">
        <v>282</v>
      </c>
      <c r="C56" s="43"/>
      <c r="D56" s="43"/>
      <c r="E56" s="44">
        <v>282</v>
      </c>
    </row>
    <row r="57" spans="1:5">
      <c r="A57" s="4" t="s">
        <v>381</v>
      </c>
      <c r="B57" s="43">
        <v>2</v>
      </c>
      <c r="C57" s="43"/>
      <c r="D57" s="43"/>
      <c r="E57" s="44">
        <v>2</v>
      </c>
    </row>
    <row r="58" spans="1:5">
      <c r="A58" s="4" t="s">
        <v>159</v>
      </c>
      <c r="B58" s="43">
        <v>3736</v>
      </c>
      <c r="C58" s="43"/>
      <c r="D58" s="43"/>
      <c r="E58" s="44">
        <v>3736</v>
      </c>
    </row>
    <row r="59" spans="1:5">
      <c r="A59" s="4" t="s">
        <v>160</v>
      </c>
      <c r="B59" s="43">
        <v>23</v>
      </c>
      <c r="C59" s="43"/>
      <c r="D59" s="43"/>
      <c r="E59" s="44">
        <v>23</v>
      </c>
    </row>
    <row r="60" spans="1:5">
      <c r="A60" s="4" t="s">
        <v>161</v>
      </c>
      <c r="B60" s="43">
        <v>22</v>
      </c>
      <c r="C60" s="43"/>
      <c r="D60" s="43"/>
      <c r="E60" s="44">
        <v>22</v>
      </c>
    </row>
    <row r="61" spans="1:5">
      <c r="A61" s="4" t="s">
        <v>162</v>
      </c>
      <c r="B61" s="43">
        <v>144</v>
      </c>
      <c r="C61" s="43"/>
      <c r="D61" s="43"/>
      <c r="E61" s="44">
        <v>144</v>
      </c>
    </row>
    <row r="62" spans="1:5">
      <c r="A62" s="4" t="s">
        <v>163</v>
      </c>
      <c r="B62" s="43">
        <v>32</v>
      </c>
      <c r="C62" s="43"/>
      <c r="D62" s="43"/>
      <c r="E62" s="44">
        <v>32</v>
      </c>
    </row>
    <row r="63" spans="1:5">
      <c r="A63" s="4" t="s">
        <v>164</v>
      </c>
      <c r="B63" s="43">
        <v>3517</v>
      </c>
      <c r="C63" s="43"/>
      <c r="D63" s="43"/>
      <c r="E63" s="44">
        <v>3517</v>
      </c>
    </row>
    <row r="64" spans="1:5">
      <c r="A64" s="4" t="s">
        <v>165</v>
      </c>
      <c r="B64" s="43">
        <v>744</v>
      </c>
      <c r="C64" s="43"/>
      <c r="D64" s="43"/>
      <c r="E64" s="44">
        <v>744</v>
      </c>
    </row>
    <row r="65" spans="1:5">
      <c r="A65" s="4" t="s">
        <v>166</v>
      </c>
      <c r="B65" s="43">
        <v>2628</v>
      </c>
      <c r="C65" s="43"/>
      <c r="D65" s="43"/>
      <c r="E65" s="44">
        <v>2628</v>
      </c>
    </row>
    <row r="66" spans="1:5">
      <c r="A66" s="4" t="s">
        <v>167</v>
      </c>
      <c r="B66" s="43">
        <v>17377</v>
      </c>
      <c r="C66" s="43"/>
      <c r="D66" s="43"/>
      <c r="E66" s="44">
        <v>17377</v>
      </c>
    </row>
    <row r="67" spans="1:5">
      <c r="A67" s="4" t="s">
        <v>168</v>
      </c>
      <c r="B67" s="43">
        <v>121</v>
      </c>
      <c r="C67" s="43"/>
      <c r="D67" s="43">
        <v>5</v>
      </c>
      <c r="E67" s="44">
        <v>126</v>
      </c>
    </row>
    <row r="68" spans="1:5">
      <c r="A68" s="4" t="s">
        <v>382</v>
      </c>
      <c r="B68" s="43">
        <v>12</v>
      </c>
      <c r="C68" s="43"/>
      <c r="D68" s="43"/>
      <c r="E68" s="44">
        <v>12</v>
      </c>
    </row>
    <row r="69" spans="1:5">
      <c r="A69" s="4" t="s">
        <v>169</v>
      </c>
      <c r="B69" s="43">
        <v>262</v>
      </c>
      <c r="C69" s="43"/>
      <c r="D69" s="43"/>
      <c r="E69" s="44">
        <v>262</v>
      </c>
    </row>
    <row r="70" spans="1:5">
      <c r="A70" s="4" t="s">
        <v>170</v>
      </c>
      <c r="B70" s="43">
        <v>50</v>
      </c>
      <c r="C70" s="43"/>
      <c r="D70" s="43"/>
      <c r="E70" s="44">
        <v>50</v>
      </c>
    </row>
    <row r="71" spans="1:5">
      <c r="A71" s="4" t="s">
        <v>171</v>
      </c>
      <c r="B71" s="43">
        <v>588</v>
      </c>
      <c r="C71" s="43"/>
      <c r="D71" s="43"/>
      <c r="E71" s="44">
        <v>588</v>
      </c>
    </row>
    <row r="72" spans="1:5">
      <c r="A72" s="4" t="s">
        <v>172</v>
      </c>
      <c r="B72" s="43">
        <v>41</v>
      </c>
      <c r="C72" s="43"/>
      <c r="D72" s="43"/>
      <c r="E72" s="44">
        <v>41</v>
      </c>
    </row>
    <row r="73" spans="1:5">
      <c r="A73" s="4" t="s">
        <v>173</v>
      </c>
      <c r="B73" s="43">
        <v>5624</v>
      </c>
      <c r="C73" s="43"/>
      <c r="D73" s="43"/>
      <c r="E73" s="44">
        <v>5624</v>
      </c>
    </row>
    <row r="74" spans="1:5">
      <c r="A74" s="4" t="s">
        <v>174</v>
      </c>
      <c r="B74" s="43">
        <v>1159</v>
      </c>
      <c r="C74" s="43"/>
      <c r="D74" s="43"/>
      <c r="E74" s="44">
        <v>1159</v>
      </c>
    </row>
    <row r="75" spans="1:5">
      <c r="A75" s="4" t="s">
        <v>175</v>
      </c>
      <c r="B75" s="43">
        <v>128</v>
      </c>
      <c r="C75" s="43"/>
      <c r="D75" s="43"/>
      <c r="E75" s="44">
        <v>128</v>
      </c>
    </row>
    <row r="76" spans="1:5">
      <c r="A76" s="4" t="s">
        <v>176</v>
      </c>
      <c r="B76" s="43">
        <v>177</v>
      </c>
      <c r="C76" s="43"/>
      <c r="D76" s="43">
        <v>31</v>
      </c>
      <c r="E76" s="44">
        <v>208</v>
      </c>
    </row>
    <row r="77" spans="1:5">
      <c r="A77" s="4" t="s">
        <v>177</v>
      </c>
      <c r="B77" s="43">
        <v>667</v>
      </c>
      <c r="C77" s="43"/>
      <c r="D77" s="43"/>
      <c r="E77" s="44">
        <v>667</v>
      </c>
    </row>
    <row r="78" spans="1:5">
      <c r="A78" s="4" t="s">
        <v>178</v>
      </c>
      <c r="B78" s="43">
        <v>938</v>
      </c>
      <c r="C78" s="43"/>
      <c r="D78" s="43"/>
      <c r="E78" s="44">
        <v>938</v>
      </c>
    </row>
    <row r="79" spans="1:5">
      <c r="A79" s="4" t="s">
        <v>179</v>
      </c>
      <c r="B79" s="43">
        <v>4843</v>
      </c>
      <c r="C79" s="43"/>
      <c r="D79" s="43"/>
      <c r="E79" s="44">
        <v>4843</v>
      </c>
    </row>
    <row r="80" spans="1:5">
      <c r="A80" s="4" t="s">
        <v>180</v>
      </c>
      <c r="B80" s="43">
        <v>1739</v>
      </c>
      <c r="C80" s="43"/>
      <c r="D80" s="43">
        <v>1128</v>
      </c>
      <c r="E80" s="44">
        <v>2867</v>
      </c>
    </row>
    <row r="81" spans="1:5">
      <c r="A81" s="4" t="s">
        <v>181</v>
      </c>
      <c r="B81" s="43">
        <v>102</v>
      </c>
      <c r="C81" s="43"/>
      <c r="D81" s="43"/>
      <c r="E81" s="44">
        <v>102</v>
      </c>
    </row>
    <row r="82" spans="1:5">
      <c r="A82" s="4" t="s">
        <v>182</v>
      </c>
      <c r="B82" s="43">
        <v>1691</v>
      </c>
      <c r="C82" s="43"/>
      <c r="D82" s="43"/>
      <c r="E82" s="44">
        <v>1691</v>
      </c>
    </row>
    <row r="83" spans="1:5">
      <c r="A83" s="4" t="s">
        <v>183</v>
      </c>
      <c r="B83" s="43">
        <v>3452</v>
      </c>
      <c r="C83" s="43"/>
      <c r="D83" s="43"/>
      <c r="E83" s="44">
        <v>3452</v>
      </c>
    </row>
    <row r="84" spans="1:5">
      <c r="A84" s="4" t="s">
        <v>184</v>
      </c>
      <c r="B84" s="43">
        <v>42</v>
      </c>
      <c r="C84" s="43"/>
      <c r="D84" s="43"/>
      <c r="E84" s="44">
        <v>42</v>
      </c>
    </row>
    <row r="85" spans="1:5">
      <c r="A85" s="4" t="s">
        <v>185</v>
      </c>
      <c r="B85" s="43">
        <v>911</v>
      </c>
      <c r="C85" s="43"/>
      <c r="D85" s="43"/>
      <c r="E85" s="44">
        <v>911</v>
      </c>
    </row>
    <row r="86" spans="1:5">
      <c r="A86" s="4" t="s">
        <v>186</v>
      </c>
      <c r="B86" s="43">
        <v>3659</v>
      </c>
      <c r="C86" s="43"/>
      <c r="D86" s="43"/>
      <c r="E86" s="44">
        <v>3659</v>
      </c>
    </row>
    <row r="87" spans="1:5">
      <c r="A87" s="4" t="s">
        <v>187</v>
      </c>
      <c r="B87" s="43">
        <v>14</v>
      </c>
      <c r="C87" s="43"/>
      <c r="D87" s="43"/>
      <c r="E87" s="44">
        <v>14</v>
      </c>
    </row>
    <row r="88" spans="1:5">
      <c r="A88" s="4" t="s">
        <v>188</v>
      </c>
      <c r="B88" s="43">
        <v>3405</v>
      </c>
      <c r="C88" s="43">
        <v>1418</v>
      </c>
      <c r="D88" s="43">
        <v>6493</v>
      </c>
      <c r="E88" s="44">
        <v>11316</v>
      </c>
    </row>
    <row r="89" spans="1:5">
      <c r="A89" s="4" t="s">
        <v>189</v>
      </c>
      <c r="B89" s="43">
        <v>2071</v>
      </c>
      <c r="C89" s="43">
        <v>433</v>
      </c>
      <c r="D89" s="43">
        <v>125</v>
      </c>
      <c r="E89" s="44">
        <v>2629</v>
      </c>
    </row>
    <row r="90" spans="1:5">
      <c r="A90" s="4" t="s">
        <v>190</v>
      </c>
      <c r="B90" s="43">
        <v>548</v>
      </c>
      <c r="C90" s="43">
        <v>75</v>
      </c>
      <c r="D90" s="43">
        <v>205</v>
      </c>
      <c r="E90" s="44">
        <v>828</v>
      </c>
    </row>
    <row r="91" spans="1:5">
      <c r="A91" s="4" t="s">
        <v>191</v>
      </c>
      <c r="B91" s="43">
        <v>1413</v>
      </c>
      <c r="C91" s="43">
        <v>1457</v>
      </c>
      <c r="D91" s="43">
        <v>1692</v>
      </c>
      <c r="E91" s="44">
        <v>4562</v>
      </c>
    </row>
    <row r="92" spans="1:5">
      <c r="A92" s="4" t="s">
        <v>192</v>
      </c>
      <c r="B92" s="43">
        <v>272</v>
      </c>
      <c r="C92" s="43">
        <v>60</v>
      </c>
      <c r="D92" s="43"/>
      <c r="E92" s="44">
        <v>332</v>
      </c>
    </row>
    <row r="93" spans="1:5">
      <c r="A93" s="4" t="s">
        <v>193</v>
      </c>
      <c r="B93" s="43">
        <v>475</v>
      </c>
      <c r="C93" s="43">
        <v>151</v>
      </c>
      <c r="D93" s="43">
        <v>226</v>
      </c>
      <c r="E93" s="44">
        <v>852</v>
      </c>
    </row>
    <row r="94" spans="1:5">
      <c r="A94" s="4" t="s">
        <v>194</v>
      </c>
      <c r="B94" s="43">
        <v>6333</v>
      </c>
      <c r="C94" s="43">
        <v>1243</v>
      </c>
      <c r="D94" s="43">
        <v>144</v>
      </c>
      <c r="E94" s="44">
        <v>7720</v>
      </c>
    </row>
    <row r="95" spans="1:5">
      <c r="A95" s="4" t="s">
        <v>195</v>
      </c>
      <c r="B95" s="43">
        <v>2699</v>
      </c>
      <c r="C95" s="43">
        <v>336</v>
      </c>
      <c r="D95" s="43">
        <v>2</v>
      </c>
      <c r="E95" s="44">
        <v>3037</v>
      </c>
    </row>
    <row r="96" spans="1:5">
      <c r="A96" s="4" t="s">
        <v>196</v>
      </c>
      <c r="B96" s="43">
        <v>1480</v>
      </c>
      <c r="C96" s="43">
        <v>192</v>
      </c>
      <c r="D96" s="43">
        <v>244</v>
      </c>
      <c r="E96" s="44">
        <v>1916</v>
      </c>
    </row>
    <row r="97" spans="1:5">
      <c r="A97" s="4" t="s">
        <v>197</v>
      </c>
      <c r="B97" s="43">
        <v>2570</v>
      </c>
      <c r="C97" s="43">
        <v>74</v>
      </c>
      <c r="D97" s="43">
        <v>22</v>
      </c>
      <c r="E97" s="44">
        <v>2666</v>
      </c>
    </row>
    <row r="98" spans="1:5">
      <c r="A98" s="4" t="s">
        <v>198</v>
      </c>
      <c r="B98" s="43">
        <v>413</v>
      </c>
      <c r="C98" s="43">
        <v>40</v>
      </c>
      <c r="D98" s="43"/>
      <c r="E98" s="44">
        <v>453</v>
      </c>
    </row>
    <row r="99" spans="1:5">
      <c r="A99" s="4" t="s">
        <v>199</v>
      </c>
      <c r="B99" s="43">
        <v>849</v>
      </c>
      <c r="C99" s="43"/>
      <c r="D99" s="43"/>
      <c r="E99" s="44">
        <v>849</v>
      </c>
    </row>
    <row r="100" spans="1:5">
      <c r="A100" s="4" t="s">
        <v>200</v>
      </c>
      <c r="B100" s="43">
        <v>2601</v>
      </c>
      <c r="C100" s="43">
        <v>180</v>
      </c>
      <c r="D100" s="43">
        <v>341</v>
      </c>
      <c r="E100" s="44">
        <v>3122</v>
      </c>
    </row>
    <row r="101" spans="1:5">
      <c r="A101" s="4" t="s">
        <v>201</v>
      </c>
      <c r="B101" s="43">
        <v>1386</v>
      </c>
      <c r="C101" s="43">
        <v>61</v>
      </c>
      <c r="D101" s="43">
        <v>366</v>
      </c>
      <c r="E101" s="44">
        <v>1813</v>
      </c>
    </row>
    <row r="102" spans="1:5">
      <c r="A102" s="4" t="s">
        <v>202</v>
      </c>
      <c r="B102" s="43">
        <v>843</v>
      </c>
      <c r="C102" s="43">
        <v>62</v>
      </c>
      <c r="D102" s="43">
        <v>100</v>
      </c>
      <c r="E102" s="44">
        <v>1005</v>
      </c>
    </row>
    <row r="103" spans="1:5">
      <c r="A103" s="4" t="s">
        <v>203</v>
      </c>
      <c r="B103" s="43">
        <v>1138</v>
      </c>
      <c r="C103" s="43">
        <v>232</v>
      </c>
      <c r="D103" s="43">
        <v>217</v>
      </c>
      <c r="E103" s="44">
        <v>1587</v>
      </c>
    </row>
    <row r="104" spans="1:5">
      <c r="A104" s="4" t="s">
        <v>204</v>
      </c>
      <c r="B104" s="43">
        <v>630</v>
      </c>
      <c r="C104" s="43">
        <v>54</v>
      </c>
      <c r="D104" s="43">
        <v>338</v>
      </c>
      <c r="E104" s="44">
        <v>1022</v>
      </c>
    </row>
    <row r="105" spans="1:5">
      <c r="A105" s="4" t="s">
        <v>205</v>
      </c>
      <c r="B105" s="43">
        <v>2855</v>
      </c>
      <c r="C105" s="43">
        <v>258</v>
      </c>
      <c r="D105" s="43">
        <v>869</v>
      </c>
      <c r="E105" s="44">
        <v>3982</v>
      </c>
    </row>
    <row r="106" spans="1:5">
      <c r="A106" s="4" t="s">
        <v>206</v>
      </c>
      <c r="B106" s="43">
        <v>44</v>
      </c>
      <c r="C106" s="43"/>
      <c r="D106" s="43"/>
      <c r="E106" s="44">
        <v>44</v>
      </c>
    </row>
    <row r="107" spans="1:5">
      <c r="A107" s="4" t="s">
        <v>207</v>
      </c>
      <c r="B107" s="43">
        <v>1539</v>
      </c>
      <c r="C107" s="43">
        <v>14</v>
      </c>
      <c r="D107" s="43"/>
      <c r="E107" s="44">
        <v>1553</v>
      </c>
    </row>
    <row r="108" spans="1:5">
      <c r="A108" s="4" t="s">
        <v>208</v>
      </c>
      <c r="B108" s="43">
        <v>909</v>
      </c>
      <c r="C108" s="43">
        <v>70</v>
      </c>
      <c r="D108" s="43">
        <v>5</v>
      </c>
      <c r="E108" s="44">
        <v>984</v>
      </c>
    </row>
    <row r="109" spans="1:5">
      <c r="A109" s="4" t="s">
        <v>209</v>
      </c>
      <c r="B109" s="43">
        <v>383</v>
      </c>
      <c r="C109" s="43">
        <v>27</v>
      </c>
      <c r="D109" s="43"/>
      <c r="E109" s="44">
        <v>410</v>
      </c>
    </row>
    <row r="110" spans="1:5">
      <c r="A110" s="4" t="s">
        <v>210</v>
      </c>
      <c r="B110" s="43">
        <v>878</v>
      </c>
      <c r="C110" s="43">
        <v>10</v>
      </c>
      <c r="D110" s="43"/>
      <c r="E110" s="44">
        <v>888</v>
      </c>
    </row>
    <row r="111" spans="1:5">
      <c r="A111" s="4" t="s">
        <v>211</v>
      </c>
      <c r="B111" s="43">
        <v>3642</v>
      </c>
      <c r="C111" s="43">
        <v>1915</v>
      </c>
      <c r="D111" s="43">
        <v>530</v>
      </c>
      <c r="E111" s="44">
        <v>6087</v>
      </c>
    </row>
    <row r="112" spans="1:5">
      <c r="A112" s="4" t="s">
        <v>212</v>
      </c>
      <c r="B112" s="43">
        <v>2913</v>
      </c>
      <c r="C112" s="43">
        <v>565</v>
      </c>
      <c r="D112" s="43">
        <v>665</v>
      </c>
      <c r="E112" s="44">
        <v>4143</v>
      </c>
    </row>
    <row r="113" spans="1:5">
      <c r="A113" s="4" t="s">
        <v>213</v>
      </c>
      <c r="B113" s="43">
        <v>1245</v>
      </c>
      <c r="C113" s="43">
        <v>216</v>
      </c>
      <c r="D113" s="43">
        <v>71</v>
      </c>
      <c r="E113" s="44">
        <v>1532</v>
      </c>
    </row>
    <row r="114" spans="1:5">
      <c r="A114" s="4" t="s">
        <v>214</v>
      </c>
      <c r="B114" s="43">
        <v>868</v>
      </c>
      <c r="C114" s="43">
        <v>23</v>
      </c>
      <c r="D114" s="43">
        <v>81</v>
      </c>
      <c r="E114" s="44">
        <v>972</v>
      </c>
    </row>
    <row r="115" spans="1:5">
      <c r="A115" s="4" t="s">
        <v>215</v>
      </c>
      <c r="B115" s="43">
        <v>4338</v>
      </c>
      <c r="C115" s="43">
        <v>37</v>
      </c>
      <c r="D115" s="43">
        <v>269</v>
      </c>
      <c r="E115" s="44">
        <v>4644</v>
      </c>
    </row>
    <row r="116" spans="1:5">
      <c r="A116" s="4" t="s">
        <v>216</v>
      </c>
      <c r="B116" s="43">
        <v>978</v>
      </c>
      <c r="C116" s="43">
        <v>279</v>
      </c>
      <c r="D116" s="43">
        <v>1093</v>
      </c>
      <c r="E116" s="44">
        <v>2350</v>
      </c>
    </row>
    <row r="117" spans="1:5">
      <c r="A117" s="4" t="s">
        <v>217</v>
      </c>
      <c r="B117" s="43">
        <v>1815</v>
      </c>
      <c r="C117" s="43">
        <v>21</v>
      </c>
      <c r="D117" s="43"/>
      <c r="E117" s="44">
        <v>1836</v>
      </c>
    </row>
    <row r="118" spans="1:5">
      <c r="A118" s="4" t="s">
        <v>218</v>
      </c>
      <c r="B118" s="43">
        <v>567</v>
      </c>
      <c r="C118" s="43">
        <v>4</v>
      </c>
      <c r="D118" s="43"/>
      <c r="E118" s="44">
        <v>571</v>
      </c>
    </row>
    <row r="119" spans="1:5">
      <c r="A119" s="4" t="s">
        <v>219</v>
      </c>
      <c r="B119" s="43">
        <v>1118</v>
      </c>
      <c r="C119" s="43">
        <v>96</v>
      </c>
      <c r="D119" s="43">
        <v>106</v>
      </c>
      <c r="E119" s="44">
        <v>1320</v>
      </c>
    </row>
    <row r="120" spans="1:5">
      <c r="A120" s="4" t="s">
        <v>220</v>
      </c>
      <c r="B120" s="43">
        <v>2797</v>
      </c>
      <c r="C120" s="43">
        <v>592</v>
      </c>
      <c r="D120" s="43">
        <v>182</v>
      </c>
      <c r="E120" s="44">
        <v>3571</v>
      </c>
    </row>
    <row r="121" spans="1:5">
      <c r="A121" s="4" t="s">
        <v>221</v>
      </c>
      <c r="B121" s="43">
        <v>1041</v>
      </c>
      <c r="C121" s="43">
        <v>205</v>
      </c>
      <c r="D121" s="43">
        <v>274</v>
      </c>
      <c r="E121" s="44">
        <v>1520</v>
      </c>
    </row>
    <row r="122" spans="1:5">
      <c r="A122" s="4" t="s">
        <v>222</v>
      </c>
      <c r="B122" s="43">
        <v>1013</v>
      </c>
      <c r="C122" s="43">
        <v>72</v>
      </c>
      <c r="D122" s="43">
        <v>86</v>
      </c>
      <c r="E122" s="44">
        <v>1171</v>
      </c>
    </row>
    <row r="123" spans="1:5">
      <c r="A123" s="4" t="s">
        <v>223</v>
      </c>
      <c r="B123" s="43">
        <v>1850</v>
      </c>
      <c r="C123" s="43">
        <v>139</v>
      </c>
      <c r="D123" s="43">
        <v>281</v>
      </c>
      <c r="E123" s="44">
        <v>2270</v>
      </c>
    </row>
    <row r="124" spans="1:5">
      <c r="A124" s="4" t="s">
        <v>224</v>
      </c>
      <c r="B124" s="43">
        <v>1075</v>
      </c>
      <c r="C124" s="43">
        <v>96</v>
      </c>
      <c r="D124" s="43"/>
      <c r="E124" s="44">
        <v>1171</v>
      </c>
    </row>
    <row r="125" spans="1:5">
      <c r="A125" s="4" t="s">
        <v>225</v>
      </c>
      <c r="B125" s="43">
        <v>1615</v>
      </c>
      <c r="C125" s="43">
        <v>182</v>
      </c>
      <c r="D125" s="43">
        <v>143</v>
      </c>
      <c r="E125" s="44">
        <v>1940</v>
      </c>
    </row>
    <row r="126" spans="1:5">
      <c r="A126" s="4" t="s">
        <v>226</v>
      </c>
      <c r="B126" s="43">
        <v>2071</v>
      </c>
      <c r="C126" s="43">
        <v>438</v>
      </c>
      <c r="D126" s="43">
        <v>1503</v>
      </c>
      <c r="E126" s="44">
        <v>4012</v>
      </c>
    </row>
    <row r="127" spans="1:5">
      <c r="A127" s="4" t="s">
        <v>227</v>
      </c>
      <c r="B127" s="43">
        <v>340</v>
      </c>
      <c r="C127" s="43">
        <v>3</v>
      </c>
      <c r="D127" s="43"/>
      <c r="E127" s="44">
        <v>343</v>
      </c>
    </row>
    <row r="128" spans="1:5">
      <c r="A128" s="4" t="s">
        <v>228</v>
      </c>
      <c r="B128" s="43">
        <v>671</v>
      </c>
      <c r="C128" s="43">
        <v>29</v>
      </c>
      <c r="D128" s="43"/>
      <c r="E128" s="44">
        <v>700</v>
      </c>
    </row>
    <row r="129" spans="1:5">
      <c r="A129" s="4" t="s">
        <v>229</v>
      </c>
      <c r="B129" s="43">
        <v>1987</v>
      </c>
      <c r="C129" s="43">
        <v>459</v>
      </c>
      <c r="D129" s="43">
        <v>698</v>
      </c>
      <c r="E129" s="44">
        <v>3144</v>
      </c>
    </row>
    <row r="130" spans="1:5">
      <c r="A130" s="4" t="s">
        <v>230</v>
      </c>
      <c r="B130" s="43">
        <v>781</v>
      </c>
      <c r="C130" s="43">
        <v>171</v>
      </c>
      <c r="D130" s="43">
        <v>672</v>
      </c>
      <c r="E130" s="44">
        <v>1624</v>
      </c>
    </row>
    <row r="131" spans="1:5">
      <c r="A131" s="4" t="s">
        <v>231</v>
      </c>
      <c r="B131" s="43">
        <v>286</v>
      </c>
      <c r="C131" s="43">
        <v>26</v>
      </c>
      <c r="D131" s="43"/>
      <c r="E131" s="44">
        <v>312</v>
      </c>
    </row>
    <row r="132" spans="1:5">
      <c r="A132" s="4" t="s">
        <v>232</v>
      </c>
      <c r="B132" s="43">
        <v>431</v>
      </c>
      <c r="C132" s="43">
        <v>34</v>
      </c>
      <c r="D132" s="43"/>
      <c r="E132" s="44">
        <v>465</v>
      </c>
    </row>
    <row r="133" spans="1:5">
      <c r="A133" s="4" t="s">
        <v>233</v>
      </c>
      <c r="B133" s="43">
        <v>1105</v>
      </c>
      <c r="C133" s="43">
        <v>30</v>
      </c>
      <c r="D133" s="43">
        <v>10</v>
      </c>
      <c r="E133" s="44">
        <v>1145</v>
      </c>
    </row>
    <row r="134" spans="1:5">
      <c r="A134" s="4" t="s">
        <v>234</v>
      </c>
      <c r="B134" s="43">
        <v>543</v>
      </c>
      <c r="C134" s="43"/>
      <c r="D134" s="43"/>
      <c r="E134" s="44">
        <v>543</v>
      </c>
    </row>
    <row r="135" spans="1:5">
      <c r="A135" s="4" t="s">
        <v>235</v>
      </c>
      <c r="B135" s="43">
        <v>2363</v>
      </c>
      <c r="C135" s="43">
        <v>1058</v>
      </c>
      <c r="D135" s="43">
        <v>948</v>
      </c>
      <c r="E135" s="44">
        <v>4369</v>
      </c>
    </row>
    <row r="136" spans="1:5">
      <c r="A136" s="4" t="s">
        <v>236</v>
      </c>
      <c r="B136" s="43">
        <v>572</v>
      </c>
      <c r="C136" s="43">
        <v>59</v>
      </c>
      <c r="D136" s="43"/>
      <c r="E136" s="44">
        <v>631</v>
      </c>
    </row>
    <row r="137" spans="1:5">
      <c r="A137" s="4" t="s">
        <v>237</v>
      </c>
      <c r="B137" s="43">
        <v>124</v>
      </c>
      <c r="C137" s="43">
        <v>306</v>
      </c>
      <c r="D137" s="43">
        <v>1132</v>
      </c>
      <c r="E137" s="44">
        <v>1562</v>
      </c>
    </row>
    <row r="138" spans="1:5">
      <c r="A138" s="4" t="s">
        <v>238</v>
      </c>
      <c r="B138" s="43">
        <v>889</v>
      </c>
      <c r="C138" s="43">
        <v>6</v>
      </c>
      <c r="D138" s="43">
        <v>43</v>
      </c>
      <c r="E138" s="44">
        <v>938</v>
      </c>
    </row>
    <row r="139" spans="1:5">
      <c r="A139" s="4" t="s">
        <v>239</v>
      </c>
      <c r="B139" s="43">
        <v>3320</v>
      </c>
      <c r="C139" s="43">
        <v>377</v>
      </c>
      <c r="D139" s="43">
        <v>995</v>
      </c>
      <c r="E139" s="44">
        <v>4692</v>
      </c>
    </row>
    <row r="140" spans="1:5">
      <c r="A140" s="4" t="s">
        <v>240</v>
      </c>
      <c r="B140" s="43">
        <v>2954</v>
      </c>
      <c r="C140" s="43">
        <v>245</v>
      </c>
      <c r="D140" s="43"/>
      <c r="E140" s="44">
        <v>3199</v>
      </c>
    </row>
    <row r="141" spans="1:5">
      <c r="A141" s="4" t="s">
        <v>241</v>
      </c>
      <c r="B141" s="43">
        <v>769</v>
      </c>
      <c r="C141" s="43">
        <v>13</v>
      </c>
      <c r="D141" s="43">
        <v>35</v>
      </c>
      <c r="E141" s="44">
        <v>817</v>
      </c>
    </row>
    <row r="142" spans="1:5">
      <c r="A142" s="4" t="s">
        <v>242</v>
      </c>
      <c r="B142" s="43">
        <v>2433</v>
      </c>
      <c r="C142" s="43">
        <v>273</v>
      </c>
      <c r="D142" s="43"/>
      <c r="E142" s="44">
        <v>2706</v>
      </c>
    </row>
    <row r="143" spans="1:5">
      <c r="A143" s="4" t="s">
        <v>243</v>
      </c>
      <c r="B143" s="43">
        <v>6331</v>
      </c>
      <c r="C143" s="43">
        <v>85</v>
      </c>
      <c r="D143" s="43">
        <v>100</v>
      </c>
      <c r="E143" s="44">
        <v>6516</v>
      </c>
    </row>
    <row r="144" spans="1:5">
      <c r="A144" s="4" t="s">
        <v>244</v>
      </c>
      <c r="B144" s="43">
        <v>972</v>
      </c>
      <c r="C144" s="43">
        <v>50</v>
      </c>
      <c r="D144" s="43">
        <v>142</v>
      </c>
      <c r="E144" s="44">
        <v>1164</v>
      </c>
    </row>
    <row r="145" spans="1:5">
      <c r="A145" s="4" t="s">
        <v>245</v>
      </c>
      <c r="B145" s="43">
        <v>855</v>
      </c>
      <c r="C145" s="43">
        <v>10</v>
      </c>
      <c r="D145" s="43">
        <v>1</v>
      </c>
      <c r="E145" s="44">
        <v>866</v>
      </c>
    </row>
    <row r="146" spans="1:5">
      <c r="A146" s="5" t="s">
        <v>4</v>
      </c>
      <c r="B146" s="44">
        <v>202575</v>
      </c>
      <c r="C146" s="44">
        <v>14561</v>
      </c>
      <c r="D146" s="44">
        <v>22623</v>
      </c>
      <c r="E146" s="44">
        <v>239759</v>
      </c>
    </row>
    <row r="147" spans="1:5">
      <c r="A147" s="40"/>
      <c r="B147" s="46"/>
      <c r="C147" s="46"/>
      <c r="D147" s="46"/>
      <c r="E147" s="46"/>
    </row>
    <row r="148" spans="1:5">
      <c r="A148" s="40"/>
      <c r="B148" s="46"/>
      <c r="C148" s="46"/>
      <c r="D148" s="46"/>
      <c r="E148" s="46"/>
    </row>
    <row r="149" spans="1:5">
      <c r="A149" s="40"/>
      <c r="B149" s="46"/>
      <c r="C149" s="46"/>
      <c r="D149" s="46"/>
      <c r="E149" s="46"/>
    </row>
    <row r="150" spans="1:5">
      <c r="A150" s="40"/>
      <c r="B150" s="46"/>
      <c r="C150" s="46"/>
      <c r="D150" s="46"/>
      <c r="E150" s="46"/>
    </row>
    <row r="151" spans="1:5">
      <c r="A151" s="70" t="s">
        <v>294</v>
      </c>
      <c r="B151" s="46"/>
      <c r="C151" s="46"/>
      <c r="D151" s="46"/>
      <c r="E151" s="46"/>
    </row>
    <row r="152" spans="1:5">
      <c r="A152" s="40"/>
      <c r="B152" s="46"/>
      <c r="C152" s="46"/>
      <c r="D152" s="46"/>
      <c r="E152" s="46"/>
    </row>
    <row r="153" spans="1:5">
      <c r="A153" s="71" t="s">
        <v>21</v>
      </c>
      <c r="B153" s="46"/>
      <c r="C153" s="46"/>
      <c r="D153" s="46"/>
      <c r="E153" s="46"/>
    </row>
    <row r="154" spans="1:5">
      <c r="A154" s="40"/>
      <c r="B154" s="46"/>
      <c r="C154" s="46"/>
      <c r="D154" s="46"/>
      <c r="E154" s="46"/>
    </row>
  </sheetData>
  <hyperlinks>
    <hyperlink ref="A153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2017</vt:lpstr>
      <vt:lpstr>Evolución Titulación Total</vt:lpstr>
      <vt:lpstr>Titulación Pregrado 2017</vt:lpstr>
      <vt:lpstr>Evolución Titulación Pregrado</vt:lpstr>
      <vt:lpstr>Titulación Posgrado 2017</vt:lpstr>
      <vt:lpstr>Evolución Titulación Posgrado</vt:lpstr>
      <vt:lpstr>Titulacion Postitulo 2017</vt:lpstr>
      <vt:lpstr>Evolucion Titulacion Postitulo</vt:lpstr>
      <vt:lpstr>Listado de Instituciones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Ministerio Educación</cp:lastModifiedBy>
  <dcterms:created xsi:type="dcterms:W3CDTF">2015-09-10T13:36:10Z</dcterms:created>
  <dcterms:modified xsi:type="dcterms:W3CDTF">2018-08-22T15:57:52Z</dcterms:modified>
</cp:coreProperties>
</file>