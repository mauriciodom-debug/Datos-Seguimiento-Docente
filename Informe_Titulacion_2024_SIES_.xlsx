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autoCompressPictures="0"/>
  <mc:AlternateContent xmlns:mc="http://schemas.openxmlformats.org/markup-compatibility/2006">
    <mc:Choice Requires="x15">
      <x15ac:absPath xmlns:x15ac="http://schemas.microsoft.com/office/spreadsheetml/2010/11/ac" url="D:\Documents\2025\Informes\Titulados\"/>
    </mc:Choice>
  </mc:AlternateContent>
  <xr:revisionPtr revIDLastSave="0" documentId="8_{48563808-CED6-4965-A402-7BA329453BAE}" xr6:coauthVersionLast="47" xr6:coauthVersionMax="47" xr10:uidLastSave="{00000000-0000-0000-0000-000000000000}"/>
  <bookViews>
    <workbookView xWindow="-120" yWindow="-120" windowWidth="29040" windowHeight="15720" tabRatio="892" xr2:uid="{00000000-000D-0000-FFFF-FFFF00000000}"/>
  </bookViews>
  <sheets>
    <sheet name="Indice" sheetId="11" r:id="rId1"/>
    <sheet name="Titulación Total 2024" sheetId="2" r:id="rId2"/>
    <sheet name="Evolución Titulación Total" sheetId="3" r:id="rId3"/>
    <sheet name="Titulación Pregrado 2024" sheetId="4" r:id="rId4"/>
    <sheet name="Evolución Titulación Pregrado" sheetId="5" r:id="rId5"/>
    <sheet name="Titulación Posgrado 2024" sheetId="6" r:id="rId6"/>
    <sheet name="Evolución Titulación Posgrado" sheetId="7" r:id="rId7"/>
    <sheet name="Titulacion Postitulo 2024" sheetId="8" r:id="rId8"/>
    <sheet name="Evolucion Titulacion Postitulo" sheetId="9" r:id="rId9"/>
    <sheet name="Listado de Instituciones" sheetId="10" r:id="rId10"/>
  </sheets>
  <definedNames>
    <definedName name="_xlnm._FilterDatabase" localSheetId="4" hidden="1">'Evolución Titulación Pregrado'!$A$195:$U$215</definedName>
    <definedName name="_xlnm._FilterDatabase" localSheetId="9" hidden="1">'Listado de Instituciones'!$A$4:$E$129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125" i="3" l="1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09" i="3"/>
  <c r="X125" i="3"/>
  <c r="V125" i="3"/>
  <c r="U125" i="3"/>
  <c r="T125" i="3"/>
  <c r="X124" i="3"/>
  <c r="V124" i="3"/>
  <c r="U124" i="3"/>
  <c r="T124" i="3"/>
  <c r="X123" i="3"/>
  <c r="V123" i="3"/>
  <c r="U123" i="3"/>
  <c r="T123" i="3"/>
  <c r="X122" i="3"/>
  <c r="V122" i="3"/>
  <c r="U122" i="3"/>
  <c r="T122" i="3"/>
  <c r="X121" i="3"/>
  <c r="V121" i="3"/>
  <c r="U121" i="3"/>
  <c r="T121" i="3"/>
  <c r="X120" i="3"/>
  <c r="V120" i="3"/>
  <c r="U120" i="3"/>
  <c r="T120" i="3"/>
  <c r="X119" i="3"/>
  <c r="V119" i="3"/>
  <c r="U119" i="3"/>
  <c r="T119" i="3"/>
  <c r="X118" i="3"/>
  <c r="V118" i="3"/>
  <c r="U118" i="3"/>
  <c r="T118" i="3"/>
  <c r="X117" i="3"/>
  <c r="V117" i="3"/>
  <c r="U117" i="3"/>
  <c r="T117" i="3"/>
  <c r="X116" i="3"/>
  <c r="V116" i="3"/>
  <c r="U116" i="3"/>
  <c r="T116" i="3"/>
  <c r="X115" i="3"/>
  <c r="V115" i="3"/>
  <c r="U115" i="3"/>
  <c r="T115" i="3"/>
  <c r="X114" i="3"/>
  <c r="V114" i="3"/>
  <c r="U114" i="3"/>
  <c r="T114" i="3"/>
  <c r="X113" i="3"/>
  <c r="V113" i="3"/>
  <c r="U113" i="3"/>
  <c r="T113" i="3"/>
  <c r="X112" i="3"/>
  <c r="V112" i="3"/>
  <c r="U112" i="3"/>
  <c r="T112" i="3"/>
  <c r="X111" i="3"/>
  <c r="V111" i="3"/>
  <c r="U111" i="3"/>
  <c r="T111" i="3"/>
  <c r="X110" i="3"/>
  <c r="V110" i="3"/>
  <c r="U110" i="3"/>
  <c r="T110" i="3"/>
  <c r="X109" i="3"/>
  <c r="V109" i="3"/>
  <c r="U109" i="3"/>
  <c r="T109" i="3"/>
  <c r="W8" i="3"/>
  <c r="V70" i="3" l="1"/>
  <c r="V71" i="3"/>
  <c r="V72" i="3"/>
  <c r="C130" i="10"/>
  <c r="D130" i="10"/>
  <c r="E130" i="10"/>
  <c r="B130" i="10"/>
  <c r="X42" i="9"/>
  <c r="X40" i="9"/>
  <c r="X39" i="9"/>
  <c r="X38" i="9"/>
  <c r="X36" i="9"/>
  <c r="X35" i="9"/>
  <c r="X34" i="9"/>
  <c r="X29" i="9"/>
  <c r="X28" i="9"/>
  <c r="X27" i="9"/>
  <c r="X26" i="9"/>
  <c r="X25" i="9"/>
  <c r="X24" i="9"/>
  <c r="X23" i="9"/>
  <c r="X22" i="9"/>
  <c r="X21" i="9"/>
  <c r="X20" i="9"/>
  <c r="X16" i="9"/>
  <c r="X15" i="9"/>
  <c r="X14" i="9"/>
  <c r="X13" i="9"/>
  <c r="X9" i="9"/>
  <c r="X8" i="9"/>
  <c r="X7" i="9"/>
  <c r="X6" i="9"/>
  <c r="U6" i="9"/>
  <c r="V6" i="9"/>
  <c r="W6" i="9"/>
  <c r="T7" i="9"/>
  <c r="U7" i="9"/>
  <c r="V7" i="9"/>
  <c r="W7" i="9"/>
  <c r="T8" i="9"/>
  <c r="U8" i="9"/>
  <c r="V8" i="9"/>
  <c r="W8" i="9"/>
  <c r="T9" i="9"/>
  <c r="U9" i="9"/>
  <c r="V9" i="9"/>
  <c r="W9" i="9"/>
  <c r="X135" i="7"/>
  <c r="X134" i="7"/>
  <c r="X133" i="7"/>
  <c r="X132" i="7"/>
  <c r="X131" i="7"/>
  <c r="X130" i="7"/>
  <c r="X129" i="7"/>
  <c r="X128" i="7"/>
  <c r="X127" i="7"/>
  <c r="X126" i="7"/>
  <c r="X125" i="7"/>
  <c r="X124" i="7"/>
  <c r="X123" i="7"/>
  <c r="X122" i="7"/>
  <c r="X121" i="7"/>
  <c r="X120" i="7"/>
  <c r="X119" i="7"/>
  <c r="X115" i="7"/>
  <c r="X114" i="7"/>
  <c r="X113" i="7"/>
  <c r="X112" i="7"/>
  <c r="X111" i="7"/>
  <c r="X110" i="7"/>
  <c r="X109" i="7"/>
  <c r="X108" i="7"/>
  <c r="X107" i="7"/>
  <c r="X106" i="7"/>
  <c r="X105" i="7"/>
  <c r="X101" i="7"/>
  <c r="X100" i="7"/>
  <c r="X99" i="7"/>
  <c r="X98" i="7"/>
  <c r="X97" i="7"/>
  <c r="X96" i="7"/>
  <c r="X95" i="7"/>
  <c r="X94" i="7"/>
  <c r="X93" i="7"/>
  <c r="X92" i="7"/>
  <c r="X91" i="7"/>
  <c r="X87" i="7"/>
  <c r="X86" i="7"/>
  <c r="X85" i="7"/>
  <c r="X84" i="7"/>
  <c r="X83" i="7"/>
  <c r="X82" i="7"/>
  <c r="X81" i="7"/>
  <c r="X80" i="7"/>
  <c r="X79" i="7"/>
  <c r="X78" i="7"/>
  <c r="X77" i="7"/>
  <c r="X73" i="7"/>
  <c r="X72" i="7"/>
  <c r="X71" i="7"/>
  <c r="X70" i="7"/>
  <c r="X69" i="7"/>
  <c r="X68" i="7"/>
  <c r="X67" i="7"/>
  <c r="X66" i="7"/>
  <c r="X65" i="7"/>
  <c r="X64" i="7"/>
  <c r="X63" i="7"/>
  <c r="X59" i="7"/>
  <c r="X58" i="7"/>
  <c r="X57" i="7"/>
  <c r="X56" i="7"/>
  <c r="X55" i="7"/>
  <c r="X54" i="7"/>
  <c r="X53" i="7"/>
  <c r="X52" i="7"/>
  <c r="X51" i="7"/>
  <c r="X50" i="7"/>
  <c r="X49" i="7"/>
  <c r="X48" i="7"/>
  <c r="X47" i="7"/>
  <c r="X42" i="7"/>
  <c r="X41" i="7"/>
  <c r="X39" i="7"/>
  <c r="X38" i="7"/>
  <c r="X36" i="7"/>
  <c r="X35" i="7"/>
  <c r="X29" i="7"/>
  <c r="X28" i="7"/>
  <c r="X27" i="7"/>
  <c r="X26" i="7"/>
  <c r="X25" i="7"/>
  <c r="X24" i="7"/>
  <c r="X23" i="7"/>
  <c r="X22" i="7"/>
  <c r="X21" i="7"/>
  <c r="X20" i="7"/>
  <c r="X16" i="7"/>
  <c r="X15" i="7"/>
  <c r="X14" i="7"/>
  <c r="X9" i="7"/>
  <c r="X8" i="7"/>
  <c r="X7" i="7"/>
  <c r="X6" i="7"/>
  <c r="W220" i="5"/>
  <c r="W221" i="5"/>
  <c r="W222" i="5"/>
  <c r="W223" i="5"/>
  <c r="W224" i="5"/>
  <c r="W225" i="5"/>
  <c r="W226" i="5"/>
  <c r="W227" i="5"/>
  <c r="W228" i="5"/>
  <c r="W229" i="5"/>
  <c r="W230" i="5"/>
  <c r="W231" i="5"/>
  <c r="W232" i="5"/>
  <c r="W233" i="5"/>
  <c r="W234" i="5"/>
  <c r="W235" i="5"/>
  <c r="W236" i="5"/>
  <c r="W237" i="5"/>
  <c r="W238" i="5"/>
  <c r="W239" i="5"/>
  <c r="W240" i="5"/>
  <c r="W241" i="5"/>
  <c r="W242" i="5"/>
  <c r="W243" i="5"/>
  <c r="W244" i="5"/>
  <c r="W219" i="5"/>
  <c r="W197" i="5"/>
  <c r="W198" i="5"/>
  <c r="W199" i="5"/>
  <c r="W200" i="5"/>
  <c r="W201" i="5"/>
  <c r="W202" i="5"/>
  <c r="W203" i="5"/>
  <c r="W204" i="5"/>
  <c r="W205" i="5"/>
  <c r="W206" i="5"/>
  <c r="W207" i="5"/>
  <c r="W208" i="5"/>
  <c r="W209" i="5"/>
  <c r="W210" i="5"/>
  <c r="W211" i="5"/>
  <c r="W212" i="5"/>
  <c r="W213" i="5"/>
  <c r="W214" i="5"/>
  <c r="W215" i="5"/>
  <c r="W196" i="5"/>
  <c r="W183" i="5"/>
  <c r="W184" i="5"/>
  <c r="W185" i="5"/>
  <c r="W186" i="5"/>
  <c r="W187" i="5"/>
  <c r="W188" i="5"/>
  <c r="W189" i="5"/>
  <c r="W190" i="5"/>
  <c r="W191" i="5"/>
  <c r="W192" i="5"/>
  <c r="W182" i="5"/>
  <c r="W169" i="5"/>
  <c r="W170" i="5"/>
  <c r="W171" i="5"/>
  <c r="W172" i="5"/>
  <c r="W173" i="5"/>
  <c r="W174" i="5"/>
  <c r="W175" i="5"/>
  <c r="W176" i="5"/>
  <c r="W177" i="5"/>
  <c r="W178" i="5"/>
  <c r="W168" i="5"/>
  <c r="W141" i="5"/>
  <c r="W142" i="5"/>
  <c r="W143" i="5"/>
  <c r="W144" i="5"/>
  <c r="W145" i="5"/>
  <c r="W146" i="5"/>
  <c r="W147" i="5"/>
  <c r="W148" i="5"/>
  <c r="W149" i="5"/>
  <c r="W150" i="5"/>
  <c r="W140" i="5"/>
  <c r="W127" i="5"/>
  <c r="W128" i="5"/>
  <c r="W129" i="5"/>
  <c r="W130" i="5"/>
  <c r="W131" i="5"/>
  <c r="W132" i="5"/>
  <c r="W133" i="5"/>
  <c r="W134" i="5"/>
  <c r="W135" i="5"/>
  <c r="W136" i="5"/>
  <c r="W126" i="5"/>
  <c r="W50" i="5"/>
  <c r="X244" i="5"/>
  <c r="V244" i="5"/>
  <c r="U244" i="5"/>
  <c r="T244" i="5"/>
  <c r="X243" i="5"/>
  <c r="V243" i="5"/>
  <c r="U243" i="5"/>
  <c r="T243" i="5"/>
  <c r="X242" i="5"/>
  <c r="V242" i="5"/>
  <c r="U242" i="5"/>
  <c r="T242" i="5"/>
  <c r="X241" i="5"/>
  <c r="V241" i="5"/>
  <c r="U241" i="5"/>
  <c r="T241" i="5"/>
  <c r="X240" i="5"/>
  <c r="V240" i="5"/>
  <c r="U240" i="5"/>
  <c r="T240" i="5"/>
  <c r="X239" i="5"/>
  <c r="V239" i="5"/>
  <c r="U239" i="5"/>
  <c r="T239" i="5"/>
  <c r="X238" i="5"/>
  <c r="V238" i="5"/>
  <c r="U238" i="5"/>
  <c r="T238" i="5"/>
  <c r="X237" i="5"/>
  <c r="V237" i="5"/>
  <c r="U237" i="5"/>
  <c r="T237" i="5"/>
  <c r="X236" i="5"/>
  <c r="V236" i="5"/>
  <c r="U236" i="5"/>
  <c r="T236" i="5"/>
  <c r="X235" i="5"/>
  <c r="V235" i="5"/>
  <c r="U235" i="5"/>
  <c r="T235" i="5"/>
  <c r="X234" i="5"/>
  <c r="V234" i="5"/>
  <c r="U234" i="5"/>
  <c r="T234" i="5"/>
  <c r="X233" i="5"/>
  <c r="V233" i="5"/>
  <c r="U233" i="5"/>
  <c r="T233" i="5"/>
  <c r="X232" i="5"/>
  <c r="V232" i="5"/>
  <c r="U232" i="5"/>
  <c r="T232" i="5"/>
  <c r="X231" i="5"/>
  <c r="V231" i="5"/>
  <c r="U231" i="5"/>
  <c r="T231" i="5"/>
  <c r="X230" i="5"/>
  <c r="V230" i="5"/>
  <c r="U230" i="5"/>
  <c r="T230" i="5"/>
  <c r="X229" i="5"/>
  <c r="V229" i="5"/>
  <c r="U229" i="5"/>
  <c r="T229" i="5"/>
  <c r="X228" i="5"/>
  <c r="V228" i="5"/>
  <c r="U228" i="5"/>
  <c r="T228" i="5"/>
  <c r="X227" i="5"/>
  <c r="V227" i="5"/>
  <c r="U227" i="5"/>
  <c r="T227" i="5"/>
  <c r="X226" i="5"/>
  <c r="V226" i="5"/>
  <c r="U226" i="5"/>
  <c r="T226" i="5"/>
  <c r="X225" i="5"/>
  <c r="V225" i="5"/>
  <c r="U225" i="5"/>
  <c r="T225" i="5"/>
  <c r="X224" i="5"/>
  <c r="V224" i="5"/>
  <c r="U224" i="5"/>
  <c r="T224" i="5"/>
  <c r="X223" i="5"/>
  <c r="V223" i="5"/>
  <c r="U223" i="5"/>
  <c r="T223" i="5"/>
  <c r="X222" i="5"/>
  <c r="V222" i="5"/>
  <c r="U222" i="5"/>
  <c r="T222" i="5"/>
  <c r="X221" i="5"/>
  <c r="V221" i="5"/>
  <c r="U221" i="5"/>
  <c r="T221" i="5"/>
  <c r="X220" i="5"/>
  <c r="V220" i="5"/>
  <c r="U220" i="5"/>
  <c r="T220" i="5"/>
  <c r="X219" i="5"/>
  <c r="V219" i="5"/>
  <c r="U219" i="5"/>
  <c r="T219" i="5"/>
  <c r="X215" i="5"/>
  <c r="V215" i="5"/>
  <c r="U215" i="5"/>
  <c r="T215" i="5"/>
  <c r="X214" i="5"/>
  <c r="V214" i="5"/>
  <c r="U214" i="5"/>
  <c r="T214" i="5"/>
  <c r="X213" i="5"/>
  <c r="V213" i="5"/>
  <c r="U213" i="5"/>
  <c r="T213" i="5"/>
  <c r="X212" i="5"/>
  <c r="V212" i="5"/>
  <c r="U212" i="5"/>
  <c r="T212" i="5"/>
  <c r="X211" i="5"/>
  <c r="V211" i="5"/>
  <c r="U211" i="5"/>
  <c r="T211" i="5"/>
  <c r="X210" i="5"/>
  <c r="V210" i="5"/>
  <c r="U210" i="5"/>
  <c r="T210" i="5"/>
  <c r="X209" i="5"/>
  <c r="V209" i="5"/>
  <c r="U209" i="5"/>
  <c r="T209" i="5"/>
  <c r="X208" i="5"/>
  <c r="V208" i="5"/>
  <c r="U208" i="5"/>
  <c r="T208" i="5"/>
  <c r="X207" i="5"/>
  <c r="V207" i="5"/>
  <c r="U207" i="5"/>
  <c r="T207" i="5"/>
  <c r="X206" i="5"/>
  <c r="V206" i="5"/>
  <c r="U206" i="5"/>
  <c r="T206" i="5"/>
  <c r="X205" i="5"/>
  <c r="V205" i="5"/>
  <c r="U205" i="5"/>
  <c r="T205" i="5"/>
  <c r="X204" i="5"/>
  <c r="V204" i="5"/>
  <c r="U204" i="5"/>
  <c r="T204" i="5"/>
  <c r="X203" i="5"/>
  <c r="V203" i="5"/>
  <c r="U203" i="5"/>
  <c r="T203" i="5"/>
  <c r="X202" i="5"/>
  <c r="V202" i="5"/>
  <c r="U202" i="5"/>
  <c r="T202" i="5"/>
  <c r="X201" i="5"/>
  <c r="V201" i="5"/>
  <c r="U201" i="5"/>
  <c r="T201" i="5"/>
  <c r="X200" i="5"/>
  <c r="V200" i="5"/>
  <c r="U200" i="5"/>
  <c r="T200" i="5"/>
  <c r="X199" i="5"/>
  <c r="V199" i="5"/>
  <c r="U199" i="5"/>
  <c r="T199" i="5"/>
  <c r="X198" i="5"/>
  <c r="V198" i="5"/>
  <c r="U198" i="5"/>
  <c r="T198" i="5"/>
  <c r="X197" i="5"/>
  <c r="V197" i="5"/>
  <c r="U197" i="5"/>
  <c r="T197" i="5"/>
  <c r="X196" i="5"/>
  <c r="V196" i="5"/>
  <c r="U196" i="5"/>
  <c r="T196" i="5"/>
  <c r="X192" i="5"/>
  <c r="V192" i="5"/>
  <c r="U192" i="5"/>
  <c r="T192" i="5"/>
  <c r="X191" i="5"/>
  <c r="V191" i="5"/>
  <c r="U191" i="5"/>
  <c r="T191" i="5"/>
  <c r="X190" i="5"/>
  <c r="V190" i="5"/>
  <c r="U190" i="5"/>
  <c r="T190" i="5"/>
  <c r="X189" i="5"/>
  <c r="V189" i="5"/>
  <c r="U189" i="5"/>
  <c r="T189" i="5"/>
  <c r="X188" i="5"/>
  <c r="V188" i="5"/>
  <c r="U188" i="5"/>
  <c r="T188" i="5"/>
  <c r="X187" i="5"/>
  <c r="V187" i="5"/>
  <c r="U187" i="5"/>
  <c r="T187" i="5"/>
  <c r="X186" i="5"/>
  <c r="V186" i="5"/>
  <c r="U186" i="5"/>
  <c r="T186" i="5"/>
  <c r="X185" i="5"/>
  <c r="V185" i="5"/>
  <c r="U185" i="5"/>
  <c r="T185" i="5"/>
  <c r="X184" i="5"/>
  <c r="V184" i="5"/>
  <c r="U184" i="5"/>
  <c r="T184" i="5"/>
  <c r="X183" i="5"/>
  <c r="V183" i="5"/>
  <c r="U183" i="5"/>
  <c r="T183" i="5"/>
  <c r="X182" i="5"/>
  <c r="V182" i="5"/>
  <c r="U182" i="5"/>
  <c r="T182" i="5"/>
  <c r="X178" i="5"/>
  <c r="V178" i="5"/>
  <c r="U178" i="5"/>
  <c r="T178" i="5"/>
  <c r="X177" i="5"/>
  <c r="V177" i="5"/>
  <c r="U177" i="5"/>
  <c r="T177" i="5"/>
  <c r="X176" i="5"/>
  <c r="V176" i="5"/>
  <c r="U176" i="5"/>
  <c r="T176" i="5"/>
  <c r="X175" i="5"/>
  <c r="V175" i="5"/>
  <c r="U175" i="5"/>
  <c r="T175" i="5"/>
  <c r="X174" i="5"/>
  <c r="V174" i="5"/>
  <c r="U174" i="5"/>
  <c r="T174" i="5"/>
  <c r="X173" i="5"/>
  <c r="V173" i="5"/>
  <c r="U173" i="5"/>
  <c r="T173" i="5"/>
  <c r="X172" i="5"/>
  <c r="V172" i="5"/>
  <c r="U172" i="5"/>
  <c r="T172" i="5"/>
  <c r="X171" i="5"/>
  <c r="V171" i="5"/>
  <c r="U171" i="5"/>
  <c r="T171" i="5"/>
  <c r="X170" i="5"/>
  <c r="V170" i="5"/>
  <c r="U170" i="5"/>
  <c r="T170" i="5"/>
  <c r="X169" i="5"/>
  <c r="V169" i="5"/>
  <c r="U169" i="5"/>
  <c r="T169" i="5"/>
  <c r="X168" i="5"/>
  <c r="V168" i="5"/>
  <c r="U168" i="5"/>
  <c r="T168" i="5"/>
  <c r="X164" i="5"/>
  <c r="W164" i="5"/>
  <c r="V164" i="5"/>
  <c r="U164" i="5"/>
  <c r="T164" i="5"/>
  <c r="X163" i="5"/>
  <c r="W163" i="5"/>
  <c r="V163" i="5"/>
  <c r="U163" i="5"/>
  <c r="T163" i="5"/>
  <c r="X162" i="5"/>
  <c r="W162" i="5"/>
  <c r="V162" i="5"/>
  <c r="U162" i="5"/>
  <c r="T162" i="5"/>
  <c r="X161" i="5"/>
  <c r="W161" i="5"/>
  <c r="V161" i="5"/>
  <c r="U161" i="5"/>
  <c r="T161" i="5"/>
  <c r="X160" i="5"/>
  <c r="W160" i="5"/>
  <c r="V160" i="5"/>
  <c r="U160" i="5"/>
  <c r="T160" i="5"/>
  <c r="X159" i="5"/>
  <c r="W159" i="5"/>
  <c r="V159" i="5"/>
  <c r="U159" i="5"/>
  <c r="T159" i="5"/>
  <c r="X158" i="5"/>
  <c r="W158" i="5"/>
  <c r="V158" i="5"/>
  <c r="U158" i="5"/>
  <c r="T158" i="5"/>
  <c r="X157" i="5"/>
  <c r="W157" i="5"/>
  <c r="V157" i="5"/>
  <c r="U157" i="5"/>
  <c r="T157" i="5"/>
  <c r="X156" i="5"/>
  <c r="W156" i="5"/>
  <c r="V156" i="5"/>
  <c r="U156" i="5"/>
  <c r="T156" i="5"/>
  <c r="X155" i="5"/>
  <c r="W155" i="5"/>
  <c r="V155" i="5"/>
  <c r="U155" i="5"/>
  <c r="T155" i="5"/>
  <c r="X154" i="5"/>
  <c r="W154" i="5"/>
  <c r="V154" i="5"/>
  <c r="U154" i="5"/>
  <c r="T154" i="5"/>
  <c r="X150" i="5"/>
  <c r="V150" i="5"/>
  <c r="U150" i="5"/>
  <c r="T150" i="5"/>
  <c r="X149" i="5"/>
  <c r="V149" i="5"/>
  <c r="U149" i="5"/>
  <c r="T149" i="5"/>
  <c r="X148" i="5"/>
  <c r="V148" i="5"/>
  <c r="U148" i="5"/>
  <c r="T148" i="5"/>
  <c r="X147" i="5"/>
  <c r="V147" i="5"/>
  <c r="U147" i="5"/>
  <c r="T147" i="5"/>
  <c r="X146" i="5"/>
  <c r="V146" i="5"/>
  <c r="U146" i="5"/>
  <c r="T146" i="5"/>
  <c r="X145" i="5"/>
  <c r="V145" i="5"/>
  <c r="U145" i="5"/>
  <c r="T145" i="5"/>
  <c r="X144" i="5"/>
  <c r="V144" i="5"/>
  <c r="U144" i="5"/>
  <c r="T144" i="5"/>
  <c r="X143" i="5"/>
  <c r="V143" i="5"/>
  <c r="U143" i="5"/>
  <c r="T143" i="5"/>
  <c r="X142" i="5"/>
  <c r="V142" i="5"/>
  <c r="U142" i="5"/>
  <c r="T142" i="5"/>
  <c r="X141" i="5"/>
  <c r="V141" i="5"/>
  <c r="U141" i="5"/>
  <c r="T141" i="5"/>
  <c r="X140" i="5"/>
  <c r="V140" i="5"/>
  <c r="U140" i="5"/>
  <c r="T140" i="5"/>
  <c r="X136" i="5"/>
  <c r="V136" i="5"/>
  <c r="U136" i="5"/>
  <c r="T136" i="5"/>
  <c r="X135" i="5"/>
  <c r="V135" i="5"/>
  <c r="U135" i="5"/>
  <c r="T135" i="5"/>
  <c r="X134" i="5"/>
  <c r="V134" i="5"/>
  <c r="U134" i="5"/>
  <c r="T134" i="5"/>
  <c r="X133" i="5"/>
  <c r="V133" i="5"/>
  <c r="U133" i="5"/>
  <c r="T133" i="5"/>
  <c r="X132" i="5"/>
  <c r="V132" i="5"/>
  <c r="U132" i="5"/>
  <c r="T132" i="5"/>
  <c r="X131" i="5"/>
  <c r="V131" i="5"/>
  <c r="U131" i="5"/>
  <c r="T131" i="5"/>
  <c r="X130" i="5"/>
  <c r="V130" i="5"/>
  <c r="U130" i="5"/>
  <c r="T130" i="5"/>
  <c r="X129" i="5"/>
  <c r="V129" i="5"/>
  <c r="U129" i="5"/>
  <c r="T129" i="5"/>
  <c r="X128" i="5"/>
  <c r="V128" i="5"/>
  <c r="U128" i="5"/>
  <c r="T128" i="5"/>
  <c r="X127" i="5"/>
  <c r="V127" i="5"/>
  <c r="U127" i="5"/>
  <c r="T127" i="5"/>
  <c r="X126" i="5"/>
  <c r="V126" i="5"/>
  <c r="U126" i="5"/>
  <c r="T126" i="5"/>
  <c r="X122" i="5"/>
  <c r="W122" i="5"/>
  <c r="V122" i="5"/>
  <c r="U122" i="5"/>
  <c r="T122" i="5"/>
  <c r="X121" i="5"/>
  <c r="W121" i="5"/>
  <c r="V121" i="5"/>
  <c r="U121" i="5"/>
  <c r="T121" i="5"/>
  <c r="X120" i="5"/>
  <c r="W120" i="5"/>
  <c r="V120" i="5"/>
  <c r="U120" i="5"/>
  <c r="T120" i="5"/>
  <c r="X119" i="5"/>
  <c r="W119" i="5"/>
  <c r="V119" i="5"/>
  <c r="U119" i="5"/>
  <c r="T119" i="5"/>
  <c r="X118" i="5"/>
  <c r="W118" i="5"/>
  <c r="V118" i="5"/>
  <c r="U118" i="5"/>
  <c r="T118" i="5"/>
  <c r="X117" i="5"/>
  <c r="W117" i="5"/>
  <c r="V117" i="5"/>
  <c r="U117" i="5"/>
  <c r="T117" i="5"/>
  <c r="X116" i="5"/>
  <c r="W116" i="5"/>
  <c r="V116" i="5"/>
  <c r="U116" i="5"/>
  <c r="T116" i="5"/>
  <c r="X115" i="5"/>
  <c r="W115" i="5"/>
  <c r="V115" i="5"/>
  <c r="U115" i="5"/>
  <c r="T115" i="5"/>
  <c r="X114" i="5"/>
  <c r="W114" i="5"/>
  <c r="V114" i="5"/>
  <c r="U114" i="5"/>
  <c r="T114" i="5"/>
  <c r="X113" i="5"/>
  <c r="W113" i="5"/>
  <c r="V113" i="5"/>
  <c r="U113" i="5"/>
  <c r="T113" i="5"/>
  <c r="X112" i="5"/>
  <c r="W112" i="5"/>
  <c r="V112" i="5"/>
  <c r="U112" i="5"/>
  <c r="T112" i="5"/>
  <c r="X108" i="5"/>
  <c r="W108" i="5"/>
  <c r="V108" i="5"/>
  <c r="U108" i="5"/>
  <c r="T108" i="5"/>
  <c r="X107" i="5"/>
  <c r="W107" i="5"/>
  <c r="V107" i="5"/>
  <c r="U107" i="5"/>
  <c r="T107" i="5"/>
  <c r="X106" i="5"/>
  <c r="W106" i="5"/>
  <c r="V106" i="5"/>
  <c r="U106" i="5"/>
  <c r="T106" i="5"/>
  <c r="X105" i="5"/>
  <c r="W105" i="5"/>
  <c r="V105" i="5"/>
  <c r="U105" i="5"/>
  <c r="T105" i="5"/>
  <c r="X104" i="5"/>
  <c r="W104" i="5"/>
  <c r="V104" i="5"/>
  <c r="U104" i="5"/>
  <c r="T104" i="5"/>
  <c r="X103" i="5"/>
  <c r="W103" i="5"/>
  <c r="V103" i="5"/>
  <c r="U103" i="5"/>
  <c r="T103" i="5"/>
  <c r="X102" i="5"/>
  <c r="W102" i="5"/>
  <c r="V102" i="5"/>
  <c r="U102" i="5"/>
  <c r="T102" i="5"/>
  <c r="X101" i="5"/>
  <c r="W101" i="5"/>
  <c r="V101" i="5"/>
  <c r="U101" i="5"/>
  <c r="T101" i="5"/>
  <c r="X100" i="5"/>
  <c r="W100" i="5"/>
  <c r="V100" i="5"/>
  <c r="U100" i="5"/>
  <c r="T100" i="5"/>
  <c r="X99" i="5"/>
  <c r="W99" i="5"/>
  <c r="V99" i="5"/>
  <c r="U99" i="5"/>
  <c r="T99" i="5"/>
  <c r="X98" i="5"/>
  <c r="W98" i="5"/>
  <c r="V98" i="5"/>
  <c r="U98" i="5"/>
  <c r="T98" i="5"/>
  <c r="X97" i="5"/>
  <c r="W97" i="5"/>
  <c r="V97" i="5"/>
  <c r="U97" i="5"/>
  <c r="T97" i="5"/>
  <c r="X96" i="5"/>
  <c r="W96" i="5"/>
  <c r="V96" i="5"/>
  <c r="U96" i="5"/>
  <c r="T96" i="5"/>
  <c r="X95" i="5"/>
  <c r="W95" i="5"/>
  <c r="V95" i="5"/>
  <c r="T95" i="5"/>
  <c r="X94" i="5"/>
  <c r="W94" i="5"/>
  <c r="V94" i="5"/>
  <c r="U94" i="5"/>
  <c r="T94" i="5"/>
  <c r="X93" i="5"/>
  <c r="W93" i="5"/>
  <c r="V93" i="5"/>
  <c r="U93" i="5"/>
  <c r="T93" i="5"/>
  <c r="X92" i="5"/>
  <c r="W92" i="5"/>
  <c r="V92" i="5"/>
  <c r="U92" i="5"/>
  <c r="T92" i="5"/>
  <c r="X91" i="5"/>
  <c r="W91" i="5"/>
  <c r="V91" i="5"/>
  <c r="U91" i="5"/>
  <c r="T91" i="5"/>
  <c r="X90" i="5"/>
  <c r="W90" i="5"/>
  <c r="V90" i="5"/>
  <c r="U90" i="5"/>
  <c r="T90" i="5"/>
  <c r="X86" i="5"/>
  <c r="W86" i="5"/>
  <c r="V86" i="5"/>
  <c r="U86" i="5"/>
  <c r="T86" i="5"/>
  <c r="X85" i="5"/>
  <c r="W85" i="5"/>
  <c r="V85" i="5"/>
  <c r="U85" i="5"/>
  <c r="T85" i="5"/>
  <c r="X84" i="5"/>
  <c r="W84" i="5"/>
  <c r="V84" i="5"/>
  <c r="U84" i="5"/>
  <c r="T84" i="5"/>
  <c r="X83" i="5"/>
  <c r="W83" i="5"/>
  <c r="V83" i="5"/>
  <c r="U83" i="5"/>
  <c r="T83" i="5"/>
  <c r="X82" i="5"/>
  <c r="W82" i="5"/>
  <c r="V82" i="5"/>
  <c r="U82" i="5"/>
  <c r="T82" i="5"/>
  <c r="X81" i="5"/>
  <c r="W81" i="5"/>
  <c r="V81" i="5"/>
  <c r="U81" i="5"/>
  <c r="T81" i="5"/>
  <c r="X76" i="5"/>
  <c r="W76" i="5"/>
  <c r="V76" i="5"/>
  <c r="U76" i="5"/>
  <c r="T76" i="5"/>
  <c r="X75" i="5"/>
  <c r="W75" i="5"/>
  <c r="V75" i="5"/>
  <c r="U75" i="5"/>
  <c r="T75" i="5"/>
  <c r="X74" i="5"/>
  <c r="W74" i="5"/>
  <c r="V74" i="5"/>
  <c r="U74" i="5"/>
  <c r="T74" i="5"/>
  <c r="X73" i="5"/>
  <c r="W73" i="5"/>
  <c r="V73" i="5"/>
  <c r="U73" i="5"/>
  <c r="T73" i="5"/>
  <c r="X72" i="5"/>
  <c r="W72" i="5"/>
  <c r="V72" i="5"/>
  <c r="U72" i="5"/>
  <c r="T72" i="5"/>
  <c r="X71" i="5"/>
  <c r="W71" i="5"/>
  <c r="V71" i="5"/>
  <c r="U71" i="5"/>
  <c r="T71" i="5"/>
  <c r="X70" i="5"/>
  <c r="W70" i="5"/>
  <c r="V70" i="5"/>
  <c r="U70" i="5"/>
  <c r="T70" i="5"/>
  <c r="X69" i="5"/>
  <c r="W69" i="5"/>
  <c r="V69" i="5"/>
  <c r="U69" i="5"/>
  <c r="T69" i="5"/>
  <c r="X68" i="5"/>
  <c r="W68" i="5"/>
  <c r="V68" i="5"/>
  <c r="U68" i="5"/>
  <c r="T68" i="5"/>
  <c r="X67" i="5"/>
  <c r="W67" i="5"/>
  <c r="V67" i="5"/>
  <c r="U67" i="5"/>
  <c r="T67" i="5"/>
  <c r="X66" i="5"/>
  <c r="W66" i="5"/>
  <c r="V66" i="5"/>
  <c r="U66" i="5"/>
  <c r="T66" i="5"/>
  <c r="X65" i="5"/>
  <c r="W65" i="5"/>
  <c r="V65" i="5"/>
  <c r="U65" i="5"/>
  <c r="T65" i="5"/>
  <c r="X64" i="5"/>
  <c r="W64" i="5"/>
  <c r="V64" i="5"/>
  <c r="U64" i="5"/>
  <c r="T64" i="5"/>
  <c r="X63" i="5"/>
  <c r="W63" i="5"/>
  <c r="V63" i="5"/>
  <c r="U63" i="5"/>
  <c r="T63" i="5"/>
  <c r="X62" i="5"/>
  <c r="W62" i="5"/>
  <c r="V62" i="5"/>
  <c r="U62" i="5"/>
  <c r="T62" i="5"/>
  <c r="X61" i="5"/>
  <c r="W61" i="5"/>
  <c r="V61" i="5"/>
  <c r="U61" i="5"/>
  <c r="T61" i="5"/>
  <c r="X60" i="5"/>
  <c r="W60" i="5"/>
  <c r="V60" i="5"/>
  <c r="U60" i="5"/>
  <c r="T60" i="5"/>
  <c r="X59" i="5"/>
  <c r="W59" i="5"/>
  <c r="V59" i="5"/>
  <c r="U59" i="5"/>
  <c r="T59" i="5"/>
  <c r="X58" i="5"/>
  <c r="W58" i="5"/>
  <c r="V58" i="5"/>
  <c r="U58" i="5"/>
  <c r="T58" i="5"/>
  <c r="X57" i="5"/>
  <c r="W57" i="5"/>
  <c r="V57" i="5"/>
  <c r="U57" i="5"/>
  <c r="X56" i="5"/>
  <c r="W56" i="5"/>
  <c r="V56" i="5"/>
  <c r="U56" i="5"/>
  <c r="X55" i="5"/>
  <c r="W55" i="5"/>
  <c r="V55" i="5"/>
  <c r="U55" i="5"/>
  <c r="T55" i="5"/>
  <c r="X54" i="5"/>
  <c r="W54" i="5"/>
  <c r="V54" i="5"/>
  <c r="U54" i="5"/>
  <c r="T54" i="5"/>
  <c r="X50" i="5"/>
  <c r="V50" i="5"/>
  <c r="U50" i="5"/>
  <c r="T50" i="5"/>
  <c r="X49" i="5"/>
  <c r="W49" i="5"/>
  <c r="V49" i="5"/>
  <c r="U49" i="5"/>
  <c r="T49" i="5"/>
  <c r="X48" i="5"/>
  <c r="W48" i="5"/>
  <c r="V48" i="5"/>
  <c r="U48" i="5"/>
  <c r="T48" i="5"/>
  <c r="X47" i="5"/>
  <c r="W47" i="5"/>
  <c r="V47" i="5"/>
  <c r="U47" i="5"/>
  <c r="T47" i="5"/>
  <c r="X46" i="5"/>
  <c r="W46" i="5"/>
  <c r="V46" i="5"/>
  <c r="U46" i="5"/>
  <c r="T46" i="5"/>
  <c r="X45" i="5"/>
  <c r="W45" i="5"/>
  <c r="V45" i="5"/>
  <c r="U45" i="5"/>
  <c r="T45" i="5"/>
  <c r="X44" i="5"/>
  <c r="W44" i="5"/>
  <c r="V44" i="5"/>
  <c r="U44" i="5"/>
  <c r="T44" i="5"/>
  <c r="X43" i="5"/>
  <c r="W43" i="5"/>
  <c r="V43" i="5"/>
  <c r="U43" i="5"/>
  <c r="T43" i="5"/>
  <c r="X42" i="5"/>
  <c r="W42" i="5"/>
  <c r="V42" i="5"/>
  <c r="U42" i="5"/>
  <c r="T42" i="5"/>
  <c r="X41" i="5"/>
  <c r="W41" i="5"/>
  <c r="V41" i="5"/>
  <c r="U41" i="5"/>
  <c r="T41" i="5"/>
  <c r="X40" i="5"/>
  <c r="W40" i="5"/>
  <c r="V40" i="5"/>
  <c r="U40" i="5"/>
  <c r="T40" i="5"/>
  <c r="X28" i="5"/>
  <c r="W28" i="5"/>
  <c r="V28" i="5"/>
  <c r="U28" i="5"/>
  <c r="T28" i="5"/>
  <c r="X27" i="5"/>
  <c r="W27" i="5"/>
  <c r="V27" i="5"/>
  <c r="U27" i="5"/>
  <c r="T27" i="5"/>
  <c r="X26" i="5"/>
  <c r="W26" i="5"/>
  <c r="V26" i="5"/>
  <c r="U26" i="5"/>
  <c r="T26" i="5"/>
  <c r="X25" i="5"/>
  <c r="W25" i="5"/>
  <c r="V25" i="5"/>
  <c r="U25" i="5"/>
  <c r="T25" i="5"/>
  <c r="X24" i="5"/>
  <c r="W24" i="5"/>
  <c r="V24" i="5"/>
  <c r="U24" i="5"/>
  <c r="T24" i="5"/>
  <c r="X19" i="5"/>
  <c r="W19" i="5"/>
  <c r="V19" i="5"/>
  <c r="U19" i="5"/>
  <c r="T19" i="5"/>
  <c r="X18" i="5"/>
  <c r="W18" i="5"/>
  <c r="V18" i="5"/>
  <c r="U18" i="5"/>
  <c r="T18" i="5"/>
  <c r="X17" i="5"/>
  <c r="W17" i="5"/>
  <c r="V17" i="5"/>
  <c r="U17" i="5"/>
  <c r="T17" i="5"/>
  <c r="X16" i="5"/>
  <c r="W16" i="5"/>
  <c r="V16" i="5"/>
  <c r="U16" i="5"/>
  <c r="T16" i="5"/>
  <c r="X15" i="5"/>
  <c r="W15" i="5"/>
  <c r="V15" i="5"/>
  <c r="U15" i="5"/>
  <c r="T15" i="5"/>
  <c r="X14" i="5"/>
  <c r="W14" i="5"/>
  <c r="V14" i="5"/>
  <c r="U14" i="5"/>
  <c r="X13" i="5"/>
  <c r="W13" i="5"/>
  <c r="V13" i="5"/>
  <c r="U13" i="5"/>
  <c r="T13" i="5"/>
  <c r="V134" i="3"/>
  <c r="U134" i="3"/>
  <c r="T134" i="3"/>
  <c r="V105" i="3"/>
  <c r="U105" i="3"/>
  <c r="T105" i="3"/>
  <c r="V84" i="3"/>
  <c r="U84" i="3"/>
  <c r="T84" i="3"/>
  <c r="V73" i="3"/>
  <c r="U73" i="3"/>
  <c r="T73" i="3"/>
  <c r="X130" i="3"/>
  <c r="X131" i="3"/>
  <c r="X132" i="3"/>
  <c r="X133" i="3"/>
  <c r="X134" i="3"/>
  <c r="X90" i="3"/>
  <c r="X91" i="3"/>
  <c r="X92" i="3"/>
  <c r="X93" i="3"/>
  <c r="X94" i="3"/>
  <c r="X95" i="3"/>
  <c r="X96" i="3"/>
  <c r="X97" i="3"/>
  <c r="X98" i="3"/>
  <c r="X99" i="3"/>
  <c r="X100" i="3"/>
  <c r="X101" i="3"/>
  <c r="X102" i="3"/>
  <c r="X103" i="3"/>
  <c r="X104" i="3"/>
  <c r="X105" i="3"/>
  <c r="X78" i="3"/>
  <c r="X79" i="3"/>
  <c r="X80" i="3"/>
  <c r="X81" i="3"/>
  <c r="X82" i="3"/>
  <c r="X83" i="3"/>
  <c r="X84" i="3"/>
  <c r="X71" i="3"/>
  <c r="X72" i="3"/>
  <c r="X73" i="3"/>
  <c r="X46" i="3"/>
  <c r="X47" i="3"/>
  <c r="X48" i="3"/>
  <c r="X49" i="3"/>
  <c r="X50" i="3"/>
  <c r="X51" i="3"/>
  <c r="X52" i="3"/>
  <c r="X53" i="3"/>
  <c r="X54" i="3"/>
  <c r="X55" i="3"/>
  <c r="X56" i="3"/>
  <c r="X57" i="3"/>
  <c r="X58" i="3"/>
  <c r="X59" i="3"/>
  <c r="X60" i="3"/>
  <c r="X61" i="3"/>
  <c r="X62" i="3"/>
  <c r="X63" i="3"/>
  <c r="X64" i="3"/>
  <c r="X65" i="3"/>
  <c r="X16" i="3"/>
  <c r="X15" i="3"/>
  <c r="X14" i="3"/>
  <c r="X13" i="3"/>
  <c r="T6" i="5"/>
  <c r="U6" i="5"/>
  <c r="V6" i="5"/>
  <c r="W6" i="5"/>
  <c r="X339" i="5"/>
  <c r="X340" i="5"/>
  <c r="X342" i="5"/>
  <c r="X343" i="5"/>
  <c r="X344" i="5"/>
  <c r="X345" i="5"/>
  <c r="X346" i="5"/>
  <c r="X327" i="5"/>
  <c r="X328" i="5"/>
  <c r="X329" i="5"/>
  <c r="X330" i="5"/>
  <c r="X331" i="5"/>
  <c r="X332" i="5"/>
  <c r="X333" i="5"/>
  <c r="X326" i="5"/>
  <c r="X320" i="5"/>
  <c r="X321" i="5"/>
  <c r="X322" i="5"/>
  <c r="X319" i="5"/>
  <c r="X314" i="5"/>
  <c r="X315" i="5"/>
  <c r="X313" i="5"/>
  <c r="X308" i="5"/>
  <c r="X309" i="5"/>
  <c r="X307" i="5"/>
  <c r="X301" i="5"/>
  <c r="X302" i="5"/>
  <c r="X303" i="5"/>
  <c r="X300" i="5"/>
  <c r="X282" i="5"/>
  <c r="X283" i="5"/>
  <c r="X284" i="5"/>
  <c r="X285" i="5"/>
  <c r="X286" i="5"/>
  <c r="X287" i="5"/>
  <c r="X288" i="5"/>
  <c r="X289" i="5"/>
  <c r="X290" i="5"/>
  <c r="X291" i="5"/>
  <c r="X292" i="5"/>
  <c r="X293" i="5"/>
  <c r="X294" i="5"/>
  <c r="X295" i="5"/>
  <c r="X296" i="5"/>
  <c r="X281" i="5"/>
  <c r="X249" i="5"/>
  <c r="X250" i="5"/>
  <c r="X251" i="5"/>
  <c r="X252" i="5"/>
  <c r="X253" i="5"/>
  <c r="X254" i="5"/>
  <c r="X255" i="5"/>
  <c r="X256" i="5"/>
  <c r="X257" i="5"/>
  <c r="X258" i="5"/>
  <c r="X259" i="5"/>
  <c r="X260" i="5"/>
  <c r="X261" i="5"/>
  <c r="X262" i="5"/>
  <c r="X263" i="5"/>
  <c r="X264" i="5"/>
  <c r="X265" i="5"/>
  <c r="X266" i="5"/>
  <c r="X267" i="5"/>
  <c r="X268" i="5"/>
  <c r="X269" i="5"/>
  <c r="X270" i="5"/>
  <c r="X271" i="5"/>
  <c r="X272" i="5"/>
  <c r="X273" i="5"/>
  <c r="X274" i="5"/>
  <c r="X275" i="5"/>
  <c r="X276" i="5"/>
  <c r="X277" i="5"/>
  <c r="X248" i="5"/>
  <c r="X9" i="5"/>
  <c r="X7" i="5"/>
  <c r="X8" i="5"/>
  <c r="X6" i="5"/>
  <c r="X129" i="3"/>
  <c r="X89" i="3"/>
  <c r="X77" i="3"/>
  <c r="X70" i="3"/>
  <c r="X45" i="3"/>
  <c r="X36" i="3"/>
  <c r="X37" i="3"/>
  <c r="X38" i="3"/>
  <c r="X39" i="3"/>
  <c r="X40" i="3"/>
  <c r="X35" i="3"/>
  <c r="X34" i="3"/>
  <c r="X24" i="3"/>
  <c r="X25" i="3"/>
  <c r="X26" i="3"/>
  <c r="X27" i="3"/>
  <c r="X28" i="3"/>
  <c r="X29" i="3"/>
  <c r="X30" i="3"/>
  <c r="X23" i="3"/>
  <c r="X22" i="3"/>
  <c r="X21" i="3"/>
  <c r="X20" i="3"/>
  <c r="X7" i="3"/>
  <c r="X8" i="3"/>
  <c r="X9" i="3"/>
  <c r="X6" i="3"/>
  <c r="W106" i="7"/>
  <c r="W107" i="7"/>
  <c r="W108" i="7"/>
  <c r="W109" i="7"/>
  <c r="W110" i="7"/>
  <c r="W111" i="7"/>
  <c r="W112" i="7"/>
  <c r="W113" i="7"/>
  <c r="W114" i="7"/>
  <c r="W115" i="7"/>
  <c r="W105" i="7"/>
  <c r="W92" i="7"/>
  <c r="W93" i="7"/>
  <c r="W94" i="7"/>
  <c r="W95" i="7"/>
  <c r="W96" i="7"/>
  <c r="W97" i="7"/>
  <c r="W98" i="7"/>
  <c r="W99" i="7"/>
  <c r="W100" i="7"/>
  <c r="W101" i="7"/>
  <c r="W91" i="7"/>
  <c r="W78" i="7"/>
  <c r="W79" i="7"/>
  <c r="W80" i="7"/>
  <c r="W81" i="7"/>
  <c r="W82" i="7"/>
  <c r="W83" i="7"/>
  <c r="W84" i="7"/>
  <c r="W85" i="7"/>
  <c r="W86" i="7"/>
  <c r="W87" i="7"/>
  <c r="W77" i="7"/>
  <c r="W64" i="7"/>
  <c r="W65" i="7"/>
  <c r="W66" i="7"/>
  <c r="W67" i="7"/>
  <c r="W68" i="7"/>
  <c r="W69" i="7"/>
  <c r="W70" i="7"/>
  <c r="W71" i="7"/>
  <c r="W72" i="7"/>
  <c r="W73" i="7"/>
  <c r="W63" i="7"/>
  <c r="V115" i="7"/>
  <c r="U115" i="7"/>
  <c r="T115" i="7"/>
  <c r="V114" i="7"/>
  <c r="U114" i="7"/>
  <c r="T114" i="7"/>
  <c r="V113" i="7"/>
  <c r="U113" i="7"/>
  <c r="V112" i="7"/>
  <c r="U112" i="7"/>
  <c r="T112" i="7"/>
  <c r="V111" i="7"/>
  <c r="U111" i="7"/>
  <c r="T111" i="7"/>
  <c r="V110" i="7"/>
  <c r="U110" i="7"/>
  <c r="T110" i="7"/>
  <c r="V109" i="7"/>
  <c r="U109" i="7"/>
  <c r="T109" i="7"/>
  <c r="V108" i="7"/>
  <c r="U108" i="7"/>
  <c r="T108" i="7"/>
  <c r="V107" i="7"/>
  <c r="U107" i="7"/>
  <c r="T107" i="7"/>
  <c r="V106" i="7"/>
  <c r="U106" i="7"/>
  <c r="T106" i="7"/>
  <c r="V105" i="7"/>
  <c r="U105" i="7"/>
  <c r="T105" i="7"/>
  <c r="V101" i="7"/>
  <c r="U101" i="7"/>
  <c r="T101" i="7"/>
  <c r="V100" i="7"/>
  <c r="U100" i="7"/>
  <c r="T100" i="7"/>
  <c r="V99" i="7"/>
  <c r="U99" i="7"/>
  <c r="T99" i="7"/>
  <c r="V98" i="7"/>
  <c r="U98" i="7"/>
  <c r="T98" i="7"/>
  <c r="V97" i="7"/>
  <c r="U97" i="7"/>
  <c r="T97" i="7"/>
  <c r="V96" i="7"/>
  <c r="U96" i="7"/>
  <c r="T96" i="7"/>
  <c r="V95" i="7"/>
  <c r="U95" i="7"/>
  <c r="T95" i="7"/>
  <c r="V94" i="7"/>
  <c r="U94" i="7"/>
  <c r="T94" i="7"/>
  <c r="V93" i="7"/>
  <c r="U93" i="7"/>
  <c r="T93" i="7"/>
  <c r="V92" i="7"/>
  <c r="U92" i="7"/>
  <c r="T92" i="7"/>
  <c r="V91" i="7"/>
  <c r="U91" i="7"/>
  <c r="T91" i="7"/>
  <c r="W296" i="5"/>
  <c r="V296" i="5"/>
  <c r="U296" i="5"/>
  <c r="T296" i="5"/>
  <c r="W291" i="5"/>
  <c r="V291" i="5"/>
  <c r="U291" i="5"/>
  <c r="T291" i="5"/>
  <c r="W287" i="5"/>
  <c r="V287" i="5"/>
  <c r="U287" i="5"/>
  <c r="T287" i="5"/>
  <c r="W286" i="5"/>
  <c r="V286" i="5"/>
  <c r="U286" i="5"/>
  <c r="T286" i="5"/>
  <c r="W285" i="5"/>
  <c r="V285" i="5"/>
  <c r="U285" i="5"/>
  <c r="T285" i="5"/>
  <c r="W288" i="5"/>
  <c r="V288" i="5"/>
  <c r="U288" i="5"/>
  <c r="T288" i="5"/>
  <c r="W294" i="5"/>
  <c r="V294" i="5"/>
  <c r="U294" i="5"/>
  <c r="T294" i="5"/>
  <c r="W295" i="5"/>
  <c r="U295" i="5"/>
  <c r="T295" i="5"/>
  <c r="W293" i="5"/>
  <c r="V293" i="5"/>
  <c r="U293" i="5"/>
  <c r="T293" i="5"/>
  <c r="W292" i="5"/>
  <c r="V292" i="5"/>
  <c r="U292" i="5"/>
  <c r="T292" i="5"/>
  <c r="W284" i="5"/>
  <c r="V284" i="5"/>
  <c r="U284" i="5"/>
  <c r="T284" i="5"/>
  <c r="W281" i="5"/>
  <c r="V281" i="5"/>
  <c r="U281" i="5"/>
  <c r="T281" i="5"/>
  <c r="W283" i="5"/>
  <c r="V283" i="5"/>
  <c r="U283" i="5"/>
  <c r="T283" i="5"/>
  <c r="W282" i="5"/>
  <c r="V282" i="5"/>
  <c r="U282" i="5"/>
  <c r="T282" i="5"/>
  <c r="W289" i="5"/>
  <c r="V289" i="5"/>
  <c r="U289" i="5"/>
  <c r="T289" i="5"/>
  <c r="W290" i="5"/>
  <c r="V290" i="5"/>
  <c r="U290" i="5"/>
  <c r="T290" i="5"/>
  <c r="S344" i="5"/>
  <c r="W345" i="5" s="1"/>
  <c r="R344" i="5"/>
  <c r="R347" i="5" s="1"/>
  <c r="Q344" i="5"/>
  <c r="Q347" i="5" s="1"/>
  <c r="P344" i="5"/>
  <c r="P347" i="5" s="1"/>
  <c r="O344" i="5"/>
  <c r="O347" i="5" s="1"/>
  <c r="N344" i="5"/>
  <c r="N347" i="5" s="1"/>
  <c r="M344" i="5"/>
  <c r="M347" i="5" s="1"/>
  <c r="L344" i="5"/>
  <c r="L347" i="5" s="1"/>
  <c r="K344" i="5"/>
  <c r="K347" i="5" s="1"/>
  <c r="J344" i="5"/>
  <c r="J347" i="5" s="1"/>
  <c r="I344" i="5"/>
  <c r="I347" i="5" s="1"/>
  <c r="H344" i="5"/>
  <c r="H347" i="5" s="1"/>
  <c r="G344" i="5"/>
  <c r="G347" i="5" s="1"/>
  <c r="F344" i="5"/>
  <c r="F347" i="5" s="1"/>
  <c r="E344" i="5"/>
  <c r="E347" i="5" s="1"/>
  <c r="D344" i="5"/>
  <c r="D347" i="5" s="1"/>
  <c r="C344" i="5"/>
  <c r="C347" i="5" s="1"/>
  <c r="B344" i="5"/>
  <c r="B347" i="5" s="1"/>
  <c r="S341" i="5"/>
  <c r="W342" i="5" s="1"/>
  <c r="R341" i="5"/>
  <c r="Q341" i="5"/>
  <c r="P341" i="5"/>
  <c r="O341" i="5"/>
  <c r="N341" i="5"/>
  <c r="M341" i="5"/>
  <c r="L341" i="5"/>
  <c r="K341" i="5"/>
  <c r="J341" i="5"/>
  <c r="I341" i="5"/>
  <c r="H341" i="5"/>
  <c r="G341" i="5"/>
  <c r="F341" i="5"/>
  <c r="E341" i="5"/>
  <c r="D341" i="5"/>
  <c r="C341" i="5"/>
  <c r="B341" i="5"/>
  <c r="B338" i="5"/>
  <c r="C338" i="5"/>
  <c r="D338" i="5"/>
  <c r="E338" i="5"/>
  <c r="F338" i="5"/>
  <c r="G338" i="5"/>
  <c r="H338" i="5"/>
  <c r="I338" i="5"/>
  <c r="J338" i="5"/>
  <c r="K338" i="5"/>
  <c r="L338" i="5"/>
  <c r="M338" i="5"/>
  <c r="N338" i="5"/>
  <c r="O338" i="5"/>
  <c r="P338" i="5"/>
  <c r="Q338" i="5"/>
  <c r="R338" i="5"/>
  <c r="S338" i="5"/>
  <c r="W338" i="5" s="1"/>
  <c r="T268" i="5"/>
  <c r="U268" i="5"/>
  <c r="V268" i="5"/>
  <c r="W268" i="5"/>
  <c r="T269" i="5"/>
  <c r="U269" i="5"/>
  <c r="V269" i="5"/>
  <c r="W269" i="5"/>
  <c r="T270" i="5"/>
  <c r="U270" i="5"/>
  <c r="V270" i="5"/>
  <c r="W270" i="5"/>
  <c r="T271" i="5"/>
  <c r="U271" i="5"/>
  <c r="V271" i="5"/>
  <c r="W271" i="5"/>
  <c r="T272" i="5"/>
  <c r="U272" i="5"/>
  <c r="V272" i="5"/>
  <c r="W272" i="5"/>
  <c r="T273" i="5"/>
  <c r="U273" i="5"/>
  <c r="V273" i="5"/>
  <c r="W273" i="5"/>
  <c r="T274" i="5"/>
  <c r="U274" i="5"/>
  <c r="V274" i="5"/>
  <c r="W274" i="5"/>
  <c r="T275" i="5"/>
  <c r="U275" i="5"/>
  <c r="V275" i="5"/>
  <c r="W275" i="5"/>
  <c r="T276" i="5"/>
  <c r="U276" i="5"/>
  <c r="V276" i="5"/>
  <c r="W276" i="5"/>
  <c r="T277" i="5"/>
  <c r="U277" i="5"/>
  <c r="V277" i="5"/>
  <c r="W277" i="5"/>
  <c r="W249" i="5"/>
  <c r="W250" i="5"/>
  <c r="W251" i="5"/>
  <c r="W252" i="5"/>
  <c r="W253" i="5"/>
  <c r="W254" i="5"/>
  <c r="W255" i="5"/>
  <c r="W256" i="5"/>
  <c r="W257" i="5"/>
  <c r="W258" i="5"/>
  <c r="W259" i="5"/>
  <c r="W260" i="5"/>
  <c r="W261" i="5"/>
  <c r="W262" i="5"/>
  <c r="W263" i="5"/>
  <c r="W264" i="5"/>
  <c r="W265" i="5"/>
  <c r="W266" i="5"/>
  <c r="W267" i="5"/>
  <c r="W248" i="5"/>
  <c r="W341" i="5" l="1"/>
  <c r="X341" i="5"/>
  <c r="X338" i="5"/>
  <c r="S347" i="5"/>
  <c r="W340" i="5"/>
  <c r="W339" i="5"/>
  <c r="W343" i="5"/>
  <c r="W344" i="5"/>
  <c r="W346" i="5"/>
  <c r="C41" i="9" l="1"/>
  <c r="D41" i="9"/>
  <c r="E41" i="9"/>
  <c r="F41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X41" i="9" s="1"/>
  <c r="B41" i="9"/>
  <c r="S37" i="9"/>
  <c r="X37" i="9" s="1"/>
  <c r="R37" i="9"/>
  <c r="Q37" i="9"/>
  <c r="P37" i="9"/>
  <c r="O37" i="9"/>
  <c r="N37" i="9"/>
  <c r="M37" i="9"/>
  <c r="L37" i="9"/>
  <c r="K37" i="9"/>
  <c r="J37" i="9"/>
  <c r="I37" i="9"/>
  <c r="H37" i="9"/>
  <c r="G37" i="9"/>
  <c r="F37" i="9"/>
  <c r="E37" i="9"/>
  <c r="D37" i="9"/>
  <c r="C37" i="9"/>
  <c r="B37" i="9"/>
  <c r="C33" i="9"/>
  <c r="D33" i="9"/>
  <c r="E33" i="9"/>
  <c r="E43" i="9" s="1"/>
  <c r="F33" i="9"/>
  <c r="F43" i="9" s="1"/>
  <c r="G33" i="9"/>
  <c r="G43" i="9" s="1"/>
  <c r="H33" i="9"/>
  <c r="H43" i="9" s="1"/>
  <c r="I33" i="9"/>
  <c r="J33" i="9"/>
  <c r="K33" i="9"/>
  <c r="K43" i="9" s="1"/>
  <c r="L33" i="9"/>
  <c r="L43" i="9" s="1"/>
  <c r="M33" i="9"/>
  <c r="M43" i="9" s="1"/>
  <c r="N33" i="9"/>
  <c r="N43" i="9" s="1"/>
  <c r="O33" i="9"/>
  <c r="P33" i="9"/>
  <c r="P43" i="9" s="1"/>
  <c r="Q33" i="9"/>
  <c r="Q43" i="9" s="1"/>
  <c r="R33" i="9"/>
  <c r="R43" i="9" s="1"/>
  <c r="S33" i="9"/>
  <c r="B33" i="9"/>
  <c r="B43" i="9" s="1"/>
  <c r="S40" i="7"/>
  <c r="R40" i="7"/>
  <c r="Q40" i="7"/>
  <c r="P40" i="7"/>
  <c r="O40" i="7"/>
  <c r="N40" i="7"/>
  <c r="M40" i="7"/>
  <c r="L40" i="7"/>
  <c r="K40" i="7"/>
  <c r="J40" i="7"/>
  <c r="I40" i="7"/>
  <c r="H40" i="7"/>
  <c r="G40" i="7"/>
  <c r="F40" i="7"/>
  <c r="E40" i="7"/>
  <c r="D40" i="7"/>
  <c r="C40" i="7"/>
  <c r="B40" i="7"/>
  <c r="S37" i="7"/>
  <c r="R37" i="7"/>
  <c r="Q37" i="7"/>
  <c r="P37" i="7"/>
  <c r="O37" i="7"/>
  <c r="U37" i="7" s="1"/>
  <c r="N37" i="7"/>
  <c r="M37" i="7"/>
  <c r="L37" i="7"/>
  <c r="K37" i="7"/>
  <c r="J37" i="7"/>
  <c r="I37" i="7"/>
  <c r="H37" i="7"/>
  <c r="G37" i="7"/>
  <c r="F37" i="7"/>
  <c r="E37" i="7"/>
  <c r="D37" i="7"/>
  <c r="C37" i="7"/>
  <c r="B37" i="7"/>
  <c r="C34" i="7"/>
  <c r="D34" i="7"/>
  <c r="E34" i="7"/>
  <c r="E43" i="7" s="1"/>
  <c r="F34" i="7"/>
  <c r="G34" i="7"/>
  <c r="H34" i="7"/>
  <c r="I34" i="7"/>
  <c r="J34" i="7"/>
  <c r="K34" i="7"/>
  <c r="K43" i="7" s="1"/>
  <c r="L34" i="7"/>
  <c r="M34" i="7"/>
  <c r="N34" i="7"/>
  <c r="O34" i="7"/>
  <c r="P34" i="7"/>
  <c r="Q34" i="7"/>
  <c r="Q43" i="7" s="1"/>
  <c r="R34" i="7"/>
  <c r="S34" i="7"/>
  <c r="B34" i="7"/>
  <c r="W320" i="5"/>
  <c r="W321" i="5"/>
  <c r="W322" i="5"/>
  <c r="W319" i="5"/>
  <c r="W314" i="5"/>
  <c r="W315" i="5"/>
  <c r="W313" i="5"/>
  <c r="W308" i="5"/>
  <c r="W309" i="5"/>
  <c r="W307" i="5"/>
  <c r="C32" i="5"/>
  <c r="D32" i="5"/>
  <c r="E32" i="5"/>
  <c r="F32" i="5"/>
  <c r="G32" i="5"/>
  <c r="H32" i="5"/>
  <c r="I32" i="5"/>
  <c r="J32" i="5"/>
  <c r="K32" i="5"/>
  <c r="L32" i="5"/>
  <c r="M32" i="5"/>
  <c r="N32" i="5"/>
  <c r="N34" i="5" s="1"/>
  <c r="O32" i="5"/>
  <c r="P32" i="5"/>
  <c r="Q32" i="5"/>
  <c r="R32" i="5"/>
  <c r="R34" i="5" s="1"/>
  <c r="S32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B33" i="5"/>
  <c r="B32" i="5"/>
  <c r="W42" i="9"/>
  <c r="V42" i="9"/>
  <c r="W40" i="9"/>
  <c r="V40" i="9"/>
  <c r="U40" i="9"/>
  <c r="T40" i="9"/>
  <c r="W39" i="9"/>
  <c r="V39" i="9"/>
  <c r="U39" i="9"/>
  <c r="T39" i="9"/>
  <c r="W38" i="9"/>
  <c r="V38" i="9"/>
  <c r="U38" i="9"/>
  <c r="T38" i="9"/>
  <c r="V37" i="9"/>
  <c r="W36" i="9"/>
  <c r="V36" i="9"/>
  <c r="U36" i="9"/>
  <c r="T36" i="9"/>
  <c r="W35" i="9"/>
  <c r="V35" i="9"/>
  <c r="U35" i="9"/>
  <c r="T35" i="9"/>
  <c r="W34" i="9"/>
  <c r="V34" i="9"/>
  <c r="U34" i="9"/>
  <c r="T34" i="9"/>
  <c r="T33" i="9"/>
  <c r="W29" i="9"/>
  <c r="V29" i="9"/>
  <c r="U29" i="9"/>
  <c r="T29" i="9"/>
  <c r="W28" i="9"/>
  <c r="V28" i="9"/>
  <c r="U28" i="9"/>
  <c r="T28" i="9"/>
  <c r="W27" i="9"/>
  <c r="V27" i="9"/>
  <c r="U27" i="9"/>
  <c r="T27" i="9"/>
  <c r="W26" i="9"/>
  <c r="V26" i="9"/>
  <c r="U26" i="9"/>
  <c r="T26" i="9"/>
  <c r="W25" i="9"/>
  <c r="V25" i="9"/>
  <c r="U25" i="9"/>
  <c r="T25" i="9"/>
  <c r="W24" i="9"/>
  <c r="V24" i="9"/>
  <c r="U24" i="9"/>
  <c r="T24" i="9"/>
  <c r="W23" i="9"/>
  <c r="V23" i="9"/>
  <c r="U23" i="9"/>
  <c r="T23" i="9"/>
  <c r="W22" i="9"/>
  <c r="V22" i="9"/>
  <c r="U22" i="9"/>
  <c r="T22" i="9"/>
  <c r="W21" i="9"/>
  <c r="V21" i="9"/>
  <c r="U21" i="9"/>
  <c r="W20" i="9"/>
  <c r="V20" i="9"/>
  <c r="U20" i="9"/>
  <c r="W16" i="9"/>
  <c r="V16" i="9"/>
  <c r="U16" i="9"/>
  <c r="T16" i="9"/>
  <c r="W15" i="9"/>
  <c r="V15" i="9"/>
  <c r="U15" i="9"/>
  <c r="T15" i="9"/>
  <c r="W14" i="9"/>
  <c r="V14" i="9"/>
  <c r="U14" i="9"/>
  <c r="T14" i="9"/>
  <c r="W13" i="9"/>
  <c r="V13" i="9"/>
  <c r="U13" i="9"/>
  <c r="T13" i="9"/>
  <c r="W135" i="7"/>
  <c r="V135" i="7"/>
  <c r="U135" i="7"/>
  <c r="T135" i="7"/>
  <c r="W134" i="7"/>
  <c r="V134" i="7"/>
  <c r="T134" i="7"/>
  <c r="W133" i="7"/>
  <c r="T133" i="7"/>
  <c r="W132" i="7"/>
  <c r="V132" i="7"/>
  <c r="U132" i="7"/>
  <c r="T132" i="7"/>
  <c r="W131" i="7"/>
  <c r="V131" i="7"/>
  <c r="U131" i="7"/>
  <c r="T131" i="7"/>
  <c r="W130" i="7"/>
  <c r="V130" i="7"/>
  <c r="U130" i="7"/>
  <c r="T130" i="7"/>
  <c r="W129" i="7"/>
  <c r="V129" i="7"/>
  <c r="U129" i="7"/>
  <c r="T129" i="7"/>
  <c r="W128" i="7"/>
  <c r="V128" i="7"/>
  <c r="U128" i="7"/>
  <c r="T128" i="7"/>
  <c r="W127" i="7"/>
  <c r="V127" i="7"/>
  <c r="U127" i="7"/>
  <c r="T127" i="7"/>
  <c r="W126" i="7"/>
  <c r="T126" i="7"/>
  <c r="W125" i="7"/>
  <c r="V125" i="7"/>
  <c r="U125" i="7"/>
  <c r="T125" i="7"/>
  <c r="W124" i="7"/>
  <c r="V124" i="7"/>
  <c r="U124" i="7"/>
  <c r="T124" i="7"/>
  <c r="W123" i="7"/>
  <c r="V123" i="7"/>
  <c r="U123" i="7"/>
  <c r="T123" i="7"/>
  <c r="W122" i="7"/>
  <c r="V122" i="7"/>
  <c r="U122" i="7"/>
  <c r="T122" i="7"/>
  <c r="W121" i="7"/>
  <c r="V121" i="7"/>
  <c r="U121" i="7"/>
  <c r="T121" i="7"/>
  <c r="W120" i="7"/>
  <c r="V120" i="7"/>
  <c r="U120" i="7"/>
  <c r="T120" i="7"/>
  <c r="W119" i="7"/>
  <c r="V119" i="7"/>
  <c r="U119" i="7"/>
  <c r="T119" i="7"/>
  <c r="V87" i="7"/>
  <c r="U87" i="7"/>
  <c r="T87" i="7"/>
  <c r="V86" i="7"/>
  <c r="U86" i="7"/>
  <c r="T86" i="7"/>
  <c r="V85" i="7"/>
  <c r="U85" i="7"/>
  <c r="T85" i="7"/>
  <c r="V84" i="7"/>
  <c r="U84" i="7"/>
  <c r="T84" i="7"/>
  <c r="V83" i="7"/>
  <c r="U83" i="7"/>
  <c r="T83" i="7"/>
  <c r="V82" i="7"/>
  <c r="U82" i="7"/>
  <c r="T82" i="7"/>
  <c r="V81" i="7"/>
  <c r="U81" i="7"/>
  <c r="T81" i="7"/>
  <c r="V80" i="7"/>
  <c r="U80" i="7"/>
  <c r="T80" i="7"/>
  <c r="V79" i="7"/>
  <c r="U79" i="7"/>
  <c r="T79" i="7"/>
  <c r="V78" i="7"/>
  <c r="U78" i="7"/>
  <c r="T78" i="7"/>
  <c r="V77" i="7"/>
  <c r="U77" i="7"/>
  <c r="T77" i="7"/>
  <c r="V73" i="7"/>
  <c r="U73" i="7"/>
  <c r="T73" i="7"/>
  <c r="V72" i="7"/>
  <c r="U72" i="7"/>
  <c r="T72" i="7"/>
  <c r="V71" i="7"/>
  <c r="U71" i="7"/>
  <c r="T71" i="7"/>
  <c r="V70" i="7"/>
  <c r="U70" i="7"/>
  <c r="T70" i="7"/>
  <c r="V69" i="7"/>
  <c r="U69" i="7"/>
  <c r="T69" i="7"/>
  <c r="V68" i="7"/>
  <c r="U68" i="7"/>
  <c r="T68" i="7"/>
  <c r="V67" i="7"/>
  <c r="U67" i="7"/>
  <c r="T67" i="7"/>
  <c r="V66" i="7"/>
  <c r="U66" i="7"/>
  <c r="T66" i="7"/>
  <c r="V65" i="7"/>
  <c r="U65" i="7"/>
  <c r="T65" i="7"/>
  <c r="V64" i="7"/>
  <c r="U64" i="7"/>
  <c r="T64" i="7"/>
  <c r="V63" i="7"/>
  <c r="U63" i="7"/>
  <c r="T63" i="7"/>
  <c r="W59" i="7"/>
  <c r="V59" i="7"/>
  <c r="U59" i="7"/>
  <c r="T59" i="7"/>
  <c r="W58" i="7"/>
  <c r="V58" i="7"/>
  <c r="U58" i="7"/>
  <c r="T58" i="7"/>
  <c r="W57" i="7"/>
  <c r="V57" i="7"/>
  <c r="U57" i="7"/>
  <c r="T57" i="7"/>
  <c r="W56" i="7"/>
  <c r="V56" i="7"/>
  <c r="U56" i="7"/>
  <c r="T56" i="7"/>
  <c r="W55" i="7"/>
  <c r="V55" i="7"/>
  <c r="U55" i="7"/>
  <c r="T55" i="7"/>
  <c r="W54" i="7"/>
  <c r="V54" i="7"/>
  <c r="U54" i="7"/>
  <c r="T54" i="7"/>
  <c r="W53" i="7"/>
  <c r="V53" i="7"/>
  <c r="U53" i="7"/>
  <c r="T53" i="7"/>
  <c r="W52" i="7"/>
  <c r="V52" i="7"/>
  <c r="U52" i="7"/>
  <c r="T52" i="7"/>
  <c r="W51" i="7"/>
  <c r="V51" i="7"/>
  <c r="U51" i="7"/>
  <c r="T51" i="7"/>
  <c r="W50" i="7"/>
  <c r="V50" i="7"/>
  <c r="T50" i="7"/>
  <c r="W49" i="7"/>
  <c r="V49" i="7"/>
  <c r="U49" i="7"/>
  <c r="T49" i="7"/>
  <c r="W48" i="7"/>
  <c r="V48" i="7"/>
  <c r="U48" i="7"/>
  <c r="T48" i="7"/>
  <c r="W47" i="7"/>
  <c r="V47" i="7"/>
  <c r="U47" i="7"/>
  <c r="T47" i="7"/>
  <c r="W42" i="7"/>
  <c r="V42" i="7"/>
  <c r="W41" i="7"/>
  <c r="W39" i="7"/>
  <c r="V39" i="7"/>
  <c r="U39" i="7"/>
  <c r="T39" i="7"/>
  <c r="W38" i="7"/>
  <c r="V38" i="7"/>
  <c r="U38" i="7"/>
  <c r="T38" i="7"/>
  <c r="W36" i="7"/>
  <c r="V36" i="7"/>
  <c r="U36" i="7"/>
  <c r="T36" i="7"/>
  <c r="W35" i="7"/>
  <c r="V35" i="7"/>
  <c r="U35" i="7"/>
  <c r="T35" i="7"/>
  <c r="W29" i="7"/>
  <c r="V29" i="7"/>
  <c r="U29" i="7"/>
  <c r="T29" i="7"/>
  <c r="W28" i="7"/>
  <c r="V28" i="7"/>
  <c r="U28" i="7"/>
  <c r="T28" i="7"/>
  <c r="W27" i="7"/>
  <c r="V27" i="7"/>
  <c r="U27" i="7"/>
  <c r="T27" i="7"/>
  <c r="W26" i="7"/>
  <c r="V26" i="7"/>
  <c r="U26" i="7"/>
  <c r="T26" i="7"/>
  <c r="W25" i="7"/>
  <c r="V25" i="7"/>
  <c r="U25" i="7"/>
  <c r="T25" i="7"/>
  <c r="W24" i="7"/>
  <c r="V24" i="7"/>
  <c r="U24" i="7"/>
  <c r="T24" i="7"/>
  <c r="W23" i="7"/>
  <c r="V23" i="7"/>
  <c r="U23" i="7"/>
  <c r="T23" i="7"/>
  <c r="W22" i="7"/>
  <c r="V22" i="7"/>
  <c r="U22" i="7"/>
  <c r="T22" i="7"/>
  <c r="W21" i="7"/>
  <c r="V21" i="7"/>
  <c r="U21" i="7"/>
  <c r="T21" i="7"/>
  <c r="W20" i="7"/>
  <c r="V20" i="7"/>
  <c r="U20" i="7"/>
  <c r="T20" i="7"/>
  <c r="W16" i="7"/>
  <c r="V16" i="7"/>
  <c r="U16" i="7"/>
  <c r="T16" i="7"/>
  <c r="W15" i="7"/>
  <c r="V15" i="7"/>
  <c r="U15" i="7"/>
  <c r="T15" i="7"/>
  <c r="W14" i="7"/>
  <c r="V14" i="7"/>
  <c r="U14" i="7"/>
  <c r="T14" i="7"/>
  <c r="W9" i="7"/>
  <c r="V9" i="7"/>
  <c r="U9" i="7"/>
  <c r="T9" i="7"/>
  <c r="W8" i="7"/>
  <c r="V8" i="7"/>
  <c r="U8" i="7"/>
  <c r="T8" i="7"/>
  <c r="W7" i="7"/>
  <c r="V7" i="7"/>
  <c r="U7" i="7"/>
  <c r="T7" i="7"/>
  <c r="W6" i="7"/>
  <c r="V6" i="7"/>
  <c r="U6" i="7"/>
  <c r="T6" i="7"/>
  <c r="V346" i="5"/>
  <c r="U346" i="5"/>
  <c r="T346" i="5"/>
  <c r="V345" i="5"/>
  <c r="U345" i="5"/>
  <c r="T345" i="5"/>
  <c r="V344" i="5"/>
  <c r="U344" i="5"/>
  <c r="T344" i="5"/>
  <c r="V343" i="5"/>
  <c r="U343" i="5"/>
  <c r="T343" i="5"/>
  <c r="V342" i="5"/>
  <c r="U342" i="5"/>
  <c r="T342" i="5"/>
  <c r="V341" i="5"/>
  <c r="U341" i="5"/>
  <c r="T341" i="5"/>
  <c r="V340" i="5"/>
  <c r="U340" i="5"/>
  <c r="T340" i="5"/>
  <c r="V339" i="5"/>
  <c r="U339" i="5"/>
  <c r="T339" i="5"/>
  <c r="V338" i="5"/>
  <c r="U338" i="5"/>
  <c r="T338" i="5"/>
  <c r="W333" i="5"/>
  <c r="V333" i="5"/>
  <c r="U333" i="5"/>
  <c r="T333" i="5"/>
  <c r="W332" i="5"/>
  <c r="V332" i="5"/>
  <c r="T332" i="5"/>
  <c r="W331" i="5"/>
  <c r="V331" i="5"/>
  <c r="U331" i="5"/>
  <c r="T331" i="5"/>
  <c r="W330" i="5"/>
  <c r="V330" i="5"/>
  <c r="U330" i="5"/>
  <c r="T330" i="5"/>
  <c r="W329" i="5"/>
  <c r="V329" i="5"/>
  <c r="U329" i="5"/>
  <c r="T329" i="5"/>
  <c r="W328" i="5"/>
  <c r="V328" i="5"/>
  <c r="U328" i="5"/>
  <c r="T328" i="5"/>
  <c r="W327" i="5"/>
  <c r="V327" i="5"/>
  <c r="U327" i="5"/>
  <c r="T327" i="5"/>
  <c r="W326" i="5"/>
  <c r="V326" i="5"/>
  <c r="U326" i="5"/>
  <c r="T326" i="5"/>
  <c r="V322" i="5"/>
  <c r="U322" i="5"/>
  <c r="T322" i="5"/>
  <c r="V321" i="5"/>
  <c r="V320" i="5"/>
  <c r="U320" i="5"/>
  <c r="T320" i="5"/>
  <c r="V319" i="5"/>
  <c r="U319" i="5"/>
  <c r="T319" i="5"/>
  <c r="V315" i="5"/>
  <c r="U315" i="5"/>
  <c r="T315" i="5"/>
  <c r="V314" i="5"/>
  <c r="U314" i="5"/>
  <c r="T314" i="5"/>
  <c r="V313" i="5"/>
  <c r="U313" i="5"/>
  <c r="T313" i="5"/>
  <c r="V309" i="5"/>
  <c r="U309" i="5"/>
  <c r="T309" i="5"/>
  <c r="V308" i="5"/>
  <c r="U308" i="5"/>
  <c r="T308" i="5"/>
  <c r="V307" i="5"/>
  <c r="U307" i="5"/>
  <c r="T307" i="5"/>
  <c r="W303" i="5"/>
  <c r="V303" i="5"/>
  <c r="U303" i="5"/>
  <c r="T303" i="5"/>
  <c r="W302" i="5"/>
  <c r="V302" i="5"/>
  <c r="W301" i="5"/>
  <c r="V301" i="5"/>
  <c r="U301" i="5"/>
  <c r="T301" i="5"/>
  <c r="W300" i="5"/>
  <c r="V300" i="5"/>
  <c r="U300" i="5"/>
  <c r="T300" i="5"/>
  <c r="V267" i="5"/>
  <c r="U267" i="5"/>
  <c r="T267" i="5"/>
  <c r="V266" i="5"/>
  <c r="U266" i="5"/>
  <c r="T266" i="5"/>
  <c r="V265" i="5"/>
  <c r="U265" i="5"/>
  <c r="T265" i="5"/>
  <c r="V264" i="5"/>
  <c r="U264" i="5"/>
  <c r="T264" i="5"/>
  <c r="V263" i="5"/>
  <c r="U263" i="5"/>
  <c r="T263" i="5"/>
  <c r="V262" i="5"/>
  <c r="U262" i="5"/>
  <c r="T262" i="5"/>
  <c r="V261" i="5"/>
  <c r="U261" i="5"/>
  <c r="T261" i="5"/>
  <c r="V260" i="5"/>
  <c r="U260" i="5"/>
  <c r="T260" i="5"/>
  <c r="V259" i="5"/>
  <c r="U259" i="5"/>
  <c r="T259" i="5"/>
  <c r="V258" i="5"/>
  <c r="U258" i="5"/>
  <c r="T258" i="5"/>
  <c r="V257" i="5"/>
  <c r="U257" i="5"/>
  <c r="T257" i="5"/>
  <c r="V256" i="5"/>
  <c r="U256" i="5"/>
  <c r="T256" i="5"/>
  <c r="V255" i="5"/>
  <c r="U255" i="5"/>
  <c r="T255" i="5"/>
  <c r="V254" i="5"/>
  <c r="U254" i="5"/>
  <c r="T254" i="5"/>
  <c r="V253" i="5"/>
  <c r="U253" i="5"/>
  <c r="T253" i="5"/>
  <c r="V252" i="5"/>
  <c r="U252" i="5"/>
  <c r="T252" i="5"/>
  <c r="V251" i="5"/>
  <c r="U251" i="5"/>
  <c r="T251" i="5"/>
  <c r="V250" i="5"/>
  <c r="U250" i="5"/>
  <c r="T250" i="5"/>
  <c r="V249" i="5"/>
  <c r="U249" i="5"/>
  <c r="T249" i="5"/>
  <c r="V248" i="5"/>
  <c r="U248" i="5"/>
  <c r="T248" i="5"/>
  <c r="W9" i="5"/>
  <c r="V9" i="5"/>
  <c r="U9" i="5"/>
  <c r="T9" i="5"/>
  <c r="W8" i="5"/>
  <c r="V8" i="5"/>
  <c r="U8" i="5"/>
  <c r="T8" i="5"/>
  <c r="W7" i="5"/>
  <c r="V7" i="5"/>
  <c r="U7" i="5"/>
  <c r="T7" i="5"/>
  <c r="W33" i="9" l="1"/>
  <c r="X33" i="9"/>
  <c r="U37" i="9"/>
  <c r="T37" i="9"/>
  <c r="V41" i="9"/>
  <c r="W37" i="9"/>
  <c r="J43" i="9"/>
  <c r="D43" i="9"/>
  <c r="W41" i="9"/>
  <c r="O43" i="9"/>
  <c r="I43" i="9"/>
  <c r="C43" i="9"/>
  <c r="V34" i="7"/>
  <c r="X34" i="7"/>
  <c r="U34" i="7"/>
  <c r="W37" i="7"/>
  <c r="X37" i="7"/>
  <c r="W40" i="7"/>
  <c r="X40" i="7"/>
  <c r="W34" i="7"/>
  <c r="H34" i="5"/>
  <c r="L34" i="5"/>
  <c r="O34" i="5"/>
  <c r="I34" i="5"/>
  <c r="T32" i="5"/>
  <c r="X32" i="5"/>
  <c r="W32" i="5"/>
  <c r="V32" i="5"/>
  <c r="U32" i="5"/>
  <c r="U33" i="5"/>
  <c r="T33" i="5"/>
  <c r="X33" i="5"/>
  <c r="W33" i="5"/>
  <c r="V33" i="5"/>
  <c r="S43" i="9"/>
  <c r="X43" i="9" s="1"/>
  <c r="N43" i="7"/>
  <c r="T34" i="7"/>
  <c r="P34" i="5"/>
  <c r="M43" i="7"/>
  <c r="D43" i="7"/>
  <c r="J43" i="7"/>
  <c r="P43" i="7"/>
  <c r="T37" i="7"/>
  <c r="F43" i="7"/>
  <c r="L43" i="7"/>
  <c r="R43" i="7"/>
  <c r="G43" i="7"/>
  <c r="V37" i="7"/>
  <c r="B43" i="7"/>
  <c r="H43" i="7"/>
  <c r="C43" i="7"/>
  <c r="I43" i="7"/>
  <c r="O43" i="7"/>
  <c r="Q34" i="5"/>
  <c r="K34" i="5"/>
  <c r="E34" i="5"/>
  <c r="M34" i="5"/>
  <c r="B34" i="5"/>
  <c r="G34" i="5"/>
  <c r="F34" i="5"/>
  <c r="S34" i="5"/>
  <c r="J34" i="5"/>
  <c r="D34" i="5"/>
  <c r="C34" i="5"/>
  <c r="W43" i="9"/>
  <c r="U33" i="9"/>
  <c r="V33" i="9"/>
  <c r="S43" i="7"/>
  <c r="V40" i="7"/>
  <c r="W134" i="3"/>
  <c r="W133" i="3"/>
  <c r="V133" i="3"/>
  <c r="U133" i="3"/>
  <c r="T133" i="3"/>
  <c r="W132" i="3"/>
  <c r="V132" i="3"/>
  <c r="U132" i="3"/>
  <c r="T132" i="3"/>
  <c r="W131" i="3"/>
  <c r="V131" i="3"/>
  <c r="U131" i="3"/>
  <c r="T131" i="3"/>
  <c r="W130" i="3"/>
  <c r="V130" i="3"/>
  <c r="U130" i="3"/>
  <c r="T130" i="3"/>
  <c r="W129" i="3"/>
  <c r="V129" i="3"/>
  <c r="U129" i="3"/>
  <c r="T129" i="3"/>
  <c r="W105" i="3"/>
  <c r="W104" i="3"/>
  <c r="V104" i="3"/>
  <c r="U104" i="3"/>
  <c r="T104" i="3"/>
  <c r="W103" i="3"/>
  <c r="V103" i="3"/>
  <c r="U103" i="3"/>
  <c r="T103" i="3"/>
  <c r="W102" i="3"/>
  <c r="V102" i="3"/>
  <c r="U102" i="3"/>
  <c r="T102" i="3"/>
  <c r="W101" i="3"/>
  <c r="V101" i="3"/>
  <c r="U101" i="3"/>
  <c r="T101" i="3"/>
  <c r="W100" i="3"/>
  <c r="V100" i="3"/>
  <c r="U100" i="3"/>
  <c r="T100" i="3"/>
  <c r="W99" i="3"/>
  <c r="V99" i="3"/>
  <c r="U99" i="3"/>
  <c r="T99" i="3"/>
  <c r="W98" i="3"/>
  <c r="V98" i="3"/>
  <c r="U98" i="3"/>
  <c r="T98" i="3"/>
  <c r="W97" i="3"/>
  <c r="V97" i="3"/>
  <c r="U97" i="3"/>
  <c r="T97" i="3"/>
  <c r="W96" i="3"/>
  <c r="V96" i="3"/>
  <c r="U96" i="3"/>
  <c r="T96" i="3"/>
  <c r="W95" i="3"/>
  <c r="V95" i="3"/>
  <c r="U95" i="3"/>
  <c r="T95" i="3"/>
  <c r="W94" i="3"/>
  <c r="V94" i="3"/>
  <c r="U94" i="3"/>
  <c r="T94" i="3"/>
  <c r="W93" i="3"/>
  <c r="V93" i="3"/>
  <c r="U93" i="3"/>
  <c r="T93" i="3"/>
  <c r="W92" i="3"/>
  <c r="V92" i="3"/>
  <c r="U92" i="3"/>
  <c r="T92" i="3"/>
  <c r="W91" i="3"/>
  <c r="V91" i="3"/>
  <c r="U91" i="3"/>
  <c r="T91" i="3"/>
  <c r="W90" i="3"/>
  <c r="V90" i="3"/>
  <c r="U90" i="3"/>
  <c r="T90" i="3"/>
  <c r="W89" i="3"/>
  <c r="V89" i="3"/>
  <c r="U89" i="3"/>
  <c r="T89" i="3"/>
  <c r="W84" i="3"/>
  <c r="W83" i="3"/>
  <c r="V83" i="3"/>
  <c r="U83" i="3"/>
  <c r="T83" i="3"/>
  <c r="W82" i="3"/>
  <c r="V82" i="3"/>
  <c r="U82" i="3"/>
  <c r="T82" i="3"/>
  <c r="W81" i="3"/>
  <c r="V81" i="3"/>
  <c r="U81" i="3"/>
  <c r="T81" i="3"/>
  <c r="W80" i="3"/>
  <c r="V80" i="3"/>
  <c r="U80" i="3"/>
  <c r="T80" i="3"/>
  <c r="W79" i="3"/>
  <c r="V79" i="3"/>
  <c r="U79" i="3"/>
  <c r="T79" i="3"/>
  <c r="W78" i="3"/>
  <c r="V78" i="3"/>
  <c r="U78" i="3"/>
  <c r="T78" i="3"/>
  <c r="W77" i="3"/>
  <c r="V77" i="3"/>
  <c r="U77" i="3"/>
  <c r="T77" i="3"/>
  <c r="W73" i="3"/>
  <c r="W72" i="3"/>
  <c r="W71" i="3"/>
  <c r="U71" i="3"/>
  <c r="T71" i="3"/>
  <c r="W70" i="3"/>
  <c r="U70" i="3"/>
  <c r="T70" i="3"/>
  <c r="W65" i="3"/>
  <c r="V65" i="3"/>
  <c r="U65" i="3"/>
  <c r="T65" i="3"/>
  <c r="W64" i="3"/>
  <c r="V64" i="3"/>
  <c r="U64" i="3"/>
  <c r="T64" i="3"/>
  <c r="W63" i="3"/>
  <c r="V63" i="3"/>
  <c r="U63" i="3"/>
  <c r="T63" i="3"/>
  <c r="W62" i="3"/>
  <c r="V62" i="3"/>
  <c r="U62" i="3"/>
  <c r="T62" i="3"/>
  <c r="W61" i="3"/>
  <c r="V61" i="3"/>
  <c r="U61" i="3"/>
  <c r="T61" i="3"/>
  <c r="W60" i="3"/>
  <c r="V60" i="3"/>
  <c r="U60" i="3"/>
  <c r="T60" i="3"/>
  <c r="W59" i="3"/>
  <c r="V59" i="3"/>
  <c r="U59" i="3"/>
  <c r="T59" i="3"/>
  <c r="W58" i="3"/>
  <c r="V58" i="3"/>
  <c r="U58" i="3"/>
  <c r="T58" i="3"/>
  <c r="W57" i="3"/>
  <c r="V57" i="3"/>
  <c r="U57" i="3"/>
  <c r="T57" i="3"/>
  <c r="W56" i="3"/>
  <c r="V56" i="3"/>
  <c r="U56" i="3"/>
  <c r="T56" i="3"/>
  <c r="W55" i="3"/>
  <c r="V55" i="3"/>
  <c r="U55" i="3"/>
  <c r="T55" i="3"/>
  <c r="W54" i="3"/>
  <c r="V54" i="3"/>
  <c r="U54" i="3"/>
  <c r="T54" i="3"/>
  <c r="W53" i="3"/>
  <c r="V53" i="3"/>
  <c r="U53" i="3"/>
  <c r="T53" i="3"/>
  <c r="W52" i="3"/>
  <c r="V52" i="3"/>
  <c r="U52" i="3"/>
  <c r="T52" i="3"/>
  <c r="W51" i="3"/>
  <c r="V51" i="3"/>
  <c r="U51" i="3"/>
  <c r="T51" i="3"/>
  <c r="W50" i="3"/>
  <c r="V50" i="3"/>
  <c r="U50" i="3"/>
  <c r="T50" i="3"/>
  <c r="W49" i="3"/>
  <c r="V49" i="3"/>
  <c r="U49" i="3"/>
  <c r="W48" i="3"/>
  <c r="V48" i="3"/>
  <c r="U48" i="3"/>
  <c r="W47" i="3"/>
  <c r="V47" i="3"/>
  <c r="U47" i="3"/>
  <c r="W46" i="3"/>
  <c r="V46" i="3"/>
  <c r="U46" i="3"/>
  <c r="T46" i="3"/>
  <c r="W45" i="3"/>
  <c r="V45" i="3"/>
  <c r="U45" i="3"/>
  <c r="T45" i="3"/>
  <c r="W40" i="3"/>
  <c r="V40" i="3"/>
  <c r="U40" i="3"/>
  <c r="T40" i="3"/>
  <c r="W39" i="3"/>
  <c r="V39" i="3"/>
  <c r="U39" i="3"/>
  <c r="T39" i="3"/>
  <c r="W38" i="3"/>
  <c r="V38" i="3"/>
  <c r="U38" i="3"/>
  <c r="T38" i="3"/>
  <c r="W37" i="3"/>
  <c r="V37" i="3"/>
  <c r="U37" i="3"/>
  <c r="T37" i="3"/>
  <c r="W36" i="3"/>
  <c r="V36" i="3"/>
  <c r="U36" i="3"/>
  <c r="T36" i="3"/>
  <c r="W35" i="3"/>
  <c r="V35" i="3"/>
  <c r="U35" i="3"/>
  <c r="W34" i="3"/>
  <c r="V34" i="3"/>
  <c r="U34" i="3"/>
  <c r="T34" i="3"/>
  <c r="W30" i="3"/>
  <c r="V30" i="3"/>
  <c r="U30" i="3"/>
  <c r="T30" i="3"/>
  <c r="W29" i="3"/>
  <c r="V29" i="3"/>
  <c r="U29" i="3"/>
  <c r="T29" i="3"/>
  <c r="W28" i="3"/>
  <c r="V28" i="3"/>
  <c r="U28" i="3"/>
  <c r="T28" i="3"/>
  <c r="W27" i="3"/>
  <c r="V27" i="3"/>
  <c r="U27" i="3"/>
  <c r="T27" i="3"/>
  <c r="W26" i="3"/>
  <c r="V26" i="3"/>
  <c r="U26" i="3"/>
  <c r="T26" i="3"/>
  <c r="W25" i="3"/>
  <c r="V25" i="3"/>
  <c r="U25" i="3"/>
  <c r="T25" i="3"/>
  <c r="W24" i="3"/>
  <c r="V24" i="3"/>
  <c r="U24" i="3"/>
  <c r="T24" i="3"/>
  <c r="W23" i="3"/>
  <c r="V23" i="3"/>
  <c r="U23" i="3"/>
  <c r="T23" i="3"/>
  <c r="W22" i="3"/>
  <c r="V22" i="3"/>
  <c r="U22" i="3"/>
  <c r="W21" i="3"/>
  <c r="V21" i="3"/>
  <c r="U21" i="3"/>
  <c r="T21" i="3"/>
  <c r="W20" i="3"/>
  <c r="V20" i="3"/>
  <c r="U20" i="3"/>
  <c r="T20" i="3"/>
  <c r="W16" i="3"/>
  <c r="V16" i="3"/>
  <c r="U16" i="3"/>
  <c r="T16" i="3"/>
  <c r="W15" i="3"/>
  <c r="V15" i="3"/>
  <c r="U15" i="3"/>
  <c r="T15" i="3"/>
  <c r="W14" i="3"/>
  <c r="V14" i="3"/>
  <c r="U14" i="3"/>
  <c r="T14" i="3"/>
  <c r="W13" i="3"/>
  <c r="V13" i="3"/>
  <c r="U13" i="3"/>
  <c r="T13" i="3"/>
  <c r="W7" i="3"/>
  <c r="W9" i="3"/>
  <c r="W6" i="3"/>
  <c r="T6" i="3"/>
  <c r="U6" i="3"/>
  <c r="V6" i="3"/>
  <c r="V7" i="3"/>
  <c r="V8" i="3"/>
  <c r="V9" i="3"/>
  <c r="U7" i="3"/>
  <c r="U8" i="3"/>
  <c r="U9" i="3"/>
  <c r="T7" i="3"/>
  <c r="T8" i="3"/>
  <c r="T9" i="3"/>
  <c r="X43" i="7" l="1"/>
  <c r="V34" i="5"/>
  <c r="U34" i="5"/>
  <c r="T34" i="5"/>
  <c r="X34" i="5"/>
  <c r="W34" i="5"/>
  <c r="T43" i="9"/>
  <c r="V43" i="9"/>
  <c r="U43" i="9"/>
  <c r="V43" i="7"/>
  <c r="W43" i="7"/>
  <c r="U43" i="7"/>
  <c r="T43" i="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andres.leal\Desktop\Titulados\Copia de TIT_WEB_2019(TITULADOS 2007 - 2018)_03-06-2019.xlsx" keepAlive="1" name="Copia de TIT_WEB_2019(TITULADOS 2007 - 2018)_03-06-2019" type="5" refreshedVersion="6" background="1">
    <dbPr connection="Provider=Microsoft.ACE.OLEDB.12.0;User ID=Admin;Data Source=C:\Users\andres.leal\Desktop\Titulados\Copia de TIT_WEB_2019(TITULADOS 2007 - 2018)_03-06-2019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TIT_WEB_2019$" commandType="3"/>
  </connection>
  <connection id="2" xr16:uid="{00000000-0015-0000-FFFF-FFFF01000000}" sourceFile="C:\Users\andres.leal\Desktop\Titulados\TIT_2019_TITULADOS 2007-2018_21-06-2019.xlsx" keepAlive="1" name="TIT_2019_TITULADOS 2007-2018_21-06-2019" type="5" refreshedVersion="6" background="1">
    <dbPr connection="Provider=Microsoft.ACE.OLEDB.12.0;User ID=Admin;Data Source=C:\Users\andres.leal\Desktop\Titulados\TIT_2019_TITULADOS 2007-2018_21-06-2019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TIT_WEB" commandType="3"/>
  </connection>
  <connection id="3" xr16:uid="{00000000-0015-0000-FFFF-FFFF02000000}" sourceFile="C:\Users\andres.leal\Desktop\Titulados\TIT_2019_TITULADOS 2007-2018_21-06-2019.xlsx" keepAlive="1" name="TIT_2019_TITULADOS 2007-2018_21-06-20191" type="5" refreshedVersion="6" background="1">
    <dbPr connection="Provider=Microsoft.ACE.OLEDB.12.0;User ID=Admin;Data Source=C:\Users\andres.leal\Desktop\Titulados\TIT_2019_TITULADOS 2007-2018_21-06-2019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TIT_WEB$" commandType="3"/>
  </connection>
  <connection id="4" xr16:uid="{00000000-0015-0000-FFFF-FFFF03000000}" sourceFile="C:\Users\andres.leal\Desktop\Titulados\TIT_WEB_2019 (TITULADOS 2007 - 2018)_04-06-2019_2020.xlsx" keepAlive="1" name="TIT_WEB_2019 (TITULADOS 2007 - 2018)_04-06-2019_2020" type="5" refreshedVersion="6" background="1">
    <dbPr connection="Provider=Microsoft.ACE.OLEDB.12.0;User ID=Admin;Data Source=C:\Users\andres.leal\Desktop\Titulados\TIT_WEB_2019 (TITULADOS 2007 - 2018)_04-06-2019_2020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Titulados Web 2009$'" commandType="3"/>
  </connection>
  <connection id="5" xr16:uid="{00000000-0015-0000-FFFF-FFFF04000000}" sourceFile="C:\Users\andres.leal\Desktop\Titulados\TIT_WEB_2019(TITULADOS 2007 - 2018)_03-06-2019.xlsx" keepAlive="1" name="TIT_WEB_2019(TITULADOS 2007 - 2018)_03-06-2019" type="5" refreshedVersion="6" background="1">
    <dbPr connection="Provider=Microsoft.ACE.OLEDB.12.0;User ID=Admin;Data Source=C:\Users\andres.leal\Desktop\Titulados\TIT_WEB_2019(TITULADOS 2007 - 2018)_03-06-2019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TIT_WEB_2019_TITULADOS_2007___2018_" commandType="3"/>
  </connection>
  <connection id="6" xr16:uid="{00000000-0015-0000-FFFF-FFFF05000000}" sourceFile="C:\Users\andres.leal\Desktop\Titulados\TIT_WEB_2019(TITULADOS 2007 - 2018)_03-06-2019_final.xlsx" keepAlive="1" name="TIT_WEB_2019(TITULADOS 2007 - 2018)_03-06-2019_final" type="5" refreshedVersion="6" background="1">
    <dbPr connection="Provider=Microsoft.ACE.OLEDB.12.0;User ID=Admin;Data Source=C:\Users\andres.leal\Desktop\Titulados\TIT_WEB_2019(TITULADOS 2007 - 2018)_03-06-2019_final.xlsx;Mode=Share Deny Write;Extended Properties=&quot;HDR=YES;&quot;;Jet OLEDB:System database=&quot;&quot;;Jet OLEDB:Registry Path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TIT_WEB_2019$" commandType="3"/>
  </connection>
  <connection id="7" xr16:uid="{00000000-0015-0000-FFFF-FFFF06000000}" sourceFile="C:\Users\andres.leal\Desktop\Titulados\TIT_WEB_2019(TITULADOS 2007- 2018).xlsx" keepAlive="1" name="TIT_WEB_2019(TITULADOS 2007- 2018)" type="5" refreshedVersion="6" background="1">
    <dbPr connection="Provider=Microsoft.ACE.OLEDB.12.0;User ID=Admin;Data Source=C:\Users\andres.leal\Desktop\Titulados\TIT_WEB_2019(TITULADOS 2007- 2018).xlsx;Mode=Share Deny Write;Extended Properties=&quot;HDR=YES;&quot;;Jet OLEDB:System database=&quot;&quot;;Jet OLEDB:Registry Path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tituladosweb$" commandType="3"/>
  </connection>
</connections>
</file>

<file path=xl/sharedStrings.xml><?xml version="1.0" encoding="utf-8"?>
<sst xmlns="http://schemas.openxmlformats.org/spreadsheetml/2006/main" count="1741" uniqueCount="511">
  <si>
    <t>Tipo de institución</t>
  </si>
  <si>
    <t>Pregrado</t>
  </si>
  <si>
    <t>Posgrado</t>
  </si>
  <si>
    <t>Postítulo</t>
  </si>
  <si>
    <t>Total general</t>
  </si>
  <si>
    <t>Centros de Formación Técnica</t>
  </si>
  <si>
    <t>Institutos Profesionales</t>
  </si>
  <si>
    <t>Universidades</t>
  </si>
  <si>
    <t>Titulación Total</t>
  </si>
  <si>
    <t>Región</t>
  </si>
  <si>
    <t>Área</t>
  </si>
  <si>
    <t>Administración y Comercio</t>
  </si>
  <si>
    <t>Agropecuaria</t>
  </si>
  <si>
    <t>Arte y Arquitectura</t>
  </si>
  <si>
    <t>Ciencias Básicas</t>
  </si>
  <si>
    <t>Ciencias Sociales</t>
  </si>
  <si>
    <t>Derecho</t>
  </si>
  <si>
    <t>Educación</t>
  </si>
  <si>
    <t>Humanidades</t>
  </si>
  <si>
    <t>Salud</t>
  </si>
  <si>
    <t>Tecnología</t>
  </si>
  <si>
    <t>Volver al índice</t>
  </si>
  <si>
    <t xml:space="preserve">Evolución de Titulación Total por tipo de institución </t>
  </si>
  <si>
    <t>Tipo de institución y grado</t>
  </si>
  <si>
    <t>Evolución de Titulación Total por rango de edad y/o promedio de edad</t>
  </si>
  <si>
    <t>Rango de edad</t>
  </si>
  <si>
    <t>15 a 19 años</t>
  </si>
  <si>
    <t>20 a 24 años</t>
  </si>
  <si>
    <t>25 a 29 años</t>
  </si>
  <si>
    <t>30 a 34 años</t>
  </si>
  <si>
    <t>35 a 39 años</t>
  </si>
  <si>
    <t>40 y más años</t>
  </si>
  <si>
    <t>Sin información</t>
  </si>
  <si>
    <t>Evolución de Titulación Total por región</t>
  </si>
  <si>
    <t>Promedio de Edad</t>
  </si>
  <si>
    <t>Tipo de carrera</t>
  </si>
  <si>
    <t>Técnico de Nivel Superior</t>
  </si>
  <si>
    <t>Profesional sin licenciatura previa</t>
  </si>
  <si>
    <t>Licenciatura no conducente a título</t>
  </si>
  <si>
    <t>Profesional con licenciatura previa</t>
  </si>
  <si>
    <t>Jornada</t>
  </si>
  <si>
    <t>Diurno</t>
  </si>
  <si>
    <t>Vespertino</t>
  </si>
  <si>
    <t>Otro</t>
  </si>
  <si>
    <t>Evolución de Titulación Total de Pregrado por tipo de institución</t>
  </si>
  <si>
    <t>Evolución de Titulación Total de Pregrado por tipo de carrera</t>
  </si>
  <si>
    <t>Carreras Profesionales Universitarias**</t>
  </si>
  <si>
    <t>Tipo de institución y carrera</t>
  </si>
  <si>
    <t>Evolución de Titulación Total de Pregrado por jornada</t>
  </si>
  <si>
    <t>Carreras</t>
  </si>
  <si>
    <t>Técnico en Enfermería</t>
  </si>
  <si>
    <t>Técnico en Administración de Empresas</t>
  </si>
  <si>
    <t>Técnico Asistente del Educador de Párvulos</t>
  </si>
  <si>
    <t>Técnico en Gastronomía y Cocina</t>
  </si>
  <si>
    <t>Técnico en Mecánica Automotriz</t>
  </si>
  <si>
    <t>Técnico en Turismo y Hotelería</t>
  </si>
  <si>
    <t>Técnico Asistente del Educador Diferencial</t>
  </si>
  <si>
    <t>Técnico en Mantenimiento Industrial</t>
  </si>
  <si>
    <t>Técnico Dental y Asistente de Odontología</t>
  </si>
  <si>
    <t>Técnico en Electricidad y Electricidad Industrial</t>
  </si>
  <si>
    <t>Técnico Agropecuario</t>
  </si>
  <si>
    <t>Técnico en Construcción y Obras Civiles</t>
  </si>
  <si>
    <t>Técnico en Contabilidad General</t>
  </si>
  <si>
    <t>Técnico en Instrumentación, Automatización y Control Industrial</t>
  </si>
  <si>
    <t>Ingeniería en Prevención de Riesgos</t>
  </si>
  <si>
    <t>Administración de Empresas e Ing. Asociadas</t>
  </si>
  <si>
    <t>Trabajo Social</t>
  </si>
  <si>
    <t>Contador Auditor</t>
  </si>
  <si>
    <t>Psicopedagogía</t>
  </si>
  <si>
    <t>Ingeniería en Computación e Informática</t>
  </si>
  <si>
    <t>Ingeniería en Mecánica Automotriz</t>
  </si>
  <si>
    <t>Técnico en Servicio Social</t>
  </si>
  <si>
    <t>Construcción Civil</t>
  </si>
  <si>
    <t>Ingeniería Comercial</t>
  </si>
  <si>
    <t>Ingeniería Civil Industrial</t>
  </si>
  <si>
    <t>Enfermería</t>
  </si>
  <si>
    <t>Psicología</t>
  </si>
  <si>
    <t>Pedagogía en Educación Física</t>
  </si>
  <si>
    <t>Pedagogía en Educación Diferencial</t>
  </si>
  <si>
    <t>Nutrición y Dietética</t>
  </si>
  <si>
    <t>Evolución de Titulación Total de Pregrado por rango de edad</t>
  </si>
  <si>
    <t>Doctorado</t>
  </si>
  <si>
    <t>Magíster</t>
  </si>
  <si>
    <t>Tipo de programa</t>
  </si>
  <si>
    <t>Tipo de institución y programa</t>
  </si>
  <si>
    <t>Especialidad médica u odontológica</t>
  </si>
  <si>
    <t>Diplomado (superior a un semestre)</t>
  </si>
  <si>
    <t xml:space="preserve">Sin información </t>
  </si>
  <si>
    <t>Evolución de Titulación Total de Postítulo por tipo de institución</t>
  </si>
  <si>
    <t>Evolución de Titulación Total de Postítulo por tipo de programa</t>
  </si>
  <si>
    <t>Nombre de la institución</t>
  </si>
  <si>
    <t>CFT ALPES</t>
  </si>
  <si>
    <t>CFT CEDUC - UCN</t>
  </si>
  <si>
    <t>CFT CENCO</t>
  </si>
  <si>
    <t>CFT CENTRO TECNOLOGICO SUPERIOR INFOMED</t>
  </si>
  <si>
    <t>CFT DE ENAC</t>
  </si>
  <si>
    <t>CFT DEL MEDIO AMBIENTE</t>
  </si>
  <si>
    <t>CFT INACAP</t>
  </si>
  <si>
    <t>CFT INSTITUTO CENTRAL DE CAPACITACION EDUCACIONAL ICCE</t>
  </si>
  <si>
    <t>CFT INSTITUTO SUPERIOR DE ESTUDIOS JURIDICOS CANON</t>
  </si>
  <si>
    <t>CFT IPROSEC</t>
  </si>
  <si>
    <t>CFT JUAN BOHON</t>
  </si>
  <si>
    <t>CFT LAPLACE</t>
  </si>
  <si>
    <t>CFT LOTA-ARAUCO</t>
  </si>
  <si>
    <t>CFT MANPOWER</t>
  </si>
  <si>
    <t>CFT PRODATA</t>
  </si>
  <si>
    <t>CFT PROFASOC</t>
  </si>
  <si>
    <t>CFT SANTO TOMAS</t>
  </si>
  <si>
    <t>CFT TEODORO WICKEL KLUWEN</t>
  </si>
  <si>
    <t>IP AGRARIO ADOLFO MATTHEI</t>
  </si>
  <si>
    <t>IP AIEP</t>
  </si>
  <si>
    <t>IP DE CHILE</t>
  </si>
  <si>
    <t>IP DEL VALLE CENTRAL</t>
  </si>
  <si>
    <t>IP DIEGO PORTALES</t>
  </si>
  <si>
    <t>IP DR. VIRGINIO GOMEZ G.</t>
  </si>
  <si>
    <t>IP DUOC UC</t>
  </si>
  <si>
    <t>IP ESCUELA DE CONTADORES AUDITORES DE SANTIAGO</t>
  </si>
  <si>
    <t>IP ESCUELA MODERNA DE MUSICA</t>
  </si>
  <si>
    <t>IP ESUCOMEX</t>
  </si>
  <si>
    <t>IP INACAP</t>
  </si>
  <si>
    <t>IP INSTITUTO DE ESTUDIOS BANCARIOS GUILLERMO SUBERCASEAUX</t>
  </si>
  <si>
    <t>IP INSTITUTO INTERNACIONAL DE ARTES CULINARIAS Y SERVICIOS</t>
  </si>
  <si>
    <t>IP INSTITUTO NACIONAL DEL FUTBOL</t>
  </si>
  <si>
    <t>IP IPG</t>
  </si>
  <si>
    <t>IP LIBERTADOR DE LOS ANDES</t>
  </si>
  <si>
    <t>IP LOS LEONES</t>
  </si>
  <si>
    <t>IP PROVIDENCIA</t>
  </si>
  <si>
    <t>IP SANTO TOMAS</t>
  </si>
  <si>
    <t>PONTIFICIA UNIVERSIDAD CATOLICA DE CHILE</t>
  </si>
  <si>
    <t>PONTIFICIA UNIVERSIDAD CATOLICA DE VALPARAISO</t>
  </si>
  <si>
    <t>UNIVERSIDAD ACADEMIA DE HUMANISMO CRISTIANO</t>
  </si>
  <si>
    <t>UNIVERSIDAD ADOLFO IBAÑEZ</t>
  </si>
  <si>
    <t>UNIVERSIDAD ADVENTISTA DE CHILE</t>
  </si>
  <si>
    <t>UNIVERSIDAD ALBERTO HURTADO</t>
  </si>
  <si>
    <t>UNIVERSIDAD ANDRES BELLO</t>
  </si>
  <si>
    <t>UNIVERSIDAD ARTURO PRAT</t>
  </si>
  <si>
    <t>UNIVERSIDAD AUSTRAL DE CHILE</t>
  </si>
  <si>
    <t>UNIVERSIDAD AUTONOMA DE CHILE</t>
  </si>
  <si>
    <t>UNIVERSIDAD BERNARDO O'HIGGINS</t>
  </si>
  <si>
    <t>UNIVERSIDAD BOLIVARIANA</t>
  </si>
  <si>
    <t>UNIVERSIDAD CATOLICA DE LA SANTISIMA CONCEPCION</t>
  </si>
  <si>
    <t>UNIVERSIDAD CATOLICA DE TEMUCO</t>
  </si>
  <si>
    <t>UNIVERSIDAD CATOLICA DEL MAULE</t>
  </si>
  <si>
    <t>UNIVERSIDAD CATOLICA DEL NORTE</t>
  </si>
  <si>
    <t>UNIVERSIDAD CENTRAL DE CHILE</t>
  </si>
  <si>
    <t>UNIVERSIDAD DE ACONCAGUA</t>
  </si>
  <si>
    <t>UNIVERSIDAD DE ANTOFAGASTA</t>
  </si>
  <si>
    <t>UNIVERSIDAD DE ARTES, CIENCIAS Y COMUNICACION - UNIACC</t>
  </si>
  <si>
    <t>UNIVERSIDAD DE ATACAMA</t>
  </si>
  <si>
    <t>UNIVERSIDAD DE CHILE</t>
  </si>
  <si>
    <t>UNIVERSIDAD DE CONCEPCION</t>
  </si>
  <si>
    <t>UNIVERSIDAD DE LA FRONTERA</t>
  </si>
  <si>
    <t>UNIVERSIDAD DE LA SERENA</t>
  </si>
  <si>
    <t>UNIVERSIDAD DE LAS AMERICAS</t>
  </si>
  <si>
    <t>UNIVERSIDAD DE LOS ANDES</t>
  </si>
  <si>
    <t>UNIVERSIDAD DE LOS LAGOS</t>
  </si>
  <si>
    <t>UNIVERSIDAD DE MAGALLANES</t>
  </si>
  <si>
    <t>UNIVERSIDAD DE PLAYA ANCHA DE CIENCIAS DE LA EDUCACION</t>
  </si>
  <si>
    <t>UNIVERSIDAD DE SANTIAGO DE CHILE</t>
  </si>
  <si>
    <t>UNIVERSIDAD DE TALCA</t>
  </si>
  <si>
    <t>UNIVERSIDAD DE TARAPACA</t>
  </si>
  <si>
    <t>UNIVERSIDAD DE VALPARAISO</t>
  </si>
  <si>
    <t>UNIVERSIDAD DE VIÑA DEL MAR</t>
  </si>
  <si>
    <t>UNIVERSIDAD DEL BIO-BIO</t>
  </si>
  <si>
    <t>UNIVERSIDAD DEL DESARROLLO</t>
  </si>
  <si>
    <t>UNIVERSIDAD DIEGO PORTALES</t>
  </si>
  <si>
    <t>UNIVERSIDAD FINIS TERRAE</t>
  </si>
  <si>
    <t>UNIVERSIDAD GABRIELA MISTRAL</t>
  </si>
  <si>
    <t>UNIVERSIDAD LOS LEONES</t>
  </si>
  <si>
    <t>UNIVERSIDAD MAYOR</t>
  </si>
  <si>
    <t>UNIVERSIDAD METROPOLITANA DE CIENCIAS DE LA EDUCACION</t>
  </si>
  <si>
    <t>UNIVERSIDAD MIGUEL DE CERVANTES</t>
  </si>
  <si>
    <t>UNIVERSIDAD SAN SEBASTIAN</t>
  </si>
  <si>
    <t>UNIVERSIDAD SANTO TOMAS</t>
  </si>
  <si>
    <t>UNIVERSIDAD SEK</t>
  </si>
  <si>
    <t>UNIVERSIDAD TECNICA FEDERICO SANTA MARIA</t>
  </si>
  <si>
    <t>UNIVERSIDAD TECNOLOGICA DE CHILE INACAP</t>
  </si>
  <si>
    <t>UNIVERSIDAD TECNOLOGICA METROPOLITANA</t>
  </si>
  <si>
    <t xml:space="preserve">Hoja </t>
  </si>
  <si>
    <t>Tabla</t>
  </si>
  <si>
    <t>Contenido</t>
  </si>
  <si>
    <t>Indice de Tablas</t>
  </si>
  <si>
    <t>Evolución de Titulación Total de Pregrado por tipo de institución 2</t>
  </si>
  <si>
    <t>Evolución de Titulación Total de Pregrado por tipo de carrera (técnico y profesional)</t>
  </si>
  <si>
    <t>Evolución de Titulación Total de Pregrado en carreras de mayor titulación - CFT</t>
  </si>
  <si>
    <t>Evolución de Titulación Total de Pregrado en carreras de mayor titulación - IP</t>
  </si>
  <si>
    <t>Evolución de Titulación Total de Pregrado en carreras de mayor titulación - Universidades</t>
  </si>
  <si>
    <t xml:space="preserve">Evolución de Titulación Total de Posgrado por tipo de programa </t>
  </si>
  <si>
    <t>Mujeres</t>
  </si>
  <si>
    <t>Hombres</t>
  </si>
  <si>
    <t>Evolución de Titulación Total por sexo</t>
  </si>
  <si>
    <t>Evolución de Titulación Total por tipo de institución 2</t>
  </si>
  <si>
    <t xml:space="preserve">Evolución de Titulación Total por tipo de institución 2 </t>
  </si>
  <si>
    <t>Profesional sin licenciatura</t>
  </si>
  <si>
    <t>Profesional con licenciatura</t>
  </si>
  <si>
    <t>Evolución de Titulación Total de Pregrado por tipo de institución y tipo de carrera</t>
  </si>
  <si>
    <t>Evolución de Titulación Total de Pregrado por tipo de institución 2 y tipo de carrera</t>
  </si>
  <si>
    <t>Evolución de Titulación Total por nivel de formación</t>
  </si>
  <si>
    <t>Evolución de Titulación Total por tipo de institución y nivel de formación</t>
  </si>
  <si>
    <t>Evolución de Titulación Total por tipo de institución 2 y nivel de formación</t>
  </si>
  <si>
    <t>Evolución de Titulación Total de Posgrado por tipo de universidad</t>
  </si>
  <si>
    <t xml:space="preserve">Evolución de Titulación Total de Posgrado por tipo de universidad y tipo de programa </t>
  </si>
  <si>
    <t>Evolución de Titulación Total de Postítulo por tipo de institución y tipo de programa</t>
  </si>
  <si>
    <t>Evolución de Titulación Total de Pregrado por sexo</t>
  </si>
  <si>
    <t>Evolución de Titulación Total de Pregrado por sexo - CFT</t>
  </si>
  <si>
    <t>Evolución de Titulación Total de Pregrado por sexo - IP</t>
  </si>
  <si>
    <t>Evolución de Titulación Total de Pregrado por sexo - Universidades</t>
  </si>
  <si>
    <t>Sexo</t>
  </si>
  <si>
    <t>Nivel de formación</t>
  </si>
  <si>
    <t>Semipresencial</t>
  </si>
  <si>
    <t>A Distancia</t>
  </si>
  <si>
    <t>Técnico en Computación e Informática</t>
  </si>
  <si>
    <t>A distancia</t>
  </si>
  <si>
    <t>Evolución de Titulación Total de Pregrado por sexo y tipo de programa</t>
  </si>
  <si>
    <t>Evolución de Titulación Total de Postítulo por sexo y tipo de programa</t>
  </si>
  <si>
    <t>Tipo de Institución</t>
  </si>
  <si>
    <t>Ingeniería en Recursos Humanos</t>
  </si>
  <si>
    <t>U. Privada</t>
  </si>
  <si>
    <t>Fuente: Servicio de Información de Educación Superior (SIES), de Mineduc.</t>
  </si>
  <si>
    <t>** Incluye solo Carreras Profesionales con licenciatura y Licenciaturas no conducentes a título.</t>
  </si>
  <si>
    <t>Tipo de universidad</t>
  </si>
  <si>
    <t>Sexo y tipo de programa</t>
  </si>
  <si>
    <t>Tipo de universidad y programa</t>
  </si>
  <si>
    <t>NOTA: En caso de utilizar datos de esta base para notas periodísticas o estudios, se debe citar como fuente de los datos al Servicio de Información de Educación Superior (SIES), de Mineduc</t>
  </si>
  <si>
    <t>Arica y Parinacota</t>
  </si>
  <si>
    <t>Tarapacá</t>
  </si>
  <si>
    <t>Antofagasta</t>
  </si>
  <si>
    <t>Atacama</t>
  </si>
  <si>
    <t>Coquimbo</t>
  </si>
  <si>
    <t>Valparaíso</t>
  </si>
  <si>
    <t>Maule</t>
  </si>
  <si>
    <t>Biobío</t>
  </si>
  <si>
    <t>La Araucanía</t>
  </si>
  <si>
    <t>Los Ríos</t>
  </si>
  <si>
    <t>Los Lagos</t>
  </si>
  <si>
    <t>Aysén</t>
  </si>
  <si>
    <t>Magallanes</t>
  </si>
  <si>
    <t xml:space="preserve">Magallanes </t>
  </si>
  <si>
    <t xml:space="preserve">Total general </t>
  </si>
  <si>
    <t>Metropolitana</t>
  </si>
  <si>
    <t>Técnico en Logística</t>
  </si>
  <si>
    <t>IP ESCUELA DE CINE DE CHILE</t>
  </si>
  <si>
    <t>Ñuble</t>
  </si>
  <si>
    <t>Ingeniería Industrial</t>
  </si>
  <si>
    <t>IP LATINOAMERICANO DE COMERCIO EXTERIOR - IPLACEX</t>
  </si>
  <si>
    <t>UNIVERSIDAD CATOLICA CARDENAL RAUL SILVA HENRIQUEZ</t>
  </si>
  <si>
    <t>CFT PUCV</t>
  </si>
  <si>
    <t>CFT SAN AGUSTIN</t>
  </si>
  <si>
    <t>IP CHILENO BRITANICO DE CULTURA</t>
  </si>
  <si>
    <t>IP ESCUELA DE MARINA MERCANTE PILOTO PARDO</t>
  </si>
  <si>
    <t>* Incluye Carreras Técnicas de Nivel Superior y Profesionales sin licenciatura.</t>
  </si>
  <si>
    <t>CFT</t>
  </si>
  <si>
    <t>CFT Estatal</t>
  </si>
  <si>
    <t>Ingeniería en Construcción</t>
  </si>
  <si>
    <t>Arquitectura</t>
  </si>
  <si>
    <t>CFT DE LA REGION DE LA ARAUCANIA</t>
  </si>
  <si>
    <t>CFT DE LA REGION DEL MAULE</t>
  </si>
  <si>
    <t>IP PROJAZZ</t>
  </si>
  <si>
    <t>Centros de Formación Técnica Estatal</t>
  </si>
  <si>
    <t>*Incluye programas de Pregrado, Posgrado y Postítulo</t>
  </si>
  <si>
    <t>O'Higgins</t>
  </si>
  <si>
    <t>Tipo de institución y formación</t>
  </si>
  <si>
    <t xml:space="preserve">Evolución de la Titulación Total por jornada </t>
  </si>
  <si>
    <t>Carreras Técnico Profesionales*</t>
  </si>
  <si>
    <t xml:space="preserve">Promedio de Edad </t>
  </si>
  <si>
    <t>Evolución de Titulación de Pregrado por tipo de institución 2</t>
  </si>
  <si>
    <t>Evolución de Titulación de Pregrado por tipo de carrera</t>
  </si>
  <si>
    <t xml:space="preserve">Evolución de Titulación de Pregrado por tipo de carrera agrupada </t>
  </si>
  <si>
    <t>Evolución de Titulación de Pregrado por tipo de institución y de carrera</t>
  </si>
  <si>
    <t>Evolución de Titulación de Pregrado por tipo de institución 2 y tipo de carrera</t>
  </si>
  <si>
    <t>Evolución de Titulación de Pregrado por jornada</t>
  </si>
  <si>
    <t>Evolución de Titulación de Pregrado por sexo</t>
  </si>
  <si>
    <t>Evolución de Titulación de Pregrado por sexo - CFT</t>
  </si>
  <si>
    <t>Evolución de Titulación de Pregrado por sexo - IP</t>
  </si>
  <si>
    <t>Evolución de Titulación de Pregrado por sexo - Universidades</t>
  </si>
  <si>
    <t>Evolución de Titulación de Pregrado por rango de edad</t>
  </si>
  <si>
    <t>Evolución de Titulación de Posgrado por tipo de universidad</t>
  </si>
  <si>
    <t xml:space="preserve">Evolución de Titulación de Posgrado por tipo de programa </t>
  </si>
  <si>
    <t xml:space="preserve">Evolución de Titulación de Posgrado por tipo de universidad y de programa </t>
  </si>
  <si>
    <t>Evolución de Titulación de Postítulo por tipo de institución</t>
  </si>
  <si>
    <t>Evolución de Titulación de Postítulo por tipo de programa</t>
  </si>
  <si>
    <t>Evolución de Titulación de Postítulo por tipo de institución y programa</t>
  </si>
  <si>
    <t>Evolución de Titulación de Postítulo por sexo y tipo de programa</t>
  </si>
  <si>
    <t>Técnico en Deporte, Recreación y Preparación Física</t>
  </si>
  <si>
    <t>Kinesiología</t>
  </si>
  <si>
    <t>Medicina</t>
  </si>
  <si>
    <t>Odontología</t>
  </si>
  <si>
    <t>Terapia Ocupacional</t>
  </si>
  <si>
    <t>Tecnología Médica</t>
  </si>
  <si>
    <t>CFT DE LA REGION DE ARICA Y PARINACOTA</t>
  </si>
  <si>
    <t>CFT DE LA REGION DE COQUIMBO</t>
  </si>
  <si>
    <t>CFT DE LA REGION DE TARAPACA</t>
  </si>
  <si>
    <t>CFT DE LA REGION DE VALPARAISO</t>
  </si>
  <si>
    <t>CFT ESCUELA CULINARIA FRANCESA</t>
  </si>
  <si>
    <t>UNIVERSIDAD DE AYSEN</t>
  </si>
  <si>
    <t>UNIVERSIDAD DE O'HIGGINS</t>
  </si>
  <si>
    <t>n/a</t>
  </si>
  <si>
    <t>Técnico en Peluquería y Estética</t>
  </si>
  <si>
    <t>CFT DE LA REGION DE ANTOFAGASTA</t>
  </si>
  <si>
    <t>CFT DE LA REGION DE LOS LAGOS</t>
  </si>
  <si>
    <t>CFT DE LA REGION DE LOS RIOS</t>
  </si>
  <si>
    <t>CFT DE LA REGION DE MAGALLANES Y ANTARTICA CHILENA</t>
  </si>
  <si>
    <t>CFT DE LA REGION METROPOLITANA DE SANTIAGO</t>
  </si>
  <si>
    <t>IP ESCUELA DE COMERCIO DE SANTIAGO</t>
  </si>
  <si>
    <t>UNIVERSIDAD DEL ALBA</t>
  </si>
  <si>
    <t>UNIVERSIDAD LA REPUBLICA</t>
  </si>
  <si>
    <t>U. CRUCH Estatal</t>
  </si>
  <si>
    <t>U. CRUCH Privada</t>
  </si>
  <si>
    <t xml:space="preserve">U. CRUCH Estatal </t>
  </si>
  <si>
    <t>% Variación 2014 - 2023</t>
  </si>
  <si>
    <t>Técnico Veterinario</t>
  </si>
  <si>
    <t>Ingeniería en Electricidad</t>
  </si>
  <si>
    <t>Obstetricia y Puericultura</t>
  </si>
  <si>
    <t>Pedagogía en Educación de Párvulos</t>
  </si>
  <si>
    <t>CFT ASISTE</t>
  </si>
  <si>
    <t>CFT DE LA REGION DE ATACAMA</t>
  </si>
  <si>
    <t>CFT ESCUELA DE COMERCIO</t>
  </si>
  <si>
    <t>IP ARCOS</t>
  </si>
  <si>
    <t>IP EATRI</t>
  </si>
  <si>
    <t>IP IACC</t>
  </si>
  <si>
    <t>Evolución de Titulación de Pregrado por tipo de institución y jornada</t>
  </si>
  <si>
    <t>Evolución de Titulación de Pregrado en programas STEM por sexo</t>
  </si>
  <si>
    <t xml:space="preserve"> Mujeres</t>
  </si>
  <si>
    <t xml:space="preserve"> Hombres</t>
  </si>
  <si>
    <t>Total</t>
  </si>
  <si>
    <t>(**) Corresponden a las carreras Técnicas de Nivel Superior</t>
  </si>
  <si>
    <t>Evolución de Titulación de Posgrado por sexo y tipo de programa</t>
  </si>
  <si>
    <t>Evolución de Titulación de Posgrado por tipo de programa y jornada</t>
  </si>
  <si>
    <t>Lib. Gral B. O'Higgins</t>
  </si>
  <si>
    <t>Tipo de programa y Jornada</t>
  </si>
  <si>
    <t>Evolución de la Titulación Total por jornada de estudios del programa</t>
  </si>
  <si>
    <t>Evolución de Titulación de Magíster por área del conocimiento</t>
  </si>
  <si>
    <t>Evolución de Titulación de Doctorado por área del conocimiento</t>
  </si>
  <si>
    <t>Evolución de Titulación de Posgrado por región</t>
  </si>
  <si>
    <t>Listado de instituciones participantes, proceso 2024</t>
  </si>
  <si>
    <r>
      <t>Se utiliza el concepto genérico de</t>
    </r>
    <r>
      <rPr>
        <b/>
        <sz val="11"/>
        <color theme="1"/>
        <rFont val="Calibri"/>
        <family val="2"/>
        <scheme val="minor"/>
      </rPr>
      <t xml:space="preserve"> titulaciones </t>
    </r>
    <r>
      <rPr>
        <sz val="11"/>
        <color theme="1"/>
        <rFont val="Calibri"/>
        <family val="2"/>
        <scheme val="minor"/>
      </rPr>
      <t>para referirse al conjunto de los títulos, grados y certificaciones otorgados por las instituciones de Educación Superior en Chile, y que considera los títulos técnicos y profesionales, grados académicos de licenciado (cuando se trata de un título terminal), magíster y doctor, y las certificaciones de postítulo, diplomado y especialidad médica u odontológica.</t>
    </r>
  </si>
  <si>
    <t>1. TITULACIÓN TOTAL 2024</t>
  </si>
  <si>
    <t>Titulación Total 2024 por tipo de institución y nivel de formación</t>
  </si>
  <si>
    <t>Titulación Total 2024 por tipo de institución y sexo</t>
  </si>
  <si>
    <t>Titulación Total 2024 por tipo de institución 2 y nivel de formación</t>
  </si>
  <si>
    <t>Titulación Total 2024 por tipo de institución 2 y sexo</t>
  </si>
  <si>
    <t>Titulación Total 2024 por región y sexo</t>
  </si>
  <si>
    <t>2. EVOLUCIÓN TITULACIÓN TOTAL 2007 - 2024</t>
  </si>
  <si>
    <t>3. TITULACIÓN DE PREGRADO 2024</t>
  </si>
  <si>
    <t>Titulación Total 2024 de Pregrado por sexo y tipo de institución</t>
  </si>
  <si>
    <t xml:space="preserve">Titulación Total 2024 de Pregrado por rango de edad y tipo de institución </t>
  </si>
  <si>
    <t>Titulación Total 2024 de Pregrado por tipo de carrera y tipo de institución</t>
  </si>
  <si>
    <t>Titulación Total 2024 de Pregrado por jornada y tipo de institución</t>
  </si>
  <si>
    <t>Titulación Total 2024 de Pregrado por región y tipo de institución</t>
  </si>
  <si>
    <t>Titulación Total 2024 de Pregrado por región y sexo</t>
  </si>
  <si>
    <t>4. EVOLUCIÓN TITULACIÓN DE PREGRADO 2007 - 2024</t>
  </si>
  <si>
    <t>5. TITULACIÓN DE POSGRADO 2024</t>
  </si>
  <si>
    <t>Titulación Total 2024 de Posgrado por tipo de universidad y tipo de programa</t>
  </si>
  <si>
    <t>Titulación Total 2024 de Posgrado por sexo y tipo de programa</t>
  </si>
  <si>
    <t>Titulación Total 2024 de Posgrado por rango de edad y tipo de programa</t>
  </si>
  <si>
    <t>Titulación Total 2024 de Posgrado por jornada y tipo de programa</t>
  </si>
  <si>
    <t>Titulación Total 2024 de Posgrado por región y tipo de programa</t>
  </si>
  <si>
    <t>Titulación Total 2024 de Posgrado por región y sexo</t>
  </si>
  <si>
    <t>6. EVOLUCIÓN TITULACIÓN DE POSGRADO 2007 - 2024</t>
  </si>
  <si>
    <t>7. TITULACIÓN DE POSTÍTULO 2024</t>
  </si>
  <si>
    <t>Titulación Total 2024 de Postítulo por tipo de universidad y tipo de programa</t>
  </si>
  <si>
    <t>Titulación Total 2024 de Postítulo por sexo y tipo de programa</t>
  </si>
  <si>
    <t>Titulación Total 2024 de Postítulo por rango de edad y tipo de programa</t>
  </si>
  <si>
    <t>Titulación Total 2024 de Postítulo por jornada y tipo de programa</t>
  </si>
  <si>
    <t>Titulación Total 2024 de Postítulo por región y tipo de programa</t>
  </si>
  <si>
    <t>Titulación Total 2024 de Postítulo por región y sexo</t>
  </si>
  <si>
    <t>8. EVOLUCIÓN TITULACIÓN DE POSTÍTULO 2007 - 2024</t>
  </si>
  <si>
    <t>TITULACIÓN TOTAL 2024</t>
  </si>
  <si>
    <t>% Variación 2015 - 2024</t>
  </si>
  <si>
    <t>% Variación 2020  - 2024</t>
  </si>
  <si>
    <t>% Variación 2023 - 2024</t>
  </si>
  <si>
    <t>EVOLUCIÓN TITULACIÓN TOTAL 2007 - 2024</t>
  </si>
  <si>
    <t>Distribución Titulación 2024</t>
  </si>
  <si>
    <t>TITULACIÓN DE PREGRADO 2024</t>
  </si>
  <si>
    <t>Titulación de Pregrado 2024 por sexo y tipo de institución</t>
  </si>
  <si>
    <t>Titulación 2024 de Pregrado Mujeres</t>
  </si>
  <si>
    <t>Titulación 2024 de Pregrado Hombres</t>
  </si>
  <si>
    <t>Titulación Total 2024 de Pregrado</t>
  </si>
  <si>
    <t xml:space="preserve">Titulación de Pregrado 2024 por rango de edad y tipo de institución </t>
  </si>
  <si>
    <t>Titulación de Pregrado 2024 por tipo de carrera y de institución</t>
  </si>
  <si>
    <t>Titulación de Pregrado 2024 por jornada y tipo de institución</t>
  </si>
  <si>
    <t>Titulación de Pregrado 2024 por región y sexo</t>
  </si>
  <si>
    <t>TITULACIÓN DE POSGRADO 2024</t>
  </si>
  <si>
    <t>Titulación de Posgrado 2024 por tipo de universidad y de programa</t>
  </si>
  <si>
    <t>Titulación de Posgrado 2024 por sexo y tipo de programa</t>
  </si>
  <si>
    <t>Titulación 2024 de Posgrado Mujeres</t>
  </si>
  <si>
    <t>Titulación 2024 de Posgrado Hombres</t>
  </si>
  <si>
    <t>Titulación Total 2024 de Posgrado</t>
  </si>
  <si>
    <t>Titulación de Posgrado 2024 por rango de edad y tipo de programa</t>
  </si>
  <si>
    <t>Titulación de Posgrado 2024 por jornada y tipo de programa</t>
  </si>
  <si>
    <t>Titulación de Posgrado 2024 por región y tipo de programa</t>
  </si>
  <si>
    <t>Titulación de Posgrado 2024 por área del conocimiento y sexo</t>
  </si>
  <si>
    <t>Titulación de Posgrado 2024 por región y sexo</t>
  </si>
  <si>
    <t>TITULACIÓN DE POSTÍTULO 2024</t>
  </si>
  <si>
    <t>EVOLUCIÓN TITULACIÓN DE PREGRADO 2007 - 2024</t>
  </si>
  <si>
    <t>Instituciones participantes en proceso Titulación 2024</t>
  </si>
  <si>
    <t>Titulados Pregrado 2024</t>
  </si>
  <si>
    <t>Graduados Posgrado 2024</t>
  </si>
  <si>
    <t>Titulados Postítulo 2024</t>
  </si>
  <si>
    <t>INFORME TITULACIÓN 2024</t>
  </si>
  <si>
    <t>EVOLUCIÓN TITULACIÓN DE POSGRADO 2007 - 2024</t>
  </si>
  <si>
    <t>CFT DE LA REGION DE AYSEN DEL GENERAL CARLOS IBAÑEZ DEL CAMPO</t>
  </si>
  <si>
    <t>CFT DE LA REGION DEL BIO BIO</t>
  </si>
  <si>
    <t>CFT DE LA REGION DEL LIBERTADOR GENERAL BERNARDO O'HIGGINS</t>
  </si>
  <si>
    <t>CFT INSTITUTO SUPERIOR ALEMAN DE COMERCIO INSALCO</t>
  </si>
  <si>
    <t>IP SAN SEBASTIAN</t>
  </si>
  <si>
    <t>UNIVERSIDAD DE ARTE Y CIENCIAS SOCIALES ARCIS (* CARRERA EN CONVENIO U. CATOLICA DEL MAULE)</t>
  </si>
  <si>
    <t>UNIVERSIDAD IBEROAMERICANA DE CIENCIAS Y TECNOLOGIA, UNICYT (*CARRERA EN CONVENIO USACH)</t>
  </si>
  <si>
    <t>EVOLUCIÓN TITULACIÓN DE POSTÍTULO 2007 - 2024</t>
  </si>
  <si>
    <t>Titulación de Postítulo 2024 por tipo de institución y de programa</t>
  </si>
  <si>
    <t>Titulación de Postítulo 2024 por sexo y tipo de programa</t>
  </si>
  <si>
    <t>Titulación 2024 de Postìtulo Mujeres</t>
  </si>
  <si>
    <t>Titulación 2024 de Postítulo Hombres</t>
  </si>
  <si>
    <t>Titulación Total 2024 de Postítulo</t>
  </si>
  <si>
    <t>Titulación de Postítulo 2024 por rango de edad y tipo de programa</t>
  </si>
  <si>
    <t>Titulación de Postítulo 2024 por jornada y tipo de programa</t>
  </si>
  <si>
    <t>Titulación de Postítulo 2024 por región y tipo de programa</t>
  </si>
  <si>
    <t>Titulación de Postítulo 2024 por área y sexo</t>
  </si>
  <si>
    <t>Titulación de Postítulo 2024 por región y sexo</t>
  </si>
  <si>
    <t>Técnico en Farmacia</t>
  </si>
  <si>
    <t>Ingeniería en Logística</t>
  </si>
  <si>
    <t>Pedagogía en Educación Básica</t>
  </si>
  <si>
    <t>Ingeniería Civil en Computación e Informática</t>
  </si>
  <si>
    <t>Medicina Veterinaria</t>
  </si>
  <si>
    <t>Administración Pública</t>
  </si>
  <si>
    <t>Fonoaudiología</t>
  </si>
  <si>
    <t>Periodismo</t>
  </si>
  <si>
    <t>Química y Farmacia</t>
  </si>
  <si>
    <t>Ingeniería en Finanzas</t>
  </si>
  <si>
    <t>Administración Gastronómica</t>
  </si>
  <si>
    <t>Carreras Profesionales (*)</t>
  </si>
  <si>
    <t>Carreras Técnicas  (**)</t>
  </si>
  <si>
    <t>% Mujeres en STEM</t>
  </si>
  <si>
    <t>Evolución de Titulación de Pregrado en carreras de Pedagogías - Universidades</t>
  </si>
  <si>
    <t>Pedagogía en Artes y Música</t>
  </si>
  <si>
    <t>Pedagogía en Ciencias</t>
  </si>
  <si>
    <t>Pedagogía en Educación Media</t>
  </si>
  <si>
    <t>Pedagogía en Educación Técnico Profesional</t>
  </si>
  <si>
    <t>Pedagogía en Educación Tecnológica</t>
  </si>
  <si>
    <t>Pedagogía en Filosofía y Religión</t>
  </si>
  <si>
    <t>Pedagogía en Historia, Geografía y Ciencias Sociales</t>
  </si>
  <si>
    <t>Pedagogía en Idiomas</t>
  </si>
  <si>
    <t>Pedagogía en Lenguaje, Comunicación y/o Castellano</t>
  </si>
  <si>
    <t>Pedagogía en Matemáticas y Computación</t>
  </si>
  <si>
    <t>Programas de Formación Pedagógica</t>
  </si>
  <si>
    <t>Pedagogías</t>
  </si>
  <si>
    <t>Administración de Empresas y Derecho</t>
  </si>
  <si>
    <t>Agricultura, Silvicultura, Pesca y Veterinaria</t>
  </si>
  <si>
    <t>Artes y Humanidades</t>
  </si>
  <si>
    <t>Ciencias naturales, matemáticas y estadística</t>
  </si>
  <si>
    <t>Ciencias Sociales, Periodismo e Información</t>
  </si>
  <si>
    <t>Ingeniería, Industria y Construcción</t>
  </si>
  <si>
    <t>Salud y Bienestar</t>
  </si>
  <si>
    <t>Servicios</t>
  </si>
  <si>
    <t>Tecnología de la Información y la Comunicación (TIC)</t>
  </si>
  <si>
    <t>Titulación Total 2024 por área Cine/Unesco 2013 y sexo</t>
  </si>
  <si>
    <t>Titulación Total 2024 por área del conocimiento y sexo</t>
  </si>
  <si>
    <t>Titulación de Pregrado 2024 por CINE/Unesco 2013 y sexo</t>
  </si>
  <si>
    <t>Titulación de Pregrado 2024 por área CINE/Unesco 2013 y tipo de institución</t>
  </si>
  <si>
    <t>Titulación Total 2024 de Pregrado por área CINE/Unesco 2013 y tipo de institución</t>
  </si>
  <si>
    <t>Titulación Total 2024 de Pregrado por área CINE/Unesco 2013 y sexo</t>
  </si>
  <si>
    <t>Titulación Total 2024 de Pregrado por área del conocimiento y tipo de institución</t>
  </si>
  <si>
    <t>Titulación Total 2024 de Pregrado por área del conocimiento y sexo</t>
  </si>
  <si>
    <t>Titulación de Pregrado 2024 por área del conocimiento y tipo de institución</t>
  </si>
  <si>
    <t>Titulación de Pregrado 2024 por área del conocimiento y sexo</t>
  </si>
  <si>
    <t>Evolución de Titulación de Pregrado por área CINE/Unesco 2013</t>
  </si>
  <si>
    <t>Evolución de Titulación de Pregrado por área CINE/Unesco 2013 - Mujeres</t>
  </si>
  <si>
    <t>Evolución de Titulación de Pregrado por área CINE/Unesco 2013 - Hombres</t>
  </si>
  <si>
    <t>Evolución de Titulación de Pregrado por área del conocimiento</t>
  </si>
  <si>
    <t>Evolución de Titulación de Pregrado por área del conocimiento - Mujeres</t>
  </si>
  <si>
    <t>Evolución de Titulación de Pregrado por área del conocimiento- Hombres</t>
  </si>
  <si>
    <t>Evolución de Titulación Total de Pregrado por área del conocimiento</t>
  </si>
  <si>
    <t>Evolución de Titulación Total de Pregrado por área del conocimiento - Mujeres</t>
  </si>
  <si>
    <t>Evolución de Titulación Total de Pregrado por área del conocimiento - Hombres</t>
  </si>
  <si>
    <t>Evolución de Titulación Total de Pregrado por área CINE/Unesco 2013</t>
  </si>
  <si>
    <t>Evolución de Titulación Total de Pregrado por área CINE/Unesco 2013 - Mujeres</t>
  </si>
  <si>
    <t>Evolución de Titulación Total de Pregrado por área CINE/Unesco 2013- Hombres</t>
  </si>
  <si>
    <t>Titulación de Posgrado 2024 por área del conocimiento y tipo de programa</t>
  </si>
  <si>
    <t>Titulación de Posgrado 2024 por área CINE/Unesco 2013 y tipo de programa</t>
  </si>
  <si>
    <t>Magister</t>
  </si>
  <si>
    <t>Titulación de Posgrado 2024 por área CINE/Unesco 2013 y sexo</t>
  </si>
  <si>
    <t>Titulación Total 2024 de Posgrado por área del conocimiento y tipo de programa</t>
  </si>
  <si>
    <t>Titulación Total 2024 de Posgrado por área CINE/Unesco 2013 y tipo de programa</t>
  </si>
  <si>
    <t>Titulación Total 2024 de Posgrado por área del conocimiento y sexo</t>
  </si>
  <si>
    <t>Titulación Total 2024 de Posgrado por área CINE/Unesco 2013 y sexo</t>
  </si>
  <si>
    <t>Evolución de Titulación de Magíster por área CINE/Unesco 2013</t>
  </si>
  <si>
    <t>Evolución de Titulación de Doctorado por área CINE/Unesco 2013</t>
  </si>
  <si>
    <t>Titulación de Postítulo 2024 por área del conocimiento y tipo de programa</t>
  </si>
  <si>
    <t>Titulación Total 2024 por área CINE/Unesco 2013 y sexo</t>
  </si>
  <si>
    <t>Titulación de Postítulo 2024 por área CINE/Unesco y tipo de programa</t>
  </si>
  <si>
    <t>Titulación Total 2024 de Postítulo por área del conocimiento y tipo de programa</t>
  </si>
  <si>
    <t>Titulación Total 2024 de Postítulo por área CINE/Unesco y tipo de programa</t>
  </si>
  <si>
    <t>Titulación Total 2024 de Postítulo por área del conocimiento y sexo</t>
  </si>
  <si>
    <t>Titulación Total 2024 de Postítulo por área CINE/Unesco y sexo</t>
  </si>
  <si>
    <t>Dif 2024-2023</t>
  </si>
  <si>
    <t>Diurna</t>
  </si>
  <si>
    <t>Vespertina</t>
  </si>
  <si>
    <t>Otra</t>
  </si>
  <si>
    <t>No Binario o Indefinido</t>
  </si>
  <si>
    <t>Titulación 2024 de Pregrado No Binario o Indefinido</t>
  </si>
  <si>
    <t>Titulación 2024 de Posgrado No Binario o Indefinido</t>
  </si>
  <si>
    <t>Titulación 2024 de Postítulo No Binario o Indefinido</t>
  </si>
  <si>
    <t>Evolución de Titulación Total por región (solo programas presenciales y semipresenciales)</t>
  </si>
  <si>
    <t xml:space="preserve"> </t>
  </si>
  <si>
    <t>Evolución de Titulación de Pregrado en carreras con mayor titulación (más de 500 titulaciones en 2024) - CFT</t>
  </si>
  <si>
    <t>Evolución de Titulación de Pregrado en carreras con mayor titulación (más de 1.000 titulaciones en 2024) - IP</t>
  </si>
  <si>
    <t>Evolución de Titulación de Pregrado en carreras con mayor titulación (más de 1.000 titulaciones en 2024) - Universidades</t>
  </si>
  <si>
    <t>Total Titulados y Graduados 2024</t>
  </si>
  <si>
    <t>(*) Incluye las carreras profesionales sin licenciatura, las licenciaturas no conducentes a título y las profesionales con licenciatura</t>
  </si>
  <si>
    <t>A partir de 2019 las universidades Alberto Hurtado y Diego Portales, y desde 2020 la Universidad de los Andes se integraron al Consejo de Rectores (CRUCH).</t>
  </si>
  <si>
    <t>Diplomado 
(desde un semestre)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</si>
</sst>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 * #,##0_ ;_ * \-#,##0_ ;_ * &quot;-&quot;_ ;_ @_ "/>
    <numFmt numFmtId="165" formatCode="_-* #,##0.00\ _€_-;\-* #,##0.00\ _€_-;_-* &quot;-&quot;??\ _€_-;_-@_-"/>
    <numFmt numFmtId="166" formatCode="_-* #,##0_-;\-* #,##0_-;_-* &quot;-&quot;??_-;_-@_-"/>
    <numFmt numFmtId="167" formatCode="0.0%"/>
    <numFmt numFmtId="168" formatCode="_-* #,##0.0_-;\-* #,##0.0_-;_-* &quot;-&quot;??_-;_-@_-"/>
    <numFmt numFmtId="169" formatCode="_-* #,##0\ _€_-;\-* #,##0\ _€_-;_-* &quot;-&quot;??\ _€_-;_-@_-"/>
    <numFmt numFmtId="170" formatCode="_-* #,##0.0\ _€_-;\-* #,##0.0\ _€_-;_-* &quot;-&quot;??\ _€_-;_-@_-"/>
  </numFmts>
  <fonts count="27" x14ac:knownFonts="1"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26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MS Sans Serif"/>
      <family val="2"/>
    </font>
    <font>
      <sz val="11"/>
      <color theme="1"/>
      <name val="Calibri Light"/>
      <family val="2"/>
      <scheme val="major"/>
    </font>
    <font>
      <b/>
      <sz val="1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6">
    <xf numFmtId="0" fontId="0" fillId="0" borderId="0"/>
    <xf numFmtId="0" fontId="7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18" fillId="0" borderId="0"/>
    <xf numFmtId="9" fontId="19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9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3" fillId="0" borderId="0"/>
    <xf numFmtId="164" fontId="5" fillId="0" borderId="0" applyFont="0" applyFill="0" applyBorder="0" applyAlignment="0" applyProtection="0"/>
  </cellStyleXfs>
  <cellXfs count="176">
    <xf numFmtId="0" fontId="0" fillId="0" borderId="0" xfId="0"/>
    <xf numFmtId="0" fontId="7" fillId="0" borderId="0" xfId="1" applyAlignment="1">
      <alignment vertical="center"/>
    </xf>
    <xf numFmtId="0" fontId="7" fillId="0" borderId="0" xfId="1"/>
    <xf numFmtId="0" fontId="6" fillId="2" borderId="1" xfId="1" applyFont="1" applyFill="1" applyBorder="1" applyAlignment="1">
      <alignment horizontal="center" vertical="center"/>
    </xf>
    <xf numFmtId="166" fontId="5" fillId="3" borderId="1" xfId="2" applyNumberFormat="1" applyFont="1" applyFill="1" applyBorder="1" applyAlignment="1">
      <alignment horizontal="left" vertical="center"/>
    </xf>
    <xf numFmtId="166" fontId="6" fillId="3" borderId="1" xfId="2" applyNumberFormat="1" applyFont="1" applyFill="1" applyBorder="1" applyAlignment="1">
      <alignment horizontal="left" vertical="center"/>
    </xf>
    <xf numFmtId="0" fontId="6" fillId="4" borderId="1" xfId="1" applyFont="1" applyFill="1" applyBorder="1" applyAlignment="1">
      <alignment horizontal="center" vertical="center" wrapText="1"/>
    </xf>
    <xf numFmtId="166" fontId="5" fillId="3" borderId="1" xfId="4" applyNumberFormat="1" applyFont="1" applyFill="1" applyBorder="1" applyAlignment="1">
      <alignment horizontal="left" vertical="center"/>
    </xf>
    <xf numFmtId="166" fontId="5" fillId="0" borderId="1" xfId="4" applyNumberFormat="1" applyFont="1" applyBorder="1" applyAlignment="1">
      <alignment horizontal="center" vertical="center"/>
    </xf>
    <xf numFmtId="166" fontId="6" fillId="3" borderId="1" xfId="4" applyNumberFormat="1" applyFont="1" applyFill="1" applyBorder="1" applyAlignment="1">
      <alignment horizontal="left" vertical="center"/>
    </xf>
    <xf numFmtId="166" fontId="6" fillId="0" borderId="1" xfId="4" applyNumberFormat="1" applyFont="1" applyBorder="1" applyAlignment="1">
      <alignment horizontal="center" vertical="center"/>
    </xf>
    <xf numFmtId="0" fontId="12" fillId="0" borderId="0" xfId="1" applyFont="1" applyAlignment="1">
      <alignment vertical="center"/>
    </xf>
    <xf numFmtId="0" fontId="6" fillId="2" borderId="1" xfId="1" applyFont="1" applyFill="1" applyBorder="1" applyAlignment="1">
      <alignment horizontal="center" vertical="center" wrapText="1"/>
    </xf>
    <xf numFmtId="167" fontId="0" fillId="0" borderId="0" xfId="3" applyNumberFormat="1" applyFont="1"/>
    <xf numFmtId="166" fontId="6" fillId="0" borderId="1" xfId="1" applyNumberFormat="1" applyFont="1" applyBorder="1" applyAlignment="1">
      <alignment vertical="center"/>
    </xf>
    <xf numFmtId="166" fontId="5" fillId="0" borderId="1" xfId="1" applyNumberFormat="1" applyFont="1" applyBorder="1" applyAlignment="1">
      <alignment vertical="center"/>
    </xf>
    <xf numFmtId="166" fontId="5" fillId="0" borderId="1" xfId="4" applyNumberFormat="1" applyFont="1" applyFill="1" applyBorder="1" applyAlignment="1">
      <alignment horizontal="left" vertical="center"/>
    </xf>
    <xf numFmtId="166" fontId="6" fillId="0" borderId="1" xfId="4" applyNumberFormat="1" applyFont="1" applyFill="1" applyBorder="1" applyAlignment="1">
      <alignment horizontal="left" vertical="center"/>
    </xf>
    <xf numFmtId="166" fontId="5" fillId="3" borderId="1" xfId="2" applyNumberFormat="1" applyFont="1" applyFill="1" applyBorder="1" applyAlignment="1">
      <alignment horizontal="center" vertical="center"/>
    </xf>
    <xf numFmtId="166" fontId="6" fillId="3" borderId="1" xfId="2" applyNumberFormat="1" applyFont="1" applyFill="1" applyBorder="1" applyAlignment="1">
      <alignment horizontal="center" vertical="center"/>
    </xf>
    <xf numFmtId="166" fontId="6" fillId="0" borderId="1" xfId="1" applyNumberFormat="1" applyFont="1" applyBorder="1" applyAlignment="1">
      <alignment horizontal="center" vertical="center"/>
    </xf>
    <xf numFmtId="166" fontId="5" fillId="0" borderId="1" xfId="1" applyNumberFormat="1" applyFont="1" applyBorder="1" applyAlignment="1">
      <alignment horizontal="center" vertical="center"/>
    </xf>
    <xf numFmtId="0" fontId="9" fillId="3" borderId="0" xfId="1" applyFont="1" applyFill="1" applyAlignment="1">
      <alignment vertical="center"/>
    </xf>
    <xf numFmtId="0" fontId="16" fillId="0" borderId="0" xfId="1" applyFont="1" applyAlignment="1">
      <alignment vertical="center"/>
    </xf>
    <xf numFmtId="0" fontId="12" fillId="0" borderId="0" xfId="1" applyFont="1" applyAlignment="1">
      <alignment horizontal="center" vertical="center"/>
    </xf>
    <xf numFmtId="0" fontId="7" fillId="0" borderId="0" xfId="1" applyAlignment="1">
      <alignment horizontal="center" vertical="center"/>
    </xf>
    <xf numFmtId="0" fontId="8" fillId="0" borderId="0" xfId="1" applyFont="1" applyAlignment="1">
      <alignment vertical="center"/>
    </xf>
    <xf numFmtId="166" fontId="0" fillId="3" borderId="1" xfId="2" applyNumberFormat="1" applyFont="1" applyFill="1" applyBorder="1" applyAlignment="1">
      <alignment horizontal="left" vertical="center"/>
    </xf>
    <xf numFmtId="0" fontId="7" fillId="0" borderId="0" xfId="1" applyAlignment="1">
      <alignment horizontal="left" vertical="center"/>
    </xf>
    <xf numFmtId="166" fontId="5" fillId="3" borderId="1" xfId="7" applyNumberFormat="1" applyFont="1" applyFill="1" applyBorder="1" applyAlignment="1">
      <alignment horizontal="left" vertical="center"/>
    </xf>
    <xf numFmtId="0" fontId="8" fillId="3" borderId="0" xfId="1" applyFont="1" applyFill="1" applyAlignment="1">
      <alignment vertical="center"/>
    </xf>
    <xf numFmtId="0" fontId="7" fillId="3" borderId="0" xfId="1" applyFill="1" applyAlignment="1">
      <alignment vertical="center"/>
    </xf>
    <xf numFmtId="0" fontId="9" fillId="3" borderId="0" xfId="1" applyFont="1" applyFill="1" applyAlignment="1">
      <alignment horizontal="left" vertical="center"/>
    </xf>
    <xf numFmtId="169" fontId="5" fillId="0" borderId="1" xfId="22" applyNumberFormat="1" applyFont="1" applyBorder="1" applyAlignment="1">
      <alignment horizontal="center" vertical="center"/>
    </xf>
    <xf numFmtId="169" fontId="6" fillId="0" borderId="1" xfId="22" applyNumberFormat="1" applyFont="1" applyBorder="1" applyAlignment="1">
      <alignment horizontal="center" vertical="center"/>
    </xf>
    <xf numFmtId="169" fontId="7" fillId="0" borderId="0" xfId="22" applyNumberFormat="1" applyFont="1" applyAlignment="1">
      <alignment vertical="center"/>
    </xf>
    <xf numFmtId="169" fontId="7" fillId="3" borderId="0" xfId="22" applyNumberFormat="1" applyFont="1" applyFill="1" applyAlignment="1">
      <alignment vertical="center"/>
    </xf>
    <xf numFmtId="169" fontId="6" fillId="4" borderId="1" xfId="22" applyNumberFormat="1" applyFont="1" applyFill="1" applyBorder="1" applyAlignment="1">
      <alignment horizontal="center" vertical="center" wrapText="1"/>
    </xf>
    <xf numFmtId="169" fontId="14" fillId="0" borderId="1" xfId="22" applyNumberFormat="1" applyFont="1" applyFill="1" applyBorder="1" applyAlignment="1">
      <alignment horizontal="right" vertical="center"/>
    </xf>
    <xf numFmtId="169" fontId="15" fillId="0" borderId="1" xfId="22" applyNumberFormat="1" applyFont="1" applyFill="1" applyBorder="1" applyAlignment="1">
      <alignment horizontal="right" vertical="center"/>
    </xf>
    <xf numFmtId="169" fontId="7" fillId="0" borderId="0" xfId="22" applyNumberFormat="1" applyFont="1"/>
    <xf numFmtId="169" fontId="21" fillId="2" borderId="1" xfId="22" applyNumberFormat="1" applyFont="1" applyFill="1" applyBorder="1" applyAlignment="1">
      <alignment horizontal="center" vertical="center" wrapText="1"/>
    </xf>
    <xf numFmtId="169" fontId="9" fillId="3" borderId="0" xfId="22" applyNumberFormat="1" applyFont="1" applyFill="1" applyAlignment="1">
      <alignment vertical="center"/>
    </xf>
    <xf numFmtId="169" fontId="6" fillId="4" borderId="1" xfId="22" applyNumberFormat="1" applyFont="1" applyFill="1" applyBorder="1" applyAlignment="1">
      <alignment vertical="center"/>
    </xf>
    <xf numFmtId="169" fontId="0" fillId="0" borderId="1" xfId="22" applyNumberFormat="1" applyFont="1" applyBorder="1" applyAlignment="1">
      <alignment vertical="center"/>
    </xf>
    <xf numFmtId="169" fontId="6" fillId="0" borderId="1" xfId="22" applyNumberFormat="1" applyFont="1" applyBorder="1" applyAlignment="1">
      <alignment vertical="center"/>
    </xf>
    <xf numFmtId="169" fontId="6" fillId="2" borderId="1" xfId="22" applyNumberFormat="1" applyFont="1" applyFill="1" applyBorder="1" applyAlignment="1">
      <alignment horizontal="left" vertical="center"/>
    </xf>
    <xf numFmtId="169" fontId="5" fillId="3" borderId="1" xfId="22" applyNumberFormat="1" applyFont="1" applyFill="1" applyBorder="1" applyAlignment="1">
      <alignment horizontal="left" vertical="center"/>
    </xf>
    <xf numFmtId="169" fontId="6" fillId="3" borderId="1" xfId="22" applyNumberFormat="1" applyFont="1" applyFill="1" applyBorder="1" applyAlignment="1">
      <alignment horizontal="left" vertical="center"/>
    </xf>
    <xf numFmtId="169" fontId="6" fillId="4" borderId="1" xfId="22" applyNumberFormat="1" applyFont="1" applyFill="1" applyBorder="1" applyAlignment="1">
      <alignment horizontal="left" vertical="center"/>
    </xf>
    <xf numFmtId="169" fontId="6" fillId="3" borderId="0" xfId="22" applyNumberFormat="1" applyFont="1" applyFill="1" applyBorder="1" applyAlignment="1">
      <alignment vertical="center"/>
    </xf>
    <xf numFmtId="169" fontId="8" fillId="3" borderId="0" xfId="22" applyNumberFormat="1" applyFont="1" applyFill="1" applyAlignment="1">
      <alignment vertical="center"/>
    </xf>
    <xf numFmtId="169" fontId="5" fillId="0" borderId="1" xfId="22" applyNumberFormat="1" applyFont="1" applyFill="1" applyBorder="1" applyAlignment="1">
      <alignment horizontal="center" vertical="center"/>
    </xf>
    <xf numFmtId="169" fontId="6" fillId="0" borderId="1" xfId="22" applyNumberFormat="1" applyFont="1" applyFill="1" applyBorder="1" applyAlignment="1">
      <alignment horizontal="center" vertical="center"/>
    </xf>
    <xf numFmtId="0" fontId="22" fillId="3" borderId="0" xfId="1" applyFont="1" applyFill="1" applyAlignment="1">
      <alignment vertical="center"/>
    </xf>
    <xf numFmtId="167" fontId="0" fillId="3" borderId="0" xfId="3" applyNumberFormat="1" applyFont="1" applyFill="1" applyAlignment="1">
      <alignment vertical="center"/>
    </xf>
    <xf numFmtId="9" fontId="0" fillId="3" borderId="0" xfId="3" applyFont="1" applyFill="1" applyAlignment="1">
      <alignment vertical="center"/>
    </xf>
    <xf numFmtId="0" fontId="10" fillId="3" borderId="0" xfId="1" applyFont="1" applyFill="1" applyAlignment="1">
      <alignment horizontal="left" vertical="center"/>
    </xf>
    <xf numFmtId="0" fontId="11" fillId="3" borderId="0" xfId="5" applyFill="1" applyAlignment="1">
      <alignment vertical="center"/>
    </xf>
    <xf numFmtId="0" fontId="12" fillId="3" borderId="0" xfId="1" applyFont="1" applyFill="1" applyAlignment="1">
      <alignment vertical="center"/>
    </xf>
    <xf numFmtId="169" fontId="7" fillId="3" borderId="0" xfId="22" applyNumberFormat="1" applyFont="1" applyFill="1"/>
    <xf numFmtId="169" fontId="11" fillId="3" borderId="0" xfId="22" applyNumberFormat="1" applyFont="1" applyFill="1"/>
    <xf numFmtId="0" fontId="13" fillId="3" borderId="0" xfId="1" applyFont="1" applyFill="1" applyAlignment="1">
      <alignment horizontal="left" vertical="center"/>
    </xf>
    <xf numFmtId="0" fontId="7" fillId="3" borderId="0" xfId="1" applyFill="1" applyAlignment="1">
      <alignment horizontal="left" vertical="center"/>
    </xf>
    <xf numFmtId="0" fontId="8" fillId="3" borderId="0" xfId="1" applyFont="1" applyFill="1" applyAlignment="1">
      <alignment horizontal="left" vertical="center"/>
    </xf>
    <xf numFmtId="0" fontId="11" fillId="3" borderId="0" xfId="5" applyFill="1" applyAlignment="1">
      <alignment horizontal="left" vertical="center"/>
    </xf>
    <xf numFmtId="166" fontId="6" fillId="0" borderId="1" xfId="2" applyNumberFormat="1" applyFont="1" applyFill="1" applyBorder="1" applyAlignment="1">
      <alignment horizontal="left" vertical="center"/>
    </xf>
    <xf numFmtId="166" fontId="6" fillId="0" borderId="1" xfId="2" applyNumberFormat="1" applyFont="1" applyFill="1" applyBorder="1" applyAlignment="1">
      <alignment horizontal="center" vertical="center"/>
    </xf>
    <xf numFmtId="169" fontId="6" fillId="0" borderId="1" xfId="22" applyNumberFormat="1" applyFont="1" applyFill="1" applyBorder="1" applyAlignment="1">
      <alignment horizontal="left" vertical="center"/>
    </xf>
    <xf numFmtId="0" fontId="6" fillId="4" borderId="1" xfId="1" applyFont="1" applyFill="1" applyBorder="1" applyAlignment="1">
      <alignment horizontal="center" vertical="center"/>
    </xf>
    <xf numFmtId="166" fontId="5" fillId="3" borderId="1" xfId="2" applyNumberFormat="1" applyFont="1" applyFill="1" applyBorder="1" applyAlignment="1">
      <alignment horizontal="left" vertical="center" indent="1"/>
    </xf>
    <xf numFmtId="0" fontId="22" fillId="3" borderId="0" xfId="1" applyFont="1" applyFill="1" applyAlignment="1">
      <alignment horizontal="left" vertical="center"/>
    </xf>
    <xf numFmtId="169" fontId="22" fillId="3" borderId="0" xfId="22" applyNumberFormat="1" applyFont="1" applyFill="1" applyAlignment="1">
      <alignment vertical="center"/>
    </xf>
    <xf numFmtId="166" fontId="6" fillId="4" borderId="1" xfId="2" applyNumberFormat="1" applyFont="1" applyFill="1" applyBorder="1" applyAlignment="1">
      <alignment horizontal="left" vertical="center"/>
    </xf>
    <xf numFmtId="169" fontId="6" fillId="4" borderId="1" xfId="22" applyNumberFormat="1" applyFont="1" applyFill="1" applyBorder="1" applyAlignment="1">
      <alignment horizontal="left" vertical="center" wrapText="1"/>
    </xf>
    <xf numFmtId="166" fontId="0" fillId="3" borderId="1" xfId="4" applyNumberFormat="1" applyFont="1" applyFill="1" applyBorder="1" applyAlignment="1">
      <alignment horizontal="left" vertical="center"/>
    </xf>
    <xf numFmtId="169" fontId="0" fillId="3" borderId="1" xfId="22" applyNumberFormat="1" applyFont="1" applyFill="1" applyBorder="1" applyAlignment="1">
      <alignment horizontal="left" vertical="center"/>
    </xf>
    <xf numFmtId="167" fontId="5" fillId="4" borderId="1" xfId="3" applyNumberFormat="1" applyFont="1" applyFill="1" applyBorder="1" applyAlignment="1">
      <alignment horizontal="center" vertical="center"/>
    </xf>
    <xf numFmtId="168" fontId="6" fillId="4" borderId="1" xfId="2" applyNumberFormat="1" applyFont="1" applyFill="1" applyBorder="1" applyAlignment="1">
      <alignment horizontal="left" vertical="center"/>
    </xf>
    <xf numFmtId="170" fontId="6" fillId="4" borderId="1" xfId="22" applyNumberFormat="1" applyFont="1" applyFill="1" applyBorder="1" applyAlignment="1">
      <alignment horizontal="center" vertical="center"/>
    </xf>
    <xf numFmtId="166" fontId="0" fillId="0" borderId="1" xfId="4" applyNumberFormat="1" applyFont="1" applyFill="1" applyBorder="1" applyAlignment="1">
      <alignment horizontal="left" vertical="center"/>
    </xf>
    <xf numFmtId="169" fontId="0" fillId="0" borderId="1" xfId="22" applyNumberFormat="1" applyFont="1" applyFill="1" applyBorder="1" applyAlignment="1">
      <alignment horizontal="left" vertical="center"/>
    </xf>
    <xf numFmtId="170" fontId="6" fillId="4" borderId="1" xfId="22" applyNumberFormat="1" applyFont="1" applyFill="1" applyBorder="1" applyAlignment="1">
      <alignment horizontal="left" vertical="center"/>
    </xf>
    <xf numFmtId="0" fontId="11" fillId="0" borderId="0" xfId="5" applyFill="1"/>
    <xf numFmtId="166" fontId="6" fillId="3" borderId="1" xfId="1" applyNumberFormat="1" applyFont="1" applyFill="1" applyBorder="1" applyAlignment="1">
      <alignment horizontal="center" vertical="center"/>
    </xf>
    <xf numFmtId="167" fontId="5" fillId="3" borderId="0" xfId="3" applyNumberFormat="1" applyFont="1" applyFill="1" applyBorder="1" applyAlignment="1">
      <alignment horizontal="center" vertical="center"/>
    </xf>
    <xf numFmtId="167" fontId="7" fillId="0" borderId="0" xfId="23" applyNumberFormat="1" applyFont="1" applyAlignment="1">
      <alignment horizontal="right" vertical="center"/>
    </xf>
    <xf numFmtId="167" fontId="7" fillId="0" borderId="0" xfId="23" applyNumberFormat="1" applyFont="1" applyAlignment="1">
      <alignment vertical="center"/>
    </xf>
    <xf numFmtId="167" fontId="5" fillId="0" borderId="1" xfId="23" applyNumberFormat="1" applyFont="1" applyFill="1" applyBorder="1" applyAlignment="1">
      <alignment horizontal="center" vertical="center"/>
    </xf>
    <xf numFmtId="167" fontId="6" fillId="0" borderId="1" xfId="23" applyNumberFormat="1" applyFont="1" applyFill="1" applyBorder="1" applyAlignment="1">
      <alignment horizontal="center" vertical="center"/>
    </xf>
    <xf numFmtId="167" fontId="5" fillId="0" borderId="1" xfId="3" applyNumberFormat="1" applyFont="1" applyFill="1" applyBorder="1" applyAlignment="1">
      <alignment horizontal="center" vertical="center"/>
    </xf>
    <xf numFmtId="167" fontId="6" fillId="0" borderId="1" xfId="3" applyNumberFormat="1" applyFont="1" applyFill="1" applyBorder="1" applyAlignment="1">
      <alignment horizontal="center" vertical="center"/>
    </xf>
    <xf numFmtId="166" fontId="5" fillId="0" borderId="1" xfId="2" applyNumberFormat="1" applyFont="1" applyFill="1" applyBorder="1" applyAlignment="1">
      <alignment horizontal="left" vertical="center"/>
    </xf>
    <xf numFmtId="166" fontId="5" fillId="0" borderId="1" xfId="2" applyNumberFormat="1" applyFont="1" applyFill="1" applyBorder="1" applyAlignment="1">
      <alignment horizontal="center" vertical="center"/>
    </xf>
    <xf numFmtId="166" fontId="5" fillId="0" borderId="1" xfId="2" applyNumberFormat="1" applyFont="1" applyFill="1" applyBorder="1" applyAlignment="1">
      <alignment horizontal="left" vertical="center" indent="1"/>
    </xf>
    <xf numFmtId="167" fontId="7" fillId="3" borderId="0" xfId="23" applyNumberFormat="1" applyFont="1" applyFill="1" applyAlignment="1">
      <alignment horizontal="center" vertical="center"/>
    </xf>
    <xf numFmtId="167" fontId="23" fillId="0" borderId="0" xfId="23" applyNumberFormat="1" applyFont="1" applyAlignment="1">
      <alignment vertical="center"/>
    </xf>
    <xf numFmtId="0" fontId="13" fillId="3" borderId="0" xfId="1" applyFont="1" applyFill="1" applyAlignment="1">
      <alignment vertical="center"/>
    </xf>
    <xf numFmtId="167" fontId="6" fillId="3" borderId="0" xfId="23" applyNumberFormat="1" applyFont="1" applyFill="1" applyBorder="1" applyAlignment="1">
      <alignment horizontal="right" vertical="center"/>
    </xf>
    <xf numFmtId="166" fontId="7" fillId="3" borderId="0" xfId="1" applyNumberFormat="1" applyFill="1" applyAlignment="1">
      <alignment vertical="center"/>
    </xf>
    <xf numFmtId="167" fontId="7" fillId="3" borderId="0" xfId="23" applyNumberFormat="1" applyFont="1" applyFill="1" applyAlignment="1">
      <alignment vertical="center"/>
    </xf>
    <xf numFmtId="166" fontId="7" fillId="0" borderId="0" xfId="1" applyNumberFormat="1" applyAlignment="1">
      <alignment horizontal="left" vertical="center"/>
    </xf>
    <xf numFmtId="167" fontId="7" fillId="0" borderId="0" xfId="23" applyNumberFormat="1" applyFont="1" applyAlignment="1">
      <alignment horizontal="center" vertical="center"/>
    </xf>
    <xf numFmtId="167" fontId="10" fillId="3" borderId="0" xfId="23" applyNumberFormat="1" applyFont="1" applyFill="1" applyAlignment="1">
      <alignment horizontal="right" vertical="center"/>
    </xf>
    <xf numFmtId="167" fontId="7" fillId="3" borderId="0" xfId="1" applyNumberFormat="1" applyFill="1" applyAlignment="1">
      <alignment vertical="center"/>
    </xf>
    <xf numFmtId="169" fontId="5" fillId="3" borderId="1" xfId="22" applyNumberFormat="1" applyFont="1" applyFill="1" applyBorder="1" applyAlignment="1">
      <alignment horizontal="center" vertical="center"/>
    </xf>
    <xf numFmtId="169" fontId="6" fillId="3" borderId="1" xfId="22" applyNumberFormat="1" applyFont="1" applyFill="1" applyBorder="1" applyAlignment="1">
      <alignment horizontal="center" vertical="center"/>
    </xf>
    <xf numFmtId="0" fontId="9" fillId="0" borderId="0" xfId="1" applyFont="1" applyAlignment="1">
      <alignment horizontal="left" vertical="center"/>
    </xf>
    <xf numFmtId="170" fontId="6" fillId="5" borderId="1" xfId="22" applyNumberFormat="1" applyFont="1" applyFill="1" applyBorder="1" applyAlignment="1">
      <alignment horizontal="left" vertical="center"/>
    </xf>
    <xf numFmtId="167" fontId="6" fillId="5" borderId="1" xfId="3" applyNumberFormat="1" applyFont="1" applyFill="1" applyBorder="1" applyAlignment="1">
      <alignment horizontal="center" vertical="center"/>
    </xf>
    <xf numFmtId="167" fontId="5" fillId="5" borderId="1" xfId="3" applyNumberFormat="1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left" vertical="center"/>
    </xf>
    <xf numFmtId="0" fontId="2" fillId="3" borderId="0" xfId="6" applyFont="1" applyFill="1" applyAlignment="1">
      <alignment vertical="center"/>
    </xf>
    <xf numFmtId="0" fontId="0" fillId="3" borderId="0" xfId="1" applyFont="1" applyFill="1" applyAlignment="1">
      <alignment vertical="center"/>
    </xf>
    <xf numFmtId="166" fontId="0" fillId="3" borderId="1" xfId="2" applyNumberFormat="1" applyFont="1" applyFill="1" applyBorder="1" applyAlignment="1">
      <alignment horizontal="left" vertical="center" indent="1"/>
    </xf>
    <xf numFmtId="169" fontId="5" fillId="0" borderId="1" xfId="22" applyNumberFormat="1" applyFont="1" applyBorder="1"/>
    <xf numFmtId="0" fontId="24" fillId="3" borderId="0" xfId="0" applyFont="1" applyFill="1"/>
    <xf numFmtId="167" fontId="5" fillId="3" borderId="0" xfId="23" applyNumberFormat="1" applyFont="1" applyFill="1" applyAlignment="1">
      <alignment vertical="center"/>
    </xf>
    <xf numFmtId="164" fontId="5" fillId="3" borderId="0" xfId="25" applyFont="1" applyFill="1" applyBorder="1" applyAlignment="1">
      <alignment horizontal="right" vertical="center"/>
    </xf>
    <xf numFmtId="166" fontId="6" fillId="3" borderId="1" xfId="2" applyNumberFormat="1" applyFont="1" applyFill="1" applyBorder="1" applyAlignment="1">
      <alignment horizontal="left" vertical="center" indent="1"/>
    </xf>
    <xf numFmtId="167" fontId="5" fillId="3" borderId="0" xfId="23" applyNumberFormat="1" applyFont="1" applyFill="1" applyBorder="1" applyAlignment="1">
      <alignment horizontal="right" vertical="center"/>
    </xf>
    <xf numFmtId="170" fontId="6" fillId="0" borderId="0" xfId="22" applyNumberFormat="1" applyFont="1" applyFill="1" applyBorder="1" applyAlignment="1">
      <alignment horizontal="left" vertical="center"/>
    </xf>
    <xf numFmtId="167" fontId="6" fillId="0" borderId="0" xfId="3" applyNumberFormat="1" applyFont="1" applyFill="1" applyBorder="1" applyAlignment="1">
      <alignment horizontal="center" vertical="center"/>
    </xf>
    <xf numFmtId="167" fontId="5" fillId="0" borderId="0" xfId="3" applyNumberFormat="1" applyFont="1" applyFill="1" applyBorder="1" applyAlignment="1">
      <alignment horizontal="center" vertical="center"/>
    </xf>
    <xf numFmtId="167" fontId="5" fillId="0" borderId="0" xfId="23" applyNumberFormat="1" applyFont="1" applyFill="1" applyBorder="1" applyAlignment="1">
      <alignment horizontal="center" vertical="center"/>
    </xf>
    <xf numFmtId="167" fontId="26" fillId="3" borderId="0" xfId="23" applyNumberFormat="1" applyFont="1" applyFill="1" applyAlignment="1">
      <alignment horizontal="center" vertical="center"/>
    </xf>
    <xf numFmtId="167" fontId="7" fillId="0" borderId="0" xfId="23" applyNumberFormat="1" applyFont="1"/>
    <xf numFmtId="166" fontId="25" fillId="0" borderId="0" xfId="1" applyNumberFormat="1" applyFont="1" applyAlignment="1">
      <alignment vertical="center"/>
    </xf>
    <xf numFmtId="9" fontId="13" fillId="0" borderId="0" xfId="23" applyFont="1"/>
    <xf numFmtId="167" fontId="5" fillId="3" borderId="0" xfId="23" applyNumberFormat="1" applyFont="1" applyFill="1" applyBorder="1" applyAlignment="1">
      <alignment horizontal="center" vertical="center"/>
    </xf>
    <xf numFmtId="167" fontId="6" fillId="2" borderId="1" xfId="23" applyNumberFormat="1" applyFont="1" applyFill="1" applyBorder="1" applyAlignment="1">
      <alignment horizontal="center" vertical="center" wrapText="1"/>
    </xf>
    <xf numFmtId="0" fontId="5" fillId="3" borderId="0" xfId="1" applyFont="1" applyFill="1" applyAlignment="1">
      <alignment vertical="center"/>
    </xf>
    <xf numFmtId="164" fontId="25" fillId="0" borderId="0" xfId="25" applyFont="1" applyAlignment="1">
      <alignment vertical="center"/>
    </xf>
    <xf numFmtId="166" fontId="7" fillId="0" borderId="0" xfId="1" applyNumberFormat="1" applyAlignment="1">
      <alignment vertical="center"/>
    </xf>
    <xf numFmtId="166" fontId="6" fillId="3" borderId="0" xfId="2" applyNumberFormat="1" applyFont="1" applyFill="1" applyBorder="1" applyAlignment="1">
      <alignment horizontal="left" vertical="center"/>
    </xf>
    <xf numFmtId="167" fontId="6" fillId="3" borderId="0" xfId="23" applyNumberFormat="1" applyFont="1" applyFill="1" applyBorder="1" applyAlignment="1">
      <alignment horizontal="center" vertical="center"/>
    </xf>
    <xf numFmtId="167" fontId="7" fillId="3" borderId="0" xfId="23" applyNumberFormat="1" applyFont="1" applyFill="1" applyAlignment="1">
      <alignment horizontal="left" vertical="center"/>
    </xf>
    <xf numFmtId="167" fontId="7" fillId="3" borderId="0" xfId="1" applyNumberFormat="1" applyFill="1" applyAlignment="1">
      <alignment horizontal="left" vertical="center"/>
    </xf>
    <xf numFmtId="167" fontId="5" fillId="3" borderId="0" xfId="23" applyNumberFormat="1" applyFont="1" applyFill="1" applyAlignment="1">
      <alignment horizontal="center" vertical="center"/>
    </xf>
    <xf numFmtId="169" fontId="7" fillId="0" borderId="0" xfId="1" applyNumberFormat="1" applyAlignment="1">
      <alignment vertical="center"/>
    </xf>
    <xf numFmtId="166" fontId="6" fillId="3" borderId="1" xfId="7" applyNumberFormat="1" applyFont="1" applyFill="1" applyBorder="1" applyAlignment="1">
      <alignment horizontal="left" vertical="center"/>
    </xf>
    <xf numFmtId="164" fontId="5" fillId="0" borderId="1" xfId="25" applyFont="1" applyFill="1" applyBorder="1" applyAlignment="1">
      <alignment horizontal="center" vertical="center"/>
    </xf>
    <xf numFmtId="164" fontId="6" fillId="0" borderId="1" xfId="25" applyFont="1" applyFill="1" applyBorder="1" applyAlignment="1">
      <alignment horizontal="center" vertical="center"/>
    </xf>
    <xf numFmtId="167" fontId="6" fillId="0" borderId="0" xfId="23" applyNumberFormat="1" applyFont="1" applyFill="1" applyBorder="1" applyAlignment="1">
      <alignment horizontal="center" vertical="center"/>
    </xf>
    <xf numFmtId="164" fontId="5" fillId="3" borderId="1" xfId="25" applyFont="1" applyFill="1" applyBorder="1" applyAlignment="1">
      <alignment horizontal="left" vertical="center"/>
    </xf>
    <xf numFmtId="164" fontId="7" fillId="3" borderId="0" xfId="25" applyFont="1" applyFill="1" applyAlignment="1">
      <alignment vertical="center"/>
    </xf>
    <xf numFmtId="164" fontId="7" fillId="3" borderId="0" xfId="1" applyNumberFormat="1" applyFill="1" applyAlignment="1">
      <alignment vertical="center"/>
    </xf>
    <xf numFmtId="167" fontId="6" fillId="3" borderId="0" xfId="23" applyNumberFormat="1" applyFont="1" applyFill="1" applyBorder="1" applyAlignment="1">
      <alignment horizontal="left" vertical="center"/>
    </xf>
    <xf numFmtId="170" fontId="5" fillId="3" borderId="1" xfId="22" applyNumberFormat="1" applyFont="1" applyFill="1" applyBorder="1" applyAlignment="1">
      <alignment horizontal="center" vertical="center"/>
    </xf>
    <xf numFmtId="166" fontId="6" fillId="6" borderId="1" xfId="2" applyNumberFormat="1" applyFont="1" applyFill="1" applyBorder="1" applyAlignment="1">
      <alignment horizontal="left" vertical="center"/>
    </xf>
    <xf numFmtId="168" fontId="6" fillId="6" borderId="1" xfId="2" applyNumberFormat="1" applyFont="1" applyFill="1" applyBorder="1" applyAlignment="1">
      <alignment horizontal="left" vertical="center"/>
    </xf>
    <xf numFmtId="168" fontId="6" fillId="6" borderId="1" xfId="22" applyNumberFormat="1" applyFont="1" applyFill="1" applyBorder="1" applyAlignment="1">
      <alignment horizontal="left" vertical="center"/>
    </xf>
    <xf numFmtId="169" fontId="5" fillId="0" borderId="1" xfId="22" applyNumberFormat="1" applyFont="1" applyBorder="1" applyAlignment="1">
      <alignment vertical="center"/>
    </xf>
    <xf numFmtId="169" fontId="5" fillId="3" borderId="1" xfId="22" applyNumberFormat="1" applyFont="1" applyFill="1" applyBorder="1" applyAlignment="1">
      <alignment horizontal="left" vertical="center" indent="1"/>
    </xf>
    <xf numFmtId="169" fontId="5" fillId="3" borderId="1" xfId="22" quotePrefix="1" applyNumberFormat="1" applyFont="1" applyFill="1" applyBorder="1" applyAlignment="1">
      <alignment horizontal="left" vertical="center"/>
    </xf>
    <xf numFmtId="169" fontId="5" fillId="0" borderId="1" xfId="22" applyNumberFormat="1" applyFont="1" applyFill="1" applyBorder="1" applyAlignment="1">
      <alignment vertical="center"/>
    </xf>
    <xf numFmtId="166" fontId="0" fillId="0" borderId="1" xfId="2" applyNumberFormat="1" applyFont="1" applyFill="1" applyBorder="1" applyAlignment="1">
      <alignment horizontal="left" vertical="center"/>
    </xf>
    <xf numFmtId="166" fontId="5" fillId="0" borderId="0" xfId="2" applyNumberFormat="1" applyFont="1" applyFill="1" applyBorder="1" applyAlignment="1">
      <alignment horizontal="left" vertical="center"/>
    </xf>
    <xf numFmtId="166" fontId="5" fillId="0" borderId="1" xfId="7" applyNumberFormat="1" applyFont="1" applyFill="1" applyBorder="1" applyAlignment="1">
      <alignment horizontal="left" vertical="center"/>
    </xf>
    <xf numFmtId="167" fontId="5" fillId="4" borderId="1" xfId="23" applyNumberFormat="1" applyFont="1" applyFill="1" applyBorder="1" applyAlignment="1">
      <alignment horizontal="center" vertical="center"/>
    </xf>
    <xf numFmtId="166" fontId="5" fillId="4" borderId="1" xfId="7" applyNumberFormat="1" applyFont="1" applyFill="1" applyBorder="1" applyAlignment="1">
      <alignment horizontal="left" vertical="center"/>
    </xf>
    <xf numFmtId="167" fontId="6" fillId="4" borderId="1" xfId="23" applyNumberFormat="1" applyFont="1" applyFill="1" applyBorder="1" applyAlignment="1">
      <alignment horizontal="center" vertical="center"/>
    </xf>
    <xf numFmtId="0" fontId="11" fillId="0" borderId="0" xfId="5" applyAlignment="1">
      <alignment vertical="center"/>
    </xf>
    <xf numFmtId="166" fontId="6" fillId="3" borderId="0" xfId="4" applyNumberFormat="1" applyFont="1" applyFill="1" applyBorder="1" applyAlignment="1">
      <alignment horizontal="left" vertical="center"/>
    </xf>
    <xf numFmtId="169" fontId="6" fillId="0" borderId="0" xfId="22" applyNumberFormat="1" applyFont="1" applyFill="1" applyBorder="1" applyAlignment="1">
      <alignment horizontal="center" vertical="center"/>
    </xf>
    <xf numFmtId="169" fontId="5" fillId="0" borderId="0" xfId="22" applyNumberFormat="1" applyFont="1" applyFill="1" applyBorder="1" applyAlignment="1">
      <alignment vertical="center"/>
    </xf>
    <xf numFmtId="169" fontId="7" fillId="0" borderId="1" xfId="22" applyNumberFormat="1" applyFont="1" applyBorder="1"/>
    <xf numFmtId="169" fontId="12" fillId="0" borderId="1" xfId="22" applyNumberFormat="1" applyFont="1" applyBorder="1"/>
    <xf numFmtId="167" fontId="5" fillId="5" borderId="0" xfId="3" applyNumberFormat="1" applyFont="1" applyFill="1" applyBorder="1" applyAlignment="1">
      <alignment horizontal="center" vertical="center"/>
    </xf>
    <xf numFmtId="0" fontId="6" fillId="7" borderId="1" xfId="1" applyFont="1" applyFill="1" applyBorder="1" applyAlignment="1">
      <alignment horizontal="center" vertical="center" wrapText="1"/>
    </xf>
    <xf numFmtId="166" fontId="5" fillId="3" borderId="1" xfId="7" applyNumberFormat="1" applyFont="1" applyFill="1" applyBorder="1" applyAlignment="1">
      <alignment horizontal="left" vertical="center" indent="1"/>
    </xf>
    <xf numFmtId="170" fontId="6" fillId="8" borderId="1" xfId="22" applyNumberFormat="1" applyFont="1" applyFill="1" applyBorder="1" applyAlignment="1">
      <alignment horizontal="left" vertical="center"/>
    </xf>
    <xf numFmtId="169" fontId="5" fillId="0" borderId="0" xfId="22" applyNumberFormat="1" applyFont="1" applyFill="1" applyBorder="1" applyAlignment="1">
      <alignment horizontal="center" vertical="center"/>
    </xf>
    <xf numFmtId="0" fontId="5" fillId="3" borderId="0" xfId="1" applyFont="1" applyFill="1" applyAlignment="1">
      <alignment horizontal="left" vertical="center"/>
    </xf>
    <xf numFmtId="0" fontId="1" fillId="0" borderId="0" xfId="1" applyFont="1" applyAlignment="1">
      <alignment horizontal="left" vertical="center" wrapText="1"/>
    </xf>
    <xf numFmtId="0" fontId="7" fillId="0" borderId="0" xfId="1" applyAlignment="1">
      <alignment horizontal="left" vertical="center" wrapText="1"/>
    </xf>
  </cellXfs>
  <cellStyles count="26">
    <cellStyle name="Hipervínculo" xfId="5" builtinId="8"/>
    <cellStyle name="Millares" xfId="22" builtinId="3"/>
    <cellStyle name="Millares [0]" xfId="25" builtinId="6"/>
    <cellStyle name="Millares 2" xfId="2" xr:uid="{00000000-0005-0000-0000-000002000000}"/>
    <cellStyle name="Millares 2 2" xfId="8" xr:uid="{00000000-0005-0000-0000-000003000000}"/>
    <cellStyle name="Millares 3" xfId="13" xr:uid="{00000000-0005-0000-0000-000004000000}"/>
    <cellStyle name="Millares 4" xfId="4" xr:uid="{00000000-0005-0000-0000-000005000000}"/>
    <cellStyle name="Millares 4 2" xfId="21" xr:uid="{00000000-0005-0000-0000-000006000000}"/>
    <cellStyle name="Millares 5" xfId="7" xr:uid="{00000000-0005-0000-0000-000007000000}"/>
    <cellStyle name="Normal" xfId="0" builtinId="0"/>
    <cellStyle name="Normal 2" xfId="1" xr:uid="{00000000-0005-0000-0000-000009000000}"/>
    <cellStyle name="Normal 2 2" xfId="14" xr:uid="{00000000-0005-0000-0000-00000A000000}"/>
    <cellStyle name="Normal 2 3" xfId="10" xr:uid="{00000000-0005-0000-0000-00000B000000}"/>
    <cellStyle name="Normal 3" xfId="12" xr:uid="{00000000-0005-0000-0000-00000C000000}"/>
    <cellStyle name="Normal 3 2" xfId="15" xr:uid="{00000000-0005-0000-0000-00000D000000}"/>
    <cellStyle name="Normal 3 3" xfId="16" xr:uid="{00000000-0005-0000-0000-00000E000000}"/>
    <cellStyle name="Normal 3 4" xfId="17" xr:uid="{00000000-0005-0000-0000-00000F000000}"/>
    <cellStyle name="Normal 4" xfId="18" xr:uid="{00000000-0005-0000-0000-000010000000}"/>
    <cellStyle name="Normal 5" xfId="6" xr:uid="{00000000-0005-0000-0000-000011000000}"/>
    <cellStyle name="Normal 5 2" xfId="19" xr:uid="{00000000-0005-0000-0000-000012000000}"/>
    <cellStyle name="Normal 6" xfId="24" xr:uid="{00000000-0005-0000-0000-000013000000}"/>
    <cellStyle name="Porcentaje" xfId="23" builtinId="5"/>
    <cellStyle name="Porcentaje 2" xfId="3" xr:uid="{00000000-0005-0000-0000-000015000000}"/>
    <cellStyle name="Porcentaje 2 2" xfId="9" xr:uid="{00000000-0005-0000-0000-000016000000}"/>
    <cellStyle name="Porcentaje 3" xfId="20" xr:uid="{00000000-0005-0000-0000-000017000000}"/>
    <cellStyle name="Porcentual 2" xfId="11" xr:uid="{00000000-0005-0000-0000-00001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4810124</xdr:colOff>
      <xdr:row>0</xdr:row>
      <xdr:rowOff>0</xdr:rowOff>
    </xdr:from>
    <xdr:ext cx="988358" cy="790575"/>
    <xdr:pic>
      <xdr:nvPicPr>
        <xdr:cNvPr id="2" name="Imagen 1">
          <a:extLst>
            <a:ext uri="{FF2B5EF4-FFF2-40B4-BE49-F238E27FC236}">
              <a16:creationId xmlns:a16="http://schemas.microsoft.com/office/drawing/2014/main" id="{F8DB7FA9-2085-4945-9297-9226B6876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62687" y="0"/>
          <a:ext cx="988358" cy="7905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104775</xdr:colOff>
      <xdr:row>0</xdr:row>
      <xdr:rowOff>0</xdr:rowOff>
    </xdr:from>
    <xdr:to>
      <xdr:col>5</xdr:col>
      <xdr:colOff>19050</xdr:colOff>
      <xdr:row>2</xdr:row>
      <xdr:rowOff>17828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31744" y="0"/>
          <a:ext cx="902494" cy="60123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73818</xdr:colOff>
      <xdr:row>0</xdr:row>
      <xdr:rowOff>23813</xdr:rowOff>
    </xdr:from>
    <xdr:to>
      <xdr:col>22</xdr:col>
      <xdr:colOff>957478</xdr:colOff>
      <xdr:row>2</xdr:row>
      <xdr:rowOff>26055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9631" y="23813"/>
          <a:ext cx="883660" cy="59755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314325</xdr:colOff>
      <xdr:row>0</xdr:row>
      <xdr:rowOff>0</xdr:rowOff>
    </xdr:from>
    <xdr:to>
      <xdr:col>5</xdr:col>
      <xdr:colOff>56286</xdr:colOff>
      <xdr:row>2</xdr:row>
      <xdr:rowOff>19560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91250" y="0"/>
          <a:ext cx="875435" cy="60058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762000</xdr:colOff>
      <xdr:row>0</xdr:row>
      <xdr:rowOff>0</xdr:rowOff>
    </xdr:from>
    <xdr:to>
      <xdr:col>22</xdr:col>
      <xdr:colOff>806378</xdr:colOff>
      <xdr:row>2</xdr:row>
      <xdr:rowOff>29085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02125" y="0"/>
          <a:ext cx="877816" cy="60058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0</xdr:row>
      <xdr:rowOff>0</xdr:rowOff>
    </xdr:from>
    <xdr:to>
      <xdr:col>4</xdr:col>
      <xdr:colOff>874354</xdr:colOff>
      <xdr:row>1</xdr:row>
      <xdr:rowOff>332153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4114" y="0"/>
          <a:ext cx="875435" cy="60058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47626</xdr:colOff>
      <xdr:row>0</xdr:row>
      <xdr:rowOff>0</xdr:rowOff>
    </xdr:from>
    <xdr:to>
      <xdr:col>23</xdr:col>
      <xdr:colOff>119498</xdr:colOff>
      <xdr:row>1</xdr:row>
      <xdr:rowOff>332153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073564" y="0"/>
          <a:ext cx="881497" cy="594091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247650</xdr:colOff>
      <xdr:row>0</xdr:row>
      <xdr:rowOff>0</xdr:rowOff>
    </xdr:from>
    <xdr:to>
      <xdr:col>4</xdr:col>
      <xdr:colOff>1122003</xdr:colOff>
      <xdr:row>2</xdr:row>
      <xdr:rowOff>27353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38850" y="0"/>
          <a:ext cx="871972" cy="598853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495300</xdr:colOff>
      <xdr:row>0</xdr:row>
      <xdr:rowOff>0</xdr:rowOff>
    </xdr:from>
    <xdr:to>
      <xdr:col>22</xdr:col>
      <xdr:colOff>516084</xdr:colOff>
      <xdr:row>2</xdr:row>
      <xdr:rowOff>2242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949488" y="0"/>
          <a:ext cx="878034" cy="585648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200025</xdr:colOff>
      <xdr:row>0</xdr:row>
      <xdr:rowOff>0</xdr:rowOff>
    </xdr:from>
    <xdr:to>
      <xdr:col>4</xdr:col>
      <xdr:colOff>1071997</xdr:colOff>
      <xdr:row>1</xdr:row>
      <xdr:rowOff>332153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29400" y="0"/>
          <a:ext cx="871972" cy="59885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C119"/>
  <sheetViews>
    <sheetView showGridLines="0" tabSelected="1" zoomScale="80" zoomScaleNormal="80" workbookViewId="0">
      <pane ySplit="1" topLeftCell="A2" activePane="bottomLeft" state="frozen"/>
      <selection pane="bottomLeft"/>
    </sheetView>
  </sheetViews>
  <sheetFormatPr baseColWidth="10" defaultColWidth="10.85546875" defaultRowHeight="15" x14ac:dyDescent="0.2"/>
  <cols>
    <col min="1" max="2" width="10.85546875" style="1"/>
    <col min="3" max="3" width="93.140625" style="1" customWidth="1"/>
    <col min="4" max="16384" width="10.85546875" style="1"/>
  </cols>
  <sheetData>
    <row r="1" spans="1:3" ht="60" customHeight="1" x14ac:dyDescent="0.2">
      <c r="B1" s="23" t="s">
        <v>399</v>
      </c>
    </row>
    <row r="2" spans="1:3" ht="60" customHeight="1" x14ac:dyDescent="0.2">
      <c r="B2" s="174" t="s">
        <v>335</v>
      </c>
      <c r="C2" s="175"/>
    </row>
    <row r="3" spans="1:3" x14ac:dyDescent="0.2">
      <c r="B3" s="175"/>
      <c r="C3" s="175"/>
    </row>
    <row r="6" spans="1:3" x14ac:dyDescent="0.2">
      <c r="A6" s="24" t="s">
        <v>178</v>
      </c>
      <c r="B6" s="24" t="s">
        <v>179</v>
      </c>
      <c r="C6" s="11" t="s">
        <v>180</v>
      </c>
    </row>
    <row r="7" spans="1:3" x14ac:dyDescent="0.2">
      <c r="A7" s="25">
        <v>1</v>
      </c>
      <c r="B7" s="25">
        <v>1</v>
      </c>
      <c r="C7" s="1" t="s">
        <v>181</v>
      </c>
    </row>
    <row r="8" spans="1:3" x14ac:dyDescent="0.2">
      <c r="A8" s="25"/>
      <c r="B8" s="25"/>
    </row>
    <row r="9" spans="1:3" ht="18.75" x14ac:dyDescent="0.2">
      <c r="A9" s="24" t="s">
        <v>178</v>
      </c>
      <c r="B9" s="24" t="s">
        <v>179</v>
      </c>
      <c r="C9" s="26" t="s">
        <v>336</v>
      </c>
    </row>
    <row r="10" spans="1:3" x14ac:dyDescent="0.25">
      <c r="A10" s="25">
        <v>2</v>
      </c>
      <c r="B10" s="25">
        <v>1</v>
      </c>
      <c r="C10" s="83" t="s">
        <v>337</v>
      </c>
    </row>
    <row r="11" spans="1:3" x14ac:dyDescent="0.25">
      <c r="A11" s="25">
        <v>2</v>
      </c>
      <c r="B11" s="25">
        <v>2</v>
      </c>
      <c r="C11" s="83" t="s">
        <v>338</v>
      </c>
    </row>
    <row r="12" spans="1:3" x14ac:dyDescent="0.25">
      <c r="A12" s="25">
        <v>2</v>
      </c>
      <c r="B12" s="25">
        <v>3</v>
      </c>
      <c r="C12" s="83" t="s">
        <v>339</v>
      </c>
    </row>
    <row r="13" spans="1:3" x14ac:dyDescent="0.25">
      <c r="A13" s="25">
        <v>2</v>
      </c>
      <c r="B13" s="25">
        <v>4</v>
      </c>
      <c r="C13" s="83" t="s">
        <v>340</v>
      </c>
    </row>
    <row r="14" spans="1:3" x14ac:dyDescent="0.25">
      <c r="A14" s="25">
        <v>2</v>
      </c>
      <c r="B14" s="25">
        <v>5</v>
      </c>
      <c r="C14" s="83" t="s">
        <v>341</v>
      </c>
    </row>
    <row r="15" spans="1:3" x14ac:dyDescent="0.25">
      <c r="A15" s="25">
        <v>2</v>
      </c>
      <c r="B15" s="25">
        <v>6</v>
      </c>
      <c r="C15" s="83" t="s">
        <v>456</v>
      </c>
    </row>
    <row r="16" spans="1:3" x14ac:dyDescent="0.25">
      <c r="A16" s="25">
        <v>2</v>
      </c>
      <c r="B16" s="25">
        <v>7</v>
      </c>
      <c r="C16" s="83" t="s">
        <v>488</v>
      </c>
    </row>
    <row r="18" spans="1:3" ht="18.75" x14ac:dyDescent="0.2">
      <c r="A18" s="24" t="s">
        <v>178</v>
      </c>
      <c r="B18" s="24" t="s">
        <v>179</v>
      </c>
      <c r="C18" s="26" t="s">
        <v>342</v>
      </c>
    </row>
    <row r="19" spans="1:3" x14ac:dyDescent="0.25">
      <c r="A19" s="25">
        <v>3</v>
      </c>
      <c r="B19" s="25">
        <v>1</v>
      </c>
      <c r="C19" s="83" t="s">
        <v>197</v>
      </c>
    </row>
    <row r="20" spans="1:3" x14ac:dyDescent="0.25">
      <c r="A20" s="25">
        <v>3</v>
      </c>
      <c r="B20" s="25">
        <v>2</v>
      </c>
      <c r="C20" s="83" t="s">
        <v>22</v>
      </c>
    </row>
    <row r="21" spans="1:3" x14ac:dyDescent="0.25">
      <c r="A21" s="25">
        <v>3</v>
      </c>
      <c r="B21" s="25">
        <v>3</v>
      </c>
      <c r="C21" s="83" t="s">
        <v>198</v>
      </c>
    </row>
    <row r="22" spans="1:3" x14ac:dyDescent="0.25">
      <c r="A22" s="25">
        <v>3</v>
      </c>
      <c r="B22" s="25">
        <v>4</v>
      </c>
      <c r="C22" s="83" t="s">
        <v>192</v>
      </c>
    </row>
    <row r="23" spans="1:3" x14ac:dyDescent="0.25">
      <c r="A23" s="25">
        <v>3</v>
      </c>
      <c r="B23" s="25">
        <v>5</v>
      </c>
      <c r="C23" s="83" t="s">
        <v>199</v>
      </c>
    </row>
    <row r="24" spans="1:3" x14ac:dyDescent="0.25">
      <c r="A24" s="25">
        <v>3</v>
      </c>
      <c r="B24" s="25">
        <v>6</v>
      </c>
      <c r="C24" s="83" t="s">
        <v>190</v>
      </c>
    </row>
    <row r="25" spans="1:3" x14ac:dyDescent="0.25">
      <c r="A25" s="25">
        <v>3</v>
      </c>
      <c r="B25" s="25">
        <v>7</v>
      </c>
      <c r="C25" s="83" t="s">
        <v>24</v>
      </c>
    </row>
    <row r="26" spans="1:3" x14ac:dyDescent="0.25">
      <c r="A26" s="25">
        <v>3</v>
      </c>
      <c r="B26" s="25">
        <v>8</v>
      </c>
      <c r="C26" s="83" t="s">
        <v>33</v>
      </c>
    </row>
    <row r="27" spans="1:3" x14ac:dyDescent="0.25">
      <c r="A27" s="25">
        <v>3</v>
      </c>
      <c r="B27" s="25">
        <v>9</v>
      </c>
      <c r="C27" s="83" t="s">
        <v>502</v>
      </c>
    </row>
    <row r="28" spans="1:3" x14ac:dyDescent="0.25">
      <c r="A28" s="25">
        <v>3</v>
      </c>
      <c r="B28" s="25">
        <v>10</v>
      </c>
      <c r="C28" s="83" t="s">
        <v>330</v>
      </c>
    </row>
    <row r="31" spans="1:3" ht="18.75" x14ac:dyDescent="0.2">
      <c r="A31" s="24" t="s">
        <v>178</v>
      </c>
      <c r="B31" s="24" t="s">
        <v>179</v>
      </c>
      <c r="C31" s="30" t="s">
        <v>343</v>
      </c>
    </row>
    <row r="32" spans="1:3" x14ac:dyDescent="0.25">
      <c r="A32" s="25">
        <v>4</v>
      </c>
      <c r="B32" s="25">
        <v>1</v>
      </c>
      <c r="C32" s="83" t="s">
        <v>344</v>
      </c>
    </row>
    <row r="33" spans="1:3" x14ac:dyDescent="0.25">
      <c r="A33" s="25">
        <v>4</v>
      </c>
      <c r="B33" s="25">
        <v>2</v>
      </c>
      <c r="C33" s="83" t="s">
        <v>345</v>
      </c>
    </row>
    <row r="34" spans="1:3" x14ac:dyDescent="0.25">
      <c r="A34" s="25">
        <v>4</v>
      </c>
      <c r="B34" s="25">
        <v>3</v>
      </c>
      <c r="C34" s="83" t="s">
        <v>346</v>
      </c>
    </row>
    <row r="35" spans="1:3" x14ac:dyDescent="0.25">
      <c r="A35" s="25">
        <v>4</v>
      </c>
      <c r="B35" s="25">
        <v>4</v>
      </c>
      <c r="C35" s="83" t="s">
        <v>461</v>
      </c>
    </row>
    <row r="36" spans="1:3" x14ac:dyDescent="0.25">
      <c r="A36" s="25">
        <v>4</v>
      </c>
      <c r="B36" s="25">
        <v>5</v>
      </c>
      <c r="C36" s="83" t="s">
        <v>462</v>
      </c>
    </row>
    <row r="37" spans="1:3" x14ac:dyDescent="0.25">
      <c r="A37" s="25">
        <v>4</v>
      </c>
      <c r="B37" s="25">
        <v>6</v>
      </c>
      <c r="C37" s="83" t="s">
        <v>459</v>
      </c>
    </row>
    <row r="38" spans="1:3" x14ac:dyDescent="0.25">
      <c r="A38" s="25">
        <v>4</v>
      </c>
      <c r="B38" s="25">
        <v>7</v>
      </c>
      <c r="C38" s="83" t="s">
        <v>460</v>
      </c>
    </row>
    <row r="39" spans="1:3" x14ac:dyDescent="0.25">
      <c r="A39" s="25">
        <v>4</v>
      </c>
      <c r="B39" s="25">
        <v>8</v>
      </c>
      <c r="C39" s="83" t="s">
        <v>347</v>
      </c>
    </row>
    <row r="40" spans="1:3" x14ac:dyDescent="0.25">
      <c r="A40" s="25">
        <v>4</v>
      </c>
      <c r="B40" s="25">
        <v>9</v>
      </c>
      <c r="C40" s="83" t="s">
        <v>348</v>
      </c>
    </row>
    <row r="41" spans="1:3" x14ac:dyDescent="0.25">
      <c r="A41" s="25">
        <v>4</v>
      </c>
      <c r="B41" s="25">
        <v>10</v>
      </c>
      <c r="C41" s="83" t="s">
        <v>349</v>
      </c>
    </row>
    <row r="44" spans="1:3" ht="18.75" x14ac:dyDescent="0.2">
      <c r="A44" s="24" t="s">
        <v>178</v>
      </c>
      <c r="B44" s="24" t="s">
        <v>179</v>
      </c>
      <c r="C44" s="26" t="s">
        <v>350</v>
      </c>
    </row>
    <row r="45" spans="1:3" x14ac:dyDescent="0.25">
      <c r="A45" s="25">
        <v>5</v>
      </c>
      <c r="B45" s="25">
        <v>1</v>
      </c>
      <c r="C45" s="83" t="s">
        <v>44</v>
      </c>
    </row>
    <row r="46" spans="1:3" x14ac:dyDescent="0.25">
      <c r="A46" s="25">
        <v>5</v>
      </c>
      <c r="B46" s="25">
        <v>2</v>
      </c>
      <c r="C46" s="83" t="s">
        <v>182</v>
      </c>
    </row>
    <row r="47" spans="1:3" x14ac:dyDescent="0.25">
      <c r="A47" s="25">
        <v>5</v>
      </c>
      <c r="B47" s="25">
        <v>3</v>
      </c>
      <c r="C47" s="83" t="s">
        <v>45</v>
      </c>
    </row>
    <row r="48" spans="1:3" x14ac:dyDescent="0.25">
      <c r="A48" s="25">
        <v>5</v>
      </c>
      <c r="B48" s="25">
        <v>4</v>
      </c>
      <c r="C48" s="83" t="s">
        <v>183</v>
      </c>
    </row>
    <row r="49" spans="1:3" x14ac:dyDescent="0.25">
      <c r="A49" s="25">
        <v>5</v>
      </c>
      <c r="B49" s="25">
        <v>5</v>
      </c>
      <c r="C49" s="83" t="s">
        <v>195</v>
      </c>
    </row>
    <row r="50" spans="1:3" x14ac:dyDescent="0.25">
      <c r="A50" s="25">
        <v>5</v>
      </c>
      <c r="B50" s="25">
        <v>6</v>
      </c>
      <c r="C50" s="83" t="s">
        <v>196</v>
      </c>
    </row>
    <row r="51" spans="1:3" x14ac:dyDescent="0.25">
      <c r="A51" s="25">
        <v>5</v>
      </c>
      <c r="B51" s="25">
        <v>7</v>
      </c>
      <c r="C51" s="83" t="s">
        <v>48</v>
      </c>
    </row>
    <row r="52" spans="1:3" x14ac:dyDescent="0.25">
      <c r="A52" s="25">
        <v>5</v>
      </c>
      <c r="B52" s="25">
        <v>8</v>
      </c>
      <c r="C52" s="83" t="s">
        <v>320</v>
      </c>
    </row>
    <row r="53" spans="1:3" x14ac:dyDescent="0.25">
      <c r="A53" s="25">
        <v>5</v>
      </c>
      <c r="B53" s="25">
        <v>8</v>
      </c>
      <c r="C53" s="83" t="s">
        <v>471</v>
      </c>
    </row>
    <row r="54" spans="1:3" x14ac:dyDescent="0.25">
      <c r="A54" s="25">
        <v>5</v>
      </c>
      <c r="B54" s="25">
        <v>9</v>
      </c>
      <c r="C54" s="83" t="s">
        <v>472</v>
      </c>
    </row>
    <row r="55" spans="1:3" x14ac:dyDescent="0.25">
      <c r="A55" s="25">
        <v>5</v>
      </c>
      <c r="B55" s="25">
        <v>10</v>
      </c>
      <c r="C55" s="83" t="s">
        <v>473</v>
      </c>
    </row>
    <row r="56" spans="1:3" x14ac:dyDescent="0.25">
      <c r="A56" s="25">
        <v>5</v>
      </c>
      <c r="B56" s="25">
        <v>11</v>
      </c>
      <c r="C56" s="83" t="s">
        <v>474</v>
      </c>
    </row>
    <row r="57" spans="1:3" x14ac:dyDescent="0.25">
      <c r="A57" s="25">
        <v>5</v>
      </c>
      <c r="B57" s="25">
        <v>12</v>
      </c>
      <c r="C57" s="83" t="s">
        <v>475</v>
      </c>
    </row>
    <row r="58" spans="1:3" x14ac:dyDescent="0.25">
      <c r="A58" s="25">
        <v>5</v>
      </c>
      <c r="B58" s="25">
        <v>13</v>
      </c>
      <c r="C58" s="83" t="s">
        <v>476</v>
      </c>
    </row>
    <row r="59" spans="1:3" x14ac:dyDescent="0.25">
      <c r="A59" s="25">
        <v>5</v>
      </c>
      <c r="B59" s="25">
        <v>14</v>
      </c>
      <c r="C59" s="83" t="s">
        <v>184</v>
      </c>
    </row>
    <row r="60" spans="1:3" x14ac:dyDescent="0.25">
      <c r="A60" s="25">
        <v>5</v>
      </c>
      <c r="B60" s="25">
        <v>15</v>
      </c>
      <c r="C60" s="83" t="s">
        <v>185</v>
      </c>
    </row>
    <row r="61" spans="1:3" x14ac:dyDescent="0.25">
      <c r="A61" s="25">
        <v>5</v>
      </c>
      <c r="B61" s="25">
        <v>16</v>
      </c>
      <c r="C61" s="83" t="s">
        <v>186</v>
      </c>
    </row>
    <row r="62" spans="1:3" x14ac:dyDescent="0.2">
      <c r="A62" s="25">
        <v>5</v>
      </c>
      <c r="B62" s="25">
        <v>17</v>
      </c>
      <c r="C62" s="162" t="s">
        <v>433</v>
      </c>
    </row>
    <row r="63" spans="1:3" x14ac:dyDescent="0.25">
      <c r="A63" s="25">
        <v>5</v>
      </c>
      <c r="B63" s="25">
        <v>18</v>
      </c>
      <c r="C63" s="83" t="s">
        <v>203</v>
      </c>
    </row>
    <row r="64" spans="1:3" x14ac:dyDescent="0.25">
      <c r="A64" s="25">
        <v>5</v>
      </c>
      <c r="B64" s="25">
        <v>19</v>
      </c>
      <c r="C64" s="83" t="s">
        <v>204</v>
      </c>
    </row>
    <row r="65" spans="1:3" x14ac:dyDescent="0.25">
      <c r="A65" s="25">
        <v>5</v>
      </c>
      <c r="B65" s="25">
        <v>20</v>
      </c>
      <c r="C65" s="83" t="s">
        <v>205</v>
      </c>
    </row>
    <row r="66" spans="1:3" x14ac:dyDescent="0.25">
      <c r="A66" s="25">
        <v>5</v>
      </c>
      <c r="B66" s="25">
        <v>21</v>
      </c>
      <c r="C66" s="83" t="s">
        <v>206</v>
      </c>
    </row>
    <row r="67" spans="1:3" x14ac:dyDescent="0.25">
      <c r="A67" s="25">
        <v>5</v>
      </c>
      <c r="B67" s="25">
        <v>22</v>
      </c>
      <c r="C67" s="83" t="s">
        <v>80</v>
      </c>
    </row>
    <row r="68" spans="1:3" x14ac:dyDescent="0.25">
      <c r="A68" s="25">
        <v>5</v>
      </c>
      <c r="B68" s="25">
        <v>23</v>
      </c>
      <c r="C68" s="83" t="s">
        <v>321</v>
      </c>
    </row>
    <row r="70" spans="1:3" ht="18.75" x14ac:dyDescent="0.2">
      <c r="A70" s="24" t="s">
        <v>178</v>
      </c>
      <c r="B70" s="24" t="s">
        <v>179</v>
      </c>
      <c r="C70" s="30" t="s">
        <v>351</v>
      </c>
    </row>
    <row r="71" spans="1:3" x14ac:dyDescent="0.25">
      <c r="A71" s="25">
        <v>6</v>
      </c>
      <c r="B71" s="25">
        <v>1</v>
      </c>
      <c r="C71" s="83" t="s">
        <v>352</v>
      </c>
    </row>
    <row r="72" spans="1:3" x14ac:dyDescent="0.25">
      <c r="A72" s="25">
        <v>6</v>
      </c>
      <c r="B72" s="25">
        <v>2</v>
      </c>
      <c r="C72" s="83" t="s">
        <v>353</v>
      </c>
    </row>
    <row r="73" spans="1:3" x14ac:dyDescent="0.25">
      <c r="A73" s="25">
        <v>6</v>
      </c>
      <c r="B73" s="25">
        <v>3</v>
      </c>
      <c r="C73" s="83" t="s">
        <v>354</v>
      </c>
    </row>
    <row r="74" spans="1:3" x14ac:dyDescent="0.25">
      <c r="A74" s="25">
        <v>6</v>
      </c>
      <c r="B74" s="25">
        <v>4</v>
      </c>
      <c r="C74" s="83" t="s">
        <v>481</v>
      </c>
    </row>
    <row r="75" spans="1:3" x14ac:dyDescent="0.25">
      <c r="A75" s="25">
        <v>6</v>
      </c>
      <c r="B75" s="25">
        <v>5</v>
      </c>
      <c r="C75" s="83" t="s">
        <v>482</v>
      </c>
    </row>
    <row r="76" spans="1:3" x14ac:dyDescent="0.25">
      <c r="A76" s="25">
        <v>6</v>
      </c>
      <c r="B76" s="25">
        <v>6</v>
      </c>
      <c r="C76" s="83" t="s">
        <v>355</v>
      </c>
    </row>
    <row r="77" spans="1:3" x14ac:dyDescent="0.25">
      <c r="A77" s="25">
        <v>6</v>
      </c>
      <c r="B77" s="25">
        <v>7</v>
      </c>
      <c r="C77" s="83" t="s">
        <v>356</v>
      </c>
    </row>
    <row r="78" spans="1:3" x14ac:dyDescent="0.25">
      <c r="A78" s="25">
        <v>6</v>
      </c>
      <c r="B78" s="25">
        <v>8</v>
      </c>
      <c r="C78" s="83" t="s">
        <v>483</v>
      </c>
    </row>
    <row r="79" spans="1:3" x14ac:dyDescent="0.25">
      <c r="A79" s="25">
        <v>6</v>
      </c>
      <c r="B79" s="25">
        <v>9</v>
      </c>
      <c r="C79" s="83" t="s">
        <v>484</v>
      </c>
    </row>
    <row r="80" spans="1:3" x14ac:dyDescent="0.25">
      <c r="A80" s="25">
        <v>6</v>
      </c>
      <c r="B80" s="25">
        <v>10</v>
      </c>
      <c r="C80" s="83" t="s">
        <v>357</v>
      </c>
    </row>
    <row r="83" spans="1:3" ht="18.75" x14ac:dyDescent="0.2">
      <c r="A83" s="24" t="s">
        <v>178</v>
      </c>
      <c r="B83" s="24" t="s">
        <v>179</v>
      </c>
      <c r="C83" s="30" t="s">
        <v>358</v>
      </c>
    </row>
    <row r="84" spans="1:3" x14ac:dyDescent="0.25">
      <c r="A84" s="25">
        <v>7</v>
      </c>
      <c r="B84" s="25">
        <v>1</v>
      </c>
      <c r="C84" s="83" t="s">
        <v>200</v>
      </c>
    </row>
    <row r="85" spans="1:3" x14ac:dyDescent="0.25">
      <c r="A85" s="25">
        <v>7</v>
      </c>
      <c r="B85" s="25">
        <v>2</v>
      </c>
      <c r="C85" s="83" t="s">
        <v>187</v>
      </c>
    </row>
    <row r="86" spans="1:3" x14ac:dyDescent="0.25">
      <c r="A86" s="25">
        <v>7</v>
      </c>
      <c r="B86" s="25">
        <v>3</v>
      </c>
      <c r="C86" s="83" t="s">
        <v>201</v>
      </c>
    </row>
    <row r="87" spans="1:3" x14ac:dyDescent="0.25">
      <c r="A87" s="25">
        <v>7</v>
      </c>
      <c r="B87" s="25">
        <v>4</v>
      </c>
      <c r="C87" s="83" t="s">
        <v>213</v>
      </c>
    </row>
    <row r="88" spans="1:3" x14ac:dyDescent="0.2">
      <c r="A88" s="25">
        <v>7</v>
      </c>
      <c r="B88" s="25">
        <v>5</v>
      </c>
      <c r="C88" s="65" t="s">
        <v>327</v>
      </c>
    </row>
    <row r="89" spans="1:3" x14ac:dyDescent="0.2">
      <c r="A89" s="25">
        <v>7</v>
      </c>
      <c r="B89" s="25">
        <v>6</v>
      </c>
      <c r="C89" s="65" t="s">
        <v>331</v>
      </c>
    </row>
    <row r="90" spans="1:3" x14ac:dyDescent="0.2">
      <c r="A90" s="25">
        <v>7</v>
      </c>
      <c r="B90" s="25">
        <v>7</v>
      </c>
      <c r="C90" s="65" t="s">
        <v>332</v>
      </c>
    </row>
    <row r="91" spans="1:3" x14ac:dyDescent="0.2">
      <c r="A91" s="25">
        <v>7</v>
      </c>
      <c r="B91" s="25">
        <v>8</v>
      </c>
      <c r="C91" s="65" t="s">
        <v>485</v>
      </c>
    </row>
    <row r="92" spans="1:3" x14ac:dyDescent="0.2">
      <c r="A92" s="25">
        <v>7</v>
      </c>
      <c r="B92" s="25">
        <v>9</v>
      </c>
      <c r="C92" s="65" t="s">
        <v>486</v>
      </c>
    </row>
    <row r="93" spans="1:3" x14ac:dyDescent="0.2">
      <c r="A93" s="25">
        <v>7</v>
      </c>
      <c r="B93" s="25">
        <v>10</v>
      </c>
      <c r="C93" s="65" t="s">
        <v>333</v>
      </c>
    </row>
    <row r="96" spans="1:3" ht="18.75" x14ac:dyDescent="0.2">
      <c r="A96" s="24" t="s">
        <v>178</v>
      </c>
      <c r="B96" s="24" t="s">
        <v>179</v>
      </c>
      <c r="C96" s="30" t="s">
        <v>359</v>
      </c>
    </row>
    <row r="97" spans="1:3" x14ac:dyDescent="0.25">
      <c r="A97" s="25">
        <v>8</v>
      </c>
      <c r="B97" s="25">
        <v>1</v>
      </c>
      <c r="C97" s="83" t="s">
        <v>360</v>
      </c>
    </row>
    <row r="98" spans="1:3" x14ac:dyDescent="0.25">
      <c r="A98" s="25">
        <v>8</v>
      </c>
      <c r="B98" s="25">
        <v>2</v>
      </c>
      <c r="C98" s="83" t="s">
        <v>361</v>
      </c>
    </row>
    <row r="99" spans="1:3" x14ac:dyDescent="0.25">
      <c r="A99" s="25">
        <v>8</v>
      </c>
      <c r="B99" s="25">
        <v>3</v>
      </c>
      <c r="C99" s="83" t="s">
        <v>362</v>
      </c>
    </row>
    <row r="100" spans="1:3" x14ac:dyDescent="0.25">
      <c r="A100" s="25">
        <v>8</v>
      </c>
      <c r="B100" s="25">
        <v>4</v>
      </c>
      <c r="C100" s="83" t="s">
        <v>490</v>
      </c>
    </row>
    <row r="101" spans="1:3" x14ac:dyDescent="0.25">
      <c r="A101" s="25">
        <v>8</v>
      </c>
      <c r="B101" s="25">
        <v>5</v>
      </c>
      <c r="C101" s="83" t="s">
        <v>491</v>
      </c>
    </row>
    <row r="102" spans="1:3" x14ac:dyDescent="0.25">
      <c r="A102" s="25">
        <v>8</v>
      </c>
      <c r="B102" s="25">
        <v>6</v>
      </c>
      <c r="C102" s="83" t="s">
        <v>363</v>
      </c>
    </row>
    <row r="103" spans="1:3" x14ac:dyDescent="0.25">
      <c r="A103" s="25">
        <v>8</v>
      </c>
      <c r="B103" s="25">
        <v>7</v>
      </c>
      <c r="C103" s="83" t="s">
        <v>364</v>
      </c>
    </row>
    <row r="104" spans="1:3" x14ac:dyDescent="0.25">
      <c r="A104" s="25">
        <v>8</v>
      </c>
      <c r="B104" s="25">
        <v>8</v>
      </c>
      <c r="C104" s="83" t="s">
        <v>492</v>
      </c>
    </row>
    <row r="105" spans="1:3" x14ac:dyDescent="0.25">
      <c r="A105" s="25">
        <v>8</v>
      </c>
      <c r="B105" s="25">
        <v>9</v>
      </c>
      <c r="C105" s="83" t="s">
        <v>493</v>
      </c>
    </row>
    <row r="106" spans="1:3" x14ac:dyDescent="0.25">
      <c r="A106" s="25">
        <v>8</v>
      </c>
      <c r="B106" s="25">
        <v>10</v>
      </c>
      <c r="C106" s="83" t="s">
        <v>365</v>
      </c>
    </row>
    <row r="109" spans="1:3" ht="18.75" x14ac:dyDescent="0.2">
      <c r="A109" s="24" t="s">
        <v>178</v>
      </c>
      <c r="B109" s="24" t="s">
        <v>179</v>
      </c>
      <c r="C109" s="30" t="s">
        <v>366</v>
      </c>
    </row>
    <row r="110" spans="1:3" x14ac:dyDescent="0.25">
      <c r="A110" s="25">
        <v>9</v>
      </c>
      <c r="B110" s="25">
        <v>1</v>
      </c>
      <c r="C110" s="83" t="s">
        <v>88</v>
      </c>
    </row>
    <row r="111" spans="1:3" x14ac:dyDescent="0.25">
      <c r="A111" s="25">
        <v>9</v>
      </c>
      <c r="B111" s="25">
        <v>2</v>
      </c>
      <c r="C111" s="83" t="s">
        <v>89</v>
      </c>
    </row>
    <row r="112" spans="1:3" x14ac:dyDescent="0.25">
      <c r="A112" s="25">
        <v>9</v>
      </c>
      <c r="B112" s="25">
        <v>3</v>
      </c>
      <c r="C112" s="83" t="s">
        <v>202</v>
      </c>
    </row>
    <row r="113" spans="1:3" x14ac:dyDescent="0.25">
      <c r="A113" s="25">
        <v>9</v>
      </c>
      <c r="B113" s="25">
        <v>4</v>
      </c>
      <c r="C113" s="83" t="s">
        <v>214</v>
      </c>
    </row>
    <row r="115" spans="1:3" x14ac:dyDescent="0.2">
      <c r="A115" s="24" t="s">
        <v>178</v>
      </c>
      <c r="B115" s="24" t="s">
        <v>179</v>
      </c>
      <c r="C115" s="11" t="s">
        <v>180</v>
      </c>
    </row>
    <row r="116" spans="1:3" x14ac:dyDescent="0.25">
      <c r="A116" s="25">
        <v>10</v>
      </c>
      <c r="B116" s="25">
        <v>1</v>
      </c>
      <c r="C116" s="83" t="s">
        <v>334</v>
      </c>
    </row>
    <row r="119" spans="1:3" x14ac:dyDescent="0.25">
      <c r="B119" s="116" t="s">
        <v>223</v>
      </c>
    </row>
  </sheetData>
  <mergeCells count="1">
    <mergeCell ref="B2:C3"/>
  </mergeCells>
  <hyperlinks>
    <hyperlink ref="C44" location="'Evolución Tituación Pregrado'!A1" display="Evolución titulación Pregrado 2008-2012" xr:uid="{00000000-0004-0000-0000-000000000000}"/>
    <hyperlink ref="C83" location="'Evolución Titulados Posgrado'!A1" display="Evolución titulación Posgrado 2008-2012" xr:uid="{00000000-0004-0000-0000-000001000000}"/>
    <hyperlink ref="C109" location="'Evolución Titulados Postítulo'!A1" display="Evolución titulación Postítulo 2008-2012" xr:uid="{00000000-0004-0000-0000-000002000000}"/>
    <hyperlink ref="C84:C87" location="'Titulación Posgrado 2021'!A1" display="Evolución de Titulación Total de Posgrado por tipo de universidad" xr:uid="{00000000-0004-0000-0000-000008000000}"/>
    <hyperlink ref="C110:C113" location="'Evolucion Titulacion Postitulo'!A1" display="Evolución de Titulación Total de Postítulo por tipo de institución" xr:uid="{00000000-0004-0000-0000-00000A000000}"/>
    <hyperlink ref="C116" location="'Listado de Instituciones'!A1" display="Listado de instituciones participantes 2021" xr:uid="{00000000-0004-0000-0000-00000B000000}"/>
    <hyperlink ref="C71" location="'Titulación Posgrado 2023'!A4" display="Titulación Total 2023 de Posgrado por tipo de universidad y tipo de programa" xr:uid="{B653074A-946F-40AF-871B-8D63C9C9D82A}"/>
    <hyperlink ref="C72" location="'Titulación Posgrado 2023'!A12" display="Titulación Total 2023 de Posgrado por sexo y tipo de programa" xr:uid="{56374EEB-F2E7-4997-B8F1-60CACC3886D4}"/>
    <hyperlink ref="C73" location="'Titulación Posgrado 2023'!A18" display="Titulación Total 2023 de Posgrado por rango de edad y tipo de programa" xr:uid="{435EA2E5-CD79-4D38-A724-9F1B239CE673}"/>
    <hyperlink ref="C74" location="'Titulación Pregrado 2023'!A29" display="Titulación Total 2023 de Posgrado por área y tipo de programa" xr:uid="{6A53E212-C494-412D-9B4E-547FCCC99EC8}"/>
    <hyperlink ref="C76" location="'Titulación Posgrado 2023'!A43" display="Titulación Total 2023 de Posgrado por jornada y tipo de programa" xr:uid="{EA29F064-2BDA-4328-BE14-482B9158EB38}"/>
    <hyperlink ref="C77" location="'Titulación Posgrado 2023'!A52" display="Titulación Total 2023 de Posgrado por región y tipo de programa" xr:uid="{E398CBB4-00B7-4364-AB1F-695B7B1651AA}"/>
    <hyperlink ref="C78" location="'Titulación Posgrado 2023'!A72" display="Titulación Total 2023 de Posgrado por área y sexo" xr:uid="{D02607B0-1230-4287-88C2-982F18D8FE2E}"/>
    <hyperlink ref="C80" location="'Titulación Posgrado 2023'!A86" display="Titulación Total 2023 de Posgrado por región y sexo" xr:uid="{C4677BA7-B6EA-4A06-8AA7-42E859C5E529}"/>
    <hyperlink ref="C84" location="'Evolución Titulación Posgrado'!A4" display="Evolución de Titulación Total de Posgrado por tipo de universidad" xr:uid="{14DAB7FF-8BFE-4446-90C5-8BBA7FC74584}"/>
    <hyperlink ref="C85" location="'Evolución Titulación Posgrado'!A12" display="Evolución de Titulación Total de Posgrado por tipo de programa " xr:uid="{8C263F32-2AE2-4174-A9B5-8266D21CD8A0}"/>
    <hyperlink ref="C86" location="'Evolución Titulación Posgrado'!A18" display="Evolución de Titulación Total de Posgrado por tipo de universidad y tipo de programa " xr:uid="{6624C2AB-F713-479F-804E-76A64AD4B9CF}"/>
    <hyperlink ref="C87" location="'Evolución Titulación Posgrado'!A32" display="Evolución de Titulación Total de Pregrado por sexo y tipo de programa" xr:uid="{081DF29D-E54E-49DD-B078-80EC02B22DB8}"/>
    <hyperlink ref="C97" location="'Titulacion Postitulo 2023'!A4" display="Titulación Total 2023 de Postítulo por tipo de universidad y tipo de programa" xr:uid="{58B0E432-0B5E-4531-A7E7-B15EF16362FA}"/>
    <hyperlink ref="C98" location="'Titulacion Postitulo 2023'!A11" display="Titulación Total 2023 de Postítulo por sexo y tipo de programa" xr:uid="{1B3F548F-0665-4EF6-A3A9-237C013EA5BF}"/>
    <hyperlink ref="C99" location="'Titulacion Postitulo 2023'!A17" display="Titulación Total 2023 de Postítulo por rango de edad y tipo de programa" xr:uid="{2BD732D3-0ECE-4734-AA7C-17EA511FC44C}"/>
    <hyperlink ref="C100" location="'Titulacion Postitulo 2023'!A29" display="Titulación Total 2023 de Postítulo por área y tipo de programa" xr:uid="{96A57327-4D97-4F72-8981-1C7293A90B4D}"/>
    <hyperlink ref="C102" location="'Titulacion Postitulo 2023'!A43" display="Titulación Total 2023 de Postítulo por jornada y tipo de programa" xr:uid="{CD7A818C-B15A-4B40-8E9C-F3922A8E4F63}"/>
    <hyperlink ref="C103" location="'Titulacion Postitulo 2023'!A52" display="Titulación Total 2023 de Postítulo por región y tipo de programa" xr:uid="{8531FF8A-C9F0-4BE2-BD6E-395D9E0EC10B}"/>
    <hyperlink ref="C104" location="'Titulacion Postitulo 2023'!A72" display="Titulación Total 2023 de Postítulo por área y sexo" xr:uid="{F35F6BE0-E723-463B-9339-59B1A0175C4E}"/>
    <hyperlink ref="C106" location="'Titulacion Postitulo 2023'!A86" display="Titulación Total 2023 de Postítulo por región y sexo" xr:uid="{9ECAF97D-22BE-4B6E-9B67-7769960BB615}"/>
    <hyperlink ref="C110" location="'Evolucion Titulacion Postitulo'!A4" display="Evolución de Titulación Total de Postítulo por tipo de institución" xr:uid="{70F57764-D032-43BF-B68A-4136165F5B23}"/>
    <hyperlink ref="C111" location="'Evolucion Titulacion Postitulo'!A11" display="Evolución de Titulación Total de Postítulo por tipo de programa" xr:uid="{73149B4E-1727-4DBB-B516-606828F3BE0B}"/>
    <hyperlink ref="C112" location="'Evolucion Titulacion Postitulo'!A18" display="Evolución de Titulación Total de Postítulo por tipo de institución y tipo de programa" xr:uid="{7475FD1D-2035-4E99-883C-FC7E90876929}"/>
    <hyperlink ref="C113" location="'Evolucion Titulacion Postitulo'!A31" display="Evolución de Titulación Total de Postítulo por sexo y tipo de programa" xr:uid="{735D692C-B778-428F-9C4D-67E12800C72C}"/>
    <hyperlink ref="C88" location="'Evolución Titulación Posgrado'!A45" display="Evolución de Titulación de Posgrado por tipo de programa y jornada" xr:uid="{55BA4666-6C61-4B52-AF19-A20B2CA19F81}"/>
    <hyperlink ref="C89" location="'Evolución Titulación Posgrado'!A51" display="Evolución de Titulación de Magíster por área del conocimiento" xr:uid="{9FCB16AA-AC30-4F6F-A6D8-3805C585893B}"/>
    <hyperlink ref="C90" location="'Evolución Titulación Posgrado'!A75" display="Evolución de Titulación de Doctorado por área del conocimiento" xr:uid="{ACC58CA9-B088-428C-A708-EC40825C7C1D}"/>
    <hyperlink ref="C93" location="'Evolución Titulación Posgrado'!A89" display="Evolución de Titulación de Posgrado por región" xr:uid="{6BBAD744-F293-412A-80FF-5BB1A6245DBA}"/>
    <hyperlink ref="C10:C15" location="'Titulación Total 2024'!A1" display="Titulación Total 2024 por tipo de institución y nivel de formación" xr:uid="{823EE0F2-68CF-46FD-86F7-144C1C53E4E3}"/>
    <hyperlink ref="C19:C28" location="'Evolución Titulación Total'!A1" display="Evolución de Titulación Total por nivel de formación" xr:uid="{A1FD3E52-3FD4-488B-AE42-FE115B9127F4}"/>
    <hyperlink ref="C16" location="'Titulación Total 2024'!A1" display="Titulación Total 2024 por tipo de institución y nivel de formación" xr:uid="{4BC1F5D6-1765-49E8-B4A3-22356B6172BD}"/>
    <hyperlink ref="C75" location="'Titulación Pregrado 2023'!A29" display="Titulación Total 2023 de Posgrado por área y tipo de programa" xr:uid="{5EC13D6F-7BBD-4BE5-86D4-6E25C73E5F1D}"/>
    <hyperlink ref="C79" location="'Titulación Posgrado 2023'!A72" display="Titulación Total 2023 de Posgrado por área y sexo" xr:uid="{50327B08-1CB9-48C6-BE6E-AEF8FD8DEF66}"/>
    <hyperlink ref="C91" location="'Evolución Titulación Posgrado'!A51" display="Evolución de Titulación de Magíster por área del conocimiento" xr:uid="{90016C96-40C1-45A6-8A3D-DE56CA163224}"/>
    <hyperlink ref="C92" location="'Evolución Titulación Posgrado'!A75" display="Evolución de Titulación de Doctorado por área del conocimiento" xr:uid="{824082BD-5186-41F7-8B55-820712EA4653}"/>
    <hyperlink ref="C101" location="'Titulacion Postitulo 2023'!A29" display="Titulación Total 2023 de Postítulo por área y tipo de programa" xr:uid="{36853F4F-5CE4-450C-8716-EFBC9BFAFD04}"/>
    <hyperlink ref="C105" location="'Titulacion Postitulo 2023'!A72" display="Titulación Total 2023 de Postítulo por área y sexo" xr:uid="{462ABFC4-1037-4F2E-B171-F7E3430AF6A4}"/>
    <hyperlink ref="C27" location="'Evolución Titulación Total'!A1" display="Evolución de Titulación Total por nivel de formación" xr:uid="{CB6169C9-57A8-4AA7-8364-6580311D6CAA}"/>
  </hyperlink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G89"/>
  <sheetViews>
    <sheetView showGridLines="0" zoomScale="80" zoomScaleNormal="80" workbookViewId="0">
      <pane ySplit="2" topLeftCell="A3" activePane="bottomLeft" state="frozen"/>
      <selection pane="bottomLeft"/>
    </sheetView>
  </sheetViews>
  <sheetFormatPr baseColWidth="10" defaultColWidth="10.85546875" defaultRowHeight="15" x14ac:dyDescent="0.2"/>
  <cols>
    <col min="1" max="1" width="48.85546875" style="1" customWidth="1"/>
    <col min="2" max="4" width="12" style="1" customWidth="1"/>
    <col min="5" max="5" width="14.85546875" style="1" customWidth="1"/>
    <col min="6" max="6" width="12.42578125" style="1" customWidth="1"/>
    <col min="7" max="16384" width="10.85546875" style="1"/>
  </cols>
  <sheetData>
    <row r="1" spans="1:7" ht="21" x14ac:dyDescent="0.2">
      <c r="A1" s="54" t="s">
        <v>367</v>
      </c>
      <c r="B1" s="31"/>
      <c r="C1" s="31"/>
      <c r="D1" s="31"/>
      <c r="E1" s="31"/>
    </row>
    <row r="2" spans="1:7" ht="25.5" customHeight="1" x14ac:dyDescent="0.2">
      <c r="A2" s="112" t="s">
        <v>259</v>
      </c>
      <c r="B2" s="31"/>
      <c r="C2" s="31"/>
      <c r="D2" s="31"/>
      <c r="E2" s="31"/>
    </row>
    <row r="3" spans="1:7" ht="15" customHeight="1" x14ac:dyDescent="0.2">
      <c r="A3" s="30"/>
      <c r="B3" s="31"/>
      <c r="C3" s="31"/>
      <c r="D3" s="31"/>
      <c r="E3" s="31"/>
    </row>
    <row r="4" spans="1:7" ht="15.75" x14ac:dyDescent="0.2">
      <c r="A4" s="22" t="s">
        <v>337</v>
      </c>
      <c r="B4" s="31"/>
      <c r="C4" s="31"/>
      <c r="D4" s="31"/>
      <c r="E4" s="31"/>
    </row>
    <row r="5" spans="1:7" ht="15.75" customHeight="1" x14ac:dyDescent="0.2">
      <c r="A5" s="73" t="s">
        <v>0</v>
      </c>
      <c r="B5" s="3" t="s">
        <v>1</v>
      </c>
      <c r="C5" s="3" t="s">
        <v>2</v>
      </c>
      <c r="D5" s="3" t="s">
        <v>3</v>
      </c>
      <c r="E5" s="69" t="s">
        <v>8</v>
      </c>
    </row>
    <row r="6" spans="1:7" x14ac:dyDescent="0.2">
      <c r="A6" s="4" t="s">
        <v>5</v>
      </c>
      <c r="B6" s="4">
        <v>37152</v>
      </c>
      <c r="C6" s="4">
        <v>0</v>
      </c>
      <c r="D6" s="4">
        <v>15</v>
      </c>
      <c r="E6" s="4">
        <v>37167</v>
      </c>
    </row>
    <row r="7" spans="1:7" x14ac:dyDescent="0.2">
      <c r="A7" s="4" t="s">
        <v>6</v>
      </c>
      <c r="B7" s="4">
        <v>81285</v>
      </c>
      <c r="C7" s="4">
        <v>0</v>
      </c>
      <c r="D7" s="4">
        <v>415</v>
      </c>
      <c r="E7" s="4">
        <v>81700</v>
      </c>
    </row>
    <row r="8" spans="1:7" x14ac:dyDescent="0.2">
      <c r="A8" s="4" t="s">
        <v>7</v>
      </c>
      <c r="B8" s="4">
        <v>106380</v>
      </c>
      <c r="C8" s="4">
        <v>20875</v>
      </c>
      <c r="D8" s="4">
        <v>56610</v>
      </c>
      <c r="E8" s="4">
        <v>183865</v>
      </c>
    </row>
    <row r="9" spans="1:7" x14ac:dyDescent="0.2">
      <c r="A9" s="5" t="s">
        <v>4</v>
      </c>
      <c r="B9" s="5">
        <v>224817</v>
      </c>
      <c r="C9" s="5">
        <v>20875</v>
      </c>
      <c r="D9" s="5">
        <v>57040</v>
      </c>
      <c r="E9" s="5">
        <v>302732</v>
      </c>
    </row>
    <row r="10" spans="1:7" x14ac:dyDescent="0.2">
      <c r="A10" s="31"/>
      <c r="B10" s="31"/>
      <c r="C10" s="31"/>
      <c r="D10" s="31"/>
      <c r="E10" s="31"/>
      <c r="F10" s="31"/>
      <c r="G10" s="31"/>
    </row>
    <row r="11" spans="1:7" ht="15.75" x14ac:dyDescent="0.2">
      <c r="A11" s="22" t="s">
        <v>338</v>
      </c>
      <c r="B11" s="31"/>
      <c r="C11" s="31"/>
      <c r="D11" s="31"/>
      <c r="E11" s="31"/>
    </row>
    <row r="12" spans="1:7" ht="25.5" x14ac:dyDescent="0.2">
      <c r="A12" s="73" t="s">
        <v>0</v>
      </c>
      <c r="B12" s="6" t="s">
        <v>188</v>
      </c>
      <c r="C12" s="6" t="s">
        <v>189</v>
      </c>
      <c r="D12" s="6" t="s">
        <v>498</v>
      </c>
      <c r="E12" s="69" t="s">
        <v>8</v>
      </c>
    </row>
    <row r="13" spans="1:7" x14ac:dyDescent="0.2">
      <c r="A13" s="4" t="s">
        <v>5</v>
      </c>
      <c r="B13" s="4">
        <v>21180</v>
      </c>
      <c r="C13" s="4">
        <v>15987</v>
      </c>
      <c r="D13" s="4">
        <v>0</v>
      </c>
      <c r="E13" s="4">
        <v>37167</v>
      </c>
    </row>
    <row r="14" spans="1:7" x14ac:dyDescent="0.2">
      <c r="A14" s="4" t="s">
        <v>6</v>
      </c>
      <c r="B14" s="4">
        <v>44492</v>
      </c>
      <c r="C14" s="4">
        <v>37208</v>
      </c>
      <c r="D14" s="4">
        <v>0</v>
      </c>
      <c r="E14" s="4">
        <v>81700</v>
      </c>
    </row>
    <row r="15" spans="1:7" x14ac:dyDescent="0.2">
      <c r="A15" s="4" t="s">
        <v>7</v>
      </c>
      <c r="B15" s="4">
        <v>104261</v>
      </c>
      <c r="C15" s="4">
        <v>79602</v>
      </c>
      <c r="D15" s="4">
        <v>2</v>
      </c>
      <c r="E15" s="4">
        <v>183865</v>
      </c>
    </row>
    <row r="16" spans="1:7" x14ac:dyDescent="0.2">
      <c r="A16" s="5" t="s">
        <v>4</v>
      </c>
      <c r="B16" s="5">
        <v>169933</v>
      </c>
      <c r="C16" s="5">
        <v>132797</v>
      </c>
      <c r="D16" s="5">
        <v>2</v>
      </c>
      <c r="E16" s="5">
        <v>302732</v>
      </c>
    </row>
    <row r="17" spans="1:5" x14ac:dyDescent="0.2">
      <c r="A17" s="31"/>
      <c r="B17" s="55"/>
      <c r="C17" s="55"/>
      <c r="D17" s="55"/>
      <c r="E17" s="31"/>
    </row>
    <row r="18" spans="1:5" ht="15.75" x14ac:dyDescent="0.2">
      <c r="A18" s="22" t="s">
        <v>339</v>
      </c>
      <c r="B18" s="31"/>
      <c r="C18" s="31"/>
      <c r="D18" s="31"/>
      <c r="E18" s="31"/>
    </row>
    <row r="19" spans="1:5" x14ac:dyDescent="0.2">
      <c r="A19" s="73" t="s">
        <v>0</v>
      </c>
      <c r="B19" s="3" t="s">
        <v>1</v>
      </c>
      <c r="C19" s="3" t="s">
        <v>2</v>
      </c>
      <c r="D19" s="3" t="s">
        <v>3</v>
      </c>
      <c r="E19" s="6" t="s">
        <v>8</v>
      </c>
    </row>
    <row r="20" spans="1:5" x14ac:dyDescent="0.2">
      <c r="A20" s="4" t="s">
        <v>5</v>
      </c>
      <c r="B20" s="4">
        <v>34877</v>
      </c>
      <c r="C20" s="4">
        <v>0</v>
      </c>
      <c r="D20" s="4">
        <v>15</v>
      </c>
      <c r="E20" s="4">
        <v>34892</v>
      </c>
    </row>
    <row r="21" spans="1:5" x14ac:dyDescent="0.2">
      <c r="A21" s="4" t="s">
        <v>258</v>
      </c>
      <c r="B21" s="4">
        <v>2275</v>
      </c>
      <c r="C21" s="4">
        <v>0</v>
      </c>
      <c r="D21" s="4">
        <v>0</v>
      </c>
      <c r="E21" s="4">
        <v>2275</v>
      </c>
    </row>
    <row r="22" spans="1:5" x14ac:dyDescent="0.2">
      <c r="A22" s="4" t="s">
        <v>6</v>
      </c>
      <c r="B22" s="4">
        <v>81285</v>
      </c>
      <c r="C22" s="4">
        <v>0</v>
      </c>
      <c r="D22" s="4">
        <v>415</v>
      </c>
      <c r="E22" s="4">
        <v>81700</v>
      </c>
    </row>
    <row r="23" spans="1:5" x14ac:dyDescent="0.2">
      <c r="A23" s="27" t="s">
        <v>306</v>
      </c>
      <c r="B23" s="4">
        <v>29033</v>
      </c>
      <c r="C23" s="4">
        <v>3928</v>
      </c>
      <c r="D23" s="4">
        <v>8278</v>
      </c>
      <c r="E23" s="4">
        <v>41239</v>
      </c>
    </row>
    <row r="24" spans="1:5" x14ac:dyDescent="0.2">
      <c r="A24" s="27" t="s">
        <v>307</v>
      </c>
      <c r="B24" s="4">
        <v>28339</v>
      </c>
      <c r="C24" s="4">
        <v>5837</v>
      </c>
      <c r="D24" s="4">
        <v>21744</v>
      </c>
      <c r="E24" s="4">
        <v>55920</v>
      </c>
    </row>
    <row r="25" spans="1:5" x14ac:dyDescent="0.2">
      <c r="A25" s="27" t="s">
        <v>217</v>
      </c>
      <c r="B25" s="4">
        <v>49008</v>
      </c>
      <c r="C25" s="4">
        <v>11110</v>
      </c>
      <c r="D25" s="4">
        <v>26588</v>
      </c>
      <c r="E25" s="4">
        <v>86706</v>
      </c>
    </row>
    <row r="26" spans="1:5" x14ac:dyDescent="0.2">
      <c r="A26" s="5" t="s">
        <v>4</v>
      </c>
      <c r="B26" s="5">
        <v>224817</v>
      </c>
      <c r="C26" s="5">
        <v>20875</v>
      </c>
      <c r="D26" s="5">
        <v>57040</v>
      </c>
      <c r="E26" s="5">
        <v>302732</v>
      </c>
    </row>
    <row r="27" spans="1:5" x14ac:dyDescent="0.2">
      <c r="A27" s="31"/>
      <c r="B27" s="55"/>
      <c r="C27" s="55"/>
      <c r="D27" s="55"/>
      <c r="E27" s="55"/>
    </row>
    <row r="28" spans="1:5" ht="15.75" x14ac:dyDescent="0.2">
      <c r="A28" s="22" t="s">
        <v>340</v>
      </c>
      <c r="B28" s="31"/>
      <c r="C28" s="31"/>
      <c r="D28" s="31"/>
      <c r="E28" s="31"/>
    </row>
    <row r="29" spans="1:5" ht="25.5" x14ac:dyDescent="0.2">
      <c r="A29" s="73" t="s">
        <v>0</v>
      </c>
      <c r="B29" s="6" t="s">
        <v>188</v>
      </c>
      <c r="C29" s="6" t="s">
        <v>189</v>
      </c>
      <c r="D29" s="6" t="s">
        <v>498</v>
      </c>
      <c r="E29" s="6" t="s">
        <v>8</v>
      </c>
    </row>
    <row r="30" spans="1:5" x14ac:dyDescent="0.2">
      <c r="A30" s="4" t="s">
        <v>5</v>
      </c>
      <c r="B30" s="4">
        <v>19735</v>
      </c>
      <c r="C30" s="4">
        <v>15157</v>
      </c>
      <c r="D30" s="4">
        <v>0</v>
      </c>
      <c r="E30" s="4">
        <v>34892</v>
      </c>
    </row>
    <row r="31" spans="1:5" x14ac:dyDescent="0.2">
      <c r="A31" s="4" t="s">
        <v>258</v>
      </c>
      <c r="B31" s="4">
        <v>1445</v>
      </c>
      <c r="C31" s="4">
        <v>830</v>
      </c>
      <c r="D31" s="4">
        <v>0</v>
      </c>
      <c r="E31" s="4">
        <v>2275</v>
      </c>
    </row>
    <row r="32" spans="1:5" x14ac:dyDescent="0.2">
      <c r="A32" s="4" t="s">
        <v>6</v>
      </c>
      <c r="B32" s="4">
        <v>44492</v>
      </c>
      <c r="C32" s="4">
        <v>37208</v>
      </c>
      <c r="D32" s="4">
        <v>0</v>
      </c>
      <c r="E32" s="4">
        <v>81700</v>
      </c>
    </row>
    <row r="33" spans="1:5" x14ac:dyDescent="0.2">
      <c r="A33" s="27" t="s">
        <v>306</v>
      </c>
      <c r="B33" s="4">
        <v>22322</v>
      </c>
      <c r="C33" s="4">
        <v>18916</v>
      </c>
      <c r="D33" s="4">
        <v>1</v>
      </c>
      <c r="E33" s="4">
        <v>41239</v>
      </c>
    </row>
    <row r="34" spans="1:5" x14ac:dyDescent="0.2">
      <c r="A34" s="27" t="s">
        <v>307</v>
      </c>
      <c r="B34" s="4">
        <v>30658</v>
      </c>
      <c r="C34" s="4">
        <v>25261</v>
      </c>
      <c r="D34" s="4">
        <v>1</v>
      </c>
      <c r="E34" s="4">
        <v>55920</v>
      </c>
    </row>
    <row r="35" spans="1:5" x14ac:dyDescent="0.2">
      <c r="A35" s="27" t="s">
        <v>217</v>
      </c>
      <c r="B35" s="4">
        <v>51281</v>
      </c>
      <c r="C35" s="4">
        <v>35425</v>
      </c>
      <c r="D35" s="4">
        <v>0</v>
      </c>
      <c r="E35" s="4">
        <v>86706</v>
      </c>
    </row>
    <row r="36" spans="1:5" x14ac:dyDescent="0.2">
      <c r="A36" s="5" t="s">
        <v>4</v>
      </c>
      <c r="B36" s="5">
        <v>169933</v>
      </c>
      <c r="C36" s="5">
        <v>132797</v>
      </c>
      <c r="D36" s="5">
        <v>2</v>
      </c>
      <c r="E36" s="5">
        <v>302732</v>
      </c>
    </row>
    <row r="37" spans="1:5" x14ac:dyDescent="0.2">
      <c r="A37" s="31"/>
      <c r="B37" s="55"/>
      <c r="C37" s="55"/>
      <c r="D37" s="55"/>
      <c r="E37" s="31"/>
    </row>
    <row r="38" spans="1:5" ht="15.75" x14ac:dyDescent="0.2">
      <c r="A38" s="22" t="s">
        <v>341</v>
      </c>
      <c r="B38" s="31"/>
      <c r="C38" s="31"/>
      <c r="D38" s="31"/>
      <c r="E38" s="31"/>
    </row>
    <row r="39" spans="1:5" ht="25.5" x14ac:dyDescent="0.2">
      <c r="A39" s="73" t="s">
        <v>9</v>
      </c>
      <c r="B39" s="6" t="s">
        <v>188</v>
      </c>
      <c r="C39" s="6" t="s">
        <v>189</v>
      </c>
      <c r="D39" s="6" t="s">
        <v>498</v>
      </c>
      <c r="E39" s="6" t="s">
        <v>8</v>
      </c>
    </row>
    <row r="40" spans="1:5" x14ac:dyDescent="0.2">
      <c r="A40" s="7" t="s">
        <v>224</v>
      </c>
      <c r="B40" s="8">
        <v>1789</v>
      </c>
      <c r="C40" s="8">
        <v>1449</v>
      </c>
      <c r="D40" s="8">
        <v>0</v>
      </c>
      <c r="E40" s="8">
        <v>3238</v>
      </c>
    </row>
    <row r="41" spans="1:5" x14ac:dyDescent="0.2">
      <c r="A41" s="7" t="s">
        <v>225</v>
      </c>
      <c r="B41" s="8">
        <v>2010</v>
      </c>
      <c r="C41" s="8">
        <v>1402</v>
      </c>
      <c r="D41" s="8">
        <v>0</v>
      </c>
      <c r="E41" s="8">
        <v>3412</v>
      </c>
    </row>
    <row r="42" spans="1:5" x14ac:dyDescent="0.2">
      <c r="A42" s="7" t="s">
        <v>226</v>
      </c>
      <c r="B42" s="8">
        <v>3871</v>
      </c>
      <c r="C42" s="8">
        <v>3388</v>
      </c>
      <c r="D42" s="8">
        <v>0</v>
      </c>
      <c r="E42" s="8">
        <v>7259</v>
      </c>
    </row>
    <row r="43" spans="1:5" x14ac:dyDescent="0.2">
      <c r="A43" s="7" t="s">
        <v>227</v>
      </c>
      <c r="B43" s="8">
        <v>1377</v>
      </c>
      <c r="C43" s="8">
        <v>1302</v>
      </c>
      <c r="D43" s="8">
        <v>0</v>
      </c>
      <c r="E43" s="8">
        <v>2679</v>
      </c>
    </row>
    <row r="44" spans="1:5" x14ac:dyDescent="0.2">
      <c r="A44" s="7" t="s">
        <v>228</v>
      </c>
      <c r="B44" s="8">
        <v>5539</v>
      </c>
      <c r="C44" s="8">
        <v>4550</v>
      </c>
      <c r="D44" s="8">
        <v>0</v>
      </c>
      <c r="E44" s="8">
        <v>10089</v>
      </c>
    </row>
    <row r="45" spans="1:5" x14ac:dyDescent="0.2">
      <c r="A45" s="75" t="s">
        <v>229</v>
      </c>
      <c r="B45" s="8">
        <v>13882</v>
      </c>
      <c r="C45" s="8">
        <v>11037</v>
      </c>
      <c r="D45" s="8">
        <v>0</v>
      </c>
      <c r="E45" s="8">
        <v>24919</v>
      </c>
    </row>
    <row r="46" spans="1:5" x14ac:dyDescent="0.2">
      <c r="A46" s="75" t="s">
        <v>239</v>
      </c>
      <c r="B46" s="8">
        <v>94890</v>
      </c>
      <c r="C46" s="8">
        <v>76460</v>
      </c>
      <c r="D46" s="8">
        <v>1</v>
      </c>
      <c r="E46" s="8">
        <v>171351</v>
      </c>
    </row>
    <row r="47" spans="1:5" x14ac:dyDescent="0.2">
      <c r="A47" s="75" t="s">
        <v>260</v>
      </c>
      <c r="B47" s="8">
        <v>3140</v>
      </c>
      <c r="C47" s="8">
        <v>2420</v>
      </c>
      <c r="D47" s="8">
        <v>0</v>
      </c>
      <c r="E47" s="8">
        <v>5560</v>
      </c>
    </row>
    <row r="48" spans="1:5" x14ac:dyDescent="0.2">
      <c r="A48" s="7" t="s">
        <v>230</v>
      </c>
      <c r="B48" s="8">
        <v>6807</v>
      </c>
      <c r="C48" s="8">
        <v>4759</v>
      </c>
      <c r="D48" s="8">
        <v>0</v>
      </c>
      <c r="E48" s="8">
        <v>11566</v>
      </c>
    </row>
    <row r="49" spans="1:7" x14ac:dyDescent="0.2">
      <c r="A49" s="7" t="s">
        <v>242</v>
      </c>
      <c r="B49" s="8">
        <v>2818</v>
      </c>
      <c r="C49" s="8">
        <v>1959</v>
      </c>
      <c r="D49" s="8">
        <v>0</v>
      </c>
      <c r="E49" s="8">
        <v>4777</v>
      </c>
    </row>
    <row r="50" spans="1:7" x14ac:dyDescent="0.2">
      <c r="A50" s="7" t="s">
        <v>231</v>
      </c>
      <c r="B50" s="8">
        <v>14413</v>
      </c>
      <c r="C50" s="8">
        <v>11403</v>
      </c>
      <c r="D50" s="8">
        <v>1</v>
      </c>
      <c r="E50" s="8">
        <v>25817</v>
      </c>
    </row>
    <row r="51" spans="1:7" x14ac:dyDescent="0.2">
      <c r="A51" s="7" t="s">
        <v>232</v>
      </c>
      <c r="B51" s="8">
        <v>10561</v>
      </c>
      <c r="C51" s="8">
        <v>6244</v>
      </c>
      <c r="D51" s="8">
        <v>0</v>
      </c>
      <c r="E51" s="8">
        <v>16805</v>
      </c>
    </row>
    <row r="52" spans="1:7" x14ac:dyDescent="0.2">
      <c r="A52" s="7" t="s">
        <v>233</v>
      </c>
      <c r="B52" s="8">
        <v>2858</v>
      </c>
      <c r="C52" s="8">
        <v>2240</v>
      </c>
      <c r="D52" s="8">
        <v>0</v>
      </c>
      <c r="E52" s="8">
        <v>5098</v>
      </c>
    </row>
    <row r="53" spans="1:7" x14ac:dyDescent="0.2">
      <c r="A53" s="75" t="s">
        <v>234</v>
      </c>
      <c r="B53" s="8">
        <v>5044</v>
      </c>
      <c r="C53" s="8">
        <v>3358</v>
      </c>
      <c r="D53" s="8">
        <v>0</v>
      </c>
      <c r="E53" s="8">
        <v>8402</v>
      </c>
    </row>
    <row r="54" spans="1:7" x14ac:dyDescent="0.2">
      <c r="A54" s="75" t="s">
        <v>235</v>
      </c>
      <c r="B54" s="8">
        <v>254</v>
      </c>
      <c r="C54" s="8">
        <v>178</v>
      </c>
      <c r="D54" s="8">
        <v>0</v>
      </c>
      <c r="E54" s="8">
        <v>432</v>
      </c>
    </row>
    <row r="55" spans="1:7" x14ac:dyDescent="0.2">
      <c r="A55" s="75" t="s">
        <v>236</v>
      </c>
      <c r="B55" s="8">
        <v>680</v>
      </c>
      <c r="C55" s="8">
        <v>648</v>
      </c>
      <c r="D55" s="8">
        <v>0</v>
      </c>
      <c r="E55" s="8">
        <v>1328</v>
      </c>
    </row>
    <row r="56" spans="1:7" x14ac:dyDescent="0.2">
      <c r="A56" s="9" t="s">
        <v>4</v>
      </c>
      <c r="B56" s="10">
        <v>169933</v>
      </c>
      <c r="C56" s="10">
        <v>132797</v>
      </c>
      <c r="D56" s="10">
        <v>2</v>
      </c>
      <c r="E56" s="10">
        <v>302732</v>
      </c>
    </row>
    <row r="57" spans="1:7" x14ac:dyDescent="0.2">
      <c r="A57" s="31"/>
      <c r="B57" s="31"/>
      <c r="C57" s="31"/>
      <c r="D57" s="31"/>
      <c r="E57" s="56"/>
    </row>
    <row r="58" spans="1:7" ht="15.75" x14ac:dyDescent="0.2">
      <c r="A58" s="22" t="s">
        <v>456</v>
      </c>
      <c r="B58" s="31"/>
      <c r="C58" s="31"/>
      <c r="D58" s="31"/>
      <c r="E58" s="31"/>
    </row>
    <row r="59" spans="1:7" ht="25.5" x14ac:dyDescent="0.2">
      <c r="A59" s="73" t="s">
        <v>10</v>
      </c>
      <c r="B59" s="6" t="s">
        <v>188</v>
      </c>
      <c r="C59" s="6" t="s">
        <v>189</v>
      </c>
      <c r="D59" s="6" t="s">
        <v>498</v>
      </c>
      <c r="E59" s="6" t="s">
        <v>8</v>
      </c>
    </row>
    <row r="60" spans="1:7" x14ac:dyDescent="0.2">
      <c r="A60" s="7" t="s">
        <v>11</v>
      </c>
      <c r="B60" s="52">
        <v>41118</v>
      </c>
      <c r="C60" s="52">
        <v>32146</v>
      </c>
      <c r="D60" s="155">
        <v>0</v>
      </c>
      <c r="E60" s="52">
        <v>73264</v>
      </c>
      <c r="F60" s="117"/>
      <c r="G60" s="117"/>
    </row>
    <row r="61" spans="1:7" x14ac:dyDescent="0.2">
      <c r="A61" s="7" t="s">
        <v>12</v>
      </c>
      <c r="B61" s="52">
        <v>3989</v>
      </c>
      <c r="C61" s="52">
        <v>2920</v>
      </c>
      <c r="D61" s="155">
        <v>0</v>
      </c>
      <c r="E61" s="52">
        <v>6909</v>
      </c>
      <c r="F61" s="117"/>
      <c r="G61" s="117"/>
    </row>
    <row r="62" spans="1:7" x14ac:dyDescent="0.2">
      <c r="A62" s="7" t="s">
        <v>13</v>
      </c>
      <c r="B62" s="52">
        <v>7895</v>
      </c>
      <c r="C62" s="52">
        <v>4233</v>
      </c>
      <c r="D62" s="155">
        <v>0</v>
      </c>
      <c r="E62" s="52">
        <v>12128</v>
      </c>
      <c r="F62" s="117"/>
      <c r="G62" s="117"/>
    </row>
    <row r="63" spans="1:7" x14ac:dyDescent="0.2">
      <c r="A63" s="7" t="s">
        <v>14</v>
      </c>
      <c r="B63" s="52">
        <v>2027</v>
      </c>
      <c r="C63" s="52">
        <v>2993</v>
      </c>
      <c r="D63" s="155">
        <v>1</v>
      </c>
      <c r="E63" s="52">
        <v>5021</v>
      </c>
      <c r="F63" s="117"/>
      <c r="G63" s="117"/>
    </row>
    <row r="64" spans="1:7" x14ac:dyDescent="0.2">
      <c r="A64" s="7" t="s">
        <v>15</v>
      </c>
      <c r="B64" s="52">
        <v>23919</v>
      </c>
      <c r="C64" s="52">
        <v>9426</v>
      </c>
      <c r="D64" s="155">
        <v>0</v>
      </c>
      <c r="E64" s="52">
        <v>33345</v>
      </c>
      <c r="F64" s="117"/>
      <c r="G64" s="117"/>
    </row>
    <row r="65" spans="1:7" x14ac:dyDescent="0.2">
      <c r="A65" s="7" t="s">
        <v>16</v>
      </c>
      <c r="B65" s="52">
        <v>6236</v>
      </c>
      <c r="C65" s="52">
        <v>5148</v>
      </c>
      <c r="D65" s="155">
        <v>0</v>
      </c>
      <c r="E65" s="52">
        <v>11384</v>
      </c>
      <c r="F65" s="117"/>
      <c r="G65" s="117"/>
    </row>
    <row r="66" spans="1:7" x14ac:dyDescent="0.2">
      <c r="A66" s="7" t="s">
        <v>17</v>
      </c>
      <c r="B66" s="52">
        <v>26743</v>
      </c>
      <c r="C66" s="52">
        <v>8475</v>
      </c>
      <c r="D66" s="155">
        <v>1</v>
      </c>
      <c r="E66" s="52">
        <v>35219</v>
      </c>
      <c r="F66" s="117"/>
      <c r="G66" s="117"/>
    </row>
    <row r="67" spans="1:7" x14ac:dyDescent="0.2">
      <c r="A67" s="7" t="s">
        <v>18</v>
      </c>
      <c r="B67" s="52">
        <v>1275</v>
      </c>
      <c r="C67" s="52">
        <v>1035</v>
      </c>
      <c r="D67" s="155">
        <v>0</v>
      </c>
      <c r="E67" s="52">
        <v>2310</v>
      </c>
      <c r="F67" s="117"/>
      <c r="G67" s="117"/>
    </row>
    <row r="68" spans="1:7" x14ac:dyDescent="0.2">
      <c r="A68" s="7" t="s">
        <v>19</v>
      </c>
      <c r="B68" s="52">
        <v>43665</v>
      </c>
      <c r="C68" s="52">
        <v>13714</v>
      </c>
      <c r="D68" s="155">
        <v>0</v>
      </c>
      <c r="E68" s="52">
        <v>57379</v>
      </c>
      <c r="F68" s="117"/>
      <c r="G68" s="117"/>
    </row>
    <row r="69" spans="1:7" x14ac:dyDescent="0.2">
      <c r="A69" s="7" t="s">
        <v>20</v>
      </c>
      <c r="B69" s="52">
        <v>13066</v>
      </c>
      <c r="C69" s="52">
        <v>52707</v>
      </c>
      <c r="D69" s="155">
        <v>0</v>
      </c>
      <c r="E69" s="52">
        <v>65773</v>
      </c>
      <c r="F69" s="117"/>
      <c r="G69" s="117"/>
    </row>
    <row r="70" spans="1:7" x14ac:dyDescent="0.2">
      <c r="A70" s="9" t="s">
        <v>4</v>
      </c>
      <c r="B70" s="53">
        <v>169933</v>
      </c>
      <c r="C70" s="53">
        <v>132797</v>
      </c>
      <c r="D70" s="155">
        <v>2</v>
      </c>
      <c r="E70" s="53">
        <v>302732</v>
      </c>
      <c r="F70" s="117"/>
      <c r="G70" s="117"/>
    </row>
    <row r="71" spans="1:7" x14ac:dyDescent="0.2">
      <c r="A71" s="163"/>
      <c r="B71" s="164"/>
      <c r="C71" s="164"/>
      <c r="D71" s="165"/>
      <c r="E71" s="164"/>
      <c r="F71" s="117"/>
      <c r="G71" s="117"/>
    </row>
    <row r="72" spans="1:7" ht="15.75" x14ac:dyDescent="0.2">
      <c r="A72" s="22" t="s">
        <v>455</v>
      </c>
      <c r="B72" s="31"/>
      <c r="C72" s="31"/>
      <c r="D72" s="31"/>
      <c r="E72" s="31"/>
      <c r="F72" s="117"/>
      <c r="G72" s="117"/>
    </row>
    <row r="73" spans="1:7" ht="25.5" x14ac:dyDescent="0.2">
      <c r="A73" s="73" t="s">
        <v>10</v>
      </c>
      <c r="B73" s="6" t="s">
        <v>188</v>
      </c>
      <c r="C73" s="6" t="s">
        <v>189</v>
      </c>
      <c r="D73" s="6" t="s">
        <v>498</v>
      </c>
      <c r="E73" s="6" t="s">
        <v>8</v>
      </c>
    </row>
    <row r="74" spans="1:7" x14ac:dyDescent="0.2">
      <c r="A74" s="7" t="s">
        <v>446</v>
      </c>
      <c r="B74" s="52">
        <v>46576</v>
      </c>
      <c r="C74" s="52">
        <v>36153</v>
      </c>
      <c r="D74" s="155">
        <v>0</v>
      </c>
      <c r="E74" s="52">
        <v>82729</v>
      </c>
    </row>
    <row r="75" spans="1:7" x14ac:dyDescent="0.2">
      <c r="A75" s="7" t="s">
        <v>447</v>
      </c>
      <c r="B75" s="52">
        <v>4009</v>
      </c>
      <c r="C75" s="52">
        <v>2947</v>
      </c>
      <c r="D75" s="155">
        <v>0</v>
      </c>
      <c r="E75" s="52">
        <v>6956</v>
      </c>
    </row>
    <row r="76" spans="1:7" x14ac:dyDescent="0.2">
      <c r="A76" s="7" t="s">
        <v>448</v>
      </c>
      <c r="B76" s="52">
        <v>5802</v>
      </c>
      <c r="C76" s="52">
        <v>4356</v>
      </c>
      <c r="D76" s="155">
        <v>0</v>
      </c>
      <c r="E76" s="52">
        <v>10158</v>
      </c>
    </row>
    <row r="77" spans="1:7" x14ac:dyDescent="0.2">
      <c r="A77" s="7" t="s">
        <v>449</v>
      </c>
      <c r="B77" s="52">
        <v>2410</v>
      </c>
      <c r="C77" s="52">
        <v>3399</v>
      </c>
      <c r="D77" s="155">
        <v>1</v>
      </c>
      <c r="E77" s="52">
        <v>5810</v>
      </c>
    </row>
    <row r="78" spans="1:7" x14ac:dyDescent="0.2">
      <c r="A78" s="7" t="s">
        <v>450</v>
      </c>
      <c r="B78" s="52">
        <v>10698</v>
      </c>
      <c r="C78" s="52">
        <v>5191</v>
      </c>
      <c r="D78" s="155">
        <v>0</v>
      </c>
      <c r="E78" s="52">
        <v>15889</v>
      </c>
    </row>
    <row r="79" spans="1:7" x14ac:dyDescent="0.2">
      <c r="A79" s="7" t="s">
        <v>17</v>
      </c>
      <c r="B79" s="52">
        <v>26174</v>
      </c>
      <c r="C79" s="52">
        <v>6619</v>
      </c>
      <c r="D79" s="155">
        <v>1</v>
      </c>
      <c r="E79" s="52">
        <v>32794</v>
      </c>
    </row>
    <row r="80" spans="1:7" x14ac:dyDescent="0.2">
      <c r="A80" s="7" t="s">
        <v>451</v>
      </c>
      <c r="B80" s="52">
        <v>10474</v>
      </c>
      <c r="C80" s="52">
        <v>40773</v>
      </c>
      <c r="D80" s="155">
        <v>0</v>
      </c>
      <c r="E80" s="52">
        <v>51247</v>
      </c>
    </row>
    <row r="81" spans="1:5" x14ac:dyDescent="0.2">
      <c r="A81" s="7" t="s">
        <v>452</v>
      </c>
      <c r="B81" s="52">
        <v>53156</v>
      </c>
      <c r="C81" s="52">
        <v>15362</v>
      </c>
      <c r="D81" s="155">
        <v>0</v>
      </c>
      <c r="E81" s="52">
        <v>68518</v>
      </c>
    </row>
    <row r="82" spans="1:5" x14ac:dyDescent="0.2">
      <c r="A82" s="7" t="s">
        <v>453</v>
      </c>
      <c r="B82" s="52">
        <v>8945</v>
      </c>
      <c r="C82" s="52">
        <v>7659</v>
      </c>
      <c r="D82" s="155">
        <v>0</v>
      </c>
      <c r="E82" s="52">
        <v>16604</v>
      </c>
    </row>
    <row r="83" spans="1:5" x14ac:dyDescent="0.2">
      <c r="A83" s="7" t="s">
        <v>454</v>
      </c>
      <c r="B83" s="52">
        <v>1689</v>
      </c>
      <c r="C83" s="52">
        <v>10338</v>
      </c>
      <c r="D83" s="155">
        <v>0</v>
      </c>
      <c r="E83" s="52">
        <v>12027</v>
      </c>
    </row>
    <row r="84" spans="1:5" x14ac:dyDescent="0.2">
      <c r="A84" s="9" t="s">
        <v>4</v>
      </c>
      <c r="B84" s="53">
        <v>169933</v>
      </c>
      <c r="C84" s="53">
        <v>132797</v>
      </c>
      <c r="D84" s="155">
        <v>2</v>
      </c>
      <c r="E84" s="53">
        <v>302732</v>
      </c>
    </row>
    <row r="85" spans="1:5" x14ac:dyDescent="0.2">
      <c r="A85" s="31"/>
      <c r="B85" s="31"/>
      <c r="C85" s="31"/>
      <c r="D85" s="31"/>
      <c r="E85" s="31"/>
    </row>
    <row r="86" spans="1:5" x14ac:dyDescent="0.2">
      <c r="A86" s="57" t="s">
        <v>218</v>
      </c>
      <c r="B86" s="31"/>
      <c r="C86" s="31"/>
      <c r="D86" s="31"/>
      <c r="E86" s="31"/>
    </row>
    <row r="87" spans="1:5" x14ac:dyDescent="0.2">
      <c r="A87" s="31"/>
      <c r="B87" s="31"/>
      <c r="C87" s="31"/>
      <c r="D87" s="31"/>
      <c r="E87" s="31"/>
    </row>
    <row r="88" spans="1:5" x14ac:dyDescent="0.2">
      <c r="A88" s="58" t="s">
        <v>21</v>
      </c>
      <c r="B88" s="31"/>
      <c r="C88" s="31"/>
      <c r="D88" s="31"/>
      <c r="E88" s="31"/>
    </row>
    <row r="89" spans="1:5" x14ac:dyDescent="0.2">
      <c r="A89" s="31"/>
      <c r="B89" s="31"/>
      <c r="C89" s="31"/>
      <c r="D89" s="31"/>
      <c r="E89" s="31"/>
    </row>
  </sheetData>
  <hyperlinks>
    <hyperlink ref="A88" location="Indice!A5" display="Volver al índice" xr:uid="{00000000-0004-0000-0100-000000000000}"/>
  </hyperlinks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A1:Y142"/>
  <sheetViews>
    <sheetView showGridLines="0"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ColWidth="10.85546875" defaultRowHeight="15" x14ac:dyDescent="0.2"/>
  <cols>
    <col min="1" max="1" width="26.42578125" style="1" customWidth="1"/>
    <col min="2" max="18" width="9.85546875" style="1" customWidth="1"/>
    <col min="19" max="19" width="9.140625" style="1" customWidth="1"/>
    <col min="20" max="20" width="12.5703125" style="1" customWidth="1"/>
    <col min="21" max="21" width="12.85546875" style="1" customWidth="1"/>
    <col min="22" max="22" width="11.85546875" style="1" customWidth="1"/>
    <col min="23" max="24" width="14.5703125" style="1" customWidth="1"/>
    <col min="25" max="25" width="9.140625" style="1" customWidth="1"/>
    <col min="26" max="16384" width="10.85546875" style="1"/>
  </cols>
  <sheetData>
    <row r="1" spans="1:25" ht="21" x14ac:dyDescent="0.2">
      <c r="A1" s="54" t="s">
        <v>371</v>
      </c>
      <c r="B1" s="54"/>
      <c r="C1" s="54"/>
      <c r="D1" s="54"/>
      <c r="E1" s="54"/>
      <c r="F1" s="54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5" ht="26.25" customHeight="1" x14ac:dyDescent="0.2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</row>
    <row r="3" spans="1:25" x14ac:dyDescent="0.2">
      <c r="A3" s="59"/>
      <c r="B3" s="59"/>
      <c r="C3" s="59"/>
      <c r="D3" s="59"/>
      <c r="E3" s="59"/>
      <c r="F3" s="59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</row>
    <row r="4" spans="1:25" ht="15.75" x14ac:dyDescent="0.2">
      <c r="A4" s="22" t="s">
        <v>197</v>
      </c>
      <c r="B4" s="22"/>
      <c r="C4" s="22"/>
      <c r="D4" s="22"/>
      <c r="E4" s="22"/>
      <c r="F4" s="22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</row>
    <row r="5" spans="1:25" ht="28.5" customHeight="1" x14ac:dyDescent="0.2">
      <c r="A5" s="73" t="s">
        <v>208</v>
      </c>
      <c r="B5" s="3">
        <v>2007</v>
      </c>
      <c r="C5" s="3">
        <v>2008</v>
      </c>
      <c r="D5" s="3">
        <v>2009</v>
      </c>
      <c r="E5" s="3">
        <v>2010</v>
      </c>
      <c r="F5" s="3">
        <v>2011</v>
      </c>
      <c r="G5" s="3">
        <v>2012</v>
      </c>
      <c r="H5" s="3">
        <v>2013</v>
      </c>
      <c r="I5" s="3">
        <v>2014</v>
      </c>
      <c r="J5" s="3">
        <v>2015</v>
      </c>
      <c r="K5" s="3">
        <v>2016</v>
      </c>
      <c r="L5" s="3">
        <v>2017</v>
      </c>
      <c r="M5" s="3">
        <v>2018</v>
      </c>
      <c r="N5" s="3">
        <v>2019</v>
      </c>
      <c r="O5" s="3">
        <v>2020</v>
      </c>
      <c r="P5" s="3">
        <v>2021</v>
      </c>
      <c r="Q5" s="3">
        <v>2022</v>
      </c>
      <c r="R5" s="3">
        <v>2023</v>
      </c>
      <c r="S5" s="3">
        <v>2024</v>
      </c>
      <c r="T5" s="12" t="s">
        <v>368</v>
      </c>
      <c r="U5" s="12" t="s">
        <v>369</v>
      </c>
      <c r="V5" s="12" t="s">
        <v>370</v>
      </c>
      <c r="W5" s="12" t="s">
        <v>372</v>
      </c>
      <c r="X5" s="169" t="s">
        <v>494</v>
      </c>
    </row>
    <row r="6" spans="1:25" x14ac:dyDescent="0.2">
      <c r="A6" s="4" t="s">
        <v>1</v>
      </c>
      <c r="B6" s="4">
        <v>87126</v>
      </c>
      <c r="C6" s="4">
        <v>98022</v>
      </c>
      <c r="D6" s="4">
        <v>106130</v>
      </c>
      <c r="E6" s="4">
        <v>102164</v>
      </c>
      <c r="F6" s="4">
        <v>118332</v>
      </c>
      <c r="G6" s="4">
        <v>135721</v>
      </c>
      <c r="H6" s="4">
        <v>156991</v>
      </c>
      <c r="I6" s="4">
        <v>171648</v>
      </c>
      <c r="J6" s="4">
        <v>189086</v>
      </c>
      <c r="K6" s="4">
        <v>197568</v>
      </c>
      <c r="L6" s="4">
        <v>206554</v>
      </c>
      <c r="M6" s="4">
        <v>209022</v>
      </c>
      <c r="N6" s="4">
        <v>201142</v>
      </c>
      <c r="O6" s="4">
        <v>160890</v>
      </c>
      <c r="P6" s="4">
        <v>228691</v>
      </c>
      <c r="Q6" s="4">
        <v>225935</v>
      </c>
      <c r="R6" s="4">
        <v>231169</v>
      </c>
      <c r="S6" s="4">
        <v>224817</v>
      </c>
      <c r="T6" s="88">
        <f>(S6-J6)/J6</f>
        <v>0.18896692510286325</v>
      </c>
      <c r="U6" s="88">
        <f>(S6-O6)/O6</f>
        <v>0.39733358195040092</v>
      </c>
      <c r="V6" s="88">
        <f>(S6-R6)/R6</f>
        <v>-2.7477732740981704E-2</v>
      </c>
      <c r="W6" s="90">
        <f>S6/S$9</f>
        <v>0.74262714215874104</v>
      </c>
      <c r="X6" s="52">
        <f>S6-R6</f>
        <v>-6352</v>
      </c>
      <c r="Y6" s="132"/>
    </row>
    <row r="7" spans="1:25" x14ac:dyDescent="0.2">
      <c r="A7" s="4" t="s">
        <v>2</v>
      </c>
      <c r="B7" s="4">
        <v>5481</v>
      </c>
      <c r="C7" s="4">
        <v>6239</v>
      </c>
      <c r="D7" s="4">
        <v>8606</v>
      </c>
      <c r="E7" s="4">
        <v>8088</v>
      </c>
      <c r="F7" s="4">
        <v>10011</v>
      </c>
      <c r="G7" s="4">
        <v>10589</v>
      </c>
      <c r="H7" s="4">
        <v>12613</v>
      </c>
      <c r="I7" s="4">
        <v>13015</v>
      </c>
      <c r="J7" s="4">
        <v>13984</v>
      </c>
      <c r="K7" s="4">
        <v>13984</v>
      </c>
      <c r="L7" s="4">
        <v>14827</v>
      </c>
      <c r="M7" s="4">
        <v>16379</v>
      </c>
      <c r="N7" s="4">
        <v>16244</v>
      </c>
      <c r="O7" s="4">
        <v>15352</v>
      </c>
      <c r="P7" s="4">
        <v>19391</v>
      </c>
      <c r="Q7" s="4">
        <v>19485</v>
      </c>
      <c r="R7" s="4">
        <v>22177</v>
      </c>
      <c r="S7" s="4">
        <v>20875</v>
      </c>
      <c r="T7" s="88">
        <f>(S7-J7)/J7</f>
        <v>0.49277745995423339</v>
      </c>
      <c r="U7" s="88">
        <f>(S7-O7)/O7</f>
        <v>0.35975768629494531</v>
      </c>
      <c r="V7" s="88">
        <f>(S7-R7)/R7</f>
        <v>-5.8709473779140549E-2</v>
      </c>
      <c r="W7" s="90">
        <f>S7/S$9</f>
        <v>6.8955379675752812E-2</v>
      </c>
      <c r="X7" s="52">
        <f t="shared" ref="X7:X9" si="0">S7-R7</f>
        <v>-1302</v>
      </c>
      <c r="Y7" s="132"/>
    </row>
    <row r="8" spans="1:25" x14ac:dyDescent="0.2">
      <c r="A8" s="4" t="s">
        <v>3</v>
      </c>
      <c r="B8" s="4">
        <v>5017</v>
      </c>
      <c r="C8" s="4">
        <v>7652</v>
      </c>
      <c r="D8" s="4">
        <v>8783</v>
      </c>
      <c r="E8" s="4">
        <v>8853</v>
      </c>
      <c r="F8" s="4">
        <v>8730</v>
      </c>
      <c r="G8" s="4">
        <v>9690</v>
      </c>
      <c r="H8" s="4">
        <v>12575</v>
      </c>
      <c r="I8" s="4">
        <v>12895</v>
      </c>
      <c r="J8" s="4">
        <v>13517</v>
      </c>
      <c r="K8" s="4">
        <v>18954</v>
      </c>
      <c r="L8" s="4">
        <v>22625</v>
      </c>
      <c r="M8" s="4">
        <v>24948</v>
      </c>
      <c r="N8" s="4">
        <v>29233</v>
      </c>
      <c r="O8" s="4">
        <v>27355</v>
      </c>
      <c r="P8" s="4">
        <v>33407</v>
      </c>
      <c r="Q8" s="4">
        <v>46033</v>
      </c>
      <c r="R8" s="4">
        <v>46453</v>
      </c>
      <c r="S8" s="4">
        <v>57040</v>
      </c>
      <c r="T8" s="88">
        <f>(S8-J8)/J8</f>
        <v>3.2198712732115116</v>
      </c>
      <c r="U8" s="88">
        <f>(S8-O8)/O8</f>
        <v>1.0851763845732041</v>
      </c>
      <c r="V8" s="88">
        <f>(S8-R8)/R8</f>
        <v>0.22790777775385873</v>
      </c>
      <c r="W8" s="90">
        <f>S8/S$9</f>
        <v>0.18841747816550614</v>
      </c>
      <c r="X8" s="52">
        <f t="shared" si="0"/>
        <v>10587</v>
      </c>
      <c r="Y8" s="132"/>
    </row>
    <row r="9" spans="1:25" x14ac:dyDescent="0.2">
      <c r="A9" s="5" t="s">
        <v>4</v>
      </c>
      <c r="B9" s="5">
        <v>97624</v>
      </c>
      <c r="C9" s="5">
        <v>111913</v>
      </c>
      <c r="D9" s="5">
        <v>123519</v>
      </c>
      <c r="E9" s="5">
        <v>119105</v>
      </c>
      <c r="F9" s="5">
        <v>137073</v>
      </c>
      <c r="G9" s="5">
        <v>156000</v>
      </c>
      <c r="H9" s="5">
        <v>182179</v>
      </c>
      <c r="I9" s="5">
        <v>197558</v>
      </c>
      <c r="J9" s="5">
        <v>216587</v>
      </c>
      <c r="K9" s="5">
        <v>230506</v>
      </c>
      <c r="L9" s="5">
        <v>244006</v>
      </c>
      <c r="M9" s="5">
        <v>250349</v>
      </c>
      <c r="N9" s="5">
        <v>246619</v>
      </c>
      <c r="O9" s="5">
        <v>203597</v>
      </c>
      <c r="P9" s="5">
        <v>281489</v>
      </c>
      <c r="Q9" s="5">
        <v>291453</v>
      </c>
      <c r="R9" s="5">
        <v>299799</v>
      </c>
      <c r="S9" s="5">
        <v>302732</v>
      </c>
      <c r="T9" s="89">
        <f>(S9-J9)/J9</f>
        <v>0.39773855309875478</v>
      </c>
      <c r="U9" s="89">
        <f>(S9-O9)/O9</f>
        <v>0.48691778366085942</v>
      </c>
      <c r="V9" s="89">
        <f>(S9-R9)/R9</f>
        <v>9.7832214250214312E-3</v>
      </c>
      <c r="W9" s="91">
        <f>S9/S$9</f>
        <v>1</v>
      </c>
      <c r="X9" s="53">
        <f t="shared" si="0"/>
        <v>2933</v>
      </c>
      <c r="Y9" s="132"/>
    </row>
    <row r="10" spans="1:25" x14ac:dyDescent="0.2">
      <c r="A10" s="98"/>
      <c r="B10" s="118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98"/>
      <c r="V10" s="98"/>
      <c r="W10" s="85"/>
      <c r="X10" s="85"/>
    </row>
    <row r="11" spans="1:25" ht="15.75" x14ac:dyDescent="0.2">
      <c r="A11" s="22" t="s">
        <v>22</v>
      </c>
      <c r="B11" s="22"/>
      <c r="C11" s="22"/>
      <c r="D11" s="22"/>
      <c r="E11" s="22"/>
      <c r="F11" s="22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</row>
    <row r="12" spans="1:25" ht="25.5" x14ac:dyDescent="0.2">
      <c r="A12" s="73" t="s">
        <v>0</v>
      </c>
      <c r="B12" s="3">
        <v>2007</v>
      </c>
      <c r="C12" s="3">
        <v>2008</v>
      </c>
      <c r="D12" s="3">
        <v>2009</v>
      </c>
      <c r="E12" s="3">
        <v>2010</v>
      </c>
      <c r="F12" s="3">
        <v>2011</v>
      </c>
      <c r="G12" s="3">
        <v>2012</v>
      </c>
      <c r="H12" s="3">
        <v>2013</v>
      </c>
      <c r="I12" s="3">
        <v>2014</v>
      </c>
      <c r="J12" s="3">
        <v>2015</v>
      </c>
      <c r="K12" s="3">
        <v>2016</v>
      </c>
      <c r="L12" s="3">
        <v>2017</v>
      </c>
      <c r="M12" s="3">
        <v>2018</v>
      </c>
      <c r="N12" s="3">
        <v>2019</v>
      </c>
      <c r="O12" s="3">
        <v>2020</v>
      </c>
      <c r="P12" s="3">
        <v>2021</v>
      </c>
      <c r="Q12" s="3">
        <v>2022</v>
      </c>
      <c r="R12" s="3">
        <v>2023</v>
      </c>
      <c r="S12" s="3">
        <v>2024</v>
      </c>
      <c r="T12" s="12" t="s">
        <v>368</v>
      </c>
      <c r="U12" s="12" t="s">
        <v>369</v>
      </c>
      <c r="V12" s="12" t="s">
        <v>370</v>
      </c>
      <c r="W12" s="12" t="s">
        <v>372</v>
      </c>
      <c r="X12" s="169" t="s">
        <v>494</v>
      </c>
    </row>
    <row r="13" spans="1:25" x14ac:dyDescent="0.2">
      <c r="A13" s="4" t="s">
        <v>5</v>
      </c>
      <c r="B13" s="4">
        <v>13913</v>
      </c>
      <c r="C13" s="4">
        <v>20014</v>
      </c>
      <c r="D13" s="4">
        <v>16903</v>
      </c>
      <c r="E13" s="4">
        <v>14353</v>
      </c>
      <c r="F13" s="4">
        <v>22491</v>
      </c>
      <c r="G13" s="4">
        <v>25623</v>
      </c>
      <c r="H13" s="4">
        <v>28293</v>
      </c>
      <c r="I13" s="4">
        <v>27779</v>
      </c>
      <c r="J13" s="4">
        <v>30655</v>
      </c>
      <c r="K13" s="4">
        <v>33939</v>
      </c>
      <c r="L13" s="4">
        <v>33024</v>
      </c>
      <c r="M13" s="4">
        <v>35359</v>
      </c>
      <c r="N13" s="4">
        <v>34050</v>
      </c>
      <c r="O13" s="4">
        <v>24216</v>
      </c>
      <c r="P13" s="4">
        <v>36481</v>
      </c>
      <c r="Q13" s="4">
        <v>38178</v>
      </c>
      <c r="R13" s="4">
        <v>40657</v>
      </c>
      <c r="S13" s="4">
        <v>37167</v>
      </c>
      <c r="T13" s="88">
        <f>(S13-J13)/J13</f>
        <v>0.21242864133094111</v>
      </c>
      <c r="U13" s="88">
        <f>(S13-O13)/O13</f>
        <v>0.53481169474727452</v>
      </c>
      <c r="V13" s="88">
        <f>(S13-R13)/R13</f>
        <v>-8.5840076739552851E-2</v>
      </c>
      <c r="W13" s="90">
        <f>S13/S$9</f>
        <v>0.12277195671418945</v>
      </c>
      <c r="X13" s="52">
        <f t="shared" ref="X13:X16" si="1">S13-R13</f>
        <v>-3490</v>
      </c>
      <c r="Y13" s="132"/>
    </row>
    <row r="14" spans="1:25" x14ac:dyDescent="0.2">
      <c r="A14" s="4" t="s">
        <v>6</v>
      </c>
      <c r="B14" s="4">
        <v>17980</v>
      </c>
      <c r="C14" s="4">
        <v>19230</v>
      </c>
      <c r="D14" s="4">
        <v>23865</v>
      </c>
      <c r="E14" s="4">
        <v>23804</v>
      </c>
      <c r="F14" s="4">
        <v>30856</v>
      </c>
      <c r="G14" s="4">
        <v>38267</v>
      </c>
      <c r="H14" s="4">
        <v>47541</v>
      </c>
      <c r="I14" s="4">
        <v>56531</v>
      </c>
      <c r="J14" s="4">
        <v>68554</v>
      </c>
      <c r="K14" s="4">
        <v>76576</v>
      </c>
      <c r="L14" s="4">
        <v>80297</v>
      </c>
      <c r="M14" s="4">
        <v>80211</v>
      </c>
      <c r="N14" s="4">
        <v>75780</v>
      </c>
      <c r="O14" s="4">
        <v>64502</v>
      </c>
      <c r="P14" s="4">
        <v>82802</v>
      </c>
      <c r="Q14" s="4">
        <v>78555</v>
      </c>
      <c r="R14" s="4">
        <v>80127</v>
      </c>
      <c r="S14" s="4">
        <v>81700</v>
      </c>
      <c r="T14" s="88">
        <f>(S14-J14)/J14</f>
        <v>0.19176123931499256</v>
      </c>
      <c r="U14" s="88">
        <f>(S14-O14)/O14</f>
        <v>0.26662739139871633</v>
      </c>
      <c r="V14" s="88">
        <f>(S14-R14)/R14</f>
        <v>1.963133525528224E-2</v>
      </c>
      <c r="W14" s="90">
        <f>S14/S$9</f>
        <v>0.2698756656052218</v>
      </c>
      <c r="X14" s="52">
        <f t="shared" si="1"/>
        <v>1573</v>
      </c>
      <c r="Y14" s="132"/>
    </row>
    <row r="15" spans="1:25" x14ac:dyDescent="0.2">
      <c r="A15" s="4" t="s">
        <v>7</v>
      </c>
      <c r="B15" s="4">
        <v>65731</v>
      </c>
      <c r="C15" s="4">
        <v>72669</v>
      </c>
      <c r="D15" s="4">
        <v>82751</v>
      </c>
      <c r="E15" s="4">
        <v>80948</v>
      </c>
      <c r="F15" s="4">
        <v>83726</v>
      </c>
      <c r="G15" s="4">
        <v>92110</v>
      </c>
      <c r="H15" s="4">
        <v>106345</v>
      </c>
      <c r="I15" s="4">
        <v>113248</v>
      </c>
      <c r="J15" s="4">
        <v>117378</v>
      </c>
      <c r="K15" s="4">
        <v>119991</v>
      </c>
      <c r="L15" s="4">
        <v>130685</v>
      </c>
      <c r="M15" s="4">
        <v>134779</v>
      </c>
      <c r="N15" s="4">
        <v>136789</v>
      </c>
      <c r="O15" s="4">
        <v>114879</v>
      </c>
      <c r="P15" s="4">
        <v>162206</v>
      </c>
      <c r="Q15" s="4">
        <v>174720</v>
      </c>
      <c r="R15" s="4">
        <v>179015</v>
      </c>
      <c r="S15" s="4">
        <v>183865</v>
      </c>
      <c r="T15" s="88">
        <f>(S15-J15)/J15</f>
        <v>0.56643493670023348</v>
      </c>
      <c r="U15" s="88">
        <f>(S15-O15)/O15</f>
        <v>0.60051010193333854</v>
      </c>
      <c r="V15" s="88">
        <f>(S15-R15)/R15</f>
        <v>2.7092701728905398E-2</v>
      </c>
      <c r="W15" s="90">
        <f>S15/S$9</f>
        <v>0.60735237768058881</v>
      </c>
      <c r="X15" s="52">
        <f t="shared" si="1"/>
        <v>4850</v>
      </c>
      <c r="Y15" s="132"/>
    </row>
    <row r="16" spans="1:25" x14ac:dyDescent="0.2">
      <c r="A16" s="5" t="s">
        <v>4</v>
      </c>
      <c r="B16" s="5">
        <v>97624</v>
      </c>
      <c r="C16" s="5">
        <v>111913</v>
      </c>
      <c r="D16" s="5">
        <v>123519</v>
      </c>
      <c r="E16" s="5">
        <v>119105</v>
      </c>
      <c r="F16" s="5">
        <v>137073</v>
      </c>
      <c r="G16" s="5">
        <v>156000</v>
      </c>
      <c r="H16" s="5">
        <v>182179</v>
      </c>
      <c r="I16" s="5">
        <v>197558</v>
      </c>
      <c r="J16" s="5">
        <v>216587</v>
      </c>
      <c r="K16" s="5">
        <v>230506</v>
      </c>
      <c r="L16" s="5">
        <v>244006</v>
      </c>
      <c r="M16" s="5">
        <v>250349</v>
      </c>
      <c r="N16" s="5">
        <v>246619</v>
      </c>
      <c r="O16" s="5">
        <v>203597</v>
      </c>
      <c r="P16" s="5">
        <v>281489</v>
      </c>
      <c r="Q16" s="5">
        <v>291453</v>
      </c>
      <c r="R16" s="5">
        <v>299799</v>
      </c>
      <c r="S16" s="5">
        <v>302732</v>
      </c>
      <c r="T16" s="89">
        <f>(S16-J16)/J16</f>
        <v>0.39773855309875478</v>
      </c>
      <c r="U16" s="89">
        <f>(S16-O16)/O16</f>
        <v>0.48691778366085942</v>
      </c>
      <c r="V16" s="89">
        <f>(S16-R16)/R16</f>
        <v>9.7832214250214312E-3</v>
      </c>
      <c r="W16" s="91">
        <f>S16/S$9</f>
        <v>1</v>
      </c>
      <c r="X16" s="52">
        <f t="shared" si="1"/>
        <v>2933</v>
      </c>
      <c r="Y16" s="132"/>
    </row>
    <row r="17" spans="1:25" x14ac:dyDescent="0.2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</row>
    <row r="18" spans="1:25" ht="15.75" x14ac:dyDescent="0.2">
      <c r="A18" s="22" t="s">
        <v>198</v>
      </c>
      <c r="B18" s="22"/>
      <c r="C18" s="22"/>
      <c r="D18" s="22"/>
      <c r="E18" s="22"/>
      <c r="F18" s="22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</row>
    <row r="19" spans="1:25" ht="25.5" x14ac:dyDescent="0.2">
      <c r="A19" s="73" t="s">
        <v>261</v>
      </c>
      <c r="B19" s="3">
        <v>2007</v>
      </c>
      <c r="C19" s="3">
        <v>2008</v>
      </c>
      <c r="D19" s="3">
        <v>2009</v>
      </c>
      <c r="E19" s="3">
        <v>2010</v>
      </c>
      <c r="F19" s="3">
        <v>2011</v>
      </c>
      <c r="G19" s="3">
        <v>2012</v>
      </c>
      <c r="H19" s="3">
        <v>2013</v>
      </c>
      <c r="I19" s="3">
        <v>2014</v>
      </c>
      <c r="J19" s="3">
        <v>2015</v>
      </c>
      <c r="K19" s="3">
        <v>2016</v>
      </c>
      <c r="L19" s="3">
        <v>2017</v>
      </c>
      <c r="M19" s="3">
        <v>2018</v>
      </c>
      <c r="N19" s="3">
        <v>2019</v>
      </c>
      <c r="O19" s="3">
        <v>2020</v>
      </c>
      <c r="P19" s="3">
        <v>2021</v>
      </c>
      <c r="Q19" s="3">
        <v>2022</v>
      </c>
      <c r="R19" s="3">
        <v>2023</v>
      </c>
      <c r="S19" s="3">
        <v>2024</v>
      </c>
      <c r="T19" s="12" t="s">
        <v>368</v>
      </c>
      <c r="U19" s="12" t="s">
        <v>369</v>
      </c>
      <c r="V19" s="12" t="s">
        <v>370</v>
      </c>
      <c r="W19" s="12" t="s">
        <v>372</v>
      </c>
      <c r="X19" s="169" t="s">
        <v>494</v>
      </c>
    </row>
    <row r="20" spans="1:25" x14ac:dyDescent="0.2">
      <c r="A20" s="5" t="s">
        <v>5</v>
      </c>
      <c r="B20" s="5">
        <v>13913</v>
      </c>
      <c r="C20" s="5">
        <v>20014</v>
      </c>
      <c r="D20" s="5">
        <v>16903</v>
      </c>
      <c r="E20" s="5">
        <v>14353</v>
      </c>
      <c r="F20" s="5">
        <v>22491</v>
      </c>
      <c r="G20" s="20">
        <v>25623</v>
      </c>
      <c r="H20" s="20">
        <v>28293</v>
      </c>
      <c r="I20" s="20">
        <v>27779</v>
      </c>
      <c r="J20" s="20">
        <v>30655</v>
      </c>
      <c r="K20" s="20">
        <v>33939</v>
      </c>
      <c r="L20" s="20">
        <v>33024</v>
      </c>
      <c r="M20" s="20">
        <v>35359</v>
      </c>
      <c r="N20" s="20">
        <v>34050</v>
      </c>
      <c r="O20" s="20">
        <v>24216</v>
      </c>
      <c r="P20" s="20">
        <v>36481</v>
      </c>
      <c r="Q20" s="20">
        <v>38178</v>
      </c>
      <c r="R20" s="20">
        <v>40657</v>
      </c>
      <c r="S20" s="20">
        <v>37167</v>
      </c>
      <c r="T20" s="89">
        <f t="shared" ref="T20:T30" si="2">(S20-J20)/J20</f>
        <v>0.21242864133094111</v>
      </c>
      <c r="U20" s="89">
        <f t="shared" ref="U20:U30" si="3">(S20-O20)/O20</f>
        <v>0.53481169474727452</v>
      </c>
      <c r="V20" s="89">
        <f t="shared" ref="V20:V30" si="4">(S20-R20)/R20</f>
        <v>-8.5840076739552851E-2</v>
      </c>
      <c r="W20" s="91">
        <f t="shared" ref="W20:W30" si="5">S20/S$9</f>
        <v>0.12277195671418945</v>
      </c>
      <c r="X20" s="53">
        <f>S20-R20</f>
        <v>-3490</v>
      </c>
      <c r="Y20" s="132"/>
    </row>
    <row r="21" spans="1:25" x14ac:dyDescent="0.2">
      <c r="A21" s="70" t="s">
        <v>1</v>
      </c>
      <c r="B21" s="70">
        <v>13913</v>
      </c>
      <c r="C21" s="70">
        <v>20014</v>
      </c>
      <c r="D21" s="70">
        <v>16893</v>
      </c>
      <c r="E21" s="70">
        <v>14342</v>
      </c>
      <c r="F21" s="70">
        <v>22478</v>
      </c>
      <c r="G21" s="4">
        <v>25615</v>
      </c>
      <c r="H21" s="4">
        <v>28283</v>
      </c>
      <c r="I21" s="4">
        <v>27779</v>
      </c>
      <c r="J21" s="4">
        <v>30655</v>
      </c>
      <c r="K21" s="4">
        <v>33930</v>
      </c>
      <c r="L21" s="4">
        <v>33014</v>
      </c>
      <c r="M21" s="4">
        <v>35354</v>
      </c>
      <c r="N21" s="4">
        <v>34047</v>
      </c>
      <c r="O21" s="4">
        <v>24213</v>
      </c>
      <c r="P21" s="4">
        <v>36474</v>
      </c>
      <c r="Q21" s="4">
        <v>38169</v>
      </c>
      <c r="R21" s="4">
        <v>40655</v>
      </c>
      <c r="S21" s="4">
        <v>37152</v>
      </c>
      <c r="T21" s="88">
        <f t="shared" si="2"/>
        <v>0.21193932474310878</v>
      </c>
      <c r="U21" s="88">
        <f t="shared" si="3"/>
        <v>0.53438235658530542</v>
      </c>
      <c r="V21" s="88">
        <f t="shared" si="4"/>
        <v>-8.616406346082893E-2</v>
      </c>
      <c r="W21" s="90">
        <f t="shared" si="5"/>
        <v>0.12272240793837454</v>
      </c>
      <c r="X21" s="52">
        <f t="shared" ref="X21:X30" si="6">S21-R21</f>
        <v>-3503</v>
      </c>
      <c r="Y21" s="132"/>
    </row>
    <row r="22" spans="1:25" x14ac:dyDescent="0.2">
      <c r="A22" s="70" t="s">
        <v>3</v>
      </c>
      <c r="B22" s="70">
        <v>0</v>
      </c>
      <c r="C22" s="70">
        <v>0</v>
      </c>
      <c r="D22" s="70">
        <v>10</v>
      </c>
      <c r="E22" s="70">
        <v>11</v>
      </c>
      <c r="F22" s="70">
        <v>13</v>
      </c>
      <c r="G22" s="4">
        <v>8</v>
      </c>
      <c r="H22" s="4">
        <v>10</v>
      </c>
      <c r="I22" s="4">
        <v>0</v>
      </c>
      <c r="J22" s="4">
        <v>0</v>
      </c>
      <c r="K22" s="4">
        <v>9</v>
      </c>
      <c r="L22" s="4">
        <v>10</v>
      </c>
      <c r="M22" s="4">
        <v>5</v>
      </c>
      <c r="N22" s="4">
        <v>3</v>
      </c>
      <c r="O22" s="4">
        <v>3</v>
      </c>
      <c r="P22" s="4">
        <v>7</v>
      </c>
      <c r="Q22" s="4">
        <v>9</v>
      </c>
      <c r="R22" s="4">
        <v>2</v>
      </c>
      <c r="S22" s="4">
        <v>15</v>
      </c>
      <c r="T22" s="88" t="s">
        <v>296</v>
      </c>
      <c r="U22" s="88">
        <f t="shared" si="3"/>
        <v>4</v>
      </c>
      <c r="V22" s="88">
        <f t="shared" si="4"/>
        <v>6.5</v>
      </c>
      <c r="W22" s="90">
        <f t="shared" si="5"/>
        <v>4.9548775814912198E-5</v>
      </c>
      <c r="X22" s="52">
        <f t="shared" si="6"/>
        <v>13</v>
      </c>
      <c r="Y22" s="132"/>
    </row>
    <row r="23" spans="1:25" x14ac:dyDescent="0.2">
      <c r="A23" s="5" t="s">
        <v>6</v>
      </c>
      <c r="B23" s="5">
        <v>17980</v>
      </c>
      <c r="C23" s="5">
        <v>19230</v>
      </c>
      <c r="D23" s="5">
        <v>23865</v>
      </c>
      <c r="E23" s="5">
        <v>23804</v>
      </c>
      <c r="F23" s="5">
        <v>30856</v>
      </c>
      <c r="G23" s="20">
        <v>38267</v>
      </c>
      <c r="H23" s="20">
        <v>47541</v>
      </c>
      <c r="I23" s="20">
        <v>56531</v>
      </c>
      <c r="J23" s="20">
        <v>68554</v>
      </c>
      <c r="K23" s="20">
        <v>76576</v>
      </c>
      <c r="L23" s="20">
        <v>80297</v>
      </c>
      <c r="M23" s="20">
        <v>80211</v>
      </c>
      <c r="N23" s="20">
        <v>75780</v>
      </c>
      <c r="O23" s="20">
        <v>64502</v>
      </c>
      <c r="P23" s="20">
        <v>82802</v>
      </c>
      <c r="Q23" s="20">
        <v>78555</v>
      </c>
      <c r="R23" s="20">
        <v>80127</v>
      </c>
      <c r="S23" s="20">
        <v>81700</v>
      </c>
      <c r="T23" s="89">
        <f t="shared" si="2"/>
        <v>0.19176123931499256</v>
      </c>
      <c r="U23" s="89">
        <f t="shared" si="3"/>
        <v>0.26662739139871633</v>
      </c>
      <c r="V23" s="89">
        <f t="shared" si="4"/>
        <v>1.963133525528224E-2</v>
      </c>
      <c r="W23" s="91">
        <f t="shared" si="5"/>
        <v>0.2698756656052218</v>
      </c>
      <c r="X23" s="53">
        <f t="shared" si="6"/>
        <v>1573</v>
      </c>
      <c r="Y23" s="132"/>
    </row>
    <row r="24" spans="1:25" x14ac:dyDescent="0.2">
      <c r="A24" s="70" t="s">
        <v>1</v>
      </c>
      <c r="B24" s="70">
        <v>17980</v>
      </c>
      <c r="C24" s="70">
        <v>19230</v>
      </c>
      <c r="D24" s="70">
        <v>23837</v>
      </c>
      <c r="E24" s="70">
        <v>23804</v>
      </c>
      <c r="F24" s="70">
        <v>30856</v>
      </c>
      <c r="G24" s="4">
        <v>38267</v>
      </c>
      <c r="H24" s="4">
        <v>47536</v>
      </c>
      <c r="I24" s="4">
        <v>56510</v>
      </c>
      <c r="J24" s="4">
        <v>68298</v>
      </c>
      <c r="K24" s="4">
        <v>73935</v>
      </c>
      <c r="L24" s="4">
        <v>79135</v>
      </c>
      <c r="M24" s="4">
        <v>79335</v>
      </c>
      <c r="N24" s="4">
        <v>74372</v>
      </c>
      <c r="O24" s="4">
        <v>63437</v>
      </c>
      <c r="P24" s="4">
        <v>81653</v>
      </c>
      <c r="Q24" s="4">
        <v>77362</v>
      </c>
      <c r="R24" s="4">
        <v>78364</v>
      </c>
      <c r="S24" s="4">
        <v>81285</v>
      </c>
      <c r="T24" s="88">
        <f t="shared" si="2"/>
        <v>0.19015198102433453</v>
      </c>
      <c r="U24" s="88">
        <f t="shared" si="3"/>
        <v>0.28135000078818356</v>
      </c>
      <c r="V24" s="88">
        <f t="shared" si="4"/>
        <v>3.7274769026593844E-2</v>
      </c>
      <c r="W24" s="90">
        <f t="shared" si="5"/>
        <v>0.26850481614100918</v>
      </c>
      <c r="X24" s="52">
        <f t="shared" si="6"/>
        <v>2921</v>
      </c>
      <c r="Y24" s="132"/>
    </row>
    <row r="25" spans="1:25" x14ac:dyDescent="0.2">
      <c r="A25" s="70" t="s">
        <v>3</v>
      </c>
      <c r="B25" s="70">
        <v>0</v>
      </c>
      <c r="C25" s="70">
        <v>0</v>
      </c>
      <c r="D25" s="70">
        <v>28</v>
      </c>
      <c r="E25" s="70">
        <v>0</v>
      </c>
      <c r="F25" s="70">
        <v>0</v>
      </c>
      <c r="G25" s="4">
        <v>0</v>
      </c>
      <c r="H25" s="4">
        <v>5</v>
      </c>
      <c r="I25" s="4">
        <v>21</v>
      </c>
      <c r="J25" s="4">
        <v>256</v>
      </c>
      <c r="K25" s="4">
        <v>2641</v>
      </c>
      <c r="L25" s="4">
        <v>1162</v>
      </c>
      <c r="M25" s="4">
        <v>876</v>
      </c>
      <c r="N25" s="4">
        <v>1408</v>
      </c>
      <c r="O25" s="4">
        <v>1065</v>
      </c>
      <c r="P25" s="4">
        <v>1149</v>
      </c>
      <c r="Q25" s="4">
        <v>1193</v>
      </c>
      <c r="R25" s="4">
        <v>1763</v>
      </c>
      <c r="S25" s="4">
        <v>415</v>
      </c>
      <c r="T25" s="88">
        <f t="shared" si="2"/>
        <v>0.62109375</v>
      </c>
      <c r="U25" s="88">
        <f t="shared" si="3"/>
        <v>-0.61032863849765262</v>
      </c>
      <c r="V25" s="88">
        <f t="shared" si="4"/>
        <v>-0.76460578559273962</v>
      </c>
      <c r="W25" s="90">
        <f t="shared" si="5"/>
        <v>1.3708494642125709E-3</v>
      </c>
      <c r="X25" s="52">
        <f t="shared" si="6"/>
        <v>-1348</v>
      </c>
      <c r="Y25" s="132"/>
    </row>
    <row r="26" spans="1:25" x14ac:dyDescent="0.2">
      <c r="A26" s="5" t="s">
        <v>7</v>
      </c>
      <c r="B26" s="5">
        <v>65731</v>
      </c>
      <c r="C26" s="5">
        <v>72669</v>
      </c>
      <c r="D26" s="5">
        <v>82751</v>
      </c>
      <c r="E26" s="5">
        <v>80948</v>
      </c>
      <c r="F26" s="5">
        <v>83726</v>
      </c>
      <c r="G26" s="20">
        <v>92110</v>
      </c>
      <c r="H26" s="20">
        <v>106345</v>
      </c>
      <c r="I26" s="20">
        <v>113248</v>
      </c>
      <c r="J26" s="20">
        <v>117378</v>
      </c>
      <c r="K26" s="20">
        <v>119991</v>
      </c>
      <c r="L26" s="20">
        <v>130685</v>
      </c>
      <c r="M26" s="20">
        <v>134779</v>
      </c>
      <c r="N26" s="20">
        <v>136789</v>
      </c>
      <c r="O26" s="20">
        <v>114879</v>
      </c>
      <c r="P26" s="20">
        <v>162206</v>
      </c>
      <c r="Q26" s="20">
        <v>174720</v>
      </c>
      <c r="R26" s="20">
        <v>179015</v>
      </c>
      <c r="S26" s="20">
        <v>183865</v>
      </c>
      <c r="T26" s="89">
        <f t="shared" si="2"/>
        <v>0.56643493670023348</v>
      </c>
      <c r="U26" s="89">
        <f t="shared" si="3"/>
        <v>0.60051010193333854</v>
      </c>
      <c r="V26" s="89">
        <f t="shared" si="4"/>
        <v>2.7092701728905398E-2</v>
      </c>
      <c r="W26" s="91">
        <f t="shared" si="5"/>
        <v>0.60735237768058881</v>
      </c>
      <c r="X26" s="53">
        <f t="shared" si="6"/>
        <v>4850</v>
      </c>
      <c r="Y26" s="132"/>
    </row>
    <row r="27" spans="1:25" x14ac:dyDescent="0.2">
      <c r="A27" s="70" t="s">
        <v>1</v>
      </c>
      <c r="B27" s="70">
        <v>55233</v>
      </c>
      <c r="C27" s="70">
        <v>58778</v>
      </c>
      <c r="D27" s="70">
        <v>65400</v>
      </c>
      <c r="E27" s="70">
        <v>64018</v>
      </c>
      <c r="F27" s="70">
        <v>64998</v>
      </c>
      <c r="G27" s="4">
        <v>71839</v>
      </c>
      <c r="H27" s="4">
        <v>81172</v>
      </c>
      <c r="I27" s="4">
        <v>87359</v>
      </c>
      <c r="J27" s="4">
        <v>90133</v>
      </c>
      <c r="K27" s="4">
        <v>89703</v>
      </c>
      <c r="L27" s="4">
        <v>94405</v>
      </c>
      <c r="M27" s="4">
        <v>94333</v>
      </c>
      <c r="N27" s="4">
        <v>92723</v>
      </c>
      <c r="O27" s="4">
        <v>73240</v>
      </c>
      <c r="P27" s="4">
        <v>110564</v>
      </c>
      <c r="Q27" s="4">
        <v>110404</v>
      </c>
      <c r="R27" s="4">
        <v>112150</v>
      </c>
      <c r="S27" s="4">
        <v>106380</v>
      </c>
      <c r="T27" s="88">
        <f t="shared" si="2"/>
        <v>0.18025584414143545</v>
      </c>
      <c r="U27" s="88">
        <f t="shared" si="3"/>
        <v>0.45248498088476241</v>
      </c>
      <c r="V27" s="88">
        <f t="shared" si="4"/>
        <v>-5.1448952296032101E-2</v>
      </c>
      <c r="W27" s="90">
        <f t="shared" si="5"/>
        <v>0.35139991807935733</v>
      </c>
      <c r="X27" s="52">
        <f t="shared" si="6"/>
        <v>-5770</v>
      </c>
      <c r="Y27" s="132"/>
    </row>
    <row r="28" spans="1:25" x14ac:dyDescent="0.2">
      <c r="A28" s="114" t="s">
        <v>2</v>
      </c>
      <c r="B28" s="70">
        <v>5481</v>
      </c>
      <c r="C28" s="70">
        <v>6239</v>
      </c>
      <c r="D28" s="70">
        <v>8606</v>
      </c>
      <c r="E28" s="70">
        <v>8088</v>
      </c>
      <c r="F28" s="70">
        <v>10011</v>
      </c>
      <c r="G28" s="4">
        <v>10589</v>
      </c>
      <c r="H28" s="4">
        <v>12613</v>
      </c>
      <c r="I28" s="4">
        <v>13015</v>
      </c>
      <c r="J28" s="4">
        <v>13984</v>
      </c>
      <c r="K28" s="4">
        <v>13984</v>
      </c>
      <c r="L28" s="4">
        <v>14827</v>
      </c>
      <c r="M28" s="4">
        <v>16379</v>
      </c>
      <c r="N28" s="4">
        <v>16244</v>
      </c>
      <c r="O28" s="4">
        <v>15352</v>
      </c>
      <c r="P28" s="4">
        <v>19391</v>
      </c>
      <c r="Q28" s="4">
        <v>19485</v>
      </c>
      <c r="R28" s="4">
        <v>22177</v>
      </c>
      <c r="S28" s="4">
        <v>20875</v>
      </c>
      <c r="T28" s="88">
        <f t="shared" si="2"/>
        <v>0.49277745995423339</v>
      </c>
      <c r="U28" s="88">
        <f t="shared" si="3"/>
        <v>0.35975768629494531</v>
      </c>
      <c r="V28" s="88">
        <f t="shared" si="4"/>
        <v>-5.8709473779140549E-2</v>
      </c>
      <c r="W28" s="90">
        <f t="shared" si="5"/>
        <v>6.8955379675752812E-2</v>
      </c>
      <c r="X28" s="52">
        <f t="shared" si="6"/>
        <v>-1302</v>
      </c>
      <c r="Y28" s="132"/>
    </row>
    <row r="29" spans="1:25" x14ac:dyDescent="0.2">
      <c r="A29" s="70" t="s">
        <v>3</v>
      </c>
      <c r="B29" s="70">
        <v>5017</v>
      </c>
      <c r="C29" s="70">
        <v>7652</v>
      </c>
      <c r="D29" s="70">
        <v>8745</v>
      </c>
      <c r="E29" s="70">
        <v>8842</v>
      </c>
      <c r="F29" s="70">
        <v>8717</v>
      </c>
      <c r="G29" s="4">
        <v>9682</v>
      </c>
      <c r="H29" s="4">
        <v>12560</v>
      </c>
      <c r="I29" s="4">
        <v>12874</v>
      </c>
      <c r="J29" s="4">
        <v>13261</v>
      </c>
      <c r="K29" s="4">
        <v>16304</v>
      </c>
      <c r="L29" s="4">
        <v>21453</v>
      </c>
      <c r="M29" s="4">
        <v>24067</v>
      </c>
      <c r="N29" s="4">
        <v>27822</v>
      </c>
      <c r="O29" s="4">
        <v>26287</v>
      </c>
      <c r="P29" s="4">
        <v>32251</v>
      </c>
      <c r="Q29" s="4">
        <v>44831</v>
      </c>
      <c r="R29" s="4">
        <v>44688</v>
      </c>
      <c r="S29" s="4">
        <v>56610</v>
      </c>
      <c r="T29" s="88">
        <f t="shared" si="2"/>
        <v>3.2689088304049467</v>
      </c>
      <c r="U29" s="88">
        <f t="shared" si="3"/>
        <v>1.1535359683493742</v>
      </c>
      <c r="V29" s="88">
        <f t="shared" si="4"/>
        <v>0.26678302900107409</v>
      </c>
      <c r="W29" s="90">
        <f t="shared" si="5"/>
        <v>0.18699707992547865</v>
      </c>
      <c r="X29" s="52">
        <f t="shared" si="6"/>
        <v>11922</v>
      </c>
      <c r="Y29" s="132"/>
    </row>
    <row r="30" spans="1:25" x14ac:dyDescent="0.2">
      <c r="A30" s="5" t="s">
        <v>4</v>
      </c>
      <c r="B30" s="5">
        <v>97624</v>
      </c>
      <c r="C30" s="5">
        <v>111913</v>
      </c>
      <c r="D30" s="5">
        <v>123519</v>
      </c>
      <c r="E30" s="5">
        <v>119105</v>
      </c>
      <c r="F30" s="5">
        <v>137073</v>
      </c>
      <c r="G30" s="5">
        <v>156000</v>
      </c>
      <c r="H30" s="5">
        <v>182179</v>
      </c>
      <c r="I30" s="5">
        <v>197558</v>
      </c>
      <c r="J30" s="5">
        <v>216587</v>
      </c>
      <c r="K30" s="5">
        <v>230506</v>
      </c>
      <c r="L30" s="5">
        <v>244006</v>
      </c>
      <c r="M30" s="5">
        <v>250349</v>
      </c>
      <c r="N30" s="5">
        <v>246619</v>
      </c>
      <c r="O30" s="5">
        <v>203597</v>
      </c>
      <c r="P30" s="5">
        <v>281489</v>
      </c>
      <c r="Q30" s="5">
        <v>291453</v>
      </c>
      <c r="R30" s="5">
        <v>299799</v>
      </c>
      <c r="S30" s="5">
        <v>302732</v>
      </c>
      <c r="T30" s="89">
        <f t="shared" si="2"/>
        <v>0.39773855309875478</v>
      </c>
      <c r="U30" s="89">
        <f t="shared" si="3"/>
        <v>0.48691778366085942</v>
      </c>
      <c r="V30" s="89">
        <f t="shared" si="4"/>
        <v>9.7832214250214312E-3</v>
      </c>
      <c r="W30" s="91">
        <f t="shared" si="5"/>
        <v>1</v>
      </c>
      <c r="X30" s="53">
        <f t="shared" si="6"/>
        <v>2933</v>
      </c>
      <c r="Y30" s="132"/>
    </row>
    <row r="31" spans="1:25" x14ac:dyDescent="0.2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</row>
    <row r="32" spans="1:25" ht="15.75" x14ac:dyDescent="0.2">
      <c r="A32" s="22" t="s">
        <v>191</v>
      </c>
      <c r="B32" s="22"/>
      <c r="C32" s="22"/>
      <c r="D32" s="22"/>
      <c r="E32" s="22"/>
      <c r="F32" s="22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</row>
    <row r="33" spans="1:25" ht="25.5" x14ac:dyDescent="0.2">
      <c r="A33" s="73" t="s">
        <v>0</v>
      </c>
      <c r="B33" s="3">
        <v>2007</v>
      </c>
      <c r="C33" s="3">
        <v>2008</v>
      </c>
      <c r="D33" s="3">
        <v>2009</v>
      </c>
      <c r="E33" s="3">
        <v>2010</v>
      </c>
      <c r="F33" s="3">
        <v>2011</v>
      </c>
      <c r="G33" s="3">
        <v>2012</v>
      </c>
      <c r="H33" s="3">
        <v>2013</v>
      </c>
      <c r="I33" s="3">
        <v>2014</v>
      </c>
      <c r="J33" s="3">
        <v>2015</v>
      </c>
      <c r="K33" s="3">
        <v>2016</v>
      </c>
      <c r="L33" s="3">
        <v>2017</v>
      </c>
      <c r="M33" s="3">
        <v>2018</v>
      </c>
      <c r="N33" s="3">
        <v>2019</v>
      </c>
      <c r="O33" s="3">
        <v>2020</v>
      </c>
      <c r="P33" s="3">
        <v>2021</v>
      </c>
      <c r="Q33" s="3">
        <v>2022</v>
      </c>
      <c r="R33" s="3">
        <v>2023</v>
      </c>
      <c r="S33" s="3">
        <v>2024</v>
      </c>
      <c r="T33" s="12" t="s">
        <v>368</v>
      </c>
      <c r="U33" s="12" t="s">
        <v>369</v>
      </c>
      <c r="V33" s="12" t="s">
        <v>370</v>
      </c>
      <c r="W33" s="12" t="s">
        <v>372</v>
      </c>
      <c r="X33" s="169" t="s">
        <v>494</v>
      </c>
    </row>
    <row r="34" spans="1:25" x14ac:dyDescent="0.2">
      <c r="A34" s="4" t="s">
        <v>251</v>
      </c>
      <c r="B34" s="4">
        <v>13913</v>
      </c>
      <c r="C34" s="4">
        <v>20014</v>
      </c>
      <c r="D34" s="4">
        <v>16903</v>
      </c>
      <c r="E34" s="4">
        <v>14353</v>
      </c>
      <c r="F34" s="4">
        <v>22491</v>
      </c>
      <c r="G34" s="4">
        <v>25623</v>
      </c>
      <c r="H34" s="4">
        <v>28293</v>
      </c>
      <c r="I34" s="4">
        <v>27779</v>
      </c>
      <c r="J34" s="4">
        <v>30655</v>
      </c>
      <c r="K34" s="4">
        <v>33939</v>
      </c>
      <c r="L34" s="4">
        <v>33024</v>
      </c>
      <c r="M34" s="4">
        <v>35359</v>
      </c>
      <c r="N34" s="4">
        <v>34033</v>
      </c>
      <c r="O34" s="4">
        <v>24134</v>
      </c>
      <c r="P34" s="4">
        <v>35456</v>
      </c>
      <c r="Q34" s="4">
        <v>36632</v>
      </c>
      <c r="R34" s="4">
        <v>39033</v>
      </c>
      <c r="S34" s="4">
        <v>34892</v>
      </c>
      <c r="T34" s="88">
        <f t="shared" ref="T34:T40" si="7">(S34-J34)/J34</f>
        <v>0.13821562550970479</v>
      </c>
      <c r="U34" s="88">
        <f t="shared" ref="U34:U40" si="8">(S34-O34)/O34</f>
        <v>0.44576116681859618</v>
      </c>
      <c r="V34" s="88">
        <f t="shared" ref="V34:V40" si="9">(S34-R34)/R34</f>
        <v>-0.10608971895575539</v>
      </c>
      <c r="W34" s="90">
        <f t="shared" ref="W34:W40" si="10">S34/S$9</f>
        <v>0.11525705904892776</v>
      </c>
      <c r="X34" s="52">
        <f>S34-R34</f>
        <v>-4141</v>
      </c>
      <c r="Y34" s="132"/>
    </row>
    <row r="35" spans="1:25" x14ac:dyDescent="0.2">
      <c r="A35" s="4" t="s">
        <v>252</v>
      </c>
      <c r="B35" s="148">
        <v>0</v>
      </c>
      <c r="C35" s="148">
        <v>0</v>
      </c>
      <c r="D35" s="148">
        <v>0</v>
      </c>
      <c r="E35" s="148">
        <v>0</v>
      </c>
      <c r="F35" s="148">
        <v>0</v>
      </c>
      <c r="G35" s="148">
        <v>0</v>
      </c>
      <c r="H35" s="148">
        <v>0</v>
      </c>
      <c r="I35" s="148">
        <v>0</v>
      </c>
      <c r="J35" s="148">
        <v>0</v>
      </c>
      <c r="K35" s="148">
        <v>0</v>
      </c>
      <c r="L35" s="148">
        <v>0</v>
      </c>
      <c r="M35" s="148">
        <v>0</v>
      </c>
      <c r="N35" s="4">
        <v>17</v>
      </c>
      <c r="O35" s="4">
        <v>82</v>
      </c>
      <c r="P35" s="4">
        <v>1025</v>
      </c>
      <c r="Q35" s="4">
        <v>1546</v>
      </c>
      <c r="R35" s="4">
        <v>1624</v>
      </c>
      <c r="S35" s="4">
        <v>2275</v>
      </c>
      <c r="T35" s="88" t="s">
        <v>296</v>
      </c>
      <c r="U35" s="88">
        <f t="shared" si="8"/>
        <v>26.743902439024389</v>
      </c>
      <c r="V35" s="88">
        <f t="shared" si="9"/>
        <v>0.40086206896551724</v>
      </c>
      <c r="W35" s="90">
        <f t="shared" si="10"/>
        <v>7.5148976652616838E-3</v>
      </c>
      <c r="X35" s="52">
        <f t="shared" ref="X35:X40" si="11">S35-R35</f>
        <v>651</v>
      </c>
      <c r="Y35" s="132"/>
    </row>
    <row r="36" spans="1:25" x14ac:dyDescent="0.2">
      <c r="A36" s="4" t="s">
        <v>6</v>
      </c>
      <c r="B36" s="4">
        <v>17980</v>
      </c>
      <c r="C36" s="4">
        <v>19230</v>
      </c>
      <c r="D36" s="4">
        <v>23865</v>
      </c>
      <c r="E36" s="4">
        <v>23804</v>
      </c>
      <c r="F36" s="4">
        <v>30856</v>
      </c>
      <c r="G36" s="4">
        <v>38267</v>
      </c>
      <c r="H36" s="4">
        <v>47541</v>
      </c>
      <c r="I36" s="4">
        <v>56531</v>
      </c>
      <c r="J36" s="4">
        <v>68554</v>
      </c>
      <c r="K36" s="4">
        <v>76576</v>
      </c>
      <c r="L36" s="4">
        <v>80297</v>
      </c>
      <c r="M36" s="4">
        <v>80211</v>
      </c>
      <c r="N36" s="4">
        <v>75780</v>
      </c>
      <c r="O36" s="4">
        <v>64502</v>
      </c>
      <c r="P36" s="4">
        <v>82802</v>
      </c>
      <c r="Q36" s="4">
        <v>78555</v>
      </c>
      <c r="R36" s="4">
        <v>80127</v>
      </c>
      <c r="S36" s="4">
        <v>81700</v>
      </c>
      <c r="T36" s="88">
        <f t="shared" si="7"/>
        <v>0.19176123931499256</v>
      </c>
      <c r="U36" s="88">
        <f t="shared" si="8"/>
        <v>0.26662739139871633</v>
      </c>
      <c r="V36" s="88">
        <f t="shared" si="9"/>
        <v>1.963133525528224E-2</v>
      </c>
      <c r="W36" s="90">
        <f t="shared" si="10"/>
        <v>0.2698756656052218</v>
      </c>
      <c r="X36" s="52">
        <f t="shared" si="11"/>
        <v>1573</v>
      </c>
      <c r="Y36" s="132"/>
    </row>
    <row r="37" spans="1:25" x14ac:dyDescent="0.2">
      <c r="A37" s="27" t="s">
        <v>306</v>
      </c>
      <c r="B37" s="27">
        <v>23857</v>
      </c>
      <c r="C37" s="27">
        <v>24349</v>
      </c>
      <c r="D37" s="27">
        <v>27333</v>
      </c>
      <c r="E37" s="27">
        <v>27401</v>
      </c>
      <c r="F37" s="27">
        <v>25956</v>
      </c>
      <c r="G37" s="4">
        <v>26572</v>
      </c>
      <c r="H37" s="4">
        <v>27590</v>
      </c>
      <c r="I37" s="4">
        <v>28230</v>
      </c>
      <c r="J37" s="4">
        <v>29198</v>
      </c>
      <c r="K37" s="4">
        <v>28429</v>
      </c>
      <c r="L37" s="4">
        <v>30473</v>
      </c>
      <c r="M37" s="4">
        <v>30040</v>
      </c>
      <c r="N37" s="4">
        <v>30061</v>
      </c>
      <c r="O37" s="4">
        <v>24039</v>
      </c>
      <c r="P37" s="4">
        <v>34502</v>
      </c>
      <c r="Q37" s="4">
        <v>36408</v>
      </c>
      <c r="R37" s="4">
        <v>36996</v>
      </c>
      <c r="S37" s="4">
        <v>41239</v>
      </c>
      <c r="T37" s="88">
        <f t="shared" si="7"/>
        <v>0.41239125967532025</v>
      </c>
      <c r="U37" s="88">
        <f t="shared" si="8"/>
        <v>0.71550397271101129</v>
      </c>
      <c r="V37" s="88">
        <f t="shared" si="9"/>
        <v>0.11468807438642015</v>
      </c>
      <c r="W37" s="90">
        <f t="shared" si="10"/>
        <v>0.13622279772207763</v>
      </c>
      <c r="X37" s="52">
        <f t="shared" si="11"/>
        <v>4243</v>
      </c>
      <c r="Y37" s="132"/>
    </row>
    <row r="38" spans="1:25" x14ac:dyDescent="0.2">
      <c r="A38" s="27" t="s">
        <v>307</v>
      </c>
      <c r="B38" s="27">
        <v>14221</v>
      </c>
      <c r="C38" s="27">
        <v>15139</v>
      </c>
      <c r="D38" s="27">
        <v>17518</v>
      </c>
      <c r="E38" s="27">
        <v>17192</v>
      </c>
      <c r="F38" s="27">
        <v>17394</v>
      </c>
      <c r="G38" s="4">
        <v>18938</v>
      </c>
      <c r="H38" s="4">
        <v>20600</v>
      </c>
      <c r="I38" s="4">
        <v>21728</v>
      </c>
      <c r="J38" s="4">
        <v>22770</v>
      </c>
      <c r="K38" s="4">
        <v>22509</v>
      </c>
      <c r="L38" s="4">
        <v>30315</v>
      </c>
      <c r="M38" s="4">
        <v>29335</v>
      </c>
      <c r="N38" s="4">
        <v>33611</v>
      </c>
      <c r="O38" s="4">
        <v>31849</v>
      </c>
      <c r="P38" s="4">
        <v>40289</v>
      </c>
      <c r="Q38" s="4">
        <v>54291</v>
      </c>
      <c r="R38" s="4">
        <v>54768</v>
      </c>
      <c r="S38" s="4">
        <v>55920</v>
      </c>
      <c r="T38" s="88">
        <f t="shared" si="7"/>
        <v>1.4558629776021081</v>
      </c>
      <c r="U38" s="88">
        <f t="shared" si="8"/>
        <v>0.75578511099249579</v>
      </c>
      <c r="V38" s="88">
        <f t="shared" si="9"/>
        <v>2.1034180543382998E-2</v>
      </c>
      <c r="W38" s="90">
        <f t="shared" si="10"/>
        <v>0.18471783623799268</v>
      </c>
      <c r="X38" s="52">
        <f t="shared" si="11"/>
        <v>1152</v>
      </c>
      <c r="Y38" s="132"/>
    </row>
    <row r="39" spans="1:25" x14ac:dyDescent="0.2">
      <c r="A39" s="27" t="s">
        <v>217</v>
      </c>
      <c r="B39" s="27">
        <v>27653</v>
      </c>
      <c r="C39" s="27">
        <v>33181</v>
      </c>
      <c r="D39" s="27">
        <v>37900</v>
      </c>
      <c r="E39" s="27">
        <v>36355</v>
      </c>
      <c r="F39" s="27">
        <v>40376</v>
      </c>
      <c r="G39" s="4">
        <v>46600</v>
      </c>
      <c r="H39" s="4">
        <v>58155</v>
      </c>
      <c r="I39" s="4">
        <v>63290</v>
      </c>
      <c r="J39" s="4">
        <v>65410</v>
      </c>
      <c r="K39" s="4">
        <v>69053</v>
      </c>
      <c r="L39" s="4">
        <v>69897</v>
      </c>
      <c r="M39" s="4">
        <v>75404</v>
      </c>
      <c r="N39" s="4">
        <v>73117</v>
      </c>
      <c r="O39" s="4">
        <v>58991</v>
      </c>
      <c r="P39" s="4">
        <v>87415</v>
      </c>
      <c r="Q39" s="4">
        <v>84021</v>
      </c>
      <c r="R39" s="4">
        <v>87251</v>
      </c>
      <c r="S39" s="4">
        <v>86706</v>
      </c>
      <c r="T39" s="88">
        <f t="shared" si="7"/>
        <v>0.32557712887937623</v>
      </c>
      <c r="U39" s="88">
        <f t="shared" si="8"/>
        <v>0.46981742977742369</v>
      </c>
      <c r="V39" s="88">
        <f t="shared" si="9"/>
        <v>-6.2463467467421575E-3</v>
      </c>
      <c r="W39" s="90">
        <f t="shared" si="10"/>
        <v>0.28641174372051847</v>
      </c>
      <c r="X39" s="52">
        <f t="shared" si="11"/>
        <v>-545</v>
      </c>
      <c r="Y39" s="132"/>
    </row>
    <row r="40" spans="1:25" x14ac:dyDescent="0.2">
      <c r="A40" s="5" t="s">
        <v>4</v>
      </c>
      <c r="B40" s="5">
        <v>97624</v>
      </c>
      <c r="C40" s="5">
        <v>111913</v>
      </c>
      <c r="D40" s="5">
        <v>123519</v>
      </c>
      <c r="E40" s="5">
        <v>119105</v>
      </c>
      <c r="F40" s="5">
        <v>137073</v>
      </c>
      <c r="G40" s="5">
        <v>156000</v>
      </c>
      <c r="H40" s="5">
        <v>182179</v>
      </c>
      <c r="I40" s="5">
        <v>197558</v>
      </c>
      <c r="J40" s="5">
        <v>216587</v>
      </c>
      <c r="K40" s="5">
        <v>230506</v>
      </c>
      <c r="L40" s="5">
        <v>244006</v>
      </c>
      <c r="M40" s="5">
        <v>250349</v>
      </c>
      <c r="N40" s="5">
        <v>246619</v>
      </c>
      <c r="O40" s="5">
        <v>203597</v>
      </c>
      <c r="P40" s="5">
        <v>281489</v>
      </c>
      <c r="Q40" s="5">
        <v>291453</v>
      </c>
      <c r="R40" s="5">
        <v>299799</v>
      </c>
      <c r="S40" s="5">
        <v>302732</v>
      </c>
      <c r="T40" s="89">
        <f t="shared" si="7"/>
        <v>0.39773855309875478</v>
      </c>
      <c r="U40" s="89">
        <f t="shared" si="8"/>
        <v>0.48691778366085942</v>
      </c>
      <c r="V40" s="89">
        <f t="shared" si="9"/>
        <v>9.7832214250214312E-3</v>
      </c>
      <c r="W40" s="91">
        <f t="shared" si="10"/>
        <v>1</v>
      </c>
      <c r="X40" s="52">
        <f t="shared" si="11"/>
        <v>2933</v>
      </c>
      <c r="Y40" s="132"/>
    </row>
    <row r="41" spans="1:25" x14ac:dyDescent="0.2">
      <c r="A41" s="113" t="s">
        <v>509</v>
      </c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</row>
    <row r="42" spans="1:25" x14ac:dyDescent="0.2">
      <c r="A42" s="96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</row>
    <row r="43" spans="1:25" ht="15.75" x14ac:dyDescent="0.2">
      <c r="A43" s="22" t="s">
        <v>199</v>
      </c>
      <c r="B43" s="22"/>
      <c r="C43" s="22"/>
      <c r="D43" s="22"/>
      <c r="E43" s="22"/>
      <c r="F43" s="22"/>
      <c r="G43" s="31"/>
      <c r="H43" s="31"/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</row>
    <row r="44" spans="1:25" ht="27" customHeight="1" x14ac:dyDescent="0.2">
      <c r="A44" s="73" t="s">
        <v>23</v>
      </c>
      <c r="B44" s="3">
        <v>2007</v>
      </c>
      <c r="C44" s="3">
        <v>2008</v>
      </c>
      <c r="D44" s="3">
        <v>2009</v>
      </c>
      <c r="E44" s="3">
        <v>2010</v>
      </c>
      <c r="F44" s="3">
        <v>2011</v>
      </c>
      <c r="G44" s="3">
        <v>2012</v>
      </c>
      <c r="H44" s="3">
        <v>2013</v>
      </c>
      <c r="I44" s="3">
        <v>2014</v>
      </c>
      <c r="J44" s="3">
        <v>2015</v>
      </c>
      <c r="K44" s="3">
        <v>2016</v>
      </c>
      <c r="L44" s="3">
        <v>2017</v>
      </c>
      <c r="M44" s="3">
        <v>2018</v>
      </c>
      <c r="N44" s="3">
        <v>2019</v>
      </c>
      <c r="O44" s="3">
        <v>2020</v>
      </c>
      <c r="P44" s="3">
        <v>2021</v>
      </c>
      <c r="Q44" s="3">
        <v>2022</v>
      </c>
      <c r="R44" s="3">
        <v>2023</v>
      </c>
      <c r="S44" s="3">
        <v>2024</v>
      </c>
      <c r="T44" s="12" t="s">
        <v>368</v>
      </c>
      <c r="U44" s="12" t="s">
        <v>369</v>
      </c>
      <c r="V44" s="12" t="s">
        <v>370</v>
      </c>
      <c r="W44" s="12" t="s">
        <v>372</v>
      </c>
      <c r="X44" s="169" t="s">
        <v>494</v>
      </c>
    </row>
    <row r="45" spans="1:25" x14ac:dyDescent="0.2">
      <c r="A45" s="5" t="s">
        <v>251</v>
      </c>
      <c r="B45" s="5">
        <v>13913</v>
      </c>
      <c r="C45" s="5">
        <v>20014</v>
      </c>
      <c r="D45" s="5">
        <v>16903</v>
      </c>
      <c r="E45" s="5">
        <v>14353</v>
      </c>
      <c r="F45" s="5">
        <v>22491</v>
      </c>
      <c r="G45" s="20">
        <v>25623</v>
      </c>
      <c r="H45" s="20">
        <v>28293</v>
      </c>
      <c r="I45" s="20">
        <v>27779</v>
      </c>
      <c r="J45" s="20">
        <v>30655</v>
      </c>
      <c r="K45" s="20">
        <v>33939</v>
      </c>
      <c r="L45" s="20">
        <v>33024</v>
      </c>
      <c r="M45" s="20">
        <v>35359</v>
      </c>
      <c r="N45" s="20">
        <v>34033</v>
      </c>
      <c r="O45" s="20">
        <v>24134</v>
      </c>
      <c r="P45" s="20">
        <v>35456</v>
      </c>
      <c r="Q45" s="20">
        <v>36632</v>
      </c>
      <c r="R45" s="20">
        <v>39033</v>
      </c>
      <c r="S45" s="20">
        <v>34892</v>
      </c>
      <c r="T45" s="89">
        <f t="shared" ref="T45:T65" si="12">(S45-J45)/J45</f>
        <v>0.13821562550970479</v>
      </c>
      <c r="U45" s="89">
        <f t="shared" ref="U45:U65" si="13">(S45-O45)/O45</f>
        <v>0.44576116681859618</v>
      </c>
      <c r="V45" s="89">
        <f t="shared" ref="V45:V65" si="14">(S45-R45)/R45</f>
        <v>-0.10608971895575539</v>
      </c>
      <c r="W45" s="91">
        <f t="shared" ref="W45:W65" si="15">S45/S$9</f>
        <v>0.11525705904892776</v>
      </c>
      <c r="X45" s="53">
        <f>S45-R45</f>
        <v>-4141</v>
      </c>
      <c r="Y45" s="132"/>
    </row>
    <row r="46" spans="1:25" x14ac:dyDescent="0.2">
      <c r="A46" s="70" t="s">
        <v>1</v>
      </c>
      <c r="B46" s="70">
        <v>13913</v>
      </c>
      <c r="C46" s="70">
        <v>20014</v>
      </c>
      <c r="D46" s="70">
        <v>16893</v>
      </c>
      <c r="E46" s="70">
        <v>14342</v>
      </c>
      <c r="F46" s="70">
        <v>22478</v>
      </c>
      <c r="G46" s="4">
        <v>25615</v>
      </c>
      <c r="H46" s="4">
        <v>28283</v>
      </c>
      <c r="I46" s="4">
        <v>27779</v>
      </c>
      <c r="J46" s="4">
        <v>30655</v>
      </c>
      <c r="K46" s="4">
        <v>33930</v>
      </c>
      <c r="L46" s="4">
        <v>33014</v>
      </c>
      <c r="M46" s="4">
        <v>35354</v>
      </c>
      <c r="N46" s="4">
        <v>34030</v>
      </c>
      <c r="O46" s="4">
        <v>24131</v>
      </c>
      <c r="P46" s="4">
        <v>35449</v>
      </c>
      <c r="Q46" s="4">
        <v>36623</v>
      </c>
      <c r="R46" s="4">
        <v>39031</v>
      </c>
      <c r="S46" s="4">
        <v>34877</v>
      </c>
      <c r="T46" s="88">
        <f t="shared" si="12"/>
        <v>0.13772630892187246</v>
      </c>
      <c r="U46" s="88">
        <f t="shared" si="13"/>
        <v>0.4453192988272347</v>
      </c>
      <c r="V46" s="88">
        <f t="shared" si="14"/>
        <v>-0.10642822371960749</v>
      </c>
      <c r="W46" s="90">
        <f t="shared" si="15"/>
        <v>0.11520751027311285</v>
      </c>
      <c r="X46" s="53">
        <f t="shared" ref="X46:X65" si="16">S46-R46</f>
        <v>-4154</v>
      </c>
      <c r="Y46" s="132"/>
    </row>
    <row r="47" spans="1:25" x14ac:dyDescent="0.2">
      <c r="A47" s="70" t="s">
        <v>3</v>
      </c>
      <c r="B47" s="70">
        <v>0</v>
      </c>
      <c r="C47" s="70">
        <v>0</v>
      </c>
      <c r="D47" s="70">
        <v>10</v>
      </c>
      <c r="E47" s="70">
        <v>11</v>
      </c>
      <c r="F47" s="70">
        <v>13</v>
      </c>
      <c r="G47" s="4">
        <v>8</v>
      </c>
      <c r="H47" s="4">
        <v>10</v>
      </c>
      <c r="I47" s="4">
        <v>0</v>
      </c>
      <c r="J47" s="4">
        <v>0</v>
      </c>
      <c r="K47" s="4">
        <v>9</v>
      </c>
      <c r="L47" s="4">
        <v>10</v>
      </c>
      <c r="M47" s="4">
        <v>5</v>
      </c>
      <c r="N47" s="4">
        <v>3</v>
      </c>
      <c r="O47" s="4">
        <v>3</v>
      </c>
      <c r="P47" s="4">
        <v>7</v>
      </c>
      <c r="Q47" s="4">
        <v>9</v>
      </c>
      <c r="R47" s="4">
        <v>2</v>
      </c>
      <c r="S47" s="4">
        <v>15</v>
      </c>
      <c r="T47" s="88" t="s">
        <v>296</v>
      </c>
      <c r="U47" s="88">
        <f t="shared" si="13"/>
        <v>4</v>
      </c>
      <c r="V47" s="88">
        <f t="shared" si="14"/>
        <v>6.5</v>
      </c>
      <c r="W47" s="90">
        <f t="shared" si="15"/>
        <v>4.9548775814912198E-5</v>
      </c>
      <c r="X47" s="53">
        <f t="shared" si="16"/>
        <v>13</v>
      </c>
      <c r="Y47" s="132"/>
    </row>
    <row r="48" spans="1:25" x14ac:dyDescent="0.2">
      <c r="A48" s="5" t="s">
        <v>252</v>
      </c>
      <c r="B48" s="119">
        <v>0</v>
      </c>
      <c r="C48" s="119">
        <v>0</v>
      </c>
      <c r="D48" s="119">
        <v>0</v>
      </c>
      <c r="E48" s="119">
        <v>0</v>
      </c>
      <c r="F48" s="119">
        <v>0</v>
      </c>
      <c r="G48" s="119">
        <v>0</v>
      </c>
      <c r="H48" s="119">
        <v>0</v>
      </c>
      <c r="I48" s="119">
        <v>0</v>
      </c>
      <c r="J48" s="119">
        <v>0</v>
      </c>
      <c r="K48" s="119">
        <v>0</v>
      </c>
      <c r="L48" s="119">
        <v>0</v>
      </c>
      <c r="M48" s="119">
        <v>0</v>
      </c>
      <c r="N48" s="5">
        <v>17</v>
      </c>
      <c r="O48" s="5">
        <v>82</v>
      </c>
      <c r="P48" s="5">
        <v>1025</v>
      </c>
      <c r="Q48" s="5">
        <v>1546</v>
      </c>
      <c r="R48" s="5">
        <v>1624</v>
      </c>
      <c r="S48" s="5">
        <v>2275</v>
      </c>
      <c r="T48" s="89" t="s">
        <v>296</v>
      </c>
      <c r="U48" s="89">
        <f t="shared" si="13"/>
        <v>26.743902439024389</v>
      </c>
      <c r="V48" s="89">
        <f t="shared" si="14"/>
        <v>0.40086206896551724</v>
      </c>
      <c r="W48" s="91">
        <f t="shared" si="15"/>
        <v>7.5148976652616838E-3</v>
      </c>
      <c r="X48" s="53">
        <f t="shared" si="16"/>
        <v>651</v>
      </c>
      <c r="Y48" s="132"/>
    </row>
    <row r="49" spans="1:25" x14ac:dyDescent="0.2">
      <c r="A49" s="70" t="s">
        <v>1</v>
      </c>
      <c r="B49" s="70">
        <v>0</v>
      </c>
      <c r="C49" s="70">
        <v>0</v>
      </c>
      <c r="D49" s="70">
        <v>0</v>
      </c>
      <c r="E49" s="70">
        <v>0</v>
      </c>
      <c r="F49" s="70">
        <v>0</v>
      </c>
      <c r="G49" s="70">
        <v>0</v>
      </c>
      <c r="H49" s="70">
        <v>0</v>
      </c>
      <c r="I49" s="70">
        <v>0</v>
      </c>
      <c r="J49" s="70">
        <v>0</v>
      </c>
      <c r="K49" s="70">
        <v>0</v>
      </c>
      <c r="L49" s="70">
        <v>0</v>
      </c>
      <c r="M49" s="70">
        <v>0</v>
      </c>
      <c r="N49" s="4">
        <v>17</v>
      </c>
      <c r="O49" s="4">
        <v>82</v>
      </c>
      <c r="P49" s="4">
        <v>1025</v>
      </c>
      <c r="Q49" s="4">
        <v>1546</v>
      </c>
      <c r="R49" s="4">
        <v>1624</v>
      </c>
      <c r="S49" s="4">
        <v>2275</v>
      </c>
      <c r="T49" s="88" t="s">
        <v>296</v>
      </c>
      <c r="U49" s="88">
        <f t="shared" si="13"/>
        <v>26.743902439024389</v>
      </c>
      <c r="V49" s="88">
        <f t="shared" si="14"/>
        <v>0.40086206896551724</v>
      </c>
      <c r="W49" s="90">
        <f t="shared" si="15"/>
        <v>7.5148976652616838E-3</v>
      </c>
      <c r="X49" s="53">
        <f t="shared" si="16"/>
        <v>651</v>
      </c>
      <c r="Y49" s="132"/>
    </row>
    <row r="50" spans="1:25" x14ac:dyDescent="0.2">
      <c r="A50" s="5" t="s">
        <v>6</v>
      </c>
      <c r="B50" s="5">
        <v>17980</v>
      </c>
      <c r="C50" s="5">
        <v>19230</v>
      </c>
      <c r="D50" s="5">
        <v>23865</v>
      </c>
      <c r="E50" s="5">
        <v>23804</v>
      </c>
      <c r="F50" s="5">
        <v>30856</v>
      </c>
      <c r="G50" s="20">
        <v>38267</v>
      </c>
      <c r="H50" s="20">
        <v>47541</v>
      </c>
      <c r="I50" s="20">
        <v>56531</v>
      </c>
      <c r="J50" s="20">
        <v>68554</v>
      </c>
      <c r="K50" s="20">
        <v>76576</v>
      </c>
      <c r="L50" s="20">
        <v>80297</v>
      </c>
      <c r="M50" s="20">
        <v>80211</v>
      </c>
      <c r="N50" s="20">
        <v>75780</v>
      </c>
      <c r="O50" s="20">
        <v>64502</v>
      </c>
      <c r="P50" s="20">
        <v>82802</v>
      </c>
      <c r="Q50" s="20">
        <v>78555</v>
      </c>
      <c r="R50" s="20">
        <v>80127</v>
      </c>
      <c r="S50" s="20">
        <v>81700</v>
      </c>
      <c r="T50" s="89">
        <f t="shared" si="12"/>
        <v>0.19176123931499256</v>
      </c>
      <c r="U50" s="89">
        <f t="shared" si="13"/>
        <v>0.26662739139871633</v>
      </c>
      <c r="V50" s="89">
        <f t="shared" si="14"/>
        <v>1.963133525528224E-2</v>
      </c>
      <c r="W50" s="91">
        <f t="shared" si="15"/>
        <v>0.2698756656052218</v>
      </c>
      <c r="X50" s="53">
        <f t="shared" si="16"/>
        <v>1573</v>
      </c>
      <c r="Y50" s="132"/>
    </row>
    <row r="51" spans="1:25" x14ac:dyDescent="0.2">
      <c r="A51" s="70" t="s">
        <v>1</v>
      </c>
      <c r="B51" s="70">
        <v>17980</v>
      </c>
      <c r="C51" s="70">
        <v>19230</v>
      </c>
      <c r="D51" s="70">
        <v>23837</v>
      </c>
      <c r="E51" s="70">
        <v>23804</v>
      </c>
      <c r="F51" s="70">
        <v>30856</v>
      </c>
      <c r="G51" s="4">
        <v>38267</v>
      </c>
      <c r="H51" s="4">
        <v>47536</v>
      </c>
      <c r="I51" s="4">
        <v>56510</v>
      </c>
      <c r="J51" s="4">
        <v>68298</v>
      </c>
      <c r="K51" s="4">
        <v>73935</v>
      </c>
      <c r="L51" s="4">
        <v>79135</v>
      </c>
      <c r="M51" s="4">
        <v>79335</v>
      </c>
      <c r="N51" s="4">
        <v>74372</v>
      </c>
      <c r="O51" s="4">
        <v>63437</v>
      </c>
      <c r="P51" s="4">
        <v>81653</v>
      </c>
      <c r="Q51" s="4">
        <v>77362</v>
      </c>
      <c r="R51" s="4">
        <v>78364</v>
      </c>
      <c r="S51" s="4">
        <v>81285</v>
      </c>
      <c r="T51" s="88">
        <f t="shared" si="12"/>
        <v>0.19015198102433453</v>
      </c>
      <c r="U51" s="88">
        <f t="shared" si="13"/>
        <v>0.28135000078818356</v>
      </c>
      <c r="V51" s="88">
        <f t="shared" si="14"/>
        <v>3.7274769026593844E-2</v>
      </c>
      <c r="W51" s="90">
        <f t="shared" si="15"/>
        <v>0.26850481614100918</v>
      </c>
      <c r="X51" s="53">
        <f t="shared" si="16"/>
        <v>2921</v>
      </c>
      <c r="Y51" s="132"/>
    </row>
    <row r="52" spans="1:25" x14ac:dyDescent="0.2">
      <c r="A52" s="70" t="s">
        <v>3</v>
      </c>
      <c r="B52" s="70">
        <v>0</v>
      </c>
      <c r="C52" s="70">
        <v>0</v>
      </c>
      <c r="D52" s="70">
        <v>28</v>
      </c>
      <c r="E52" s="70">
        <v>0</v>
      </c>
      <c r="F52" s="70">
        <v>0</v>
      </c>
      <c r="G52" s="4">
        <v>0</v>
      </c>
      <c r="H52" s="4">
        <v>5</v>
      </c>
      <c r="I52" s="4">
        <v>21</v>
      </c>
      <c r="J52" s="4">
        <v>256</v>
      </c>
      <c r="K52" s="4">
        <v>2641</v>
      </c>
      <c r="L52" s="4">
        <v>1162</v>
      </c>
      <c r="M52" s="4">
        <v>876</v>
      </c>
      <c r="N52" s="4">
        <v>1408</v>
      </c>
      <c r="O52" s="4">
        <v>1065</v>
      </c>
      <c r="P52" s="4">
        <v>1149</v>
      </c>
      <c r="Q52" s="4">
        <v>1193</v>
      </c>
      <c r="R52" s="4">
        <v>1763</v>
      </c>
      <c r="S52" s="4">
        <v>415</v>
      </c>
      <c r="T52" s="88">
        <f t="shared" si="12"/>
        <v>0.62109375</v>
      </c>
      <c r="U52" s="88">
        <f t="shared" si="13"/>
        <v>-0.61032863849765262</v>
      </c>
      <c r="V52" s="88">
        <f t="shared" si="14"/>
        <v>-0.76460578559273962</v>
      </c>
      <c r="W52" s="90">
        <f t="shared" si="15"/>
        <v>1.3708494642125709E-3</v>
      </c>
      <c r="X52" s="53">
        <f t="shared" si="16"/>
        <v>-1348</v>
      </c>
      <c r="Y52" s="132"/>
    </row>
    <row r="53" spans="1:25" x14ac:dyDescent="0.2">
      <c r="A53" s="5" t="s">
        <v>308</v>
      </c>
      <c r="B53" s="5">
        <v>23857</v>
      </c>
      <c r="C53" s="5">
        <v>24349</v>
      </c>
      <c r="D53" s="5">
        <v>27333</v>
      </c>
      <c r="E53" s="5">
        <v>27401</v>
      </c>
      <c r="F53" s="5">
        <v>25956</v>
      </c>
      <c r="G53" s="20">
        <v>26572</v>
      </c>
      <c r="H53" s="20">
        <v>27590</v>
      </c>
      <c r="I53" s="20">
        <v>28230</v>
      </c>
      <c r="J53" s="20">
        <v>29198</v>
      </c>
      <c r="K53" s="20">
        <v>28429</v>
      </c>
      <c r="L53" s="20">
        <v>30473</v>
      </c>
      <c r="M53" s="20">
        <v>30040</v>
      </c>
      <c r="N53" s="20">
        <v>30061</v>
      </c>
      <c r="O53" s="20">
        <v>24039</v>
      </c>
      <c r="P53" s="20">
        <v>34502</v>
      </c>
      <c r="Q53" s="20">
        <v>36408</v>
      </c>
      <c r="R53" s="20">
        <v>36996</v>
      </c>
      <c r="S53" s="20">
        <v>41239</v>
      </c>
      <c r="T53" s="89">
        <f t="shared" si="12"/>
        <v>0.41239125967532025</v>
      </c>
      <c r="U53" s="89">
        <f t="shared" si="13"/>
        <v>0.71550397271101129</v>
      </c>
      <c r="V53" s="89">
        <f t="shared" si="14"/>
        <v>0.11468807438642015</v>
      </c>
      <c r="W53" s="91">
        <f t="shared" si="15"/>
        <v>0.13622279772207763</v>
      </c>
      <c r="X53" s="53">
        <f t="shared" si="16"/>
        <v>4243</v>
      </c>
      <c r="Y53" s="132"/>
    </row>
    <row r="54" spans="1:25" x14ac:dyDescent="0.2">
      <c r="A54" s="70" t="s">
        <v>1</v>
      </c>
      <c r="B54" s="70">
        <v>20835</v>
      </c>
      <c r="C54" s="70">
        <v>20848</v>
      </c>
      <c r="D54" s="70">
        <v>23500</v>
      </c>
      <c r="E54" s="70">
        <v>23147</v>
      </c>
      <c r="F54" s="70">
        <v>21623</v>
      </c>
      <c r="G54" s="4">
        <v>21615</v>
      </c>
      <c r="H54" s="4">
        <v>21805</v>
      </c>
      <c r="I54" s="4">
        <v>22309</v>
      </c>
      <c r="J54" s="4">
        <v>23261</v>
      </c>
      <c r="K54" s="4">
        <v>22450</v>
      </c>
      <c r="L54" s="4">
        <v>24512</v>
      </c>
      <c r="M54" s="4">
        <v>23671</v>
      </c>
      <c r="N54" s="4">
        <v>23837</v>
      </c>
      <c r="O54" s="4">
        <v>19672</v>
      </c>
      <c r="P54" s="4">
        <v>27079</v>
      </c>
      <c r="Q54" s="4">
        <v>29080</v>
      </c>
      <c r="R54" s="4">
        <v>29065</v>
      </c>
      <c r="S54" s="4">
        <v>29033</v>
      </c>
      <c r="T54" s="88">
        <f t="shared" si="12"/>
        <v>0.24814066463178711</v>
      </c>
      <c r="U54" s="88">
        <f t="shared" si="13"/>
        <v>0.47585400569337127</v>
      </c>
      <c r="V54" s="88">
        <f t="shared" si="14"/>
        <v>-1.1009805608119731E-3</v>
      </c>
      <c r="W54" s="90">
        <f t="shared" si="15"/>
        <v>9.5903307215623054E-2</v>
      </c>
      <c r="X54" s="53">
        <f t="shared" si="16"/>
        <v>-32</v>
      </c>
      <c r="Y54" s="132"/>
    </row>
    <row r="55" spans="1:25" x14ac:dyDescent="0.2">
      <c r="A55" s="114" t="s">
        <v>2</v>
      </c>
      <c r="B55" s="70">
        <v>1648</v>
      </c>
      <c r="C55" s="70">
        <v>1920</v>
      </c>
      <c r="D55" s="70">
        <v>2327</v>
      </c>
      <c r="E55" s="70">
        <v>2421</v>
      </c>
      <c r="F55" s="70">
        <v>2696</v>
      </c>
      <c r="G55" s="4">
        <v>2990</v>
      </c>
      <c r="H55" s="4">
        <v>3331</v>
      </c>
      <c r="I55" s="4">
        <v>3547</v>
      </c>
      <c r="J55" s="4">
        <v>3709</v>
      </c>
      <c r="K55" s="4">
        <v>3532</v>
      </c>
      <c r="L55" s="4">
        <v>4053</v>
      </c>
      <c r="M55" s="4">
        <v>4198</v>
      </c>
      <c r="N55" s="4">
        <v>4004</v>
      </c>
      <c r="O55" s="4">
        <v>2884</v>
      </c>
      <c r="P55" s="4">
        <v>4417</v>
      </c>
      <c r="Q55" s="4">
        <v>3262</v>
      </c>
      <c r="R55" s="4">
        <v>4135</v>
      </c>
      <c r="S55" s="4">
        <v>3928</v>
      </c>
      <c r="T55" s="88">
        <f t="shared" si="12"/>
        <v>5.9045564842275543E-2</v>
      </c>
      <c r="U55" s="88">
        <f t="shared" si="13"/>
        <v>0.36199722607489598</v>
      </c>
      <c r="V55" s="88">
        <f t="shared" si="14"/>
        <v>-5.0060459492140268E-2</v>
      </c>
      <c r="W55" s="90">
        <f t="shared" si="15"/>
        <v>1.2975172760065008E-2</v>
      </c>
      <c r="X55" s="53">
        <f t="shared" si="16"/>
        <v>-207</v>
      </c>
      <c r="Y55" s="132"/>
    </row>
    <row r="56" spans="1:25" x14ac:dyDescent="0.2">
      <c r="A56" s="70" t="s">
        <v>3</v>
      </c>
      <c r="B56" s="70">
        <v>1374</v>
      </c>
      <c r="C56" s="70">
        <v>1581</v>
      </c>
      <c r="D56" s="70">
        <v>1506</v>
      </c>
      <c r="E56" s="70">
        <v>1833</v>
      </c>
      <c r="F56" s="70">
        <v>1637</v>
      </c>
      <c r="G56" s="4">
        <v>1967</v>
      </c>
      <c r="H56" s="4">
        <v>2454</v>
      </c>
      <c r="I56" s="4">
        <v>2374</v>
      </c>
      <c r="J56" s="4">
        <v>2228</v>
      </c>
      <c r="K56" s="4">
        <v>2447</v>
      </c>
      <c r="L56" s="4">
        <v>1908</v>
      </c>
      <c r="M56" s="4">
        <v>2171</v>
      </c>
      <c r="N56" s="4">
        <v>2220</v>
      </c>
      <c r="O56" s="4">
        <v>1483</v>
      </c>
      <c r="P56" s="4">
        <v>3006</v>
      </c>
      <c r="Q56" s="4">
        <v>4066</v>
      </c>
      <c r="R56" s="4">
        <v>3796</v>
      </c>
      <c r="S56" s="4">
        <v>8278</v>
      </c>
      <c r="T56" s="88">
        <f t="shared" si="12"/>
        <v>2.715439856373429</v>
      </c>
      <c r="U56" s="88">
        <f t="shared" si="13"/>
        <v>4.5819285232636551</v>
      </c>
      <c r="V56" s="88">
        <f t="shared" si="14"/>
        <v>1.1807165437302423</v>
      </c>
      <c r="W56" s="90">
        <f t="shared" si="15"/>
        <v>2.7344317746389547E-2</v>
      </c>
      <c r="X56" s="53">
        <f t="shared" si="16"/>
        <v>4482</v>
      </c>
      <c r="Y56" s="132"/>
    </row>
    <row r="57" spans="1:25" x14ac:dyDescent="0.2">
      <c r="A57" s="5" t="s">
        <v>307</v>
      </c>
      <c r="B57" s="5">
        <v>14221</v>
      </c>
      <c r="C57" s="5">
        <v>15139</v>
      </c>
      <c r="D57" s="5">
        <v>17518</v>
      </c>
      <c r="E57" s="5">
        <v>17192</v>
      </c>
      <c r="F57" s="5">
        <v>17394</v>
      </c>
      <c r="G57" s="20">
        <v>18938</v>
      </c>
      <c r="H57" s="20">
        <v>20600</v>
      </c>
      <c r="I57" s="20">
        <v>21728</v>
      </c>
      <c r="J57" s="20">
        <v>22770</v>
      </c>
      <c r="K57" s="84">
        <v>22509</v>
      </c>
      <c r="L57" s="84">
        <v>30315</v>
      </c>
      <c r="M57" s="84">
        <v>29335</v>
      </c>
      <c r="N57" s="84">
        <v>33611</v>
      </c>
      <c r="O57" s="84">
        <v>31849</v>
      </c>
      <c r="P57" s="84">
        <v>40289</v>
      </c>
      <c r="Q57" s="84">
        <v>54291</v>
      </c>
      <c r="R57" s="84">
        <v>54768</v>
      </c>
      <c r="S57" s="84">
        <v>55920</v>
      </c>
      <c r="T57" s="89">
        <f t="shared" si="12"/>
        <v>1.4558629776021081</v>
      </c>
      <c r="U57" s="89">
        <f t="shared" si="13"/>
        <v>0.75578511099249579</v>
      </c>
      <c r="V57" s="89">
        <f t="shared" si="14"/>
        <v>2.1034180543382998E-2</v>
      </c>
      <c r="W57" s="91">
        <f t="shared" si="15"/>
        <v>0.18471783623799268</v>
      </c>
      <c r="X57" s="53">
        <f t="shared" si="16"/>
        <v>1152</v>
      </c>
      <c r="Y57" s="132"/>
    </row>
    <row r="58" spans="1:25" x14ac:dyDescent="0.2">
      <c r="A58" s="70" t="s">
        <v>1</v>
      </c>
      <c r="B58" s="70">
        <v>11378</v>
      </c>
      <c r="C58" s="70">
        <v>11878</v>
      </c>
      <c r="D58" s="70">
        <v>13534</v>
      </c>
      <c r="E58" s="70">
        <v>13045</v>
      </c>
      <c r="F58" s="70">
        <v>12982</v>
      </c>
      <c r="G58" s="4">
        <v>14602</v>
      </c>
      <c r="H58" s="4">
        <v>15841</v>
      </c>
      <c r="I58" s="4">
        <v>16363</v>
      </c>
      <c r="J58" s="4">
        <v>17012</v>
      </c>
      <c r="K58" s="4">
        <v>16411</v>
      </c>
      <c r="L58" s="4">
        <v>18372</v>
      </c>
      <c r="M58" s="4">
        <v>17137</v>
      </c>
      <c r="N58" s="4">
        <v>19227</v>
      </c>
      <c r="O58" s="4">
        <v>17479</v>
      </c>
      <c r="P58" s="4">
        <v>25958</v>
      </c>
      <c r="Q58" s="4">
        <v>27272</v>
      </c>
      <c r="R58" s="4">
        <v>29003</v>
      </c>
      <c r="S58" s="4">
        <v>28339</v>
      </c>
      <c r="T58" s="88">
        <f t="shared" si="12"/>
        <v>0.66582412414766046</v>
      </c>
      <c r="U58" s="88">
        <f t="shared" si="13"/>
        <v>0.62131700898220721</v>
      </c>
      <c r="V58" s="88">
        <f t="shared" si="14"/>
        <v>-2.2894183360342032E-2</v>
      </c>
      <c r="W58" s="90">
        <f t="shared" si="15"/>
        <v>9.3610850521253119E-2</v>
      </c>
      <c r="X58" s="53">
        <f t="shared" si="16"/>
        <v>-664</v>
      </c>
      <c r="Y58" s="132"/>
    </row>
    <row r="59" spans="1:25" x14ac:dyDescent="0.2">
      <c r="A59" s="114" t="s">
        <v>2</v>
      </c>
      <c r="B59" s="70">
        <v>1565</v>
      </c>
      <c r="C59" s="70">
        <v>1478</v>
      </c>
      <c r="D59" s="70">
        <v>1909</v>
      </c>
      <c r="E59" s="70">
        <v>1865</v>
      </c>
      <c r="F59" s="70">
        <v>2099</v>
      </c>
      <c r="G59" s="4">
        <v>2085</v>
      </c>
      <c r="H59" s="4">
        <v>2814</v>
      </c>
      <c r="I59" s="4">
        <v>3018</v>
      </c>
      <c r="J59" s="4">
        <v>2931</v>
      </c>
      <c r="K59" s="4">
        <v>3106</v>
      </c>
      <c r="L59" s="4">
        <v>3410</v>
      </c>
      <c r="M59" s="4">
        <v>3489</v>
      </c>
      <c r="N59" s="4">
        <v>3780</v>
      </c>
      <c r="O59" s="4">
        <v>3488</v>
      </c>
      <c r="P59" s="4">
        <v>4992</v>
      </c>
      <c r="Q59" s="4">
        <v>5167</v>
      </c>
      <c r="R59" s="4">
        <v>5521</v>
      </c>
      <c r="S59" s="4">
        <v>5837</v>
      </c>
      <c r="T59" s="88">
        <f t="shared" si="12"/>
        <v>0.99147048788809278</v>
      </c>
      <c r="U59" s="88">
        <f t="shared" si="13"/>
        <v>0.67345183486238536</v>
      </c>
      <c r="V59" s="88">
        <f t="shared" si="14"/>
        <v>5.7236007969570728E-2</v>
      </c>
      <c r="W59" s="90">
        <f t="shared" si="15"/>
        <v>1.9281080295442832E-2</v>
      </c>
      <c r="X59" s="53">
        <f t="shared" si="16"/>
        <v>316</v>
      </c>
      <c r="Y59" s="132"/>
    </row>
    <row r="60" spans="1:25" x14ac:dyDescent="0.2">
      <c r="A60" s="70" t="s">
        <v>3</v>
      </c>
      <c r="B60" s="70">
        <v>1278</v>
      </c>
      <c r="C60" s="70">
        <v>1783</v>
      </c>
      <c r="D60" s="70">
        <v>2075</v>
      </c>
      <c r="E60" s="70">
        <v>2282</v>
      </c>
      <c r="F60" s="70">
        <v>2313</v>
      </c>
      <c r="G60" s="4">
        <v>2251</v>
      </c>
      <c r="H60" s="4">
        <v>1945</v>
      </c>
      <c r="I60" s="4">
        <v>2347</v>
      </c>
      <c r="J60" s="4">
        <v>2827</v>
      </c>
      <c r="K60" s="4">
        <v>2992</v>
      </c>
      <c r="L60" s="4">
        <v>8533</v>
      </c>
      <c r="M60" s="4">
        <v>8709</v>
      </c>
      <c r="N60" s="4">
        <v>10604</v>
      </c>
      <c r="O60" s="4">
        <v>10882</v>
      </c>
      <c r="P60" s="4">
        <v>9339</v>
      </c>
      <c r="Q60" s="4">
        <v>21852</v>
      </c>
      <c r="R60" s="4">
        <v>20244</v>
      </c>
      <c r="S60" s="4">
        <v>21744</v>
      </c>
      <c r="T60" s="88">
        <f t="shared" si="12"/>
        <v>6.6915458082773256</v>
      </c>
      <c r="U60" s="88">
        <f t="shared" si="13"/>
        <v>0.99816210255467741</v>
      </c>
      <c r="V60" s="88">
        <f t="shared" si="14"/>
        <v>7.4096028452874926E-2</v>
      </c>
      <c r="W60" s="90">
        <f t="shared" si="15"/>
        <v>7.1825905421296729E-2</v>
      </c>
      <c r="X60" s="53">
        <f t="shared" si="16"/>
        <v>1500</v>
      </c>
      <c r="Y60" s="132"/>
    </row>
    <row r="61" spans="1:25" x14ac:dyDescent="0.2">
      <c r="A61" s="5" t="s">
        <v>217</v>
      </c>
      <c r="B61" s="5">
        <v>27653</v>
      </c>
      <c r="C61" s="5">
        <v>33181</v>
      </c>
      <c r="D61" s="5">
        <v>37900</v>
      </c>
      <c r="E61" s="5">
        <v>36355</v>
      </c>
      <c r="F61" s="5">
        <v>40376</v>
      </c>
      <c r="G61" s="20">
        <v>46600</v>
      </c>
      <c r="H61" s="20">
        <v>58155</v>
      </c>
      <c r="I61" s="20">
        <v>63290</v>
      </c>
      <c r="J61" s="20">
        <v>65410</v>
      </c>
      <c r="K61" s="20">
        <v>69053</v>
      </c>
      <c r="L61" s="20">
        <v>69897</v>
      </c>
      <c r="M61" s="20">
        <v>75404</v>
      </c>
      <c r="N61" s="20">
        <v>73117</v>
      </c>
      <c r="O61" s="20">
        <v>58991</v>
      </c>
      <c r="P61" s="20">
        <v>87415</v>
      </c>
      <c r="Q61" s="20">
        <v>84021</v>
      </c>
      <c r="R61" s="20">
        <v>87251</v>
      </c>
      <c r="S61" s="20">
        <v>86706</v>
      </c>
      <c r="T61" s="89">
        <f t="shared" si="12"/>
        <v>0.32557712887937623</v>
      </c>
      <c r="U61" s="89">
        <f t="shared" si="13"/>
        <v>0.46981742977742369</v>
      </c>
      <c r="V61" s="89">
        <f t="shared" si="14"/>
        <v>-6.2463467467421575E-3</v>
      </c>
      <c r="W61" s="91">
        <f t="shared" si="15"/>
        <v>0.28641174372051847</v>
      </c>
      <c r="X61" s="53">
        <f t="shared" si="16"/>
        <v>-545</v>
      </c>
      <c r="Y61" s="132"/>
    </row>
    <row r="62" spans="1:25" x14ac:dyDescent="0.2">
      <c r="A62" s="70" t="s">
        <v>1</v>
      </c>
      <c r="B62" s="70">
        <v>23020</v>
      </c>
      <c r="C62" s="70">
        <v>26052</v>
      </c>
      <c r="D62" s="70">
        <v>28366</v>
      </c>
      <c r="E62" s="70">
        <v>27826</v>
      </c>
      <c r="F62" s="70">
        <v>30393</v>
      </c>
      <c r="G62" s="4">
        <v>35622</v>
      </c>
      <c r="H62" s="4">
        <v>43526</v>
      </c>
      <c r="I62" s="4">
        <v>48687</v>
      </c>
      <c r="J62" s="4">
        <v>49860</v>
      </c>
      <c r="K62" s="4">
        <v>50842</v>
      </c>
      <c r="L62" s="4">
        <v>51521</v>
      </c>
      <c r="M62" s="4">
        <v>53525</v>
      </c>
      <c r="N62" s="4">
        <v>49659</v>
      </c>
      <c r="O62" s="4">
        <v>36089</v>
      </c>
      <c r="P62" s="4">
        <v>57527</v>
      </c>
      <c r="Q62" s="4">
        <v>54052</v>
      </c>
      <c r="R62" s="4">
        <v>54082</v>
      </c>
      <c r="S62" s="4">
        <v>49008</v>
      </c>
      <c r="T62" s="88">
        <f t="shared" si="12"/>
        <v>-1.7087845968712396E-2</v>
      </c>
      <c r="U62" s="88">
        <f t="shared" si="13"/>
        <v>0.3579761146055585</v>
      </c>
      <c r="V62" s="88">
        <f t="shared" si="14"/>
        <v>-9.3820494804186236E-2</v>
      </c>
      <c r="W62" s="90">
        <f t="shared" si="15"/>
        <v>0.16188576034248114</v>
      </c>
      <c r="X62" s="53">
        <f t="shared" si="16"/>
        <v>-5074</v>
      </c>
      <c r="Y62" s="132"/>
    </row>
    <row r="63" spans="1:25" x14ac:dyDescent="0.2">
      <c r="A63" s="114" t="s">
        <v>2</v>
      </c>
      <c r="B63" s="70">
        <v>2268</v>
      </c>
      <c r="C63" s="70">
        <v>2841</v>
      </c>
      <c r="D63" s="70">
        <v>4370</v>
      </c>
      <c r="E63" s="70">
        <v>3802</v>
      </c>
      <c r="F63" s="70">
        <v>5216</v>
      </c>
      <c r="G63" s="4">
        <v>5514</v>
      </c>
      <c r="H63" s="4">
        <v>6468</v>
      </c>
      <c r="I63" s="4">
        <v>6450</v>
      </c>
      <c r="J63" s="4">
        <v>7344</v>
      </c>
      <c r="K63" s="4">
        <v>7346</v>
      </c>
      <c r="L63" s="4">
        <v>7364</v>
      </c>
      <c r="M63" s="4">
        <v>8692</v>
      </c>
      <c r="N63" s="4">
        <v>8460</v>
      </c>
      <c r="O63" s="4">
        <v>8980</v>
      </c>
      <c r="P63" s="4">
        <v>9982</v>
      </c>
      <c r="Q63" s="4">
        <v>11056</v>
      </c>
      <c r="R63" s="4">
        <v>12521</v>
      </c>
      <c r="S63" s="4">
        <v>11110</v>
      </c>
      <c r="T63" s="88">
        <f t="shared" si="12"/>
        <v>0.5127995642701525</v>
      </c>
      <c r="U63" s="88">
        <f t="shared" si="13"/>
        <v>0.23719376391982183</v>
      </c>
      <c r="V63" s="88">
        <f t="shared" si="14"/>
        <v>-0.11269067965817427</v>
      </c>
      <c r="W63" s="90">
        <f t="shared" si="15"/>
        <v>3.6699126620244972E-2</v>
      </c>
      <c r="X63" s="53">
        <f t="shared" si="16"/>
        <v>-1411</v>
      </c>
      <c r="Y63" s="132"/>
    </row>
    <row r="64" spans="1:25" x14ac:dyDescent="0.2">
      <c r="A64" s="70" t="s">
        <v>3</v>
      </c>
      <c r="B64" s="70">
        <v>2365</v>
      </c>
      <c r="C64" s="70">
        <v>4288</v>
      </c>
      <c r="D64" s="70">
        <v>5164</v>
      </c>
      <c r="E64" s="70">
        <v>4727</v>
      </c>
      <c r="F64" s="70">
        <v>4767</v>
      </c>
      <c r="G64" s="4">
        <v>5464</v>
      </c>
      <c r="H64" s="4">
        <v>8161</v>
      </c>
      <c r="I64" s="4">
        <v>8153</v>
      </c>
      <c r="J64" s="4">
        <v>8206</v>
      </c>
      <c r="K64" s="4">
        <v>10865</v>
      </c>
      <c r="L64" s="4">
        <v>11012</v>
      </c>
      <c r="M64" s="4">
        <v>13187</v>
      </c>
      <c r="N64" s="4">
        <v>14998</v>
      </c>
      <c r="O64" s="4">
        <v>13922</v>
      </c>
      <c r="P64" s="4">
        <v>19906</v>
      </c>
      <c r="Q64" s="4">
        <v>18913</v>
      </c>
      <c r="R64" s="4">
        <v>20648</v>
      </c>
      <c r="S64" s="4">
        <v>26588</v>
      </c>
      <c r="T64" s="88">
        <f t="shared" si="12"/>
        <v>2.2400682427492078</v>
      </c>
      <c r="U64" s="88">
        <f t="shared" si="13"/>
        <v>0.90978307714408846</v>
      </c>
      <c r="V64" s="88">
        <f t="shared" si="14"/>
        <v>0.28767919411080978</v>
      </c>
      <c r="W64" s="90">
        <f t="shared" si="15"/>
        <v>8.7826856757792365E-2</v>
      </c>
      <c r="X64" s="53">
        <f t="shared" si="16"/>
        <v>5940</v>
      </c>
      <c r="Y64" s="132"/>
    </row>
    <row r="65" spans="1:25" x14ac:dyDescent="0.2">
      <c r="A65" s="5" t="s">
        <v>4</v>
      </c>
      <c r="B65" s="5">
        <v>97624</v>
      </c>
      <c r="C65" s="5">
        <v>111913</v>
      </c>
      <c r="D65" s="5">
        <v>123519</v>
      </c>
      <c r="E65" s="5">
        <v>119105</v>
      </c>
      <c r="F65" s="5">
        <v>137073</v>
      </c>
      <c r="G65" s="5">
        <v>156000</v>
      </c>
      <c r="H65" s="5">
        <v>182179</v>
      </c>
      <c r="I65" s="5">
        <v>197558</v>
      </c>
      <c r="J65" s="5">
        <v>216587</v>
      </c>
      <c r="K65" s="5">
        <v>230506</v>
      </c>
      <c r="L65" s="5">
        <v>244006</v>
      </c>
      <c r="M65" s="5">
        <v>250349</v>
      </c>
      <c r="N65" s="5">
        <v>246619</v>
      </c>
      <c r="O65" s="5">
        <v>203597</v>
      </c>
      <c r="P65" s="5">
        <v>281489</v>
      </c>
      <c r="Q65" s="5">
        <v>291453</v>
      </c>
      <c r="R65" s="5">
        <v>299799</v>
      </c>
      <c r="S65" s="5">
        <v>302732</v>
      </c>
      <c r="T65" s="89">
        <f t="shared" si="12"/>
        <v>0.39773855309875478</v>
      </c>
      <c r="U65" s="89">
        <f t="shared" si="13"/>
        <v>0.48691778366085942</v>
      </c>
      <c r="V65" s="89">
        <f t="shared" si="14"/>
        <v>9.7832214250214312E-3</v>
      </c>
      <c r="W65" s="91">
        <f t="shared" si="15"/>
        <v>1</v>
      </c>
      <c r="X65" s="53">
        <f t="shared" si="16"/>
        <v>2933</v>
      </c>
      <c r="Y65" s="132"/>
    </row>
    <row r="66" spans="1:25" x14ac:dyDescent="0.2">
      <c r="A66" s="113" t="s">
        <v>509</v>
      </c>
      <c r="B66" s="31"/>
      <c r="C66" s="31"/>
      <c r="D66" s="31"/>
      <c r="E66" s="31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31"/>
      <c r="Q66" s="31"/>
      <c r="R66" s="31"/>
      <c r="S66" s="31"/>
      <c r="T66" s="31"/>
      <c r="U66" s="31"/>
      <c r="V66" s="31"/>
      <c r="W66" s="31"/>
      <c r="X66" s="31"/>
    </row>
    <row r="67" spans="1:25" x14ac:dyDescent="0.2">
      <c r="A67" s="96"/>
      <c r="B67" s="31"/>
      <c r="C67" s="31"/>
      <c r="D67" s="31"/>
      <c r="E67" s="31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</row>
    <row r="68" spans="1:25" ht="15.75" x14ac:dyDescent="0.2">
      <c r="A68" s="22" t="s">
        <v>190</v>
      </c>
      <c r="B68" s="22"/>
      <c r="C68" s="22"/>
      <c r="D68" s="22"/>
      <c r="E68" s="22"/>
      <c r="F68" s="22"/>
      <c r="G68" s="31"/>
      <c r="H68" s="31"/>
      <c r="I68" s="3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</row>
    <row r="69" spans="1:25" ht="25.5" x14ac:dyDescent="0.2">
      <c r="A69" s="73" t="s">
        <v>207</v>
      </c>
      <c r="B69" s="3">
        <v>2007</v>
      </c>
      <c r="C69" s="3">
        <v>2008</v>
      </c>
      <c r="D69" s="3">
        <v>2009</v>
      </c>
      <c r="E69" s="3">
        <v>2010</v>
      </c>
      <c r="F69" s="3">
        <v>2011</v>
      </c>
      <c r="G69" s="3">
        <v>2012</v>
      </c>
      <c r="H69" s="3">
        <v>2013</v>
      </c>
      <c r="I69" s="3">
        <v>2014</v>
      </c>
      <c r="J69" s="3">
        <v>2015</v>
      </c>
      <c r="K69" s="3">
        <v>2016</v>
      </c>
      <c r="L69" s="3">
        <v>2017</v>
      </c>
      <c r="M69" s="3">
        <v>2018</v>
      </c>
      <c r="N69" s="3">
        <v>2019</v>
      </c>
      <c r="O69" s="3">
        <v>2020</v>
      </c>
      <c r="P69" s="3">
        <v>2021</v>
      </c>
      <c r="Q69" s="3">
        <v>2022</v>
      </c>
      <c r="R69" s="3">
        <v>2023</v>
      </c>
      <c r="S69" s="3">
        <v>2024</v>
      </c>
      <c r="T69" s="12" t="s">
        <v>368</v>
      </c>
      <c r="U69" s="12" t="s">
        <v>369</v>
      </c>
      <c r="V69" s="12" t="s">
        <v>370</v>
      </c>
      <c r="W69" s="12" t="s">
        <v>372</v>
      </c>
      <c r="X69" s="169" t="s">
        <v>494</v>
      </c>
    </row>
    <row r="70" spans="1:25" x14ac:dyDescent="0.2">
      <c r="A70" s="27" t="s">
        <v>188</v>
      </c>
      <c r="B70" s="27">
        <v>52250</v>
      </c>
      <c r="C70" s="27">
        <v>62378</v>
      </c>
      <c r="D70" s="27">
        <v>67802</v>
      </c>
      <c r="E70" s="27">
        <v>64722</v>
      </c>
      <c r="F70" s="27">
        <v>76375</v>
      </c>
      <c r="G70" s="4">
        <v>87747</v>
      </c>
      <c r="H70" s="4">
        <v>102800</v>
      </c>
      <c r="I70" s="4">
        <v>110331</v>
      </c>
      <c r="J70" s="4">
        <v>120471</v>
      </c>
      <c r="K70" s="4">
        <v>130207</v>
      </c>
      <c r="L70" s="4">
        <v>138206</v>
      </c>
      <c r="M70" s="4">
        <v>141563</v>
      </c>
      <c r="N70" s="4">
        <v>140160</v>
      </c>
      <c r="O70" s="4">
        <v>115045</v>
      </c>
      <c r="P70" s="4">
        <v>163286</v>
      </c>
      <c r="Q70" s="4">
        <v>166196</v>
      </c>
      <c r="R70" s="4">
        <v>168557</v>
      </c>
      <c r="S70" s="4">
        <v>169933</v>
      </c>
      <c r="T70" s="88">
        <f>(S70-J70)/J70</f>
        <v>0.41057183886578513</v>
      </c>
      <c r="U70" s="88">
        <f>(S70-O70)/O70</f>
        <v>0.47710026511365117</v>
      </c>
      <c r="V70" s="88">
        <f>(S70-R70)/R70</f>
        <v>8.1634105970087266E-3</v>
      </c>
      <c r="W70" s="90">
        <f>S70/S$9</f>
        <v>0.56133147470369837</v>
      </c>
      <c r="X70" s="52">
        <f>S70-R70</f>
        <v>1376</v>
      </c>
      <c r="Y70" s="87"/>
    </row>
    <row r="71" spans="1:25" x14ac:dyDescent="0.2">
      <c r="A71" s="27" t="s">
        <v>189</v>
      </c>
      <c r="B71" s="27">
        <v>45374</v>
      </c>
      <c r="C71" s="27">
        <v>49535</v>
      </c>
      <c r="D71" s="27">
        <v>55717</v>
      </c>
      <c r="E71" s="27">
        <v>54383</v>
      </c>
      <c r="F71" s="27">
        <v>60698</v>
      </c>
      <c r="G71" s="4">
        <v>68253</v>
      </c>
      <c r="H71" s="4">
        <v>79379</v>
      </c>
      <c r="I71" s="4">
        <v>87227</v>
      </c>
      <c r="J71" s="4">
        <v>96116</v>
      </c>
      <c r="K71" s="4">
        <v>100299</v>
      </c>
      <c r="L71" s="4">
        <v>105800</v>
      </c>
      <c r="M71" s="4">
        <v>108786</v>
      </c>
      <c r="N71" s="4">
        <v>106459</v>
      </c>
      <c r="O71" s="4">
        <v>88552</v>
      </c>
      <c r="P71" s="4">
        <v>118203</v>
      </c>
      <c r="Q71" s="4">
        <v>125257</v>
      </c>
      <c r="R71" s="4">
        <v>131239</v>
      </c>
      <c r="S71" s="4">
        <v>132797</v>
      </c>
      <c r="T71" s="88">
        <f>(S71-J71)/J71</f>
        <v>0.38163261059553039</v>
      </c>
      <c r="U71" s="88">
        <f>(S71-O71)/O71</f>
        <v>0.49964992320896195</v>
      </c>
      <c r="V71" s="88">
        <f>(S71-R71)/R71</f>
        <v>1.1871471132818751E-2</v>
      </c>
      <c r="W71" s="90">
        <f>S71/S$9</f>
        <v>0.43866191879285971</v>
      </c>
      <c r="X71" s="52">
        <f t="shared" ref="X71:X73" si="17">S71-R71</f>
        <v>1558</v>
      </c>
    </row>
    <row r="72" spans="1:25" x14ac:dyDescent="0.2">
      <c r="A72" s="27" t="s">
        <v>498</v>
      </c>
      <c r="B72" s="27">
        <v>0</v>
      </c>
      <c r="C72" s="27">
        <v>0</v>
      </c>
      <c r="D72" s="27">
        <v>0</v>
      </c>
      <c r="E72" s="27">
        <v>0</v>
      </c>
      <c r="F72" s="27">
        <v>0</v>
      </c>
      <c r="G72" s="27">
        <v>0</v>
      </c>
      <c r="H72" s="27">
        <v>0</v>
      </c>
      <c r="I72" s="27">
        <v>0</v>
      </c>
      <c r="J72" s="27">
        <v>0</v>
      </c>
      <c r="K72" s="27">
        <v>0</v>
      </c>
      <c r="L72" s="27">
        <v>0</v>
      </c>
      <c r="M72" s="27">
        <v>0</v>
      </c>
      <c r="N72" s="27">
        <v>0</v>
      </c>
      <c r="O72" s="27">
        <v>0</v>
      </c>
      <c r="P72" s="27">
        <v>0</v>
      </c>
      <c r="Q72" s="27">
        <v>0</v>
      </c>
      <c r="R72" s="4">
        <v>3</v>
      </c>
      <c r="S72" s="4">
        <v>2</v>
      </c>
      <c r="T72" s="88" t="s">
        <v>296</v>
      </c>
      <c r="U72" s="88" t="s">
        <v>296</v>
      </c>
      <c r="V72" s="88">
        <f>(S72-R72)/R72</f>
        <v>-0.33333333333333331</v>
      </c>
      <c r="W72" s="90">
        <f>S72/S$9</f>
        <v>6.6065034419882929E-6</v>
      </c>
      <c r="X72" s="52">
        <f t="shared" si="17"/>
        <v>-1</v>
      </c>
    </row>
    <row r="73" spans="1:25" x14ac:dyDescent="0.2">
      <c r="A73" s="5" t="s">
        <v>4</v>
      </c>
      <c r="B73" s="5">
        <v>97624</v>
      </c>
      <c r="C73" s="5">
        <v>111913</v>
      </c>
      <c r="D73" s="5">
        <v>123519</v>
      </c>
      <c r="E73" s="5">
        <v>119105</v>
      </c>
      <c r="F73" s="5">
        <v>137073</v>
      </c>
      <c r="G73" s="5">
        <v>156000</v>
      </c>
      <c r="H73" s="5">
        <v>182179</v>
      </c>
      <c r="I73" s="5">
        <v>197558</v>
      </c>
      <c r="J73" s="5">
        <v>216587</v>
      </c>
      <c r="K73" s="5">
        <v>230506</v>
      </c>
      <c r="L73" s="5">
        <v>244006</v>
      </c>
      <c r="M73" s="5">
        <v>250349</v>
      </c>
      <c r="N73" s="5">
        <v>246619</v>
      </c>
      <c r="O73" s="5">
        <v>203597</v>
      </c>
      <c r="P73" s="5">
        <v>281489</v>
      </c>
      <c r="Q73" s="5">
        <v>291453</v>
      </c>
      <c r="R73" s="5">
        <v>299799</v>
      </c>
      <c r="S73" s="5">
        <v>302732</v>
      </c>
      <c r="T73" s="89">
        <f t="shared" ref="T73" si="18">(S73-J73)/J73</f>
        <v>0.39773855309875478</v>
      </c>
      <c r="U73" s="89">
        <f t="shared" ref="U73" si="19">(S73-O73)/O73</f>
        <v>0.48691778366085942</v>
      </c>
      <c r="V73" s="89">
        <f t="shared" ref="V73" si="20">(S73-R73)/R73</f>
        <v>9.7832214250214312E-3</v>
      </c>
      <c r="W73" s="91">
        <f>S73/S$9</f>
        <v>1</v>
      </c>
      <c r="X73" s="52">
        <f t="shared" si="17"/>
        <v>2933</v>
      </c>
    </row>
    <row r="74" spans="1:25" x14ac:dyDescent="0.2">
      <c r="A74" s="31"/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  <c r="N74" s="117"/>
      <c r="O74" s="117"/>
      <c r="P74" s="117"/>
      <c r="Q74" s="117"/>
      <c r="R74" s="117"/>
      <c r="S74" s="117"/>
      <c r="T74" s="31"/>
      <c r="U74" s="100"/>
      <c r="V74" s="31"/>
      <c r="W74" s="104"/>
      <c r="X74" s="104"/>
    </row>
    <row r="75" spans="1:25" ht="15.75" x14ac:dyDescent="0.2">
      <c r="A75" s="22" t="s">
        <v>24</v>
      </c>
      <c r="B75" s="22"/>
      <c r="C75" s="22"/>
      <c r="D75" s="22"/>
      <c r="E75" s="22"/>
      <c r="F75" s="22"/>
      <c r="G75" s="31"/>
      <c r="L75" s="87"/>
      <c r="M75" s="87"/>
      <c r="N75" s="87"/>
      <c r="O75" s="87"/>
      <c r="P75" s="87"/>
      <c r="Q75" s="87"/>
      <c r="R75" s="87"/>
      <c r="S75" s="87"/>
      <c r="U75" s="100"/>
    </row>
    <row r="76" spans="1:25" ht="25.5" x14ac:dyDescent="0.2">
      <c r="A76" s="73" t="s">
        <v>25</v>
      </c>
      <c r="B76" s="3">
        <v>2007</v>
      </c>
      <c r="C76" s="3">
        <v>2008</v>
      </c>
      <c r="D76" s="3">
        <v>2009</v>
      </c>
      <c r="E76" s="3">
        <v>2010</v>
      </c>
      <c r="F76" s="3">
        <v>2011</v>
      </c>
      <c r="G76" s="3">
        <v>2012</v>
      </c>
      <c r="H76" s="3">
        <v>2013</v>
      </c>
      <c r="I76" s="3">
        <v>2014</v>
      </c>
      <c r="J76" s="3">
        <v>2015</v>
      </c>
      <c r="K76" s="3">
        <v>2016</v>
      </c>
      <c r="L76" s="3">
        <v>2017</v>
      </c>
      <c r="M76" s="3">
        <v>2018</v>
      </c>
      <c r="N76" s="3">
        <v>2019</v>
      </c>
      <c r="O76" s="3">
        <v>2020</v>
      </c>
      <c r="P76" s="3">
        <v>2021</v>
      </c>
      <c r="Q76" s="3">
        <v>2022</v>
      </c>
      <c r="R76" s="3">
        <v>2023</v>
      </c>
      <c r="S76" s="3">
        <v>2024</v>
      </c>
      <c r="T76" s="12" t="s">
        <v>368</v>
      </c>
      <c r="U76" s="12" t="s">
        <v>369</v>
      </c>
      <c r="V76" s="12" t="s">
        <v>370</v>
      </c>
      <c r="W76" s="12" t="s">
        <v>372</v>
      </c>
      <c r="X76" s="169" t="s">
        <v>494</v>
      </c>
    </row>
    <row r="77" spans="1:25" x14ac:dyDescent="0.2">
      <c r="A77" s="4" t="s">
        <v>26</v>
      </c>
      <c r="B77" s="4">
        <v>74</v>
      </c>
      <c r="C77" s="4">
        <v>826</v>
      </c>
      <c r="D77" s="4">
        <v>677</v>
      </c>
      <c r="E77" s="4">
        <v>82</v>
      </c>
      <c r="F77" s="4">
        <v>132</v>
      </c>
      <c r="G77" s="4">
        <v>170</v>
      </c>
      <c r="H77" s="4">
        <v>227</v>
      </c>
      <c r="I77" s="4">
        <v>319</v>
      </c>
      <c r="J77" s="4">
        <v>452</v>
      </c>
      <c r="K77" s="4">
        <v>520</v>
      </c>
      <c r="L77" s="4">
        <v>634</v>
      </c>
      <c r="M77" s="4">
        <v>540</v>
      </c>
      <c r="N77" s="4">
        <v>534</v>
      </c>
      <c r="O77" s="4">
        <v>322</v>
      </c>
      <c r="P77" s="4">
        <v>645</v>
      </c>
      <c r="Q77" s="4">
        <v>683</v>
      </c>
      <c r="R77" s="4">
        <v>626</v>
      </c>
      <c r="S77" s="4">
        <v>564</v>
      </c>
      <c r="T77" s="88">
        <f t="shared" ref="T77:T84" si="21">(S77-J77)/J77</f>
        <v>0.24778761061946902</v>
      </c>
      <c r="U77" s="88">
        <f t="shared" ref="U77:U84" si="22">(S77-O77)/O77</f>
        <v>0.75155279503105588</v>
      </c>
      <c r="V77" s="88">
        <f t="shared" ref="V77:V84" si="23">(S77-R77)/R77</f>
        <v>-9.9041533546325874E-2</v>
      </c>
      <c r="W77" s="90">
        <f t="shared" ref="W77:W84" si="24">S77/S$9</f>
        <v>1.8630339706406987E-3</v>
      </c>
      <c r="X77" s="52">
        <f>S77-R77</f>
        <v>-62</v>
      </c>
      <c r="Y77" s="87"/>
    </row>
    <row r="78" spans="1:25" x14ac:dyDescent="0.2">
      <c r="A78" s="4" t="s">
        <v>27</v>
      </c>
      <c r="B78" s="4">
        <v>37063</v>
      </c>
      <c r="C78" s="4">
        <v>41936</v>
      </c>
      <c r="D78" s="4">
        <v>44827</v>
      </c>
      <c r="E78" s="4">
        <v>43770</v>
      </c>
      <c r="F78" s="4">
        <v>54372</v>
      </c>
      <c r="G78" s="4">
        <v>63096</v>
      </c>
      <c r="H78" s="4">
        <v>71763</v>
      </c>
      <c r="I78" s="4">
        <v>76505</v>
      </c>
      <c r="J78" s="4">
        <v>82995</v>
      </c>
      <c r="K78" s="4">
        <v>85923</v>
      </c>
      <c r="L78" s="4">
        <v>90079</v>
      </c>
      <c r="M78" s="4">
        <v>89224</v>
      </c>
      <c r="N78" s="4">
        <v>87516</v>
      </c>
      <c r="O78" s="4">
        <v>66151</v>
      </c>
      <c r="P78" s="4">
        <v>95222</v>
      </c>
      <c r="Q78" s="4">
        <v>95384</v>
      </c>
      <c r="R78" s="4">
        <v>97758</v>
      </c>
      <c r="S78" s="4">
        <v>99506</v>
      </c>
      <c r="T78" s="88">
        <f t="shared" si="21"/>
        <v>0.19893969516235918</v>
      </c>
      <c r="U78" s="88">
        <f t="shared" si="22"/>
        <v>0.50422518178107667</v>
      </c>
      <c r="V78" s="88">
        <f t="shared" si="23"/>
        <v>1.7880889543566768E-2</v>
      </c>
      <c r="W78" s="90">
        <f t="shared" si="24"/>
        <v>0.32869336574924357</v>
      </c>
      <c r="X78" s="52">
        <f t="shared" ref="X78:X84" si="25">S78-R78</f>
        <v>1748</v>
      </c>
      <c r="Y78" s="87"/>
    </row>
    <row r="79" spans="1:25" x14ac:dyDescent="0.2">
      <c r="A79" s="4" t="s">
        <v>28</v>
      </c>
      <c r="B79" s="4">
        <v>35113</v>
      </c>
      <c r="C79" s="4">
        <v>38021</v>
      </c>
      <c r="D79" s="4">
        <v>41584</v>
      </c>
      <c r="E79" s="4">
        <v>40804</v>
      </c>
      <c r="F79" s="4">
        <v>44292</v>
      </c>
      <c r="G79" s="4">
        <v>49492</v>
      </c>
      <c r="H79" s="4">
        <v>58268</v>
      </c>
      <c r="I79" s="4">
        <v>64039</v>
      </c>
      <c r="J79" s="4">
        <v>69625</v>
      </c>
      <c r="K79" s="4">
        <v>73118</v>
      </c>
      <c r="L79" s="4">
        <v>77797</v>
      </c>
      <c r="M79" s="4">
        <v>78524</v>
      </c>
      <c r="N79" s="4">
        <v>75087</v>
      </c>
      <c r="O79" s="4">
        <v>60015</v>
      </c>
      <c r="P79" s="4">
        <v>85601</v>
      </c>
      <c r="Q79" s="4">
        <v>86296</v>
      </c>
      <c r="R79" s="4">
        <v>84895</v>
      </c>
      <c r="S79" s="4">
        <v>79842</v>
      </c>
      <c r="T79" s="88">
        <f t="shared" si="21"/>
        <v>0.14674326750448832</v>
      </c>
      <c r="U79" s="88">
        <f t="shared" si="22"/>
        <v>0.330367408147963</v>
      </c>
      <c r="V79" s="88">
        <f t="shared" si="23"/>
        <v>-5.9520584251133754E-2</v>
      </c>
      <c r="W79" s="90">
        <f t="shared" si="24"/>
        <v>0.26373822390761464</v>
      </c>
      <c r="X79" s="52">
        <f t="shared" si="25"/>
        <v>-5053</v>
      </c>
      <c r="Y79" s="87"/>
    </row>
    <row r="80" spans="1:25" x14ac:dyDescent="0.2">
      <c r="A80" s="4" t="s">
        <v>29</v>
      </c>
      <c r="B80" s="4">
        <v>11795</v>
      </c>
      <c r="C80" s="4">
        <v>13501</v>
      </c>
      <c r="D80" s="4">
        <v>15273</v>
      </c>
      <c r="E80" s="4">
        <v>14742</v>
      </c>
      <c r="F80" s="4">
        <v>16638</v>
      </c>
      <c r="G80" s="4">
        <v>19156</v>
      </c>
      <c r="H80" s="4">
        <v>23572</v>
      </c>
      <c r="I80" s="4">
        <v>26212</v>
      </c>
      <c r="J80" s="4">
        <v>28841</v>
      </c>
      <c r="K80" s="4">
        <v>31947</v>
      </c>
      <c r="L80" s="4">
        <v>33521</v>
      </c>
      <c r="M80" s="4">
        <v>36274</v>
      </c>
      <c r="N80" s="4">
        <v>36154</v>
      </c>
      <c r="O80" s="4">
        <v>32759</v>
      </c>
      <c r="P80" s="4">
        <v>41917</v>
      </c>
      <c r="Q80" s="4">
        <v>44728</v>
      </c>
      <c r="R80" s="4">
        <v>45695</v>
      </c>
      <c r="S80" s="4">
        <v>45525</v>
      </c>
      <c r="T80" s="88">
        <f t="shared" si="21"/>
        <v>0.57848202212128563</v>
      </c>
      <c r="U80" s="88">
        <f t="shared" si="22"/>
        <v>0.38969443511706708</v>
      </c>
      <c r="V80" s="88">
        <f t="shared" si="23"/>
        <v>-3.7203195097931939E-3</v>
      </c>
      <c r="W80" s="90">
        <f t="shared" si="24"/>
        <v>0.15038053459825854</v>
      </c>
      <c r="X80" s="52">
        <f t="shared" si="25"/>
        <v>-170</v>
      </c>
      <c r="Y80" s="87"/>
    </row>
    <row r="81" spans="1:25" x14ac:dyDescent="0.2">
      <c r="A81" s="4" t="s">
        <v>30</v>
      </c>
      <c r="B81" s="4">
        <v>5734</v>
      </c>
      <c r="C81" s="4">
        <v>7165</v>
      </c>
      <c r="D81" s="4">
        <v>8719</v>
      </c>
      <c r="E81" s="4">
        <v>8422</v>
      </c>
      <c r="F81" s="4">
        <v>9242</v>
      </c>
      <c r="G81" s="4">
        <v>10490</v>
      </c>
      <c r="H81" s="4">
        <v>12479</v>
      </c>
      <c r="I81" s="4">
        <v>13646</v>
      </c>
      <c r="J81" s="4">
        <v>15252</v>
      </c>
      <c r="K81" s="4">
        <v>17287</v>
      </c>
      <c r="L81" s="4">
        <v>18919</v>
      </c>
      <c r="M81" s="4">
        <v>20933</v>
      </c>
      <c r="N81" s="4">
        <v>21231</v>
      </c>
      <c r="O81" s="4">
        <v>19763</v>
      </c>
      <c r="P81" s="4">
        <v>25357</v>
      </c>
      <c r="Q81" s="4">
        <v>27643</v>
      </c>
      <c r="R81" s="4">
        <v>29949</v>
      </c>
      <c r="S81" s="4">
        <v>32457</v>
      </c>
      <c r="T81" s="88">
        <f t="shared" si="21"/>
        <v>1.1280487804878048</v>
      </c>
      <c r="U81" s="88">
        <f t="shared" si="22"/>
        <v>0.64231138997115822</v>
      </c>
      <c r="V81" s="88">
        <f t="shared" si="23"/>
        <v>8.374236201542623E-2</v>
      </c>
      <c r="W81" s="90">
        <f t="shared" si="24"/>
        <v>0.10721364110830701</v>
      </c>
      <c r="X81" s="52">
        <f t="shared" si="25"/>
        <v>2508</v>
      </c>
      <c r="Y81" s="87"/>
    </row>
    <row r="82" spans="1:25" x14ac:dyDescent="0.2">
      <c r="A82" s="4" t="s">
        <v>31</v>
      </c>
      <c r="B82" s="4">
        <v>7513</v>
      </c>
      <c r="C82" s="4">
        <v>10236</v>
      </c>
      <c r="D82" s="4">
        <v>12380</v>
      </c>
      <c r="E82" s="4">
        <v>11205</v>
      </c>
      <c r="F82" s="4">
        <v>12312</v>
      </c>
      <c r="G82" s="4">
        <v>13481</v>
      </c>
      <c r="H82" s="4">
        <v>15749</v>
      </c>
      <c r="I82" s="4">
        <v>16449</v>
      </c>
      <c r="J82" s="4">
        <v>19283</v>
      </c>
      <c r="K82" s="4">
        <v>21706</v>
      </c>
      <c r="L82" s="4">
        <v>23047</v>
      </c>
      <c r="M82" s="4">
        <v>24849</v>
      </c>
      <c r="N82" s="4">
        <v>26090</v>
      </c>
      <c r="O82" s="4">
        <v>24586</v>
      </c>
      <c r="P82" s="4">
        <v>32730</v>
      </c>
      <c r="Q82" s="4">
        <v>36696</v>
      </c>
      <c r="R82" s="4">
        <v>40866</v>
      </c>
      <c r="S82" s="4">
        <v>44835</v>
      </c>
      <c r="T82" s="88">
        <f t="shared" si="21"/>
        <v>1.325105014779858</v>
      </c>
      <c r="U82" s="88">
        <f t="shared" si="22"/>
        <v>0.82359879606279995</v>
      </c>
      <c r="V82" s="88">
        <f t="shared" si="23"/>
        <v>9.7122302158273388E-2</v>
      </c>
      <c r="W82" s="90">
        <f t="shared" si="24"/>
        <v>0.14810129091077257</v>
      </c>
      <c r="X82" s="52">
        <f t="shared" si="25"/>
        <v>3969</v>
      </c>
      <c r="Y82" s="87"/>
    </row>
    <row r="83" spans="1:25" x14ac:dyDescent="0.2">
      <c r="A83" s="4" t="s">
        <v>32</v>
      </c>
      <c r="B83" s="4">
        <v>332</v>
      </c>
      <c r="C83" s="4">
        <v>228</v>
      </c>
      <c r="D83" s="4">
        <v>59</v>
      </c>
      <c r="E83" s="4">
        <v>80</v>
      </c>
      <c r="F83" s="4">
        <v>85</v>
      </c>
      <c r="G83" s="4">
        <v>115</v>
      </c>
      <c r="H83" s="4">
        <v>121</v>
      </c>
      <c r="I83" s="4">
        <v>388</v>
      </c>
      <c r="J83" s="4">
        <v>139</v>
      </c>
      <c r="K83" s="4">
        <v>5</v>
      </c>
      <c r="L83" s="4">
        <v>9</v>
      </c>
      <c r="M83" s="4">
        <v>5</v>
      </c>
      <c r="N83" s="4">
        <v>7</v>
      </c>
      <c r="O83" s="4">
        <v>1</v>
      </c>
      <c r="P83" s="4">
        <v>17</v>
      </c>
      <c r="Q83" s="4">
        <v>23</v>
      </c>
      <c r="R83" s="4">
        <v>10</v>
      </c>
      <c r="S83" s="4">
        <v>3</v>
      </c>
      <c r="T83" s="88">
        <f t="shared" si="21"/>
        <v>-0.97841726618705038</v>
      </c>
      <c r="U83" s="88">
        <f t="shared" si="22"/>
        <v>2</v>
      </c>
      <c r="V83" s="88">
        <f t="shared" si="23"/>
        <v>-0.7</v>
      </c>
      <c r="W83" s="90">
        <f t="shared" si="24"/>
        <v>9.9097551629824406E-6</v>
      </c>
      <c r="X83" s="52">
        <f t="shared" si="25"/>
        <v>-7</v>
      </c>
      <c r="Y83" s="87"/>
    </row>
    <row r="84" spans="1:25" x14ac:dyDescent="0.2">
      <c r="A84" s="5" t="s">
        <v>4</v>
      </c>
      <c r="B84" s="5">
        <v>97624</v>
      </c>
      <c r="C84" s="5">
        <v>111913</v>
      </c>
      <c r="D84" s="5">
        <v>123519</v>
      </c>
      <c r="E84" s="5">
        <v>119105</v>
      </c>
      <c r="F84" s="5">
        <v>137073</v>
      </c>
      <c r="G84" s="5">
        <v>156000</v>
      </c>
      <c r="H84" s="5">
        <v>182179</v>
      </c>
      <c r="I84" s="5">
        <v>197558</v>
      </c>
      <c r="J84" s="5">
        <v>216587</v>
      </c>
      <c r="K84" s="5">
        <v>230506</v>
      </c>
      <c r="L84" s="5">
        <v>244006</v>
      </c>
      <c r="M84" s="5">
        <v>250349</v>
      </c>
      <c r="N84" s="5">
        <v>246619</v>
      </c>
      <c r="O84" s="5">
        <v>203597</v>
      </c>
      <c r="P84" s="5">
        <v>281489</v>
      </c>
      <c r="Q84" s="5">
        <v>291453</v>
      </c>
      <c r="R84" s="5">
        <v>299799</v>
      </c>
      <c r="S84" s="5">
        <v>302732</v>
      </c>
      <c r="T84" s="89">
        <f t="shared" si="21"/>
        <v>0.39773855309875478</v>
      </c>
      <c r="U84" s="89">
        <f t="shared" si="22"/>
        <v>0.48691778366085942</v>
      </c>
      <c r="V84" s="89">
        <f t="shared" si="23"/>
        <v>9.7832214250214312E-3</v>
      </c>
      <c r="W84" s="91">
        <f t="shared" si="24"/>
        <v>1</v>
      </c>
      <c r="X84" s="52">
        <f t="shared" si="25"/>
        <v>2933</v>
      </c>
      <c r="Y84" s="87"/>
    </row>
    <row r="85" spans="1:25" x14ac:dyDescent="0.2">
      <c r="A85" s="149" t="s">
        <v>34</v>
      </c>
      <c r="B85" s="150">
        <v>27.816274719401388</v>
      </c>
      <c r="C85" s="151">
        <v>28.150817030039843</v>
      </c>
      <c r="D85" s="151">
        <v>28.506808420641633</v>
      </c>
      <c r="E85" s="151">
        <v>28.386369394476819</v>
      </c>
      <c r="F85" s="151">
        <v>28.078196635930841</v>
      </c>
      <c r="G85" s="151">
        <v>28.018892132020401</v>
      </c>
      <c r="H85" s="151">
        <v>28.108366564501424</v>
      </c>
      <c r="I85" s="151">
        <v>28.060039559770757</v>
      </c>
      <c r="J85" s="151">
        <v>28.186155566232998</v>
      </c>
      <c r="K85" s="151">
        <v>28.406514505360065</v>
      </c>
      <c r="L85" s="151">
        <v>28.452411300138937</v>
      </c>
      <c r="M85" s="151">
        <v>28.720089157319528</v>
      </c>
      <c r="N85" s="151">
        <v>28.905620975459428</v>
      </c>
      <c r="O85" s="151">
        <v>29.502092379025129</v>
      </c>
      <c r="P85" s="151">
        <v>29.249467087312414</v>
      </c>
      <c r="Q85" s="151">
        <v>29.541889990735339</v>
      </c>
      <c r="R85" s="151">
        <v>29.80745791206482</v>
      </c>
      <c r="S85" s="151">
        <v>30.112133294134399</v>
      </c>
      <c r="T85" s="108"/>
      <c r="U85" s="109"/>
      <c r="V85" s="109"/>
      <c r="W85" s="110"/>
      <c r="X85" s="168"/>
    </row>
    <row r="86" spans="1:25" x14ac:dyDescent="0.2">
      <c r="A86" s="121"/>
      <c r="B86" s="121"/>
      <c r="C86" s="121"/>
      <c r="D86" s="121"/>
      <c r="E86" s="121"/>
      <c r="F86" s="121"/>
      <c r="G86" s="121"/>
      <c r="H86" s="121"/>
      <c r="I86" s="121"/>
      <c r="J86" s="121"/>
      <c r="K86" s="121"/>
      <c r="L86" s="121"/>
      <c r="M86" s="121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</row>
    <row r="87" spans="1:25" ht="15.75" x14ac:dyDescent="0.2">
      <c r="A87" s="22" t="s">
        <v>33</v>
      </c>
      <c r="B87" s="22"/>
      <c r="C87" s="22"/>
      <c r="D87" s="22"/>
      <c r="E87" s="22"/>
      <c r="F87" s="22"/>
      <c r="G87" s="31"/>
      <c r="H87" s="31"/>
      <c r="I87" s="31"/>
      <c r="J87" s="31"/>
      <c r="K87" s="31"/>
      <c r="N87" s="133"/>
      <c r="O87" s="133"/>
      <c r="P87" s="133"/>
      <c r="Q87" s="133"/>
      <c r="R87" s="133"/>
      <c r="S87" s="133"/>
      <c r="T87" s="133"/>
      <c r="U87" s="133"/>
      <c r="V87" s="133"/>
      <c r="W87" s="133"/>
      <c r="X87" s="133"/>
    </row>
    <row r="88" spans="1:25" ht="25.5" x14ac:dyDescent="0.2">
      <c r="A88" s="73" t="s">
        <v>9</v>
      </c>
      <c r="B88" s="3">
        <v>2007</v>
      </c>
      <c r="C88" s="3">
        <v>2008</v>
      </c>
      <c r="D88" s="3">
        <v>2009</v>
      </c>
      <c r="E88" s="3">
        <v>2010</v>
      </c>
      <c r="F88" s="3">
        <v>2011</v>
      </c>
      <c r="G88" s="3">
        <v>2012</v>
      </c>
      <c r="H88" s="3">
        <v>2013</v>
      </c>
      <c r="I88" s="3">
        <v>2014</v>
      </c>
      <c r="J88" s="3">
        <v>2015</v>
      </c>
      <c r="K88" s="3">
        <v>2016</v>
      </c>
      <c r="L88" s="3">
        <v>2017</v>
      </c>
      <c r="M88" s="3">
        <v>2018</v>
      </c>
      <c r="N88" s="3">
        <v>2019</v>
      </c>
      <c r="O88" s="3">
        <v>2020</v>
      </c>
      <c r="P88" s="3">
        <v>2021</v>
      </c>
      <c r="Q88" s="3">
        <v>2022</v>
      </c>
      <c r="R88" s="3">
        <v>2023</v>
      </c>
      <c r="S88" s="3">
        <v>2024</v>
      </c>
      <c r="T88" s="12" t="s">
        <v>368</v>
      </c>
      <c r="U88" s="12" t="s">
        <v>369</v>
      </c>
      <c r="V88" s="12" t="s">
        <v>370</v>
      </c>
      <c r="W88" s="12" t="s">
        <v>372</v>
      </c>
      <c r="X88" s="169" t="s">
        <v>494</v>
      </c>
    </row>
    <row r="89" spans="1:25" x14ac:dyDescent="0.2">
      <c r="A89" s="4" t="s">
        <v>224</v>
      </c>
      <c r="B89" s="4">
        <v>1777</v>
      </c>
      <c r="C89" s="4">
        <v>1848</v>
      </c>
      <c r="D89" s="4">
        <v>1938</v>
      </c>
      <c r="E89" s="4">
        <v>1866</v>
      </c>
      <c r="F89" s="4">
        <v>2077</v>
      </c>
      <c r="G89" s="15">
        <v>2070</v>
      </c>
      <c r="H89" s="15">
        <v>2365</v>
      </c>
      <c r="I89" s="15">
        <v>2759</v>
      </c>
      <c r="J89" s="15">
        <v>2574</v>
      </c>
      <c r="K89" s="15">
        <v>2517</v>
      </c>
      <c r="L89" s="15">
        <v>2822</v>
      </c>
      <c r="M89" s="4">
        <v>3176</v>
      </c>
      <c r="N89" s="4">
        <v>3046</v>
      </c>
      <c r="O89" s="4">
        <v>2507</v>
      </c>
      <c r="P89" s="4">
        <v>3646</v>
      </c>
      <c r="Q89" s="4">
        <v>3123</v>
      </c>
      <c r="R89" s="4">
        <v>3490</v>
      </c>
      <c r="S89" s="4">
        <v>3238</v>
      </c>
      <c r="T89" s="88">
        <f t="shared" ref="T89:T105" si="26">(S89-J89)/J89</f>
        <v>0.25796425796425798</v>
      </c>
      <c r="U89" s="88">
        <f t="shared" ref="U89:U105" si="27">(S89-O89)/O89</f>
        <v>0.29158356601515756</v>
      </c>
      <c r="V89" s="88">
        <f t="shared" ref="V89:V105" si="28">(S89-R89)/R89</f>
        <v>-7.2206303724928367E-2</v>
      </c>
      <c r="W89" s="90">
        <f t="shared" ref="W89:W105" si="29">S89/S$9</f>
        <v>1.0695929072579047E-2</v>
      </c>
      <c r="X89" s="52">
        <f t="shared" ref="X89:X105" si="30">S89-R89</f>
        <v>-252</v>
      </c>
    </row>
    <row r="90" spans="1:25" x14ac:dyDescent="0.2">
      <c r="A90" s="4" t="s">
        <v>225</v>
      </c>
      <c r="B90" s="4">
        <v>1135</v>
      </c>
      <c r="C90" s="4">
        <v>1492</v>
      </c>
      <c r="D90" s="4">
        <v>1411</v>
      </c>
      <c r="E90" s="4">
        <v>1311</v>
      </c>
      <c r="F90" s="4">
        <v>1536</v>
      </c>
      <c r="G90" s="15">
        <v>1598</v>
      </c>
      <c r="H90" s="15">
        <v>1940</v>
      </c>
      <c r="I90" s="15">
        <v>2211</v>
      </c>
      <c r="J90" s="15">
        <v>2553</v>
      </c>
      <c r="K90" s="15">
        <v>2582</v>
      </c>
      <c r="L90" s="15">
        <v>3044</v>
      </c>
      <c r="M90" s="4">
        <v>3598</v>
      </c>
      <c r="N90" s="4">
        <v>3093</v>
      </c>
      <c r="O90" s="4">
        <v>2708</v>
      </c>
      <c r="P90" s="4">
        <v>4381</v>
      </c>
      <c r="Q90" s="4">
        <v>3821</v>
      </c>
      <c r="R90" s="4">
        <v>3866</v>
      </c>
      <c r="S90" s="4">
        <v>3412</v>
      </c>
      <c r="T90" s="88">
        <f t="shared" si="26"/>
        <v>0.336466901684293</v>
      </c>
      <c r="U90" s="88">
        <f t="shared" si="27"/>
        <v>0.25997045790251105</v>
      </c>
      <c r="V90" s="88">
        <f t="shared" si="28"/>
        <v>-0.11743404035178479</v>
      </c>
      <c r="W90" s="90">
        <f t="shared" si="29"/>
        <v>1.1270694872032028E-2</v>
      </c>
      <c r="X90" s="52">
        <f t="shared" si="30"/>
        <v>-454</v>
      </c>
    </row>
    <row r="91" spans="1:25" x14ac:dyDescent="0.2">
      <c r="A91" s="4" t="s">
        <v>226</v>
      </c>
      <c r="B91" s="4">
        <v>3672</v>
      </c>
      <c r="C91" s="4">
        <v>3788</v>
      </c>
      <c r="D91" s="4">
        <v>4373</v>
      </c>
      <c r="E91" s="4">
        <v>4202</v>
      </c>
      <c r="F91" s="4">
        <v>4402</v>
      </c>
      <c r="G91" s="15">
        <v>5209</v>
      </c>
      <c r="H91" s="15">
        <v>6149</v>
      </c>
      <c r="I91" s="15">
        <v>6636</v>
      </c>
      <c r="J91" s="15">
        <v>8271</v>
      </c>
      <c r="K91" s="15">
        <v>7604</v>
      </c>
      <c r="L91" s="15">
        <v>7247</v>
      </c>
      <c r="M91" s="4">
        <v>7641</v>
      </c>
      <c r="N91" s="4">
        <v>7155</v>
      </c>
      <c r="O91" s="4">
        <v>5937</v>
      </c>
      <c r="P91" s="4">
        <v>7480</v>
      </c>
      <c r="Q91" s="4">
        <v>7928</v>
      </c>
      <c r="R91" s="4">
        <v>8209</v>
      </c>
      <c r="S91" s="4">
        <v>7259</v>
      </c>
      <c r="T91" s="88">
        <f t="shared" si="26"/>
        <v>-0.12235521702333454</v>
      </c>
      <c r="U91" s="88">
        <f t="shared" si="27"/>
        <v>0.22267138285329291</v>
      </c>
      <c r="V91" s="88">
        <f t="shared" si="28"/>
        <v>-0.11572664149104642</v>
      </c>
      <c r="W91" s="90">
        <f t="shared" si="29"/>
        <v>2.3978304242696511E-2</v>
      </c>
      <c r="X91" s="52">
        <f t="shared" si="30"/>
        <v>-950</v>
      </c>
    </row>
    <row r="92" spans="1:25" x14ac:dyDescent="0.2">
      <c r="A92" s="4" t="s">
        <v>227</v>
      </c>
      <c r="B92" s="4">
        <v>661</v>
      </c>
      <c r="C92" s="4">
        <v>743</v>
      </c>
      <c r="D92" s="4">
        <v>942</v>
      </c>
      <c r="E92" s="4">
        <v>1074</v>
      </c>
      <c r="F92" s="4">
        <v>831</v>
      </c>
      <c r="G92" s="15">
        <v>1064</v>
      </c>
      <c r="H92" s="15">
        <v>1178</v>
      </c>
      <c r="I92" s="15">
        <v>1362</v>
      </c>
      <c r="J92" s="15">
        <v>1587</v>
      </c>
      <c r="K92" s="15">
        <v>1924</v>
      </c>
      <c r="L92" s="15">
        <v>1992</v>
      </c>
      <c r="M92" s="4">
        <v>1880</v>
      </c>
      <c r="N92" s="4">
        <v>2121</v>
      </c>
      <c r="O92" s="4">
        <v>1894</v>
      </c>
      <c r="P92" s="4">
        <v>2641</v>
      </c>
      <c r="Q92" s="4">
        <v>2800</v>
      </c>
      <c r="R92" s="4">
        <v>2543</v>
      </c>
      <c r="S92" s="4">
        <v>2679</v>
      </c>
      <c r="T92" s="88">
        <f t="shared" si="26"/>
        <v>0.68809073724007563</v>
      </c>
      <c r="U92" s="88">
        <f t="shared" si="27"/>
        <v>0.41446673706441395</v>
      </c>
      <c r="V92" s="88">
        <f t="shared" si="28"/>
        <v>5.3480141565080616E-2</v>
      </c>
      <c r="W92" s="90">
        <f t="shared" si="29"/>
        <v>8.8494113605433189E-3</v>
      </c>
      <c r="X92" s="52">
        <f t="shared" si="30"/>
        <v>136</v>
      </c>
    </row>
    <row r="93" spans="1:25" x14ac:dyDescent="0.2">
      <c r="A93" s="4" t="s">
        <v>228</v>
      </c>
      <c r="B93" s="4">
        <v>3166</v>
      </c>
      <c r="C93" s="4">
        <v>4253</v>
      </c>
      <c r="D93" s="4">
        <v>3763</v>
      </c>
      <c r="E93" s="4">
        <v>3387</v>
      </c>
      <c r="F93" s="4">
        <v>3661</v>
      </c>
      <c r="G93" s="15">
        <v>4491</v>
      </c>
      <c r="H93" s="15">
        <v>6150</v>
      </c>
      <c r="I93" s="15">
        <v>6138</v>
      </c>
      <c r="J93" s="15">
        <v>6493</v>
      </c>
      <c r="K93" s="15">
        <v>7040</v>
      </c>
      <c r="L93" s="15">
        <v>7564</v>
      </c>
      <c r="M93" s="4">
        <v>8290</v>
      </c>
      <c r="N93" s="4">
        <v>8483</v>
      </c>
      <c r="O93" s="4">
        <v>5889</v>
      </c>
      <c r="P93" s="4">
        <v>9960</v>
      </c>
      <c r="Q93" s="4">
        <v>9358</v>
      </c>
      <c r="R93" s="4">
        <v>9839</v>
      </c>
      <c r="S93" s="4">
        <v>10089</v>
      </c>
      <c r="T93" s="88">
        <f t="shared" si="26"/>
        <v>0.55382719852148465</v>
      </c>
      <c r="U93" s="88">
        <f t="shared" si="27"/>
        <v>0.71319409067753436</v>
      </c>
      <c r="V93" s="88">
        <f t="shared" si="28"/>
        <v>2.5409086289257039E-2</v>
      </c>
      <c r="W93" s="90">
        <f t="shared" si="29"/>
        <v>3.3326506613109944E-2</v>
      </c>
      <c r="X93" s="52">
        <f t="shared" si="30"/>
        <v>250</v>
      </c>
    </row>
    <row r="94" spans="1:25" x14ac:dyDescent="0.2">
      <c r="A94" s="4" t="s">
        <v>229</v>
      </c>
      <c r="B94" s="4">
        <v>11186</v>
      </c>
      <c r="C94" s="4">
        <v>12413</v>
      </c>
      <c r="D94" s="4">
        <v>13896</v>
      </c>
      <c r="E94" s="4">
        <v>12558</v>
      </c>
      <c r="F94" s="4">
        <v>14071</v>
      </c>
      <c r="G94" s="15">
        <v>17577</v>
      </c>
      <c r="H94" s="15">
        <v>19038</v>
      </c>
      <c r="I94" s="15">
        <v>21112</v>
      </c>
      <c r="J94" s="15">
        <v>22756</v>
      </c>
      <c r="K94" s="15">
        <v>23656</v>
      </c>
      <c r="L94" s="15">
        <v>24949</v>
      </c>
      <c r="M94" s="4">
        <v>24120</v>
      </c>
      <c r="N94" s="4">
        <v>23177</v>
      </c>
      <c r="O94" s="4">
        <v>19027</v>
      </c>
      <c r="P94" s="4">
        <v>25261</v>
      </c>
      <c r="Q94" s="4">
        <v>26304</v>
      </c>
      <c r="R94" s="4">
        <v>25702</v>
      </c>
      <c r="S94" s="4">
        <v>24919</v>
      </c>
      <c r="T94" s="88">
        <f t="shared" si="26"/>
        <v>9.5051854455967658E-2</v>
      </c>
      <c r="U94" s="88">
        <f t="shared" si="27"/>
        <v>0.30966521259263152</v>
      </c>
      <c r="V94" s="88">
        <f t="shared" si="28"/>
        <v>-3.0464555287526264E-2</v>
      </c>
      <c r="W94" s="90">
        <f t="shared" si="29"/>
        <v>8.2313729635453137E-2</v>
      </c>
      <c r="X94" s="52">
        <f t="shared" si="30"/>
        <v>-783</v>
      </c>
    </row>
    <row r="95" spans="1:25" x14ac:dyDescent="0.2">
      <c r="A95" s="27" t="s">
        <v>239</v>
      </c>
      <c r="B95" s="27">
        <v>48276</v>
      </c>
      <c r="C95" s="27">
        <v>54003</v>
      </c>
      <c r="D95" s="27">
        <v>60191</v>
      </c>
      <c r="E95" s="27">
        <v>61307</v>
      </c>
      <c r="F95" s="27">
        <v>70401</v>
      </c>
      <c r="G95" s="15">
        <v>78121</v>
      </c>
      <c r="H95" s="15">
        <v>91385</v>
      </c>
      <c r="I95" s="15">
        <v>97371</v>
      </c>
      <c r="J95" s="15">
        <v>105397</v>
      </c>
      <c r="K95" s="15">
        <v>113223</v>
      </c>
      <c r="L95" s="15">
        <v>122259</v>
      </c>
      <c r="M95" s="27">
        <v>125883</v>
      </c>
      <c r="N95" s="27">
        <v>127430</v>
      </c>
      <c r="O95" s="27">
        <v>110474</v>
      </c>
      <c r="P95" s="27">
        <v>148765</v>
      </c>
      <c r="Q95" s="27">
        <v>158532</v>
      </c>
      <c r="R95" s="27">
        <v>166547</v>
      </c>
      <c r="S95" s="27">
        <v>171351</v>
      </c>
      <c r="T95" s="88">
        <f t="shared" si="26"/>
        <v>0.6257673368312191</v>
      </c>
      <c r="U95" s="88">
        <f t="shared" si="27"/>
        <v>0.55105273639046293</v>
      </c>
      <c r="V95" s="88">
        <f t="shared" si="28"/>
        <v>2.8844710502140537E-2</v>
      </c>
      <c r="W95" s="90">
        <f t="shared" si="29"/>
        <v>0.56601548564406801</v>
      </c>
      <c r="X95" s="52">
        <f t="shared" si="30"/>
        <v>4804</v>
      </c>
    </row>
    <row r="96" spans="1:25" x14ac:dyDescent="0.2">
      <c r="A96" s="27" t="s">
        <v>260</v>
      </c>
      <c r="B96" s="4">
        <v>1782</v>
      </c>
      <c r="C96" s="4">
        <v>2307</v>
      </c>
      <c r="D96" s="4">
        <v>2363</v>
      </c>
      <c r="E96" s="4">
        <v>2332</v>
      </c>
      <c r="F96" s="4">
        <v>3387</v>
      </c>
      <c r="G96" s="15">
        <v>3848</v>
      </c>
      <c r="H96" s="15">
        <v>4639</v>
      </c>
      <c r="I96" s="15">
        <v>5238</v>
      </c>
      <c r="J96" s="15">
        <v>6444</v>
      </c>
      <c r="K96" s="15">
        <v>7181</v>
      </c>
      <c r="L96" s="15">
        <v>6781</v>
      </c>
      <c r="M96" s="4">
        <v>6537</v>
      </c>
      <c r="N96" s="4">
        <v>6317</v>
      </c>
      <c r="O96" s="4">
        <v>4750</v>
      </c>
      <c r="P96" s="4">
        <v>5820</v>
      </c>
      <c r="Q96" s="4">
        <v>5701</v>
      </c>
      <c r="R96" s="4">
        <v>5359</v>
      </c>
      <c r="S96" s="4">
        <v>5560</v>
      </c>
      <c r="T96" s="88">
        <f t="shared" si="26"/>
        <v>-0.1371818746120422</v>
      </c>
      <c r="U96" s="88">
        <f t="shared" si="27"/>
        <v>0.17052631578947369</v>
      </c>
      <c r="V96" s="88">
        <f t="shared" si="28"/>
        <v>3.7506997574174285E-2</v>
      </c>
      <c r="W96" s="90">
        <f t="shared" si="29"/>
        <v>1.8366079568727454E-2</v>
      </c>
      <c r="X96" s="52">
        <f t="shared" si="30"/>
        <v>201</v>
      </c>
    </row>
    <row r="97" spans="1:24" x14ac:dyDescent="0.2">
      <c r="A97" s="4" t="s">
        <v>230</v>
      </c>
      <c r="B97" s="4">
        <v>3179</v>
      </c>
      <c r="C97" s="4">
        <v>4428</v>
      </c>
      <c r="D97" s="4">
        <v>6242</v>
      </c>
      <c r="E97" s="4">
        <v>4359</v>
      </c>
      <c r="F97" s="4">
        <v>5155</v>
      </c>
      <c r="G97" s="15">
        <v>6668</v>
      </c>
      <c r="H97" s="15">
        <v>7555</v>
      </c>
      <c r="I97" s="15">
        <v>8308</v>
      </c>
      <c r="J97" s="15">
        <v>9216</v>
      </c>
      <c r="K97" s="15">
        <v>9955</v>
      </c>
      <c r="L97" s="15">
        <v>10250</v>
      </c>
      <c r="M97" s="4">
        <v>10513</v>
      </c>
      <c r="N97" s="4">
        <v>10143</v>
      </c>
      <c r="O97" s="4">
        <v>8311</v>
      </c>
      <c r="P97" s="4">
        <v>11615</v>
      </c>
      <c r="Q97" s="4">
        <v>12288</v>
      </c>
      <c r="R97" s="4">
        <v>11786</v>
      </c>
      <c r="S97" s="4">
        <v>11566</v>
      </c>
      <c r="T97" s="88">
        <f t="shared" si="26"/>
        <v>0.25499131944444442</v>
      </c>
      <c r="U97" s="88">
        <f t="shared" si="27"/>
        <v>0.39164962098423778</v>
      </c>
      <c r="V97" s="88">
        <f t="shared" si="28"/>
        <v>-1.8666214152384186E-2</v>
      </c>
      <c r="W97" s="90">
        <f t="shared" si="29"/>
        <v>3.8205409405018299E-2</v>
      </c>
      <c r="X97" s="52">
        <f t="shared" si="30"/>
        <v>-220</v>
      </c>
    </row>
    <row r="98" spans="1:24" x14ac:dyDescent="0.2">
      <c r="A98" s="4" t="s">
        <v>242</v>
      </c>
      <c r="B98" s="4">
        <v>1965</v>
      </c>
      <c r="C98" s="4">
        <v>2085</v>
      </c>
      <c r="D98" s="4">
        <v>2533</v>
      </c>
      <c r="E98" s="4">
        <v>2198</v>
      </c>
      <c r="F98" s="4">
        <v>3111</v>
      </c>
      <c r="G98" s="15">
        <v>3385</v>
      </c>
      <c r="H98" s="15">
        <v>4240</v>
      </c>
      <c r="I98" s="15">
        <v>4421</v>
      </c>
      <c r="J98" s="15">
        <v>4862</v>
      </c>
      <c r="K98" s="15">
        <v>5118</v>
      </c>
      <c r="L98" s="15">
        <v>5298</v>
      </c>
      <c r="M98" s="4">
        <v>5747</v>
      </c>
      <c r="N98" s="4">
        <v>4967</v>
      </c>
      <c r="O98" s="4">
        <v>3409</v>
      </c>
      <c r="P98" s="4">
        <v>5440</v>
      </c>
      <c r="Q98" s="4">
        <v>5228</v>
      </c>
      <c r="R98" s="4">
        <v>5326</v>
      </c>
      <c r="S98" s="4">
        <v>4777</v>
      </c>
      <c r="T98" s="88">
        <f t="shared" si="26"/>
        <v>-1.7482517482517484E-2</v>
      </c>
      <c r="U98" s="88">
        <f t="shared" si="27"/>
        <v>0.4012907010853623</v>
      </c>
      <c r="V98" s="88">
        <f t="shared" si="28"/>
        <v>-0.10307923394667667</v>
      </c>
      <c r="W98" s="90">
        <f t="shared" si="29"/>
        <v>1.5779633471189037E-2</v>
      </c>
      <c r="X98" s="52">
        <f t="shared" si="30"/>
        <v>-549</v>
      </c>
    </row>
    <row r="99" spans="1:24" x14ac:dyDescent="0.2">
      <c r="A99" s="4" t="s">
        <v>231</v>
      </c>
      <c r="B99" s="4">
        <v>10948</v>
      </c>
      <c r="C99" s="4">
        <v>13052</v>
      </c>
      <c r="D99" s="4">
        <v>12876</v>
      </c>
      <c r="E99" s="4">
        <v>12328</v>
      </c>
      <c r="F99" s="4">
        <v>14551</v>
      </c>
      <c r="G99" s="15">
        <v>16809</v>
      </c>
      <c r="H99" s="15">
        <v>20458</v>
      </c>
      <c r="I99" s="15">
        <v>22231</v>
      </c>
      <c r="J99" s="15">
        <v>24423</v>
      </c>
      <c r="K99" s="15">
        <v>25132</v>
      </c>
      <c r="L99" s="15">
        <v>26145</v>
      </c>
      <c r="M99" s="4">
        <v>26858</v>
      </c>
      <c r="N99" s="4">
        <v>25789</v>
      </c>
      <c r="O99" s="4">
        <v>19967</v>
      </c>
      <c r="P99" s="4">
        <v>28228</v>
      </c>
      <c r="Q99" s="4">
        <v>26958</v>
      </c>
      <c r="R99" s="4">
        <v>27867</v>
      </c>
      <c r="S99" s="4">
        <v>25817</v>
      </c>
      <c r="T99" s="88">
        <f t="shared" si="26"/>
        <v>5.7077345125496455E-2</v>
      </c>
      <c r="U99" s="88">
        <f t="shared" si="27"/>
        <v>0.29298342264736815</v>
      </c>
      <c r="V99" s="88">
        <f t="shared" si="28"/>
        <v>-7.3563713352711085E-2</v>
      </c>
      <c r="W99" s="90">
        <f t="shared" si="29"/>
        <v>8.5280049680905884E-2</v>
      </c>
      <c r="X99" s="52">
        <f t="shared" si="30"/>
        <v>-2050</v>
      </c>
    </row>
    <row r="100" spans="1:24" x14ac:dyDescent="0.2">
      <c r="A100" s="4" t="s">
        <v>232</v>
      </c>
      <c r="B100" s="4">
        <v>4821</v>
      </c>
      <c r="C100" s="4">
        <v>5810</v>
      </c>
      <c r="D100" s="4">
        <v>5888</v>
      </c>
      <c r="E100" s="4">
        <v>5915</v>
      </c>
      <c r="F100" s="4">
        <v>6359</v>
      </c>
      <c r="G100" s="15">
        <v>6816</v>
      </c>
      <c r="H100" s="15">
        <v>7755</v>
      </c>
      <c r="I100" s="15">
        <v>9368</v>
      </c>
      <c r="J100" s="15">
        <v>10367</v>
      </c>
      <c r="K100" s="15">
        <v>11539</v>
      </c>
      <c r="L100" s="15">
        <v>10990</v>
      </c>
      <c r="M100" s="4">
        <v>11265</v>
      </c>
      <c r="N100" s="4">
        <v>11216</v>
      </c>
      <c r="O100" s="4">
        <v>7772</v>
      </c>
      <c r="P100" s="4">
        <v>12847</v>
      </c>
      <c r="Q100" s="4">
        <v>14399</v>
      </c>
      <c r="R100" s="4">
        <v>13997</v>
      </c>
      <c r="S100" s="4">
        <v>16805</v>
      </c>
      <c r="T100" s="88">
        <f t="shared" si="26"/>
        <v>0.62100897077264394</v>
      </c>
      <c r="U100" s="88">
        <f t="shared" si="27"/>
        <v>1.1622490993309316</v>
      </c>
      <c r="V100" s="88">
        <f t="shared" si="28"/>
        <v>0.20061441737515182</v>
      </c>
      <c r="W100" s="90">
        <f t="shared" si="29"/>
        <v>5.5511145171306633E-2</v>
      </c>
      <c r="X100" s="52">
        <f t="shared" si="30"/>
        <v>2808</v>
      </c>
    </row>
    <row r="101" spans="1:24" x14ac:dyDescent="0.2">
      <c r="A101" s="4" t="s">
        <v>233</v>
      </c>
      <c r="B101" s="4">
        <v>1757</v>
      </c>
      <c r="C101" s="4">
        <v>1800</v>
      </c>
      <c r="D101" s="4">
        <v>2310</v>
      </c>
      <c r="E101" s="4">
        <v>1846</v>
      </c>
      <c r="F101" s="4">
        <v>2329</v>
      </c>
      <c r="G101" s="15">
        <v>2267</v>
      </c>
      <c r="H101" s="15">
        <v>2770</v>
      </c>
      <c r="I101" s="15">
        <v>3078</v>
      </c>
      <c r="J101" s="15">
        <v>3312</v>
      </c>
      <c r="K101" s="15">
        <v>3508</v>
      </c>
      <c r="L101" s="15">
        <v>3842</v>
      </c>
      <c r="M101" s="4">
        <v>3772</v>
      </c>
      <c r="N101" s="4">
        <v>4086</v>
      </c>
      <c r="O101" s="4">
        <v>3000</v>
      </c>
      <c r="P101" s="4">
        <v>4754</v>
      </c>
      <c r="Q101" s="4">
        <v>4859</v>
      </c>
      <c r="R101" s="4">
        <v>4782</v>
      </c>
      <c r="S101" s="4">
        <v>5098</v>
      </c>
      <c r="T101" s="88">
        <f t="shared" si="26"/>
        <v>0.53925120772946855</v>
      </c>
      <c r="U101" s="88">
        <f t="shared" si="27"/>
        <v>0.69933333333333336</v>
      </c>
      <c r="V101" s="88">
        <f t="shared" si="28"/>
        <v>6.6081137599330819E-2</v>
      </c>
      <c r="W101" s="90">
        <f t="shared" si="29"/>
        <v>1.6839977273628161E-2</v>
      </c>
      <c r="X101" s="52">
        <f t="shared" si="30"/>
        <v>316</v>
      </c>
    </row>
    <row r="102" spans="1:24" x14ac:dyDescent="0.2">
      <c r="A102" s="4" t="s">
        <v>234</v>
      </c>
      <c r="B102" s="4">
        <v>2306</v>
      </c>
      <c r="C102" s="4">
        <v>2797</v>
      </c>
      <c r="D102" s="4">
        <v>3477</v>
      </c>
      <c r="E102" s="4">
        <v>3335</v>
      </c>
      <c r="F102" s="4">
        <v>3855</v>
      </c>
      <c r="G102" s="15">
        <v>4849</v>
      </c>
      <c r="H102" s="15">
        <v>5114</v>
      </c>
      <c r="I102" s="15">
        <v>5657</v>
      </c>
      <c r="J102" s="15">
        <v>6505</v>
      </c>
      <c r="K102" s="15">
        <v>7843</v>
      </c>
      <c r="L102" s="15">
        <v>8708</v>
      </c>
      <c r="M102" s="4">
        <v>8892</v>
      </c>
      <c r="N102" s="4">
        <v>7891</v>
      </c>
      <c r="O102" s="4">
        <v>6549</v>
      </c>
      <c r="P102" s="4">
        <v>8686</v>
      </c>
      <c r="Q102" s="4">
        <v>8033</v>
      </c>
      <c r="R102" s="4">
        <v>8742</v>
      </c>
      <c r="S102" s="4">
        <v>8402</v>
      </c>
      <c r="T102" s="88">
        <f t="shared" si="26"/>
        <v>0.29162182936202918</v>
      </c>
      <c r="U102" s="88">
        <f t="shared" si="27"/>
        <v>0.28294396091006263</v>
      </c>
      <c r="V102" s="88">
        <f t="shared" si="28"/>
        <v>-3.8892701898878973E-2</v>
      </c>
      <c r="W102" s="90">
        <f t="shared" si="29"/>
        <v>2.775392095979282E-2</v>
      </c>
      <c r="X102" s="52">
        <f t="shared" si="30"/>
        <v>-340</v>
      </c>
    </row>
    <row r="103" spans="1:24" x14ac:dyDescent="0.2">
      <c r="A103" s="4" t="s">
        <v>235</v>
      </c>
      <c r="B103" s="4">
        <v>208</v>
      </c>
      <c r="C103" s="4">
        <v>146</v>
      </c>
      <c r="D103" s="4">
        <v>202</v>
      </c>
      <c r="E103" s="4">
        <v>267</v>
      </c>
      <c r="F103" s="4">
        <v>228</v>
      </c>
      <c r="G103" s="15">
        <v>177</v>
      </c>
      <c r="H103" s="15">
        <v>215</v>
      </c>
      <c r="I103" s="15">
        <v>410</v>
      </c>
      <c r="J103" s="15">
        <v>404</v>
      </c>
      <c r="K103" s="15">
        <v>458</v>
      </c>
      <c r="L103" s="15">
        <v>568</v>
      </c>
      <c r="M103" s="4">
        <v>587</v>
      </c>
      <c r="N103" s="4">
        <v>523</v>
      </c>
      <c r="O103" s="4">
        <v>501</v>
      </c>
      <c r="P103" s="4">
        <v>585</v>
      </c>
      <c r="Q103" s="4">
        <v>529</v>
      </c>
      <c r="R103" s="4">
        <v>423</v>
      </c>
      <c r="S103" s="4">
        <v>432</v>
      </c>
      <c r="T103" s="88">
        <f t="shared" si="26"/>
        <v>6.9306930693069313E-2</v>
      </c>
      <c r="U103" s="88">
        <f t="shared" si="27"/>
        <v>-0.1377245508982036</v>
      </c>
      <c r="V103" s="88">
        <f t="shared" si="28"/>
        <v>2.1276595744680851E-2</v>
      </c>
      <c r="W103" s="90">
        <f t="shared" si="29"/>
        <v>1.4270047434694713E-3</v>
      </c>
      <c r="X103" s="52">
        <f t="shared" si="30"/>
        <v>9</v>
      </c>
    </row>
    <row r="104" spans="1:24" x14ac:dyDescent="0.2">
      <c r="A104" s="4" t="s">
        <v>236</v>
      </c>
      <c r="B104" s="4">
        <v>785</v>
      </c>
      <c r="C104" s="4">
        <v>948</v>
      </c>
      <c r="D104" s="4">
        <v>1114</v>
      </c>
      <c r="E104" s="4">
        <v>820</v>
      </c>
      <c r="F104" s="4">
        <v>1119</v>
      </c>
      <c r="G104" s="15">
        <v>1051</v>
      </c>
      <c r="H104" s="15">
        <v>1228</v>
      </c>
      <c r="I104" s="15">
        <v>1258</v>
      </c>
      <c r="J104" s="15">
        <v>1423</v>
      </c>
      <c r="K104" s="15">
        <v>1226</v>
      </c>
      <c r="L104" s="15">
        <v>1547</v>
      </c>
      <c r="M104" s="4">
        <v>1590</v>
      </c>
      <c r="N104" s="4">
        <v>1182</v>
      </c>
      <c r="O104" s="4">
        <v>902</v>
      </c>
      <c r="P104" s="4">
        <v>1380</v>
      </c>
      <c r="Q104" s="4">
        <v>1592</v>
      </c>
      <c r="R104" s="4">
        <v>1321</v>
      </c>
      <c r="S104" s="4">
        <v>1328</v>
      </c>
      <c r="T104" s="88">
        <f t="shared" si="26"/>
        <v>-6.6760365425158119E-2</v>
      </c>
      <c r="U104" s="88">
        <f t="shared" si="27"/>
        <v>0.47228381374722839</v>
      </c>
      <c r="V104" s="88">
        <f t="shared" si="28"/>
        <v>5.2990158970476911E-3</v>
      </c>
      <c r="W104" s="90">
        <f t="shared" si="29"/>
        <v>4.3867182854802267E-3</v>
      </c>
      <c r="X104" s="52">
        <f t="shared" si="30"/>
        <v>7</v>
      </c>
    </row>
    <row r="105" spans="1:24" x14ac:dyDescent="0.2">
      <c r="A105" s="5" t="s">
        <v>4</v>
      </c>
      <c r="B105" s="5">
        <v>97624</v>
      </c>
      <c r="C105" s="5">
        <v>111913</v>
      </c>
      <c r="D105" s="5">
        <v>123519</v>
      </c>
      <c r="E105" s="5">
        <v>119105</v>
      </c>
      <c r="F105" s="5">
        <v>137073</v>
      </c>
      <c r="G105" s="5">
        <v>156000</v>
      </c>
      <c r="H105" s="5">
        <v>182179</v>
      </c>
      <c r="I105" s="5">
        <v>197558</v>
      </c>
      <c r="J105" s="5">
        <v>216587</v>
      </c>
      <c r="K105" s="5">
        <v>230506</v>
      </c>
      <c r="L105" s="5">
        <v>244006</v>
      </c>
      <c r="M105" s="5">
        <v>250349</v>
      </c>
      <c r="N105" s="5">
        <v>246619</v>
      </c>
      <c r="O105" s="5">
        <v>203597</v>
      </c>
      <c r="P105" s="5">
        <v>281489</v>
      </c>
      <c r="Q105" s="5">
        <v>291453</v>
      </c>
      <c r="R105" s="5">
        <v>299799</v>
      </c>
      <c r="S105" s="5">
        <v>302732</v>
      </c>
      <c r="T105" s="89">
        <f t="shared" si="26"/>
        <v>0.39773855309875478</v>
      </c>
      <c r="U105" s="89">
        <f t="shared" si="27"/>
        <v>0.48691778366085942</v>
      </c>
      <c r="V105" s="89">
        <f t="shared" si="28"/>
        <v>9.7832214250214312E-3</v>
      </c>
      <c r="W105" s="91">
        <f t="shared" si="29"/>
        <v>1</v>
      </c>
      <c r="X105" s="52">
        <f t="shared" si="30"/>
        <v>2933</v>
      </c>
    </row>
    <row r="107" spans="1:24" ht="15.75" x14ac:dyDescent="0.2">
      <c r="A107" s="22" t="s">
        <v>502</v>
      </c>
      <c r="B107" s="22"/>
      <c r="C107" s="22"/>
      <c r="D107" s="22"/>
      <c r="E107" s="22"/>
      <c r="F107" s="22"/>
      <c r="G107" s="31"/>
      <c r="H107" s="31"/>
      <c r="I107" s="31"/>
      <c r="J107" s="31"/>
      <c r="K107" s="31"/>
      <c r="N107" s="133"/>
      <c r="O107" s="133"/>
      <c r="P107" s="133"/>
      <c r="Q107" s="133"/>
      <c r="R107" s="133"/>
      <c r="S107" s="133"/>
      <c r="T107" s="133"/>
      <c r="U107" s="133"/>
      <c r="V107" s="133"/>
      <c r="W107" s="133"/>
      <c r="X107" s="133"/>
    </row>
    <row r="108" spans="1:24" ht="25.5" x14ac:dyDescent="0.2">
      <c r="A108" s="73" t="s">
        <v>9</v>
      </c>
      <c r="B108" s="3">
        <v>2007</v>
      </c>
      <c r="C108" s="3">
        <v>2008</v>
      </c>
      <c r="D108" s="3">
        <v>2009</v>
      </c>
      <c r="E108" s="3">
        <v>2010</v>
      </c>
      <c r="F108" s="3">
        <v>2011</v>
      </c>
      <c r="G108" s="3">
        <v>2012</v>
      </c>
      <c r="H108" s="3">
        <v>2013</v>
      </c>
      <c r="I108" s="3">
        <v>2014</v>
      </c>
      <c r="J108" s="3">
        <v>2015</v>
      </c>
      <c r="K108" s="3">
        <v>2016</v>
      </c>
      <c r="L108" s="3">
        <v>2017</v>
      </c>
      <c r="M108" s="3">
        <v>2018</v>
      </c>
      <c r="N108" s="3">
        <v>2019</v>
      </c>
      <c r="O108" s="3">
        <v>2020</v>
      </c>
      <c r="P108" s="3">
        <v>2021</v>
      </c>
      <c r="Q108" s="3">
        <v>2022</v>
      </c>
      <c r="R108" s="3">
        <v>2023</v>
      </c>
      <c r="S108" s="3">
        <v>2024</v>
      </c>
      <c r="T108" s="12" t="s">
        <v>368</v>
      </c>
      <c r="U108" s="12" t="s">
        <v>369</v>
      </c>
      <c r="V108" s="12" t="s">
        <v>370</v>
      </c>
      <c r="W108" s="12" t="s">
        <v>372</v>
      </c>
      <c r="X108" s="169" t="s">
        <v>494</v>
      </c>
    </row>
    <row r="109" spans="1:24" x14ac:dyDescent="0.2">
      <c r="A109" s="4" t="s">
        <v>224</v>
      </c>
      <c r="B109" s="4">
        <v>1777</v>
      </c>
      <c r="C109" s="4">
        <v>1848</v>
      </c>
      <c r="D109" s="4">
        <v>1937</v>
      </c>
      <c r="E109" s="4">
        <v>1856</v>
      </c>
      <c r="F109" s="4">
        <v>2075</v>
      </c>
      <c r="G109" s="15">
        <v>2070</v>
      </c>
      <c r="H109" s="15">
        <v>2364</v>
      </c>
      <c r="I109" s="15">
        <v>2759</v>
      </c>
      <c r="J109" s="15">
        <v>2574</v>
      </c>
      <c r="K109" s="15">
        <v>2517</v>
      </c>
      <c r="L109" s="15">
        <v>2822</v>
      </c>
      <c r="M109" s="4">
        <v>3176</v>
      </c>
      <c r="N109" s="4">
        <v>3046</v>
      </c>
      <c r="O109" s="4">
        <v>2507</v>
      </c>
      <c r="P109" s="4">
        <v>3646</v>
      </c>
      <c r="Q109" s="4">
        <v>3123</v>
      </c>
      <c r="R109" s="4">
        <v>3489</v>
      </c>
      <c r="S109" s="4">
        <v>3227</v>
      </c>
      <c r="T109" s="88">
        <f t="shared" ref="T109:T125" si="31">(S109-J109)/J109</f>
        <v>0.25369075369075367</v>
      </c>
      <c r="U109" s="88">
        <f t="shared" ref="U109:U125" si="32">(S109-O109)/O109</f>
        <v>0.28719585161547667</v>
      </c>
      <c r="V109" s="88">
        <f t="shared" ref="V109:V125" si="33">(S109-R109)/R109</f>
        <v>-7.5093149899684727E-2</v>
      </c>
      <c r="W109" s="90">
        <f>S109/S$125</f>
        <v>1.3630699697987286E-2</v>
      </c>
      <c r="X109" s="52">
        <f t="shared" ref="X109:X125" si="34">S109-R109</f>
        <v>-262</v>
      </c>
    </row>
    <row r="110" spans="1:24" x14ac:dyDescent="0.2">
      <c r="A110" s="4" t="s">
        <v>225</v>
      </c>
      <c r="B110" s="4">
        <v>1135</v>
      </c>
      <c r="C110" s="4">
        <v>1492</v>
      </c>
      <c r="D110" s="4">
        <v>1411</v>
      </c>
      <c r="E110" s="4">
        <v>1311</v>
      </c>
      <c r="F110" s="4">
        <v>1536</v>
      </c>
      <c r="G110" s="15">
        <v>1598</v>
      </c>
      <c r="H110" s="15">
        <v>1940</v>
      </c>
      <c r="I110" s="15">
        <v>2211</v>
      </c>
      <c r="J110" s="15">
        <v>2551</v>
      </c>
      <c r="K110" s="15">
        <v>2571</v>
      </c>
      <c r="L110" s="15">
        <v>3000</v>
      </c>
      <c r="M110" s="4">
        <v>3541</v>
      </c>
      <c r="N110" s="4">
        <v>3020</v>
      </c>
      <c r="O110" s="4">
        <v>2637</v>
      </c>
      <c r="P110" s="4">
        <v>4215</v>
      </c>
      <c r="Q110" s="4">
        <v>3750</v>
      </c>
      <c r="R110" s="4">
        <v>3827</v>
      </c>
      <c r="S110" s="4">
        <v>3363</v>
      </c>
      <c r="T110" s="88">
        <f t="shared" si="31"/>
        <v>0.31830654645237161</v>
      </c>
      <c r="U110" s="88">
        <f t="shared" si="32"/>
        <v>0.27531285551763368</v>
      </c>
      <c r="V110" s="88">
        <f t="shared" si="33"/>
        <v>-0.12124379409459106</v>
      </c>
      <c r="W110" s="90">
        <f t="shared" ref="W110:W125" si="35">S110/S$125</f>
        <v>1.4205157447886967E-2</v>
      </c>
      <c r="X110" s="52">
        <f t="shared" si="34"/>
        <v>-464</v>
      </c>
    </row>
    <row r="111" spans="1:24" x14ac:dyDescent="0.2">
      <c r="A111" s="4" t="s">
        <v>226</v>
      </c>
      <c r="B111" s="4">
        <v>3319</v>
      </c>
      <c r="C111" s="4">
        <v>3471</v>
      </c>
      <c r="D111" s="4">
        <v>3887</v>
      </c>
      <c r="E111" s="4">
        <v>3736</v>
      </c>
      <c r="F111" s="4">
        <v>3980</v>
      </c>
      <c r="G111" s="15">
        <v>4539</v>
      </c>
      <c r="H111" s="15">
        <v>5262</v>
      </c>
      <c r="I111" s="15">
        <v>5801</v>
      </c>
      <c r="J111" s="15">
        <v>6709</v>
      </c>
      <c r="K111" s="15">
        <v>6783</v>
      </c>
      <c r="L111" s="15">
        <v>6981</v>
      </c>
      <c r="M111" s="4">
        <v>7517</v>
      </c>
      <c r="N111" s="4">
        <v>7044</v>
      </c>
      <c r="O111" s="4">
        <v>5879</v>
      </c>
      <c r="P111" s="4">
        <v>7431</v>
      </c>
      <c r="Q111" s="4">
        <v>7840</v>
      </c>
      <c r="R111" s="4">
        <v>8171</v>
      </c>
      <c r="S111" s="4">
        <v>7157</v>
      </c>
      <c r="T111" s="88">
        <f t="shared" si="31"/>
        <v>6.6775972574154116E-2</v>
      </c>
      <c r="U111" s="88">
        <f t="shared" si="32"/>
        <v>0.21738390882803199</v>
      </c>
      <c r="V111" s="88">
        <f t="shared" si="33"/>
        <v>-0.12409741769673234</v>
      </c>
      <c r="W111" s="90">
        <f t="shared" si="35"/>
        <v>3.0230839088470716E-2</v>
      </c>
      <c r="X111" s="52">
        <f t="shared" si="34"/>
        <v>-1014</v>
      </c>
    </row>
    <row r="112" spans="1:24" x14ac:dyDescent="0.2">
      <c r="A112" s="4" t="s">
        <v>227</v>
      </c>
      <c r="B112" s="4">
        <v>661</v>
      </c>
      <c r="C112" s="4">
        <v>743</v>
      </c>
      <c r="D112" s="4">
        <v>942</v>
      </c>
      <c r="E112" s="4">
        <v>1074</v>
      </c>
      <c r="F112" s="4">
        <v>831</v>
      </c>
      <c r="G112" s="15">
        <v>1064</v>
      </c>
      <c r="H112" s="15">
        <v>1178</v>
      </c>
      <c r="I112" s="15">
        <v>1360</v>
      </c>
      <c r="J112" s="15">
        <v>1586</v>
      </c>
      <c r="K112" s="15">
        <v>1924</v>
      </c>
      <c r="L112" s="15">
        <v>1992</v>
      </c>
      <c r="M112" s="4">
        <v>1880</v>
      </c>
      <c r="N112" s="4">
        <v>2121</v>
      </c>
      <c r="O112" s="4">
        <v>1894</v>
      </c>
      <c r="P112" s="4">
        <v>2634</v>
      </c>
      <c r="Q112" s="4">
        <v>2770</v>
      </c>
      <c r="R112" s="4">
        <v>2468</v>
      </c>
      <c r="S112" s="4">
        <v>2638</v>
      </c>
      <c r="T112" s="88">
        <f t="shared" si="31"/>
        <v>0.6633039092055486</v>
      </c>
      <c r="U112" s="88">
        <f t="shared" si="32"/>
        <v>0.39281942977824708</v>
      </c>
      <c r="V112" s="88">
        <f t="shared" si="33"/>
        <v>6.8881685575364671E-2</v>
      </c>
      <c r="W112" s="90">
        <f t="shared" si="35"/>
        <v>1.1142790766436461E-2</v>
      </c>
      <c r="X112" s="52">
        <f t="shared" si="34"/>
        <v>170</v>
      </c>
    </row>
    <row r="113" spans="1:24" x14ac:dyDescent="0.2">
      <c r="A113" s="4" t="s">
        <v>228</v>
      </c>
      <c r="B113" s="4">
        <v>3166</v>
      </c>
      <c r="C113" s="4">
        <v>4253</v>
      </c>
      <c r="D113" s="4">
        <v>3763</v>
      </c>
      <c r="E113" s="4">
        <v>3387</v>
      </c>
      <c r="F113" s="4">
        <v>3660</v>
      </c>
      <c r="G113" s="15">
        <v>4488</v>
      </c>
      <c r="H113" s="15">
        <v>6149</v>
      </c>
      <c r="I113" s="15">
        <v>6135</v>
      </c>
      <c r="J113" s="15">
        <v>6491</v>
      </c>
      <c r="K113" s="15">
        <v>7034</v>
      </c>
      <c r="L113" s="15">
        <v>7547</v>
      </c>
      <c r="M113" s="4">
        <v>8256</v>
      </c>
      <c r="N113" s="4">
        <v>8416</v>
      </c>
      <c r="O113" s="4">
        <v>5833</v>
      </c>
      <c r="P113" s="4">
        <v>9912</v>
      </c>
      <c r="Q113" s="4">
        <v>9339</v>
      </c>
      <c r="R113" s="4">
        <v>9747</v>
      </c>
      <c r="S113" s="4">
        <v>10055</v>
      </c>
      <c r="T113" s="88">
        <f t="shared" si="31"/>
        <v>0.54906794022492678</v>
      </c>
      <c r="U113" s="88">
        <f t="shared" si="32"/>
        <v>0.7238127893022458</v>
      </c>
      <c r="V113" s="88">
        <f t="shared" si="33"/>
        <v>3.1599466502513593E-2</v>
      </c>
      <c r="W113" s="90">
        <f t="shared" si="35"/>
        <v>4.2471857906185982E-2</v>
      </c>
      <c r="X113" s="52">
        <f t="shared" si="34"/>
        <v>308</v>
      </c>
    </row>
    <row r="114" spans="1:24" x14ac:dyDescent="0.2">
      <c r="A114" s="4" t="s">
        <v>229</v>
      </c>
      <c r="B114" s="4">
        <v>10766</v>
      </c>
      <c r="C114" s="4">
        <v>12175</v>
      </c>
      <c r="D114" s="4">
        <v>13759</v>
      </c>
      <c r="E114" s="4">
        <v>12442</v>
      </c>
      <c r="F114" s="4">
        <v>14017</v>
      </c>
      <c r="G114" s="15">
        <v>17430</v>
      </c>
      <c r="H114" s="15">
        <v>18970</v>
      </c>
      <c r="I114" s="15">
        <v>21052</v>
      </c>
      <c r="J114" s="15">
        <v>22124</v>
      </c>
      <c r="K114" s="15">
        <v>22246</v>
      </c>
      <c r="L114" s="15">
        <v>24564</v>
      </c>
      <c r="M114" s="4">
        <v>23710</v>
      </c>
      <c r="N114" s="4">
        <v>22612</v>
      </c>
      <c r="O114" s="4">
        <v>18791</v>
      </c>
      <c r="P114" s="4">
        <v>24841</v>
      </c>
      <c r="Q114" s="4">
        <v>25815</v>
      </c>
      <c r="R114" s="4">
        <v>24948</v>
      </c>
      <c r="S114" s="4">
        <v>24082</v>
      </c>
      <c r="T114" s="88">
        <f t="shared" si="31"/>
        <v>8.8501175194359072E-2</v>
      </c>
      <c r="U114" s="88">
        <f t="shared" si="32"/>
        <v>0.28157096482358573</v>
      </c>
      <c r="V114" s="88">
        <f t="shared" si="33"/>
        <v>-3.4712201378868046E-2</v>
      </c>
      <c r="W114" s="90">
        <f t="shared" si="35"/>
        <v>0.10172126127267736</v>
      </c>
      <c r="X114" s="52">
        <f t="shared" si="34"/>
        <v>-866</v>
      </c>
    </row>
    <row r="115" spans="1:24" x14ac:dyDescent="0.2">
      <c r="A115" s="27" t="s">
        <v>239</v>
      </c>
      <c r="B115" s="27">
        <v>48168</v>
      </c>
      <c r="C115" s="27">
        <v>53778</v>
      </c>
      <c r="D115" s="27">
        <v>60093</v>
      </c>
      <c r="E115" s="27">
        <v>61111</v>
      </c>
      <c r="F115" s="27">
        <v>69886</v>
      </c>
      <c r="G115" s="15">
        <v>76999</v>
      </c>
      <c r="H115" s="15">
        <v>88229</v>
      </c>
      <c r="I115" s="15">
        <v>93926</v>
      </c>
      <c r="J115" s="15">
        <v>102130</v>
      </c>
      <c r="K115" s="15">
        <v>106214</v>
      </c>
      <c r="L115" s="15">
        <v>114361</v>
      </c>
      <c r="M115" s="27">
        <v>116812</v>
      </c>
      <c r="N115" s="27">
        <v>116068</v>
      </c>
      <c r="O115" s="27">
        <v>92800</v>
      </c>
      <c r="P115" s="27">
        <v>123198</v>
      </c>
      <c r="Q115" s="27">
        <v>124471</v>
      </c>
      <c r="R115" s="27">
        <v>121904</v>
      </c>
      <c r="S115" s="27">
        <v>115390</v>
      </c>
      <c r="T115" s="88">
        <f t="shared" si="31"/>
        <v>0.12983452462547734</v>
      </c>
      <c r="U115" s="88">
        <f t="shared" si="32"/>
        <v>0.24342672413793104</v>
      </c>
      <c r="V115" s="88">
        <f t="shared" si="33"/>
        <v>-5.3435490221813889E-2</v>
      </c>
      <c r="W115" s="90">
        <f t="shared" si="35"/>
        <v>0.48740205706561912</v>
      </c>
      <c r="X115" s="52">
        <f t="shared" si="34"/>
        <v>-6514</v>
      </c>
    </row>
    <row r="116" spans="1:24" x14ac:dyDescent="0.2">
      <c r="A116" s="27" t="s">
        <v>260</v>
      </c>
      <c r="B116" s="4">
        <v>1782</v>
      </c>
      <c r="C116" s="4">
        <v>2307</v>
      </c>
      <c r="D116" s="4">
        <v>2363</v>
      </c>
      <c r="E116" s="4">
        <v>2332</v>
      </c>
      <c r="F116" s="4">
        <v>3384</v>
      </c>
      <c r="G116" s="15">
        <v>3848</v>
      </c>
      <c r="H116" s="15">
        <v>4637</v>
      </c>
      <c r="I116" s="15">
        <v>5235</v>
      </c>
      <c r="J116" s="15">
        <v>6444</v>
      </c>
      <c r="K116" s="15">
        <v>7177</v>
      </c>
      <c r="L116" s="15">
        <v>6774</v>
      </c>
      <c r="M116" s="4">
        <v>6517</v>
      </c>
      <c r="N116" s="4">
        <v>6287</v>
      </c>
      <c r="O116" s="4">
        <v>4716</v>
      </c>
      <c r="P116" s="4">
        <v>5796</v>
      </c>
      <c r="Q116" s="4">
        <v>5700</v>
      </c>
      <c r="R116" s="4">
        <v>5357</v>
      </c>
      <c r="S116" s="4">
        <v>5530</v>
      </c>
      <c r="T116" s="88">
        <f t="shared" si="31"/>
        <v>-0.14183736809435132</v>
      </c>
      <c r="U116" s="88">
        <f t="shared" si="32"/>
        <v>0.17260390161153519</v>
      </c>
      <c r="V116" s="88">
        <f t="shared" si="33"/>
        <v>3.2294194511853648E-2</v>
      </c>
      <c r="W116" s="90">
        <f t="shared" si="35"/>
        <v>2.3358465859891445E-2</v>
      </c>
      <c r="X116" s="52">
        <f t="shared" si="34"/>
        <v>173</v>
      </c>
    </row>
    <row r="117" spans="1:24" x14ac:dyDescent="0.2">
      <c r="A117" s="4" t="s">
        <v>230</v>
      </c>
      <c r="B117" s="4">
        <v>3174</v>
      </c>
      <c r="C117" s="4">
        <v>4177</v>
      </c>
      <c r="D117" s="4">
        <v>4762</v>
      </c>
      <c r="E117" s="4">
        <v>3863</v>
      </c>
      <c r="F117" s="4">
        <v>4911</v>
      </c>
      <c r="G117" s="15">
        <v>6330</v>
      </c>
      <c r="H117" s="15">
        <v>7106</v>
      </c>
      <c r="I117" s="15">
        <v>8216</v>
      </c>
      <c r="J117" s="15">
        <v>9142</v>
      </c>
      <c r="K117" s="15">
        <v>9882</v>
      </c>
      <c r="L117" s="15">
        <v>10208</v>
      </c>
      <c r="M117" s="4">
        <v>10470</v>
      </c>
      <c r="N117" s="4">
        <v>10139</v>
      </c>
      <c r="O117" s="4">
        <v>8311</v>
      </c>
      <c r="P117" s="4">
        <v>11597</v>
      </c>
      <c r="Q117" s="4">
        <v>12155</v>
      </c>
      <c r="R117" s="4">
        <v>11705</v>
      </c>
      <c r="S117" s="4">
        <v>11247</v>
      </c>
      <c r="T117" s="88">
        <f t="shared" si="31"/>
        <v>0.2302559614963903</v>
      </c>
      <c r="U117" s="88">
        <f t="shared" si="32"/>
        <v>0.35326675490314041</v>
      </c>
      <c r="V117" s="88">
        <f t="shared" si="33"/>
        <v>-3.9128577530969669E-2</v>
      </c>
      <c r="W117" s="90">
        <f t="shared" si="35"/>
        <v>4.750681112589495E-2</v>
      </c>
      <c r="X117" s="52">
        <f t="shared" si="34"/>
        <v>-458</v>
      </c>
    </row>
    <row r="118" spans="1:24" x14ac:dyDescent="0.2">
      <c r="A118" s="4" t="s">
        <v>242</v>
      </c>
      <c r="B118" s="4">
        <v>1965</v>
      </c>
      <c r="C118" s="4">
        <v>2085</v>
      </c>
      <c r="D118" s="4">
        <v>2533</v>
      </c>
      <c r="E118" s="4">
        <v>2198</v>
      </c>
      <c r="F118" s="4">
        <v>3110</v>
      </c>
      <c r="G118" s="15">
        <v>3382</v>
      </c>
      <c r="H118" s="15">
        <v>4236</v>
      </c>
      <c r="I118" s="15">
        <v>4420</v>
      </c>
      <c r="J118" s="15">
        <v>4854</v>
      </c>
      <c r="K118" s="15">
        <v>5103</v>
      </c>
      <c r="L118" s="15">
        <v>5292</v>
      </c>
      <c r="M118" s="4">
        <v>5721</v>
      </c>
      <c r="N118" s="4">
        <v>4919</v>
      </c>
      <c r="O118" s="4">
        <v>3366</v>
      </c>
      <c r="P118" s="4">
        <v>5372</v>
      </c>
      <c r="Q118" s="4">
        <v>5155</v>
      </c>
      <c r="R118" s="4">
        <v>5267</v>
      </c>
      <c r="S118" s="4">
        <v>4695</v>
      </c>
      <c r="T118" s="88">
        <f t="shared" si="31"/>
        <v>-3.2756489493201486E-2</v>
      </c>
      <c r="U118" s="88">
        <f t="shared" si="32"/>
        <v>0.39483065953654189</v>
      </c>
      <c r="V118" s="88">
        <f t="shared" si="33"/>
        <v>-0.10860072147332447</v>
      </c>
      <c r="W118" s="90">
        <f t="shared" si="35"/>
        <v>1.9831464233669136E-2</v>
      </c>
      <c r="X118" s="52">
        <f t="shared" si="34"/>
        <v>-572</v>
      </c>
    </row>
    <row r="119" spans="1:24" x14ac:dyDescent="0.2">
      <c r="A119" s="4" t="s">
        <v>231</v>
      </c>
      <c r="B119" s="4">
        <v>10948</v>
      </c>
      <c r="C119" s="4">
        <v>13052</v>
      </c>
      <c r="D119" s="4">
        <v>12869</v>
      </c>
      <c r="E119" s="4">
        <v>12309</v>
      </c>
      <c r="F119" s="4">
        <v>14502</v>
      </c>
      <c r="G119" s="15">
        <v>16779</v>
      </c>
      <c r="H119" s="15">
        <v>20364</v>
      </c>
      <c r="I119" s="15">
        <v>22104</v>
      </c>
      <c r="J119" s="15">
        <v>24093</v>
      </c>
      <c r="K119" s="15">
        <v>25021</v>
      </c>
      <c r="L119" s="15">
        <v>25753</v>
      </c>
      <c r="M119" s="4">
        <v>26548</v>
      </c>
      <c r="N119" s="4">
        <v>25222</v>
      </c>
      <c r="O119" s="4">
        <v>19299</v>
      </c>
      <c r="P119" s="4">
        <v>27499</v>
      </c>
      <c r="Q119" s="4">
        <v>26185</v>
      </c>
      <c r="R119" s="4">
        <v>26348</v>
      </c>
      <c r="S119" s="4">
        <v>24057</v>
      </c>
      <c r="T119" s="88">
        <f t="shared" si="31"/>
        <v>-1.4942099364960778E-3</v>
      </c>
      <c r="U119" s="88">
        <f t="shared" si="32"/>
        <v>0.24654127156847505</v>
      </c>
      <c r="V119" s="88">
        <f t="shared" si="33"/>
        <v>-8.6951571276757247E-2</v>
      </c>
      <c r="W119" s="90">
        <f t="shared" si="35"/>
        <v>0.10161566242159285</v>
      </c>
      <c r="X119" s="52">
        <f t="shared" si="34"/>
        <v>-2291</v>
      </c>
    </row>
    <row r="120" spans="1:24" x14ac:dyDescent="0.2">
      <c r="A120" s="4" t="s">
        <v>232</v>
      </c>
      <c r="B120" s="4">
        <v>4820</v>
      </c>
      <c r="C120" s="4">
        <v>5804</v>
      </c>
      <c r="D120" s="4">
        <v>5887</v>
      </c>
      <c r="E120" s="4">
        <v>5902</v>
      </c>
      <c r="F120" s="4">
        <v>6353</v>
      </c>
      <c r="G120" s="15">
        <v>6813</v>
      </c>
      <c r="H120" s="15">
        <v>7733</v>
      </c>
      <c r="I120" s="15">
        <v>9345</v>
      </c>
      <c r="J120" s="15">
        <v>9916</v>
      </c>
      <c r="K120" s="15">
        <v>11329</v>
      </c>
      <c r="L120" s="15">
        <v>10876</v>
      </c>
      <c r="M120" s="4">
        <v>11121</v>
      </c>
      <c r="N120" s="4">
        <v>10994</v>
      </c>
      <c r="O120" s="4">
        <v>7273</v>
      </c>
      <c r="P120" s="4">
        <v>11788</v>
      </c>
      <c r="Q120" s="4">
        <v>11724</v>
      </c>
      <c r="R120" s="4">
        <v>11513</v>
      </c>
      <c r="S120" s="4">
        <v>10109</v>
      </c>
      <c r="T120" s="88">
        <f t="shared" si="31"/>
        <v>1.9463493344090359E-2</v>
      </c>
      <c r="U120" s="88">
        <f t="shared" si="32"/>
        <v>0.38993537742334661</v>
      </c>
      <c r="V120" s="88">
        <f t="shared" si="33"/>
        <v>-0.12194910101624251</v>
      </c>
      <c r="W120" s="90">
        <f t="shared" si="35"/>
        <v>4.2699951424528503E-2</v>
      </c>
      <c r="X120" s="52">
        <f t="shared" si="34"/>
        <v>-1404</v>
      </c>
    </row>
    <row r="121" spans="1:24" x14ac:dyDescent="0.2">
      <c r="A121" s="4" t="s">
        <v>233</v>
      </c>
      <c r="B121" s="4">
        <v>1757</v>
      </c>
      <c r="C121" s="4">
        <v>1800</v>
      </c>
      <c r="D121" s="4">
        <v>2310</v>
      </c>
      <c r="E121" s="4">
        <v>1846</v>
      </c>
      <c r="F121" s="4">
        <v>2329</v>
      </c>
      <c r="G121" s="15">
        <v>2267</v>
      </c>
      <c r="H121" s="15">
        <v>2770</v>
      </c>
      <c r="I121" s="15">
        <v>3077</v>
      </c>
      <c r="J121" s="15">
        <v>3311</v>
      </c>
      <c r="K121" s="15">
        <v>3508</v>
      </c>
      <c r="L121" s="15">
        <v>3842</v>
      </c>
      <c r="M121" s="4">
        <v>3772</v>
      </c>
      <c r="N121" s="4">
        <v>4086</v>
      </c>
      <c r="O121" s="4">
        <v>2985</v>
      </c>
      <c r="P121" s="4">
        <v>4724</v>
      </c>
      <c r="Q121" s="4">
        <v>4814</v>
      </c>
      <c r="R121" s="4">
        <v>4741</v>
      </c>
      <c r="S121" s="4">
        <v>5075</v>
      </c>
      <c r="T121" s="88">
        <f t="shared" si="31"/>
        <v>0.53276955602537002</v>
      </c>
      <c r="U121" s="88">
        <f t="shared" si="32"/>
        <v>0.70016750418760465</v>
      </c>
      <c r="V121" s="88">
        <f t="shared" si="33"/>
        <v>7.0449272305420793E-2</v>
      </c>
      <c r="W121" s="90">
        <f t="shared" si="35"/>
        <v>2.1436566770153542E-2</v>
      </c>
      <c r="X121" s="52">
        <f t="shared" si="34"/>
        <v>334</v>
      </c>
    </row>
    <row r="122" spans="1:24" x14ac:dyDescent="0.2">
      <c r="A122" s="4" t="s">
        <v>234</v>
      </c>
      <c r="B122" s="4">
        <v>2306</v>
      </c>
      <c r="C122" s="4">
        <v>2797</v>
      </c>
      <c r="D122" s="4">
        <v>3477</v>
      </c>
      <c r="E122" s="4">
        <v>3334</v>
      </c>
      <c r="F122" s="4">
        <v>3852</v>
      </c>
      <c r="G122" s="15">
        <v>4847</v>
      </c>
      <c r="H122" s="15">
        <v>5086</v>
      </c>
      <c r="I122" s="15">
        <v>5639</v>
      </c>
      <c r="J122" s="15">
        <v>6479</v>
      </c>
      <c r="K122" s="15">
        <v>7815</v>
      </c>
      <c r="L122" s="15">
        <v>8671</v>
      </c>
      <c r="M122" s="4">
        <v>8832</v>
      </c>
      <c r="N122" s="4">
        <v>7860</v>
      </c>
      <c r="O122" s="4">
        <v>6535</v>
      </c>
      <c r="P122" s="4">
        <v>8631</v>
      </c>
      <c r="Q122" s="4">
        <v>8007</v>
      </c>
      <c r="R122" s="4">
        <v>8720</v>
      </c>
      <c r="S122" s="4">
        <v>8381</v>
      </c>
      <c r="T122" s="88">
        <f t="shared" si="31"/>
        <v>0.29356382157740391</v>
      </c>
      <c r="U122" s="88">
        <f t="shared" si="32"/>
        <v>0.2824789594491201</v>
      </c>
      <c r="V122" s="88">
        <f t="shared" si="33"/>
        <v>-3.8876146788990824E-2</v>
      </c>
      <c r="W122" s="90">
        <f t="shared" si="35"/>
        <v>3.5400958837567845E-2</v>
      </c>
      <c r="X122" s="52">
        <f t="shared" si="34"/>
        <v>-339</v>
      </c>
    </row>
    <row r="123" spans="1:24" x14ac:dyDescent="0.2">
      <c r="A123" s="4" t="s">
        <v>235</v>
      </c>
      <c r="B123" s="4">
        <v>208</v>
      </c>
      <c r="C123" s="4">
        <v>146</v>
      </c>
      <c r="D123" s="4">
        <v>202</v>
      </c>
      <c r="E123" s="4">
        <v>267</v>
      </c>
      <c r="F123" s="4">
        <v>228</v>
      </c>
      <c r="G123" s="15">
        <v>177</v>
      </c>
      <c r="H123" s="15">
        <v>215</v>
      </c>
      <c r="I123" s="15">
        <v>409</v>
      </c>
      <c r="J123" s="15">
        <v>403</v>
      </c>
      <c r="K123" s="15">
        <v>458</v>
      </c>
      <c r="L123" s="15">
        <v>568</v>
      </c>
      <c r="M123" s="4">
        <v>587</v>
      </c>
      <c r="N123" s="4">
        <v>523</v>
      </c>
      <c r="O123" s="4">
        <v>501</v>
      </c>
      <c r="P123" s="4">
        <v>585</v>
      </c>
      <c r="Q123" s="4">
        <v>529</v>
      </c>
      <c r="R123" s="4">
        <v>423</v>
      </c>
      <c r="S123" s="4">
        <v>429</v>
      </c>
      <c r="T123" s="88">
        <f t="shared" si="31"/>
        <v>6.4516129032258063E-2</v>
      </c>
      <c r="U123" s="88">
        <f t="shared" si="32"/>
        <v>-0.1437125748502994</v>
      </c>
      <c r="V123" s="88">
        <f t="shared" si="33"/>
        <v>1.4184397163120567E-2</v>
      </c>
      <c r="W123" s="90">
        <f t="shared" si="35"/>
        <v>1.8120762846100234E-3</v>
      </c>
      <c r="X123" s="52">
        <f t="shared" si="34"/>
        <v>6</v>
      </c>
    </row>
    <row r="124" spans="1:24" x14ac:dyDescent="0.2">
      <c r="A124" s="4" t="s">
        <v>236</v>
      </c>
      <c r="B124" s="4">
        <v>785</v>
      </c>
      <c r="C124" s="4">
        <v>948</v>
      </c>
      <c r="D124" s="4">
        <v>1114</v>
      </c>
      <c r="E124" s="4">
        <v>820</v>
      </c>
      <c r="F124" s="4">
        <v>1118</v>
      </c>
      <c r="G124" s="15">
        <v>1032</v>
      </c>
      <c r="H124" s="15">
        <v>1218</v>
      </c>
      <c r="I124" s="15">
        <v>1257</v>
      </c>
      <c r="J124" s="15">
        <v>1423</v>
      </c>
      <c r="K124" s="15">
        <v>1226</v>
      </c>
      <c r="L124" s="15">
        <v>1547</v>
      </c>
      <c r="M124" s="4">
        <v>1590</v>
      </c>
      <c r="N124" s="4">
        <v>1182</v>
      </c>
      <c r="O124" s="4">
        <v>902</v>
      </c>
      <c r="P124" s="4">
        <v>1380</v>
      </c>
      <c r="Q124" s="4">
        <v>1592</v>
      </c>
      <c r="R124" s="4">
        <v>1321</v>
      </c>
      <c r="S124" s="4">
        <v>1310</v>
      </c>
      <c r="T124" s="88">
        <f t="shared" si="31"/>
        <v>-7.9409697821503866E-2</v>
      </c>
      <c r="U124" s="88">
        <f t="shared" si="32"/>
        <v>0.45232815964523282</v>
      </c>
      <c r="V124" s="88">
        <f t="shared" si="33"/>
        <v>-8.3270249810749441E-3</v>
      </c>
      <c r="W124" s="90">
        <f t="shared" si="35"/>
        <v>5.5333797968278109E-3</v>
      </c>
      <c r="X124" s="52">
        <f t="shared" si="34"/>
        <v>-11</v>
      </c>
    </row>
    <row r="125" spans="1:24" x14ac:dyDescent="0.2">
      <c r="A125" s="5" t="s">
        <v>4</v>
      </c>
      <c r="B125" s="5">
        <v>96737</v>
      </c>
      <c r="C125" s="5">
        <v>110876</v>
      </c>
      <c r="D125" s="5">
        <v>121309</v>
      </c>
      <c r="E125" s="5">
        <v>117788</v>
      </c>
      <c r="F125" s="5">
        <v>135772</v>
      </c>
      <c r="G125" s="5">
        <v>153663</v>
      </c>
      <c r="H125" s="5">
        <v>177457</v>
      </c>
      <c r="I125" s="5">
        <v>192946</v>
      </c>
      <c r="J125" s="5">
        <v>210230</v>
      </c>
      <c r="K125" s="5">
        <v>220808</v>
      </c>
      <c r="L125" s="5">
        <v>234798</v>
      </c>
      <c r="M125" s="5">
        <v>240050</v>
      </c>
      <c r="N125" s="5">
        <v>233539</v>
      </c>
      <c r="O125" s="5">
        <v>184229</v>
      </c>
      <c r="P125" s="5">
        <v>253249</v>
      </c>
      <c r="Q125" s="5">
        <v>252969</v>
      </c>
      <c r="R125" s="5">
        <v>249949</v>
      </c>
      <c r="S125" s="5">
        <v>236745</v>
      </c>
      <c r="T125" s="89">
        <f t="shared" si="31"/>
        <v>0.12612376920515625</v>
      </c>
      <c r="U125" s="89">
        <f t="shared" si="32"/>
        <v>0.28505826987065014</v>
      </c>
      <c r="V125" s="89">
        <f t="shared" si="33"/>
        <v>-5.2826776662439137E-2</v>
      </c>
      <c r="W125" s="91">
        <f t="shared" si="35"/>
        <v>1</v>
      </c>
      <c r="X125" s="52">
        <f t="shared" si="34"/>
        <v>-13204</v>
      </c>
    </row>
    <row r="126" spans="1:24" x14ac:dyDescent="0.2">
      <c r="A126" s="134"/>
      <c r="B126" s="134"/>
      <c r="C126" s="134"/>
      <c r="D126" s="134"/>
      <c r="E126" s="134"/>
      <c r="F126" s="134"/>
      <c r="G126" s="134"/>
      <c r="H126" s="134"/>
      <c r="I126" s="134"/>
      <c r="J126" s="134"/>
      <c r="K126" s="134"/>
      <c r="L126" s="134"/>
      <c r="M126" s="134"/>
      <c r="N126" s="134"/>
      <c r="O126" s="134"/>
      <c r="P126" s="134"/>
      <c r="Q126" s="134"/>
      <c r="R126" s="134"/>
      <c r="S126" s="134"/>
      <c r="T126" s="143"/>
      <c r="U126" s="143"/>
      <c r="V126" s="143"/>
      <c r="W126" s="122"/>
      <c r="X126" s="172"/>
    </row>
    <row r="127" spans="1:24" ht="15.75" x14ac:dyDescent="0.2">
      <c r="A127" s="22" t="s">
        <v>262</v>
      </c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</row>
    <row r="128" spans="1:24" ht="25.5" x14ac:dyDescent="0.2">
      <c r="A128" s="73" t="s">
        <v>40</v>
      </c>
      <c r="B128" s="3">
        <v>2007</v>
      </c>
      <c r="C128" s="3">
        <v>2008</v>
      </c>
      <c r="D128" s="3">
        <v>2009</v>
      </c>
      <c r="E128" s="3">
        <v>2010</v>
      </c>
      <c r="F128" s="3">
        <v>2011</v>
      </c>
      <c r="G128" s="3">
        <v>2012</v>
      </c>
      <c r="H128" s="3">
        <v>2013</v>
      </c>
      <c r="I128" s="3">
        <v>2014</v>
      </c>
      <c r="J128" s="3">
        <v>2015</v>
      </c>
      <c r="K128" s="3">
        <v>2016</v>
      </c>
      <c r="L128" s="3">
        <v>2017</v>
      </c>
      <c r="M128" s="3">
        <v>2018</v>
      </c>
      <c r="N128" s="3">
        <v>2019</v>
      </c>
      <c r="O128" s="3">
        <v>2020</v>
      </c>
      <c r="P128" s="3">
        <v>2021</v>
      </c>
      <c r="Q128" s="3">
        <v>2022</v>
      </c>
      <c r="R128" s="3">
        <v>2023</v>
      </c>
      <c r="S128" s="3">
        <v>2024</v>
      </c>
      <c r="T128" s="12" t="s">
        <v>368</v>
      </c>
      <c r="U128" s="12" t="s">
        <v>369</v>
      </c>
      <c r="V128" s="12" t="s">
        <v>370</v>
      </c>
      <c r="W128" s="12" t="s">
        <v>372</v>
      </c>
      <c r="X128" s="169" t="s">
        <v>494</v>
      </c>
    </row>
    <row r="129" spans="1:25" x14ac:dyDescent="0.2">
      <c r="A129" s="4" t="s">
        <v>495</v>
      </c>
      <c r="B129" s="4">
        <v>71096</v>
      </c>
      <c r="C129" s="4">
        <v>82285</v>
      </c>
      <c r="D129" s="4">
        <v>85108</v>
      </c>
      <c r="E129" s="4">
        <v>81647</v>
      </c>
      <c r="F129" s="4">
        <v>90830</v>
      </c>
      <c r="G129" s="4">
        <v>103132</v>
      </c>
      <c r="H129" s="4">
        <v>114897</v>
      </c>
      <c r="I129" s="4">
        <v>121881</v>
      </c>
      <c r="J129" s="4">
        <v>129745</v>
      </c>
      <c r="K129" s="4">
        <v>136580</v>
      </c>
      <c r="L129" s="4">
        <v>145170</v>
      </c>
      <c r="M129" s="4">
        <v>143426</v>
      </c>
      <c r="N129" s="4">
        <v>143594</v>
      </c>
      <c r="O129" s="4">
        <v>107751</v>
      </c>
      <c r="P129" s="4">
        <v>163657</v>
      </c>
      <c r="Q129" s="4">
        <v>162901</v>
      </c>
      <c r="R129" s="4">
        <v>168536</v>
      </c>
      <c r="S129" s="4">
        <v>158185</v>
      </c>
      <c r="T129" s="88">
        <f t="shared" ref="T129:T134" si="36">(S129-J129)/J129</f>
        <v>0.21919919842768507</v>
      </c>
      <c r="U129" s="88">
        <f t="shared" ref="U129:U134" si="37">(S129-O129)/O129</f>
        <v>0.4680606212471346</v>
      </c>
      <c r="V129" s="88">
        <f t="shared" ref="V129:V134" si="38">(S129-R129)/R129</f>
        <v>-6.1417145298333885E-2</v>
      </c>
      <c r="W129" s="90">
        <f t="shared" ref="W129:W134" si="39">S129/S$9</f>
        <v>0.52252487348545906</v>
      </c>
      <c r="X129" s="52">
        <f>S129-R129</f>
        <v>-10351</v>
      </c>
      <c r="Y129" s="127"/>
    </row>
    <row r="130" spans="1:25" x14ac:dyDescent="0.2">
      <c r="A130" s="4" t="s">
        <v>496</v>
      </c>
      <c r="B130" s="4">
        <v>24263</v>
      </c>
      <c r="C130" s="4">
        <v>26712</v>
      </c>
      <c r="D130" s="4">
        <v>33510</v>
      </c>
      <c r="E130" s="4">
        <v>33091</v>
      </c>
      <c r="F130" s="4">
        <v>39966</v>
      </c>
      <c r="G130" s="4">
        <v>47425</v>
      </c>
      <c r="H130" s="4">
        <v>58162</v>
      </c>
      <c r="I130" s="4">
        <v>65391</v>
      </c>
      <c r="J130" s="4">
        <v>73072</v>
      </c>
      <c r="K130" s="4">
        <v>74889</v>
      </c>
      <c r="L130" s="4">
        <v>80057</v>
      </c>
      <c r="M130" s="4">
        <v>82903</v>
      </c>
      <c r="N130" s="4">
        <v>74645</v>
      </c>
      <c r="O130" s="4">
        <v>65130</v>
      </c>
      <c r="P130" s="4">
        <v>76351</v>
      </c>
      <c r="Q130" s="4">
        <v>76224</v>
      </c>
      <c r="R130" s="4">
        <v>69721</v>
      </c>
      <c r="S130" s="4">
        <v>65187</v>
      </c>
      <c r="T130" s="88">
        <f t="shared" si="36"/>
        <v>-0.10790726954236916</v>
      </c>
      <c r="U130" s="88">
        <f t="shared" si="37"/>
        <v>8.7517273146015657E-4</v>
      </c>
      <c r="V130" s="88">
        <f t="shared" si="38"/>
        <v>-6.5030622050745113E-2</v>
      </c>
      <c r="W130" s="90">
        <f t="shared" si="39"/>
        <v>0.21532906993644543</v>
      </c>
      <c r="X130" s="52">
        <f t="shared" ref="X130:X134" si="40">S130-R130</f>
        <v>-4534</v>
      </c>
      <c r="Y130" s="127"/>
    </row>
    <row r="131" spans="1:25" x14ac:dyDescent="0.2">
      <c r="A131" s="4" t="s">
        <v>209</v>
      </c>
      <c r="B131" s="4">
        <v>296</v>
      </c>
      <c r="C131" s="4">
        <v>340</v>
      </c>
      <c r="D131" s="4">
        <v>252</v>
      </c>
      <c r="E131" s="4">
        <v>416</v>
      </c>
      <c r="F131" s="4">
        <v>1466</v>
      </c>
      <c r="G131" s="4">
        <v>882</v>
      </c>
      <c r="H131" s="4">
        <v>1233</v>
      </c>
      <c r="I131" s="4">
        <v>1542</v>
      </c>
      <c r="J131" s="4">
        <v>2136</v>
      </c>
      <c r="K131" s="4">
        <v>3371</v>
      </c>
      <c r="L131" s="4">
        <v>3559</v>
      </c>
      <c r="M131" s="4">
        <v>7576</v>
      </c>
      <c r="N131" s="4">
        <v>7631</v>
      </c>
      <c r="O131" s="4">
        <v>5811</v>
      </c>
      <c r="P131" s="4">
        <v>7418</v>
      </c>
      <c r="Q131" s="4">
        <v>9917</v>
      </c>
      <c r="R131" s="4">
        <v>8666</v>
      </c>
      <c r="S131" s="4">
        <v>10874</v>
      </c>
      <c r="T131" s="88">
        <f t="shared" si="36"/>
        <v>4.0908239700374533</v>
      </c>
      <c r="U131" s="88">
        <f t="shared" si="37"/>
        <v>0.87127860953364311</v>
      </c>
      <c r="V131" s="88">
        <f t="shared" si="38"/>
        <v>0.25478882990999308</v>
      </c>
      <c r="W131" s="90">
        <f t="shared" si="39"/>
        <v>3.5919559214090353E-2</v>
      </c>
      <c r="X131" s="52">
        <f t="shared" si="40"/>
        <v>2208</v>
      </c>
      <c r="Y131" s="127"/>
    </row>
    <row r="132" spans="1:25" x14ac:dyDescent="0.2">
      <c r="A132" s="4" t="s">
        <v>210</v>
      </c>
      <c r="B132" s="4">
        <v>887</v>
      </c>
      <c r="C132" s="4">
        <v>1037</v>
      </c>
      <c r="D132" s="4">
        <v>2210</v>
      </c>
      <c r="E132" s="4">
        <v>1317</v>
      </c>
      <c r="F132" s="4">
        <v>1301</v>
      </c>
      <c r="G132" s="4">
        <v>2337</v>
      </c>
      <c r="H132" s="4">
        <v>4722</v>
      </c>
      <c r="I132" s="4">
        <v>4612</v>
      </c>
      <c r="J132" s="4">
        <v>6357</v>
      </c>
      <c r="K132" s="4">
        <v>9698</v>
      </c>
      <c r="L132" s="4">
        <v>9208</v>
      </c>
      <c r="M132" s="4">
        <v>10299</v>
      </c>
      <c r="N132" s="4">
        <v>13080</v>
      </c>
      <c r="O132" s="4">
        <v>19368</v>
      </c>
      <c r="P132" s="4">
        <v>28240</v>
      </c>
      <c r="Q132" s="4">
        <v>38484</v>
      </c>
      <c r="R132" s="4">
        <v>49850</v>
      </c>
      <c r="S132" s="4">
        <v>65987</v>
      </c>
      <c r="T132" s="88">
        <f t="shared" si="36"/>
        <v>9.3802107912537362</v>
      </c>
      <c r="U132" s="88">
        <f t="shared" si="37"/>
        <v>2.4070115654688147</v>
      </c>
      <c r="V132" s="88">
        <f t="shared" si="38"/>
        <v>0.32371113340020058</v>
      </c>
      <c r="W132" s="90">
        <f t="shared" si="39"/>
        <v>0.21797167131324074</v>
      </c>
      <c r="X132" s="52">
        <f t="shared" si="40"/>
        <v>16137</v>
      </c>
      <c r="Y132" s="127"/>
    </row>
    <row r="133" spans="1:25" x14ac:dyDescent="0.2">
      <c r="A133" s="4" t="s">
        <v>497</v>
      </c>
      <c r="B133" s="4">
        <v>1082</v>
      </c>
      <c r="C133" s="4">
        <v>1539</v>
      </c>
      <c r="D133" s="4">
        <v>2439</v>
      </c>
      <c r="E133" s="4">
        <v>2634</v>
      </c>
      <c r="F133" s="4">
        <v>3510</v>
      </c>
      <c r="G133" s="4">
        <v>2224</v>
      </c>
      <c r="H133" s="4">
        <v>3165</v>
      </c>
      <c r="I133" s="4">
        <v>4132</v>
      </c>
      <c r="J133" s="4">
        <v>5277</v>
      </c>
      <c r="K133" s="4">
        <v>5968</v>
      </c>
      <c r="L133" s="4">
        <v>6012</v>
      </c>
      <c r="M133" s="4">
        <v>6145</v>
      </c>
      <c r="N133" s="4">
        <v>7669</v>
      </c>
      <c r="O133" s="4">
        <v>5537</v>
      </c>
      <c r="P133" s="4">
        <v>5823</v>
      </c>
      <c r="Q133" s="4">
        <v>3927</v>
      </c>
      <c r="R133" s="144">
        <v>3026</v>
      </c>
      <c r="S133" s="144">
        <v>2499</v>
      </c>
      <c r="T133" s="88">
        <f t="shared" si="36"/>
        <v>-0.52643547470153496</v>
      </c>
      <c r="U133" s="88">
        <f t="shared" si="37"/>
        <v>-0.54867256637168138</v>
      </c>
      <c r="V133" s="88">
        <f t="shared" si="38"/>
        <v>-0.17415730337078653</v>
      </c>
      <c r="W133" s="90">
        <f t="shared" si="39"/>
        <v>8.2548260507643717E-3</v>
      </c>
      <c r="X133" s="52">
        <f t="shared" si="40"/>
        <v>-527</v>
      </c>
      <c r="Y133" s="127"/>
    </row>
    <row r="134" spans="1:25" x14ac:dyDescent="0.2">
      <c r="A134" s="5" t="s">
        <v>4</v>
      </c>
      <c r="B134" s="5">
        <v>97624</v>
      </c>
      <c r="C134" s="5">
        <v>111913</v>
      </c>
      <c r="D134" s="5">
        <v>123519</v>
      </c>
      <c r="E134" s="5">
        <v>119105</v>
      </c>
      <c r="F134" s="5">
        <v>137073</v>
      </c>
      <c r="G134" s="5">
        <v>156000</v>
      </c>
      <c r="H134" s="5">
        <v>182179</v>
      </c>
      <c r="I134" s="5">
        <v>197558</v>
      </c>
      <c r="J134" s="5">
        <v>216587</v>
      </c>
      <c r="K134" s="5">
        <v>230506</v>
      </c>
      <c r="L134" s="5">
        <v>244006</v>
      </c>
      <c r="M134" s="5">
        <v>250349</v>
      </c>
      <c r="N134" s="5">
        <v>246619</v>
      </c>
      <c r="O134" s="5">
        <v>203597</v>
      </c>
      <c r="P134" s="5">
        <v>281489</v>
      </c>
      <c r="Q134" s="5">
        <v>291453</v>
      </c>
      <c r="R134" s="5">
        <v>299799</v>
      </c>
      <c r="S134" s="5">
        <v>302732</v>
      </c>
      <c r="T134" s="89">
        <f t="shared" si="36"/>
        <v>0.39773855309875478</v>
      </c>
      <c r="U134" s="89">
        <f t="shared" si="37"/>
        <v>0.48691778366085942</v>
      </c>
      <c r="V134" s="89">
        <f t="shared" si="38"/>
        <v>9.7832214250214312E-3</v>
      </c>
      <c r="W134" s="91">
        <f t="shared" si="39"/>
        <v>1</v>
      </c>
      <c r="X134" s="52">
        <f t="shared" si="40"/>
        <v>2933</v>
      </c>
    </row>
    <row r="135" spans="1:25" x14ac:dyDescent="0.2">
      <c r="A135" s="31"/>
      <c r="B135" s="31"/>
      <c r="C135" s="31"/>
      <c r="D135" s="31"/>
      <c r="E135" s="31"/>
      <c r="F135" s="100"/>
      <c r="G135" s="100"/>
      <c r="H135" s="100"/>
      <c r="I135" s="100"/>
      <c r="J135" s="100"/>
      <c r="K135" s="100"/>
      <c r="L135" s="100"/>
      <c r="M135" s="100"/>
      <c r="N135" s="145"/>
      <c r="O135" s="145"/>
      <c r="P135" s="145"/>
      <c r="Q135" s="145"/>
      <c r="R135" s="145"/>
      <c r="S135" s="145"/>
      <c r="T135" s="146"/>
      <c r="U135" s="31"/>
      <c r="V135" s="31"/>
      <c r="W135" s="31"/>
      <c r="X135" s="31"/>
    </row>
    <row r="136" spans="1:25" x14ac:dyDescent="0.2">
      <c r="A136" s="57" t="s">
        <v>218</v>
      </c>
      <c r="B136" s="57"/>
      <c r="C136" s="57"/>
      <c r="D136" s="57"/>
      <c r="E136" s="57"/>
      <c r="F136" s="103"/>
      <c r="G136" s="103"/>
      <c r="N136" s="133"/>
      <c r="O136" s="133"/>
      <c r="P136" s="133"/>
      <c r="Q136" s="133"/>
      <c r="R136" s="133"/>
      <c r="S136" s="133"/>
      <c r="T136" s="99"/>
      <c r="U136" s="31"/>
      <c r="V136" s="31"/>
      <c r="W136" s="31"/>
      <c r="X136" s="31"/>
    </row>
    <row r="137" spans="1:25" x14ac:dyDescent="0.2">
      <c r="A137" s="31"/>
      <c r="B137" s="31"/>
      <c r="C137" s="31"/>
      <c r="D137" s="31"/>
      <c r="E137" s="31"/>
      <c r="F137" s="104"/>
      <c r="G137" s="104"/>
      <c r="H137" s="104"/>
      <c r="I137" s="104"/>
      <c r="J137" s="104"/>
      <c r="K137" s="104"/>
      <c r="L137" s="104"/>
      <c r="M137" s="104"/>
      <c r="N137" s="104"/>
      <c r="O137" s="104"/>
      <c r="P137" s="104"/>
      <c r="Q137" s="104"/>
      <c r="R137" s="104"/>
      <c r="S137" s="104"/>
      <c r="T137" s="104"/>
      <c r="U137" s="31"/>
      <c r="V137" s="31"/>
      <c r="W137" s="31"/>
      <c r="X137" s="31"/>
    </row>
    <row r="138" spans="1:25" x14ac:dyDescent="0.2">
      <c r="A138" s="58" t="s">
        <v>21</v>
      </c>
      <c r="B138" s="58"/>
      <c r="C138" s="58"/>
      <c r="D138" s="58"/>
      <c r="E138" s="58"/>
      <c r="F138" s="58"/>
      <c r="G138" s="31"/>
      <c r="H138" s="100"/>
      <c r="I138" s="100"/>
      <c r="J138" s="100"/>
      <c r="K138" s="100"/>
      <c r="L138" s="100"/>
      <c r="M138" s="100"/>
      <c r="N138" s="100"/>
      <c r="O138" s="100"/>
      <c r="P138" s="100"/>
      <c r="Q138" s="100"/>
      <c r="R138" s="100"/>
      <c r="S138" s="100"/>
      <c r="T138" s="31"/>
      <c r="U138" s="31"/>
      <c r="V138" s="31"/>
      <c r="W138" s="31"/>
      <c r="X138" s="31"/>
    </row>
    <row r="139" spans="1:25" x14ac:dyDescent="0.2">
      <c r="A139" s="31"/>
      <c r="B139" s="31"/>
      <c r="C139" s="31"/>
      <c r="D139" s="31"/>
      <c r="E139" s="31"/>
      <c r="F139" s="31"/>
      <c r="G139" s="31"/>
      <c r="H139" s="100"/>
      <c r="I139" s="100"/>
      <c r="J139" s="100"/>
      <c r="K139" s="100"/>
      <c r="L139" s="100"/>
      <c r="M139" s="100"/>
      <c r="N139" s="100"/>
      <c r="O139" s="100"/>
      <c r="P139" s="100"/>
      <c r="Q139" s="100"/>
      <c r="R139" s="100"/>
      <c r="S139" s="100"/>
      <c r="T139" s="31"/>
      <c r="U139" s="31"/>
      <c r="V139" s="31"/>
      <c r="W139" s="31"/>
      <c r="X139" s="31"/>
    </row>
    <row r="140" spans="1:25" x14ac:dyDescent="0.2">
      <c r="H140" s="100"/>
      <c r="I140" s="100"/>
      <c r="J140" s="100"/>
      <c r="K140" s="100"/>
      <c r="L140" s="100"/>
      <c r="M140" s="100"/>
      <c r="N140" s="100"/>
      <c r="O140" s="100"/>
      <c r="P140" s="100"/>
      <c r="Q140" s="100"/>
      <c r="R140" s="100"/>
      <c r="S140" s="100"/>
    </row>
    <row r="141" spans="1:25" x14ac:dyDescent="0.2">
      <c r="H141" s="100"/>
      <c r="I141" s="100"/>
      <c r="J141" s="100"/>
      <c r="K141" s="100"/>
      <c r="L141" s="100"/>
      <c r="M141" s="100"/>
      <c r="N141" s="100"/>
      <c r="O141" s="100"/>
      <c r="P141" s="100"/>
      <c r="Q141" s="100"/>
      <c r="R141" s="100"/>
      <c r="S141" s="100"/>
    </row>
    <row r="142" spans="1:25" x14ac:dyDescent="0.2">
      <c r="H142" s="100"/>
      <c r="I142" s="100"/>
      <c r="J142" s="100"/>
      <c r="K142" s="100"/>
      <c r="L142" s="100"/>
      <c r="M142" s="100"/>
      <c r="N142" s="100"/>
      <c r="O142" s="100"/>
      <c r="P142" s="100"/>
      <c r="Q142" s="100"/>
      <c r="R142" s="100"/>
      <c r="S142" s="100"/>
    </row>
  </sheetData>
  <conditionalFormatting sqref="T6:T9">
    <cfRule type="iconSet" priority="66">
      <iconSet iconSet="5Arrows">
        <cfvo type="percent" val="0"/>
        <cfvo type="num" val="-0.5"/>
        <cfvo type="num" val="0"/>
        <cfvo type="num" val="0.5"/>
        <cfvo type="num" val="1"/>
      </iconSet>
    </cfRule>
  </conditionalFormatting>
  <conditionalFormatting sqref="T13:T16">
    <cfRule type="iconSet" priority="53">
      <iconSet iconSet="5Arrows">
        <cfvo type="percent" val="0"/>
        <cfvo type="num" val="-0.5"/>
        <cfvo type="num" val="0"/>
        <cfvo type="num" val="0.5"/>
        <cfvo type="num" val="1"/>
      </iconSet>
    </cfRule>
  </conditionalFormatting>
  <conditionalFormatting sqref="T16">
    <cfRule type="iconSet" priority="34">
      <iconSet iconSet="5Arrows">
        <cfvo type="percent" val="0"/>
        <cfvo type="num" val="-0.5"/>
        <cfvo type="num" val="0"/>
        <cfvo type="num" val="0.5"/>
        <cfvo type="num" val="1"/>
      </iconSet>
    </cfRule>
  </conditionalFormatting>
  <conditionalFormatting sqref="T20:T30">
    <cfRule type="iconSet" priority="48">
      <iconSet iconSet="5Arrows">
        <cfvo type="percent" val="0"/>
        <cfvo type="num" val="-0.5"/>
        <cfvo type="num" val="0"/>
        <cfvo type="num" val="0.5"/>
        <cfvo type="num" val="1"/>
      </iconSet>
    </cfRule>
  </conditionalFormatting>
  <conditionalFormatting sqref="T34:T40">
    <cfRule type="iconSet" priority="31">
      <iconSet iconSet="5Arrows">
        <cfvo type="percent" val="0"/>
        <cfvo type="num" val="-0.5"/>
        <cfvo type="num" val="0"/>
        <cfvo type="num" val="0.5"/>
        <cfvo type="num" val="1"/>
      </iconSet>
    </cfRule>
  </conditionalFormatting>
  <conditionalFormatting sqref="T45:T64">
    <cfRule type="iconSet" priority="62">
      <iconSet iconSet="5Arrows">
        <cfvo type="percent" val="0"/>
        <cfvo type="num" val="-0.5"/>
        <cfvo type="num" val="0"/>
        <cfvo type="num" val="0.5"/>
        <cfvo type="num" val="1"/>
      </iconSet>
    </cfRule>
  </conditionalFormatting>
  <conditionalFormatting sqref="T65">
    <cfRule type="iconSet" priority="27">
      <iconSet iconSet="5Arrows">
        <cfvo type="percent" val="0"/>
        <cfvo type="num" val="-0.5"/>
        <cfvo type="num" val="0"/>
        <cfvo type="num" val="0.5"/>
        <cfvo type="num" val="1"/>
      </iconSet>
    </cfRule>
  </conditionalFormatting>
  <conditionalFormatting sqref="T70:T72">
    <cfRule type="iconSet" priority="61">
      <iconSet iconSet="5Arrows">
        <cfvo type="percent" val="0"/>
        <cfvo type="num" val="-0.5"/>
        <cfvo type="num" val="0"/>
        <cfvo type="num" val="0.5"/>
        <cfvo type="num" val="1"/>
      </iconSet>
    </cfRule>
  </conditionalFormatting>
  <conditionalFormatting sqref="T73">
    <cfRule type="iconSet" priority="23">
      <iconSet iconSet="5Arrows">
        <cfvo type="percent" val="0"/>
        <cfvo type="num" val="-0.5"/>
        <cfvo type="num" val="0"/>
        <cfvo type="num" val="0.5"/>
        <cfvo type="num" val="1"/>
      </iconSet>
    </cfRule>
  </conditionalFormatting>
  <conditionalFormatting sqref="T77:T83">
    <cfRule type="iconSet" priority="60">
      <iconSet iconSet="5Arrows">
        <cfvo type="percent" val="0"/>
        <cfvo type="num" val="-0.5"/>
        <cfvo type="num" val="0"/>
        <cfvo type="num" val="0.5"/>
        <cfvo type="num" val="1"/>
      </iconSet>
    </cfRule>
  </conditionalFormatting>
  <conditionalFormatting sqref="T84">
    <cfRule type="iconSet" priority="20">
      <iconSet iconSet="5Arrows">
        <cfvo type="percent" val="0"/>
        <cfvo type="num" val="-0.5"/>
        <cfvo type="num" val="0"/>
        <cfvo type="num" val="0.5"/>
        <cfvo type="num" val="1"/>
      </iconSet>
    </cfRule>
  </conditionalFormatting>
  <conditionalFormatting sqref="T89:T104">
    <cfRule type="iconSet" priority="59">
      <iconSet iconSet="5Arrows">
        <cfvo type="percent" val="0"/>
        <cfvo type="num" val="-0.5"/>
        <cfvo type="num" val="0"/>
        <cfvo type="num" val="0.5"/>
        <cfvo type="num" val="1"/>
      </iconSet>
    </cfRule>
  </conditionalFormatting>
  <conditionalFormatting sqref="T105">
    <cfRule type="iconSet" priority="17">
      <iconSet iconSet="5Arrows">
        <cfvo type="percent" val="0"/>
        <cfvo type="num" val="-0.5"/>
        <cfvo type="num" val="0"/>
        <cfvo type="num" val="0.5"/>
        <cfvo type="num" val="1"/>
      </iconSet>
    </cfRule>
  </conditionalFormatting>
  <conditionalFormatting sqref="T109:T124">
    <cfRule type="iconSet" priority="3">
      <iconSet iconSet="5Arrows">
        <cfvo type="percent" val="0"/>
        <cfvo type="num" val="-0.5"/>
        <cfvo type="num" val="0"/>
        <cfvo type="num" val="0.5"/>
        <cfvo type="num" val="1"/>
      </iconSet>
    </cfRule>
  </conditionalFormatting>
  <conditionalFormatting sqref="T125:T126">
    <cfRule type="iconSet" priority="1">
      <iconSet iconSet="5Arrows">
        <cfvo type="percent" val="0"/>
        <cfvo type="num" val="-0.5"/>
        <cfvo type="num" val="0"/>
        <cfvo type="num" val="0.5"/>
        <cfvo type="num" val="1"/>
      </iconSet>
    </cfRule>
  </conditionalFormatting>
  <conditionalFormatting sqref="T129:T133">
    <cfRule type="iconSet" priority="58">
      <iconSet iconSet="5Arrows">
        <cfvo type="percent" val="0"/>
        <cfvo type="num" val="-0.5"/>
        <cfvo type="num" val="0"/>
        <cfvo type="num" val="0.5"/>
        <cfvo type="num" val="1"/>
      </iconSet>
    </cfRule>
  </conditionalFormatting>
  <conditionalFormatting sqref="T134">
    <cfRule type="iconSet" priority="14">
      <iconSet iconSet="5Arrows">
        <cfvo type="percent" val="0"/>
        <cfvo type="num" val="-0.5"/>
        <cfvo type="num" val="0"/>
        <cfvo type="num" val="0.5"/>
        <cfvo type="num" val="1"/>
      </iconSet>
    </cfRule>
  </conditionalFormatting>
  <conditionalFormatting sqref="U6:U9">
    <cfRule type="iconSet" priority="101">
      <iconSet iconSet="5Arrows">
        <cfvo type="percent" val="0"/>
        <cfvo type="num" val="-0.5"/>
        <cfvo type="num" val="0"/>
        <cfvo type="num" val="0.5"/>
        <cfvo type="num" val="1"/>
      </iconSet>
    </cfRule>
  </conditionalFormatting>
  <conditionalFormatting sqref="U13:U16">
    <cfRule type="iconSet" priority="56">
      <iconSet iconSet="5Arrows">
        <cfvo type="percent" val="0"/>
        <cfvo type="num" val="-0.5"/>
        <cfvo type="num" val="0"/>
        <cfvo type="num" val="0.5"/>
        <cfvo type="num" val="1"/>
      </iconSet>
    </cfRule>
  </conditionalFormatting>
  <conditionalFormatting sqref="U16">
    <cfRule type="iconSet" priority="36">
      <iconSet iconSet="5Arrows">
        <cfvo type="percent" val="0"/>
        <cfvo type="num" val="-0.5"/>
        <cfvo type="num" val="0"/>
        <cfvo type="num" val="0.5"/>
        <cfvo type="num" val="1"/>
      </iconSet>
    </cfRule>
  </conditionalFormatting>
  <conditionalFormatting sqref="U20:U30">
    <cfRule type="iconSet" priority="51">
      <iconSet iconSet="5Arrows">
        <cfvo type="percent" val="0"/>
        <cfvo type="num" val="-0.5"/>
        <cfvo type="num" val="0"/>
        <cfvo type="num" val="0.5"/>
        <cfvo type="num" val="1"/>
      </iconSet>
    </cfRule>
  </conditionalFormatting>
  <conditionalFormatting sqref="U34:U40">
    <cfRule type="iconSet" priority="32">
      <iconSet iconSet="5Arrows">
        <cfvo type="percent" val="0"/>
        <cfvo type="num" val="-0.5"/>
        <cfvo type="num" val="0"/>
        <cfvo type="num" val="0.5"/>
        <cfvo type="num" val="1"/>
      </iconSet>
    </cfRule>
  </conditionalFormatting>
  <conditionalFormatting sqref="U45:U64">
    <cfRule type="iconSet" priority="89">
      <iconSet iconSet="5Arrows">
        <cfvo type="percent" val="0"/>
        <cfvo type="num" val="-0.5"/>
        <cfvo type="num" val="0"/>
        <cfvo type="num" val="0.5"/>
        <cfvo type="num" val="1"/>
      </iconSet>
    </cfRule>
  </conditionalFormatting>
  <conditionalFormatting sqref="U65">
    <cfRule type="iconSet" priority="28">
      <iconSet iconSet="5Arrows">
        <cfvo type="percent" val="0"/>
        <cfvo type="num" val="-0.5"/>
        <cfvo type="num" val="0"/>
        <cfvo type="num" val="0.5"/>
        <cfvo type="num" val="1"/>
      </iconSet>
    </cfRule>
  </conditionalFormatting>
  <conditionalFormatting sqref="U70:U72">
    <cfRule type="iconSet" priority="86">
      <iconSet iconSet="5Arrows">
        <cfvo type="percent" val="0"/>
        <cfvo type="num" val="-0.5"/>
        <cfvo type="num" val="0"/>
        <cfvo type="num" val="0.5"/>
        <cfvo type="num" val="1"/>
      </iconSet>
    </cfRule>
  </conditionalFormatting>
  <conditionalFormatting sqref="U73">
    <cfRule type="iconSet" priority="24">
      <iconSet iconSet="5Arrows">
        <cfvo type="percent" val="0"/>
        <cfvo type="num" val="-0.5"/>
        <cfvo type="num" val="0"/>
        <cfvo type="num" val="0.5"/>
        <cfvo type="num" val="1"/>
      </iconSet>
    </cfRule>
  </conditionalFormatting>
  <conditionalFormatting sqref="U77:U83">
    <cfRule type="iconSet" priority="83">
      <iconSet iconSet="5Arrows">
        <cfvo type="percent" val="0"/>
        <cfvo type="num" val="-0.5"/>
        <cfvo type="num" val="0"/>
        <cfvo type="num" val="0.5"/>
        <cfvo type="num" val="1"/>
      </iconSet>
    </cfRule>
  </conditionalFormatting>
  <conditionalFormatting sqref="U84">
    <cfRule type="iconSet" priority="21">
      <iconSet iconSet="5Arrows">
        <cfvo type="percent" val="0"/>
        <cfvo type="num" val="-0.5"/>
        <cfvo type="num" val="0"/>
        <cfvo type="num" val="0.5"/>
        <cfvo type="num" val="1"/>
      </iconSet>
    </cfRule>
  </conditionalFormatting>
  <conditionalFormatting sqref="U89:U104">
    <cfRule type="iconSet" priority="80">
      <iconSet iconSet="5Arrows">
        <cfvo type="percent" val="0"/>
        <cfvo type="num" val="-0.5"/>
        <cfvo type="num" val="0"/>
        <cfvo type="num" val="0.5"/>
        <cfvo type="num" val="1"/>
      </iconSet>
    </cfRule>
  </conditionalFormatting>
  <conditionalFormatting sqref="U105">
    <cfRule type="iconSet" priority="18">
      <iconSet iconSet="5Arrows">
        <cfvo type="percent" val="0"/>
        <cfvo type="num" val="-0.5"/>
        <cfvo type="num" val="0"/>
        <cfvo type="num" val="0.5"/>
        <cfvo type="num" val="1"/>
      </iconSet>
    </cfRule>
  </conditionalFormatting>
  <conditionalFormatting sqref="U109:U124">
    <cfRule type="iconSet" priority="6">
      <iconSet iconSet="5Arrows">
        <cfvo type="percent" val="0"/>
        <cfvo type="num" val="-0.5"/>
        <cfvo type="num" val="0"/>
        <cfvo type="num" val="0.5"/>
        <cfvo type="num" val="1"/>
      </iconSet>
    </cfRule>
  </conditionalFormatting>
  <conditionalFormatting sqref="U125:U126">
    <cfRule type="iconSet" priority="2">
      <iconSet iconSet="5Arrows">
        <cfvo type="percent" val="0"/>
        <cfvo type="num" val="-0.5"/>
        <cfvo type="num" val="0"/>
        <cfvo type="num" val="0.5"/>
        <cfvo type="num" val="1"/>
      </iconSet>
    </cfRule>
  </conditionalFormatting>
  <conditionalFormatting sqref="U129:U133">
    <cfRule type="iconSet" priority="77">
      <iconSet iconSet="5Arrows">
        <cfvo type="percent" val="0"/>
        <cfvo type="num" val="-0.5"/>
        <cfvo type="num" val="0"/>
        <cfvo type="num" val="0.5"/>
        <cfvo type="num" val="1"/>
      </iconSet>
    </cfRule>
  </conditionalFormatting>
  <conditionalFormatting sqref="U134">
    <cfRule type="iconSet" priority="15">
      <iconSet iconSet="5Arrows">
        <cfvo type="percent" val="0"/>
        <cfvo type="num" val="-0.5"/>
        <cfvo type="num" val="0"/>
        <cfvo type="num" val="0.5"/>
        <cfvo type="num" val="1"/>
      </iconSet>
    </cfRule>
  </conditionalFormatting>
  <conditionalFormatting sqref="V6:V9">
    <cfRule type="iconSet" priority="191">
      <iconSet iconSet="5Arrows">
        <cfvo type="percent" val="0"/>
        <cfvo type="num" val="-0.05"/>
        <cfvo type="num" val="0"/>
        <cfvo type="num" val="0.05"/>
        <cfvo type="num" val="0.1"/>
      </iconSet>
    </cfRule>
  </conditionalFormatting>
  <conditionalFormatting sqref="V13:V16">
    <cfRule type="iconSet" priority="192">
      <iconSet iconSet="5Arrows">
        <cfvo type="percent" val="0"/>
        <cfvo type="num" val="-0.05"/>
        <cfvo type="num" val="0"/>
        <cfvo type="num" val="0.05"/>
        <cfvo type="num" val="0.1"/>
      </iconSet>
    </cfRule>
  </conditionalFormatting>
  <conditionalFormatting sqref="V16">
    <cfRule type="iconSet" priority="193">
      <iconSet iconSet="5Arrows">
        <cfvo type="percent" val="0"/>
        <cfvo type="num" val="-0.05"/>
        <cfvo type="num" val="0"/>
        <cfvo type="num" val="0.05"/>
        <cfvo type="num" val="0.1"/>
      </iconSet>
    </cfRule>
  </conditionalFormatting>
  <conditionalFormatting sqref="V20:V30">
    <cfRule type="iconSet" priority="194">
      <iconSet iconSet="5Arrows">
        <cfvo type="percent" val="0"/>
        <cfvo type="num" val="-0.05"/>
        <cfvo type="num" val="0"/>
        <cfvo type="num" val="0.05"/>
        <cfvo type="num" val="0.1"/>
      </iconSet>
    </cfRule>
  </conditionalFormatting>
  <conditionalFormatting sqref="V34:V40">
    <cfRule type="iconSet" priority="195">
      <iconSet iconSet="5Arrows">
        <cfvo type="percent" val="0"/>
        <cfvo type="num" val="-0.05"/>
        <cfvo type="num" val="0"/>
        <cfvo type="num" val="0.05"/>
        <cfvo type="num" val="0.1"/>
      </iconSet>
    </cfRule>
  </conditionalFormatting>
  <conditionalFormatting sqref="V45:V64">
    <cfRule type="iconSet" priority="196">
      <iconSet iconSet="5Arrows">
        <cfvo type="percent" val="0"/>
        <cfvo type="num" val="-0.05"/>
        <cfvo type="num" val="0"/>
        <cfvo type="num" val="0.05"/>
        <cfvo type="num" val="0.1"/>
      </iconSet>
    </cfRule>
  </conditionalFormatting>
  <conditionalFormatting sqref="V65">
    <cfRule type="iconSet" priority="197">
      <iconSet iconSet="5Arrows">
        <cfvo type="percent" val="0"/>
        <cfvo type="num" val="-0.05"/>
        <cfvo type="num" val="0"/>
        <cfvo type="num" val="0.05"/>
        <cfvo type="num" val="0.1"/>
      </iconSet>
    </cfRule>
  </conditionalFormatting>
  <conditionalFormatting sqref="V70:V72">
    <cfRule type="iconSet" priority="198">
      <iconSet iconSet="5Arrows">
        <cfvo type="percent" val="0"/>
        <cfvo type="num" val="-0.05"/>
        <cfvo type="num" val="0"/>
        <cfvo type="num" val="0.05"/>
        <cfvo type="num" val="0.1"/>
      </iconSet>
    </cfRule>
  </conditionalFormatting>
  <conditionalFormatting sqref="V73">
    <cfRule type="iconSet" priority="200">
      <iconSet iconSet="5Arrows">
        <cfvo type="percent" val="0"/>
        <cfvo type="num" val="-0.05"/>
        <cfvo type="num" val="0"/>
        <cfvo type="num" val="0.05"/>
        <cfvo type="num" val="0.1"/>
      </iconSet>
    </cfRule>
  </conditionalFormatting>
  <conditionalFormatting sqref="V77:V83">
    <cfRule type="iconSet" priority="201">
      <iconSet iconSet="5Arrows">
        <cfvo type="percent" val="0"/>
        <cfvo type="num" val="-0.05"/>
        <cfvo type="num" val="0"/>
        <cfvo type="num" val="0.05"/>
        <cfvo type="num" val="0.1"/>
      </iconSet>
    </cfRule>
  </conditionalFormatting>
  <conditionalFormatting sqref="V84">
    <cfRule type="iconSet" priority="202">
      <iconSet iconSet="5Arrows">
        <cfvo type="percent" val="0"/>
        <cfvo type="num" val="-0.05"/>
        <cfvo type="num" val="0"/>
        <cfvo type="num" val="0.05"/>
        <cfvo type="num" val="0.1"/>
      </iconSet>
    </cfRule>
  </conditionalFormatting>
  <conditionalFormatting sqref="V89:V104">
    <cfRule type="iconSet" priority="203">
      <iconSet iconSet="5Arrows">
        <cfvo type="percent" val="0"/>
        <cfvo type="num" val="-0.05"/>
        <cfvo type="num" val="0"/>
        <cfvo type="num" val="0.05"/>
        <cfvo type="num" val="0.1"/>
      </iconSet>
    </cfRule>
  </conditionalFormatting>
  <conditionalFormatting sqref="V105">
    <cfRule type="iconSet" priority="204">
      <iconSet iconSet="5Arrows">
        <cfvo type="percent" val="0"/>
        <cfvo type="num" val="-0.05"/>
        <cfvo type="num" val="0"/>
        <cfvo type="num" val="0.05"/>
        <cfvo type="num" val="0.1"/>
      </iconSet>
    </cfRule>
  </conditionalFormatting>
  <conditionalFormatting sqref="V109:V124">
    <cfRule type="iconSet" priority="7">
      <iconSet iconSet="5Arrows">
        <cfvo type="percent" val="0"/>
        <cfvo type="num" val="-0.05"/>
        <cfvo type="num" val="0"/>
        <cfvo type="num" val="0.05"/>
        <cfvo type="num" val="0.1"/>
      </iconSet>
    </cfRule>
  </conditionalFormatting>
  <conditionalFormatting sqref="V125:V126">
    <cfRule type="iconSet" priority="8">
      <iconSet iconSet="5Arrows">
        <cfvo type="percent" val="0"/>
        <cfvo type="num" val="-0.05"/>
        <cfvo type="num" val="0"/>
        <cfvo type="num" val="0.05"/>
        <cfvo type="num" val="0.1"/>
      </iconSet>
    </cfRule>
  </conditionalFormatting>
  <conditionalFormatting sqref="V129:V133">
    <cfRule type="iconSet" priority="205">
      <iconSet iconSet="5Arrows">
        <cfvo type="percent" val="0"/>
        <cfvo type="num" val="-0.05"/>
        <cfvo type="num" val="0"/>
        <cfvo type="num" val="0.05"/>
        <cfvo type="num" val="0.1"/>
      </iconSet>
    </cfRule>
  </conditionalFormatting>
  <conditionalFormatting sqref="V134">
    <cfRule type="iconSet" priority="206">
      <iconSet iconSet="5Arrows">
        <cfvo type="percent" val="0"/>
        <cfvo type="num" val="-0.05"/>
        <cfvo type="num" val="0"/>
        <cfvo type="num" val="0.05"/>
        <cfvo type="num" val="0.1"/>
      </iconSet>
    </cfRule>
  </conditionalFormatting>
  <conditionalFormatting sqref="W6:W8">
    <cfRule type="dataBar" priority="1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{03B76790-4059-4E60-B3FA-C0FCA6E7C90D}</x14:id>
        </ext>
      </extLst>
    </cfRule>
  </conditionalFormatting>
  <conditionalFormatting sqref="W13:W15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{92D0A131-5DB7-4FC5-BB6E-8B54B9A89102}</x14:id>
        </ext>
      </extLst>
    </cfRule>
  </conditionalFormatting>
  <conditionalFormatting sqref="W20:W29"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{C011A082-4C80-4A2D-A4E9-AB6022B83F39}</x14:id>
        </ext>
      </extLst>
    </cfRule>
  </conditionalFormatting>
  <conditionalFormatting sqref="W34:W39">
    <cfRule type="dataBar" priority="9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{5C7A1F22-44C6-41E8-BD24-4419FE303BC3}</x14:id>
        </ext>
      </extLst>
    </cfRule>
  </conditionalFormatting>
  <conditionalFormatting sqref="W45:W64">
    <cfRule type="dataBar" priority="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{487EC468-2B70-4C07-B98F-FD24352E100B}</x14:id>
        </ext>
      </extLst>
    </cfRule>
  </conditionalFormatting>
  <conditionalFormatting sqref="W70:W72">
    <cfRule type="dataBar" priority="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{28CBAB40-CCD6-481B-819F-71FC83160334}</x14:id>
        </ext>
      </extLst>
    </cfRule>
  </conditionalFormatting>
  <conditionalFormatting sqref="W77:W83">
    <cfRule type="dataBar" priority="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{9781BDCE-C7E0-4EFE-84DD-6027F9244981}</x14:id>
        </ext>
      </extLst>
    </cfRule>
  </conditionalFormatting>
  <conditionalFormatting sqref="W89:W104">
    <cfRule type="dataBar" priority="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{AE319483-21E2-4E58-AC54-D020D59354A9}</x14:id>
        </ext>
      </extLst>
    </cfRule>
  </conditionalFormatting>
  <conditionalFormatting sqref="W109:W124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{CD6CD502-FF99-4D94-B315-384694DD8F0B}</x14:id>
        </ext>
      </extLst>
    </cfRule>
  </conditionalFormatting>
  <conditionalFormatting sqref="W129:W133">
    <cfRule type="dataBar" priority="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{A572AFAA-FE05-4329-B277-C073BD526E36}</x14:id>
        </ext>
      </extLst>
    </cfRule>
  </conditionalFormatting>
  <conditionalFormatting sqref="X6:X9">
    <cfRule type="dataBar" priority="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{C55ACDF9-FEE3-4849-A1BA-C311139F3E49}</x14:id>
        </ext>
      </extLst>
    </cfRule>
  </conditionalFormatting>
  <conditionalFormatting sqref="X13:X16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{ECC23F1C-8C8F-456A-9F8C-88317464A337}</x14:id>
        </ext>
      </extLst>
    </cfRule>
  </conditionalFormatting>
  <conditionalFormatting sqref="X20:X30"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{478D579C-1E48-4BEE-B4AF-E16AAA2C702C}</x14:id>
        </ext>
      </extLst>
    </cfRule>
  </conditionalFormatting>
  <conditionalFormatting sqref="X34:X40">
    <cfRule type="dataBar" priority="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{94472439-959F-4F52-9DC9-1CEBD043F94E}</x14:id>
        </ext>
      </extLst>
    </cfRule>
  </conditionalFormatting>
  <conditionalFormatting sqref="X45:X65">
    <cfRule type="dataBar" priority="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{531306EF-A092-44F3-8083-C6D67F0E348D}</x14:id>
        </ext>
      </extLst>
    </cfRule>
  </conditionalFormatting>
  <conditionalFormatting sqref="X70:X73">
    <cfRule type="dataBar" priority="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{AA3A9D3B-BF00-4DAE-BC4C-6425EC94C56E}</x14:id>
        </ext>
      </extLst>
    </cfRule>
  </conditionalFormatting>
  <conditionalFormatting sqref="X77:X84">
    <cfRule type="dataBar" priority="6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{04048A28-BC13-44D9-8B2F-A719154F42E5}</x14:id>
        </ext>
      </extLst>
    </cfRule>
  </conditionalFormatting>
  <conditionalFormatting sqref="X89:X105">
    <cfRule type="dataBar" priority="6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{00A63F90-4FB1-4A93-A1FA-6A6C1C271CBC}</x14:id>
        </ext>
      </extLst>
    </cfRule>
  </conditionalFormatting>
  <conditionalFormatting sqref="X109:X126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{98C0EBF2-9040-479B-92A4-33C60CDAE497}</x14:id>
        </ext>
      </extLst>
    </cfRule>
  </conditionalFormatting>
  <conditionalFormatting sqref="X129:X134">
    <cfRule type="dataBar" priority="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{F04BC37C-592D-43BC-8971-E7F0136CC779}</x14:id>
        </ext>
      </extLst>
    </cfRule>
  </conditionalFormatting>
  <hyperlinks>
    <hyperlink ref="A138" location="Indice!A5" display="Volver al índice" xr:uid="{00000000-0004-0000-0200-000000000000}"/>
  </hyperlinks>
  <pageMargins left="0.7" right="0.7" top="0.75" bottom="0.75" header="0.3" footer="0.3"/>
  <pageSetup orientation="portrait" verticalDpi="3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3B76790-4059-4E60-B3FA-C0FCA6E7C9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W6:W8</xm:sqref>
        </x14:conditionalFormatting>
        <x14:conditionalFormatting xmlns:xm="http://schemas.microsoft.com/office/excel/2006/main">
          <x14:cfRule type="dataBar" id="{92D0A131-5DB7-4FC5-BB6E-8B54B9A8910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W13:W15</xm:sqref>
        </x14:conditionalFormatting>
        <x14:conditionalFormatting xmlns:xm="http://schemas.microsoft.com/office/excel/2006/main">
          <x14:cfRule type="dataBar" id="{C011A082-4C80-4A2D-A4E9-AB6022B83F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W20:W29</xm:sqref>
        </x14:conditionalFormatting>
        <x14:conditionalFormatting xmlns:xm="http://schemas.microsoft.com/office/excel/2006/main">
          <x14:cfRule type="dataBar" id="{5C7A1F22-44C6-41E8-BD24-4419FE303B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W34:W39</xm:sqref>
        </x14:conditionalFormatting>
        <x14:conditionalFormatting xmlns:xm="http://schemas.microsoft.com/office/excel/2006/main">
          <x14:cfRule type="dataBar" id="{487EC468-2B70-4C07-B98F-FD24352E10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W45:W64</xm:sqref>
        </x14:conditionalFormatting>
        <x14:conditionalFormatting xmlns:xm="http://schemas.microsoft.com/office/excel/2006/main">
          <x14:cfRule type="dataBar" id="{28CBAB40-CCD6-481B-819F-71FC831603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W70:W72</xm:sqref>
        </x14:conditionalFormatting>
        <x14:conditionalFormatting xmlns:xm="http://schemas.microsoft.com/office/excel/2006/main">
          <x14:cfRule type="dataBar" id="{9781BDCE-C7E0-4EFE-84DD-6027F92449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W77:W83</xm:sqref>
        </x14:conditionalFormatting>
        <x14:conditionalFormatting xmlns:xm="http://schemas.microsoft.com/office/excel/2006/main">
          <x14:cfRule type="dataBar" id="{AE319483-21E2-4E58-AC54-D020D59354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W89:W104</xm:sqref>
        </x14:conditionalFormatting>
        <x14:conditionalFormatting xmlns:xm="http://schemas.microsoft.com/office/excel/2006/main">
          <x14:cfRule type="dataBar" id="{CD6CD502-FF99-4D94-B315-384694DD8F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W109:W124</xm:sqref>
        </x14:conditionalFormatting>
        <x14:conditionalFormatting xmlns:xm="http://schemas.microsoft.com/office/excel/2006/main">
          <x14:cfRule type="dataBar" id="{A572AFAA-FE05-4329-B277-C073BD526E3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W129:W133</xm:sqref>
        </x14:conditionalFormatting>
        <x14:conditionalFormatting xmlns:xm="http://schemas.microsoft.com/office/excel/2006/main">
          <x14:cfRule type="dataBar" id="{C55ACDF9-FEE3-4849-A1BA-C311139F3E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X6:X9</xm:sqref>
        </x14:conditionalFormatting>
        <x14:conditionalFormatting xmlns:xm="http://schemas.microsoft.com/office/excel/2006/main">
          <x14:cfRule type="dataBar" id="{ECC23F1C-8C8F-456A-9F8C-88317464A3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X13:X16</xm:sqref>
        </x14:conditionalFormatting>
        <x14:conditionalFormatting xmlns:xm="http://schemas.microsoft.com/office/excel/2006/main">
          <x14:cfRule type="dataBar" id="{478D579C-1E48-4BEE-B4AF-E16AAA2C70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X20:X30</xm:sqref>
        </x14:conditionalFormatting>
        <x14:conditionalFormatting xmlns:xm="http://schemas.microsoft.com/office/excel/2006/main">
          <x14:cfRule type="dataBar" id="{94472439-959F-4F52-9DC9-1CEBD043F94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X34:X40</xm:sqref>
        </x14:conditionalFormatting>
        <x14:conditionalFormatting xmlns:xm="http://schemas.microsoft.com/office/excel/2006/main">
          <x14:cfRule type="dataBar" id="{531306EF-A092-44F3-8083-C6D67F0E348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X45:X65</xm:sqref>
        </x14:conditionalFormatting>
        <x14:conditionalFormatting xmlns:xm="http://schemas.microsoft.com/office/excel/2006/main">
          <x14:cfRule type="dataBar" id="{AA3A9D3B-BF00-4DAE-BC4C-6425EC94C56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X70:X73</xm:sqref>
        </x14:conditionalFormatting>
        <x14:conditionalFormatting xmlns:xm="http://schemas.microsoft.com/office/excel/2006/main">
          <x14:cfRule type="dataBar" id="{04048A28-BC13-44D9-8B2F-A719154F42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X77:X84</xm:sqref>
        </x14:conditionalFormatting>
        <x14:conditionalFormatting xmlns:xm="http://schemas.microsoft.com/office/excel/2006/main">
          <x14:cfRule type="dataBar" id="{00A63F90-4FB1-4A93-A1FA-6A6C1C271C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X89:X105</xm:sqref>
        </x14:conditionalFormatting>
        <x14:conditionalFormatting xmlns:xm="http://schemas.microsoft.com/office/excel/2006/main">
          <x14:cfRule type="dataBar" id="{98C0EBF2-9040-479B-92A4-33C60CDAE4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X109:X126</xm:sqref>
        </x14:conditionalFormatting>
        <x14:conditionalFormatting xmlns:xm="http://schemas.microsoft.com/office/excel/2006/main">
          <x14:cfRule type="dataBar" id="{F04BC37C-592D-43BC-8971-E7F0136CC7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X129:X134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9" tint="0.59999389629810485"/>
  </sheetPr>
  <dimension ref="A1:F140"/>
  <sheetViews>
    <sheetView showGridLines="0" zoomScale="80" zoomScaleNormal="80" workbookViewId="0">
      <pane ySplit="2" topLeftCell="A3" activePane="bottomLeft" state="frozen"/>
      <selection pane="bottomLeft"/>
    </sheetView>
  </sheetViews>
  <sheetFormatPr baseColWidth="10" defaultColWidth="10.85546875" defaultRowHeight="15" x14ac:dyDescent="0.2"/>
  <cols>
    <col min="1" max="1" width="45.85546875" style="1" customWidth="1"/>
    <col min="2" max="5" width="17" style="35" customWidth="1"/>
    <col min="6" max="6" width="12.42578125" style="1" customWidth="1"/>
    <col min="7" max="16384" width="10.85546875" style="1"/>
  </cols>
  <sheetData>
    <row r="1" spans="1:5" ht="21" x14ac:dyDescent="0.2">
      <c r="A1" s="54" t="s">
        <v>373</v>
      </c>
      <c r="B1" s="36"/>
      <c r="C1" s="36"/>
      <c r="D1" s="36"/>
      <c r="E1" s="36"/>
    </row>
    <row r="2" spans="1:5" ht="24.75" customHeight="1" x14ac:dyDescent="0.2">
      <c r="A2" s="31"/>
      <c r="B2" s="36"/>
      <c r="C2" s="36"/>
      <c r="D2" s="36"/>
      <c r="E2" s="36"/>
    </row>
    <row r="3" spans="1:5" x14ac:dyDescent="0.2">
      <c r="A3" s="31"/>
      <c r="B3" s="36"/>
      <c r="C3" s="36"/>
      <c r="D3" s="36"/>
      <c r="E3" s="36"/>
    </row>
    <row r="4" spans="1:5" ht="15.75" x14ac:dyDescent="0.2">
      <c r="A4" s="22" t="s">
        <v>374</v>
      </c>
      <c r="B4" s="36"/>
      <c r="C4" s="36"/>
      <c r="D4" s="36"/>
      <c r="E4" s="36"/>
    </row>
    <row r="5" spans="1:5" ht="30" customHeight="1" x14ac:dyDescent="0.2">
      <c r="A5" s="74" t="s">
        <v>207</v>
      </c>
      <c r="B5" s="37" t="s">
        <v>5</v>
      </c>
      <c r="C5" s="37" t="s">
        <v>6</v>
      </c>
      <c r="D5" s="37" t="s">
        <v>7</v>
      </c>
      <c r="E5" s="37" t="s">
        <v>8</v>
      </c>
    </row>
    <row r="6" spans="1:5" x14ac:dyDescent="0.2">
      <c r="A6" s="4" t="s">
        <v>375</v>
      </c>
      <c r="B6" s="33">
        <v>21167</v>
      </c>
      <c r="C6" s="33">
        <v>44140</v>
      </c>
      <c r="D6" s="33">
        <v>60041</v>
      </c>
      <c r="E6" s="33">
        <v>125348</v>
      </c>
    </row>
    <row r="7" spans="1:5" ht="15" customHeight="1" x14ac:dyDescent="0.2">
      <c r="A7" s="4" t="s">
        <v>376</v>
      </c>
      <c r="B7" s="33">
        <v>15985</v>
      </c>
      <c r="C7" s="33">
        <v>37145</v>
      </c>
      <c r="D7" s="33">
        <v>46338</v>
      </c>
      <c r="E7" s="33">
        <v>99468</v>
      </c>
    </row>
    <row r="8" spans="1:5" x14ac:dyDescent="0.2">
      <c r="A8" s="4" t="s">
        <v>499</v>
      </c>
      <c r="B8" s="33">
        <v>0</v>
      </c>
      <c r="C8" s="33">
        <v>0</v>
      </c>
      <c r="D8" s="33">
        <v>1</v>
      </c>
      <c r="E8" s="33">
        <v>1</v>
      </c>
    </row>
    <row r="9" spans="1:5" x14ac:dyDescent="0.2">
      <c r="A9" s="5" t="s">
        <v>377</v>
      </c>
      <c r="B9" s="34">
        <v>37152</v>
      </c>
      <c r="C9" s="34">
        <v>81285</v>
      </c>
      <c r="D9" s="34">
        <v>106380</v>
      </c>
      <c r="E9" s="34">
        <v>224817</v>
      </c>
    </row>
    <row r="10" spans="1:5" x14ac:dyDescent="0.2">
      <c r="A10" s="31"/>
      <c r="B10" s="36"/>
      <c r="C10" s="36"/>
      <c r="D10" s="36"/>
      <c r="E10" s="36"/>
    </row>
    <row r="11" spans="1:5" ht="15.75" x14ac:dyDescent="0.2">
      <c r="A11" s="22" t="s">
        <v>378</v>
      </c>
      <c r="B11" s="36"/>
      <c r="C11" s="36"/>
      <c r="D11" s="36"/>
      <c r="E11" s="36"/>
    </row>
    <row r="12" spans="1:5" ht="30" customHeight="1" x14ac:dyDescent="0.2">
      <c r="A12" s="74" t="s">
        <v>25</v>
      </c>
      <c r="B12" s="37" t="s">
        <v>5</v>
      </c>
      <c r="C12" s="37" t="s">
        <v>6</v>
      </c>
      <c r="D12" s="37" t="s">
        <v>7</v>
      </c>
      <c r="E12" s="37" t="s">
        <v>8</v>
      </c>
    </row>
    <row r="13" spans="1:5" x14ac:dyDescent="0.2">
      <c r="A13" s="4" t="s">
        <v>26</v>
      </c>
      <c r="B13" s="105">
        <v>294</v>
      </c>
      <c r="C13" s="105">
        <v>142</v>
      </c>
      <c r="D13" s="105">
        <v>126</v>
      </c>
      <c r="E13" s="105">
        <v>562</v>
      </c>
    </row>
    <row r="14" spans="1:5" x14ac:dyDescent="0.2">
      <c r="A14" s="4" t="s">
        <v>27</v>
      </c>
      <c r="B14" s="105">
        <v>18072</v>
      </c>
      <c r="C14" s="105">
        <v>30607</v>
      </c>
      <c r="D14" s="105">
        <v>47179</v>
      </c>
      <c r="E14" s="105">
        <v>95858</v>
      </c>
    </row>
    <row r="15" spans="1:5" x14ac:dyDescent="0.2">
      <c r="A15" s="4" t="s">
        <v>28</v>
      </c>
      <c r="B15" s="105">
        <v>7329</v>
      </c>
      <c r="C15" s="105">
        <v>17594</v>
      </c>
      <c r="D15" s="105">
        <v>37896</v>
      </c>
      <c r="E15" s="105">
        <v>62819</v>
      </c>
    </row>
    <row r="16" spans="1:5" x14ac:dyDescent="0.2">
      <c r="A16" s="4" t="s">
        <v>29</v>
      </c>
      <c r="B16" s="105">
        <v>4352</v>
      </c>
      <c r="C16" s="105">
        <v>12106</v>
      </c>
      <c r="D16" s="105">
        <v>9702</v>
      </c>
      <c r="E16" s="105">
        <v>26160</v>
      </c>
    </row>
    <row r="17" spans="1:6" x14ac:dyDescent="0.2">
      <c r="A17" s="4" t="s">
        <v>30</v>
      </c>
      <c r="B17" s="105">
        <v>2930</v>
      </c>
      <c r="C17" s="105">
        <v>9012</v>
      </c>
      <c r="D17" s="105">
        <v>5093</v>
      </c>
      <c r="E17" s="105">
        <v>17035</v>
      </c>
    </row>
    <row r="18" spans="1:6" x14ac:dyDescent="0.2">
      <c r="A18" s="4" t="s">
        <v>31</v>
      </c>
      <c r="B18" s="105">
        <v>4175</v>
      </c>
      <c r="C18" s="105">
        <v>11823</v>
      </c>
      <c r="D18" s="105">
        <v>6384</v>
      </c>
      <c r="E18" s="105">
        <v>22382</v>
      </c>
    </row>
    <row r="19" spans="1:6" x14ac:dyDescent="0.2">
      <c r="A19" s="4" t="s">
        <v>32</v>
      </c>
      <c r="B19" s="105">
        <v>0</v>
      </c>
      <c r="C19" s="105">
        <v>1</v>
      </c>
      <c r="D19" s="105">
        <v>0</v>
      </c>
      <c r="E19" s="105">
        <v>1</v>
      </c>
    </row>
    <row r="20" spans="1:6" x14ac:dyDescent="0.2">
      <c r="A20" s="5" t="s">
        <v>4</v>
      </c>
      <c r="B20" s="106">
        <v>37152</v>
      </c>
      <c r="C20" s="106">
        <v>81285</v>
      </c>
      <c r="D20" s="106">
        <v>106380</v>
      </c>
      <c r="E20" s="106">
        <v>224817</v>
      </c>
    </row>
    <row r="21" spans="1:6" x14ac:dyDescent="0.2">
      <c r="A21" s="73" t="s">
        <v>34</v>
      </c>
      <c r="B21" s="79">
        <v>27.906034668389299</v>
      </c>
      <c r="C21" s="79">
        <v>29.7250750455194</v>
      </c>
      <c r="D21" s="79">
        <v>27.0565143824027</v>
      </c>
      <c r="E21" s="82">
        <v>28.161741157213001</v>
      </c>
    </row>
    <row r="22" spans="1:6" x14ac:dyDescent="0.2">
      <c r="A22" s="31"/>
      <c r="B22" s="31"/>
      <c r="C22" s="31"/>
      <c r="D22" s="31"/>
      <c r="E22" s="31"/>
      <c r="F22" s="31"/>
    </row>
    <row r="23" spans="1:6" ht="15.75" x14ac:dyDescent="0.2">
      <c r="A23" s="22" t="s">
        <v>379</v>
      </c>
      <c r="B23" s="36"/>
      <c r="C23" s="36"/>
      <c r="D23" s="36"/>
      <c r="E23" s="36"/>
    </row>
    <row r="24" spans="1:6" ht="30" customHeight="1" x14ac:dyDescent="0.2">
      <c r="A24" s="74" t="s">
        <v>35</v>
      </c>
      <c r="B24" s="37" t="s">
        <v>5</v>
      </c>
      <c r="C24" s="37" t="s">
        <v>6</v>
      </c>
      <c r="D24" s="37" t="s">
        <v>7</v>
      </c>
      <c r="E24" s="37" t="s">
        <v>8</v>
      </c>
    </row>
    <row r="25" spans="1:6" x14ac:dyDescent="0.2">
      <c r="A25" s="4" t="s">
        <v>36</v>
      </c>
      <c r="B25" s="33">
        <v>37152</v>
      </c>
      <c r="C25" s="33">
        <v>39733</v>
      </c>
      <c r="D25" s="33">
        <v>5677</v>
      </c>
      <c r="E25" s="33">
        <v>82562</v>
      </c>
    </row>
    <row r="26" spans="1:6" x14ac:dyDescent="0.2">
      <c r="A26" s="4" t="s">
        <v>37</v>
      </c>
      <c r="B26" s="33">
        <v>0</v>
      </c>
      <c r="C26" s="33">
        <v>41552</v>
      </c>
      <c r="D26" s="33">
        <v>3719</v>
      </c>
      <c r="E26" s="33">
        <v>45271</v>
      </c>
    </row>
    <row r="27" spans="1:6" x14ac:dyDescent="0.2">
      <c r="A27" s="4" t="s">
        <v>38</v>
      </c>
      <c r="B27" s="33">
        <v>0</v>
      </c>
      <c r="C27" s="33">
        <v>0</v>
      </c>
      <c r="D27" s="33">
        <v>2864</v>
      </c>
      <c r="E27" s="33">
        <v>2864</v>
      </c>
    </row>
    <row r="28" spans="1:6" x14ac:dyDescent="0.2">
      <c r="A28" s="4" t="s">
        <v>39</v>
      </c>
      <c r="B28" s="34">
        <v>0</v>
      </c>
      <c r="C28" s="34">
        <v>0</v>
      </c>
      <c r="D28" s="33">
        <v>94120</v>
      </c>
      <c r="E28" s="33">
        <v>94120</v>
      </c>
    </row>
    <row r="29" spans="1:6" x14ac:dyDescent="0.2">
      <c r="A29" s="5" t="s">
        <v>4</v>
      </c>
      <c r="B29" s="53">
        <v>37152</v>
      </c>
      <c r="C29" s="53">
        <v>81285</v>
      </c>
      <c r="D29" s="53">
        <v>106380</v>
      </c>
      <c r="E29" s="53">
        <v>224817</v>
      </c>
    </row>
    <row r="30" spans="1:6" x14ac:dyDescent="0.2">
      <c r="A30" s="31"/>
      <c r="B30" s="36"/>
      <c r="C30" s="36"/>
      <c r="D30" s="36"/>
      <c r="E30" s="36"/>
    </row>
    <row r="31" spans="1:6" ht="15.75" x14ac:dyDescent="0.2">
      <c r="A31" s="22" t="s">
        <v>463</v>
      </c>
      <c r="B31" s="36"/>
      <c r="C31" s="36"/>
      <c r="D31" s="36"/>
      <c r="E31" s="36"/>
    </row>
    <row r="32" spans="1:6" ht="25.5" x14ac:dyDescent="0.2">
      <c r="A32" s="74" t="s">
        <v>10</v>
      </c>
      <c r="B32" s="37" t="s">
        <v>5</v>
      </c>
      <c r="C32" s="37" t="s">
        <v>6</v>
      </c>
      <c r="D32" s="37" t="s">
        <v>7</v>
      </c>
      <c r="E32" s="37" t="s">
        <v>8</v>
      </c>
    </row>
    <row r="33" spans="1:6" x14ac:dyDescent="0.2">
      <c r="A33" s="4" t="s">
        <v>11</v>
      </c>
      <c r="B33" s="52">
        <v>9846</v>
      </c>
      <c r="C33" s="52">
        <v>24755</v>
      </c>
      <c r="D33" s="52">
        <v>15775</v>
      </c>
      <c r="E33" s="52">
        <v>50376</v>
      </c>
    </row>
    <row r="34" spans="1:6" x14ac:dyDescent="0.2">
      <c r="A34" s="4" t="s">
        <v>12</v>
      </c>
      <c r="B34" s="52">
        <v>1804</v>
      </c>
      <c r="C34" s="52">
        <v>1347</v>
      </c>
      <c r="D34" s="52">
        <v>2881</v>
      </c>
      <c r="E34" s="52">
        <v>6032</v>
      </c>
    </row>
    <row r="35" spans="1:6" x14ac:dyDescent="0.2">
      <c r="A35" s="4" t="s">
        <v>13</v>
      </c>
      <c r="B35" s="52">
        <v>870</v>
      </c>
      <c r="C35" s="52">
        <v>5224</v>
      </c>
      <c r="D35" s="52">
        <v>4464</v>
      </c>
      <c r="E35" s="52">
        <v>10558</v>
      </c>
    </row>
    <row r="36" spans="1:6" x14ac:dyDescent="0.2">
      <c r="A36" s="4" t="s">
        <v>14</v>
      </c>
      <c r="B36" s="52">
        <v>94</v>
      </c>
      <c r="C36" s="52">
        <v>253</v>
      </c>
      <c r="D36" s="52">
        <v>2283</v>
      </c>
      <c r="E36" s="52">
        <v>2630</v>
      </c>
    </row>
    <row r="37" spans="1:6" x14ac:dyDescent="0.2">
      <c r="A37" s="4" t="s">
        <v>15</v>
      </c>
      <c r="B37" s="52">
        <v>1529</v>
      </c>
      <c r="C37" s="52">
        <v>7995</v>
      </c>
      <c r="D37" s="52">
        <v>15321</v>
      </c>
      <c r="E37" s="52">
        <v>24845</v>
      </c>
    </row>
    <row r="38" spans="1:6" x14ac:dyDescent="0.2">
      <c r="A38" s="4" t="s">
        <v>16</v>
      </c>
      <c r="B38" s="52">
        <v>261</v>
      </c>
      <c r="C38" s="52">
        <v>561</v>
      </c>
      <c r="D38" s="52">
        <v>4943</v>
      </c>
      <c r="E38" s="52">
        <v>5765</v>
      </c>
    </row>
    <row r="39" spans="1:6" x14ac:dyDescent="0.2">
      <c r="A39" s="4" t="s">
        <v>17</v>
      </c>
      <c r="B39" s="52">
        <v>4708</v>
      </c>
      <c r="C39" s="52">
        <v>6110</v>
      </c>
      <c r="D39" s="52">
        <v>12166</v>
      </c>
      <c r="E39" s="52">
        <v>22984</v>
      </c>
    </row>
    <row r="40" spans="1:6" x14ac:dyDescent="0.2">
      <c r="A40" s="4" t="s">
        <v>18</v>
      </c>
      <c r="B40" s="52">
        <v>29</v>
      </c>
      <c r="C40" s="52">
        <v>144</v>
      </c>
      <c r="D40" s="52">
        <v>912</v>
      </c>
      <c r="E40" s="52">
        <v>1085</v>
      </c>
    </row>
    <row r="41" spans="1:6" x14ac:dyDescent="0.2">
      <c r="A41" s="4" t="s">
        <v>19</v>
      </c>
      <c r="B41" s="52">
        <v>7703</v>
      </c>
      <c r="C41" s="52">
        <v>9747</v>
      </c>
      <c r="D41" s="52">
        <v>24219</v>
      </c>
      <c r="E41" s="52">
        <v>41669</v>
      </c>
    </row>
    <row r="42" spans="1:6" x14ac:dyDescent="0.2">
      <c r="A42" s="4" t="s">
        <v>20</v>
      </c>
      <c r="B42" s="52">
        <v>10308</v>
      </c>
      <c r="C42" s="52">
        <v>25149</v>
      </c>
      <c r="D42" s="52">
        <v>23416</v>
      </c>
      <c r="E42" s="52">
        <v>58873</v>
      </c>
    </row>
    <row r="43" spans="1:6" x14ac:dyDescent="0.2">
      <c r="A43" s="5" t="s">
        <v>4</v>
      </c>
      <c r="B43" s="53">
        <v>37152</v>
      </c>
      <c r="C43" s="53">
        <v>81285</v>
      </c>
      <c r="D43" s="53">
        <v>106380</v>
      </c>
      <c r="E43" s="53">
        <v>224817</v>
      </c>
    </row>
    <row r="44" spans="1:6" x14ac:dyDescent="0.2">
      <c r="A44" s="31"/>
      <c r="B44" s="36"/>
      <c r="C44" s="36"/>
      <c r="D44" s="36"/>
      <c r="E44" s="36"/>
    </row>
    <row r="45" spans="1:6" ht="15.75" x14ac:dyDescent="0.2">
      <c r="A45" s="22" t="s">
        <v>464</v>
      </c>
      <c r="B45" s="36"/>
      <c r="C45" s="36"/>
      <c r="D45" s="36"/>
      <c r="E45" s="36"/>
    </row>
    <row r="46" spans="1:6" ht="25.5" x14ac:dyDescent="0.2">
      <c r="A46" s="74" t="s">
        <v>10</v>
      </c>
      <c r="B46" s="37" t="s">
        <v>188</v>
      </c>
      <c r="C46" s="37" t="s">
        <v>189</v>
      </c>
      <c r="D46" s="37" t="s">
        <v>498</v>
      </c>
      <c r="E46" s="37" t="s">
        <v>8</v>
      </c>
    </row>
    <row r="47" spans="1:6" x14ac:dyDescent="0.2">
      <c r="A47" s="4" t="s">
        <v>11</v>
      </c>
      <c r="B47" s="52">
        <v>29474</v>
      </c>
      <c r="C47" s="52">
        <v>20902</v>
      </c>
      <c r="D47" s="52">
        <v>0</v>
      </c>
      <c r="E47" s="52">
        <v>50376</v>
      </c>
      <c r="F47" s="100"/>
    </row>
    <row r="48" spans="1:6" x14ac:dyDescent="0.2">
      <c r="A48" s="4" t="s">
        <v>12</v>
      </c>
      <c r="B48" s="52">
        <v>3474</v>
      </c>
      <c r="C48" s="52">
        <v>2558</v>
      </c>
      <c r="D48" s="52">
        <v>0</v>
      </c>
      <c r="E48" s="52">
        <v>6032</v>
      </c>
      <c r="F48" s="100"/>
    </row>
    <row r="49" spans="1:6" x14ac:dyDescent="0.2">
      <c r="A49" s="4" t="s">
        <v>13</v>
      </c>
      <c r="B49" s="52">
        <v>7022</v>
      </c>
      <c r="C49" s="52">
        <v>3536</v>
      </c>
      <c r="D49" s="52">
        <v>0</v>
      </c>
      <c r="E49" s="52">
        <v>10558</v>
      </c>
      <c r="F49" s="100"/>
    </row>
    <row r="50" spans="1:6" x14ac:dyDescent="0.2">
      <c r="A50" s="4" t="s">
        <v>14</v>
      </c>
      <c r="B50" s="52">
        <v>1160</v>
      </c>
      <c r="C50" s="52">
        <v>1469</v>
      </c>
      <c r="D50" s="52">
        <v>1</v>
      </c>
      <c r="E50" s="52">
        <v>2630</v>
      </c>
      <c r="F50" s="100"/>
    </row>
    <row r="51" spans="1:6" x14ac:dyDescent="0.2">
      <c r="A51" s="4" t="s">
        <v>15</v>
      </c>
      <c r="B51" s="52">
        <v>18252</v>
      </c>
      <c r="C51" s="52">
        <v>6593</v>
      </c>
      <c r="D51" s="52">
        <v>0</v>
      </c>
      <c r="E51" s="52">
        <v>24845</v>
      </c>
      <c r="F51" s="100"/>
    </row>
    <row r="52" spans="1:6" x14ac:dyDescent="0.2">
      <c r="A52" s="4" t="s">
        <v>16</v>
      </c>
      <c r="B52" s="52">
        <v>3322</v>
      </c>
      <c r="C52" s="52">
        <v>2443</v>
      </c>
      <c r="D52" s="52">
        <v>0</v>
      </c>
      <c r="E52" s="52">
        <v>5765</v>
      </c>
      <c r="F52" s="100"/>
    </row>
    <row r="53" spans="1:6" x14ac:dyDescent="0.2">
      <c r="A53" s="4" t="s">
        <v>17</v>
      </c>
      <c r="B53" s="52">
        <v>17902</v>
      </c>
      <c r="C53" s="52">
        <v>5082</v>
      </c>
      <c r="D53" s="52">
        <v>0</v>
      </c>
      <c r="E53" s="52">
        <v>22984</v>
      </c>
      <c r="F53" s="100"/>
    </row>
    <row r="54" spans="1:6" x14ac:dyDescent="0.2">
      <c r="A54" s="4" t="s">
        <v>18</v>
      </c>
      <c r="B54" s="52">
        <v>671</v>
      </c>
      <c r="C54" s="52">
        <v>414</v>
      </c>
      <c r="D54" s="52">
        <v>0</v>
      </c>
      <c r="E54" s="52">
        <v>1085</v>
      </c>
      <c r="F54" s="100"/>
    </row>
    <row r="55" spans="1:6" x14ac:dyDescent="0.2">
      <c r="A55" s="4" t="s">
        <v>19</v>
      </c>
      <c r="B55" s="52">
        <v>32867</v>
      </c>
      <c r="C55" s="52">
        <v>8802</v>
      </c>
      <c r="D55" s="52">
        <v>0</v>
      </c>
      <c r="E55" s="52">
        <v>41669</v>
      </c>
      <c r="F55" s="100"/>
    </row>
    <row r="56" spans="1:6" x14ac:dyDescent="0.2">
      <c r="A56" s="4" t="s">
        <v>20</v>
      </c>
      <c r="B56" s="52">
        <v>11204</v>
      </c>
      <c r="C56" s="52">
        <v>47669</v>
      </c>
      <c r="D56" s="52">
        <v>0</v>
      </c>
      <c r="E56" s="52">
        <v>58873</v>
      </c>
      <c r="F56" s="100"/>
    </row>
    <row r="57" spans="1:6" x14ac:dyDescent="0.2">
      <c r="A57" s="5" t="s">
        <v>4</v>
      </c>
      <c r="B57" s="53">
        <v>125348</v>
      </c>
      <c r="C57" s="53">
        <v>99468</v>
      </c>
      <c r="D57" s="53">
        <v>1</v>
      </c>
      <c r="E57" s="53">
        <v>224817</v>
      </c>
    </row>
    <row r="58" spans="1:6" x14ac:dyDescent="0.2">
      <c r="B58" s="1"/>
      <c r="C58" s="1"/>
      <c r="D58" s="1"/>
      <c r="E58" s="1"/>
    </row>
    <row r="59" spans="1:6" ht="15.75" x14ac:dyDescent="0.2">
      <c r="A59" s="22" t="s">
        <v>458</v>
      </c>
      <c r="B59" s="36"/>
      <c r="C59" s="36"/>
      <c r="D59" s="36"/>
      <c r="E59" s="36"/>
    </row>
    <row r="60" spans="1:6" ht="25.5" x14ac:dyDescent="0.2">
      <c r="A60" s="74" t="s">
        <v>10</v>
      </c>
      <c r="B60" s="37" t="s">
        <v>5</v>
      </c>
      <c r="C60" s="37" t="s">
        <v>6</v>
      </c>
      <c r="D60" s="37" t="s">
        <v>7</v>
      </c>
      <c r="E60" s="37" t="s">
        <v>8</v>
      </c>
    </row>
    <row r="61" spans="1:6" x14ac:dyDescent="0.2">
      <c r="A61" s="92" t="s">
        <v>446</v>
      </c>
      <c r="B61" s="52">
        <v>7060</v>
      </c>
      <c r="C61" s="52">
        <v>23849</v>
      </c>
      <c r="D61" s="52">
        <v>22363</v>
      </c>
      <c r="E61" s="52">
        <v>53272</v>
      </c>
    </row>
    <row r="62" spans="1:6" x14ac:dyDescent="0.2">
      <c r="A62" s="92" t="s">
        <v>447</v>
      </c>
      <c r="B62" s="52">
        <v>1800</v>
      </c>
      <c r="C62" s="52">
        <v>1347</v>
      </c>
      <c r="D62" s="52">
        <v>2871</v>
      </c>
      <c r="E62" s="52">
        <v>6018</v>
      </c>
    </row>
    <row r="63" spans="1:6" x14ac:dyDescent="0.2">
      <c r="A63" s="92" t="s">
        <v>448</v>
      </c>
      <c r="B63" s="52">
        <v>364</v>
      </c>
      <c r="C63" s="52">
        <v>3753</v>
      </c>
      <c r="D63" s="52">
        <v>3943</v>
      </c>
      <c r="E63" s="52">
        <v>8060</v>
      </c>
    </row>
    <row r="64" spans="1:6" x14ac:dyDescent="0.2">
      <c r="A64" s="92" t="s">
        <v>449</v>
      </c>
      <c r="B64" s="52">
        <v>156</v>
      </c>
      <c r="C64" s="52">
        <v>387</v>
      </c>
      <c r="D64" s="52">
        <v>2597</v>
      </c>
      <c r="E64" s="52">
        <v>3140</v>
      </c>
    </row>
    <row r="65" spans="1:5" x14ac:dyDescent="0.2">
      <c r="A65" s="92" t="s">
        <v>450</v>
      </c>
      <c r="B65" s="52">
        <v>61</v>
      </c>
      <c r="C65" s="52">
        <v>22</v>
      </c>
      <c r="D65" s="52">
        <v>9660</v>
      </c>
      <c r="E65" s="52">
        <v>9743</v>
      </c>
    </row>
    <row r="66" spans="1:5" x14ac:dyDescent="0.2">
      <c r="A66" s="92" t="s">
        <v>17</v>
      </c>
      <c r="B66" s="52">
        <v>3780</v>
      </c>
      <c r="C66" s="52">
        <v>5223</v>
      </c>
      <c r="D66" s="52">
        <v>11719</v>
      </c>
      <c r="E66" s="52">
        <v>20722</v>
      </c>
    </row>
    <row r="67" spans="1:5" x14ac:dyDescent="0.2">
      <c r="A67" s="92" t="s">
        <v>451</v>
      </c>
      <c r="B67" s="52">
        <v>8645</v>
      </c>
      <c r="C67" s="52">
        <v>17274</v>
      </c>
      <c r="D67" s="52">
        <v>21116</v>
      </c>
      <c r="E67" s="52">
        <v>47035</v>
      </c>
    </row>
    <row r="68" spans="1:5" x14ac:dyDescent="0.2">
      <c r="A68" s="92" t="s">
        <v>452</v>
      </c>
      <c r="B68" s="52">
        <v>8739</v>
      </c>
      <c r="C68" s="52">
        <v>15463</v>
      </c>
      <c r="D68" s="52">
        <v>27456</v>
      </c>
      <c r="E68" s="52">
        <v>51658</v>
      </c>
    </row>
    <row r="69" spans="1:5" x14ac:dyDescent="0.2">
      <c r="A69" s="92" t="s">
        <v>453</v>
      </c>
      <c r="B69" s="52">
        <v>5205</v>
      </c>
      <c r="C69" s="52">
        <v>8853</v>
      </c>
      <c r="D69" s="52">
        <v>1535</v>
      </c>
      <c r="E69" s="52">
        <v>15593</v>
      </c>
    </row>
    <row r="70" spans="1:5" x14ac:dyDescent="0.2">
      <c r="A70" s="92" t="s">
        <v>454</v>
      </c>
      <c r="B70" s="52">
        <v>1342</v>
      </c>
      <c r="C70" s="52">
        <v>5114</v>
      </c>
      <c r="D70" s="52">
        <v>3120</v>
      </c>
      <c r="E70" s="52">
        <v>9576</v>
      </c>
    </row>
    <row r="71" spans="1:5" x14ac:dyDescent="0.2">
      <c r="A71" s="66" t="s">
        <v>4</v>
      </c>
      <c r="B71" s="53">
        <v>37152</v>
      </c>
      <c r="C71" s="53">
        <v>81285</v>
      </c>
      <c r="D71" s="53">
        <v>106380</v>
      </c>
      <c r="E71" s="53">
        <v>224817</v>
      </c>
    </row>
    <row r="72" spans="1:5" x14ac:dyDescent="0.2">
      <c r="A72" s="31"/>
      <c r="B72" s="36"/>
      <c r="C72" s="36"/>
      <c r="D72" s="36"/>
      <c r="E72" s="36"/>
    </row>
    <row r="73" spans="1:5" ht="15.75" x14ac:dyDescent="0.2">
      <c r="A73" s="22" t="s">
        <v>457</v>
      </c>
      <c r="B73" s="36"/>
      <c r="C73" s="36"/>
      <c r="D73" s="36"/>
      <c r="E73" s="36"/>
    </row>
    <row r="74" spans="1:5" ht="25.5" x14ac:dyDescent="0.2">
      <c r="A74" s="74" t="s">
        <v>10</v>
      </c>
      <c r="B74" s="37" t="s">
        <v>188</v>
      </c>
      <c r="C74" s="37" t="s">
        <v>189</v>
      </c>
      <c r="D74" s="37" t="s">
        <v>498</v>
      </c>
      <c r="E74" s="37" t="s">
        <v>8</v>
      </c>
    </row>
    <row r="75" spans="1:5" x14ac:dyDescent="0.2">
      <c r="A75" s="92" t="s">
        <v>446</v>
      </c>
      <c r="B75" s="52">
        <v>31482</v>
      </c>
      <c r="C75" s="52">
        <v>21790</v>
      </c>
      <c r="D75" s="52">
        <v>0</v>
      </c>
      <c r="E75" s="52">
        <v>53272</v>
      </c>
    </row>
    <row r="76" spans="1:5" x14ac:dyDescent="0.2">
      <c r="A76" s="92" t="s">
        <v>447</v>
      </c>
      <c r="B76" s="52">
        <v>3470</v>
      </c>
      <c r="C76" s="52">
        <v>2548</v>
      </c>
      <c r="D76" s="52">
        <v>0</v>
      </c>
      <c r="E76" s="52">
        <v>6018</v>
      </c>
    </row>
    <row r="77" spans="1:5" x14ac:dyDescent="0.2">
      <c r="A77" s="92" t="s">
        <v>448</v>
      </c>
      <c r="B77" s="52">
        <v>4696</v>
      </c>
      <c r="C77" s="52">
        <v>3364</v>
      </c>
      <c r="D77" s="52">
        <v>0</v>
      </c>
      <c r="E77" s="52">
        <v>8060</v>
      </c>
    </row>
    <row r="78" spans="1:5" x14ac:dyDescent="0.2">
      <c r="A78" s="92" t="s">
        <v>449</v>
      </c>
      <c r="B78" s="52">
        <v>1415</v>
      </c>
      <c r="C78" s="52">
        <v>1724</v>
      </c>
      <c r="D78" s="52">
        <v>1</v>
      </c>
      <c r="E78" s="52">
        <v>3140</v>
      </c>
    </row>
    <row r="79" spans="1:5" x14ac:dyDescent="0.2">
      <c r="A79" s="92" t="s">
        <v>450</v>
      </c>
      <c r="B79" s="52">
        <v>6582</v>
      </c>
      <c r="C79" s="52">
        <v>3161</v>
      </c>
      <c r="D79" s="52">
        <v>0</v>
      </c>
      <c r="E79" s="52">
        <v>9743</v>
      </c>
    </row>
    <row r="80" spans="1:5" x14ac:dyDescent="0.2">
      <c r="A80" s="92" t="s">
        <v>17</v>
      </c>
      <c r="B80" s="52">
        <v>17377</v>
      </c>
      <c r="C80" s="52">
        <v>3345</v>
      </c>
      <c r="D80" s="52">
        <v>0</v>
      </c>
      <c r="E80" s="52">
        <v>20722</v>
      </c>
    </row>
    <row r="81" spans="1:5" x14ac:dyDescent="0.2">
      <c r="A81" s="92" t="s">
        <v>451</v>
      </c>
      <c r="B81" s="52">
        <v>9085</v>
      </c>
      <c r="C81" s="52">
        <v>37950</v>
      </c>
      <c r="D81" s="52">
        <v>0</v>
      </c>
      <c r="E81" s="52">
        <v>47035</v>
      </c>
    </row>
    <row r="82" spans="1:5" x14ac:dyDescent="0.2">
      <c r="A82" s="92" t="s">
        <v>452</v>
      </c>
      <c r="B82" s="52">
        <v>41431</v>
      </c>
      <c r="C82" s="52">
        <v>10227</v>
      </c>
      <c r="D82" s="52">
        <v>0</v>
      </c>
      <c r="E82" s="52">
        <v>51658</v>
      </c>
    </row>
    <row r="83" spans="1:5" x14ac:dyDescent="0.2">
      <c r="A83" s="92" t="s">
        <v>453</v>
      </c>
      <c r="B83" s="52">
        <v>8553</v>
      </c>
      <c r="C83" s="52">
        <v>7040</v>
      </c>
      <c r="D83" s="52">
        <v>0</v>
      </c>
      <c r="E83" s="52">
        <v>15593</v>
      </c>
    </row>
    <row r="84" spans="1:5" x14ac:dyDescent="0.2">
      <c r="A84" s="92" t="s">
        <v>454</v>
      </c>
      <c r="B84" s="52">
        <v>1257</v>
      </c>
      <c r="C84" s="52">
        <v>8319</v>
      </c>
      <c r="D84" s="52">
        <v>0</v>
      </c>
      <c r="E84" s="52">
        <v>9576</v>
      </c>
    </row>
    <row r="85" spans="1:5" x14ac:dyDescent="0.2">
      <c r="A85" s="66" t="s">
        <v>4</v>
      </c>
      <c r="B85" s="53">
        <v>125348</v>
      </c>
      <c r="C85" s="53">
        <v>99468</v>
      </c>
      <c r="D85" s="53">
        <v>1</v>
      </c>
      <c r="E85" s="53">
        <v>224817</v>
      </c>
    </row>
    <row r="86" spans="1:5" x14ac:dyDescent="0.2">
      <c r="A86" s="134"/>
      <c r="B86" s="164"/>
      <c r="C86" s="164"/>
      <c r="D86" s="164"/>
      <c r="E86" s="164"/>
    </row>
    <row r="87" spans="1:5" ht="15.75" x14ac:dyDescent="0.2">
      <c r="A87" s="22" t="s">
        <v>380</v>
      </c>
      <c r="B87" s="36"/>
      <c r="C87" s="36"/>
      <c r="D87" s="36"/>
      <c r="E87" s="36"/>
    </row>
    <row r="88" spans="1:5" ht="30" customHeight="1" x14ac:dyDescent="0.2">
      <c r="A88" s="74" t="s">
        <v>40</v>
      </c>
      <c r="B88" s="37" t="s">
        <v>5</v>
      </c>
      <c r="C88" s="37" t="s">
        <v>6</v>
      </c>
      <c r="D88" s="37" t="s">
        <v>7</v>
      </c>
      <c r="E88" s="37" t="s">
        <v>8</v>
      </c>
    </row>
    <row r="89" spans="1:5" x14ac:dyDescent="0.2">
      <c r="A89" s="4" t="s">
        <v>495</v>
      </c>
      <c r="B89" s="33">
        <v>23144</v>
      </c>
      <c r="C89" s="33">
        <v>34500</v>
      </c>
      <c r="D89" s="33">
        <v>85298</v>
      </c>
      <c r="E89" s="33">
        <v>142942</v>
      </c>
    </row>
    <row r="90" spans="1:5" x14ac:dyDescent="0.2">
      <c r="A90" s="4" t="s">
        <v>496</v>
      </c>
      <c r="B90" s="33">
        <v>11672</v>
      </c>
      <c r="C90" s="33">
        <v>26888</v>
      </c>
      <c r="D90" s="33">
        <v>12702</v>
      </c>
      <c r="E90" s="33">
        <v>51262</v>
      </c>
    </row>
    <row r="91" spans="1:5" x14ac:dyDescent="0.2">
      <c r="A91" s="27" t="s">
        <v>209</v>
      </c>
      <c r="B91" s="33">
        <v>159</v>
      </c>
      <c r="C91" s="33">
        <v>963</v>
      </c>
      <c r="D91" s="33">
        <v>859</v>
      </c>
      <c r="E91" s="33">
        <v>1981</v>
      </c>
    </row>
    <row r="92" spans="1:5" x14ac:dyDescent="0.2">
      <c r="A92" s="27" t="s">
        <v>210</v>
      </c>
      <c r="B92" s="33">
        <v>2158</v>
      </c>
      <c r="C92" s="33">
        <v>18885</v>
      </c>
      <c r="D92" s="33">
        <v>6792</v>
      </c>
      <c r="E92" s="33">
        <v>27835</v>
      </c>
    </row>
    <row r="93" spans="1:5" x14ac:dyDescent="0.2">
      <c r="A93" s="4" t="s">
        <v>497</v>
      </c>
      <c r="B93" s="33">
        <v>19</v>
      </c>
      <c r="C93" s="33">
        <v>49</v>
      </c>
      <c r="D93" s="33">
        <v>729</v>
      </c>
      <c r="E93" s="33">
        <v>797</v>
      </c>
    </row>
    <row r="94" spans="1:5" x14ac:dyDescent="0.2">
      <c r="A94" s="5" t="s">
        <v>4</v>
      </c>
      <c r="B94" s="34">
        <v>37152</v>
      </c>
      <c r="C94" s="34">
        <v>81285</v>
      </c>
      <c r="D94" s="34">
        <v>106380</v>
      </c>
      <c r="E94" s="34">
        <v>224817</v>
      </c>
    </row>
    <row r="95" spans="1:5" x14ac:dyDescent="0.2">
      <c r="A95" s="31"/>
      <c r="B95" s="36"/>
      <c r="C95" s="36"/>
      <c r="D95" s="36"/>
      <c r="E95" s="36"/>
    </row>
    <row r="96" spans="1:5" ht="15.75" x14ac:dyDescent="0.2">
      <c r="A96" s="22" t="s">
        <v>348</v>
      </c>
      <c r="B96" s="36"/>
      <c r="C96" s="36"/>
      <c r="D96" s="36"/>
      <c r="E96" s="36"/>
    </row>
    <row r="97" spans="1:5" ht="30" customHeight="1" x14ac:dyDescent="0.2">
      <c r="A97" s="74" t="s">
        <v>9</v>
      </c>
      <c r="B97" s="37" t="s">
        <v>5</v>
      </c>
      <c r="C97" s="37" t="s">
        <v>6</v>
      </c>
      <c r="D97" s="37" t="s">
        <v>7</v>
      </c>
      <c r="E97" s="37" t="s">
        <v>8</v>
      </c>
    </row>
    <row r="98" spans="1:5" x14ac:dyDescent="0.2">
      <c r="A98" s="4" t="s">
        <v>224</v>
      </c>
      <c r="B98" s="33">
        <v>1168</v>
      </c>
      <c r="C98" s="33">
        <v>364</v>
      </c>
      <c r="D98" s="33">
        <v>1607</v>
      </c>
      <c r="E98" s="33">
        <v>3139</v>
      </c>
    </row>
    <row r="99" spans="1:5" x14ac:dyDescent="0.2">
      <c r="A99" s="4" t="s">
        <v>225</v>
      </c>
      <c r="B99" s="33">
        <v>1129</v>
      </c>
      <c r="C99" s="33">
        <v>599</v>
      </c>
      <c r="D99" s="33">
        <v>1605</v>
      </c>
      <c r="E99" s="33">
        <v>3333</v>
      </c>
    </row>
    <row r="100" spans="1:5" x14ac:dyDescent="0.2">
      <c r="A100" s="4" t="s">
        <v>226</v>
      </c>
      <c r="B100" s="33">
        <v>1529</v>
      </c>
      <c r="C100" s="33">
        <v>2400</v>
      </c>
      <c r="D100" s="33">
        <v>2862</v>
      </c>
      <c r="E100" s="33">
        <v>6791</v>
      </c>
    </row>
    <row r="101" spans="1:5" x14ac:dyDescent="0.2">
      <c r="A101" s="4" t="s">
        <v>227</v>
      </c>
      <c r="B101" s="33">
        <v>513</v>
      </c>
      <c r="C101" s="33">
        <v>508</v>
      </c>
      <c r="D101" s="33">
        <v>1616</v>
      </c>
      <c r="E101" s="33">
        <v>2637</v>
      </c>
    </row>
    <row r="102" spans="1:5" x14ac:dyDescent="0.2">
      <c r="A102" s="4" t="s">
        <v>228</v>
      </c>
      <c r="B102" s="33">
        <v>2712</v>
      </c>
      <c r="C102" s="33">
        <v>2204</v>
      </c>
      <c r="D102" s="33">
        <v>3638</v>
      </c>
      <c r="E102" s="33">
        <v>8554</v>
      </c>
    </row>
    <row r="103" spans="1:5" x14ac:dyDescent="0.2">
      <c r="A103" s="4" t="s">
        <v>229</v>
      </c>
      <c r="B103" s="33">
        <v>3194</v>
      </c>
      <c r="C103" s="33">
        <v>7085</v>
      </c>
      <c r="D103" s="33">
        <v>11988</v>
      </c>
      <c r="E103" s="33">
        <v>22267</v>
      </c>
    </row>
    <row r="104" spans="1:5" x14ac:dyDescent="0.2">
      <c r="A104" s="27" t="s">
        <v>239</v>
      </c>
      <c r="B104" s="33">
        <v>11423</v>
      </c>
      <c r="C104" s="33">
        <v>48284</v>
      </c>
      <c r="D104" s="33">
        <v>51746</v>
      </c>
      <c r="E104" s="33">
        <v>111453</v>
      </c>
    </row>
    <row r="105" spans="1:5" x14ac:dyDescent="0.2">
      <c r="A105" s="27" t="s">
        <v>260</v>
      </c>
      <c r="B105" s="33">
        <v>1351</v>
      </c>
      <c r="C105" s="33">
        <v>3195</v>
      </c>
      <c r="D105" s="33">
        <v>1003</v>
      </c>
      <c r="E105" s="33">
        <v>5549</v>
      </c>
    </row>
    <row r="106" spans="1:5" x14ac:dyDescent="0.2">
      <c r="A106" s="4" t="s">
        <v>230</v>
      </c>
      <c r="B106" s="33">
        <v>3911</v>
      </c>
      <c r="C106" s="33">
        <v>2103</v>
      </c>
      <c r="D106" s="33">
        <v>4521</v>
      </c>
      <c r="E106" s="33">
        <v>10535</v>
      </c>
    </row>
    <row r="107" spans="1:5" x14ac:dyDescent="0.2">
      <c r="A107" s="4" t="s">
        <v>242</v>
      </c>
      <c r="B107" s="33">
        <v>1162</v>
      </c>
      <c r="C107" s="33">
        <v>1123</v>
      </c>
      <c r="D107" s="33">
        <v>2119</v>
      </c>
      <c r="E107" s="33">
        <v>4404</v>
      </c>
    </row>
    <row r="108" spans="1:5" x14ac:dyDescent="0.2">
      <c r="A108" s="4" t="s">
        <v>231</v>
      </c>
      <c r="B108" s="33">
        <v>3134</v>
      </c>
      <c r="C108" s="33">
        <v>7455</v>
      </c>
      <c r="D108" s="33">
        <v>11827</v>
      </c>
      <c r="E108" s="33">
        <v>22416</v>
      </c>
    </row>
    <row r="109" spans="1:5" x14ac:dyDescent="0.2">
      <c r="A109" s="4" t="s">
        <v>232</v>
      </c>
      <c r="B109" s="33">
        <v>2065</v>
      </c>
      <c r="C109" s="33">
        <v>2094</v>
      </c>
      <c r="D109" s="33">
        <v>5001</v>
      </c>
      <c r="E109" s="33">
        <v>9160</v>
      </c>
    </row>
    <row r="110" spans="1:5" x14ac:dyDescent="0.2">
      <c r="A110" s="4" t="s">
        <v>233</v>
      </c>
      <c r="B110" s="33">
        <v>1284</v>
      </c>
      <c r="C110" s="33">
        <v>771</v>
      </c>
      <c r="D110" s="33">
        <v>2647</v>
      </c>
      <c r="E110" s="33">
        <v>4702</v>
      </c>
    </row>
    <row r="111" spans="1:5" x14ac:dyDescent="0.2">
      <c r="A111" s="4" t="s">
        <v>234</v>
      </c>
      <c r="B111" s="33">
        <v>1772</v>
      </c>
      <c r="C111" s="33">
        <v>2833</v>
      </c>
      <c r="D111" s="33">
        <v>3527</v>
      </c>
      <c r="E111" s="33">
        <v>8132</v>
      </c>
    </row>
    <row r="112" spans="1:5" x14ac:dyDescent="0.2">
      <c r="A112" s="4" t="s">
        <v>235</v>
      </c>
      <c r="B112" s="33">
        <v>192</v>
      </c>
      <c r="C112" s="33">
        <v>54</v>
      </c>
      <c r="D112" s="33">
        <v>186</v>
      </c>
      <c r="E112" s="33">
        <v>432</v>
      </c>
    </row>
    <row r="113" spans="1:5" x14ac:dyDescent="0.2">
      <c r="A113" s="4" t="s">
        <v>236</v>
      </c>
      <c r="B113" s="33">
        <v>613</v>
      </c>
      <c r="C113" s="33">
        <v>213</v>
      </c>
      <c r="D113" s="33">
        <v>487</v>
      </c>
      <c r="E113" s="33">
        <v>1313</v>
      </c>
    </row>
    <row r="114" spans="1:5" x14ac:dyDescent="0.2">
      <c r="A114" s="5" t="s">
        <v>4</v>
      </c>
      <c r="B114" s="34">
        <v>37152</v>
      </c>
      <c r="C114" s="34">
        <v>81285</v>
      </c>
      <c r="D114" s="34">
        <v>106380</v>
      </c>
      <c r="E114" s="34">
        <v>224817</v>
      </c>
    </row>
    <row r="115" spans="1:5" x14ac:dyDescent="0.2">
      <c r="A115" s="31"/>
      <c r="B115" s="36"/>
      <c r="C115" s="36"/>
      <c r="D115" s="36"/>
      <c r="E115" s="36"/>
    </row>
    <row r="116" spans="1:5" ht="15.75" x14ac:dyDescent="0.2">
      <c r="A116" s="22" t="s">
        <v>381</v>
      </c>
      <c r="B116" s="36"/>
      <c r="C116" s="36"/>
      <c r="D116" s="36"/>
      <c r="E116" s="36"/>
    </row>
    <row r="117" spans="1:5" ht="25.5" x14ac:dyDescent="0.2">
      <c r="A117" s="74" t="s">
        <v>9</v>
      </c>
      <c r="B117" s="37" t="s">
        <v>188</v>
      </c>
      <c r="C117" s="37" t="s">
        <v>189</v>
      </c>
      <c r="D117" s="37" t="s">
        <v>498</v>
      </c>
      <c r="E117" s="37" t="s">
        <v>8</v>
      </c>
    </row>
    <row r="118" spans="1:5" x14ac:dyDescent="0.2">
      <c r="A118" s="4" t="s">
        <v>224</v>
      </c>
      <c r="B118" s="33">
        <v>1742</v>
      </c>
      <c r="C118" s="33">
        <v>1397</v>
      </c>
      <c r="D118" s="33">
        <v>0</v>
      </c>
      <c r="E118" s="33">
        <v>3139</v>
      </c>
    </row>
    <row r="119" spans="1:5" x14ac:dyDescent="0.2">
      <c r="A119" s="4" t="s">
        <v>225</v>
      </c>
      <c r="B119" s="33">
        <v>1968</v>
      </c>
      <c r="C119" s="33">
        <v>1365</v>
      </c>
      <c r="D119" s="33">
        <v>0</v>
      </c>
      <c r="E119" s="33">
        <v>3333</v>
      </c>
    </row>
    <row r="120" spans="1:5" x14ac:dyDescent="0.2">
      <c r="A120" s="4" t="s">
        <v>226</v>
      </c>
      <c r="B120" s="33">
        <v>3684</v>
      </c>
      <c r="C120" s="33">
        <v>3107</v>
      </c>
      <c r="D120" s="33">
        <v>0</v>
      </c>
      <c r="E120" s="33">
        <v>6791</v>
      </c>
    </row>
    <row r="121" spans="1:5" x14ac:dyDescent="0.2">
      <c r="A121" s="4" t="s">
        <v>227</v>
      </c>
      <c r="B121" s="33">
        <v>1349</v>
      </c>
      <c r="C121" s="33">
        <v>1288</v>
      </c>
      <c r="D121" s="33">
        <v>0</v>
      </c>
      <c r="E121" s="33">
        <v>2637</v>
      </c>
    </row>
    <row r="122" spans="1:5" x14ac:dyDescent="0.2">
      <c r="A122" s="4" t="s">
        <v>228</v>
      </c>
      <c r="B122" s="33">
        <v>4706</v>
      </c>
      <c r="C122" s="33">
        <v>3848</v>
      </c>
      <c r="D122" s="33">
        <v>0</v>
      </c>
      <c r="E122" s="33">
        <v>8554</v>
      </c>
    </row>
    <row r="123" spans="1:5" x14ac:dyDescent="0.2">
      <c r="A123" s="4" t="s">
        <v>229</v>
      </c>
      <c r="B123" s="33">
        <v>12622</v>
      </c>
      <c r="C123" s="33">
        <v>9645</v>
      </c>
      <c r="D123" s="33">
        <v>0</v>
      </c>
      <c r="E123" s="33">
        <v>22267</v>
      </c>
    </row>
    <row r="124" spans="1:5" x14ac:dyDescent="0.2">
      <c r="A124" s="27" t="s">
        <v>239</v>
      </c>
      <c r="B124" s="33">
        <v>60677</v>
      </c>
      <c r="C124" s="33">
        <v>50775</v>
      </c>
      <c r="D124" s="33">
        <v>1</v>
      </c>
      <c r="E124" s="33">
        <v>111453</v>
      </c>
    </row>
    <row r="125" spans="1:5" x14ac:dyDescent="0.2">
      <c r="A125" s="27" t="s">
        <v>260</v>
      </c>
      <c r="B125" s="33">
        <v>3135</v>
      </c>
      <c r="C125" s="33">
        <v>2414</v>
      </c>
      <c r="D125" s="33">
        <v>0</v>
      </c>
      <c r="E125" s="33">
        <v>5549</v>
      </c>
    </row>
    <row r="126" spans="1:5" x14ac:dyDescent="0.2">
      <c r="A126" s="4" t="s">
        <v>230</v>
      </c>
      <c r="B126" s="33">
        <v>6217</v>
      </c>
      <c r="C126" s="33">
        <v>4318</v>
      </c>
      <c r="D126" s="33">
        <v>0</v>
      </c>
      <c r="E126" s="33">
        <v>10535</v>
      </c>
    </row>
    <row r="127" spans="1:5" x14ac:dyDescent="0.2">
      <c r="A127" s="4" t="s">
        <v>242</v>
      </c>
      <c r="B127" s="33">
        <v>2590</v>
      </c>
      <c r="C127" s="33">
        <v>1814</v>
      </c>
      <c r="D127" s="33">
        <v>0</v>
      </c>
      <c r="E127" s="33">
        <v>4404</v>
      </c>
    </row>
    <row r="128" spans="1:5" x14ac:dyDescent="0.2">
      <c r="A128" s="4" t="s">
        <v>231</v>
      </c>
      <c r="B128" s="33">
        <v>12547</v>
      </c>
      <c r="C128" s="33">
        <v>9869</v>
      </c>
      <c r="D128" s="33">
        <v>0</v>
      </c>
      <c r="E128" s="33">
        <v>22416</v>
      </c>
    </row>
    <row r="129" spans="1:5" x14ac:dyDescent="0.2">
      <c r="A129" s="4" t="s">
        <v>232</v>
      </c>
      <c r="B129" s="33">
        <v>5647</v>
      </c>
      <c r="C129" s="33">
        <v>3513</v>
      </c>
      <c r="D129" s="33">
        <v>0</v>
      </c>
      <c r="E129" s="33">
        <v>9160</v>
      </c>
    </row>
    <row r="130" spans="1:5" x14ac:dyDescent="0.2">
      <c r="A130" s="4" t="s">
        <v>233</v>
      </c>
      <c r="B130" s="33">
        <v>2647</v>
      </c>
      <c r="C130" s="33">
        <v>2055</v>
      </c>
      <c r="D130" s="33">
        <v>0</v>
      </c>
      <c r="E130" s="33">
        <v>4702</v>
      </c>
    </row>
    <row r="131" spans="1:5" x14ac:dyDescent="0.2">
      <c r="A131" s="4" t="s">
        <v>234</v>
      </c>
      <c r="B131" s="33">
        <v>4889</v>
      </c>
      <c r="C131" s="33">
        <v>3243</v>
      </c>
      <c r="D131" s="33">
        <v>0</v>
      </c>
      <c r="E131" s="33">
        <v>8132</v>
      </c>
    </row>
    <row r="132" spans="1:5" x14ac:dyDescent="0.2">
      <c r="A132" s="4" t="s">
        <v>235</v>
      </c>
      <c r="B132" s="33">
        <v>254</v>
      </c>
      <c r="C132" s="33">
        <v>178</v>
      </c>
      <c r="D132" s="33">
        <v>0</v>
      </c>
      <c r="E132" s="33">
        <v>432</v>
      </c>
    </row>
    <row r="133" spans="1:5" x14ac:dyDescent="0.2">
      <c r="A133" s="4" t="s">
        <v>236</v>
      </c>
      <c r="B133" s="33">
        <v>674</v>
      </c>
      <c r="C133" s="33">
        <v>639</v>
      </c>
      <c r="D133" s="33">
        <v>0</v>
      </c>
      <c r="E133" s="33">
        <v>1313</v>
      </c>
    </row>
    <row r="134" spans="1:5" x14ac:dyDescent="0.2">
      <c r="A134" s="5" t="s">
        <v>4</v>
      </c>
      <c r="B134" s="34">
        <v>125348</v>
      </c>
      <c r="C134" s="34">
        <v>99468</v>
      </c>
      <c r="D134" s="34">
        <v>1</v>
      </c>
      <c r="E134" s="34">
        <v>224817</v>
      </c>
    </row>
    <row r="135" spans="1:5" x14ac:dyDescent="0.2">
      <c r="A135" s="31"/>
      <c r="B135" s="36"/>
      <c r="C135" s="36"/>
      <c r="D135" s="36"/>
      <c r="E135" s="36"/>
    </row>
    <row r="136" spans="1:5" x14ac:dyDescent="0.2">
      <c r="A136" s="31"/>
      <c r="B136" s="36"/>
      <c r="C136" s="36"/>
      <c r="D136" s="36"/>
      <c r="E136" s="36"/>
    </row>
    <row r="137" spans="1:5" x14ac:dyDescent="0.2">
      <c r="A137" s="57" t="s">
        <v>218</v>
      </c>
      <c r="B137" s="36"/>
      <c r="C137" s="36"/>
      <c r="D137" s="36"/>
      <c r="E137" s="36"/>
    </row>
    <row r="138" spans="1:5" x14ac:dyDescent="0.2">
      <c r="A138" s="31"/>
      <c r="B138" s="36"/>
      <c r="C138" s="36"/>
      <c r="D138" s="36"/>
      <c r="E138" s="36"/>
    </row>
    <row r="139" spans="1:5" x14ac:dyDescent="0.2">
      <c r="A139" s="58" t="s">
        <v>21</v>
      </c>
      <c r="B139" s="36"/>
      <c r="C139" s="36"/>
      <c r="D139" s="36"/>
      <c r="E139" s="36"/>
    </row>
    <row r="140" spans="1:5" x14ac:dyDescent="0.2">
      <c r="A140" s="31"/>
      <c r="B140" s="36"/>
      <c r="C140" s="36"/>
      <c r="D140" s="36"/>
      <c r="E140" s="36"/>
    </row>
  </sheetData>
  <hyperlinks>
    <hyperlink ref="A139" location="Indice!A5" display="Volver al índice" xr:uid="{00000000-0004-0000-0300-000000000000}"/>
  </hyperlinks>
  <pageMargins left="0.7" right="0.7" top="0.75" bottom="0.75" header="0.3" footer="0.3"/>
  <pageSetup paperSize="3" orientation="portrait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9" tint="0.59999389629810485"/>
  </sheetPr>
  <dimension ref="A1:X370"/>
  <sheetViews>
    <sheetView showGridLines="0"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ColWidth="10.85546875" defaultRowHeight="15" x14ac:dyDescent="0.2"/>
  <cols>
    <col min="1" max="1" width="37" style="28" customWidth="1"/>
    <col min="2" max="6" width="9.5703125" style="28" customWidth="1"/>
    <col min="7" max="13" width="9.5703125" style="1" customWidth="1"/>
    <col min="14" max="19" width="10.85546875" style="1" customWidth="1"/>
    <col min="20" max="20" width="12.5703125" style="1" customWidth="1"/>
    <col min="21" max="21" width="13" style="1" customWidth="1"/>
    <col min="22" max="22" width="12.42578125" style="1" customWidth="1"/>
    <col min="23" max="24" width="14.5703125" style="1" customWidth="1"/>
    <col min="25" max="16384" width="10.85546875" style="1"/>
  </cols>
  <sheetData>
    <row r="1" spans="1:24" ht="21" x14ac:dyDescent="0.2">
      <c r="A1" s="71" t="s">
        <v>394</v>
      </c>
      <c r="B1" s="71"/>
      <c r="C1" s="71"/>
      <c r="D1" s="71"/>
      <c r="E1" s="71"/>
      <c r="F1" s="7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4" ht="24" customHeight="1" x14ac:dyDescent="0.2">
      <c r="A2" s="64"/>
      <c r="B2" s="64"/>
      <c r="C2" s="64"/>
      <c r="D2" s="64"/>
      <c r="E2" s="64"/>
      <c r="F2" s="64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</row>
    <row r="3" spans="1:24" x14ac:dyDescent="0.2">
      <c r="A3" s="63"/>
      <c r="B3" s="63"/>
      <c r="C3" s="63"/>
      <c r="D3" s="63"/>
      <c r="E3" s="63"/>
      <c r="F3" s="63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</row>
    <row r="4" spans="1:24" ht="15.75" x14ac:dyDescent="0.2">
      <c r="A4" s="32" t="s">
        <v>503</v>
      </c>
      <c r="B4" s="32"/>
      <c r="C4" s="32"/>
      <c r="D4" s="32"/>
      <c r="E4" s="32"/>
      <c r="F4" s="32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</row>
    <row r="5" spans="1:24" ht="27" customHeight="1" x14ac:dyDescent="0.2">
      <c r="A5" s="73" t="s">
        <v>0</v>
      </c>
      <c r="B5" s="3">
        <v>2007</v>
      </c>
      <c r="C5" s="3">
        <v>2008</v>
      </c>
      <c r="D5" s="3">
        <v>2009</v>
      </c>
      <c r="E5" s="3">
        <v>2010</v>
      </c>
      <c r="F5" s="3">
        <v>2011</v>
      </c>
      <c r="G5" s="3">
        <v>2012</v>
      </c>
      <c r="H5" s="3">
        <v>2013</v>
      </c>
      <c r="I5" s="3">
        <v>2014</v>
      </c>
      <c r="J5" s="3">
        <v>2015</v>
      </c>
      <c r="K5" s="3">
        <v>2016</v>
      </c>
      <c r="L5" s="3">
        <v>2017</v>
      </c>
      <c r="M5" s="3">
        <v>2018</v>
      </c>
      <c r="N5" s="3">
        <v>2019</v>
      </c>
      <c r="O5" s="3">
        <v>2020</v>
      </c>
      <c r="P5" s="3">
        <v>2021</v>
      </c>
      <c r="Q5" s="3">
        <v>2022</v>
      </c>
      <c r="R5" s="3">
        <v>2023</v>
      </c>
      <c r="S5" s="3">
        <v>2024</v>
      </c>
      <c r="T5" s="12" t="s">
        <v>368</v>
      </c>
      <c r="U5" s="12" t="s">
        <v>369</v>
      </c>
      <c r="V5" s="12" t="s">
        <v>370</v>
      </c>
      <c r="W5" s="12" t="s">
        <v>372</v>
      </c>
      <c r="X5" s="169" t="s">
        <v>494</v>
      </c>
    </row>
    <row r="6" spans="1:24" x14ac:dyDescent="0.2">
      <c r="A6" s="4" t="s">
        <v>5</v>
      </c>
      <c r="B6" s="4">
        <v>13913</v>
      </c>
      <c r="C6" s="4">
        <v>20014</v>
      </c>
      <c r="D6" s="4">
        <v>16893</v>
      </c>
      <c r="E6" s="4">
        <v>14342</v>
      </c>
      <c r="F6" s="4">
        <v>22478</v>
      </c>
      <c r="G6" s="4">
        <v>25615</v>
      </c>
      <c r="H6" s="4">
        <v>28283</v>
      </c>
      <c r="I6" s="4">
        <v>27779</v>
      </c>
      <c r="J6" s="4">
        <v>30655</v>
      </c>
      <c r="K6" s="4">
        <v>33930</v>
      </c>
      <c r="L6" s="4">
        <v>33014</v>
      </c>
      <c r="M6" s="4">
        <v>35354</v>
      </c>
      <c r="N6" s="4">
        <v>34047</v>
      </c>
      <c r="O6" s="4">
        <v>24213</v>
      </c>
      <c r="P6" s="4">
        <v>36474</v>
      </c>
      <c r="Q6" s="4">
        <v>38169</v>
      </c>
      <c r="R6" s="4">
        <v>40655</v>
      </c>
      <c r="S6" s="4">
        <v>37152</v>
      </c>
      <c r="T6" s="88">
        <f>(S6-J6)/J6</f>
        <v>0.21193932474310878</v>
      </c>
      <c r="U6" s="88">
        <f>(S6-O6)/O6</f>
        <v>0.53438235658530542</v>
      </c>
      <c r="V6" s="88">
        <f>(S6-R6)/R6</f>
        <v>-8.616406346082893E-2</v>
      </c>
      <c r="W6" s="90">
        <f>S6/S$9</f>
        <v>0.16525440691762633</v>
      </c>
      <c r="X6" s="52">
        <f>S6-R6</f>
        <v>-3503</v>
      </c>
    </row>
    <row r="7" spans="1:24" x14ac:dyDescent="0.2">
      <c r="A7" s="4" t="s">
        <v>6</v>
      </c>
      <c r="B7" s="4">
        <v>17980</v>
      </c>
      <c r="C7" s="4">
        <v>19230</v>
      </c>
      <c r="D7" s="4">
        <v>23837</v>
      </c>
      <c r="E7" s="4">
        <v>23804</v>
      </c>
      <c r="F7" s="4">
        <v>30856</v>
      </c>
      <c r="G7" s="4">
        <v>38267</v>
      </c>
      <c r="H7" s="4">
        <v>47536</v>
      </c>
      <c r="I7" s="4">
        <v>56510</v>
      </c>
      <c r="J7" s="4">
        <v>68298</v>
      </c>
      <c r="K7" s="4">
        <v>73935</v>
      </c>
      <c r="L7" s="4">
        <v>79135</v>
      </c>
      <c r="M7" s="4">
        <v>79335</v>
      </c>
      <c r="N7" s="4">
        <v>74372</v>
      </c>
      <c r="O7" s="4">
        <v>63437</v>
      </c>
      <c r="P7" s="4">
        <v>81653</v>
      </c>
      <c r="Q7" s="4">
        <v>77362</v>
      </c>
      <c r="R7" s="4">
        <v>78364</v>
      </c>
      <c r="S7" s="4">
        <v>81285</v>
      </c>
      <c r="T7" s="88">
        <f>(S7-J7)/J7</f>
        <v>0.19015198102433453</v>
      </c>
      <c r="U7" s="88">
        <f>(S7-O7)/O7</f>
        <v>0.28135000078818356</v>
      </c>
      <c r="V7" s="88">
        <f>(S7-R7)/R7</f>
        <v>3.7274769026593844E-2</v>
      </c>
      <c r="W7" s="90">
        <f>S7/S$9</f>
        <v>0.36156073606533312</v>
      </c>
      <c r="X7" s="52">
        <f t="shared" ref="X7:X9" si="0">S7-R7</f>
        <v>2921</v>
      </c>
    </row>
    <row r="8" spans="1:24" x14ac:dyDescent="0.2">
      <c r="A8" s="4" t="s">
        <v>7</v>
      </c>
      <c r="B8" s="4">
        <v>55233</v>
      </c>
      <c r="C8" s="4">
        <v>58778</v>
      </c>
      <c r="D8" s="4">
        <v>65400</v>
      </c>
      <c r="E8" s="4">
        <v>64018</v>
      </c>
      <c r="F8" s="4">
        <v>64998</v>
      </c>
      <c r="G8" s="4">
        <v>71839</v>
      </c>
      <c r="H8" s="4">
        <v>81172</v>
      </c>
      <c r="I8" s="4">
        <v>87359</v>
      </c>
      <c r="J8" s="4">
        <v>90133</v>
      </c>
      <c r="K8" s="4">
        <v>89703</v>
      </c>
      <c r="L8" s="4">
        <v>94405</v>
      </c>
      <c r="M8" s="4">
        <v>94333</v>
      </c>
      <c r="N8" s="4">
        <v>92723</v>
      </c>
      <c r="O8" s="4">
        <v>73240</v>
      </c>
      <c r="P8" s="4">
        <v>110564</v>
      </c>
      <c r="Q8" s="4">
        <v>110404</v>
      </c>
      <c r="R8" s="4">
        <v>112150</v>
      </c>
      <c r="S8" s="4">
        <v>106380</v>
      </c>
      <c r="T8" s="88">
        <f>(S8-J8)/J8</f>
        <v>0.18025584414143545</v>
      </c>
      <c r="U8" s="88">
        <f>(S8-O8)/O8</f>
        <v>0.45248498088476241</v>
      </c>
      <c r="V8" s="88">
        <f>(S8-R8)/R8</f>
        <v>-5.1448952296032101E-2</v>
      </c>
      <c r="W8" s="90">
        <f>S8/S$9</f>
        <v>0.47318485701704055</v>
      </c>
      <c r="X8" s="52">
        <f t="shared" si="0"/>
        <v>-5770</v>
      </c>
    </row>
    <row r="9" spans="1:24" x14ac:dyDescent="0.2">
      <c r="A9" s="5" t="s">
        <v>4</v>
      </c>
      <c r="B9" s="5">
        <v>87126</v>
      </c>
      <c r="C9" s="5">
        <v>98022</v>
      </c>
      <c r="D9" s="5">
        <v>106130</v>
      </c>
      <c r="E9" s="5">
        <v>102164</v>
      </c>
      <c r="F9" s="5">
        <v>118332</v>
      </c>
      <c r="G9" s="5">
        <v>135721</v>
      </c>
      <c r="H9" s="5">
        <v>156991</v>
      </c>
      <c r="I9" s="5">
        <v>171648</v>
      </c>
      <c r="J9" s="5">
        <v>189086</v>
      </c>
      <c r="K9" s="5">
        <v>197568</v>
      </c>
      <c r="L9" s="5">
        <v>206554</v>
      </c>
      <c r="M9" s="5">
        <v>209022</v>
      </c>
      <c r="N9" s="5">
        <v>201142</v>
      </c>
      <c r="O9" s="5">
        <v>160890</v>
      </c>
      <c r="P9" s="5">
        <v>228691</v>
      </c>
      <c r="Q9" s="5">
        <v>225935</v>
      </c>
      <c r="R9" s="5">
        <v>231169</v>
      </c>
      <c r="S9" s="5">
        <v>224817</v>
      </c>
      <c r="T9" s="89">
        <f>(S9-J9)/J9</f>
        <v>0.18896692510286325</v>
      </c>
      <c r="U9" s="89">
        <f>(S9-O9)/O9</f>
        <v>0.39733358195040092</v>
      </c>
      <c r="V9" s="89">
        <f>(S9-R9)/R9</f>
        <v>-2.7477732740981704E-2</v>
      </c>
      <c r="W9" s="91">
        <f>S9/S$9</f>
        <v>1</v>
      </c>
      <c r="X9" s="53">
        <f t="shared" si="0"/>
        <v>-6352</v>
      </c>
    </row>
    <row r="10" spans="1:24" x14ac:dyDescent="0.2"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</row>
    <row r="11" spans="1:24" ht="15.75" x14ac:dyDescent="0.2">
      <c r="A11" s="32" t="s">
        <v>265</v>
      </c>
      <c r="B11" s="32"/>
      <c r="C11" s="32"/>
      <c r="D11" s="32"/>
      <c r="E11" s="32"/>
      <c r="F11" s="32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</row>
    <row r="12" spans="1:24" ht="27" customHeight="1" x14ac:dyDescent="0.2">
      <c r="A12" s="73" t="s">
        <v>0</v>
      </c>
      <c r="B12" s="3">
        <v>2007</v>
      </c>
      <c r="C12" s="3">
        <v>2008</v>
      </c>
      <c r="D12" s="3">
        <v>2009</v>
      </c>
      <c r="E12" s="3">
        <v>2010</v>
      </c>
      <c r="F12" s="3">
        <v>2011</v>
      </c>
      <c r="G12" s="3">
        <v>2012</v>
      </c>
      <c r="H12" s="3">
        <v>2013</v>
      </c>
      <c r="I12" s="3">
        <v>2014</v>
      </c>
      <c r="J12" s="3">
        <v>2015</v>
      </c>
      <c r="K12" s="3">
        <v>2016</v>
      </c>
      <c r="L12" s="3">
        <v>2017</v>
      </c>
      <c r="M12" s="3">
        <v>2018</v>
      </c>
      <c r="N12" s="3">
        <v>2019</v>
      </c>
      <c r="O12" s="3">
        <v>2020</v>
      </c>
      <c r="P12" s="3">
        <v>2021</v>
      </c>
      <c r="Q12" s="3">
        <v>2022</v>
      </c>
      <c r="R12" s="3">
        <v>2023</v>
      </c>
      <c r="S12" s="3">
        <v>2024</v>
      </c>
      <c r="T12" s="12" t="s">
        <v>368</v>
      </c>
      <c r="U12" s="12" t="s">
        <v>369</v>
      </c>
      <c r="V12" s="12" t="s">
        <v>370</v>
      </c>
      <c r="W12" s="12" t="s">
        <v>372</v>
      </c>
      <c r="X12" s="169" t="s">
        <v>494</v>
      </c>
    </row>
    <row r="13" spans="1:24" x14ac:dyDescent="0.2">
      <c r="A13" s="4" t="s">
        <v>251</v>
      </c>
      <c r="B13" s="4">
        <v>13913</v>
      </c>
      <c r="C13" s="4">
        <v>20014</v>
      </c>
      <c r="D13" s="4">
        <v>16893</v>
      </c>
      <c r="E13" s="4">
        <v>14342</v>
      </c>
      <c r="F13" s="4">
        <v>22478</v>
      </c>
      <c r="G13" s="4">
        <v>25615</v>
      </c>
      <c r="H13" s="4">
        <v>28283</v>
      </c>
      <c r="I13" s="4">
        <v>27779</v>
      </c>
      <c r="J13" s="4">
        <v>30655</v>
      </c>
      <c r="K13" s="4">
        <v>33930</v>
      </c>
      <c r="L13" s="4">
        <v>33014</v>
      </c>
      <c r="M13" s="4">
        <v>35354</v>
      </c>
      <c r="N13" s="4">
        <v>34030</v>
      </c>
      <c r="O13" s="4">
        <v>24131</v>
      </c>
      <c r="P13" s="4">
        <v>35449</v>
      </c>
      <c r="Q13" s="4">
        <v>36623</v>
      </c>
      <c r="R13" s="4">
        <v>39031</v>
      </c>
      <c r="S13" s="4">
        <v>34877</v>
      </c>
      <c r="T13" s="88">
        <f t="shared" ref="T13:T19" si="1">(S13-J13)/J13</f>
        <v>0.13772630892187246</v>
      </c>
      <c r="U13" s="88">
        <f t="shared" ref="U13:U19" si="2">(S13-O13)/O13</f>
        <v>0.4453192988272347</v>
      </c>
      <c r="V13" s="88">
        <f t="shared" ref="V13:V19" si="3">(S13-R13)/R13</f>
        <v>-0.10642822371960749</v>
      </c>
      <c r="W13" s="90">
        <f t="shared" ref="W13:W19" si="4">S13/S$9</f>
        <v>0.15513506540875469</v>
      </c>
      <c r="X13" s="52">
        <f t="shared" ref="X13:X19" si="5">S13-R13</f>
        <v>-4154</v>
      </c>
    </row>
    <row r="14" spans="1:24" x14ac:dyDescent="0.2">
      <c r="A14" s="4" t="s">
        <v>252</v>
      </c>
      <c r="B14" s="18">
        <v>0</v>
      </c>
      <c r="C14" s="18">
        <v>0</v>
      </c>
      <c r="D14" s="18">
        <v>0</v>
      </c>
      <c r="E14" s="18">
        <v>0</v>
      </c>
      <c r="F14" s="18">
        <v>0</v>
      </c>
      <c r="G14" s="18">
        <v>0</v>
      </c>
      <c r="H14" s="18">
        <v>0</v>
      </c>
      <c r="I14" s="18">
        <v>0</v>
      </c>
      <c r="J14" s="18">
        <v>0</v>
      </c>
      <c r="K14" s="18">
        <v>0</v>
      </c>
      <c r="L14" s="18">
        <v>0</v>
      </c>
      <c r="M14" s="18">
        <v>0</v>
      </c>
      <c r="N14" s="4">
        <v>17</v>
      </c>
      <c r="O14" s="4">
        <v>82</v>
      </c>
      <c r="P14" s="4">
        <v>1025</v>
      </c>
      <c r="Q14" s="4">
        <v>1546</v>
      </c>
      <c r="R14" s="4">
        <v>1624</v>
      </c>
      <c r="S14" s="4">
        <v>2275</v>
      </c>
      <c r="T14" s="88" t="s">
        <v>296</v>
      </c>
      <c r="U14" s="88">
        <f t="shared" si="2"/>
        <v>26.743902439024389</v>
      </c>
      <c r="V14" s="88">
        <f t="shared" si="3"/>
        <v>0.40086206896551724</v>
      </c>
      <c r="W14" s="90">
        <f t="shared" si="4"/>
        <v>1.0119341508871661E-2</v>
      </c>
      <c r="X14" s="52">
        <f t="shared" si="5"/>
        <v>651</v>
      </c>
    </row>
    <row r="15" spans="1:24" x14ac:dyDescent="0.2">
      <c r="A15" s="4" t="s">
        <v>6</v>
      </c>
      <c r="B15" s="4">
        <v>17980</v>
      </c>
      <c r="C15" s="4">
        <v>19230</v>
      </c>
      <c r="D15" s="4">
        <v>23837</v>
      </c>
      <c r="E15" s="4">
        <v>23804</v>
      </c>
      <c r="F15" s="4">
        <v>30856</v>
      </c>
      <c r="G15" s="4">
        <v>38267</v>
      </c>
      <c r="H15" s="4">
        <v>47536</v>
      </c>
      <c r="I15" s="4">
        <v>56510</v>
      </c>
      <c r="J15" s="4">
        <v>68298</v>
      </c>
      <c r="K15" s="4">
        <v>73935</v>
      </c>
      <c r="L15" s="4">
        <v>79135</v>
      </c>
      <c r="M15" s="4">
        <v>79335</v>
      </c>
      <c r="N15" s="4">
        <v>74372</v>
      </c>
      <c r="O15" s="4">
        <v>63437</v>
      </c>
      <c r="P15" s="4">
        <v>81653</v>
      </c>
      <c r="Q15" s="4">
        <v>77362</v>
      </c>
      <c r="R15" s="4">
        <v>78364</v>
      </c>
      <c r="S15" s="4">
        <v>81285</v>
      </c>
      <c r="T15" s="88">
        <f t="shared" si="1"/>
        <v>0.19015198102433453</v>
      </c>
      <c r="U15" s="88">
        <f t="shared" si="2"/>
        <v>0.28135000078818356</v>
      </c>
      <c r="V15" s="88">
        <f t="shared" si="3"/>
        <v>3.7274769026593844E-2</v>
      </c>
      <c r="W15" s="90">
        <f t="shared" si="4"/>
        <v>0.36156073606533312</v>
      </c>
      <c r="X15" s="52">
        <f t="shared" si="5"/>
        <v>2921</v>
      </c>
    </row>
    <row r="16" spans="1:24" x14ac:dyDescent="0.2">
      <c r="A16" s="27" t="s">
        <v>306</v>
      </c>
      <c r="B16" s="27">
        <v>20835</v>
      </c>
      <c r="C16" s="27">
        <v>20848</v>
      </c>
      <c r="D16" s="27">
        <v>23500</v>
      </c>
      <c r="E16" s="27">
        <v>23147</v>
      </c>
      <c r="F16" s="27">
        <v>21623</v>
      </c>
      <c r="G16" s="4">
        <v>21615</v>
      </c>
      <c r="H16" s="4">
        <v>21805</v>
      </c>
      <c r="I16" s="4">
        <v>22309</v>
      </c>
      <c r="J16" s="4">
        <v>23261</v>
      </c>
      <c r="K16" s="4">
        <v>22450</v>
      </c>
      <c r="L16" s="4">
        <v>24512</v>
      </c>
      <c r="M16" s="27">
        <v>23671</v>
      </c>
      <c r="N16" s="27">
        <v>23837</v>
      </c>
      <c r="O16" s="27">
        <v>19672</v>
      </c>
      <c r="P16" s="27">
        <v>27079</v>
      </c>
      <c r="Q16" s="27">
        <v>29080</v>
      </c>
      <c r="R16" s="27">
        <v>29065</v>
      </c>
      <c r="S16" s="27">
        <v>29033</v>
      </c>
      <c r="T16" s="88">
        <f t="shared" si="1"/>
        <v>0.24814066463178711</v>
      </c>
      <c r="U16" s="88">
        <f t="shared" si="2"/>
        <v>0.47585400569337127</v>
      </c>
      <c r="V16" s="88">
        <f t="shared" si="3"/>
        <v>-1.1009805608119731E-3</v>
      </c>
      <c r="W16" s="90">
        <f t="shared" si="4"/>
        <v>0.12914058990200919</v>
      </c>
      <c r="X16" s="52">
        <f t="shared" si="5"/>
        <v>-32</v>
      </c>
    </row>
    <row r="17" spans="1:24" x14ac:dyDescent="0.2">
      <c r="A17" s="27" t="s">
        <v>307</v>
      </c>
      <c r="B17" s="27">
        <v>11378</v>
      </c>
      <c r="C17" s="27">
        <v>11878</v>
      </c>
      <c r="D17" s="27">
        <v>13534</v>
      </c>
      <c r="E17" s="27">
        <v>13045</v>
      </c>
      <c r="F17" s="27">
        <v>12982</v>
      </c>
      <c r="G17" s="4">
        <v>14602</v>
      </c>
      <c r="H17" s="4">
        <v>15841</v>
      </c>
      <c r="I17" s="4">
        <v>16363</v>
      </c>
      <c r="J17" s="4">
        <v>17012</v>
      </c>
      <c r="K17" s="4">
        <v>16411</v>
      </c>
      <c r="L17" s="4">
        <v>18372</v>
      </c>
      <c r="M17" s="27">
        <v>17137</v>
      </c>
      <c r="N17" s="27">
        <v>19227</v>
      </c>
      <c r="O17" s="27">
        <v>17479</v>
      </c>
      <c r="P17" s="27">
        <v>25958</v>
      </c>
      <c r="Q17" s="27">
        <v>27272</v>
      </c>
      <c r="R17" s="27">
        <v>29003</v>
      </c>
      <c r="S17" s="27">
        <v>28339</v>
      </c>
      <c r="T17" s="88">
        <f t="shared" si="1"/>
        <v>0.66582412414766046</v>
      </c>
      <c r="U17" s="88">
        <f t="shared" si="2"/>
        <v>0.62131700898220721</v>
      </c>
      <c r="V17" s="88">
        <f t="shared" si="3"/>
        <v>-2.2894183360342032E-2</v>
      </c>
      <c r="W17" s="90">
        <f t="shared" si="4"/>
        <v>0.12605363473402811</v>
      </c>
      <c r="X17" s="52">
        <f t="shared" si="5"/>
        <v>-664</v>
      </c>
    </row>
    <row r="18" spans="1:24" x14ac:dyDescent="0.2">
      <c r="A18" s="27" t="s">
        <v>217</v>
      </c>
      <c r="B18" s="27">
        <v>23020</v>
      </c>
      <c r="C18" s="27">
        <v>26052</v>
      </c>
      <c r="D18" s="27">
        <v>28366</v>
      </c>
      <c r="E18" s="27">
        <v>27826</v>
      </c>
      <c r="F18" s="27">
        <v>30393</v>
      </c>
      <c r="G18" s="4">
        <v>35622</v>
      </c>
      <c r="H18" s="4">
        <v>43526</v>
      </c>
      <c r="I18" s="4">
        <v>48687</v>
      </c>
      <c r="J18" s="4">
        <v>49860</v>
      </c>
      <c r="K18" s="4">
        <v>50842</v>
      </c>
      <c r="L18" s="4">
        <v>51521</v>
      </c>
      <c r="M18" s="27">
        <v>53525</v>
      </c>
      <c r="N18" s="27">
        <v>49659</v>
      </c>
      <c r="O18" s="27">
        <v>36089</v>
      </c>
      <c r="P18" s="27">
        <v>57527</v>
      </c>
      <c r="Q18" s="27">
        <v>54052</v>
      </c>
      <c r="R18" s="27">
        <v>54082</v>
      </c>
      <c r="S18" s="27">
        <v>49008</v>
      </c>
      <c r="T18" s="88">
        <f t="shared" si="1"/>
        <v>-1.7087845968712396E-2</v>
      </c>
      <c r="U18" s="88">
        <f t="shared" si="2"/>
        <v>0.3579761146055585</v>
      </c>
      <c r="V18" s="88">
        <f t="shared" si="3"/>
        <v>-9.3820494804186236E-2</v>
      </c>
      <c r="W18" s="90">
        <f t="shared" si="4"/>
        <v>0.21799063238100322</v>
      </c>
      <c r="X18" s="52">
        <f t="shared" si="5"/>
        <v>-5074</v>
      </c>
    </row>
    <row r="19" spans="1:24" x14ac:dyDescent="0.2">
      <c r="A19" s="5" t="s">
        <v>4</v>
      </c>
      <c r="B19" s="5">
        <v>87126</v>
      </c>
      <c r="C19" s="5">
        <v>98022</v>
      </c>
      <c r="D19" s="5">
        <v>106130</v>
      </c>
      <c r="E19" s="5">
        <v>102164</v>
      </c>
      <c r="F19" s="5">
        <v>118332</v>
      </c>
      <c r="G19" s="5">
        <v>135721</v>
      </c>
      <c r="H19" s="5">
        <v>156991</v>
      </c>
      <c r="I19" s="5">
        <v>171648</v>
      </c>
      <c r="J19" s="5">
        <v>189086</v>
      </c>
      <c r="K19" s="5">
        <v>197568</v>
      </c>
      <c r="L19" s="5">
        <v>206554</v>
      </c>
      <c r="M19" s="5">
        <v>209022</v>
      </c>
      <c r="N19" s="5">
        <v>201142</v>
      </c>
      <c r="O19" s="5">
        <v>160890</v>
      </c>
      <c r="P19" s="5">
        <v>228691</v>
      </c>
      <c r="Q19" s="5">
        <v>225935</v>
      </c>
      <c r="R19" s="5">
        <v>231169</v>
      </c>
      <c r="S19" s="5">
        <v>224817</v>
      </c>
      <c r="T19" s="89">
        <f t="shared" si="1"/>
        <v>0.18896692510286325</v>
      </c>
      <c r="U19" s="89">
        <f t="shared" si="2"/>
        <v>0.39733358195040092</v>
      </c>
      <c r="V19" s="89">
        <f t="shared" si="3"/>
        <v>-2.7477732740981704E-2</v>
      </c>
      <c r="W19" s="91">
        <f t="shared" si="4"/>
        <v>1</v>
      </c>
      <c r="X19" s="53">
        <f t="shared" si="5"/>
        <v>-6352</v>
      </c>
    </row>
    <row r="20" spans="1:24" x14ac:dyDescent="0.2">
      <c r="A20" s="113" t="s">
        <v>509</v>
      </c>
      <c r="G20" s="28"/>
      <c r="H20" s="28"/>
      <c r="I20" s="28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</row>
    <row r="21" spans="1:24" x14ac:dyDescent="0.2">
      <c r="G21" s="28"/>
      <c r="H21" s="28"/>
      <c r="I21" s="28"/>
      <c r="J21" s="102"/>
      <c r="K21" s="102"/>
      <c r="L21" s="102"/>
      <c r="M21" s="102"/>
      <c r="N21" s="102"/>
      <c r="O21" s="102"/>
      <c r="P21" s="102"/>
      <c r="Q21" s="102"/>
      <c r="R21" s="102"/>
      <c r="S21" s="102"/>
      <c r="T21" s="102"/>
      <c r="U21" s="102"/>
      <c r="V21" s="102"/>
      <c r="W21" s="102"/>
      <c r="X21" s="102"/>
    </row>
    <row r="22" spans="1:24" ht="15.75" x14ac:dyDescent="0.2">
      <c r="A22" s="32" t="s">
        <v>266</v>
      </c>
      <c r="B22" s="32"/>
      <c r="C22" s="32"/>
      <c r="D22" s="32"/>
      <c r="E22" s="32"/>
      <c r="F22" s="32"/>
      <c r="G22" s="31"/>
      <c r="H22" s="31"/>
      <c r="I22" s="31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31"/>
      <c r="U22" s="31"/>
      <c r="V22" s="31"/>
      <c r="W22" s="31"/>
      <c r="X22" s="31"/>
    </row>
    <row r="23" spans="1:24" ht="27" customHeight="1" x14ac:dyDescent="0.2">
      <c r="A23" s="73" t="s">
        <v>35</v>
      </c>
      <c r="B23" s="3">
        <v>2007</v>
      </c>
      <c r="C23" s="3">
        <v>2008</v>
      </c>
      <c r="D23" s="3">
        <v>2009</v>
      </c>
      <c r="E23" s="3">
        <v>2010</v>
      </c>
      <c r="F23" s="3">
        <v>2011</v>
      </c>
      <c r="G23" s="3">
        <v>2012</v>
      </c>
      <c r="H23" s="3">
        <v>2013</v>
      </c>
      <c r="I23" s="3">
        <v>2014</v>
      </c>
      <c r="J23" s="3">
        <v>2015</v>
      </c>
      <c r="K23" s="3">
        <v>2016</v>
      </c>
      <c r="L23" s="3">
        <v>2017</v>
      </c>
      <c r="M23" s="3">
        <v>2018</v>
      </c>
      <c r="N23" s="3">
        <v>2019</v>
      </c>
      <c r="O23" s="3">
        <v>2020</v>
      </c>
      <c r="P23" s="3">
        <v>2021</v>
      </c>
      <c r="Q23" s="3">
        <v>2022</v>
      </c>
      <c r="R23" s="3">
        <v>2023</v>
      </c>
      <c r="S23" s="3">
        <v>2024</v>
      </c>
      <c r="T23" s="12" t="s">
        <v>368</v>
      </c>
      <c r="U23" s="12" t="s">
        <v>369</v>
      </c>
      <c r="V23" s="12" t="s">
        <v>370</v>
      </c>
      <c r="W23" s="12" t="s">
        <v>372</v>
      </c>
      <c r="X23" s="169" t="s">
        <v>494</v>
      </c>
    </row>
    <row r="24" spans="1:24" x14ac:dyDescent="0.2">
      <c r="A24" s="4" t="s">
        <v>36</v>
      </c>
      <c r="B24" s="4">
        <v>23637</v>
      </c>
      <c r="C24" s="4">
        <v>32576</v>
      </c>
      <c r="D24" s="4">
        <v>33310</v>
      </c>
      <c r="E24" s="4">
        <v>30829</v>
      </c>
      <c r="F24" s="4">
        <v>42921</v>
      </c>
      <c r="G24" s="4">
        <v>51164</v>
      </c>
      <c r="H24" s="4">
        <v>58560</v>
      </c>
      <c r="I24" s="4">
        <v>63982</v>
      </c>
      <c r="J24" s="4">
        <v>74995</v>
      </c>
      <c r="K24" s="4">
        <v>82321</v>
      </c>
      <c r="L24" s="4">
        <v>83575</v>
      </c>
      <c r="M24" s="4">
        <v>85669</v>
      </c>
      <c r="N24" s="4">
        <v>81719</v>
      </c>
      <c r="O24" s="4">
        <v>64483</v>
      </c>
      <c r="P24" s="4">
        <v>86615</v>
      </c>
      <c r="Q24" s="4">
        <v>81530</v>
      </c>
      <c r="R24" s="4">
        <v>84129</v>
      </c>
      <c r="S24" s="4">
        <v>82562</v>
      </c>
      <c r="T24" s="88">
        <f t="shared" ref="T24:T28" si="6">(S24-J24)/J24</f>
        <v>0.10090006000400027</v>
      </c>
      <c r="U24" s="88">
        <f t="shared" ref="U24:U28" si="7">(S24-O24)/O24</f>
        <v>0.28036846920893876</v>
      </c>
      <c r="V24" s="88">
        <f t="shared" ref="V24:V28" si="8">(S24-R24)/R24</f>
        <v>-1.8626157448680004E-2</v>
      </c>
      <c r="W24" s="90">
        <f t="shared" ref="W24:W28" si="9">S24/S$9</f>
        <v>0.36724091149690635</v>
      </c>
      <c r="X24" s="52">
        <f t="shared" ref="X24:X28" si="10">S24-R24</f>
        <v>-1567</v>
      </c>
    </row>
    <row r="25" spans="1:24" x14ac:dyDescent="0.2">
      <c r="A25" s="27" t="s">
        <v>193</v>
      </c>
      <c r="B25" s="27">
        <v>17516</v>
      </c>
      <c r="C25" s="27">
        <v>16808</v>
      </c>
      <c r="D25" s="27">
        <v>18192</v>
      </c>
      <c r="E25" s="27">
        <v>16952</v>
      </c>
      <c r="F25" s="27">
        <v>20491</v>
      </c>
      <c r="G25" s="4">
        <v>23999</v>
      </c>
      <c r="H25" s="4">
        <v>30132</v>
      </c>
      <c r="I25" s="4">
        <v>34002</v>
      </c>
      <c r="J25" s="4">
        <v>39231</v>
      </c>
      <c r="K25" s="4">
        <v>40361</v>
      </c>
      <c r="L25" s="4">
        <v>43608</v>
      </c>
      <c r="M25" s="4">
        <v>44281</v>
      </c>
      <c r="N25" s="4">
        <v>39733</v>
      </c>
      <c r="O25" s="4">
        <v>34571</v>
      </c>
      <c r="P25" s="4">
        <v>44762</v>
      </c>
      <c r="Q25" s="4">
        <v>46351</v>
      </c>
      <c r="R25" s="4">
        <v>45806</v>
      </c>
      <c r="S25" s="4">
        <v>45271</v>
      </c>
      <c r="T25" s="88">
        <f t="shared" si="6"/>
        <v>0.1539598786673804</v>
      </c>
      <c r="U25" s="88">
        <f t="shared" si="7"/>
        <v>0.30950796910705503</v>
      </c>
      <c r="V25" s="88">
        <f t="shared" si="8"/>
        <v>-1.167969261668777E-2</v>
      </c>
      <c r="W25" s="90">
        <f t="shared" si="9"/>
        <v>0.2013682239332435</v>
      </c>
      <c r="X25" s="52">
        <f t="shared" si="10"/>
        <v>-535</v>
      </c>
    </row>
    <row r="26" spans="1:24" x14ac:dyDescent="0.2">
      <c r="A26" s="4" t="s">
        <v>38</v>
      </c>
      <c r="B26" s="4">
        <v>1459</v>
      </c>
      <c r="C26" s="4">
        <v>1075</v>
      </c>
      <c r="D26" s="4">
        <v>1198</v>
      </c>
      <c r="E26" s="4">
        <v>1370</v>
      </c>
      <c r="F26" s="4">
        <v>1285</v>
      </c>
      <c r="G26" s="4">
        <v>1368</v>
      </c>
      <c r="H26" s="4">
        <v>1390</v>
      </c>
      <c r="I26" s="4">
        <v>1434</v>
      </c>
      <c r="J26" s="4">
        <v>1532</v>
      </c>
      <c r="K26" s="4">
        <v>1868</v>
      </c>
      <c r="L26" s="4">
        <v>2365</v>
      </c>
      <c r="M26" s="4">
        <v>2685</v>
      </c>
      <c r="N26" s="4">
        <v>2578</v>
      </c>
      <c r="O26" s="4">
        <v>2414</v>
      </c>
      <c r="P26" s="4">
        <v>3299</v>
      </c>
      <c r="Q26" s="4">
        <v>3536</v>
      </c>
      <c r="R26" s="4">
        <v>3056</v>
      </c>
      <c r="S26" s="4">
        <v>2864</v>
      </c>
      <c r="T26" s="88">
        <f t="shared" si="6"/>
        <v>0.86945169712793735</v>
      </c>
      <c r="U26" s="88">
        <f t="shared" si="7"/>
        <v>0.18641259320629661</v>
      </c>
      <c r="V26" s="88">
        <f t="shared" si="8"/>
        <v>-6.2827225130890049E-2</v>
      </c>
      <c r="W26" s="90">
        <f t="shared" si="9"/>
        <v>1.2739250145674038E-2</v>
      </c>
      <c r="X26" s="52">
        <f t="shared" si="10"/>
        <v>-192</v>
      </c>
    </row>
    <row r="27" spans="1:24" x14ac:dyDescent="0.2">
      <c r="A27" s="27" t="s">
        <v>194</v>
      </c>
      <c r="B27" s="27">
        <v>44514</v>
      </c>
      <c r="C27" s="27">
        <v>47563</v>
      </c>
      <c r="D27" s="27">
        <v>53430</v>
      </c>
      <c r="E27" s="27">
        <v>53013</v>
      </c>
      <c r="F27" s="27">
        <v>53635</v>
      </c>
      <c r="G27" s="4">
        <v>59190</v>
      </c>
      <c r="H27" s="4">
        <v>66909</v>
      </c>
      <c r="I27" s="4">
        <v>72230</v>
      </c>
      <c r="J27" s="4">
        <v>73328</v>
      </c>
      <c r="K27" s="4">
        <v>73018</v>
      </c>
      <c r="L27" s="4">
        <v>77006</v>
      </c>
      <c r="M27" s="4">
        <v>76387</v>
      </c>
      <c r="N27" s="4">
        <v>77112</v>
      </c>
      <c r="O27" s="4">
        <v>59422</v>
      </c>
      <c r="P27" s="4">
        <v>94015</v>
      </c>
      <c r="Q27" s="4">
        <v>94518</v>
      </c>
      <c r="R27" s="4">
        <v>98178</v>
      </c>
      <c r="S27" s="4">
        <v>94120</v>
      </c>
      <c r="T27" s="88">
        <f t="shared" si="6"/>
        <v>0.28354789439231942</v>
      </c>
      <c r="U27" s="88">
        <f t="shared" si="7"/>
        <v>0.58392514556898123</v>
      </c>
      <c r="V27" s="88">
        <f t="shared" si="8"/>
        <v>-4.1333088879382349E-2</v>
      </c>
      <c r="W27" s="90">
        <f t="shared" si="9"/>
        <v>0.41865161442417609</v>
      </c>
      <c r="X27" s="52">
        <f t="shared" si="10"/>
        <v>-4058</v>
      </c>
    </row>
    <row r="28" spans="1:24" x14ac:dyDescent="0.2">
      <c r="A28" s="5" t="s">
        <v>4</v>
      </c>
      <c r="B28" s="5">
        <v>87126</v>
      </c>
      <c r="C28" s="5">
        <v>98022</v>
      </c>
      <c r="D28" s="5">
        <v>106130</v>
      </c>
      <c r="E28" s="5">
        <v>102164</v>
      </c>
      <c r="F28" s="5">
        <v>118332</v>
      </c>
      <c r="G28" s="5">
        <v>135721</v>
      </c>
      <c r="H28" s="5">
        <v>156991</v>
      </c>
      <c r="I28" s="5">
        <v>171648</v>
      </c>
      <c r="J28" s="5">
        <v>189086</v>
      </c>
      <c r="K28" s="5">
        <v>197568</v>
      </c>
      <c r="L28" s="5">
        <v>206554</v>
      </c>
      <c r="M28" s="5">
        <v>209022</v>
      </c>
      <c r="N28" s="5">
        <v>201142</v>
      </c>
      <c r="O28" s="5">
        <v>160890</v>
      </c>
      <c r="P28" s="5">
        <v>228691</v>
      </c>
      <c r="Q28" s="5">
        <v>225935</v>
      </c>
      <c r="R28" s="5">
        <v>231169</v>
      </c>
      <c r="S28" s="5">
        <v>224817</v>
      </c>
      <c r="T28" s="89">
        <f t="shared" si="6"/>
        <v>0.18896692510286325</v>
      </c>
      <c r="U28" s="89">
        <f t="shared" si="7"/>
        <v>0.39733358195040092</v>
      </c>
      <c r="V28" s="89">
        <f t="shared" si="8"/>
        <v>-2.7477732740981704E-2</v>
      </c>
      <c r="W28" s="91">
        <f t="shared" si="9"/>
        <v>1</v>
      </c>
      <c r="X28" s="53">
        <f t="shared" si="10"/>
        <v>-6352</v>
      </c>
    </row>
    <row r="29" spans="1:24" x14ac:dyDescent="0.2">
      <c r="A29" s="63"/>
      <c r="B29" s="138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29"/>
      <c r="U29" s="124"/>
      <c r="V29" s="124"/>
      <c r="W29" s="31"/>
      <c r="X29" s="31"/>
    </row>
    <row r="30" spans="1:24" ht="15.75" x14ac:dyDescent="0.2">
      <c r="A30" s="32" t="s">
        <v>267</v>
      </c>
      <c r="B30" s="32"/>
      <c r="C30" s="32"/>
      <c r="D30" s="32"/>
      <c r="E30" s="32"/>
      <c r="F30" s="32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</row>
    <row r="31" spans="1:24" ht="27" customHeight="1" x14ac:dyDescent="0.2">
      <c r="A31" s="73" t="s">
        <v>35</v>
      </c>
      <c r="B31" s="3">
        <v>2007</v>
      </c>
      <c r="C31" s="3">
        <v>2008</v>
      </c>
      <c r="D31" s="3">
        <v>2009</v>
      </c>
      <c r="E31" s="3">
        <v>2010</v>
      </c>
      <c r="F31" s="3">
        <v>2011</v>
      </c>
      <c r="G31" s="3">
        <v>2012</v>
      </c>
      <c r="H31" s="3">
        <v>2013</v>
      </c>
      <c r="I31" s="3">
        <v>2014</v>
      </c>
      <c r="J31" s="3">
        <v>2015</v>
      </c>
      <c r="K31" s="3">
        <v>2016</v>
      </c>
      <c r="L31" s="3">
        <v>2017</v>
      </c>
      <c r="M31" s="3">
        <v>2018</v>
      </c>
      <c r="N31" s="3">
        <v>2019</v>
      </c>
      <c r="O31" s="3">
        <v>2020</v>
      </c>
      <c r="P31" s="3">
        <v>2021</v>
      </c>
      <c r="Q31" s="3">
        <v>2022</v>
      </c>
      <c r="R31" s="3">
        <v>2023</v>
      </c>
      <c r="S31" s="3">
        <v>2024</v>
      </c>
      <c r="T31" s="12" t="s">
        <v>368</v>
      </c>
      <c r="U31" s="12" t="s">
        <v>369</v>
      </c>
      <c r="V31" s="12" t="s">
        <v>370</v>
      </c>
      <c r="W31" s="12" t="s">
        <v>372</v>
      </c>
      <c r="X31" s="169" t="s">
        <v>494</v>
      </c>
    </row>
    <row r="32" spans="1:24" x14ac:dyDescent="0.2">
      <c r="A32" s="27" t="s">
        <v>263</v>
      </c>
      <c r="B32" s="4">
        <f>B24+B25</f>
        <v>41153</v>
      </c>
      <c r="C32" s="4">
        <f t="shared" ref="C32:S32" si="11">C24+C25</f>
        <v>49384</v>
      </c>
      <c r="D32" s="4">
        <f t="shared" si="11"/>
        <v>51502</v>
      </c>
      <c r="E32" s="4">
        <f t="shared" si="11"/>
        <v>47781</v>
      </c>
      <c r="F32" s="4">
        <f t="shared" si="11"/>
        <v>63412</v>
      </c>
      <c r="G32" s="4">
        <f t="shared" si="11"/>
        <v>75163</v>
      </c>
      <c r="H32" s="4">
        <f t="shared" si="11"/>
        <v>88692</v>
      </c>
      <c r="I32" s="4">
        <f t="shared" si="11"/>
        <v>97984</v>
      </c>
      <c r="J32" s="4">
        <f t="shared" si="11"/>
        <v>114226</v>
      </c>
      <c r="K32" s="4">
        <f t="shared" si="11"/>
        <v>122682</v>
      </c>
      <c r="L32" s="4">
        <f t="shared" si="11"/>
        <v>127183</v>
      </c>
      <c r="M32" s="4">
        <f t="shared" si="11"/>
        <v>129950</v>
      </c>
      <c r="N32" s="4">
        <f t="shared" si="11"/>
        <v>121452</v>
      </c>
      <c r="O32" s="4">
        <f t="shared" si="11"/>
        <v>99054</v>
      </c>
      <c r="P32" s="4">
        <f t="shared" si="11"/>
        <v>131377</v>
      </c>
      <c r="Q32" s="4">
        <f t="shared" si="11"/>
        <v>127881</v>
      </c>
      <c r="R32" s="4">
        <f t="shared" si="11"/>
        <v>129935</v>
      </c>
      <c r="S32" s="4">
        <f t="shared" si="11"/>
        <v>127833</v>
      </c>
      <c r="T32" s="88">
        <f t="shared" ref="T32:T34" si="12">(S32-J32)/J32</f>
        <v>0.11912349202458285</v>
      </c>
      <c r="U32" s="88">
        <f t="shared" ref="U32:U34" si="13">(S32-O32)/O32</f>
        <v>0.29053849415470351</v>
      </c>
      <c r="V32" s="88">
        <f t="shared" ref="V32:V34" si="14">(S32-R32)/R32</f>
        <v>-1.6177319428945243E-2</v>
      </c>
      <c r="W32" s="90">
        <f t="shared" ref="W32:W34" si="15">S32/S$9</f>
        <v>0.5686091354301499</v>
      </c>
      <c r="X32" s="52">
        <f t="shared" ref="X32:X34" si="16">S32-R32</f>
        <v>-2102</v>
      </c>
    </row>
    <row r="33" spans="1:24" x14ac:dyDescent="0.2">
      <c r="A33" s="4" t="s">
        <v>46</v>
      </c>
      <c r="B33" s="4">
        <f>B26+B27</f>
        <v>45973</v>
      </c>
      <c r="C33" s="4">
        <f t="shared" ref="C33:S33" si="17">C26+C27</f>
        <v>48638</v>
      </c>
      <c r="D33" s="4">
        <f t="shared" si="17"/>
        <v>54628</v>
      </c>
      <c r="E33" s="4">
        <f t="shared" si="17"/>
        <v>54383</v>
      </c>
      <c r="F33" s="4">
        <f t="shared" si="17"/>
        <v>54920</v>
      </c>
      <c r="G33" s="4">
        <f t="shared" si="17"/>
        <v>60558</v>
      </c>
      <c r="H33" s="4">
        <f t="shared" si="17"/>
        <v>68299</v>
      </c>
      <c r="I33" s="4">
        <f t="shared" si="17"/>
        <v>73664</v>
      </c>
      <c r="J33" s="4">
        <f t="shared" si="17"/>
        <v>74860</v>
      </c>
      <c r="K33" s="4">
        <f t="shared" si="17"/>
        <v>74886</v>
      </c>
      <c r="L33" s="4">
        <f t="shared" si="17"/>
        <v>79371</v>
      </c>
      <c r="M33" s="4">
        <f t="shared" si="17"/>
        <v>79072</v>
      </c>
      <c r="N33" s="4">
        <f t="shared" si="17"/>
        <v>79690</v>
      </c>
      <c r="O33" s="4">
        <f t="shared" si="17"/>
        <v>61836</v>
      </c>
      <c r="P33" s="4">
        <f t="shared" si="17"/>
        <v>97314</v>
      </c>
      <c r="Q33" s="4">
        <f t="shared" si="17"/>
        <v>98054</v>
      </c>
      <c r="R33" s="4">
        <f t="shared" si="17"/>
        <v>101234</v>
      </c>
      <c r="S33" s="4">
        <f t="shared" si="17"/>
        <v>96984</v>
      </c>
      <c r="T33" s="88">
        <f t="shared" si="12"/>
        <v>0.29553833823136522</v>
      </c>
      <c r="U33" s="88">
        <f t="shared" si="13"/>
        <v>0.56840675334756452</v>
      </c>
      <c r="V33" s="88">
        <f t="shared" si="14"/>
        <v>-4.1981942825532921E-2</v>
      </c>
      <c r="W33" s="90">
        <f t="shared" si="15"/>
        <v>0.43139086456985015</v>
      </c>
      <c r="X33" s="52">
        <f t="shared" si="16"/>
        <v>-4250</v>
      </c>
    </row>
    <row r="34" spans="1:24" x14ac:dyDescent="0.2">
      <c r="A34" s="5" t="s">
        <v>4</v>
      </c>
      <c r="B34" s="5">
        <f>SUM(B32:B33)</f>
        <v>87126</v>
      </c>
      <c r="C34" s="5">
        <f t="shared" ref="C34:S34" si="18">SUM(C32:C33)</f>
        <v>98022</v>
      </c>
      <c r="D34" s="5">
        <f t="shared" si="18"/>
        <v>106130</v>
      </c>
      <c r="E34" s="5">
        <f t="shared" si="18"/>
        <v>102164</v>
      </c>
      <c r="F34" s="5">
        <f t="shared" si="18"/>
        <v>118332</v>
      </c>
      <c r="G34" s="5">
        <f t="shared" si="18"/>
        <v>135721</v>
      </c>
      <c r="H34" s="5">
        <f t="shared" si="18"/>
        <v>156991</v>
      </c>
      <c r="I34" s="5">
        <f t="shared" si="18"/>
        <v>171648</v>
      </c>
      <c r="J34" s="5">
        <f t="shared" si="18"/>
        <v>189086</v>
      </c>
      <c r="K34" s="5">
        <f t="shared" si="18"/>
        <v>197568</v>
      </c>
      <c r="L34" s="5">
        <f t="shared" si="18"/>
        <v>206554</v>
      </c>
      <c r="M34" s="5">
        <f t="shared" si="18"/>
        <v>209022</v>
      </c>
      <c r="N34" s="5">
        <f t="shared" si="18"/>
        <v>201142</v>
      </c>
      <c r="O34" s="5">
        <f t="shared" si="18"/>
        <v>160890</v>
      </c>
      <c r="P34" s="5">
        <f t="shared" si="18"/>
        <v>228691</v>
      </c>
      <c r="Q34" s="5">
        <f t="shared" si="18"/>
        <v>225935</v>
      </c>
      <c r="R34" s="5">
        <f t="shared" si="18"/>
        <v>231169</v>
      </c>
      <c r="S34" s="5">
        <f t="shared" si="18"/>
        <v>224817</v>
      </c>
      <c r="T34" s="89">
        <f t="shared" si="12"/>
        <v>0.18896692510286325</v>
      </c>
      <c r="U34" s="89">
        <f t="shared" si="13"/>
        <v>0.39733358195040092</v>
      </c>
      <c r="V34" s="89">
        <f t="shared" si="14"/>
        <v>-2.7477732740981704E-2</v>
      </c>
      <c r="W34" s="91">
        <f t="shared" si="15"/>
        <v>1</v>
      </c>
      <c r="X34" s="53">
        <f t="shared" si="16"/>
        <v>-6352</v>
      </c>
    </row>
    <row r="35" spans="1:24" x14ac:dyDescent="0.2">
      <c r="A35" s="173" t="s">
        <v>250</v>
      </c>
      <c r="B35" s="62"/>
      <c r="C35" s="62"/>
      <c r="D35" s="62"/>
      <c r="E35" s="62"/>
      <c r="F35" s="62"/>
      <c r="G35" s="31"/>
      <c r="H35" s="31"/>
      <c r="I35" s="31"/>
      <c r="J35" s="100"/>
      <c r="K35" s="100"/>
      <c r="L35" s="100"/>
      <c r="M35" s="100"/>
      <c r="N35" s="100"/>
      <c r="O35" s="100"/>
      <c r="P35" s="100"/>
      <c r="Q35" s="100"/>
      <c r="R35" s="100"/>
      <c r="S35" s="100"/>
      <c r="T35" s="99"/>
      <c r="U35" s="31"/>
      <c r="V35" s="31"/>
      <c r="W35" s="31"/>
      <c r="X35" s="31"/>
    </row>
    <row r="36" spans="1:24" x14ac:dyDescent="0.2">
      <c r="A36" s="173" t="s">
        <v>219</v>
      </c>
      <c r="B36" s="62"/>
      <c r="C36" s="62"/>
      <c r="D36" s="62"/>
      <c r="E36" s="62"/>
      <c r="F36" s="62"/>
      <c r="G36" s="31"/>
      <c r="H36" s="31"/>
      <c r="I36" s="31"/>
      <c r="J36" s="100"/>
      <c r="K36" s="100"/>
      <c r="L36" s="100"/>
      <c r="M36" s="100"/>
      <c r="N36" s="100"/>
      <c r="O36" s="100"/>
      <c r="P36" s="100"/>
      <c r="Q36" s="100"/>
      <c r="R36" s="100"/>
      <c r="S36" s="100"/>
      <c r="T36" s="99"/>
      <c r="U36" s="31"/>
      <c r="V36" s="31"/>
      <c r="W36" s="31"/>
      <c r="X36" s="31"/>
    </row>
    <row r="37" spans="1:24" x14ac:dyDescent="0.2">
      <c r="A37" s="63"/>
      <c r="B37" s="63"/>
      <c r="C37" s="63"/>
      <c r="D37" s="63"/>
      <c r="E37" s="63"/>
      <c r="F37" s="63"/>
      <c r="G37" s="31"/>
      <c r="H37" s="31"/>
      <c r="I37" s="31"/>
      <c r="J37" s="100"/>
      <c r="K37" s="100"/>
      <c r="L37" s="100"/>
      <c r="M37" s="100"/>
      <c r="N37" s="100"/>
      <c r="O37" s="100"/>
      <c r="P37" s="100"/>
      <c r="Q37" s="100"/>
      <c r="R37" s="100"/>
      <c r="S37" s="100"/>
      <c r="T37" s="31"/>
      <c r="U37" s="31"/>
      <c r="V37" s="31"/>
      <c r="W37" s="31"/>
      <c r="X37" s="31"/>
    </row>
    <row r="38" spans="1:24" ht="15.75" x14ac:dyDescent="0.2">
      <c r="A38" s="32" t="s">
        <v>268</v>
      </c>
      <c r="B38" s="32"/>
      <c r="C38" s="32"/>
      <c r="D38" s="32"/>
      <c r="E38" s="32"/>
      <c r="F38" s="32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</row>
    <row r="39" spans="1:24" ht="27" customHeight="1" x14ac:dyDescent="0.2">
      <c r="A39" s="73" t="s">
        <v>47</v>
      </c>
      <c r="B39" s="3">
        <v>2007</v>
      </c>
      <c r="C39" s="3">
        <v>2008</v>
      </c>
      <c r="D39" s="3">
        <v>2009</v>
      </c>
      <c r="E39" s="3">
        <v>2010</v>
      </c>
      <c r="F39" s="3">
        <v>2011</v>
      </c>
      <c r="G39" s="3">
        <v>2012</v>
      </c>
      <c r="H39" s="3">
        <v>2013</v>
      </c>
      <c r="I39" s="3">
        <v>2014</v>
      </c>
      <c r="J39" s="3">
        <v>2015</v>
      </c>
      <c r="K39" s="3">
        <v>2016</v>
      </c>
      <c r="L39" s="3">
        <v>2017</v>
      </c>
      <c r="M39" s="3">
        <v>2018</v>
      </c>
      <c r="N39" s="3">
        <v>2019</v>
      </c>
      <c r="O39" s="3">
        <v>2020</v>
      </c>
      <c r="P39" s="3">
        <v>2021</v>
      </c>
      <c r="Q39" s="3">
        <v>2022</v>
      </c>
      <c r="R39" s="3">
        <v>2023</v>
      </c>
      <c r="S39" s="3">
        <v>2024</v>
      </c>
      <c r="T39" s="12" t="s">
        <v>309</v>
      </c>
      <c r="U39" s="12" t="s">
        <v>369</v>
      </c>
      <c r="V39" s="12" t="s">
        <v>370</v>
      </c>
      <c r="W39" s="12" t="s">
        <v>372</v>
      </c>
      <c r="X39" s="169" t="s">
        <v>494</v>
      </c>
    </row>
    <row r="40" spans="1:24" s="11" customFormat="1" x14ac:dyDescent="0.2">
      <c r="A40" s="5" t="s">
        <v>5</v>
      </c>
      <c r="B40" s="5">
        <v>13913</v>
      </c>
      <c r="C40" s="5">
        <v>20014</v>
      </c>
      <c r="D40" s="5">
        <v>16893</v>
      </c>
      <c r="E40" s="5">
        <v>14342</v>
      </c>
      <c r="F40" s="5">
        <v>22478</v>
      </c>
      <c r="G40" s="20">
        <v>25615</v>
      </c>
      <c r="H40" s="20">
        <v>28283</v>
      </c>
      <c r="I40" s="20">
        <v>27779</v>
      </c>
      <c r="J40" s="20">
        <v>30655</v>
      </c>
      <c r="K40" s="20">
        <v>33930</v>
      </c>
      <c r="L40" s="20">
        <v>33014</v>
      </c>
      <c r="M40" s="20">
        <v>35354</v>
      </c>
      <c r="N40" s="20">
        <v>34047</v>
      </c>
      <c r="O40" s="20">
        <v>24213</v>
      </c>
      <c r="P40" s="20">
        <v>36474</v>
      </c>
      <c r="Q40" s="20">
        <v>38169</v>
      </c>
      <c r="R40" s="20">
        <v>40655</v>
      </c>
      <c r="S40" s="20">
        <v>37152</v>
      </c>
      <c r="T40" s="89">
        <f t="shared" ref="T40:T50" si="19">(S40-J40)/J40</f>
        <v>0.21193932474310878</v>
      </c>
      <c r="U40" s="89">
        <f t="shared" ref="U40:U50" si="20">(S40-O40)/O40</f>
        <v>0.53438235658530542</v>
      </c>
      <c r="V40" s="89">
        <f t="shared" ref="V40:V50" si="21">(S40-R40)/R40</f>
        <v>-8.616406346082893E-2</v>
      </c>
      <c r="W40" s="91">
        <f t="shared" ref="W40:W50" si="22">S40/S$9</f>
        <v>0.16525440691762633</v>
      </c>
      <c r="X40" s="53">
        <f t="shared" ref="X40:X50" si="23">S40-R40</f>
        <v>-3503</v>
      </c>
    </row>
    <row r="41" spans="1:24" x14ac:dyDescent="0.2">
      <c r="A41" s="70" t="s">
        <v>36</v>
      </c>
      <c r="B41" s="70">
        <v>13913</v>
      </c>
      <c r="C41" s="70">
        <v>20014</v>
      </c>
      <c r="D41" s="70">
        <v>16893</v>
      </c>
      <c r="E41" s="70">
        <v>14342</v>
      </c>
      <c r="F41" s="70">
        <v>22478</v>
      </c>
      <c r="G41" s="4">
        <v>25615</v>
      </c>
      <c r="H41" s="4">
        <v>28283</v>
      </c>
      <c r="I41" s="4">
        <v>27779</v>
      </c>
      <c r="J41" s="4">
        <v>30655</v>
      </c>
      <c r="K41" s="4">
        <v>33930</v>
      </c>
      <c r="L41" s="4">
        <v>33014</v>
      </c>
      <c r="M41" s="4">
        <v>35354</v>
      </c>
      <c r="N41" s="4">
        <v>34047</v>
      </c>
      <c r="O41" s="4">
        <v>24213</v>
      </c>
      <c r="P41" s="4">
        <v>36474</v>
      </c>
      <c r="Q41" s="4">
        <v>38169</v>
      </c>
      <c r="R41" s="4">
        <v>40655</v>
      </c>
      <c r="S41" s="4">
        <v>37152</v>
      </c>
      <c r="T41" s="88">
        <f t="shared" si="19"/>
        <v>0.21193932474310878</v>
      </c>
      <c r="U41" s="88">
        <f t="shared" si="20"/>
        <v>0.53438235658530542</v>
      </c>
      <c r="V41" s="88">
        <f t="shared" si="21"/>
        <v>-8.616406346082893E-2</v>
      </c>
      <c r="W41" s="90">
        <f t="shared" si="22"/>
        <v>0.16525440691762633</v>
      </c>
      <c r="X41" s="52">
        <f t="shared" si="23"/>
        <v>-3503</v>
      </c>
    </row>
    <row r="42" spans="1:24" s="11" customFormat="1" x14ac:dyDescent="0.2">
      <c r="A42" s="5" t="s">
        <v>6</v>
      </c>
      <c r="B42" s="5">
        <v>17980</v>
      </c>
      <c r="C42" s="5">
        <v>19230</v>
      </c>
      <c r="D42" s="5">
        <v>23837</v>
      </c>
      <c r="E42" s="5">
        <v>23804</v>
      </c>
      <c r="F42" s="5">
        <v>30856</v>
      </c>
      <c r="G42" s="20">
        <v>38267</v>
      </c>
      <c r="H42" s="20">
        <v>47536</v>
      </c>
      <c r="I42" s="20">
        <v>56510</v>
      </c>
      <c r="J42" s="20">
        <v>68298</v>
      </c>
      <c r="K42" s="20">
        <v>73935</v>
      </c>
      <c r="L42" s="20">
        <v>79135</v>
      </c>
      <c r="M42" s="20">
        <v>79335</v>
      </c>
      <c r="N42" s="20">
        <v>74372</v>
      </c>
      <c r="O42" s="20">
        <v>63437</v>
      </c>
      <c r="P42" s="20">
        <v>81653</v>
      </c>
      <c r="Q42" s="20">
        <v>77362</v>
      </c>
      <c r="R42" s="20">
        <v>78364</v>
      </c>
      <c r="S42" s="20">
        <v>81285</v>
      </c>
      <c r="T42" s="89">
        <f t="shared" si="19"/>
        <v>0.19015198102433453</v>
      </c>
      <c r="U42" s="89">
        <f t="shared" si="20"/>
        <v>0.28135000078818356</v>
      </c>
      <c r="V42" s="89">
        <f t="shared" si="21"/>
        <v>3.7274769026593844E-2</v>
      </c>
      <c r="W42" s="91">
        <f t="shared" si="22"/>
        <v>0.36156073606533312</v>
      </c>
      <c r="X42" s="53">
        <f t="shared" si="23"/>
        <v>2921</v>
      </c>
    </row>
    <row r="43" spans="1:24" x14ac:dyDescent="0.2">
      <c r="A43" s="70" t="s">
        <v>36</v>
      </c>
      <c r="B43" s="70">
        <v>6941</v>
      </c>
      <c r="C43" s="70">
        <v>9240</v>
      </c>
      <c r="D43" s="70">
        <v>12129</v>
      </c>
      <c r="E43" s="70">
        <v>12518</v>
      </c>
      <c r="F43" s="70">
        <v>16763</v>
      </c>
      <c r="G43" s="15">
        <v>21075</v>
      </c>
      <c r="H43" s="15">
        <v>25022</v>
      </c>
      <c r="I43" s="15">
        <v>30750</v>
      </c>
      <c r="J43" s="15">
        <v>37905</v>
      </c>
      <c r="K43" s="15">
        <v>41363</v>
      </c>
      <c r="L43" s="15">
        <v>43496</v>
      </c>
      <c r="M43" s="15">
        <v>43125</v>
      </c>
      <c r="N43" s="15">
        <v>40999</v>
      </c>
      <c r="O43" s="15">
        <v>34557</v>
      </c>
      <c r="P43" s="15">
        <v>43369</v>
      </c>
      <c r="Q43" s="15">
        <v>36901</v>
      </c>
      <c r="R43" s="15">
        <v>37874</v>
      </c>
      <c r="S43" s="15">
        <v>39733</v>
      </c>
      <c r="T43" s="88">
        <f t="shared" si="19"/>
        <v>4.8225827727212768E-2</v>
      </c>
      <c r="U43" s="88">
        <f t="shared" si="20"/>
        <v>0.14978152038660764</v>
      </c>
      <c r="V43" s="88">
        <f t="shared" si="21"/>
        <v>4.9083804192849974E-2</v>
      </c>
      <c r="W43" s="90">
        <f t="shared" si="22"/>
        <v>0.17673485546021875</v>
      </c>
      <c r="X43" s="52">
        <f t="shared" si="23"/>
        <v>1859</v>
      </c>
    </row>
    <row r="44" spans="1:24" x14ac:dyDescent="0.2">
      <c r="A44" s="70" t="s">
        <v>37</v>
      </c>
      <c r="B44" s="70">
        <v>11039</v>
      </c>
      <c r="C44" s="70">
        <v>9990</v>
      </c>
      <c r="D44" s="70">
        <v>11708</v>
      </c>
      <c r="E44" s="70">
        <v>11286</v>
      </c>
      <c r="F44" s="70">
        <v>14093</v>
      </c>
      <c r="G44" s="15">
        <v>17192</v>
      </c>
      <c r="H44" s="15">
        <v>22514</v>
      </c>
      <c r="I44" s="15">
        <v>25760</v>
      </c>
      <c r="J44" s="15">
        <v>30393</v>
      </c>
      <c r="K44" s="15">
        <v>32572</v>
      </c>
      <c r="L44" s="15">
        <v>35639</v>
      </c>
      <c r="M44" s="15">
        <v>36210</v>
      </c>
      <c r="N44" s="15">
        <v>33373</v>
      </c>
      <c r="O44" s="15">
        <v>28880</v>
      </c>
      <c r="P44" s="15">
        <v>38284</v>
      </c>
      <c r="Q44" s="15">
        <v>40461</v>
      </c>
      <c r="R44" s="15">
        <v>40490</v>
      </c>
      <c r="S44" s="15">
        <v>41552</v>
      </c>
      <c r="T44" s="88">
        <f t="shared" si="19"/>
        <v>0.36715691113085253</v>
      </c>
      <c r="U44" s="88">
        <f t="shared" si="20"/>
        <v>0.43878116343490303</v>
      </c>
      <c r="V44" s="88">
        <f t="shared" si="21"/>
        <v>2.6228698444060262E-2</v>
      </c>
      <c r="W44" s="90">
        <f t="shared" si="22"/>
        <v>0.18482588060511437</v>
      </c>
      <c r="X44" s="52">
        <f t="shared" si="23"/>
        <v>1062</v>
      </c>
    </row>
    <row r="45" spans="1:24" s="11" customFormat="1" x14ac:dyDescent="0.2">
      <c r="A45" s="5" t="s">
        <v>7</v>
      </c>
      <c r="B45" s="5">
        <v>55233</v>
      </c>
      <c r="C45" s="5">
        <v>58778</v>
      </c>
      <c r="D45" s="5">
        <v>65400</v>
      </c>
      <c r="E45" s="5">
        <v>64018</v>
      </c>
      <c r="F45" s="5">
        <v>64998</v>
      </c>
      <c r="G45" s="20">
        <v>71839</v>
      </c>
      <c r="H45" s="20">
        <v>81172</v>
      </c>
      <c r="I45" s="20">
        <v>87359</v>
      </c>
      <c r="J45" s="20">
        <v>90133</v>
      </c>
      <c r="K45" s="20">
        <v>89703</v>
      </c>
      <c r="L45" s="20">
        <v>94405</v>
      </c>
      <c r="M45" s="20">
        <v>94333</v>
      </c>
      <c r="N45" s="20">
        <v>92723</v>
      </c>
      <c r="O45" s="20">
        <v>73240</v>
      </c>
      <c r="P45" s="20">
        <v>110564</v>
      </c>
      <c r="Q45" s="20">
        <v>110404</v>
      </c>
      <c r="R45" s="20">
        <v>112150</v>
      </c>
      <c r="S45" s="20">
        <v>106380</v>
      </c>
      <c r="T45" s="89">
        <f t="shared" si="19"/>
        <v>0.18025584414143545</v>
      </c>
      <c r="U45" s="89">
        <f t="shared" si="20"/>
        <v>0.45248498088476241</v>
      </c>
      <c r="V45" s="89">
        <f t="shared" si="21"/>
        <v>-5.1448952296032101E-2</v>
      </c>
      <c r="W45" s="91">
        <f t="shared" si="22"/>
        <v>0.47318485701704055</v>
      </c>
      <c r="X45" s="53">
        <f t="shared" si="23"/>
        <v>-5770</v>
      </c>
    </row>
    <row r="46" spans="1:24" x14ac:dyDescent="0.2">
      <c r="A46" s="70" t="s">
        <v>36</v>
      </c>
      <c r="B46" s="70">
        <v>2783</v>
      </c>
      <c r="C46" s="70">
        <v>3322</v>
      </c>
      <c r="D46" s="70">
        <v>4288</v>
      </c>
      <c r="E46" s="70">
        <v>3969</v>
      </c>
      <c r="F46" s="70">
        <v>3680</v>
      </c>
      <c r="G46" s="15">
        <v>4474</v>
      </c>
      <c r="H46" s="15">
        <v>5255</v>
      </c>
      <c r="I46" s="15">
        <v>5453</v>
      </c>
      <c r="J46" s="15">
        <v>6435</v>
      </c>
      <c r="K46" s="15">
        <v>7028</v>
      </c>
      <c r="L46" s="15">
        <v>7065</v>
      </c>
      <c r="M46" s="15">
        <v>7190</v>
      </c>
      <c r="N46" s="15">
        <v>6673</v>
      </c>
      <c r="O46" s="15">
        <v>5713</v>
      </c>
      <c r="P46" s="15">
        <v>6772</v>
      </c>
      <c r="Q46" s="15">
        <v>6460</v>
      </c>
      <c r="R46" s="15">
        <v>5600</v>
      </c>
      <c r="S46" s="15">
        <v>5677</v>
      </c>
      <c r="T46" s="88">
        <f t="shared" si="19"/>
        <v>-0.11779331779331779</v>
      </c>
      <c r="U46" s="88">
        <f t="shared" si="20"/>
        <v>-6.3014178190092772E-3</v>
      </c>
      <c r="V46" s="88">
        <f t="shared" si="21"/>
        <v>1.375E-2</v>
      </c>
      <c r="W46" s="90">
        <f t="shared" si="22"/>
        <v>2.5251649119061283E-2</v>
      </c>
      <c r="X46" s="52">
        <f t="shared" si="23"/>
        <v>77</v>
      </c>
    </row>
    <row r="47" spans="1:24" x14ac:dyDescent="0.2">
      <c r="A47" s="70" t="s">
        <v>37</v>
      </c>
      <c r="B47" s="70">
        <v>6477</v>
      </c>
      <c r="C47" s="70">
        <v>6818</v>
      </c>
      <c r="D47" s="70">
        <v>6484</v>
      </c>
      <c r="E47" s="70">
        <v>5666</v>
      </c>
      <c r="F47" s="70">
        <v>6398</v>
      </c>
      <c r="G47" s="15">
        <v>6807</v>
      </c>
      <c r="H47" s="15">
        <v>7618</v>
      </c>
      <c r="I47" s="15">
        <v>8242</v>
      </c>
      <c r="J47" s="15">
        <v>8838</v>
      </c>
      <c r="K47" s="15">
        <v>7789</v>
      </c>
      <c r="L47" s="15">
        <v>7969</v>
      </c>
      <c r="M47" s="15">
        <v>8071</v>
      </c>
      <c r="N47" s="15">
        <v>6360</v>
      </c>
      <c r="O47" s="15">
        <v>5691</v>
      </c>
      <c r="P47" s="15">
        <v>6478</v>
      </c>
      <c r="Q47" s="15">
        <v>5890</v>
      </c>
      <c r="R47" s="15">
        <v>5316</v>
      </c>
      <c r="S47" s="15">
        <v>3719</v>
      </c>
      <c r="T47" s="88">
        <f t="shared" si="19"/>
        <v>-0.57920343969223809</v>
      </c>
      <c r="U47" s="88">
        <f t="shared" si="20"/>
        <v>-0.34651203654893692</v>
      </c>
      <c r="V47" s="88">
        <f t="shared" si="21"/>
        <v>-0.3004138449962378</v>
      </c>
      <c r="W47" s="90">
        <f t="shared" si="22"/>
        <v>1.6542343328129101E-2</v>
      </c>
      <c r="X47" s="52">
        <f t="shared" si="23"/>
        <v>-1597</v>
      </c>
    </row>
    <row r="48" spans="1:24" x14ac:dyDescent="0.2">
      <c r="A48" s="70" t="s">
        <v>38</v>
      </c>
      <c r="B48" s="70">
        <v>1459</v>
      </c>
      <c r="C48" s="70">
        <v>1075</v>
      </c>
      <c r="D48" s="70">
        <v>1198</v>
      </c>
      <c r="E48" s="70">
        <v>1370</v>
      </c>
      <c r="F48" s="70">
        <v>1285</v>
      </c>
      <c r="G48" s="15">
        <v>1368</v>
      </c>
      <c r="H48" s="15">
        <v>1390</v>
      </c>
      <c r="I48" s="15">
        <v>1434</v>
      </c>
      <c r="J48" s="15">
        <v>1532</v>
      </c>
      <c r="K48" s="15">
        <v>1868</v>
      </c>
      <c r="L48" s="15">
        <v>2365</v>
      </c>
      <c r="M48" s="15">
        <v>2685</v>
      </c>
      <c r="N48" s="15">
        <v>2578</v>
      </c>
      <c r="O48" s="15">
        <v>2414</v>
      </c>
      <c r="P48" s="15">
        <v>3299</v>
      </c>
      <c r="Q48" s="15">
        <v>3536</v>
      </c>
      <c r="R48" s="15">
        <v>3056</v>
      </c>
      <c r="S48" s="15">
        <v>2864</v>
      </c>
      <c r="T48" s="88">
        <f t="shared" si="19"/>
        <v>0.86945169712793735</v>
      </c>
      <c r="U48" s="88">
        <f t="shared" si="20"/>
        <v>0.18641259320629661</v>
      </c>
      <c r="V48" s="88">
        <f t="shared" si="21"/>
        <v>-6.2827225130890049E-2</v>
      </c>
      <c r="W48" s="90">
        <f t="shared" si="22"/>
        <v>1.2739250145674038E-2</v>
      </c>
      <c r="X48" s="52">
        <f t="shared" si="23"/>
        <v>-192</v>
      </c>
    </row>
    <row r="49" spans="1:24" x14ac:dyDescent="0.2">
      <c r="A49" s="70" t="s">
        <v>39</v>
      </c>
      <c r="B49" s="70">
        <v>44514</v>
      </c>
      <c r="C49" s="70">
        <v>47563</v>
      </c>
      <c r="D49" s="70">
        <v>53430</v>
      </c>
      <c r="E49" s="70">
        <v>53013</v>
      </c>
      <c r="F49" s="70">
        <v>53635</v>
      </c>
      <c r="G49" s="15">
        <v>59190</v>
      </c>
      <c r="H49" s="15">
        <v>66909</v>
      </c>
      <c r="I49" s="15">
        <v>72230</v>
      </c>
      <c r="J49" s="15">
        <v>73328</v>
      </c>
      <c r="K49" s="15">
        <v>73018</v>
      </c>
      <c r="L49" s="15">
        <v>77006</v>
      </c>
      <c r="M49" s="15">
        <v>76387</v>
      </c>
      <c r="N49" s="15">
        <v>77112</v>
      </c>
      <c r="O49" s="15">
        <v>59422</v>
      </c>
      <c r="P49" s="15">
        <v>94015</v>
      </c>
      <c r="Q49" s="15">
        <v>94518</v>
      </c>
      <c r="R49" s="15">
        <v>98178</v>
      </c>
      <c r="S49" s="15">
        <v>94120</v>
      </c>
      <c r="T49" s="88">
        <f t="shared" si="19"/>
        <v>0.28354789439231942</v>
      </c>
      <c r="U49" s="88">
        <f t="shared" si="20"/>
        <v>0.58392514556898123</v>
      </c>
      <c r="V49" s="88">
        <f t="shared" si="21"/>
        <v>-4.1333088879382349E-2</v>
      </c>
      <c r="W49" s="90">
        <f t="shared" si="22"/>
        <v>0.41865161442417609</v>
      </c>
      <c r="X49" s="52">
        <f t="shared" si="23"/>
        <v>-4058</v>
      </c>
    </row>
    <row r="50" spans="1:24" x14ac:dyDescent="0.2">
      <c r="A50" s="5" t="s">
        <v>4</v>
      </c>
      <c r="B50" s="5">
        <v>87126</v>
      </c>
      <c r="C50" s="5">
        <v>98022</v>
      </c>
      <c r="D50" s="5">
        <v>106130</v>
      </c>
      <c r="E50" s="5">
        <v>102164</v>
      </c>
      <c r="F50" s="5">
        <v>118332</v>
      </c>
      <c r="G50" s="5">
        <v>135721</v>
      </c>
      <c r="H50" s="5">
        <v>156991</v>
      </c>
      <c r="I50" s="5">
        <v>171648</v>
      </c>
      <c r="J50" s="5">
        <v>189086</v>
      </c>
      <c r="K50" s="5">
        <v>197568</v>
      </c>
      <c r="L50" s="5">
        <v>206554</v>
      </c>
      <c r="M50" s="5">
        <v>209022</v>
      </c>
      <c r="N50" s="5">
        <v>201142</v>
      </c>
      <c r="O50" s="5">
        <v>160890</v>
      </c>
      <c r="P50" s="5">
        <v>228691</v>
      </c>
      <c r="Q50" s="5">
        <v>225935</v>
      </c>
      <c r="R50" s="5">
        <v>231169</v>
      </c>
      <c r="S50" s="5">
        <v>224817</v>
      </c>
      <c r="T50" s="89">
        <f t="shared" si="19"/>
        <v>0.18896692510286325</v>
      </c>
      <c r="U50" s="89">
        <f t="shared" si="20"/>
        <v>0.39733358195040092</v>
      </c>
      <c r="V50" s="89">
        <f t="shared" si="21"/>
        <v>-2.7477732740981704E-2</v>
      </c>
      <c r="W50" s="91">
        <f t="shared" si="22"/>
        <v>1</v>
      </c>
      <c r="X50" s="53">
        <f t="shared" si="23"/>
        <v>-6352</v>
      </c>
    </row>
    <row r="51" spans="1:24" x14ac:dyDescent="0.2">
      <c r="A51" s="63"/>
      <c r="B51" s="63"/>
      <c r="C51" s="63"/>
      <c r="D51" s="63"/>
      <c r="E51" s="63"/>
      <c r="F51" s="63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</row>
    <row r="52" spans="1:24" ht="15.75" x14ac:dyDescent="0.2">
      <c r="A52" s="32" t="s">
        <v>269</v>
      </c>
      <c r="B52" s="32"/>
      <c r="C52" s="32"/>
      <c r="D52" s="32"/>
      <c r="E52" s="32"/>
      <c r="F52" s="32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</row>
    <row r="53" spans="1:24" ht="27" customHeight="1" x14ac:dyDescent="0.2">
      <c r="A53" s="73" t="s">
        <v>47</v>
      </c>
      <c r="B53" s="3">
        <v>2007</v>
      </c>
      <c r="C53" s="3">
        <v>2008</v>
      </c>
      <c r="D53" s="3">
        <v>2009</v>
      </c>
      <c r="E53" s="3">
        <v>2010</v>
      </c>
      <c r="F53" s="3">
        <v>2011</v>
      </c>
      <c r="G53" s="3">
        <v>2012</v>
      </c>
      <c r="H53" s="3">
        <v>2013</v>
      </c>
      <c r="I53" s="3">
        <v>2014</v>
      </c>
      <c r="J53" s="3">
        <v>2015</v>
      </c>
      <c r="K53" s="3">
        <v>2016</v>
      </c>
      <c r="L53" s="3">
        <v>2017</v>
      </c>
      <c r="M53" s="3">
        <v>2018</v>
      </c>
      <c r="N53" s="3">
        <v>2019</v>
      </c>
      <c r="O53" s="3">
        <v>2020</v>
      </c>
      <c r="P53" s="3">
        <v>2021</v>
      </c>
      <c r="Q53" s="3">
        <v>2022</v>
      </c>
      <c r="R53" s="3">
        <v>2023</v>
      </c>
      <c r="S53" s="3">
        <v>2024</v>
      </c>
      <c r="T53" s="12" t="s">
        <v>368</v>
      </c>
      <c r="U53" s="12" t="s">
        <v>369</v>
      </c>
      <c r="V53" s="12" t="s">
        <v>370</v>
      </c>
      <c r="W53" s="12" t="s">
        <v>372</v>
      </c>
      <c r="X53" s="169" t="s">
        <v>494</v>
      </c>
    </row>
    <row r="54" spans="1:24" s="11" customFormat="1" x14ac:dyDescent="0.2">
      <c r="A54" s="5" t="s">
        <v>251</v>
      </c>
      <c r="B54" s="5">
        <v>13913</v>
      </c>
      <c r="C54" s="5">
        <v>20014</v>
      </c>
      <c r="D54" s="5">
        <v>16893</v>
      </c>
      <c r="E54" s="5">
        <v>14342</v>
      </c>
      <c r="F54" s="5">
        <v>22478</v>
      </c>
      <c r="G54" s="20">
        <v>25615</v>
      </c>
      <c r="H54" s="20">
        <v>28283</v>
      </c>
      <c r="I54" s="20">
        <v>27779</v>
      </c>
      <c r="J54" s="20">
        <v>30655</v>
      </c>
      <c r="K54" s="20">
        <v>33930</v>
      </c>
      <c r="L54" s="20">
        <v>33014</v>
      </c>
      <c r="M54" s="20">
        <v>35354</v>
      </c>
      <c r="N54" s="20">
        <v>34030</v>
      </c>
      <c r="O54" s="20">
        <v>24131</v>
      </c>
      <c r="P54" s="20">
        <v>35449</v>
      </c>
      <c r="Q54" s="20">
        <v>36623</v>
      </c>
      <c r="R54" s="20">
        <v>39031</v>
      </c>
      <c r="S54" s="20">
        <v>34877</v>
      </c>
      <c r="T54" s="89">
        <f t="shared" ref="T54:T76" si="24">(S54-J54)/J54</f>
        <v>0.13772630892187246</v>
      </c>
      <c r="U54" s="89">
        <f t="shared" ref="U54:U76" si="25">(S54-O54)/O54</f>
        <v>0.4453192988272347</v>
      </c>
      <c r="V54" s="89">
        <f t="shared" ref="V54:V76" si="26">(S54-R54)/R54</f>
        <v>-0.10642822371960749</v>
      </c>
      <c r="W54" s="91">
        <f t="shared" ref="W54:W76" si="27">S54/S$9</f>
        <v>0.15513506540875469</v>
      </c>
      <c r="X54" s="53">
        <f t="shared" ref="X54:X76" si="28">S54-R54</f>
        <v>-4154</v>
      </c>
    </row>
    <row r="55" spans="1:24" x14ac:dyDescent="0.2">
      <c r="A55" s="70" t="s">
        <v>36</v>
      </c>
      <c r="B55" s="70">
        <v>13913</v>
      </c>
      <c r="C55" s="70">
        <v>20014</v>
      </c>
      <c r="D55" s="70">
        <v>16893</v>
      </c>
      <c r="E55" s="70">
        <v>14342</v>
      </c>
      <c r="F55" s="70">
        <v>22478</v>
      </c>
      <c r="G55" s="4">
        <v>25615</v>
      </c>
      <c r="H55" s="4">
        <v>28283</v>
      </c>
      <c r="I55" s="4">
        <v>27779</v>
      </c>
      <c r="J55" s="4">
        <v>30655</v>
      </c>
      <c r="K55" s="4">
        <v>33930</v>
      </c>
      <c r="L55" s="4">
        <v>33014</v>
      </c>
      <c r="M55" s="4">
        <v>35354</v>
      </c>
      <c r="N55" s="21">
        <v>34030</v>
      </c>
      <c r="O55" s="21">
        <v>24131</v>
      </c>
      <c r="P55" s="21">
        <v>35449</v>
      </c>
      <c r="Q55" s="21">
        <v>36623</v>
      </c>
      <c r="R55" s="21">
        <v>39031</v>
      </c>
      <c r="S55" s="21">
        <v>34877</v>
      </c>
      <c r="T55" s="88">
        <f t="shared" si="24"/>
        <v>0.13772630892187246</v>
      </c>
      <c r="U55" s="88">
        <f t="shared" si="25"/>
        <v>0.4453192988272347</v>
      </c>
      <c r="V55" s="88">
        <f t="shared" si="26"/>
        <v>-0.10642822371960749</v>
      </c>
      <c r="W55" s="90">
        <f t="shared" si="27"/>
        <v>0.15513506540875469</v>
      </c>
      <c r="X55" s="52">
        <f t="shared" si="28"/>
        <v>-4154</v>
      </c>
    </row>
    <row r="56" spans="1:24" x14ac:dyDescent="0.2">
      <c r="A56" s="5" t="s">
        <v>252</v>
      </c>
      <c r="B56" s="19">
        <v>0</v>
      </c>
      <c r="C56" s="19">
        <v>0</v>
      </c>
      <c r="D56" s="19">
        <v>0</v>
      </c>
      <c r="E56" s="19">
        <v>0</v>
      </c>
      <c r="F56" s="19">
        <v>0</v>
      </c>
      <c r="G56" s="19">
        <v>0</v>
      </c>
      <c r="H56" s="19">
        <v>0</v>
      </c>
      <c r="I56" s="19">
        <v>0</v>
      </c>
      <c r="J56" s="19">
        <v>0</v>
      </c>
      <c r="K56" s="19">
        <v>0</v>
      </c>
      <c r="L56" s="19">
        <v>0</v>
      </c>
      <c r="M56" s="19">
        <v>0</v>
      </c>
      <c r="N56" s="20">
        <v>17</v>
      </c>
      <c r="O56" s="20">
        <v>82</v>
      </c>
      <c r="P56" s="20">
        <v>1025</v>
      </c>
      <c r="Q56" s="20">
        <v>1546</v>
      </c>
      <c r="R56" s="20">
        <v>1624</v>
      </c>
      <c r="S56" s="20">
        <v>2275</v>
      </c>
      <c r="T56" s="89" t="s">
        <v>296</v>
      </c>
      <c r="U56" s="89">
        <f t="shared" si="25"/>
        <v>26.743902439024389</v>
      </c>
      <c r="V56" s="89">
        <f t="shared" si="26"/>
        <v>0.40086206896551724</v>
      </c>
      <c r="W56" s="91">
        <f t="shared" si="27"/>
        <v>1.0119341508871661E-2</v>
      </c>
      <c r="X56" s="53">
        <f t="shared" si="28"/>
        <v>651</v>
      </c>
    </row>
    <row r="57" spans="1:24" x14ac:dyDescent="0.2">
      <c r="A57" s="70" t="s">
        <v>36</v>
      </c>
      <c r="B57" s="18">
        <v>0</v>
      </c>
      <c r="C57" s="18">
        <v>0</v>
      </c>
      <c r="D57" s="18">
        <v>0</v>
      </c>
      <c r="E57" s="18">
        <v>0</v>
      </c>
      <c r="F57" s="18">
        <v>0</v>
      </c>
      <c r="G57" s="18">
        <v>0</v>
      </c>
      <c r="H57" s="18">
        <v>0</v>
      </c>
      <c r="I57" s="18">
        <v>0</v>
      </c>
      <c r="J57" s="18">
        <v>0</v>
      </c>
      <c r="K57" s="18">
        <v>0</v>
      </c>
      <c r="L57" s="18">
        <v>0</v>
      </c>
      <c r="M57" s="18">
        <v>0</v>
      </c>
      <c r="N57" s="21">
        <v>17</v>
      </c>
      <c r="O57" s="21">
        <v>82</v>
      </c>
      <c r="P57" s="21">
        <v>1025</v>
      </c>
      <c r="Q57" s="21">
        <v>1546</v>
      </c>
      <c r="R57" s="21">
        <v>1624</v>
      </c>
      <c r="S57" s="21">
        <v>2275</v>
      </c>
      <c r="T57" s="88" t="s">
        <v>296</v>
      </c>
      <c r="U57" s="88">
        <f t="shared" si="25"/>
        <v>26.743902439024389</v>
      </c>
      <c r="V57" s="88">
        <f t="shared" si="26"/>
        <v>0.40086206896551724</v>
      </c>
      <c r="W57" s="90">
        <f t="shared" si="27"/>
        <v>1.0119341508871661E-2</v>
      </c>
      <c r="X57" s="52">
        <f t="shared" si="28"/>
        <v>651</v>
      </c>
    </row>
    <row r="58" spans="1:24" s="11" customFormat="1" x14ac:dyDescent="0.2">
      <c r="A58" s="5" t="s">
        <v>6</v>
      </c>
      <c r="B58" s="5">
        <v>17980</v>
      </c>
      <c r="C58" s="5">
        <v>19230</v>
      </c>
      <c r="D58" s="5">
        <v>23837</v>
      </c>
      <c r="E58" s="5">
        <v>23804</v>
      </c>
      <c r="F58" s="5">
        <v>30856</v>
      </c>
      <c r="G58" s="20">
        <v>38267</v>
      </c>
      <c r="H58" s="20">
        <v>47536</v>
      </c>
      <c r="I58" s="20">
        <v>56510</v>
      </c>
      <c r="J58" s="20">
        <v>68298</v>
      </c>
      <c r="K58" s="20">
        <v>73935</v>
      </c>
      <c r="L58" s="20">
        <v>79135</v>
      </c>
      <c r="M58" s="20">
        <v>79335</v>
      </c>
      <c r="N58" s="20">
        <v>74372</v>
      </c>
      <c r="O58" s="20">
        <v>63437</v>
      </c>
      <c r="P58" s="20">
        <v>81653</v>
      </c>
      <c r="Q58" s="20">
        <v>77362</v>
      </c>
      <c r="R58" s="20">
        <v>78364</v>
      </c>
      <c r="S58" s="20">
        <v>81285</v>
      </c>
      <c r="T58" s="89">
        <f t="shared" si="24"/>
        <v>0.19015198102433453</v>
      </c>
      <c r="U58" s="89">
        <f t="shared" si="25"/>
        <v>0.28135000078818356</v>
      </c>
      <c r="V58" s="89">
        <f t="shared" si="26"/>
        <v>3.7274769026593844E-2</v>
      </c>
      <c r="W58" s="91">
        <f t="shared" si="27"/>
        <v>0.36156073606533312</v>
      </c>
      <c r="X58" s="53">
        <f t="shared" si="28"/>
        <v>2921</v>
      </c>
    </row>
    <row r="59" spans="1:24" x14ac:dyDescent="0.2">
      <c r="A59" s="70" t="s">
        <v>36</v>
      </c>
      <c r="B59" s="70">
        <v>6941</v>
      </c>
      <c r="C59" s="70">
        <v>9240</v>
      </c>
      <c r="D59" s="70">
        <v>12129</v>
      </c>
      <c r="E59" s="70">
        <v>12518</v>
      </c>
      <c r="F59" s="70">
        <v>16763</v>
      </c>
      <c r="G59" s="15">
        <v>21075</v>
      </c>
      <c r="H59" s="15">
        <v>25022</v>
      </c>
      <c r="I59" s="15">
        <v>30750</v>
      </c>
      <c r="J59" s="15">
        <v>37905</v>
      </c>
      <c r="K59" s="15">
        <v>41363</v>
      </c>
      <c r="L59" s="15">
        <v>43496</v>
      </c>
      <c r="M59" s="15">
        <v>43125</v>
      </c>
      <c r="N59" s="15">
        <v>40999</v>
      </c>
      <c r="O59" s="15">
        <v>34557</v>
      </c>
      <c r="P59" s="15">
        <v>43369</v>
      </c>
      <c r="Q59" s="15">
        <v>36901</v>
      </c>
      <c r="R59" s="15">
        <v>37874</v>
      </c>
      <c r="S59" s="15">
        <v>39733</v>
      </c>
      <c r="T59" s="88">
        <f t="shared" si="24"/>
        <v>4.8225827727212768E-2</v>
      </c>
      <c r="U59" s="88">
        <f t="shared" si="25"/>
        <v>0.14978152038660764</v>
      </c>
      <c r="V59" s="88">
        <f t="shared" si="26"/>
        <v>4.9083804192849974E-2</v>
      </c>
      <c r="W59" s="90">
        <f t="shared" si="27"/>
        <v>0.17673485546021875</v>
      </c>
      <c r="X59" s="52">
        <f t="shared" si="28"/>
        <v>1859</v>
      </c>
    </row>
    <row r="60" spans="1:24" x14ac:dyDescent="0.2">
      <c r="A60" s="70" t="s">
        <v>37</v>
      </c>
      <c r="B60" s="70">
        <v>11039</v>
      </c>
      <c r="C60" s="70">
        <v>9990</v>
      </c>
      <c r="D60" s="70">
        <v>11708</v>
      </c>
      <c r="E60" s="70">
        <v>11286</v>
      </c>
      <c r="F60" s="70">
        <v>14093</v>
      </c>
      <c r="G60" s="15">
        <v>17192</v>
      </c>
      <c r="H60" s="15">
        <v>22514</v>
      </c>
      <c r="I60" s="15">
        <v>25760</v>
      </c>
      <c r="J60" s="15">
        <v>30393</v>
      </c>
      <c r="K60" s="15">
        <v>32572</v>
      </c>
      <c r="L60" s="15">
        <v>35639</v>
      </c>
      <c r="M60" s="15">
        <v>36210</v>
      </c>
      <c r="N60" s="15">
        <v>33373</v>
      </c>
      <c r="O60" s="15">
        <v>28880</v>
      </c>
      <c r="P60" s="15">
        <v>38284</v>
      </c>
      <c r="Q60" s="15">
        <v>40461</v>
      </c>
      <c r="R60" s="15">
        <v>40490</v>
      </c>
      <c r="S60" s="15">
        <v>41552</v>
      </c>
      <c r="T60" s="88">
        <f t="shared" si="24"/>
        <v>0.36715691113085253</v>
      </c>
      <c r="U60" s="88">
        <f t="shared" si="25"/>
        <v>0.43878116343490303</v>
      </c>
      <c r="V60" s="88">
        <f t="shared" si="26"/>
        <v>2.6228698444060262E-2</v>
      </c>
      <c r="W60" s="90">
        <f t="shared" si="27"/>
        <v>0.18482588060511437</v>
      </c>
      <c r="X60" s="52">
        <f t="shared" si="28"/>
        <v>1062</v>
      </c>
    </row>
    <row r="61" spans="1:24" s="11" customFormat="1" x14ac:dyDescent="0.2">
      <c r="A61" s="5" t="s">
        <v>308</v>
      </c>
      <c r="B61" s="5">
        <v>20835</v>
      </c>
      <c r="C61" s="5">
        <v>20848</v>
      </c>
      <c r="D61" s="5">
        <v>23500</v>
      </c>
      <c r="E61" s="5">
        <v>23147</v>
      </c>
      <c r="F61" s="5">
        <v>21623</v>
      </c>
      <c r="G61" s="20">
        <v>21615</v>
      </c>
      <c r="H61" s="20">
        <v>21805</v>
      </c>
      <c r="I61" s="20">
        <v>22309</v>
      </c>
      <c r="J61" s="20">
        <v>23261</v>
      </c>
      <c r="K61" s="20">
        <v>22450</v>
      </c>
      <c r="L61" s="20">
        <v>24512</v>
      </c>
      <c r="M61" s="20">
        <v>23671</v>
      </c>
      <c r="N61" s="20">
        <v>23837</v>
      </c>
      <c r="O61" s="20">
        <v>19672</v>
      </c>
      <c r="P61" s="20">
        <v>27079</v>
      </c>
      <c r="Q61" s="20">
        <v>29080</v>
      </c>
      <c r="R61" s="20">
        <v>29065</v>
      </c>
      <c r="S61" s="20">
        <v>29033</v>
      </c>
      <c r="T61" s="89">
        <f t="shared" si="24"/>
        <v>0.24814066463178711</v>
      </c>
      <c r="U61" s="89">
        <f t="shared" si="25"/>
        <v>0.47585400569337127</v>
      </c>
      <c r="V61" s="89">
        <f t="shared" si="26"/>
        <v>-1.1009805608119731E-3</v>
      </c>
      <c r="W61" s="91">
        <f t="shared" si="27"/>
        <v>0.12914058990200919</v>
      </c>
      <c r="X61" s="53">
        <f t="shared" si="28"/>
        <v>-32</v>
      </c>
    </row>
    <row r="62" spans="1:24" x14ac:dyDescent="0.2">
      <c r="A62" s="70" t="s">
        <v>36</v>
      </c>
      <c r="B62" s="70">
        <v>1066</v>
      </c>
      <c r="C62" s="70">
        <v>922</v>
      </c>
      <c r="D62" s="70">
        <v>1301</v>
      </c>
      <c r="E62" s="70">
        <v>1489</v>
      </c>
      <c r="F62" s="70">
        <v>1273</v>
      </c>
      <c r="G62" s="15">
        <v>1050</v>
      </c>
      <c r="H62" s="15">
        <v>1176</v>
      </c>
      <c r="I62" s="15">
        <v>1677</v>
      </c>
      <c r="J62" s="15">
        <v>2311</v>
      </c>
      <c r="K62" s="15">
        <v>2736</v>
      </c>
      <c r="L62" s="15">
        <v>2959</v>
      </c>
      <c r="M62" s="15">
        <v>3299</v>
      </c>
      <c r="N62" s="15">
        <v>3127</v>
      </c>
      <c r="O62" s="15">
        <v>2854</v>
      </c>
      <c r="P62" s="15">
        <v>2969</v>
      </c>
      <c r="Q62" s="15">
        <v>2617</v>
      </c>
      <c r="R62" s="15">
        <v>1992</v>
      </c>
      <c r="S62" s="15">
        <v>2553</v>
      </c>
      <c r="T62" s="88">
        <f t="shared" si="24"/>
        <v>0.10471657291215924</v>
      </c>
      <c r="U62" s="88">
        <f t="shared" si="25"/>
        <v>-0.10546601261387527</v>
      </c>
      <c r="V62" s="88">
        <f t="shared" si="26"/>
        <v>0.28162650602409639</v>
      </c>
      <c r="W62" s="90">
        <f t="shared" si="27"/>
        <v>1.1355902800944768E-2</v>
      </c>
      <c r="X62" s="52">
        <f t="shared" si="28"/>
        <v>561</v>
      </c>
    </row>
    <row r="63" spans="1:24" x14ac:dyDescent="0.2">
      <c r="A63" s="70" t="s">
        <v>37</v>
      </c>
      <c r="B63" s="70">
        <v>3013</v>
      </c>
      <c r="C63" s="70">
        <v>3409</v>
      </c>
      <c r="D63" s="70">
        <v>3397</v>
      </c>
      <c r="E63" s="70">
        <v>2561</v>
      </c>
      <c r="F63" s="70">
        <v>2705</v>
      </c>
      <c r="G63" s="15">
        <v>2206</v>
      </c>
      <c r="H63" s="15">
        <v>2309</v>
      </c>
      <c r="I63" s="15">
        <v>2389</v>
      </c>
      <c r="J63" s="15">
        <v>3133</v>
      </c>
      <c r="K63" s="15">
        <v>2451</v>
      </c>
      <c r="L63" s="15">
        <v>2631</v>
      </c>
      <c r="M63" s="15">
        <v>2740</v>
      </c>
      <c r="N63" s="15">
        <v>2210</v>
      </c>
      <c r="O63" s="15">
        <v>1972</v>
      </c>
      <c r="P63" s="15">
        <v>2038</v>
      </c>
      <c r="Q63" s="15">
        <v>1906</v>
      </c>
      <c r="R63" s="15">
        <v>2036</v>
      </c>
      <c r="S63" s="15">
        <v>1820</v>
      </c>
      <c r="T63" s="88">
        <f t="shared" si="24"/>
        <v>-0.41908713692946059</v>
      </c>
      <c r="U63" s="88">
        <f t="shared" si="25"/>
        <v>-7.7079107505070993E-2</v>
      </c>
      <c r="V63" s="88">
        <f t="shared" si="26"/>
        <v>-0.10609037328094302</v>
      </c>
      <c r="W63" s="90">
        <f t="shared" si="27"/>
        <v>8.0954732070973277E-3</v>
      </c>
      <c r="X63" s="52">
        <f t="shared" si="28"/>
        <v>-216</v>
      </c>
    </row>
    <row r="64" spans="1:24" x14ac:dyDescent="0.2">
      <c r="A64" s="70" t="s">
        <v>38</v>
      </c>
      <c r="B64" s="70">
        <v>449</v>
      </c>
      <c r="C64" s="70">
        <v>436</v>
      </c>
      <c r="D64" s="70">
        <v>428</v>
      </c>
      <c r="E64" s="70">
        <v>484</v>
      </c>
      <c r="F64" s="70">
        <v>397</v>
      </c>
      <c r="G64" s="15">
        <v>524</v>
      </c>
      <c r="H64" s="15">
        <v>379</v>
      </c>
      <c r="I64" s="15">
        <v>395</v>
      </c>
      <c r="J64" s="15">
        <v>335</v>
      </c>
      <c r="K64" s="15">
        <v>359</v>
      </c>
      <c r="L64" s="15">
        <v>426</v>
      </c>
      <c r="M64" s="15">
        <v>334</v>
      </c>
      <c r="N64" s="15">
        <v>523</v>
      </c>
      <c r="O64" s="15">
        <v>616</v>
      </c>
      <c r="P64" s="15">
        <v>557</v>
      </c>
      <c r="Q64" s="15">
        <v>509</v>
      </c>
      <c r="R64" s="15">
        <v>532</v>
      </c>
      <c r="S64" s="15">
        <v>461</v>
      </c>
      <c r="T64" s="88">
        <f t="shared" si="24"/>
        <v>0.37611940298507462</v>
      </c>
      <c r="U64" s="88">
        <f t="shared" si="25"/>
        <v>-0.25162337662337664</v>
      </c>
      <c r="V64" s="88">
        <f t="shared" si="26"/>
        <v>-0.13345864661654136</v>
      </c>
      <c r="W64" s="90">
        <f t="shared" si="27"/>
        <v>2.0505566749845429E-3</v>
      </c>
      <c r="X64" s="52">
        <f t="shared" si="28"/>
        <v>-71</v>
      </c>
    </row>
    <row r="65" spans="1:24" x14ac:dyDescent="0.2">
      <c r="A65" s="70" t="s">
        <v>39</v>
      </c>
      <c r="B65" s="70">
        <v>16307</v>
      </c>
      <c r="C65" s="70">
        <v>16081</v>
      </c>
      <c r="D65" s="70">
        <v>18374</v>
      </c>
      <c r="E65" s="70">
        <v>18613</v>
      </c>
      <c r="F65" s="70">
        <v>17248</v>
      </c>
      <c r="G65" s="15">
        <v>17835</v>
      </c>
      <c r="H65" s="15">
        <v>17941</v>
      </c>
      <c r="I65" s="15">
        <v>17848</v>
      </c>
      <c r="J65" s="15">
        <v>17482</v>
      </c>
      <c r="K65" s="15">
        <v>16904</v>
      </c>
      <c r="L65" s="15">
        <v>18496</v>
      </c>
      <c r="M65" s="15">
        <v>17298</v>
      </c>
      <c r="N65" s="15">
        <v>17977</v>
      </c>
      <c r="O65" s="15">
        <v>14230</v>
      </c>
      <c r="P65" s="15">
        <v>21515</v>
      </c>
      <c r="Q65" s="15">
        <v>24048</v>
      </c>
      <c r="R65" s="15">
        <v>24505</v>
      </c>
      <c r="S65" s="15">
        <v>24199</v>
      </c>
      <c r="T65" s="88">
        <f t="shared" si="24"/>
        <v>0.38422377302368149</v>
      </c>
      <c r="U65" s="88">
        <f t="shared" si="25"/>
        <v>0.70056219255094865</v>
      </c>
      <c r="V65" s="88">
        <f t="shared" si="26"/>
        <v>-1.24872475005101E-2</v>
      </c>
      <c r="W65" s="90">
        <f t="shared" si="27"/>
        <v>0.10763865721898255</v>
      </c>
      <c r="X65" s="52">
        <f t="shared" si="28"/>
        <v>-306</v>
      </c>
    </row>
    <row r="66" spans="1:24" s="11" customFormat="1" x14ac:dyDescent="0.2">
      <c r="A66" s="5" t="s">
        <v>307</v>
      </c>
      <c r="B66" s="5">
        <v>11378</v>
      </c>
      <c r="C66" s="5">
        <v>11878</v>
      </c>
      <c r="D66" s="5">
        <v>13534</v>
      </c>
      <c r="E66" s="5">
        <v>13045</v>
      </c>
      <c r="F66" s="5">
        <v>12982</v>
      </c>
      <c r="G66" s="20">
        <v>14602</v>
      </c>
      <c r="H66" s="20">
        <v>15841</v>
      </c>
      <c r="I66" s="20">
        <v>16363</v>
      </c>
      <c r="J66" s="20">
        <v>17012</v>
      </c>
      <c r="K66" s="20">
        <v>16411</v>
      </c>
      <c r="L66" s="20">
        <v>18372</v>
      </c>
      <c r="M66" s="20">
        <v>17137</v>
      </c>
      <c r="N66" s="20">
        <v>19227</v>
      </c>
      <c r="O66" s="20">
        <v>17479</v>
      </c>
      <c r="P66" s="20">
        <v>25958</v>
      </c>
      <c r="Q66" s="20">
        <v>27272</v>
      </c>
      <c r="R66" s="20">
        <v>29003</v>
      </c>
      <c r="S66" s="20">
        <v>28339</v>
      </c>
      <c r="T66" s="89">
        <f t="shared" si="24"/>
        <v>0.66582412414766046</v>
      </c>
      <c r="U66" s="89">
        <f t="shared" si="25"/>
        <v>0.62131700898220721</v>
      </c>
      <c r="V66" s="89">
        <f t="shared" si="26"/>
        <v>-2.2894183360342032E-2</v>
      </c>
      <c r="W66" s="91">
        <f t="shared" si="27"/>
        <v>0.12605363473402811</v>
      </c>
      <c r="X66" s="53">
        <f t="shared" si="28"/>
        <v>-664</v>
      </c>
    </row>
    <row r="67" spans="1:24" x14ac:dyDescent="0.2">
      <c r="A67" s="70" t="s">
        <v>36</v>
      </c>
      <c r="B67" s="70">
        <v>658</v>
      </c>
      <c r="C67" s="70">
        <v>686</v>
      </c>
      <c r="D67" s="70">
        <v>816</v>
      </c>
      <c r="E67" s="70">
        <v>705</v>
      </c>
      <c r="F67" s="70">
        <v>730</v>
      </c>
      <c r="G67" s="15">
        <v>938</v>
      </c>
      <c r="H67" s="15">
        <v>1309</v>
      </c>
      <c r="I67" s="15">
        <v>1174</v>
      </c>
      <c r="J67" s="15">
        <v>1706</v>
      </c>
      <c r="K67" s="15">
        <v>2101</v>
      </c>
      <c r="L67" s="15">
        <v>2376</v>
      </c>
      <c r="M67" s="15">
        <v>2170</v>
      </c>
      <c r="N67" s="15">
        <v>1957</v>
      </c>
      <c r="O67" s="15">
        <v>1739</v>
      </c>
      <c r="P67" s="15">
        <v>2389</v>
      </c>
      <c r="Q67" s="15">
        <v>2283</v>
      </c>
      <c r="R67" s="15">
        <v>2067</v>
      </c>
      <c r="S67" s="15">
        <v>1987</v>
      </c>
      <c r="T67" s="88">
        <f t="shared" si="24"/>
        <v>0.16471277842907386</v>
      </c>
      <c r="U67" s="88">
        <f t="shared" si="25"/>
        <v>0.14261069580218516</v>
      </c>
      <c r="V67" s="88">
        <f t="shared" si="26"/>
        <v>-3.8703434929850025E-2</v>
      </c>
      <c r="W67" s="90">
        <f t="shared" si="27"/>
        <v>8.8382995947815339E-3</v>
      </c>
      <c r="X67" s="52">
        <f t="shared" si="28"/>
        <v>-80</v>
      </c>
    </row>
    <row r="68" spans="1:24" x14ac:dyDescent="0.2">
      <c r="A68" s="70" t="s">
        <v>37</v>
      </c>
      <c r="B68" s="70">
        <v>803</v>
      </c>
      <c r="C68" s="70">
        <v>1059</v>
      </c>
      <c r="D68" s="70">
        <v>840</v>
      </c>
      <c r="E68" s="70">
        <v>703</v>
      </c>
      <c r="F68" s="70">
        <v>775</v>
      </c>
      <c r="G68" s="15">
        <v>1058</v>
      </c>
      <c r="H68" s="15">
        <v>1054</v>
      </c>
      <c r="I68" s="15">
        <v>1196</v>
      </c>
      <c r="J68" s="15">
        <v>1352</v>
      </c>
      <c r="K68" s="15">
        <v>1105</v>
      </c>
      <c r="L68" s="15">
        <v>1040</v>
      </c>
      <c r="M68" s="15">
        <v>1181</v>
      </c>
      <c r="N68" s="15">
        <v>996</v>
      </c>
      <c r="O68" s="15">
        <v>1135</v>
      </c>
      <c r="P68" s="15">
        <v>1052</v>
      </c>
      <c r="Q68" s="15">
        <v>1045</v>
      </c>
      <c r="R68" s="15">
        <v>1041</v>
      </c>
      <c r="S68" s="15">
        <v>782</v>
      </c>
      <c r="T68" s="88">
        <f t="shared" si="24"/>
        <v>-0.42159763313609466</v>
      </c>
      <c r="U68" s="88">
        <f t="shared" si="25"/>
        <v>-0.31101321585903086</v>
      </c>
      <c r="V68" s="88">
        <f t="shared" si="26"/>
        <v>-0.24879923150816521</v>
      </c>
      <c r="W68" s="90">
        <f t="shared" si="27"/>
        <v>3.4783846417308301E-3</v>
      </c>
      <c r="X68" s="52">
        <f t="shared" si="28"/>
        <v>-259</v>
      </c>
    </row>
    <row r="69" spans="1:24" x14ac:dyDescent="0.2">
      <c r="A69" s="70" t="s">
        <v>38</v>
      </c>
      <c r="B69" s="70">
        <v>503</v>
      </c>
      <c r="C69" s="70">
        <v>315</v>
      </c>
      <c r="D69" s="70">
        <v>415</v>
      </c>
      <c r="E69" s="70">
        <v>470</v>
      </c>
      <c r="F69" s="70">
        <v>475</v>
      </c>
      <c r="G69" s="15">
        <v>455</v>
      </c>
      <c r="H69" s="15">
        <v>385</v>
      </c>
      <c r="I69" s="15">
        <v>404</v>
      </c>
      <c r="J69" s="15">
        <v>388</v>
      </c>
      <c r="K69" s="15">
        <v>471</v>
      </c>
      <c r="L69" s="15">
        <v>519</v>
      </c>
      <c r="M69" s="15">
        <v>400</v>
      </c>
      <c r="N69" s="15">
        <v>473</v>
      </c>
      <c r="O69" s="15">
        <v>559</v>
      </c>
      <c r="P69" s="15">
        <v>859</v>
      </c>
      <c r="Q69" s="15">
        <v>857</v>
      </c>
      <c r="R69" s="15">
        <v>894</v>
      </c>
      <c r="S69" s="15">
        <v>872</v>
      </c>
      <c r="T69" s="88">
        <f t="shared" si="24"/>
        <v>1.2474226804123711</v>
      </c>
      <c r="U69" s="88">
        <f t="shared" si="25"/>
        <v>0.55992844364937389</v>
      </c>
      <c r="V69" s="88">
        <f t="shared" si="26"/>
        <v>-2.4608501118568233E-2</v>
      </c>
      <c r="W69" s="90">
        <f t="shared" si="27"/>
        <v>3.8787102398839947E-3</v>
      </c>
      <c r="X69" s="52">
        <f t="shared" si="28"/>
        <v>-22</v>
      </c>
    </row>
    <row r="70" spans="1:24" x14ac:dyDescent="0.2">
      <c r="A70" s="70" t="s">
        <v>39</v>
      </c>
      <c r="B70" s="70">
        <v>9414</v>
      </c>
      <c r="C70" s="70">
        <v>9818</v>
      </c>
      <c r="D70" s="70">
        <v>11463</v>
      </c>
      <c r="E70" s="70">
        <v>11167</v>
      </c>
      <c r="F70" s="70">
        <v>11002</v>
      </c>
      <c r="G70" s="15">
        <v>12151</v>
      </c>
      <c r="H70" s="15">
        <v>13093</v>
      </c>
      <c r="I70" s="15">
        <v>13589</v>
      </c>
      <c r="J70" s="15">
        <v>13566</v>
      </c>
      <c r="K70" s="15">
        <v>12734</v>
      </c>
      <c r="L70" s="15">
        <v>14437</v>
      </c>
      <c r="M70" s="15">
        <v>13386</v>
      </c>
      <c r="N70" s="15">
        <v>15801</v>
      </c>
      <c r="O70" s="15">
        <v>14046</v>
      </c>
      <c r="P70" s="15">
        <v>21658</v>
      </c>
      <c r="Q70" s="15">
        <v>23087</v>
      </c>
      <c r="R70" s="15">
        <v>25001</v>
      </c>
      <c r="S70" s="15">
        <v>24698</v>
      </c>
      <c r="T70" s="88">
        <f t="shared" si="24"/>
        <v>0.82058086392451712</v>
      </c>
      <c r="U70" s="88">
        <f t="shared" si="25"/>
        <v>0.7583653709241065</v>
      </c>
      <c r="V70" s="88">
        <f t="shared" si="26"/>
        <v>-1.2119515219391225E-2</v>
      </c>
      <c r="W70" s="90">
        <f t="shared" si="27"/>
        <v>0.10985824025763176</v>
      </c>
      <c r="X70" s="52">
        <f t="shared" si="28"/>
        <v>-303</v>
      </c>
    </row>
    <row r="71" spans="1:24" s="11" customFormat="1" x14ac:dyDescent="0.2">
      <c r="A71" s="5" t="s">
        <v>217</v>
      </c>
      <c r="B71" s="5">
        <v>23020</v>
      </c>
      <c r="C71" s="5">
        <v>26052</v>
      </c>
      <c r="D71" s="5">
        <v>28366</v>
      </c>
      <c r="E71" s="5">
        <v>27826</v>
      </c>
      <c r="F71" s="5">
        <v>30393</v>
      </c>
      <c r="G71" s="20">
        <v>35622</v>
      </c>
      <c r="H71" s="20">
        <v>43526</v>
      </c>
      <c r="I71" s="20">
        <v>48687</v>
      </c>
      <c r="J71" s="20">
        <v>49860</v>
      </c>
      <c r="K71" s="20">
        <v>50842</v>
      </c>
      <c r="L71" s="20">
        <v>51521</v>
      </c>
      <c r="M71" s="20">
        <v>53525</v>
      </c>
      <c r="N71" s="20">
        <v>49659</v>
      </c>
      <c r="O71" s="20">
        <v>36089</v>
      </c>
      <c r="P71" s="20">
        <v>57527</v>
      </c>
      <c r="Q71" s="20">
        <v>54052</v>
      </c>
      <c r="R71" s="20">
        <v>54082</v>
      </c>
      <c r="S71" s="20">
        <v>49008</v>
      </c>
      <c r="T71" s="89">
        <f t="shared" si="24"/>
        <v>-1.7087845968712396E-2</v>
      </c>
      <c r="U71" s="89">
        <f t="shared" si="25"/>
        <v>0.3579761146055585</v>
      </c>
      <c r="V71" s="89">
        <f t="shared" si="26"/>
        <v>-9.3820494804186236E-2</v>
      </c>
      <c r="W71" s="91">
        <f t="shared" si="27"/>
        <v>0.21799063238100322</v>
      </c>
      <c r="X71" s="53">
        <f t="shared" si="28"/>
        <v>-5074</v>
      </c>
    </row>
    <row r="72" spans="1:24" x14ac:dyDescent="0.2">
      <c r="A72" s="70" t="s">
        <v>36</v>
      </c>
      <c r="B72" s="70">
        <v>1059</v>
      </c>
      <c r="C72" s="70">
        <v>1714</v>
      </c>
      <c r="D72" s="70">
        <v>2171</v>
      </c>
      <c r="E72" s="70">
        <v>1775</v>
      </c>
      <c r="F72" s="70">
        <v>1677</v>
      </c>
      <c r="G72" s="15">
        <v>2486</v>
      </c>
      <c r="H72" s="15">
        <v>2770</v>
      </c>
      <c r="I72" s="15">
        <v>2602</v>
      </c>
      <c r="J72" s="15">
        <v>2418</v>
      </c>
      <c r="K72" s="15">
        <v>2191</v>
      </c>
      <c r="L72" s="15">
        <v>1730</v>
      </c>
      <c r="M72" s="15">
        <v>1721</v>
      </c>
      <c r="N72" s="15">
        <v>1589</v>
      </c>
      <c r="O72" s="15">
        <v>1120</v>
      </c>
      <c r="P72" s="15">
        <v>1414</v>
      </c>
      <c r="Q72" s="15">
        <v>1560</v>
      </c>
      <c r="R72" s="15">
        <v>1541</v>
      </c>
      <c r="S72" s="15">
        <v>1137</v>
      </c>
      <c r="T72" s="88">
        <f t="shared" si="24"/>
        <v>-0.52977667493796521</v>
      </c>
      <c r="U72" s="88">
        <f t="shared" si="25"/>
        <v>1.5178571428571428E-2</v>
      </c>
      <c r="V72" s="88">
        <f t="shared" si="26"/>
        <v>-0.26216742375081115</v>
      </c>
      <c r="W72" s="90">
        <f t="shared" si="27"/>
        <v>5.0574467233349789E-3</v>
      </c>
      <c r="X72" s="52">
        <f t="shared" si="28"/>
        <v>-404</v>
      </c>
    </row>
    <row r="73" spans="1:24" x14ac:dyDescent="0.2">
      <c r="A73" s="70" t="s">
        <v>37</v>
      </c>
      <c r="B73" s="70">
        <v>2661</v>
      </c>
      <c r="C73" s="70">
        <v>2350</v>
      </c>
      <c r="D73" s="70">
        <v>2247</v>
      </c>
      <c r="E73" s="70">
        <v>2402</v>
      </c>
      <c r="F73" s="70">
        <v>2918</v>
      </c>
      <c r="G73" s="15">
        <v>3543</v>
      </c>
      <c r="H73" s="15">
        <v>4255</v>
      </c>
      <c r="I73" s="15">
        <v>4657</v>
      </c>
      <c r="J73" s="15">
        <v>4353</v>
      </c>
      <c r="K73" s="15">
        <v>4233</v>
      </c>
      <c r="L73" s="15">
        <v>4298</v>
      </c>
      <c r="M73" s="15">
        <v>4150</v>
      </c>
      <c r="N73" s="15">
        <v>3154</v>
      </c>
      <c r="O73" s="15">
        <v>2584</v>
      </c>
      <c r="P73" s="15">
        <v>3388</v>
      </c>
      <c r="Q73" s="15">
        <v>2939</v>
      </c>
      <c r="R73" s="15">
        <v>2239</v>
      </c>
      <c r="S73" s="15">
        <v>1117</v>
      </c>
      <c r="T73" s="88">
        <f t="shared" si="24"/>
        <v>-0.74339535952216862</v>
      </c>
      <c r="U73" s="88">
        <f t="shared" si="25"/>
        <v>-0.56772445820433437</v>
      </c>
      <c r="V73" s="88">
        <f t="shared" si="26"/>
        <v>-0.5011165698972756</v>
      </c>
      <c r="W73" s="90">
        <f t="shared" si="27"/>
        <v>4.9684854793009426E-3</v>
      </c>
      <c r="X73" s="52">
        <f t="shared" si="28"/>
        <v>-1122</v>
      </c>
    </row>
    <row r="74" spans="1:24" x14ac:dyDescent="0.2">
      <c r="A74" s="70" t="s">
        <v>38</v>
      </c>
      <c r="B74" s="70">
        <v>507</v>
      </c>
      <c r="C74" s="70">
        <v>324</v>
      </c>
      <c r="D74" s="70">
        <v>355</v>
      </c>
      <c r="E74" s="70">
        <v>416</v>
      </c>
      <c r="F74" s="70">
        <v>413</v>
      </c>
      <c r="G74" s="15">
        <v>389</v>
      </c>
      <c r="H74" s="15">
        <v>626</v>
      </c>
      <c r="I74" s="15">
        <v>635</v>
      </c>
      <c r="J74" s="15">
        <v>809</v>
      </c>
      <c r="K74" s="15">
        <v>1038</v>
      </c>
      <c r="L74" s="15">
        <v>1420</v>
      </c>
      <c r="M74" s="15">
        <v>1951</v>
      </c>
      <c r="N74" s="15">
        <v>1582</v>
      </c>
      <c r="O74" s="15">
        <v>1239</v>
      </c>
      <c r="P74" s="15">
        <v>1883</v>
      </c>
      <c r="Q74" s="15">
        <v>2170</v>
      </c>
      <c r="R74" s="15">
        <v>1630</v>
      </c>
      <c r="S74" s="15">
        <v>1531</v>
      </c>
      <c r="T74" s="88">
        <f t="shared" si="24"/>
        <v>0.892459826946848</v>
      </c>
      <c r="U74" s="88">
        <f t="shared" si="25"/>
        <v>0.23567393058918482</v>
      </c>
      <c r="V74" s="88">
        <f t="shared" si="26"/>
        <v>-6.0736196319018408E-2</v>
      </c>
      <c r="W74" s="90">
        <f t="shared" si="27"/>
        <v>6.8099832308054992E-3</v>
      </c>
      <c r="X74" s="52">
        <f t="shared" si="28"/>
        <v>-99</v>
      </c>
    </row>
    <row r="75" spans="1:24" x14ac:dyDescent="0.2">
      <c r="A75" s="70" t="s">
        <v>39</v>
      </c>
      <c r="B75" s="70">
        <v>18793</v>
      </c>
      <c r="C75" s="70">
        <v>21664</v>
      </c>
      <c r="D75" s="70">
        <v>23593</v>
      </c>
      <c r="E75" s="70">
        <v>23233</v>
      </c>
      <c r="F75" s="70">
        <v>25385</v>
      </c>
      <c r="G75" s="15">
        <v>29204</v>
      </c>
      <c r="H75" s="15">
        <v>35875</v>
      </c>
      <c r="I75" s="15">
        <v>40793</v>
      </c>
      <c r="J75" s="15">
        <v>42280</v>
      </c>
      <c r="K75" s="15">
        <v>43380</v>
      </c>
      <c r="L75" s="15">
        <v>44073</v>
      </c>
      <c r="M75" s="15">
        <v>45703</v>
      </c>
      <c r="N75" s="15">
        <v>43334</v>
      </c>
      <c r="O75" s="15">
        <v>31146</v>
      </c>
      <c r="P75" s="15">
        <v>50842</v>
      </c>
      <c r="Q75" s="15">
        <v>47383</v>
      </c>
      <c r="R75" s="15">
        <v>48672</v>
      </c>
      <c r="S75" s="15">
        <v>45223</v>
      </c>
      <c r="T75" s="88">
        <f t="shared" si="24"/>
        <v>6.9607379375591291E-2</v>
      </c>
      <c r="U75" s="88">
        <f t="shared" si="25"/>
        <v>0.45196815000321067</v>
      </c>
      <c r="V75" s="88">
        <f t="shared" si="26"/>
        <v>-7.0862097304405E-2</v>
      </c>
      <c r="W75" s="90">
        <f t="shared" si="27"/>
        <v>0.20115471694756179</v>
      </c>
      <c r="X75" s="52">
        <f t="shared" si="28"/>
        <v>-3449</v>
      </c>
    </row>
    <row r="76" spans="1:24" x14ac:dyDescent="0.2">
      <c r="A76" s="5" t="s">
        <v>4</v>
      </c>
      <c r="B76" s="5">
        <v>87126</v>
      </c>
      <c r="C76" s="5">
        <v>98022</v>
      </c>
      <c r="D76" s="5">
        <v>106130</v>
      </c>
      <c r="E76" s="5">
        <v>102164</v>
      </c>
      <c r="F76" s="5">
        <v>118332</v>
      </c>
      <c r="G76" s="5">
        <v>135721</v>
      </c>
      <c r="H76" s="5">
        <v>156991</v>
      </c>
      <c r="I76" s="5">
        <v>171648</v>
      </c>
      <c r="J76" s="5">
        <v>189086</v>
      </c>
      <c r="K76" s="5">
        <v>197568</v>
      </c>
      <c r="L76" s="5">
        <v>206554</v>
      </c>
      <c r="M76" s="5">
        <v>209022</v>
      </c>
      <c r="N76" s="5">
        <v>201142</v>
      </c>
      <c r="O76" s="5">
        <v>160890</v>
      </c>
      <c r="P76" s="5">
        <v>228691</v>
      </c>
      <c r="Q76" s="5">
        <v>225935</v>
      </c>
      <c r="R76" s="5">
        <v>231169</v>
      </c>
      <c r="S76" s="5">
        <v>224817</v>
      </c>
      <c r="T76" s="89">
        <f t="shared" si="24"/>
        <v>0.18896692510286325</v>
      </c>
      <c r="U76" s="89">
        <f t="shared" si="25"/>
        <v>0.39733358195040092</v>
      </c>
      <c r="V76" s="89">
        <f t="shared" si="26"/>
        <v>-2.7477732740981704E-2</v>
      </c>
      <c r="W76" s="91">
        <f t="shared" si="27"/>
        <v>1</v>
      </c>
      <c r="X76" s="53">
        <f t="shared" si="28"/>
        <v>-6352</v>
      </c>
    </row>
    <row r="77" spans="1:24" x14ac:dyDescent="0.2">
      <c r="A77" s="113" t="s">
        <v>509</v>
      </c>
      <c r="B77" s="63"/>
      <c r="C77" s="63"/>
      <c r="D77" s="63"/>
      <c r="E77" s="63"/>
      <c r="F77" s="63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31"/>
      <c r="V77" s="31"/>
      <c r="W77" s="31"/>
      <c r="X77" s="31"/>
    </row>
    <row r="78" spans="1:24" x14ac:dyDescent="0.2">
      <c r="A78" s="63"/>
      <c r="B78" s="63"/>
      <c r="C78" s="63"/>
      <c r="D78" s="63"/>
      <c r="E78" s="63"/>
      <c r="F78" s="63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31"/>
      <c r="V78" s="31"/>
      <c r="W78" s="31"/>
      <c r="X78" s="31"/>
    </row>
    <row r="79" spans="1:24" ht="15.75" x14ac:dyDescent="0.2">
      <c r="A79" s="32" t="s">
        <v>270</v>
      </c>
      <c r="B79" s="32"/>
      <c r="C79" s="32"/>
      <c r="D79" s="32"/>
      <c r="E79" s="32"/>
      <c r="F79" s="32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31"/>
      <c r="V79" s="31"/>
      <c r="W79" s="31"/>
      <c r="X79" s="31"/>
    </row>
    <row r="80" spans="1:24" ht="27" customHeight="1" x14ac:dyDescent="0.2">
      <c r="A80" s="73" t="s">
        <v>40</v>
      </c>
      <c r="B80" s="3">
        <v>2007</v>
      </c>
      <c r="C80" s="3">
        <v>2008</v>
      </c>
      <c r="D80" s="3">
        <v>2009</v>
      </c>
      <c r="E80" s="3">
        <v>2010</v>
      </c>
      <c r="F80" s="3">
        <v>2011</v>
      </c>
      <c r="G80" s="3">
        <v>2012</v>
      </c>
      <c r="H80" s="3">
        <v>2013</v>
      </c>
      <c r="I80" s="3">
        <v>2014</v>
      </c>
      <c r="J80" s="3">
        <v>2015</v>
      </c>
      <c r="K80" s="3">
        <v>2016</v>
      </c>
      <c r="L80" s="3">
        <v>2017</v>
      </c>
      <c r="M80" s="3">
        <v>2018</v>
      </c>
      <c r="N80" s="3">
        <v>2019</v>
      </c>
      <c r="O80" s="3">
        <v>2020</v>
      </c>
      <c r="P80" s="3">
        <v>2021</v>
      </c>
      <c r="Q80" s="3">
        <v>2022</v>
      </c>
      <c r="R80" s="3">
        <v>2023</v>
      </c>
      <c r="S80" s="3">
        <v>2024</v>
      </c>
      <c r="T80" s="12" t="s">
        <v>368</v>
      </c>
      <c r="U80" s="12" t="s">
        <v>369</v>
      </c>
      <c r="V80" s="12" t="s">
        <v>370</v>
      </c>
      <c r="W80" s="12" t="s">
        <v>372</v>
      </c>
      <c r="X80" s="169" t="s">
        <v>494</v>
      </c>
    </row>
    <row r="81" spans="1:24" x14ac:dyDescent="0.2">
      <c r="A81" s="4" t="s">
        <v>495</v>
      </c>
      <c r="B81" s="4">
        <v>65011</v>
      </c>
      <c r="C81" s="4">
        <v>75016</v>
      </c>
      <c r="D81" s="4">
        <v>76637</v>
      </c>
      <c r="E81" s="4">
        <v>73418</v>
      </c>
      <c r="F81" s="4">
        <v>82783</v>
      </c>
      <c r="G81" s="15">
        <v>94030</v>
      </c>
      <c r="H81" s="15">
        <v>104973</v>
      </c>
      <c r="I81" s="15">
        <v>111661</v>
      </c>
      <c r="J81" s="15">
        <v>118992</v>
      </c>
      <c r="K81" s="15">
        <v>124316</v>
      </c>
      <c r="L81" s="15">
        <v>129557</v>
      </c>
      <c r="M81" s="15">
        <v>129361</v>
      </c>
      <c r="N81" s="15">
        <v>128534</v>
      </c>
      <c r="O81" s="15">
        <v>95248</v>
      </c>
      <c r="P81" s="15">
        <v>147443</v>
      </c>
      <c r="Q81" s="15">
        <v>146493</v>
      </c>
      <c r="R81" s="15">
        <v>150410</v>
      </c>
      <c r="S81" s="15">
        <v>142942</v>
      </c>
      <c r="T81" s="88">
        <f t="shared" ref="T81:T86" si="29">(S81-J81)/J81</f>
        <v>0.2012740352292591</v>
      </c>
      <c r="U81" s="88">
        <f t="shared" ref="U81:U86" si="30">(S81-O81)/O81</f>
        <v>0.50073492356794891</v>
      </c>
      <c r="V81" s="88">
        <f t="shared" ref="V81:V86" si="31">(S81-R81)/R81</f>
        <v>-4.9650954058905655E-2</v>
      </c>
      <c r="W81" s="90">
        <f t="shared" ref="W81:W86" si="32">S81/S$9</f>
        <v>0.63581490723566281</v>
      </c>
      <c r="X81" s="52">
        <f t="shared" ref="X81:X86" si="33">S81-R81</f>
        <v>-7468</v>
      </c>
    </row>
    <row r="82" spans="1:24" x14ac:dyDescent="0.2">
      <c r="A82" s="4" t="s">
        <v>496</v>
      </c>
      <c r="B82" s="4">
        <v>20750</v>
      </c>
      <c r="C82" s="4">
        <v>21598</v>
      </c>
      <c r="D82" s="4">
        <v>27567</v>
      </c>
      <c r="E82" s="4">
        <v>26961</v>
      </c>
      <c r="F82" s="4">
        <v>33078</v>
      </c>
      <c r="G82" s="15">
        <v>39665</v>
      </c>
      <c r="H82" s="15">
        <v>48560</v>
      </c>
      <c r="I82" s="15">
        <v>55512</v>
      </c>
      <c r="J82" s="15">
        <v>62520</v>
      </c>
      <c r="K82" s="15">
        <v>65378</v>
      </c>
      <c r="L82" s="15">
        <v>69318</v>
      </c>
      <c r="M82" s="15">
        <v>70215</v>
      </c>
      <c r="N82" s="15">
        <v>61562</v>
      </c>
      <c r="O82" s="15">
        <v>53133</v>
      </c>
      <c r="P82" s="15">
        <v>64638</v>
      </c>
      <c r="Q82" s="15">
        <v>59263</v>
      </c>
      <c r="R82" s="15">
        <v>55181</v>
      </c>
      <c r="S82" s="15">
        <v>51262</v>
      </c>
      <c r="T82" s="88">
        <f t="shared" si="29"/>
        <v>-0.18007037747920665</v>
      </c>
      <c r="U82" s="88">
        <f t="shared" si="30"/>
        <v>-3.5213520787457889E-2</v>
      </c>
      <c r="V82" s="88">
        <f t="shared" si="31"/>
        <v>-7.1020822384516416E-2</v>
      </c>
      <c r="W82" s="90">
        <f t="shared" si="32"/>
        <v>0.22801656458363914</v>
      </c>
      <c r="X82" s="52">
        <f t="shared" si="33"/>
        <v>-3919</v>
      </c>
    </row>
    <row r="83" spans="1:24" x14ac:dyDescent="0.2">
      <c r="A83" s="4" t="s">
        <v>209</v>
      </c>
      <c r="B83" s="4">
        <v>156</v>
      </c>
      <c r="C83" s="4">
        <v>3</v>
      </c>
      <c r="D83" s="4">
        <v>43</v>
      </c>
      <c r="E83" s="4">
        <v>95</v>
      </c>
      <c r="F83" s="4">
        <v>914</v>
      </c>
      <c r="G83" s="15">
        <v>391</v>
      </c>
      <c r="H83" s="15">
        <v>612</v>
      </c>
      <c r="I83" s="15">
        <v>716</v>
      </c>
      <c r="J83" s="15">
        <v>1418</v>
      </c>
      <c r="K83" s="15">
        <v>1587</v>
      </c>
      <c r="L83" s="15">
        <v>1979</v>
      </c>
      <c r="M83" s="15">
        <v>2477</v>
      </c>
      <c r="N83" s="15">
        <v>1985</v>
      </c>
      <c r="O83" s="15">
        <v>2459</v>
      </c>
      <c r="P83" s="15">
        <v>2460</v>
      </c>
      <c r="Q83" s="15">
        <v>2963</v>
      </c>
      <c r="R83" s="15">
        <v>2624</v>
      </c>
      <c r="S83" s="15">
        <v>1981</v>
      </c>
      <c r="T83" s="88">
        <f t="shared" si="29"/>
        <v>0.39703808180535965</v>
      </c>
      <c r="U83" s="88">
        <f t="shared" si="30"/>
        <v>-0.19438796258641725</v>
      </c>
      <c r="V83" s="88">
        <f t="shared" si="31"/>
        <v>-0.24504573170731708</v>
      </c>
      <c r="W83" s="90">
        <f t="shared" si="32"/>
        <v>8.8116112215713225E-3</v>
      </c>
      <c r="X83" s="52">
        <f t="shared" si="33"/>
        <v>-643</v>
      </c>
    </row>
    <row r="84" spans="1:24" x14ac:dyDescent="0.2">
      <c r="A84" s="92" t="s">
        <v>210</v>
      </c>
      <c r="B84" s="92">
        <v>624</v>
      </c>
      <c r="C84" s="92">
        <v>663</v>
      </c>
      <c r="D84" s="92">
        <v>722</v>
      </c>
      <c r="E84" s="92">
        <v>709</v>
      </c>
      <c r="F84" s="92">
        <v>731</v>
      </c>
      <c r="G84" s="15">
        <v>991</v>
      </c>
      <c r="H84" s="15">
        <v>1722</v>
      </c>
      <c r="I84" s="15">
        <v>1721</v>
      </c>
      <c r="J84" s="15">
        <v>3213</v>
      </c>
      <c r="K84" s="15">
        <v>3772</v>
      </c>
      <c r="L84" s="15">
        <v>3559</v>
      </c>
      <c r="M84" s="15">
        <v>4744</v>
      </c>
      <c r="N84" s="15">
        <v>6077</v>
      </c>
      <c r="O84" s="15">
        <v>7501</v>
      </c>
      <c r="P84" s="15">
        <v>11848</v>
      </c>
      <c r="Q84" s="15">
        <v>15849</v>
      </c>
      <c r="R84" s="15">
        <v>22142</v>
      </c>
      <c r="S84" s="15">
        <v>27835</v>
      </c>
      <c r="T84" s="88">
        <f t="shared" si="29"/>
        <v>7.6632430750077809</v>
      </c>
      <c r="U84" s="88">
        <f t="shared" si="30"/>
        <v>2.7108385548593521</v>
      </c>
      <c r="V84" s="88">
        <f t="shared" si="31"/>
        <v>0.25711317857465449</v>
      </c>
      <c r="W84" s="90">
        <f t="shared" si="32"/>
        <v>0.1238118113843704</v>
      </c>
      <c r="X84" s="52">
        <f t="shared" si="33"/>
        <v>5693</v>
      </c>
    </row>
    <row r="85" spans="1:24" x14ac:dyDescent="0.2">
      <c r="A85" s="4" t="s">
        <v>43</v>
      </c>
      <c r="B85" s="4">
        <v>585</v>
      </c>
      <c r="C85" s="4">
        <v>742</v>
      </c>
      <c r="D85" s="4">
        <v>1161</v>
      </c>
      <c r="E85" s="4">
        <v>981</v>
      </c>
      <c r="F85" s="4">
        <v>826</v>
      </c>
      <c r="G85" s="15">
        <v>644</v>
      </c>
      <c r="H85" s="15">
        <v>1124</v>
      </c>
      <c r="I85" s="15">
        <v>2038</v>
      </c>
      <c r="J85" s="15">
        <v>2943</v>
      </c>
      <c r="K85" s="15">
        <v>2515</v>
      </c>
      <c r="L85" s="15">
        <v>2141</v>
      </c>
      <c r="M85" s="15">
        <v>2225</v>
      </c>
      <c r="N85" s="15">
        <v>2984</v>
      </c>
      <c r="O85" s="15">
        <v>2549</v>
      </c>
      <c r="P85" s="15">
        <v>2302</v>
      </c>
      <c r="Q85" s="15">
        <v>1367</v>
      </c>
      <c r="R85" s="15">
        <v>812</v>
      </c>
      <c r="S85" s="15">
        <v>797</v>
      </c>
      <c r="T85" s="88">
        <f t="shared" si="29"/>
        <v>-0.72918790349983009</v>
      </c>
      <c r="U85" s="88">
        <f t="shared" si="30"/>
        <v>-0.68732836406433895</v>
      </c>
      <c r="V85" s="88">
        <f t="shared" si="31"/>
        <v>-1.8472906403940888E-2</v>
      </c>
      <c r="W85" s="90">
        <f t="shared" si="32"/>
        <v>3.5451055747563573E-3</v>
      </c>
      <c r="X85" s="52">
        <f t="shared" si="33"/>
        <v>-15</v>
      </c>
    </row>
    <row r="86" spans="1:24" x14ac:dyDescent="0.2">
      <c r="A86" s="5" t="s">
        <v>4</v>
      </c>
      <c r="B86" s="5">
        <v>87126</v>
      </c>
      <c r="C86" s="5">
        <v>98022</v>
      </c>
      <c r="D86" s="5">
        <v>106130</v>
      </c>
      <c r="E86" s="5">
        <v>102164</v>
      </c>
      <c r="F86" s="5">
        <v>118332</v>
      </c>
      <c r="G86" s="5">
        <v>135721</v>
      </c>
      <c r="H86" s="5">
        <v>156991</v>
      </c>
      <c r="I86" s="5">
        <v>171648</v>
      </c>
      <c r="J86" s="5">
        <v>189086</v>
      </c>
      <c r="K86" s="5">
        <v>197568</v>
      </c>
      <c r="L86" s="5">
        <v>206554</v>
      </c>
      <c r="M86" s="5">
        <v>209022</v>
      </c>
      <c r="N86" s="5">
        <v>201142</v>
      </c>
      <c r="O86" s="5">
        <v>160890</v>
      </c>
      <c r="P86" s="5">
        <v>228691</v>
      </c>
      <c r="Q86" s="5">
        <v>225935</v>
      </c>
      <c r="R86" s="5">
        <v>231169</v>
      </c>
      <c r="S86" s="5">
        <v>224817</v>
      </c>
      <c r="T86" s="89">
        <f t="shared" si="29"/>
        <v>0.18896692510286325</v>
      </c>
      <c r="U86" s="89">
        <f t="shared" si="30"/>
        <v>0.39733358195040092</v>
      </c>
      <c r="V86" s="89">
        <f t="shared" si="31"/>
        <v>-2.7477732740981704E-2</v>
      </c>
      <c r="W86" s="91">
        <f t="shared" si="32"/>
        <v>1</v>
      </c>
      <c r="X86" s="53">
        <f t="shared" si="33"/>
        <v>-6352</v>
      </c>
    </row>
    <row r="87" spans="1:24" x14ac:dyDescent="0.2">
      <c r="A87" s="134"/>
      <c r="B87" s="134"/>
      <c r="C87" s="134"/>
      <c r="D87" s="134"/>
      <c r="E87" s="134"/>
      <c r="F87" s="134"/>
      <c r="G87" s="134"/>
      <c r="H87" s="134"/>
      <c r="I87" s="134"/>
      <c r="J87" s="134"/>
      <c r="K87" s="134"/>
      <c r="L87" s="134"/>
      <c r="M87" s="134"/>
      <c r="N87" s="147"/>
      <c r="O87" s="147"/>
      <c r="P87" s="147"/>
      <c r="Q87" s="147"/>
      <c r="R87" s="147"/>
      <c r="S87" s="147"/>
      <c r="T87" s="135"/>
      <c r="U87" s="135"/>
      <c r="V87" s="135"/>
      <c r="W87" s="135"/>
      <c r="X87" s="135"/>
    </row>
    <row r="88" spans="1:24" ht="15.75" x14ac:dyDescent="0.2">
      <c r="A88" s="32" t="s">
        <v>320</v>
      </c>
      <c r="B88" s="32"/>
      <c r="C88" s="32"/>
      <c r="D88" s="32"/>
      <c r="E88" s="32"/>
      <c r="F88" s="32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</row>
    <row r="89" spans="1:24" ht="25.5" x14ac:dyDescent="0.2">
      <c r="A89" s="73" t="s">
        <v>47</v>
      </c>
      <c r="B89" s="3">
        <v>2007</v>
      </c>
      <c r="C89" s="3">
        <v>2008</v>
      </c>
      <c r="D89" s="3">
        <v>2009</v>
      </c>
      <c r="E89" s="3">
        <v>2010</v>
      </c>
      <c r="F89" s="3">
        <v>2011</v>
      </c>
      <c r="G89" s="3">
        <v>2012</v>
      </c>
      <c r="H89" s="3">
        <v>2013</v>
      </c>
      <c r="I89" s="3">
        <v>2014</v>
      </c>
      <c r="J89" s="3">
        <v>2015</v>
      </c>
      <c r="K89" s="3">
        <v>2016</v>
      </c>
      <c r="L89" s="3">
        <v>2017</v>
      </c>
      <c r="M89" s="3">
        <v>2018</v>
      </c>
      <c r="N89" s="3">
        <v>2019</v>
      </c>
      <c r="O89" s="3">
        <v>2020</v>
      </c>
      <c r="P89" s="3">
        <v>2021</v>
      </c>
      <c r="Q89" s="3">
        <v>2022</v>
      </c>
      <c r="R89" s="3">
        <v>2023</v>
      </c>
      <c r="S89" s="3">
        <v>2024</v>
      </c>
      <c r="T89" s="12" t="s">
        <v>368</v>
      </c>
      <c r="U89" s="12" t="s">
        <v>369</v>
      </c>
      <c r="V89" s="12" t="s">
        <v>370</v>
      </c>
      <c r="W89" s="12" t="s">
        <v>372</v>
      </c>
      <c r="X89" s="169" t="s">
        <v>494</v>
      </c>
    </row>
    <row r="90" spans="1:24" x14ac:dyDescent="0.2">
      <c r="A90" s="5" t="s">
        <v>5</v>
      </c>
      <c r="B90" s="5">
        <v>13913</v>
      </c>
      <c r="C90" s="5">
        <v>20014</v>
      </c>
      <c r="D90" s="5">
        <v>16893</v>
      </c>
      <c r="E90" s="5">
        <v>14342</v>
      </c>
      <c r="F90" s="5">
        <v>22478</v>
      </c>
      <c r="G90" s="20">
        <v>25615</v>
      </c>
      <c r="H90" s="20">
        <v>28283</v>
      </c>
      <c r="I90" s="20">
        <v>27779</v>
      </c>
      <c r="J90" s="20">
        <v>30655</v>
      </c>
      <c r="K90" s="20">
        <v>33930</v>
      </c>
      <c r="L90" s="20">
        <v>33014</v>
      </c>
      <c r="M90" s="20">
        <v>35354</v>
      </c>
      <c r="N90" s="20">
        <v>34047</v>
      </c>
      <c r="O90" s="20">
        <v>24213</v>
      </c>
      <c r="P90" s="20">
        <v>36474</v>
      </c>
      <c r="Q90" s="20">
        <v>38169</v>
      </c>
      <c r="R90" s="20">
        <v>40655</v>
      </c>
      <c r="S90" s="20">
        <v>37152</v>
      </c>
      <c r="T90" s="89">
        <f t="shared" ref="T90:T108" si="34">(S90-J90)/J90</f>
        <v>0.21193932474310878</v>
      </c>
      <c r="U90" s="89">
        <f t="shared" ref="U90:U108" si="35">(S90-O90)/O90</f>
        <v>0.53438235658530542</v>
      </c>
      <c r="V90" s="89">
        <f t="shared" ref="V90:V108" si="36">(S90-R90)/R90</f>
        <v>-8.616406346082893E-2</v>
      </c>
      <c r="W90" s="91">
        <f t="shared" ref="W90:W108" si="37">S90/S$9</f>
        <v>0.16525440691762633</v>
      </c>
      <c r="X90" s="53">
        <f t="shared" ref="X90:X108" si="38">S90-R90</f>
        <v>-3503</v>
      </c>
    </row>
    <row r="91" spans="1:24" x14ac:dyDescent="0.2">
      <c r="A91" s="70" t="s">
        <v>495</v>
      </c>
      <c r="B91" s="4">
        <v>9427</v>
      </c>
      <c r="C91" s="4">
        <v>14233</v>
      </c>
      <c r="D91" s="4">
        <v>11184</v>
      </c>
      <c r="E91" s="4">
        <v>8644</v>
      </c>
      <c r="F91" s="4">
        <v>14043</v>
      </c>
      <c r="G91" s="21">
        <v>16243</v>
      </c>
      <c r="H91" s="21">
        <v>17120</v>
      </c>
      <c r="I91" s="21">
        <v>16264</v>
      </c>
      <c r="J91" s="21">
        <v>17699</v>
      </c>
      <c r="K91" s="21">
        <v>19413</v>
      </c>
      <c r="L91" s="21">
        <v>19415</v>
      </c>
      <c r="M91" s="21">
        <v>21056</v>
      </c>
      <c r="N91" s="21">
        <v>21338</v>
      </c>
      <c r="O91" s="21">
        <v>14077</v>
      </c>
      <c r="P91" s="21">
        <v>22516</v>
      </c>
      <c r="Q91" s="21">
        <v>22639</v>
      </c>
      <c r="R91" s="21">
        <v>25481</v>
      </c>
      <c r="S91" s="21">
        <v>23144</v>
      </c>
      <c r="T91" s="88">
        <f t="shared" si="34"/>
        <v>0.30764449968924801</v>
      </c>
      <c r="U91" s="88">
        <f t="shared" si="35"/>
        <v>0.64410030546281172</v>
      </c>
      <c r="V91" s="88">
        <f t="shared" si="36"/>
        <v>-9.1715395785094772E-2</v>
      </c>
      <c r="W91" s="90">
        <f t="shared" si="37"/>
        <v>0.10294595159618712</v>
      </c>
      <c r="X91" s="52">
        <f t="shared" si="38"/>
        <v>-2337</v>
      </c>
    </row>
    <row r="92" spans="1:24" x14ac:dyDescent="0.2">
      <c r="A92" s="70" t="s">
        <v>496</v>
      </c>
      <c r="B92" s="4">
        <v>4474</v>
      </c>
      <c r="C92" s="4">
        <v>5679</v>
      </c>
      <c r="D92" s="4">
        <v>5601</v>
      </c>
      <c r="E92" s="4">
        <v>5565</v>
      </c>
      <c r="F92" s="4">
        <v>7576</v>
      </c>
      <c r="G92" s="21">
        <v>9116</v>
      </c>
      <c r="H92" s="21">
        <v>10666</v>
      </c>
      <c r="I92" s="21">
        <v>11189</v>
      </c>
      <c r="J92" s="21">
        <v>12462</v>
      </c>
      <c r="K92" s="21">
        <v>13109</v>
      </c>
      <c r="L92" s="21">
        <v>13053</v>
      </c>
      <c r="M92" s="21">
        <v>13278</v>
      </c>
      <c r="N92" s="21">
        <v>11960</v>
      </c>
      <c r="O92" s="21">
        <v>9178</v>
      </c>
      <c r="P92" s="21">
        <v>12892</v>
      </c>
      <c r="Q92" s="21">
        <v>13322</v>
      </c>
      <c r="R92" s="21">
        <v>13107</v>
      </c>
      <c r="S92" s="21">
        <v>11672</v>
      </c>
      <c r="T92" s="88">
        <f t="shared" si="34"/>
        <v>-6.3392713850104324E-2</v>
      </c>
      <c r="U92" s="88">
        <f t="shared" si="35"/>
        <v>0.27173676182174766</v>
      </c>
      <c r="V92" s="88">
        <f t="shared" si="36"/>
        <v>-0.10948348210879683</v>
      </c>
      <c r="W92" s="90">
        <f t="shared" si="37"/>
        <v>5.191778201826374E-2</v>
      </c>
      <c r="X92" s="52">
        <f t="shared" si="38"/>
        <v>-1435</v>
      </c>
    </row>
    <row r="93" spans="1:24" x14ac:dyDescent="0.2">
      <c r="A93" s="70" t="s">
        <v>209</v>
      </c>
      <c r="B93" s="4">
        <v>0</v>
      </c>
      <c r="C93" s="4">
        <v>0</v>
      </c>
      <c r="D93" s="4">
        <v>26</v>
      </c>
      <c r="E93" s="4">
        <v>61</v>
      </c>
      <c r="F93" s="4">
        <v>819</v>
      </c>
      <c r="G93" s="21">
        <v>237</v>
      </c>
      <c r="H93" s="21">
        <v>412</v>
      </c>
      <c r="I93" s="21">
        <v>177</v>
      </c>
      <c r="J93" s="21">
        <v>218</v>
      </c>
      <c r="K93" s="21">
        <v>246</v>
      </c>
      <c r="L93" s="21">
        <v>8</v>
      </c>
      <c r="M93" s="21">
        <v>288</v>
      </c>
      <c r="N93" s="21">
        <v>16</v>
      </c>
      <c r="O93" s="21">
        <v>205</v>
      </c>
      <c r="P93" s="21">
        <v>217</v>
      </c>
      <c r="Q93" s="21">
        <v>219</v>
      </c>
      <c r="R93" s="21">
        <v>134</v>
      </c>
      <c r="S93" s="21">
        <v>159</v>
      </c>
      <c r="T93" s="88">
        <f t="shared" si="34"/>
        <v>-0.27064220183486237</v>
      </c>
      <c r="U93" s="88">
        <f t="shared" si="35"/>
        <v>-0.22439024390243903</v>
      </c>
      <c r="V93" s="88">
        <f t="shared" si="36"/>
        <v>0.18656716417910449</v>
      </c>
      <c r="W93" s="90">
        <f t="shared" si="37"/>
        <v>7.0724189007059074E-4</v>
      </c>
      <c r="X93" s="52">
        <f t="shared" si="38"/>
        <v>25</v>
      </c>
    </row>
    <row r="94" spans="1:24" x14ac:dyDescent="0.2">
      <c r="A94" s="70" t="s">
        <v>210</v>
      </c>
      <c r="B94" s="4">
        <v>0</v>
      </c>
      <c r="C94" s="4">
        <v>0</v>
      </c>
      <c r="D94" s="4">
        <v>0</v>
      </c>
      <c r="E94" s="4">
        <v>0</v>
      </c>
      <c r="F94" s="4">
        <v>1</v>
      </c>
      <c r="G94" s="21">
        <v>7</v>
      </c>
      <c r="H94" s="21">
        <v>29</v>
      </c>
      <c r="I94" s="21">
        <v>26</v>
      </c>
      <c r="J94" s="21">
        <v>165</v>
      </c>
      <c r="K94" s="21">
        <v>1105</v>
      </c>
      <c r="L94" s="21">
        <v>332</v>
      </c>
      <c r="M94" s="21">
        <v>419</v>
      </c>
      <c r="N94" s="21">
        <v>529</v>
      </c>
      <c r="O94" s="21">
        <v>753</v>
      </c>
      <c r="P94" s="21">
        <v>848</v>
      </c>
      <c r="Q94" s="21">
        <v>1989</v>
      </c>
      <c r="R94" s="21">
        <v>1932</v>
      </c>
      <c r="S94" s="21">
        <v>2158</v>
      </c>
      <c r="T94" s="88">
        <f t="shared" si="34"/>
        <v>12.078787878787878</v>
      </c>
      <c r="U94" s="88">
        <f t="shared" si="35"/>
        <v>1.8658698539176626</v>
      </c>
      <c r="V94" s="88">
        <f t="shared" si="36"/>
        <v>0.11697722567287784</v>
      </c>
      <c r="W94" s="90">
        <f t="shared" si="37"/>
        <v>9.5989182312725459E-3</v>
      </c>
      <c r="X94" s="52">
        <f t="shared" si="38"/>
        <v>226</v>
      </c>
    </row>
    <row r="95" spans="1:24" x14ac:dyDescent="0.2">
      <c r="A95" s="70" t="s">
        <v>43</v>
      </c>
      <c r="B95" s="70">
        <v>12</v>
      </c>
      <c r="C95" s="70">
        <v>102</v>
      </c>
      <c r="D95" s="70">
        <v>82</v>
      </c>
      <c r="E95" s="70">
        <v>72</v>
      </c>
      <c r="F95" s="70">
        <v>39</v>
      </c>
      <c r="G95" s="4">
        <v>12</v>
      </c>
      <c r="H95" s="4">
        <v>56</v>
      </c>
      <c r="I95" s="4">
        <v>123</v>
      </c>
      <c r="J95" s="4">
        <v>111</v>
      </c>
      <c r="K95" s="4">
        <v>57</v>
      </c>
      <c r="L95" s="4">
        <v>206</v>
      </c>
      <c r="M95" s="4">
        <v>313</v>
      </c>
      <c r="N95" s="4">
        <v>204</v>
      </c>
      <c r="O95" s="4">
        <v>0</v>
      </c>
      <c r="P95" s="4">
        <v>1</v>
      </c>
      <c r="Q95" s="4">
        <v>0</v>
      </c>
      <c r="R95" s="4">
        <v>1</v>
      </c>
      <c r="S95" s="4">
        <v>19</v>
      </c>
      <c r="T95" s="88">
        <f t="shared" si="34"/>
        <v>-0.8288288288288288</v>
      </c>
      <c r="U95" s="88" t="s">
        <v>296</v>
      </c>
      <c r="V95" s="88">
        <f t="shared" si="36"/>
        <v>18</v>
      </c>
      <c r="W95" s="90">
        <f t="shared" si="37"/>
        <v>8.4513181832334748E-5</v>
      </c>
      <c r="X95" s="52">
        <f t="shared" si="38"/>
        <v>18</v>
      </c>
    </row>
    <row r="96" spans="1:24" x14ac:dyDescent="0.2">
      <c r="A96" s="5" t="s">
        <v>6</v>
      </c>
      <c r="B96" s="5">
        <v>17980</v>
      </c>
      <c r="C96" s="5">
        <v>19230</v>
      </c>
      <c r="D96" s="5">
        <v>23837</v>
      </c>
      <c r="E96" s="5">
        <v>23804</v>
      </c>
      <c r="F96" s="5">
        <v>30856</v>
      </c>
      <c r="G96" s="20">
        <v>38267</v>
      </c>
      <c r="H96" s="20">
        <v>47536</v>
      </c>
      <c r="I96" s="20">
        <v>56510</v>
      </c>
      <c r="J96" s="20">
        <v>68298</v>
      </c>
      <c r="K96" s="20">
        <v>73935</v>
      </c>
      <c r="L96" s="20">
        <v>79135</v>
      </c>
      <c r="M96" s="20">
        <v>79335</v>
      </c>
      <c r="N96" s="20">
        <v>74372</v>
      </c>
      <c r="O96" s="20">
        <v>63437</v>
      </c>
      <c r="P96" s="20">
        <v>81653</v>
      </c>
      <c r="Q96" s="20">
        <v>77362</v>
      </c>
      <c r="R96" s="20">
        <v>78364</v>
      </c>
      <c r="S96" s="20">
        <v>81285</v>
      </c>
      <c r="T96" s="89">
        <f t="shared" si="34"/>
        <v>0.19015198102433453</v>
      </c>
      <c r="U96" s="89">
        <f t="shared" si="35"/>
        <v>0.28135000078818356</v>
      </c>
      <c r="V96" s="89">
        <f t="shared" si="36"/>
        <v>3.7274769026593844E-2</v>
      </c>
      <c r="W96" s="91">
        <f t="shared" si="37"/>
        <v>0.36156073606533312</v>
      </c>
      <c r="X96" s="53">
        <f t="shared" si="38"/>
        <v>2921</v>
      </c>
    </row>
    <row r="97" spans="1:24" x14ac:dyDescent="0.2">
      <c r="A97" s="70" t="s">
        <v>495</v>
      </c>
      <c r="B97" s="4">
        <v>11289</v>
      </c>
      <c r="C97" s="4">
        <v>12295</v>
      </c>
      <c r="D97" s="4">
        <v>14215</v>
      </c>
      <c r="E97" s="4">
        <v>13384</v>
      </c>
      <c r="F97" s="4">
        <v>16695</v>
      </c>
      <c r="G97" s="21">
        <v>20741</v>
      </c>
      <c r="H97" s="21">
        <v>24731</v>
      </c>
      <c r="I97" s="21">
        <v>27228</v>
      </c>
      <c r="J97" s="21">
        <v>32373</v>
      </c>
      <c r="K97" s="21">
        <v>35977</v>
      </c>
      <c r="L97" s="21">
        <v>37442</v>
      </c>
      <c r="M97" s="21">
        <v>36557</v>
      </c>
      <c r="N97" s="21">
        <v>34608</v>
      </c>
      <c r="O97" s="21">
        <v>27666</v>
      </c>
      <c r="P97" s="21">
        <v>38497</v>
      </c>
      <c r="Q97" s="21">
        <v>35169</v>
      </c>
      <c r="R97" s="21">
        <v>34669</v>
      </c>
      <c r="S97" s="21">
        <v>34500</v>
      </c>
      <c r="T97" s="88">
        <f t="shared" si="34"/>
        <v>6.5702900565285882E-2</v>
      </c>
      <c r="U97" s="88">
        <f t="shared" si="35"/>
        <v>0.24701800043374539</v>
      </c>
      <c r="V97" s="88">
        <f t="shared" si="36"/>
        <v>-4.8746718970838505E-3</v>
      </c>
      <c r="W97" s="90">
        <f t="shared" si="37"/>
        <v>0.1534581459587131</v>
      </c>
      <c r="X97" s="52">
        <f t="shared" si="38"/>
        <v>-169</v>
      </c>
    </row>
    <row r="98" spans="1:24" x14ac:dyDescent="0.2">
      <c r="A98" s="70" t="s">
        <v>496</v>
      </c>
      <c r="B98" s="4">
        <v>6592</v>
      </c>
      <c r="C98" s="4">
        <v>6484</v>
      </c>
      <c r="D98" s="4">
        <v>9110</v>
      </c>
      <c r="E98" s="4">
        <v>9953</v>
      </c>
      <c r="F98" s="4">
        <v>13311</v>
      </c>
      <c r="G98" s="21">
        <v>16622</v>
      </c>
      <c r="H98" s="21">
        <v>21062</v>
      </c>
      <c r="I98" s="21">
        <v>26848</v>
      </c>
      <c r="J98" s="21">
        <v>32323</v>
      </c>
      <c r="K98" s="21">
        <v>34785</v>
      </c>
      <c r="L98" s="21">
        <v>37519</v>
      </c>
      <c r="M98" s="21">
        <v>37325</v>
      </c>
      <c r="N98" s="21">
        <v>33139</v>
      </c>
      <c r="O98" s="21">
        <v>27499</v>
      </c>
      <c r="P98" s="21">
        <v>31869</v>
      </c>
      <c r="Q98" s="21">
        <v>28919</v>
      </c>
      <c r="R98" s="21">
        <v>26088</v>
      </c>
      <c r="S98" s="21">
        <v>26888</v>
      </c>
      <c r="T98" s="88">
        <f t="shared" si="34"/>
        <v>-0.16814652105312006</v>
      </c>
      <c r="U98" s="88">
        <f t="shared" si="35"/>
        <v>-2.2218989781446596E-2</v>
      </c>
      <c r="V98" s="88">
        <f t="shared" si="36"/>
        <v>3.0665440049064702E-2</v>
      </c>
      <c r="W98" s="90">
        <f t="shared" si="37"/>
        <v>0.11959949647935876</v>
      </c>
      <c r="X98" s="52">
        <f t="shared" si="38"/>
        <v>800</v>
      </c>
    </row>
    <row r="99" spans="1:24" x14ac:dyDescent="0.2">
      <c r="A99" s="70" t="s">
        <v>209</v>
      </c>
      <c r="B99" s="4">
        <v>65</v>
      </c>
      <c r="C99" s="4">
        <v>0</v>
      </c>
      <c r="D99" s="4">
        <v>0</v>
      </c>
      <c r="E99" s="4">
        <v>1</v>
      </c>
      <c r="F99" s="4">
        <v>49</v>
      </c>
      <c r="G99" s="21">
        <v>64</v>
      </c>
      <c r="H99" s="21">
        <v>105</v>
      </c>
      <c r="I99" s="21">
        <v>306</v>
      </c>
      <c r="J99" s="21">
        <v>984</v>
      </c>
      <c r="K99" s="21">
        <v>756</v>
      </c>
      <c r="L99" s="21">
        <v>1155</v>
      </c>
      <c r="M99" s="21">
        <v>1619</v>
      </c>
      <c r="N99" s="21">
        <v>1628</v>
      </c>
      <c r="O99" s="21">
        <v>2031</v>
      </c>
      <c r="P99" s="21">
        <v>1849</v>
      </c>
      <c r="Q99" s="21">
        <v>2214</v>
      </c>
      <c r="R99" s="21">
        <v>1969</v>
      </c>
      <c r="S99" s="21">
        <v>963</v>
      </c>
      <c r="T99" s="88">
        <f t="shared" si="34"/>
        <v>-2.1341463414634148E-2</v>
      </c>
      <c r="U99" s="88">
        <f t="shared" si="35"/>
        <v>-0.52584933530280653</v>
      </c>
      <c r="V99" s="88">
        <f t="shared" si="36"/>
        <v>-0.51091924834941593</v>
      </c>
      <c r="W99" s="90">
        <f t="shared" si="37"/>
        <v>4.2834839002388611E-3</v>
      </c>
      <c r="X99" s="52">
        <f t="shared" si="38"/>
        <v>-1006</v>
      </c>
    </row>
    <row r="100" spans="1:24" x14ac:dyDescent="0.2">
      <c r="A100" s="70" t="s">
        <v>210</v>
      </c>
      <c r="B100" s="70">
        <v>11</v>
      </c>
      <c r="C100" s="70">
        <v>249</v>
      </c>
      <c r="D100" s="70">
        <v>254</v>
      </c>
      <c r="E100" s="70">
        <v>289</v>
      </c>
      <c r="F100" s="70">
        <v>415</v>
      </c>
      <c r="G100" s="15">
        <v>552</v>
      </c>
      <c r="H100" s="15">
        <v>1138</v>
      </c>
      <c r="I100" s="15">
        <v>1322</v>
      </c>
      <c r="J100" s="15">
        <v>1996</v>
      </c>
      <c r="K100" s="15">
        <v>2098</v>
      </c>
      <c r="L100" s="15">
        <v>2861</v>
      </c>
      <c r="M100" s="15">
        <v>3729</v>
      </c>
      <c r="N100" s="15">
        <v>4931</v>
      </c>
      <c r="O100" s="15">
        <v>6186</v>
      </c>
      <c r="P100" s="15">
        <v>9372</v>
      </c>
      <c r="Q100" s="15">
        <v>11002</v>
      </c>
      <c r="R100" s="15">
        <v>15592</v>
      </c>
      <c r="S100" s="15">
        <v>18885</v>
      </c>
      <c r="T100" s="88">
        <f t="shared" si="34"/>
        <v>8.4614228456913825</v>
      </c>
      <c r="U100" s="88">
        <f t="shared" si="35"/>
        <v>2.0528612997090203</v>
      </c>
      <c r="V100" s="88">
        <f t="shared" si="36"/>
        <v>0.21119805028219599</v>
      </c>
      <c r="W100" s="90">
        <f t="shared" si="37"/>
        <v>8.4001654679139032E-2</v>
      </c>
      <c r="X100" s="52">
        <f t="shared" si="38"/>
        <v>3293</v>
      </c>
    </row>
    <row r="101" spans="1:24" x14ac:dyDescent="0.2">
      <c r="A101" s="70" t="s">
        <v>43</v>
      </c>
      <c r="B101" s="70">
        <v>23</v>
      </c>
      <c r="C101" s="70">
        <v>202</v>
      </c>
      <c r="D101" s="70">
        <v>258</v>
      </c>
      <c r="E101" s="70">
        <v>177</v>
      </c>
      <c r="F101" s="70">
        <v>386</v>
      </c>
      <c r="G101" s="15">
        <v>288</v>
      </c>
      <c r="H101" s="15">
        <v>500</v>
      </c>
      <c r="I101" s="15">
        <v>806</v>
      </c>
      <c r="J101" s="15">
        <v>622</v>
      </c>
      <c r="K101" s="15">
        <v>319</v>
      </c>
      <c r="L101" s="15">
        <v>158</v>
      </c>
      <c r="M101" s="15">
        <v>105</v>
      </c>
      <c r="N101" s="15">
        <v>66</v>
      </c>
      <c r="O101" s="15">
        <v>55</v>
      </c>
      <c r="P101" s="15">
        <v>66</v>
      </c>
      <c r="Q101" s="15">
        <v>58</v>
      </c>
      <c r="R101" s="15">
        <v>46</v>
      </c>
      <c r="S101" s="15">
        <v>49</v>
      </c>
      <c r="T101" s="88">
        <f t="shared" si="34"/>
        <v>-0.9212218649517685</v>
      </c>
      <c r="U101" s="88">
        <f t="shared" si="35"/>
        <v>-0.10909090909090909</v>
      </c>
      <c r="V101" s="88">
        <f t="shared" si="36"/>
        <v>6.5217391304347824E-2</v>
      </c>
      <c r="W101" s="90">
        <f t="shared" si="37"/>
        <v>2.1795504788338959E-4</v>
      </c>
      <c r="X101" s="52">
        <f t="shared" si="38"/>
        <v>3</v>
      </c>
    </row>
    <row r="102" spans="1:24" x14ac:dyDescent="0.2">
      <c r="A102" s="5" t="s">
        <v>7</v>
      </c>
      <c r="B102" s="5">
        <v>55233</v>
      </c>
      <c r="C102" s="5">
        <v>58778</v>
      </c>
      <c r="D102" s="5">
        <v>65400</v>
      </c>
      <c r="E102" s="5">
        <v>64018</v>
      </c>
      <c r="F102" s="5">
        <v>64998</v>
      </c>
      <c r="G102" s="20">
        <v>71839</v>
      </c>
      <c r="H102" s="20">
        <v>81172</v>
      </c>
      <c r="I102" s="20">
        <v>87359</v>
      </c>
      <c r="J102" s="20">
        <v>90133</v>
      </c>
      <c r="K102" s="20">
        <v>89703</v>
      </c>
      <c r="L102" s="20">
        <v>94405</v>
      </c>
      <c r="M102" s="20">
        <v>94333</v>
      </c>
      <c r="N102" s="20">
        <v>92723</v>
      </c>
      <c r="O102" s="20">
        <v>73240</v>
      </c>
      <c r="P102" s="20">
        <v>110564</v>
      </c>
      <c r="Q102" s="20">
        <v>110404</v>
      </c>
      <c r="R102" s="20">
        <v>112150</v>
      </c>
      <c r="S102" s="20">
        <v>106380</v>
      </c>
      <c r="T102" s="89">
        <f t="shared" si="34"/>
        <v>0.18025584414143545</v>
      </c>
      <c r="U102" s="89">
        <f t="shared" si="35"/>
        <v>0.45248498088476241</v>
      </c>
      <c r="V102" s="89">
        <f t="shared" si="36"/>
        <v>-5.1448952296032101E-2</v>
      </c>
      <c r="W102" s="91">
        <f t="shared" si="37"/>
        <v>0.47318485701704055</v>
      </c>
      <c r="X102" s="53">
        <f t="shared" si="38"/>
        <v>-5770</v>
      </c>
    </row>
    <row r="103" spans="1:24" x14ac:dyDescent="0.2">
      <c r="A103" s="70" t="s">
        <v>495</v>
      </c>
      <c r="B103" s="70">
        <v>44295</v>
      </c>
      <c r="C103" s="70">
        <v>48488</v>
      </c>
      <c r="D103" s="70">
        <v>51238</v>
      </c>
      <c r="E103" s="70">
        <v>51390</v>
      </c>
      <c r="F103" s="70">
        <v>52045</v>
      </c>
      <c r="G103" s="15">
        <v>57046</v>
      </c>
      <c r="H103" s="15">
        <v>63122</v>
      </c>
      <c r="I103" s="15">
        <v>68169</v>
      </c>
      <c r="J103" s="15">
        <v>68920</v>
      </c>
      <c r="K103" s="15">
        <v>68926</v>
      </c>
      <c r="L103" s="15">
        <v>72700</v>
      </c>
      <c r="M103" s="15">
        <v>71748</v>
      </c>
      <c r="N103" s="15">
        <v>72588</v>
      </c>
      <c r="O103" s="15">
        <v>53505</v>
      </c>
      <c r="P103" s="15">
        <v>86430</v>
      </c>
      <c r="Q103" s="15">
        <v>88685</v>
      </c>
      <c r="R103" s="15">
        <v>90260</v>
      </c>
      <c r="S103" s="15">
        <v>85298</v>
      </c>
      <c r="T103" s="88">
        <f t="shared" si="34"/>
        <v>0.23763784097504353</v>
      </c>
      <c r="U103" s="88">
        <f t="shared" si="35"/>
        <v>0.59420614895804136</v>
      </c>
      <c r="V103" s="88">
        <f t="shared" si="36"/>
        <v>-5.4974518058940838E-2</v>
      </c>
      <c r="W103" s="90">
        <f t="shared" si="37"/>
        <v>0.37941080968076257</v>
      </c>
      <c r="X103" s="52">
        <f t="shared" si="38"/>
        <v>-4962</v>
      </c>
    </row>
    <row r="104" spans="1:24" x14ac:dyDescent="0.2">
      <c r="A104" s="70" t="s">
        <v>496</v>
      </c>
      <c r="B104" s="70">
        <v>9684</v>
      </c>
      <c r="C104" s="70">
        <v>9435</v>
      </c>
      <c r="D104" s="70">
        <v>12856</v>
      </c>
      <c r="E104" s="70">
        <v>11443</v>
      </c>
      <c r="F104" s="70">
        <v>12191</v>
      </c>
      <c r="G104" s="15">
        <v>13927</v>
      </c>
      <c r="H104" s="15">
        <v>16832</v>
      </c>
      <c r="I104" s="15">
        <v>17475</v>
      </c>
      <c r="J104" s="15">
        <v>17735</v>
      </c>
      <c r="K104" s="15">
        <v>17484</v>
      </c>
      <c r="L104" s="15">
        <v>18746</v>
      </c>
      <c r="M104" s="15">
        <v>19612</v>
      </c>
      <c r="N104" s="15">
        <v>16463</v>
      </c>
      <c r="O104" s="15">
        <v>16456</v>
      </c>
      <c r="P104" s="15">
        <v>19877</v>
      </c>
      <c r="Q104" s="15">
        <v>17022</v>
      </c>
      <c r="R104" s="15">
        <v>15986</v>
      </c>
      <c r="S104" s="15">
        <v>12702</v>
      </c>
      <c r="T104" s="88">
        <f t="shared" si="34"/>
        <v>-0.28378911756413872</v>
      </c>
      <c r="U104" s="88">
        <f t="shared" si="35"/>
        <v>-0.22812348079727759</v>
      </c>
      <c r="V104" s="88">
        <f t="shared" si="36"/>
        <v>-0.20542975103215314</v>
      </c>
      <c r="W104" s="90">
        <f t="shared" si="37"/>
        <v>5.6499286086016627E-2</v>
      </c>
      <c r="X104" s="52">
        <f t="shared" si="38"/>
        <v>-3284</v>
      </c>
    </row>
    <row r="105" spans="1:24" x14ac:dyDescent="0.2">
      <c r="A105" s="70" t="s">
        <v>209</v>
      </c>
      <c r="B105" s="70">
        <v>91</v>
      </c>
      <c r="C105" s="70">
        <v>3</v>
      </c>
      <c r="D105" s="70">
        <v>17</v>
      </c>
      <c r="E105" s="70">
        <v>33</v>
      </c>
      <c r="F105" s="70">
        <v>46</v>
      </c>
      <c r="G105" s="15">
        <v>90</v>
      </c>
      <c r="H105" s="15">
        <v>95</v>
      </c>
      <c r="I105" s="15">
        <v>233</v>
      </c>
      <c r="J105" s="15">
        <v>216</v>
      </c>
      <c r="K105" s="15">
        <v>585</v>
      </c>
      <c r="L105" s="15">
        <v>816</v>
      </c>
      <c r="M105" s="15">
        <v>570</v>
      </c>
      <c r="N105" s="15">
        <v>341</v>
      </c>
      <c r="O105" s="15">
        <v>223</v>
      </c>
      <c r="P105" s="15">
        <v>394</v>
      </c>
      <c r="Q105" s="15">
        <v>530</v>
      </c>
      <c r="R105" s="15">
        <v>521</v>
      </c>
      <c r="S105" s="15">
        <v>859</v>
      </c>
      <c r="T105" s="88">
        <f t="shared" si="34"/>
        <v>2.9768518518518516</v>
      </c>
      <c r="U105" s="88">
        <f t="shared" si="35"/>
        <v>2.8520179372197307</v>
      </c>
      <c r="V105" s="88">
        <f t="shared" si="36"/>
        <v>0.6487523992322457</v>
      </c>
      <c r="W105" s="90">
        <f t="shared" si="37"/>
        <v>3.8208854312618708E-3</v>
      </c>
      <c r="X105" s="52">
        <f t="shared" si="38"/>
        <v>338</v>
      </c>
    </row>
    <row r="106" spans="1:24" x14ac:dyDescent="0.2">
      <c r="A106" s="70" t="s">
        <v>210</v>
      </c>
      <c r="B106" s="70">
        <v>613</v>
      </c>
      <c r="C106" s="70">
        <v>414</v>
      </c>
      <c r="D106" s="70">
        <v>468</v>
      </c>
      <c r="E106" s="70">
        <v>420</v>
      </c>
      <c r="F106" s="70">
        <v>315</v>
      </c>
      <c r="G106" s="15">
        <v>432</v>
      </c>
      <c r="H106" s="15">
        <v>555</v>
      </c>
      <c r="I106" s="15">
        <v>373</v>
      </c>
      <c r="J106" s="15">
        <v>1052</v>
      </c>
      <c r="K106" s="15">
        <v>569</v>
      </c>
      <c r="L106" s="15">
        <v>366</v>
      </c>
      <c r="M106" s="15">
        <v>596</v>
      </c>
      <c r="N106" s="15">
        <v>617</v>
      </c>
      <c r="O106" s="15">
        <v>562</v>
      </c>
      <c r="P106" s="15">
        <v>1628</v>
      </c>
      <c r="Q106" s="15">
        <v>2858</v>
      </c>
      <c r="R106" s="15">
        <v>4618</v>
      </c>
      <c r="S106" s="15">
        <v>6792</v>
      </c>
      <c r="T106" s="88">
        <f t="shared" si="34"/>
        <v>5.4562737642585555</v>
      </c>
      <c r="U106" s="88">
        <f t="shared" si="35"/>
        <v>11.08540925266904</v>
      </c>
      <c r="V106" s="88">
        <f t="shared" si="36"/>
        <v>0.47076656561281938</v>
      </c>
      <c r="W106" s="90">
        <f t="shared" si="37"/>
        <v>3.0211238473958821E-2</v>
      </c>
      <c r="X106" s="52">
        <f t="shared" si="38"/>
        <v>2174</v>
      </c>
    </row>
    <row r="107" spans="1:24" x14ac:dyDescent="0.2">
      <c r="A107" s="70" t="s">
        <v>43</v>
      </c>
      <c r="B107" s="70">
        <v>550</v>
      </c>
      <c r="C107" s="70">
        <v>438</v>
      </c>
      <c r="D107" s="70">
        <v>821</v>
      </c>
      <c r="E107" s="70">
        <v>732</v>
      </c>
      <c r="F107" s="70">
        <v>401</v>
      </c>
      <c r="G107" s="15">
        <v>344</v>
      </c>
      <c r="H107" s="15">
        <v>568</v>
      </c>
      <c r="I107" s="15">
        <v>1109</v>
      </c>
      <c r="J107" s="15">
        <v>2210</v>
      </c>
      <c r="K107" s="15">
        <v>2139</v>
      </c>
      <c r="L107" s="15">
        <v>1777</v>
      </c>
      <c r="M107" s="15">
        <v>1807</v>
      </c>
      <c r="N107" s="15">
        <v>2714</v>
      </c>
      <c r="O107" s="15">
        <v>2494</v>
      </c>
      <c r="P107" s="15">
        <v>2235</v>
      </c>
      <c r="Q107" s="15">
        <v>1309</v>
      </c>
      <c r="R107" s="15">
        <v>765</v>
      </c>
      <c r="S107" s="15">
        <v>729</v>
      </c>
      <c r="T107" s="88">
        <f t="shared" si="34"/>
        <v>-0.67013574660633479</v>
      </c>
      <c r="U107" s="88">
        <f t="shared" si="35"/>
        <v>-0.70769847634322369</v>
      </c>
      <c r="V107" s="88">
        <f t="shared" si="36"/>
        <v>-4.7058823529411764E-2</v>
      </c>
      <c r="W107" s="90">
        <f t="shared" si="37"/>
        <v>3.2426373450406333E-3</v>
      </c>
      <c r="X107" s="52">
        <f t="shared" si="38"/>
        <v>-36</v>
      </c>
    </row>
    <row r="108" spans="1:24" x14ac:dyDescent="0.2">
      <c r="A108" s="5" t="s">
        <v>4</v>
      </c>
      <c r="B108" s="5">
        <v>87126</v>
      </c>
      <c r="C108" s="5">
        <v>98022</v>
      </c>
      <c r="D108" s="5">
        <v>106130</v>
      </c>
      <c r="E108" s="5">
        <v>102164</v>
      </c>
      <c r="F108" s="5">
        <v>118332</v>
      </c>
      <c r="G108" s="5">
        <v>135721</v>
      </c>
      <c r="H108" s="5">
        <v>156991</v>
      </c>
      <c r="I108" s="5">
        <v>171648</v>
      </c>
      <c r="J108" s="5">
        <v>189086</v>
      </c>
      <c r="K108" s="5">
        <v>197568</v>
      </c>
      <c r="L108" s="5">
        <v>206554</v>
      </c>
      <c r="M108" s="5">
        <v>209022</v>
      </c>
      <c r="N108" s="5">
        <v>201142</v>
      </c>
      <c r="O108" s="5">
        <v>160890</v>
      </c>
      <c r="P108" s="5">
        <v>228691</v>
      </c>
      <c r="Q108" s="5">
        <v>225935</v>
      </c>
      <c r="R108" s="5">
        <v>231169</v>
      </c>
      <c r="S108" s="5">
        <v>224817</v>
      </c>
      <c r="T108" s="89">
        <f t="shared" si="34"/>
        <v>0.18896692510286325</v>
      </c>
      <c r="U108" s="89">
        <f t="shared" si="35"/>
        <v>0.39733358195040092</v>
      </c>
      <c r="V108" s="89">
        <f t="shared" si="36"/>
        <v>-2.7477732740981704E-2</v>
      </c>
      <c r="W108" s="91">
        <f t="shared" si="37"/>
        <v>1</v>
      </c>
      <c r="X108" s="53">
        <f t="shared" si="38"/>
        <v>-6352</v>
      </c>
    </row>
    <row r="109" spans="1:24" x14ac:dyDescent="0.2">
      <c r="A109" s="134"/>
      <c r="B109" s="134"/>
      <c r="C109" s="134"/>
      <c r="D109" s="134"/>
      <c r="E109" s="134"/>
      <c r="F109" s="134"/>
      <c r="G109" s="134"/>
      <c r="H109" s="134"/>
      <c r="I109" s="134"/>
      <c r="J109" s="134"/>
      <c r="K109" s="134"/>
      <c r="L109" s="134"/>
      <c r="M109" s="134"/>
      <c r="N109" s="134"/>
      <c r="O109" s="134"/>
      <c r="P109" s="134"/>
      <c r="Q109" s="134"/>
      <c r="R109" s="134"/>
      <c r="S109" s="134"/>
      <c r="T109" s="135"/>
      <c r="U109" s="135"/>
      <c r="V109" s="135"/>
      <c r="W109" s="135"/>
      <c r="X109" s="135"/>
    </row>
    <row r="110" spans="1:24" ht="15.75" x14ac:dyDescent="0.2">
      <c r="A110" s="32" t="s">
        <v>468</v>
      </c>
      <c r="B110" s="32"/>
      <c r="C110" s="32"/>
      <c r="D110" s="32"/>
      <c r="E110" s="32"/>
      <c r="F110" s="32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</row>
    <row r="111" spans="1:24" ht="25.5" x14ac:dyDescent="0.2">
      <c r="A111" s="73" t="s">
        <v>10</v>
      </c>
      <c r="B111" s="3">
        <v>2007</v>
      </c>
      <c r="C111" s="3">
        <v>2008</v>
      </c>
      <c r="D111" s="3">
        <v>2009</v>
      </c>
      <c r="E111" s="3">
        <v>2010</v>
      </c>
      <c r="F111" s="3">
        <v>2011</v>
      </c>
      <c r="G111" s="3">
        <v>2012</v>
      </c>
      <c r="H111" s="3">
        <v>2013</v>
      </c>
      <c r="I111" s="3">
        <v>2014</v>
      </c>
      <c r="J111" s="3">
        <v>2015</v>
      </c>
      <c r="K111" s="3">
        <v>2016</v>
      </c>
      <c r="L111" s="3">
        <v>2017</v>
      </c>
      <c r="M111" s="3">
        <v>2018</v>
      </c>
      <c r="N111" s="3">
        <v>2019</v>
      </c>
      <c r="O111" s="3">
        <v>2020</v>
      </c>
      <c r="P111" s="3">
        <v>2021</v>
      </c>
      <c r="Q111" s="3">
        <v>2022</v>
      </c>
      <c r="R111" s="3">
        <v>2023</v>
      </c>
      <c r="S111" s="3">
        <v>2024</v>
      </c>
      <c r="T111" s="12" t="s">
        <v>368</v>
      </c>
      <c r="U111" s="12" t="s">
        <v>369</v>
      </c>
      <c r="V111" s="12" t="s">
        <v>370</v>
      </c>
      <c r="W111" s="12" t="s">
        <v>372</v>
      </c>
      <c r="X111" s="169" t="s">
        <v>494</v>
      </c>
    </row>
    <row r="112" spans="1:24" x14ac:dyDescent="0.2">
      <c r="A112" s="4" t="s">
        <v>11</v>
      </c>
      <c r="B112" s="4">
        <v>15870</v>
      </c>
      <c r="C112" s="4">
        <v>16148</v>
      </c>
      <c r="D112" s="4">
        <v>17906</v>
      </c>
      <c r="E112" s="4">
        <v>18259</v>
      </c>
      <c r="F112" s="4">
        <v>22159</v>
      </c>
      <c r="G112" s="15">
        <v>25874</v>
      </c>
      <c r="H112" s="15">
        <v>30352</v>
      </c>
      <c r="I112" s="15">
        <v>34108</v>
      </c>
      <c r="J112" s="15">
        <v>37639</v>
      </c>
      <c r="K112" s="15">
        <v>41974</v>
      </c>
      <c r="L112" s="15">
        <v>44330</v>
      </c>
      <c r="M112" s="15">
        <v>47045</v>
      </c>
      <c r="N112" s="15">
        <v>46436</v>
      </c>
      <c r="O112" s="15">
        <v>41538</v>
      </c>
      <c r="P112" s="15">
        <v>52603</v>
      </c>
      <c r="Q112" s="15">
        <v>52051</v>
      </c>
      <c r="R112" s="15">
        <v>51671</v>
      </c>
      <c r="S112" s="15">
        <v>50376</v>
      </c>
      <c r="T112" s="88">
        <f t="shared" ref="T112:T122" si="39">(S112-J112)/J112</f>
        <v>0.33839900103615933</v>
      </c>
      <c r="U112" s="88">
        <f t="shared" ref="U112:U122" si="40">(S112-O112)/O112</f>
        <v>0.21276903076700851</v>
      </c>
      <c r="V112" s="88">
        <f t="shared" ref="V112:V122" si="41">(S112-R112)/R112</f>
        <v>-2.5062414120106055E-2</v>
      </c>
      <c r="W112" s="90">
        <f t="shared" ref="W112:W122" si="42">S112/S$9</f>
        <v>0.22407558147293133</v>
      </c>
      <c r="X112" s="52">
        <f t="shared" ref="X112:X122" si="43">S112-R112</f>
        <v>-1295</v>
      </c>
    </row>
    <row r="113" spans="1:24" x14ac:dyDescent="0.2">
      <c r="A113" s="4" t="s">
        <v>12</v>
      </c>
      <c r="B113" s="4">
        <v>2799</v>
      </c>
      <c r="C113" s="4">
        <v>3389</v>
      </c>
      <c r="D113" s="4">
        <v>3258</v>
      </c>
      <c r="E113" s="4">
        <v>3039</v>
      </c>
      <c r="F113" s="4">
        <v>3206</v>
      </c>
      <c r="G113" s="15">
        <v>3538</v>
      </c>
      <c r="H113" s="15">
        <v>3718</v>
      </c>
      <c r="I113" s="15">
        <v>3990</v>
      </c>
      <c r="J113" s="15">
        <v>4050</v>
      </c>
      <c r="K113" s="15">
        <v>4037</v>
      </c>
      <c r="L113" s="15">
        <v>3941</v>
      </c>
      <c r="M113" s="15">
        <v>3869</v>
      </c>
      <c r="N113" s="15">
        <v>3944</v>
      </c>
      <c r="O113" s="15">
        <v>3122</v>
      </c>
      <c r="P113" s="15">
        <v>4856</v>
      </c>
      <c r="Q113" s="15">
        <v>5232</v>
      </c>
      <c r="R113" s="15">
        <v>6349</v>
      </c>
      <c r="S113" s="15">
        <v>6032</v>
      </c>
      <c r="T113" s="88">
        <f t="shared" si="39"/>
        <v>0.48938271604938272</v>
      </c>
      <c r="U113" s="88">
        <f t="shared" si="40"/>
        <v>0.93209481101857783</v>
      </c>
      <c r="V113" s="88">
        <f t="shared" si="41"/>
        <v>-4.9929122696487638E-2</v>
      </c>
      <c r="W113" s="90">
        <f t="shared" si="42"/>
        <v>2.6830711200665429E-2</v>
      </c>
      <c r="X113" s="52">
        <f t="shared" si="43"/>
        <v>-317</v>
      </c>
    </row>
    <row r="114" spans="1:24" x14ac:dyDescent="0.2">
      <c r="A114" s="4" t="s">
        <v>13</v>
      </c>
      <c r="B114" s="4">
        <v>4987</v>
      </c>
      <c r="C114" s="4">
        <v>5042</v>
      </c>
      <c r="D114" s="4">
        <v>5677</v>
      </c>
      <c r="E114" s="4">
        <v>5246</v>
      </c>
      <c r="F114" s="4">
        <v>5931</v>
      </c>
      <c r="G114" s="15">
        <v>6409</v>
      </c>
      <c r="H114" s="15">
        <v>7425</v>
      </c>
      <c r="I114" s="15">
        <v>7233</v>
      </c>
      <c r="J114" s="15">
        <v>7354</v>
      </c>
      <c r="K114" s="15">
        <v>6822</v>
      </c>
      <c r="L114" s="15">
        <v>7472</v>
      </c>
      <c r="M114" s="15">
        <v>7234</v>
      </c>
      <c r="N114" s="15">
        <v>6647</v>
      </c>
      <c r="O114" s="15">
        <v>5823</v>
      </c>
      <c r="P114" s="15">
        <v>8401</v>
      </c>
      <c r="Q114" s="15">
        <v>9104</v>
      </c>
      <c r="R114" s="15">
        <v>9741</v>
      </c>
      <c r="S114" s="15">
        <v>10558</v>
      </c>
      <c r="T114" s="88">
        <f t="shared" si="39"/>
        <v>0.43568126189828665</v>
      </c>
      <c r="U114" s="88">
        <f t="shared" si="40"/>
        <v>0.81315473123819337</v>
      </c>
      <c r="V114" s="88">
        <f t="shared" si="41"/>
        <v>8.3872292372446366E-2</v>
      </c>
      <c r="W114" s="90">
        <f t="shared" si="42"/>
        <v>4.6962640725567904E-2</v>
      </c>
      <c r="X114" s="52">
        <f t="shared" si="43"/>
        <v>817</v>
      </c>
    </row>
    <row r="115" spans="1:24" x14ac:dyDescent="0.2">
      <c r="A115" s="4" t="s">
        <v>14</v>
      </c>
      <c r="B115" s="4">
        <v>1399</v>
      </c>
      <c r="C115" s="4">
        <v>1393</v>
      </c>
      <c r="D115" s="4">
        <v>1382</v>
      </c>
      <c r="E115" s="4">
        <v>1284</v>
      </c>
      <c r="F115" s="4">
        <v>1398</v>
      </c>
      <c r="G115" s="15">
        <v>1597</v>
      </c>
      <c r="H115" s="15">
        <v>1505</v>
      </c>
      <c r="I115" s="15">
        <v>1687</v>
      </c>
      <c r="J115" s="15">
        <v>1908</v>
      </c>
      <c r="K115" s="15">
        <v>1898</v>
      </c>
      <c r="L115" s="15">
        <v>1897</v>
      </c>
      <c r="M115" s="15">
        <v>1828</v>
      </c>
      <c r="N115" s="15">
        <v>1902</v>
      </c>
      <c r="O115" s="15">
        <v>1551</v>
      </c>
      <c r="P115" s="15">
        <v>1938</v>
      </c>
      <c r="Q115" s="15">
        <v>2447</v>
      </c>
      <c r="R115" s="15">
        <v>2691</v>
      </c>
      <c r="S115" s="15">
        <v>2630</v>
      </c>
      <c r="T115" s="88">
        <f t="shared" si="39"/>
        <v>0.37840670859538783</v>
      </c>
      <c r="U115" s="88">
        <f t="shared" si="40"/>
        <v>0.69568020631850425</v>
      </c>
      <c r="V115" s="88">
        <f t="shared" si="41"/>
        <v>-2.2668153102935712E-2</v>
      </c>
      <c r="W115" s="90">
        <f t="shared" si="42"/>
        <v>1.1698403590475808E-2</v>
      </c>
      <c r="X115" s="52">
        <f t="shared" si="43"/>
        <v>-61</v>
      </c>
    </row>
    <row r="116" spans="1:24" x14ac:dyDescent="0.2">
      <c r="A116" s="4" t="s">
        <v>15</v>
      </c>
      <c r="B116" s="4">
        <v>9402</v>
      </c>
      <c r="C116" s="4">
        <v>10234</v>
      </c>
      <c r="D116" s="4">
        <v>10999</v>
      </c>
      <c r="E116" s="4">
        <v>9958</v>
      </c>
      <c r="F116" s="4">
        <v>11570</v>
      </c>
      <c r="G116" s="15">
        <v>13065</v>
      </c>
      <c r="H116" s="15">
        <v>14493</v>
      </c>
      <c r="I116" s="15">
        <v>15781</v>
      </c>
      <c r="J116" s="15">
        <v>16795</v>
      </c>
      <c r="K116" s="15">
        <v>16854</v>
      </c>
      <c r="L116" s="15">
        <v>18004</v>
      </c>
      <c r="M116" s="15">
        <v>18351</v>
      </c>
      <c r="N116" s="15">
        <v>17163</v>
      </c>
      <c r="O116" s="15">
        <v>16662</v>
      </c>
      <c r="P116" s="15">
        <v>23711</v>
      </c>
      <c r="Q116" s="15">
        <v>24157</v>
      </c>
      <c r="R116" s="15">
        <v>24976</v>
      </c>
      <c r="S116" s="15">
        <v>24845</v>
      </c>
      <c r="T116" s="88">
        <f t="shared" si="39"/>
        <v>0.47930931824947903</v>
      </c>
      <c r="U116" s="88">
        <f t="shared" si="40"/>
        <v>0.491117512903613</v>
      </c>
      <c r="V116" s="88">
        <f t="shared" si="41"/>
        <v>-5.2450352338244714E-3</v>
      </c>
      <c r="W116" s="90">
        <f t="shared" si="42"/>
        <v>0.11051210540128194</v>
      </c>
      <c r="X116" s="52">
        <f t="shared" si="43"/>
        <v>-131</v>
      </c>
    </row>
    <row r="117" spans="1:24" x14ac:dyDescent="0.2">
      <c r="A117" s="4" t="s">
        <v>16</v>
      </c>
      <c r="B117" s="4">
        <v>4530</v>
      </c>
      <c r="C117" s="4">
        <v>5594</v>
      </c>
      <c r="D117" s="4">
        <v>5842</v>
      </c>
      <c r="E117" s="4">
        <v>4553</v>
      </c>
      <c r="F117" s="4">
        <v>4559</v>
      </c>
      <c r="G117" s="15">
        <v>4296</v>
      </c>
      <c r="H117" s="15">
        <v>4152</v>
      </c>
      <c r="I117" s="15">
        <v>4398</v>
      </c>
      <c r="J117" s="15">
        <v>4296</v>
      </c>
      <c r="K117" s="15">
        <v>4395</v>
      </c>
      <c r="L117" s="15">
        <v>4961</v>
      </c>
      <c r="M117" s="15">
        <v>4455</v>
      </c>
      <c r="N117" s="15">
        <v>4547</v>
      </c>
      <c r="O117" s="15">
        <v>3337</v>
      </c>
      <c r="P117" s="15">
        <v>4298</v>
      </c>
      <c r="Q117" s="15">
        <v>4687</v>
      </c>
      <c r="R117" s="15">
        <v>5672</v>
      </c>
      <c r="S117" s="15">
        <v>5765</v>
      </c>
      <c r="T117" s="88">
        <f t="shared" si="39"/>
        <v>0.34194599627560524</v>
      </c>
      <c r="U117" s="88">
        <f t="shared" si="40"/>
        <v>0.72759964039556491</v>
      </c>
      <c r="V117" s="88">
        <f t="shared" si="41"/>
        <v>1.6396332863187587E-2</v>
      </c>
      <c r="W117" s="90">
        <f t="shared" si="42"/>
        <v>2.5643078592811043E-2</v>
      </c>
      <c r="X117" s="52">
        <f t="shared" si="43"/>
        <v>93</v>
      </c>
    </row>
    <row r="118" spans="1:24" x14ac:dyDescent="0.2">
      <c r="A118" s="4" t="s">
        <v>17</v>
      </c>
      <c r="B118" s="4">
        <v>16864</v>
      </c>
      <c r="C118" s="4">
        <v>17894</v>
      </c>
      <c r="D118" s="4">
        <v>19973</v>
      </c>
      <c r="E118" s="4">
        <v>19577</v>
      </c>
      <c r="F118" s="4">
        <v>20281</v>
      </c>
      <c r="G118" s="15">
        <v>22551</v>
      </c>
      <c r="H118" s="15">
        <v>25970</v>
      </c>
      <c r="I118" s="15">
        <v>26598</v>
      </c>
      <c r="J118" s="15">
        <v>28139</v>
      </c>
      <c r="K118" s="15">
        <v>28306</v>
      </c>
      <c r="L118" s="15">
        <v>30227</v>
      </c>
      <c r="M118" s="15">
        <v>29159</v>
      </c>
      <c r="N118" s="15">
        <v>31228</v>
      </c>
      <c r="O118" s="15">
        <v>25720</v>
      </c>
      <c r="P118" s="15">
        <v>31915</v>
      </c>
      <c r="Q118" s="15">
        <v>27109</v>
      </c>
      <c r="R118" s="15">
        <v>25711</v>
      </c>
      <c r="S118" s="15">
        <v>22984</v>
      </c>
      <c r="T118" s="88">
        <f t="shared" si="39"/>
        <v>-0.1831976971463094</v>
      </c>
      <c r="U118" s="88">
        <f t="shared" si="40"/>
        <v>-0.10637636080870917</v>
      </c>
      <c r="V118" s="88">
        <f t="shared" si="41"/>
        <v>-0.10606355256504998</v>
      </c>
      <c r="W118" s="90">
        <f t="shared" si="42"/>
        <v>0.10223426164391483</v>
      </c>
      <c r="X118" s="52">
        <f t="shared" si="43"/>
        <v>-2727</v>
      </c>
    </row>
    <row r="119" spans="1:24" x14ac:dyDescent="0.2">
      <c r="A119" s="4" t="s">
        <v>18</v>
      </c>
      <c r="B119" s="4">
        <v>663</v>
      </c>
      <c r="C119" s="4">
        <v>994</v>
      </c>
      <c r="D119" s="4">
        <v>1057</v>
      </c>
      <c r="E119" s="4">
        <v>1036</v>
      </c>
      <c r="F119" s="4">
        <v>1114</v>
      </c>
      <c r="G119" s="15">
        <v>1191</v>
      </c>
      <c r="H119" s="15">
        <v>1107</v>
      </c>
      <c r="I119" s="15">
        <v>1213</v>
      </c>
      <c r="J119" s="15">
        <v>1367</v>
      </c>
      <c r="K119" s="15">
        <v>1211</v>
      </c>
      <c r="L119" s="15">
        <v>1384</v>
      </c>
      <c r="M119" s="15">
        <v>1253</v>
      </c>
      <c r="N119" s="15">
        <v>1342</v>
      </c>
      <c r="O119" s="15">
        <v>1211</v>
      </c>
      <c r="P119" s="15">
        <v>1474</v>
      </c>
      <c r="Q119" s="15">
        <v>1397</v>
      </c>
      <c r="R119" s="15">
        <v>1528</v>
      </c>
      <c r="S119" s="15">
        <v>1085</v>
      </c>
      <c r="T119" s="88">
        <f t="shared" si="39"/>
        <v>-0.20629114850036576</v>
      </c>
      <c r="U119" s="88">
        <f t="shared" si="40"/>
        <v>-0.10404624277456648</v>
      </c>
      <c r="V119" s="88">
        <f t="shared" si="41"/>
        <v>-0.28992146596858637</v>
      </c>
      <c r="W119" s="90">
        <f t="shared" si="42"/>
        <v>4.8261474888464844E-3</v>
      </c>
      <c r="X119" s="52">
        <f t="shared" si="43"/>
        <v>-443</v>
      </c>
    </row>
    <row r="120" spans="1:24" x14ac:dyDescent="0.2">
      <c r="A120" s="4" t="s">
        <v>19</v>
      </c>
      <c r="B120" s="4">
        <v>9694</v>
      </c>
      <c r="C120" s="4">
        <v>16127</v>
      </c>
      <c r="D120" s="4">
        <v>16253</v>
      </c>
      <c r="E120" s="4">
        <v>15697</v>
      </c>
      <c r="F120" s="4">
        <v>21433</v>
      </c>
      <c r="G120" s="15">
        <v>25789</v>
      </c>
      <c r="H120" s="15">
        <v>29838</v>
      </c>
      <c r="I120" s="15">
        <v>32202</v>
      </c>
      <c r="J120" s="15">
        <v>34754</v>
      </c>
      <c r="K120" s="15">
        <v>36120</v>
      </c>
      <c r="L120" s="15">
        <v>36281</v>
      </c>
      <c r="M120" s="15">
        <v>37319</v>
      </c>
      <c r="N120" s="15">
        <v>35544</v>
      </c>
      <c r="O120" s="15">
        <v>19236</v>
      </c>
      <c r="P120" s="15">
        <v>44756</v>
      </c>
      <c r="Q120" s="15">
        <v>44382</v>
      </c>
      <c r="R120" s="15">
        <v>44059</v>
      </c>
      <c r="S120" s="15">
        <v>41669</v>
      </c>
      <c r="T120" s="88">
        <f t="shared" si="39"/>
        <v>0.19896990274500778</v>
      </c>
      <c r="U120" s="88">
        <f t="shared" si="40"/>
        <v>1.1661987939280516</v>
      </c>
      <c r="V120" s="88">
        <f t="shared" si="41"/>
        <v>-5.4245443609705166E-2</v>
      </c>
      <c r="W120" s="90">
        <f t="shared" si="42"/>
        <v>0.1853463038827135</v>
      </c>
      <c r="X120" s="52">
        <f t="shared" si="43"/>
        <v>-2390</v>
      </c>
    </row>
    <row r="121" spans="1:24" x14ac:dyDescent="0.2">
      <c r="A121" s="4" t="s">
        <v>20</v>
      </c>
      <c r="B121" s="4">
        <v>20918</v>
      </c>
      <c r="C121" s="4">
        <v>21207</v>
      </c>
      <c r="D121" s="4">
        <v>23783</v>
      </c>
      <c r="E121" s="4">
        <v>23515</v>
      </c>
      <c r="F121" s="4">
        <v>26681</v>
      </c>
      <c r="G121" s="15">
        <v>31411</v>
      </c>
      <c r="H121" s="15">
        <v>38431</v>
      </c>
      <c r="I121" s="15">
        <v>44438</v>
      </c>
      <c r="J121" s="15">
        <v>52784</v>
      </c>
      <c r="K121" s="15">
        <v>55951</v>
      </c>
      <c r="L121" s="15">
        <v>58057</v>
      </c>
      <c r="M121" s="15">
        <v>58509</v>
      </c>
      <c r="N121" s="15">
        <v>52389</v>
      </c>
      <c r="O121" s="15">
        <v>42690</v>
      </c>
      <c r="P121" s="15">
        <v>54739</v>
      </c>
      <c r="Q121" s="15">
        <v>55369</v>
      </c>
      <c r="R121" s="15">
        <v>58771</v>
      </c>
      <c r="S121" s="15">
        <v>58873</v>
      </c>
      <c r="T121" s="88">
        <f t="shared" si="39"/>
        <v>0.11535692634131554</v>
      </c>
      <c r="U121" s="88">
        <f t="shared" si="40"/>
        <v>0.3790817521667838</v>
      </c>
      <c r="V121" s="88">
        <f t="shared" si="41"/>
        <v>1.7355498460124891E-3</v>
      </c>
      <c r="W121" s="90">
        <f t="shared" si="42"/>
        <v>0.26187076600079173</v>
      </c>
      <c r="X121" s="52">
        <f t="shared" si="43"/>
        <v>102</v>
      </c>
    </row>
    <row r="122" spans="1:24" x14ac:dyDescent="0.2">
      <c r="A122" s="5" t="s">
        <v>4</v>
      </c>
      <c r="B122" s="5">
        <v>87126</v>
      </c>
      <c r="C122" s="5">
        <v>98022</v>
      </c>
      <c r="D122" s="5">
        <v>106130</v>
      </c>
      <c r="E122" s="5">
        <v>102164</v>
      </c>
      <c r="F122" s="5">
        <v>118332</v>
      </c>
      <c r="G122" s="5">
        <v>135721</v>
      </c>
      <c r="H122" s="5">
        <v>156991</v>
      </c>
      <c r="I122" s="5">
        <v>171648</v>
      </c>
      <c r="J122" s="5">
        <v>189086</v>
      </c>
      <c r="K122" s="5">
        <v>197568</v>
      </c>
      <c r="L122" s="5">
        <v>206554</v>
      </c>
      <c r="M122" s="5">
        <v>209022</v>
      </c>
      <c r="N122" s="5">
        <v>201142</v>
      </c>
      <c r="O122" s="5">
        <v>160890</v>
      </c>
      <c r="P122" s="5">
        <v>228691</v>
      </c>
      <c r="Q122" s="5">
        <v>225935</v>
      </c>
      <c r="R122" s="5">
        <v>231169</v>
      </c>
      <c r="S122" s="66">
        <v>224817</v>
      </c>
      <c r="T122" s="89">
        <f t="shared" si="39"/>
        <v>0.18896692510286325</v>
      </c>
      <c r="U122" s="89">
        <f t="shared" si="40"/>
        <v>0.39733358195040092</v>
      </c>
      <c r="V122" s="89">
        <f t="shared" si="41"/>
        <v>-2.7477732740981704E-2</v>
      </c>
      <c r="W122" s="91">
        <f t="shared" si="42"/>
        <v>1</v>
      </c>
      <c r="X122" s="53">
        <f t="shared" si="43"/>
        <v>-6352</v>
      </c>
    </row>
    <row r="123" spans="1:24" x14ac:dyDescent="0.2">
      <c r="A123" s="63"/>
      <c r="B123" s="63"/>
      <c r="C123" s="63"/>
      <c r="D123" s="63"/>
      <c r="E123" s="63"/>
      <c r="F123" s="63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</row>
    <row r="124" spans="1:24" ht="15.75" x14ac:dyDescent="0.2">
      <c r="A124" s="32" t="s">
        <v>469</v>
      </c>
      <c r="B124" s="32"/>
      <c r="C124" s="32"/>
      <c r="D124" s="32"/>
      <c r="E124" s="32"/>
      <c r="F124" s="32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</row>
    <row r="125" spans="1:24" ht="25.5" x14ac:dyDescent="0.2">
      <c r="A125" s="73" t="s">
        <v>10</v>
      </c>
      <c r="B125" s="3">
        <v>2007</v>
      </c>
      <c r="C125" s="3">
        <v>2008</v>
      </c>
      <c r="D125" s="3">
        <v>2009</v>
      </c>
      <c r="E125" s="3">
        <v>2010</v>
      </c>
      <c r="F125" s="3">
        <v>2011</v>
      </c>
      <c r="G125" s="3">
        <v>2012</v>
      </c>
      <c r="H125" s="3">
        <v>2013</v>
      </c>
      <c r="I125" s="3">
        <v>2014</v>
      </c>
      <c r="J125" s="3">
        <v>2015</v>
      </c>
      <c r="K125" s="3">
        <v>2016</v>
      </c>
      <c r="L125" s="3">
        <v>2017</v>
      </c>
      <c r="M125" s="3">
        <v>2018</v>
      </c>
      <c r="N125" s="3">
        <v>2019</v>
      </c>
      <c r="O125" s="3">
        <v>2020</v>
      </c>
      <c r="P125" s="3">
        <v>2021</v>
      </c>
      <c r="Q125" s="3">
        <v>2022</v>
      </c>
      <c r="R125" s="3">
        <v>2023</v>
      </c>
      <c r="S125" s="3">
        <v>2024</v>
      </c>
      <c r="T125" s="12" t="s">
        <v>368</v>
      </c>
      <c r="U125" s="12" t="s">
        <v>369</v>
      </c>
      <c r="V125" s="12" t="s">
        <v>370</v>
      </c>
      <c r="W125" s="12" t="s">
        <v>372</v>
      </c>
      <c r="X125" s="169" t="s">
        <v>494</v>
      </c>
    </row>
    <row r="126" spans="1:24" x14ac:dyDescent="0.2">
      <c r="A126" s="4" t="s">
        <v>11</v>
      </c>
      <c r="B126" s="4">
        <v>8378</v>
      </c>
      <c r="C126" s="4">
        <v>8607</v>
      </c>
      <c r="D126" s="4">
        <v>9880</v>
      </c>
      <c r="E126" s="4">
        <v>10092</v>
      </c>
      <c r="F126" s="4">
        <v>12541</v>
      </c>
      <c r="G126" s="15">
        <v>14988</v>
      </c>
      <c r="H126" s="15">
        <v>17838</v>
      </c>
      <c r="I126" s="15">
        <v>20072</v>
      </c>
      <c r="J126" s="15">
        <v>22110</v>
      </c>
      <c r="K126" s="15">
        <v>25591</v>
      </c>
      <c r="L126" s="15">
        <v>26552</v>
      </c>
      <c r="M126" s="15">
        <v>28194</v>
      </c>
      <c r="N126" s="15">
        <v>27963</v>
      </c>
      <c r="O126" s="15">
        <v>24992</v>
      </c>
      <c r="P126" s="15">
        <v>31477</v>
      </c>
      <c r="Q126" s="15">
        <v>30989</v>
      </c>
      <c r="R126" s="15">
        <v>30552</v>
      </c>
      <c r="S126" s="15">
        <v>29474</v>
      </c>
      <c r="T126" s="88">
        <f t="shared" ref="T126:T136" si="44">(S126-J126)/J126</f>
        <v>0.33306196291270918</v>
      </c>
      <c r="U126" s="88">
        <f t="shared" ref="U126:U136" si="45">(S126-O126)/O126</f>
        <v>0.17933738796414853</v>
      </c>
      <c r="V126" s="88">
        <f t="shared" ref="V126:V136" si="46">(S126-R126)/R126</f>
        <v>-3.5284105786855195E-2</v>
      </c>
      <c r="W126" s="90">
        <f>S126/S$136</f>
        <v>0.23513737754092606</v>
      </c>
      <c r="X126" s="52">
        <f t="shared" ref="X126:X136" si="47">S126-R126</f>
        <v>-1078</v>
      </c>
    </row>
    <row r="127" spans="1:24" x14ac:dyDescent="0.2">
      <c r="A127" s="4" t="s">
        <v>12</v>
      </c>
      <c r="B127" s="4">
        <v>1164</v>
      </c>
      <c r="C127" s="4">
        <v>1447</v>
      </c>
      <c r="D127" s="4">
        <v>1396</v>
      </c>
      <c r="E127" s="4">
        <v>1355</v>
      </c>
      <c r="F127" s="4">
        <v>1373</v>
      </c>
      <c r="G127" s="15">
        <v>1599</v>
      </c>
      <c r="H127" s="15">
        <v>1711</v>
      </c>
      <c r="I127" s="15">
        <v>1856</v>
      </c>
      <c r="J127" s="15">
        <v>1920</v>
      </c>
      <c r="K127" s="15">
        <v>1890</v>
      </c>
      <c r="L127" s="15">
        <v>1867</v>
      </c>
      <c r="M127" s="15">
        <v>1853</v>
      </c>
      <c r="N127" s="15">
        <v>1953</v>
      </c>
      <c r="O127" s="15">
        <v>1536</v>
      </c>
      <c r="P127" s="15">
        <v>2647</v>
      </c>
      <c r="Q127" s="15">
        <v>2833</v>
      </c>
      <c r="R127" s="15">
        <v>3577</v>
      </c>
      <c r="S127" s="15">
        <v>3474</v>
      </c>
      <c r="T127" s="88">
        <f t="shared" si="44"/>
        <v>0.80937499999999996</v>
      </c>
      <c r="U127" s="88">
        <f t="shared" si="45"/>
        <v>1.26171875</v>
      </c>
      <c r="V127" s="88">
        <f t="shared" si="46"/>
        <v>-2.8795079675705899E-2</v>
      </c>
      <c r="W127" s="90">
        <f t="shared" ref="W127:W136" si="48">S127/S$136</f>
        <v>2.7714841880205506E-2</v>
      </c>
      <c r="X127" s="52">
        <f t="shared" si="47"/>
        <v>-103</v>
      </c>
    </row>
    <row r="128" spans="1:24" x14ac:dyDescent="0.2">
      <c r="A128" s="4" t="s">
        <v>13</v>
      </c>
      <c r="B128" s="4">
        <v>2556</v>
      </c>
      <c r="C128" s="4">
        <v>2536</v>
      </c>
      <c r="D128" s="4">
        <v>2894</v>
      </c>
      <c r="E128" s="4">
        <v>2642</v>
      </c>
      <c r="F128" s="4">
        <v>2948</v>
      </c>
      <c r="G128" s="15">
        <v>3416</v>
      </c>
      <c r="H128" s="15">
        <v>4021</v>
      </c>
      <c r="I128" s="15">
        <v>3880</v>
      </c>
      <c r="J128" s="15">
        <v>4136</v>
      </c>
      <c r="K128" s="15">
        <v>3836</v>
      </c>
      <c r="L128" s="15">
        <v>4342</v>
      </c>
      <c r="M128" s="15">
        <v>4148</v>
      </c>
      <c r="N128" s="15">
        <v>3917</v>
      </c>
      <c r="O128" s="15">
        <v>3494</v>
      </c>
      <c r="P128" s="15">
        <v>5044</v>
      </c>
      <c r="Q128" s="15">
        <v>5726</v>
      </c>
      <c r="R128" s="15">
        <v>6120</v>
      </c>
      <c r="S128" s="15">
        <v>7022</v>
      </c>
      <c r="T128" s="88">
        <f t="shared" si="44"/>
        <v>0.6977756286266924</v>
      </c>
      <c r="U128" s="88">
        <f t="shared" si="45"/>
        <v>1.0097309673726389</v>
      </c>
      <c r="V128" s="88">
        <f t="shared" si="46"/>
        <v>0.14738562091503268</v>
      </c>
      <c r="W128" s="90">
        <f t="shared" si="48"/>
        <v>5.6020040208060756E-2</v>
      </c>
      <c r="X128" s="52">
        <f t="shared" si="47"/>
        <v>902</v>
      </c>
    </row>
    <row r="129" spans="1:24" x14ac:dyDescent="0.2">
      <c r="A129" s="4" t="s">
        <v>14</v>
      </c>
      <c r="B129" s="4">
        <v>739</v>
      </c>
      <c r="C129" s="4">
        <v>681</v>
      </c>
      <c r="D129" s="4">
        <v>691</v>
      </c>
      <c r="E129" s="4">
        <v>623</v>
      </c>
      <c r="F129" s="4">
        <v>698</v>
      </c>
      <c r="G129" s="15">
        <v>823</v>
      </c>
      <c r="H129" s="15">
        <v>767</v>
      </c>
      <c r="I129" s="15">
        <v>795</v>
      </c>
      <c r="J129" s="15">
        <v>888</v>
      </c>
      <c r="K129" s="15">
        <v>852</v>
      </c>
      <c r="L129" s="15">
        <v>846</v>
      </c>
      <c r="M129" s="15">
        <v>819</v>
      </c>
      <c r="N129" s="15">
        <v>823</v>
      </c>
      <c r="O129" s="15">
        <v>622</v>
      </c>
      <c r="P129" s="15">
        <v>796</v>
      </c>
      <c r="Q129" s="15">
        <v>1063</v>
      </c>
      <c r="R129" s="15">
        <v>1135</v>
      </c>
      <c r="S129" s="15">
        <v>1160</v>
      </c>
      <c r="T129" s="88">
        <f t="shared" si="44"/>
        <v>0.30630630630630629</v>
      </c>
      <c r="U129" s="88">
        <f t="shared" si="45"/>
        <v>0.864951768488746</v>
      </c>
      <c r="V129" s="88">
        <f t="shared" si="46"/>
        <v>2.2026431718061675E-2</v>
      </c>
      <c r="W129" s="90">
        <f t="shared" si="48"/>
        <v>9.2542362064013794E-3</v>
      </c>
      <c r="X129" s="52">
        <f t="shared" si="47"/>
        <v>25</v>
      </c>
    </row>
    <row r="130" spans="1:24" x14ac:dyDescent="0.2">
      <c r="A130" s="4" t="s">
        <v>15</v>
      </c>
      <c r="B130" s="4">
        <v>6758</v>
      </c>
      <c r="C130" s="4">
        <v>7167</v>
      </c>
      <c r="D130" s="4">
        <v>7642</v>
      </c>
      <c r="E130" s="4">
        <v>6873</v>
      </c>
      <c r="F130" s="4">
        <v>8023</v>
      </c>
      <c r="G130" s="15">
        <v>9149</v>
      </c>
      <c r="H130" s="15">
        <v>10028</v>
      </c>
      <c r="I130" s="15">
        <v>11078</v>
      </c>
      <c r="J130" s="15">
        <v>11719</v>
      </c>
      <c r="K130" s="15">
        <v>11933</v>
      </c>
      <c r="L130" s="15">
        <v>12840</v>
      </c>
      <c r="M130" s="15">
        <v>13397</v>
      </c>
      <c r="N130" s="15">
        <v>12380</v>
      </c>
      <c r="O130" s="15">
        <v>12142</v>
      </c>
      <c r="P130" s="15">
        <v>17403</v>
      </c>
      <c r="Q130" s="15">
        <v>17620</v>
      </c>
      <c r="R130" s="15">
        <v>18168</v>
      </c>
      <c r="S130" s="15">
        <v>18252</v>
      </c>
      <c r="T130" s="88">
        <f t="shared" si="44"/>
        <v>0.55747077395682221</v>
      </c>
      <c r="U130" s="88">
        <f t="shared" si="45"/>
        <v>0.50321199143468953</v>
      </c>
      <c r="V130" s="88">
        <f t="shared" si="46"/>
        <v>4.623513870541612E-3</v>
      </c>
      <c r="W130" s="90">
        <f t="shared" si="48"/>
        <v>0.14561062003382583</v>
      </c>
      <c r="X130" s="52">
        <f t="shared" si="47"/>
        <v>84</v>
      </c>
    </row>
    <row r="131" spans="1:24" x14ac:dyDescent="0.2">
      <c r="A131" s="4" t="s">
        <v>16</v>
      </c>
      <c r="B131" s="4">
        <v>2692</v>
      </c>
      <c r="C131" s="4">
        <v>3438</v>
      </c>
      <c r="D131" s="4">
        <v>3433</v>
      </c>
      <c r="E131" s="4">
        <v>2609</v>
      </c>
      <c r="F131" s="4">
        <v>2587</v>
      </c>
      <c r="G131" s="15">
        <v>2533</v>
      </c>
      <c r="H131" s="15">
        <v>2366</v>
      </c>
      <c r="I131" s="15">
        <v>2346</v>
      </c>
      <c r="J131" s="15">
        <v>2344</v>
      </c>
      <c r="K131" s="15">
        <v>2382</v>
      </c>
      <c r="L131" s="15">
        <v>2629</v>
      </c>
      <c r="M131" s="15">
        <v>2453</v>
      </c>
      <c r="N131" s="15">
        <v>2519</v>
      </c>
      <c r="O131" s="15">
        <v>1813</v>
      </c>
      <c r="P131" s="15">
        <v>2358</v>
      </c>
      <c r="Q131" s="15">
        <v>2657</v>
      </c>
      <c r="R131" s="15">
        <v>3189</v>
      </c>
      <c r="S131" s="15">
        <v>3322</v>
      </c>
      <c r="T131" s="88">
        <f t="shared" si="44"/>
        <v>0.41723549488054607</v>
      </c>
      <c r="U131" s="88">
        <f t="shared" si="45"/>
        <v>0.83232211803640377</v>
      </c>
      <c r="V131" s="88">
        <f t="shared" si="46"/>
        <v>4.1705863907180937E-2</v>
      </c>
      <c r="W131" s="90">
        <f t="shared" si="48"/>
        <v>2.6502217825573604E-2</v>
      </c>
      <c r="X131" s="52">
        <f t="shared" si="47"/>
        <v>133</v>
      </c>
    </row>
    <row r="132" spans="1:24" x14ac:dyDescent="0.2">
      <c r="A132" s="4" t="s">
        <v>17</v>
      </c>
      <c r="B132" s="4">
        <v>12731</v>
      </c>
      <c r="C132" s="4">
        <v>13533</v>
      </c>
      <c r="D132" s="4">
        <v>14800</v>
      </c>
      <c r="E132" s="4">
        <v>14327</v>
      </c>
      <c r="F132" s="4">
        <v>15016</v>
      </c>
      <c r="G132" s="15">
        <v>16491</v>
      </c>
      <c r="H132" s="15">
        <v>19660</v>
      </c>
      <c r="I132" s="15">
        <v>19981</v>
      </c>
      <c r="J132" s="15">
        <v>21404</v>
      </c>
      <c r="K132" s="15">
        <v>21784</v>
      </c>
      <c r="L132" s="15">
        <v>23949</v>
      </c>
      <c r="M132" s="15">
        <v>23651</v>
      </c>
      <c r="N132" s="15">
        <v>25282</v>
      </c>
      <c r="O132" s="15">
        <v>21441</v>
      </c>
      <c r="P132" s="15">
        <v>26366</v>
      </c>
      <c r="Q132" s="15">
        <v>21517</v>
      </c>
      <c r="R132" s="15">
        <v>20143</v>
      </c>
      <c r="S132" s="15">
        <v>17902</v>
      </c>
      <c r="T132" s="88">
        <f t="shared" si="44"/>
        <v>-0.16361427770510184</v>
      </c>
      <c r="U132" s="88">
        <f t="shared" si="45"/>
        <v>-0.16505759992537661</v>
      </c>
      <c r="V132" s="88">
        <f t="shared" si="46"/>
        <v>-0.11125453010971553</v>
      </c>
      <c r="W132" s="90">
        <f t="shared" si="48"/>
        <v>0.14281839359223922</v>
      </c>
      <c r="X132" s="52">
        <f t="shared" si="47"/>
        <v>-2241</v>
      </c>
    </row>
    <row r="133" spans="1:24" x14ac:dyDescent="0.2">
      <c r="A133" s="4" t="s">
        <v>18</v>
      </c>
      <c r="B133" s="4">
        <v>447</v>
      </c>
      <c r="C133" s="4">
        <v>705</v>
      </c>
      <c r="D133" s="4">
        <v>674</v>
      </c>
      <c r="E133" s="4">
        <v>643</v>
      </c>
      <c r="F133" s="4">
        <v>727</v>
      </c>
      <c r="G133" s="15">
        <v>785</v>
      </c>
      <c r="H133" s="15">
        <v>697</v>
      </c>
      <c r="I133" s="15">
        <v>783</v>
      </c>
      <c r="J133" s="15">
        <v>834</v>
      </c>
      <c r="K133" s="15">
        <v>773</v>
      </c>
      <c r="L133" s="15">
        <v>906</v>
      </c>
      <c r="M133" s="15">
        <v>805</v>
      </c>
      <c r="N133" s="15">
        <v>835</v>
      </c>
      <c r="O133" s="15">
        <v>813</v>
      </c>
      <c r="P133" s="15">
        <v>949</v>
      </c>
      <c r="Q133" s="15">
        <v>885</v>
      </c>
      <c r="R133" s="15">
        <v>1004</v>
      </c>
      <c r="S133" s="15">
        <v>671</v>
      </c>
      <c r="T133" s="88">
        <f t="shared" si="44"/>
        <v>-0.19544364508393286</v>
      </c>
      <c r="U133" s="88">
        <f t="shared" si="45"/>
        <v>-0.17466174661746617</v>
      </c>
      <c r="V133" s="88">
        <f t="shared" si="46"/>
        <v>-0.33167330677290835</v>
      </c>
      <c r="W133" s="90">
        <f t="shared" si="48"/>
        <v>5.3530969780132111E-3</v>
      </c>
      <c r="X133" s="52">
        <f t="shared" si="47"/>
        <v>-333</v>
      </c>
    </row>
    <row r="134" spans="1:24" x14ac:dyDescent="0.2">
      <c r="A134" s="4" t="s">
        <v>19</v>
      </c>
      <c r="B134" s="4">
        <v>7323</v>
      </c>
      <c r="C134" s="4">
        <v>12764</v>
      </c>
      <c r="D134" s="4">
        <v>12696</v>
      </c>
      <c r="E134" s="4">
        <v>12262</v>
      </c>
      <c r="F134" s="4">
        <v>16979</v>
      </c>
      <c r="G134" s="15">
        <v>20507</v>
      </c>
      <c r="H134" s="15">
        <v>23601</v>
      </c>
      <c r="I134" s="15">
        <v>25319</v>
      </c>
      <c r="J134" s="15">
        <v>27439</v>
      </c>
      <c r="K134" s="15">
        <v>28821</v>
      </c>
      <c r="L134" s="15">
        <v>28761</v>
      </c>
      <c r="M134" s="15">
        <v>29720</v>
      </c>
      <c r="N134" s="15">
        <v>27980</v>
      </c>
      <c r="O134" s="15">
        <v>15658</v>
      </c>
      <c r="P134" s="15">
        <v>35444</v>
      </c>
      <c r="Q134" s="15">
        <v>34850</v>
      </c>
      <c r="R134" s="15">
        <v>34721</v>
      </c>
      <c r="S134" s="15">
        <v>32867</v>
      </c>
      <c r="T134" s="88">
        <f t="shared" si="44"/>
        <v>0.19782062028499581</v>
      </c>
      <c r="U134" s="88">
        <f t="shared" si="45"/>
        <v>1.0990547962702772</v>
      </c>
      <c r="V134" s="88">
        <f t="shared" si="46"/>
        <v>-5.339707957720112E-2</v>
      </c>
      <c r="W134" s="90">
        <f t="shared" si="48"/>
        <v>0.26220601844465008</v>
      </c>
      <c r="X134" s="52">
        <f t="shared" si="47"/>
        <v>-1854</v>
      </c>
    </row>
    <row r="135" spans="1:24" x14ac:dyDescent="0.2">
      <c r="A135" s="4" t="s">
        <v>20</v>
      </c>
      <c r="B135" s="4">
        <v>4069</v>
      </c>
      <c r="C135" s="4">
        <v>3862</v>
      </c>
      <c r="D135" s="4">
        <v>4405</v>
      </c>
      <c r="E135" s="4">
        <v>4334</v>
      </c>
      <c r="F135" s="4">
        <v>5094</v>
      </c>
      <c r="G135" s="15">
        <v>6491</v>
      </c>
      <c r="H135" s="15">
        <v>8197</v>
      </c>
      <c r="I135" s="15">
        <v>9877</v>
      </c>
      <c r="J135" s="15">
        <v>12606</v>
      </c>
      <c r="K135" s="15">
        <v>13847</v>
      </c>
      <c r="L135" s="15">
        <v>13818</v>
      </c>
      <c r="M135" s="15">
        <v>13216</v>
      </c>
      <c r="N135" s="15">
        <v>10829</v>
      </c>
      <c r="O135" s="15">
        <v>8631</v>
      </c>
      <c r="P135" s="15">
        <v>10334</v>
      </c>
      <c r="Q135" s="15">
        <v>10625</v>
      </c>
      <c r="R135" s="15">
        <v>11120</v>
      </c>
      <c r="S135" s="15">
        <v>11204</v>
      </c>
      <c r="T135" s="88">
        <f t="shared" si="44"/>
        <v>-0.11121688085038871</v>
      </c>
      <c r="U135" s="88">
        <f t="shared" si="45"/>
        <v>0.29811145869540029</v>
      </c>
      <c r="V135" s="88">
        <f t="shared" si="46"/>
        <v>7.5539568345323743E-3</v>
      </c>
      <c r="W135" s="90">
        <f t="shared" si="48"/>
        <v>8.9383157290104348E-2</v>
      </c>
      <c r="X135" s="52">
        <f t="shared" si="47"/>
        <v>84</v>
      </c>
    </row>
    <row r="136" spans="1:24" x14ac:dyDescent="0.2">
      <c r="A136" s="5" t="s">
        <v>4</v>
      </c>
      <c r="B136" s="5">
        <v>46857</v>
      </c>
      <c r="C136" s="5">
        <v>54740</v>
      </c>
      <c r="D136" s="5">
        <v>58511</v>
      </c>
      <c r="E136" s="5">
        <v>55760</v>
      </c>
      <c r="F136" s="5">
        <v>65986</v>
      </c>
      <c r="G136" s="5">
        <v>76782</v>
      </c>
      <c r="H136" s="5">
        <v>88886</v>
      </c>
      <c r="I136" s="5">
        <v>95987</v>
      </c>
      <c r="J136" s="5">
        <v>105400</v>
      </c>
      <c r="K136" s="5">
        <v>111709</v>
      </c>
      <c r="L136" s="5">
        <v>116510</v>
      </c>
      <c r="M136" s="5">
        <v>118256</v>
      </c>
      <c r="N136" s="5">
        <v>114481</v>
      </c>
      <c r="O136" s="5">
        <v>91142</v>
      </c>
      <c r="P136" s="5">
        <v>132818</v>
      </c>
      <c r="Q136" s="5">
        <v>128765</v>
      </c>
      <c r="R136" s="5">
        <v>129729</v>
      </c>
      <c r="S136" s="66">
        <v>125348</v>
      </c>
      <c r="T136" s="89">
        <f t="shared" si="44"/>
        <v>0.18925996204933587</v>
      </c>
      <c r="U136" s="89">
        <f t="shared" si="45"/>
        <v>0.37530446994799327</v>
      </c>
      <c r="V136" s="89">
        <f t="shared" si="46"/>
        <v>-3.3770398291823725E-2</v>
      </c>
      <c r="W136" s="91">
        <f t="shared" si="48"/>
        <v>1</v>
      </c>
      <c r="X136" s="53">
        <f t="shared" si="47"/>
        <v>-4381</v>
      </c>
    </row>
    <row r="137" spans="1:24" x14ac:dyDescent="0.2">
      <c r="A137" s="63"/>
      <c r="B137" s="63"/>
      <c r="C137" s="63"/>
      <c r="D137" s="63"/>
      <c r="E137" s="63"/>
      <c r="F137" s="63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</row>
    <row r="138" spans="1:24" ht="15.75" x14ac:dyDescent="0.2">
      <c r="A138" s="32" t="s">
        <v>470</v>
      </c>
      <c r="B138" s="32"/>
      <c r="C138" s="32"/>
      <c r="D138" s="32"/>
      <c r="E138" s="32"/>
      <c r="F138" s="32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</row>
    <row r="139" spans="1:24" ht="25.5" x14ac:dyDescent="0.2">
      <c r="A139" s="73" t="s">
        <v>10</v>
      </c>
      <c r="B139" s="3">
        <v>2007</v>
      </c>
      <c r="C139" s="3">
        <v>2008</v>
      </c>
      <c r="D139" s="3">
        <v>2009</v>
      </c>
      <c r="E139" s="3">
        <v>2010</v>
      </c>
      <c r="F139" s="3">
        <v>2011</v>
      </c>
      <c r="G139" s="3">
        <v>2012</v>
      </c>
      <c r="H139" s="3">
        <v>2013</v>
      </c>
      <c r="I139" s="3">
        <v>2014</v>
      </c>
      <c r="J139" s="3">
        <v>2015</v>
      </c>
      <c r="K139" s="3">
        <v>2016</v>
      </c>
      <c r="L139" s="3">
        <v>2017</v>
      </c>
      <c r="M139" s="3">
        <v>2018</v>
      </c>
      <c r="N139" s="3">
        <v>2019</v>
      </c>
      <c r="O139" s="3">
        <v>2020</v>
      </c>
      <c r="P139" s="3">
        <v>2021</v>
      </c>
      <c r="Q139" s="3">
        <v>2022</v>
      </c>
      <c r="R139" s="3">
        <v>2023</v>
      </c>
      <c r="S139" s="3">
        <v>2024</v>
      </c>
      <c r="T139" s="12" t="s">
        <v>368</v>
      </c>
      <c r="U139" s="12" t="s">
        <v>369</v>
      </c>
      <c r="V139" s="12" t="s">
        <v>370</v>
      </c>
      <c r="W139" s="12" t="s">
        <v>372</v>
      </c>
      <c r="X139" s="169" t="s">
        <v>494</v>
      </c>
    </row>
    <row r="140" spans="1:24" x14ac:dyDescent="0.2">
      <c r="A140" s="4" t="s">
        <v>11</v>
      </c>
      <c r="B140" s="4">
        <v>7492</v>
      </c>
      <c r="C140" s="4">
        <v>7541</v>
      </c>
      <c r="D140" s="4">
        <v>8026</v>
      </c>
      <c r="E140" s="4">
        <v>8167</v>
      </c>
      <c r="F140" s="4">
        <v>9618</v>
      </c>
      <c r="G140" s="15">
        <v>10886</v>
      </c>
      <c r="H140" s="15">
        <v>12514</v>
      </c>
      <c r="I140" s="15">
        <v>14036</v>
      </c>
      <c r="J140" s="15">
        <v>15529</v>
      </c>
      <c r="K140" s="15">
        <v>16383</v>
      </c>
      <c r="L140" s="15">
        <v>17778</v>
      </c>
      <c r="M140" s="15">
        <v>18851</v>
      </c>
      <c r="N140" s="15">
        <v>18473</v>
      </c>
      <c r="O140" s="15">
        <v>16546</v>
      </c>
      <c r="P140" s="15">
        <v>21126</v>
      </c>
      <c r="Q140" s="15">
        <v>21062</v>
      </c>
      <c r="R140" s="15">
        <v>21119</v>
      </c>
      <c r="S140" s="15">
        <v>20902</v>
      </c>
      <c r="T140" s="88">
        <f t="shared" ref="T140:T150" si="49">(S140-J140)/J140</f>
        <v>0.34599781054800693</v>
      </c>
      <c r="U140" s="88">
        <f t="shared" ref="U140:U150" si="50">(S140-O140)/O140</f>
        <v>0.26326604617430194</v>
      </c>
      <c r="V140" s="88">
        <f t="shared" ref="V140:V150" si="51">(S140-R140)/R140</f>
        <v>-1.0275107722903546E-2</v>
      </c>
      <c r="W140" s="90">
        <f>S140/S$150</f>
        <v>0.21013793380785781</v>
      </c>
      <c r="X140" s="52">
        <f t="shared" ref="X140:X150" si="52">S140-R140</f>
        <v>-217</v>
      </c>
    </row>
    <row r="141" spans="1:24" x14ac:dyDescent="0.2">
      <c r="A141" s="4" t="s">
        <v>12</v>
      </c>
      <c r="B141" s="4">
        <v>1635</v>
      </c>
      <c r="C141" s="4">
        <v>1942</v>
      </c>
      <c r="D141" s="4">
        <v>1862</v>
      </c>
      <c r="E141" s="4">
        <v>1684</v>
      </c>
      <c r="F141" s="4">
        <v>1833</v>
      </c>
      <c r="G141" s="15">
        <v>1939</v>
      </c>
      <c r="H141" s="15">
        <v>2007</v>
      </c>
      <c r="I141" s="15">
        <v>2134</v>
      </c>
      <c r="J141" s="15">
        <v>2130</v>
      </c>
      <c r="K141" s="15">
        <v>2147</v>
      </c>
      <c r="L141" s="15">
        <v>2074</v>
      </c>
      <c r="M141" s="15">
        <v>2016</v>
      </c>
      <c r="N141" s="15">
        <v>1991</v>
      </c>
      <c r="O141" s="15">
        <v>1586</v>
      </c>
      <c r="P141" s="15">
        <v>2209</v>
      </c>
      <c r="Q141" s="15">
        <v>2399</v>
      </c>
      <c r="R141" s="15">
        <v>2772</v>
      </c>
      <c r="S141" s="15">
        <v>2558</v>
      </c>
      <c r="T141" s="88">
        <f t="shared" si="49"/>
        <v>0.20093896713615023</v>
      </c>
      <c r="U141" s="88">
        <f t="shared" si="50"/>
        <v>0.61286254728877676</v>
      </c>
      <c r="V141" s="88">
        <f t="shared" si="51"/>
        <v>-7.72005772005772E-2</v>
      </c>
      <c r="W141" s="90">
        <f t="shared" ref="W141:W150" si="53">S141/S$150</f>
        <v>2.5716813447540919E-2</v>
      </c>
      <c r="X141" s="52">
        <f t="shared" si="52"/>
        <v>-214</v>
      </c>
    </row>
    <row r="142" spans="1:24" x14ac:dyDescent="0.2">
      <c r="A142" s="4" t="s">
        <v>13</v>
      </c>
      <c r="B142" s="4">
        <v>2431</v>
      </c>
      <c r="C142" s="4">
        <v>2506</v>
      </c>
      <c r="D142" s="4">
        <v>2783</v>
      </c>
      <c r="E142" s="4">
        <v>2604</v>
      </c>
      <c r="F142" s="4">
        <v>2983</v>
      </c>
      <c r="G142" s="15">
        <v>2993</v>
      </c>
      <c r="H142" s="15">
        <v>3404</v>
      </c>
      <c r="I142" s="15">
        <v>3353</v>
      </c>
      <c r="J142" s="15">
        <v>3218</v>
      </c>
      <c r="K142" s="15">
        <v>2986</v>
      </c>
      <c r="L142" s="15">
        <v>3130</v>
      </c>
      <c r="M142" s="15">
        <v>3086</v>
      </c>
      <c r="N142" s="15">
        <v>2730</v>
      </c>
      <c r="O142" s="15">
        <v>2329</v>
      </c>
      <c r="P142" s="15">
        <v>3357</v>
      </c>
      <c r="Q142" s="15">
        <v>3378</v>
      </c>
      <c r="R142" s="15">
        <v>3621</v>
      </c>
      <c r="S142" s="15">
        <v>3536</v>
      </c>
      <c r="T142" s="88">
        <f t="shared" si="49"/>
        <v>9.881914232442511E-2</v>
      </c>
      <c r="U142" s="88">
        <f t="shared" si="50"/>
        <v>0.51824817518248179</v>
      </c>
      <c r="V142" s="88">
        <f t="shared" si="51"/>
        <v>-2.3474178403755867E-2</v>
      </c>
      <c r="W142" s="90">
        <f t="shared" si="53"/>
        <v>3.5549121325451405E-2</v>
      </c>
      <c r="X142" s="52">
        <f t="shared" si="52"/>
        <v>-85</v>
      </c>
    </row>
    <row r="143" spans="1:24" x14ac:dyDescent="0.2">
      <c r="A143" s="4" t="s">
        <v>14</v>
      </c>
      <c r="B143" s="4">
        <v>660</v>
      </c>
      <c r="C143" s="4">
        <v>712</v>
      </c>
      <c r="D143" s="4">
        <v>691</v>
      </c>
      <c r="E143" s="4">
        <v>661</v>
      </c>
      <c r="F143" s="4">
        <v>700</v>
      </c>
      <c r="G143" s="15">
        <v>774</v>
      </c>
      <c r="H143" s="15">
        <v>738</v>
      </c>
      <c r="I143" s="15">
        <v>892</v>
      </c>
      <c r="J143" s="15">
        <v>1020</v>
      </c>
      <c r="K143" s="15">
        <v>1046</v>
      </c>
      <c r="L143" s="15">
        <v>1051</v>
      </c>
      <c r="M143" s="15">
        <v>1009</v>
      </c>
      <c r="N143" s="15">
        <v>1079</v>
      </c>
      <c r="O143" s="15">
        <v>929</v>
      </c>
      <c r="P143" s="15">
        <v>1142</v>
      </c>
      <c r="Q143" s="15">
        <v>1384</v>
      </c>
      <c r="R143" s="15">
        <v>1556</v>
      </c>
      <c r="S143" s="15">
        <v>1469</v>
      </c>
      <c r="T143" s="88">
        <f t="shared" si="49"/>
        <v>0.44019607843137254</v>
      </c>
      <c r="U143" s="88">
        <f t="shared" si="50"/>
        <v>0.58127018299246502</v>
      </c>
      <c r="V143" s="88">
        <f t="shared" si="51"/>
        <v>-5.5912596401028275E-2</v>
      </c>
      <c r="W143" s="90">
        <f t="shared" si="53"/>
        <v>1.4768568785941207E-2</v>
      </c>
      <c r="X143" s="52">
        <f t="shared" si="52"/>
        <v>-87</v>
      </c>
    </row>
    <row r="144" spans="1:24" x14ac:dyDescent="0.2">
      <c r="A144" s="4" t="s">
        <v>15</v>
      </c>
      <c r="B144" s="4">
        <v>2644</v>
      </c>
      <c r="C144" s="4">
        <v>3067</v>
      </c>
      <c r="D144" s="4">
        <v>3357</v>
      </c>
      <c r="E144" s="4">
        <v>3085</v>
      </c>
      <c r="F144" s="4">
        <v>3547</v>
      </c>
      <c r="G144" s="15">
        <v>3916</v>
      </c>
      <c r="H144" s="15">
        <v>4465</v>
      </c>
      <c r="I144" s="15">
        <v>4703</v>
      </c>
      <c r="J144" s="15">
        <v>5076</v>
      </c>
      <c r="K144" s="15">
        <v>4921</v>
      </c>
      <c r="L144" s="15">
        <v>5164</v>
      </c>
      <c r="M144" s="15">
        <v>4954</v>
      </c>
      <c r="N144" s="15">
        <v>4783</v>
      </c>
      <c r="O144" s="15">
        <v>4520</v>
      </c>
      <c r="P144" s="15">
        <v>6308</v>
      </c>
      <c r="Q144" s="15">
        <v>6537</v>
      </c>
      <c r="R144" s="15">
        <v>6807</v>
      </c>
      <c r="S144" s="15">
        <v>6593</v>
      </c>
      <c r="T144" s="88">
        <f t="shared" si="49"/>
        <v>0.29885736800630419</v>
      </c>
      <c r="U144" s="88">
        <f t="shared" si="50"/>
        <v>0.45862831858407077</v>
      </c>
      <c r="V144" s="88">
        <f t="shared" si="51"/>
        <v>-3.1438225356250918E-2</v>
      </c>
      <c r="W144" s="90">
        <f t="shared" si="53"/>
        <v>6.6282623557324963E-2</v>
      </c>
      <c r="X144" s="52">
        <f t="shared" si="52"/>
        <v>-214</v>
      </c>
    </row>
    <row r="145" spans="1:24" x14ac:dyDescent="0.2">
      <c r="A145" s="4" t="s">
        <v>16</v>
      </c>
      <c r="B145" s="4">
        <v>1838</v>
      </c>
      <c r="C145" s="4">
        <v>2156</v>
      </c>
      <c r="D145" s="4">
        <v>2409</v>
      </c>
      <c r="E145" s="4">
        <v>1944</v>
      </c>
      <c r="F145" s="4">
        <v>1972</v>
      </c>
      <c r="G145" s="15">
        <v>1763</v>
      </c>
      <c r="H145" s="15">
        <v>1786</v>
      </c>
      <c r="I145" s="15">
        <v>2052</v>
      </c>
      <c r="J145" s="15">
        <v>1952</v>
      </c>
      <c r="K145" s="15">
        <v>2013</v>
      </c>
      <c r="L145" s="15">
        <v>2332</v>
      </c>
      <c r="M145" s="15">
        <v>2002</v>
      </c>
      <c r="N145" s="15">
        <v>2028</v>
      </c>
      <c r="O145" s="15">
        <v>1524</v>
      </c>
      <c r="P145" s="15">
        <v>1940</v>
      </c>
      <c r="Q145" s="15">
        <v>2030</v>
      </c>
      <c r="R145" s="15">
        <v>2483</v>
      </c>
      <c r="S145" s="15">
        <v>2443</v>
      </c>
      <c r="T145" s="88">
        <f t="shared" si="49"/>
        <v>0.25153688524590162</v>
      </c>
      <c r="U145" s="88">
        <f t="shared" si="50"/>
        <v>0.60301837270341208</v>
      </c>
      <c r="V145" s="88">
        <f t="shared" si="51"/>
        <v>-1.6109544905356425E-2</v>
      </c>
      <c r="W145" s="90">
        <f t="shared" si="53"/>
        <v>2.4560662725700729E-2</v>
      </c>
      <c r="X145" s="52">
        <f t="shared" si="52"/>
        <v>-40</v>
      </c>
    </row>
    <row r="146" spans="1:24" x14ac:dyDescent="0.2">
      <c r="A146" s="4" t="s">
        <v>17</v>
      </c>
      <c r="B146" s="4">
        <v>4133</v>
      </c>
      <c r="C146" s="4">
        <v>4361</v>
      </c>
      <c r="D146" s="4">
        <v>5173</v>
      </c>
      <c r="E146" s="4">
        <v>5250</v>
      </c>
      <c r="F146" s="4">
        <v>5265</v>
      </c>
      <c r="G146" s="15">
        <v>6060</v>
      </c>
      <c r="H146" s="15">
        <v>6310</v>
      </c>
      <c r="I146" s="15">
        <v>6617</v>
      </c>
      <c r="J146" s="15">
        <v>6735</v>
      </c>
      <c r="K146" s="15">
        <v>6522</v>
      </c>
      <c r="L146" s="15">
        <v>6278</v>
      </c>
      <c r="M146" s="15">
        <v>5508</v>
      </c>
      <c r="N146" s="15">
        <v>5946</v>
      </c>
      <c r="O146" s="15">
        <v>4279</v>
      </c>
      <c r="P146" s="15">
        <v>5549</v>
      </c>
      <c r="Q146" s="15">
        <v>5592</v>
      </c>
      <c r="R146" s="15">
        <v>5568</v>
      </c>
      <c r="S146" s="15">
        <v>5082</v>
      </c>
      <c r="T146" s="88">
        <f t="shared" si="49"/>
        <v>-0.24543429844097994</v>
      </c>
      <c r="U146" s="88">
        <f t="shared" si="50"/>
        <v>0.18766066838046272</v>
      </c>
      <c r="V146" s="88">
        <f t="shared" si="51"/>
        <v>-8.7284482758620691E-2</v>
      </c>
      <c r="W146" s="90">
        <f t="shared" si="53"/>
        <v>5.1091808420798648E-2</v>
      </c>
      <c r="X146" s="52">
        <f t="shared" si="52"/>
        <v>-486</v>
      </c>
    </row>
    <row r="147" spans="1:24" x14ac:dyDescent="0.2">
      <c r="A147" s="4" t="s">
        <v>18</v>
      </c>
      <c r="B147" s="4">
        <v>216</v>
      </c>
      <c r="C147" s="4">
        <v>289</v>
      </c>
      <c r="D147" s="4">
        <v>383</v>
      </c>
      <c r="E147" s="4">
        <v>393</v>
      </c>
      <c r="F147" s="4">
        <v>387</v>
      </c>
      <c r="G147" s="15">
        <v>406</v>
      </c>
      <c r="H147" s="15">
        <v>410</v>
      </c>
      <c r="I147" s="15">
        <v>430</v>
      </c>
      <c r="J147" s="15">
        <v>533</v>
      </c>
      <c r="K147" s="15">
        <v>438</v>
      </c>
      <c r="L147" s="15">
        <v>478</v>
      </c>
      <c r="M147" s="15">
        <v>448</v>
      </c>
      <c r="N147" s="15">
        <v>507</v>
      </c>
      <c r="O147" s="15">
        <v>398</v>
      </c>
      <c r="P147" s="15">
        <v>525</v>
      </c>
      <c r="Q147" s="15">
        <v>512</v>
      </c>
      <c r="R147" s="15">
        <v>524</v>
      </c>
      <c r="S147" s="15">
        <v>414</v>
      </c>
      <c r="T147" s="88">
        <f t="shared" si="49"/>
        <v>-0.22326454033771106</v>
      </c>
      <c r="U147" s="88">
        <f t="shared" si="50"/>
        <v>4.0201005025125629E-2</v>
      </c>
      <c r="V147" s="88">
        <f t="shared" si="51"/>
        <v>-0.20992366412213739</v>
      </c>
      <c r="W147" s="90">
        <f t="shared" si="53"/>
        <v>4.1621425986246834E-3</v>
      </c>
      <c r="X147" s="52">
        <f t="shared" si="52"/>
        <v>-110</v>
      </c>
    </row>
    <row r="148" spans="1:24" x14ac:dyDescent="0.2">
      <c r="A148" s="4" t="s">
        <v>19</v>
      </c>
      <c r="B148" s="4">
        <v>2371</v>
      </c>
      <c r="C148" s="4">
        <v>3363</v>
      </c>
      <c r="D148" s="4">
        <v>3557</v>
      </c>
      <c r="E148" s="4">
        <v>3435</v>
      </c>
      <c r="F148" s="4">
        <v>4454</v>
      </c>
      <c r="G148" s="15">
        <v>5282</v>
      </c>
      <c r="H148" s="15">
        <v>6237</v>
      </c>
      <c r="I148" s="15">
        <v>6883</v>
      </c>
      <c r="J148" s="15">
        <v>7315</v>
      </c>
      <c r="K148" s="15">
        <v>7299</v>
      </c>
      <c r="L148" s="15">
        <v>7520</v>
      </c>
      <c r="M148" s="15">
        <v>7599</v>
      </c>
      <c r="N148" s="15">
        <v>7564</v>
      </c>
      <c r="O148" s="15">
        <v>3578</v>
      </c>
      <c r="P148" s="15">
        <v>9312</v>
      </c>
      <c r="Q148" s="15">
        <v>9532</v>
      </c>
      <c r="R148" s="15">
        <v>9338</v>
      </c>
      <c r="S148" s="15">
        <v>8802</v>
      </c>
      <c r="T148" s="88">
        <f t="shared" si="49"/>
        <v>0.20328092959671906</v>
      </c>
      <c r="U148" s="88">
        <f t="shared" si="50"/>
        <v>1.4600335382895473</v>
      </c>
      <c r="V148" s="88">
        <f t="shared" si="51"/>
        <v>-5.7399871492825015E-2</v>
      </c>
      <c r="W148" s="90">
        <f t="shared" si="53"/>
        <v>8.8490770901194352E-2</v>
      </c>
      <c r="X148" s="52">
        <f t="shared" si="52"/>
        <v>-536</v>
      </c>
    </row>
    <row r="149" spans="1:24" x14ac:dyDescent="0.2">
      <c r="A149" s="4" t="s">
        <v>20</v>
      </c>
      <c r="B149" s="4">
        <v>16849</v>
      </c>
      <c r="C149" s="4">
        <v>17345</v>
      </c>
      <c r="D149" s="4">
        <v>19378</v>
      </c>
      <c r="E149" s="4">
        <v>19181</v>
      </c>
      <c r="F149" s="4">
        <v>21587</v>
      </c>
      <c r="G149" s="15">
        <v>24920</v>
      </c>
      <c r="H149" s="15">
        <v>30234</v>
      </c>
      <c r="I149" s="15">
        <v>34561</v>
      </c>
      <c r="J149" s="15">
        <v>40178</v>
      </c>
      <c r="K149" s="15">
        <v>42104</v>
      </c>
      <c r="L149" s="15">
        <v>44239</v>
      </c>
      <c r="M149" s="15">
        <v>45293</v>
      </c>
      <c r="N149" s="15">
        <v>41560</v>
      </c>
      <c r="O149" s="15">
        <v>34059</v>
      </c>
      <c r="P149" s="15">
        <v>44405</v>
      </c>
      <c r="Q149" s="15">
        <v>44744</v>
      </c>
      <c r="R149" s="15">
        <v>47651</v>
      </c>
      <c r="S149" s="15">
        <v>47669</v>
      </c>
      <c r="T149" s="88">
        <f t="shared" si="49"/>
        <v>0.18644531833341629</v>
      </c>
      <c r="U149" s="88">
        <f t="shared" si="50"/>
        <v>0.39960069291523531</v>
      </c>
      <c r="V149" s="88">
        <f t="shared" si="51"/>
        <v>3.7774653207697638E-4</v>
      </c>
      <c r="W149" s="90">
        <f t="shared" si="53"/>
        <v>0.47923955442956528</v>
      </c>
      <c r="X149" s="52">
        <f t="shared" si="52"/>
        <v>18</v>
      </c>
    </row>
    <row r="150" spans="1:24" x14ac:dyDescent="0.2">
      <c r="A150" s="5" t="s">
        <v>4</v>
      </c>
      <c r="B150" s="5">
        <v>40269</v>
      </c>
      <c r="C150" s="5">
        <v>43282</v>
      </c>
      <c r="D150" s="5">
        <v>47619</v>
      </c>
      <c r="E150" s="5">
        <v>46404</v>
      </c>
      <c r="F150" s="5">
        <v>52346</v>
      </c>
      <c r="G150" s="5">
        <v>58939</v>
      </c>
      <c r="H150" s="5">
        <v>68105</v>
      </c>
      <c r="I150" s="5">
        <v>75661</v>
      </c>
      <c r="J150" s="5">
        <v>83686</v>
      </c>
      <c r="K150" s="5">
        <v>85859</v>
      </c>
      <c r="L150" s="5">
        <v>90044</v>
      </c>
      <c r="M150" s="5">
        <v>90766</v>
      </c>
      <c r="N150" s="5">
        <v>86661</v>
      </c>
      <c r="O150" s="5">
        <v>69748</v>
      </c>
      <c r="P150" s="5">
        <v>95873</v>
      </c>
      <c r="Q150" s="5">
        <v>97170</v>
      </c>
      <c r="R150" s="5">
        <v>101439</v>
      </c>
      <c r="S150" s="66">
        <v>99468</v>
      </c>
      <c r="T150" s="89">
        <f t="shared" si="49"/>
        <v>0.18858590445235762</v>
      </c>
      <c r="U150" s="89">
        <f t="shared" si="50"/>
        <v>0.42610540804037395</v>
      </c>
      <c r="V150" s="89">
        <f t="shared" si="51"/>
        <v>-1.9430396593026349E-2</v>
      </c>
      <c r="W150" s="91">
        <f t="shared" si="53"/>
        <v>1</v>
      </c>
      <c r="X150" s="53">
        <f t="shared" si="52"/>
        <v>-1971</v>
      </c>
    </row>
    <row r="151" spans="1:24" x14ac:dyDescent="0.2">
      <c r="A151" s="134"/>
      <c r="B151" s="134"/>
      <c r="C151" s="134"/>
      <c r="D151" s="134"/>
      <c r="E151" s="134"/>
      <c r="F151" s="134"/>
      <c r="G151" s="134"/>
      <c r="H151" s="134"/>
      <c r="I151" s="134"/>
      <c r="J151" s="134"/>
      <c r="K151" s="134"/>
      <c r="L151" s="134"/>
      <c r="M151" s="134"/>
      <c r="N151" s="134"/>
      <c r="O151" s="134"/>
      <c r="P151" s="134"/>
      <c r="Q151" s="134"/>
      <c r="R151" s="134"/>
      <c r="S151" s="134"/>
      <c r="T151" s="135"/>
      <c r="U151" s="135"/>
      <c r="V151" s="135"/>
      <c r="W151" s="135"/>
      <c r="X151" s="135"/>
    </row>
    <row r="152" spans="1:24" ht="15.75" x14ac:dyDescent="0.2">
      <c r="A152" s="32" t="s">
        <v>465</v>
      </c>
      <c r="B152" s="32"/>
      <c r="C152" s="32"/>
      <c r="D152" s="32"/>
      <c r="E152" s="32"/>
      <c r="F152" s="32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</row>
    <row r="153" spans="1:24" ht="27" customHeight="1" x14ac:dyDescent="0.2">
      <c r="A153" s="73" t="s">
        <v>10</v>
      </c>
      <c r="B153" s="3">
        <v>2007</v>
      </c>
      <c r="C153" s="3">
        <v>2008</v>
      </c>
      <c r="D153" s="3">
        <v>2009</v>
      </c>
      <c r="E153" s="3">
        <v>2010</v>
      </c>
      <c r="F153" s="3">
        <v>2011</v>
      </c>
      <c r="G153" s="3">
        <v>2012</v>
      </c>
      <c r="H153" s="3">
        <v>2013</v>
      </c>
      <c r="I153" s="3">
        <v>2014</v>
      </c>
      <c r="J153" s="3">
        <v>2015</v>
      </c>
      <c r="K153" s="3">
        <v>2016</v>
      </c>
      <c r="L153" s="3">
        <v>2017</v>
      </c>
      <c r="M153" s="3">
        <v>2018</v>
      </c>
      <c r="N153" s="3">
        <v>2019</v>
      </c>
      <c r="O153" s="3">
        <v>2020</v>
      </c>
      <c r="P153" s="3">
        <v>2021</v>
      </c>
      <c r="Q153" s="3">
        <v>2022</v>
      </c>
      <c r="R153" s="3">
        <v>2023</v>
      </c>
      <c r="S153" s="3">
        <v>2024</v>
      </c>
      <c r="T153" s="12" t="s">
        <v>368</v>
      </c>
      <c r="U153" s="12" t="s">
        <v>369</v>
      </c>
      <c r="V153" s="12" t="s">
        <v>370</v>
      </c>
      <c r="W153" s="12" t="s">
        <v>372</v>
      </c>
      <c r="X153" s="169" t="s">
        <v>494</v>
      </c>
    </row>
    <row r="154" spans="1:24" x14ac:dyDescent="0.2">
      <c r="A154" s="4" t="s">
        <v>446</v>
      </c>
      <c r="B154" s="4">
        <v>19538</v>
      </c>
      <c r="C154" s="4">
        <v>21328</v>
      </c>
      <c r="D154" s="4">
        <v>23188</v>
      </c>
      <c r="E154" s="4">
        <v>22336</v>
      </c>
      <c r="F154" s="4">
        <v>26232</v>
      </c>
      <c r="G154" s="15">
        <v>29515</v>
      </c>
      <c r="H154" s="15">
        <v>33763</v>
      </c>
      <c r="I154" s="15">
        <v>37390</v>
      </c>
      <c r="J154" s="15">
        <v>41091</v>
      </c>
      <c r="K154" s="15">
        <v>45169</v>
      </c>
      <c r="L154" s="15">
        <v>46912</v>
      </c>
      <c r="M154" s="15">
        <v>48376</v>
      </c>
      <c r="N154" s="15">
        <v>47344</v>
      </c>
      <c r="O154" s="15">
        <v>43808</v>
      </c>
      <c r="P154" s="15">
        <v>54524</v>
      </c>
      <c r="Q154" s="15">
        <v>53293</v>
      </c>
      <c r="R154" s="15">
        <v>54485</v>
      </c>
      <c r="S154" s="15">
        <v>53272</v>
      </c>
      <c r="T154" s="88">
        <f t="shared" ref="T154:T164" si="54">(S154-J154)/J154</f>
        <v>0.29643960964688132</v>
      </c>
      <c r="U154" s="88">
        <f t="shared" ref="U154:U164" si="55">(S154-O154)/O154</f>
        <v>0.21603360116873629</v>
      </c>
      <c r="V154" s="88">
        <f t="shared" ref="V154:V164" si="56">(S154-R154)/R154</f>
        <v>-2.2263008167385519E-2</v>
      </c>
      <c r="W154" s="90">
        <f t="shared" ref="W154:W164" si="57">S154/S$9</f>
        <v>0.23695716960905983</v>
      </c>
      <c r="X154" s="52">
        <f t="shared" ref="X154:X164" si="58">S154-R154</f>
        <v>-1213</v>
      </c>
    </row>
    <row r="155" spans="1:24" x14ac:dyDescent="0.2">
      <c r="A155" s="4" t="s">
        <v>447</v>
      </c>
      <c r="B155" s="4">
        <v>2782</v>
      </c>
      <c r="C155" s="4">
        <v>3377</v>
      </c>
      <c r="D155" s="4">
        <v>3242</v>
      </c>
      <c r="E155" s="4">
        <v>3033</v>
      </c>
      <c r="F155" s="4">
        <v>3191</v>
      </c>
      <c r="G155" s="15">
        <v>3538</v>
      </c>
      <c r="H155" s="15">
        <v>3712</v>
      </c>
      <c r="I155" s="15">
        <v>3978</v>
      </c>
      <c r="J155" s="15">
        <v>4016</v>
      </c>
      <c r="K155" s="15">
        <v>4015</v>
      </c>
      <c r="L155" s="15">
        <v>3917</v>
      </c>
      <c r="M155" s="15">
        <v>3854</v>
      </c>
      <c r="N155" s="15">
        <v>3919</v>
      </c>
      <c r="O155" s="15">
        <v>3102</v>
      </c>
      <c r="P155" s="15">
        <v>4836</v>
      </c>
      <c r="Q155" s="15">
        <v>5202</v>
      </c>
      <c r="R155" s="15">
        <v>6322</v>
      </c>
      <c r="S155" s="15">
        <v>6018</v>
      </c>
      <c r="T155" s="88">
        <f t="shared" si="54"/>
        <v>0.49850597609561753</v>
      </c>
      <c r="U155" s="88">
        <f t="shared" si="55"/>
        <v>0.94003868471953578</v>
      </c>
      <c r="V155" s="88">
        <f t="shared" si="56"/>
        <v>-4.8086048718759884E-2</v>
      </c>
      <c r="W155" s="90">
        <f t="shared" si="57"/>
        <v>2.6768438329841604E-2</v>
      </c>
      <c r="X155" s="52">
        <f t="shared" si="58"/>
        <v>-304</v>
      </c>
    </row>
    <row r="156" spans="1:24" x14ac:dyDescent="0.2">
      <c r="A156" s="4" t="s">
        <v>448</v>
      </c>
      <c r="B156" s="4">
        <v>4254</v>
      </c>
      <c r="C156" s="4">
        <v>4817</v>
      </c>
      <c r="D156" s="4">
        <v>5341</v>
      </c>
      <c r="E156" s="4">
        <v>4952</v>
      </c>
      <c r="F156" s="4">
        <v>5917</v>
      </c>
      <c r="G156" s="15">
        <v>6380</v>
      </c>
      <c r="H156" s="15">
        <v>7061</v>
      </c>
      <c r="I156" s="15">
        <v>6877</v>
      </c>
      <c r="J156" s="15">
        <v>6910</v>
      </c>
      <c r="K156" s="15">
        <v>6309</v>
      </c>
      <c r="L156" s="15">
        <v>6771</v>
      </c>
      <c r="M156" s="15">
        <v>6490</v>
      </c>
      <c r="N156" s="15">
        <v>6092</v>
      </c>
      <c r="O156" s="15">
        <v>5257</v>
      </c>
      <c r="P156" s="15">
        <v>7495</v>
      </c>
      <c r="Q156" s="15">
        <v>7567</v>
      </c>
      <c r="R156" s="15">
        <v>8100</v>
      </c>
      <c r="S156" s="15">
        <v>8060</v>
      </c>
      <c r="T156" s="88">
        <f t="shared" si="54"/>
        <v>0.16642547033285093</v>
      </c>
      <c r="U156" s="88">
        <f t="shared" si="55"/>
        <v>0.5331938367890432</v>
      </c>
      <c r="V156" s="88">
        <f t="shared" si="56"/>
        <v>-4.9382716049382715E-3</v>
      </c>
      <c r="W156" s="90">
        <f t="shared" si="57"/>
        <v>3.5851381345716742E-2</v>
      </c>
      <c r="X156" s="52">
        <f t="shared" si="58"/>
        <v>-40</v>
      </c>
    </row>
    <row r="157" spans="1:24" x14ac:dyDescent="0.2">
      <c r="A157" s="4" t="s">
        <v>449</v>
      </c>
      <c r="B157" s="4">
        <v>1480</v>
      </c>
      <c r="C157" s="4">
        <v>1442</v>
      </c>
      <c r="D157" s="4">
        <v>1479</v>
      </c>
      <c r="E157" s="4">
        <v>1375</v>
      </c>
      <c r="F157" s="4">
        <v>1491</v>
      </c>
      <c r="G157" s="15">
        <v>1771</v>
      </c>
      <c r="H157" s="15">
        <v>1703</v>
      </c>
      <c r="I157" s="15">
        <v>1871</v>
      </c>
      <c r="J157" s="15">
        <v>2056</v>
      </c>
      <c r="K157" s="15">
        <v>2085</v>
      </c>
      <c r="L157" s="15">
        <v>2061</v>
      </c>
      <c r="M157" s="15">
        <v>1991</v>
      </c>
      <c r="N157" s="15">
        <v>2119</v>
      </c>
      <c r="O157" s="15">
        <v>1788</v>
      </c>
      <c r="P157" s="15">
        <v>2224</v>
      </c>
      <c r="Q157" s="15">
        <v>2857</v>
      </c>
      <c r="R157" s="15">
        <v>3117</v>
      </c>
      <c r="S157" s="15">
        <v>3140</v>
      </c>
      <c r="T157" s="88">
        <f t="shared" si="54"/>
        <v>0.52723735408560313</v>
      </c>
      <c r="U157" s="88">
        <f t="shared" si="55"/>
        <v>0.75615212527964204</v>
      </c>
      <c r="V157" s="88">
        <f t="shared" si="56"/>
        <v>7.3788899582932308E-3</v>
      </c>
      <c r="W157" s="90">
        <f t="shared" si="57"/>
        <v>1.3966915313343741E-2</v>
      </c>
      <c r="X157" s="52">
        <f t="shared" si="58"/>
        <v>23</v>
      </c>
    </row>
    <row r="158" spans="1:24" x14ac:dyDescent="0.2">
      <c r="A158" s="4" t="s">
        <v>450</v>
      </c>
      <c r="B158" s="4">
        <v>4635</v>
      </c>
      <c r="C158" s="4">
        <v>5346</v>
      </c>
      <c r="D158" s="4">
        <v>5727</v>
      </c>
      <c r="E158" s="4">
        <v>4928</v>
      </c>
      <c r="F158" s="4">
        <v>5227</v>
      </c>
      <c r="G158" s="15">
        <v>5429</v>
      </c>
      <c r="H158" s="15">
        <v>5844</v>
      </c>
      <c r="I158" s="15">
        <v>6140</v>
      </c>
      <c r="J158" s="15">
        <v>6347</v>
      </c>
      <c r="K158" s="15">
        <v>6065</v>
      </c>
      <c r="L158" s="15">
        <v>6415</v>
      </c>
      <c r="M158" s="15">
        <v>6653</v>
      </c>
      <c r="N158" s="15">
        <v>7055</v>
      </c>
      <c r="O158" s="15">
        <v>6037</v>
      </c>
      <c r="P158" s="15">
        <v>8881</v>
      </c>
      <c r="Q158" s="15">
        <v>9272</v>
      </c>
      <c r="R158" s="15">
        <v>9736</v>
      </c>
      <c r="S158" s="15">
        <v>9743</v>
      </c>
      <c r="T158" s="88">
        <f t="shared" si="54"/>
        <v>0.53505593193634793</v>
      </c>
      <c r="U158" s="88">
        <f t="shared" si="55"/>
        <v>0.61388106675501075</v>
      </c>
      <c r="V158" s="88">
        <f t="shared" si="56"/>
        <v>7.1898110106820051E-4</v>
      </c>
      <c r="W158" s="90">
        <f t="shared" si="57"/>
        <v>4.3337470031180915E-2</v>
      </c>
      <c r="X158" s="52">
        <f t="shared" si="58"/>
        <v>7</v>
      </c>
    </row>
    <row r="159" spans="1:24" x14ac:dyDescent="0.2">
      <c r="A159" s="4" t="s">
        <v>17</v>
      </c>
      <c r="B159" s="4">
        <v>16265</v>
      </c>
      <c r="C159" s="4">
        <v>17188</v>
      </c>
      <c r="D159" s="4">
        <v>19034</v>
      </c>
      <c r="E159" s="4">
        <v>18812</v>
      </c>
      <c r="F159" s="4">
        <v>19093</v>
      </c>
      <c r="G159" s="15">
        <v>20927</v>
      </c>
      <c r="H159" s="15">
        <v>24278</v>
      </c>
      <c r="I159" s="15">
        <v>24802</v>
      </c>
      <c r="J159" s="15">
        <v>26085</v>
      </c>
      <c r="K159" s="15">
        <v>26146</v>
      </c>
      <c r="L159" s="15">
        <v>28066</v>
      </c>
      <c r="M159" s="15">
        <v>26971</v>
      </c>
      <c r="N159" s="15">
        <v>28661</v>
      </c>
      <c r="O159" s="15">
        <v>24350</v>
      </c>
      <c r="P159" s="15">
        <v>29638</v>
      </c>
      <c r="Q159" s="15">
        <v>24387</v>
      </c>
      <c r="R159" s="15">
        <v>23352</v>
      </c>
      <c r="S159" s="15">
        <v>20722</v>
      </c>
      <c r="T159" s="88">
        <f t="shared" si="54"/>
        <v>-0.20559708644815028</v>
      </c>
      <c r="U159" s="88">
        <f t="shared" si="55"/>
        <v>-0.14899383983572895</v>
      </c>
      <c r="V159" s="88">
        <f t="shared" si="56"/>
        <v>-0.11262418636519356</v>
      </c>
      <c r="W159" s="90">
        <f t="shared" si="57"/>
        <v>9.2172744943665286E-2</v>
      </c>
      <c r="X159" s="52">
        <f t="shared" si="58"/>
        <v>-2630</v>
      </c>
    </row>
    <row r="160" spans="1:24" x14ac:dyDescent="0.2">
      <c r="A160" s="4" t="s">
        <v>451</v>
      </c>
      <c r="B160" s="4">
        <v>15173</v>
      </c>
      <c r="C160" s="4">
        <v>15292</v>
      </c>
      <c r="D160" s="4">
        <v>17269</v>
      </c>
      <c r="E160" s="4">
        <v>17234</v>
      </c>
      <c r="F160" s="4">
        <v>18292</v>
      </c>
      <c r="G160" s="15">
        <v>20648</v>
      </c>
      <c r="H160" s="15">
        <v>24794</v>
      </c>
      <c r="I160" s="15">
        <v>27862</v>
      </c>
      <c r="J160" s="15">
        <v>31705</v>
      </c>
      <c r="K160" s="15">
        <v>34260</v>
      </c>
      <c r="L160" s="15">
        <v>38091</v>
      </c>
      <c r="M160" s="15">
        <v>39862</v>
      </c>
      <c r="N160" s="15">
        <v>38668</v>
      </c>
      <c r="O160" s="15">
        <v>32391</v>
      </c>
      <c r="P160" s="15">
        <v>43565</v>
      </c>
      <c r="Q160" s="15">
        <v>44314</v>
      </c>
      <c r="R160" s="15">
        <v>46835</v>
      </c>
      <c r="S160" s="15">
        <v>47035</v>
      </c>
      <c r="T160" s="88">
        <f t="shared" si="54"/>
        <v>0.48351994953477367</v>
      </c>
      <c r="U160" s="88">
        <f t="shared" si="55"/>
        <v>0.45210089222314842</v>
      </c>
      <c r="V160" s="88">
        <f t="shared" si="56"/>
        <v>4.2703106651008861E-3</v>
      </c>
      <c r="W160" s="90">
        <f t="shared" si="57"/>
        <v>0.2092146056570455</v>
      </c>
      <c r="X160" s="52">
        <f t="shared" si="58"/>
        <v>200</v>
      </c>
    </row>
    <row r="161" spans="1:24" x14ac:dyDescent="0.2">
      <c r="A161" s="4" t="s">
        <v>452</v>
      </c>
      <c r="B161" s="4">
        <v>12718</v>
      </c>
      <c r="C161" s="4">
        <v>18941</v>
      </c>
      <c r="D161" s="4">
        <v>19354</v>
      </c>
      <c r="E161" s="4">
        <v>18525</v>
      </c>
      <c r="F161" s="4">
        <v>25167</v>
      </c>
      <c r="G161" s="15">
        <v>30445</v>
      </c>
      <c r="H161" s="15">
        <v>35037</v>
      </c>
      <c r="I161" s="15">
        <v>38408</v>
      </c>
      <c r="J161" s="15">
        <v>41401</v>
      </c>
      <c r="K161" s="15">
        <v>43324</v>
      </c>
      <c r="L161" s="15">
        <v>44489</v>
      </c>
      <c r="M161" s="15">
        <v>45889</v>
      </c>
      <c r="N161" s="15">
        <v>42775</v>
      </c>
      <c r="O161" s="15">
        <v>26727</v>
      </c>
      <c r="P161" s="15">
        <v>55173</v>
      </c>
      <c r="Q161" s="15">
        <v>54866</v>
      </c>
      <c r="R161" s="15">
        <v>54428</v>
      </c>
      <c r="S161" s="15">
        <v>51658</v>
      </c>
      <c r="T161" s="88">
        <f t="shared" si="54"/>
        <v>0.24774763894591917</v>
      </c>
      <c r="U161" s="88">
        <f t="shared" si="55"/>
        <v>0.93280203539491902</v>
      </c>
      <c r="V161" s="88">
        <f t="shared" si="56"/>
        <v>-5.0892922760343941E-2</v>
      </c>
      <c r="W161" s="90">
        <f t="shared" si="57"/>
        <v>0.22977799721551306</v>
      </c>
      <c r="X161" s="52">
        <f t="shared" si="58"/>
        <v>-2770</v>
      </c>
    </row>
    <row r="162" spans="1:24" x14ac:dyDescent="0.2">
      <c r="A162" s="4" t="s">
        <v>453</v>
      </c>
      <c r="B162" s="4">
        <v>5596</v>
      </c>
      <c r="C162" s="4">
        <v>5775</v>
      </c>
      <c r="D162" s="4">
        <v>6556</v>
      </c>
      <c r="E162" s="4">
        <v>6492</v>
      </c>
      <c r="F162" s="4">
        <v>8853</v>
      </c>
      <c r="G162" s="15">
        <v>11595</v>
      </c>
      <c r="H162" s="15">
        <v>14678</v>
      </c>
      <c r="I162" s="15">
        <v>17798</v>
      </c>
      <c r="J162" s="15">
        <v>22675</v>
      </c>
      <c r="K162" s="15">
        <v>23299</v>
      </c>
      <c r="L162" s="15">
        <v>23211</v>
      </c>
      <c r="M162" s="15">
        <v>22189</v>
      </c>
      <c r="N162" s="15">
        <v>18238</v>
      </c>
      <c r="O162" s="15">
        <v>11522</v>
      </c>
      <c r="P162" s="15">
        <v>14801</v>
      </c>
      <c r="Q162" s="15">
        <v>15895</v>
      </c>
      <c r="R162" s="15">
        <v>15860</v>
      </c>
      <c r="S162" s="15">
        <v>15593</v>
      </c>
      <c r="T162" s="88">
        <f t="shared" si="54"/>
        <v>-0.31232635060639469</v>
      </c>
      <c r="U162" s="88">
        <f t="shared" si="55"/>
        <v>0.35332407568130531</v>
      </c>
      <c r="V162" s="88">
        <f t="shared" si="56"/>
        <v>-1.6834804539722574E-2</v>
      </c>
      <c r="W162" s="90">
        <f t="shared" si="57"/>
        <v>6.9358633911136613E-2</v>
      </c>
      <c r="X162" s="52">
        <f t="shared" si="58"/>
        <v>-267</v>
      </c>
    </row>
    <row r="163" spans="1:24" x14ac:dyDescent="0.2">
      <c r="A163" s="4" t="s">
        <v>454</v>
      </c>
      <c r="B163" s="4">
        <v>4685</v>
      </c>
      <c r="C163" s="4">
        <v>4516</v>
      </c>
      <c r="D163" s="4">
        <v>4940</v>
      </c>
      <c r="E163" s="4">
        <v>4477</v>
      </c>
      <c r="F163" s="4">
        <v>4869</v>
      </c>
      <c r="G163" s="15">
        <v>5473</v>
      </c>
      <c r="H163" s="15">
        <v>6121</v>
      </c>
      <c r="I163" s="15">
        <v>6522</v>
      </c>
      <c r="J163" s="15">
        <v>6800</v>
      </c>
      <c r="K163" s="15">
        <v>6896</v>
      </c>
      <c r="L163" s="15">
        <v>6621</v>
      </c>
      <c r="M163" s="15">
        <v>6747</v>
      </c>
      <c r="N163" s="15">
        <v>6271</v>
      </c>
      <c r="O163" s="15">
        <v>5908</v>
      </c>
      <c r="P163" s="15">
        <v>7554</v>
      </c>
      <c r="Q163" s="15">
        <v>8282</v>
      </c>
      <c r="R163" s="15">
        <v>8934</v>
      </c>
      <c r="S163" s="15">
        <v>9576</v>
      </c>
      <c r="T163" s="88">
        <f t="shared" si="54"/>
        <v>0.40823529411764709</v>
      </c>
      <c r="U163" s="88">
        <f t="shared" si="55"/>
        <v>0.62085308056872035</v>
      </c>
      <c r="V163" s="88">
        <f t="shared" si="56"/>
        <v>7.1860308932169242E-2</v>
      </c>
      <c r="W163" s="90">
        <f t="shared" si="57"/>
        <v>4.2594643643496709E-2</v>
      </c>
      <c r="X163" s="52">
        <f t="shared" si="58"/>
        <v>642</v>
      </c>
    </row>
    <row r="164" spans="1:24" x14ac:dyDescent="0.2">
      <c r="A164" s="5" t="s">
        <v>4</v>
      </c>
      <c r="B164" s="5">
        <v>87126</v>
      </c>
      <c r="C164" s="5">
        <v>98022</v>
      </c>
      <c r="D164" s="5">
        <v>106130</v>
      </c>
      <c r="E164" s="5">
        <v>102164</v>
      </c>
      <c r="F164" s="5">
        <v>118332</v>
      </c>
      <c r="G164" s="5">
        <v>135721</v>
      </c>
      <c r="H164" s="5">
        <v>156991</v>
      </c>
      <c r="I164" s="5">
        <v>171648</v>
      </c>
      <c r="J164" s="5">
        <v>189086</v>
      </c>
      <c r="K164" s="5">
        <v>197568</v>
      </c>
      <c r="L164" s="5">
        <v>206554</v>
      </c>
      <c r="M164" s="5">
        <v>209022</v>
      </c>
      <c r="N164" s="5">
        <v>201142</v>
      </c>
      <c r="O164" s="5">
        <v>160890</v>
      </c>
      <c r="P164" s="5">
        <v>228691</v>
      </c>
      <c r="Q164" s="5">
        <v>225935</v>
      </c>
      <c r="R164" s="5">
        <v>231169</v>
      </c>
      <c r="S164" s="66">
        <v>224817</v>
      </c>
      <c r="T164" s="89">
        <f t="shared" si="54"/>
        <v>0.18896692510286325</v>
      </c>
      <c r="U164" s="89">
        <f t="shared" si="55"/>
        <v>0.39733358195040092</v>
      </c>
      <c r="V164" s="89">
        <f t="shared" si="56"/>
        <v>-2.7477732740981704E-2</v>
      </c>
      <c r="W164" s="91">
        <f t="shared" si="57"/>
        <v>1</v>
      </c>
      <c r="X164" s="53">
        <f t="shared" si="58"/>
        <v>-6352</v>
      </c>
    </row>
    <row r="165" spans="1:24" x14ac:dyDescent="0.2">
      <c r="A165" s="63"/>
      <c r="B165" s="63"/>
      <c r="C165" s="63"/>
      <c r="D165" s="63"/>
      <c r="E165" s="63"/>
      <c r="F165" s="63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</row>
    <row r="166" spans="1:24" ht="15.75" x14ac:dyDescent="0.2">
      <c r="A166" s="32" t="s">
        <v>466</v>
      </c>
      <c r="B166" s="32"/>
      <c r="C166" s="32"/>
      <c r="D166" s="32"/>
      <c r="E166" s="32"/>
      <c r="F166" s="32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</row>
    <row r="167" spans="1:24" ht="27" customHeight="1" x14ac:dyDescent="0.2">
      <c r="A167" s="73" t="s">
        <v>10</v>
      </c>
      <c r="B167" s="3">
        <v>2007</v>
      </c>
      <c r="C167" s="3">
        <v>2008</v>
      </c>
      <c r="D167" s="3">
        <v>2009</v>
      </c>
      <c r="E167" s="3">
        <v>2010</v>
      </c>
      <c r="F167" s="3">
        <v>2011</v>
      </c>
      <c r="G167" s="3">
        <v>2012</v>
      </c>
      <c r="H167" s="3">
        <v>2013</v>
      </c>
      <c r="I167" s="3">
        <v>2014</v>
      </c>
      <c r="J167" s="3">
        <v>2015</v>
      </c>
      <c r="K167" s="3">
        <v>2016</v>
      </c>
      <c r="L167" s="3">
        <v>2017</v>
      </c>
      <c r="M167" s="3">
        <v>2018</v>
      </c>
      <c r="N167" s="3">
        <v>2019</v>
      </c>
      <c r="O167" s="3">
        <v>2020</v>
      </c>
      <c r="P167" s="3">
        <v>2021</v>
      </c>
      <c r="Q167" s="3">
        <v>2022</v>
      </c>
      <c r="R167" s="3">
        <v>2023</v>
      </c>
      <c r="S167" s="3">
        <v>2024</v>
      </c>
      <c r="T167" s="12" t="s">
        <v>368</v>
      </c>
      <c r="U167" s="12" t="s">
        <v>369</v>
      </c>
      <c r="V167" s="12" t="s">
        <v>370</v>
      </c>
      <c r="W167" s="12" t="s">
        <v>372</v>
      </c>
      <c r="X167" s="169" t="s">
        <v>494</v>
      </c>
    </row>
    <row r="168" spans="1:24" x14ac:dyDescent="0.2">
      <c r="A168" s="4" t="s">
        <v>446</v>
      </c>
      <c r="B168" s="4">
        <v>10568</v>
      </c>
      <c r="C168" s="4">
        <v>11750</v>
      </c>
      <c r="D168" s="4">
        <v>12908</v>
      </c>
      <c r="E168" s="4">
        <v>12341</v>
      </c>
      <c r="F168" s="4">
        <v>14730</v>
      </c>
      <c r="G168" s="15">
        <v>16974</v>
      </c>
      <c r="H168" s="15">
        <v>19509</v>
      </c>
      <c r="I168" s="15">
        <v>21468</v>
      </c>
      <c r="J168" s="15">
        <v>23657</v>
      </c>
      <c r="K168" s="15">
        <v>26947</v>
      </c>
      <c r="L168" s="15">
        <v>27545</v>
      </c>
      <c r="M168" s="15">
        <v>28865</v>
      </c>
      <c r="N168" s="15">
        <v>28410</v>
      </c>
      <c r="O168" s="15">
        <v>26276</v>
      </c>
      <c r="P168" s="15">
        <v>32610</v>
      </c>
      <c r="Q168" s="15">
        <v>31919</v>
      </c>
      <c r="R168" s="15">
        <v>32351</v>
      </c>
      <c r="S168" s="15">
        <v>31482</v>
      </c>
      <c r="T168" s="88">
        <f t="shared" ref="T168:T178" si="59">(S168-J168)/J168</f>
        <v>0.33076890560933336</v>
      </c>
      <c r="U168" s="88">
        <f t="shared" ref="U168:U178" si="60">(S168-O168)/O168</f>
        <v>0.19812756888415284</v>
      </c>
      <c r="V168" s="88">
        <f t="shared" ref="V168:V178" si="61">(S168-R168)/R168</f>
        <v>-2.6861611696701801E-2</v>
      </c>
      <c r="W168" s="90">
        <f>S168/S$178</f>
        <v>0.25115677952580018</v>
      </c>
      <c r="X168" s="52">
        <f t="shared" ref="X168:X178" si="62">S168-R168</f>
        <v>-869</v>
      </c>
    </row>
    <row r="169" spans="1:24" x14ac:dyDescent="0.2">
      <c r="A169" s="4" t="s">
        <v>447</v>
      </c>
      <c r="B169" s="4">
        <v>1155</v>
      </c>
      <c r="C169" s="4">
        <v>1439</v>
      </c>
      <c r="D169" s="4">
        <v>1387</v>
      </c>
      <c r="E169" s="4">
        <v>1350</v>
      </c>
      <c r="F169" s="4">
        <v>1366</v>
      </c>
      <c r="G169" s="15">
        <v>1598</v>
      </c>
      <c r="H169" s="15">
        <v>1709</v>
      </c>
      <c r="I169" s="15">
        <v>1855</v>
      </c>
      <c r="J169" s="15">
        <v>1900</v>
      </c>
      <c r="K169" s="15">
        <v>1878</v>
      </c>
      <c r="L169" s="15">
        <v>1855</v>
      </c>
      <c r="M169" s="15">
        <v>1842</v>
      </c>
      <c r="N169" s="15">
        <v>1942</v>
      </c>
      <c r="O169" s="15">
        <v>1526</v>
      </c>
      <c r="P169" s="15">
        <v>2639</v>
      </c>
      <c r="Q169" s="15">
        <v>2817</v>
      </c>
      <c r="R169" s="15">
        <v>3560</v>
      </c>
      <c r="S169" s="15">
        <v>3470</v>
      </c>
      <c r="T169" s="88">
        <f t="shared" si="59"/>
        <v>0.82631578947368423</v>
      </c>
      <c r="U169" s="88">
        <f t="shared" si="60"/>
        <v>1.2739187418086502</v>
      </c>
      <c r="V169" s="88">
        <f t="shared" si="61"/>
        <v>-2.5280898876404494E-2</v>
      </c>
      <c r="W169" s="90">
        <f t="shared" ref="W169:W178" si="63">S169/S$178</f>
        <v>2.7682930720873088E-2</v>
      </c>
      <c r="X169" s="52">
        <f t="shared" si="62"/>
        <v>-90</v>
      </c>
    </row>
    <row r="170" spans="1:24" x14ac:dyDescent="0.2">
      <c r="A170" s="4" t="s">
        <v>448</v>
      </c>
      <c r="B170" s="4">
        <v>2311</v>
      </c>
      <c r="C170" s="4">
        <v>2599</v>
      </c>
      <c r="D170" s="4">
        <v>2848</v>
      </c>
      <c r="E170" s="4">
        <v>2707</v>
      </c>
      <c r="F170" s="4">
        <v>3114</v>
      </c>
      <c r="G170" s="15">
        <v>3512</v>
      </c>
      <c r="H170" s="15">
        <v>3926</v>
      </c>
      <c r="I170" s="15">
        <v>3707</v>
      </c>
      <c r="J170" s="15">
        <v>3712</v>
      </c>
      <c r="K170" s="15">
        <v>3435</v>
      </c>
      <c r="L170" s="15">
        <v>3746</v>
      </c>
      <c r="M170" s="15">
        <v>3446</v>
      </c>
      <c r="N170" s="15">
        <v>3245</v>
      </c>
      <c r="O170" s="15">
        <v>2969</v>
      </c>
      <c r="P170" s="15">
        <v>4124</v>
      </c>
      <c r="Q170" s="15">
        <v>4203</v>
      </c>
      <c r="R170" s="15">
        <v>4506</v>
      </c>
      <c r="S170" s="15">
        <v>4696</v>
      </c>
      <c r="T170" s="88">
        <f t="shared" si="59"/>
        <v>0.26508620689655171</v>
      </c>
      <c r="U170" s="88">
        <f t="shared" si="60"/>
        <v>0.5816773324351634</v>
      </c>
      <c r="V170" s="88">
        <f t="shared" si="61"/>
        <v>4.2166000887705279E-2</v>
      </c>
      <c r="W170" s="90">
        <f t="shared" si="63"/>
        <v>3.7463701056259374E-2</v>
      </c>
      <c r="X170" s="52">
        <f t="shared" si="62"/>
        <v>190</v>
      </c>
    </row>
    <row r="171" spans="1:24" x14ac:dyDescent="0.2">
      <c r="A171" s="4" t="s">
        <v>449</v>
      </c>
      <c r="B171" s="4">
        <v>777</v>
      </c>
      <c r="C171" s="4">
        <v>704</v>
      </c>
      <c r="D171" s="4">
        <v>727</v>
      </c>
      <c r="E171" s="4">
        <v>666</v>
      </c>
      <c r="F171" s="4">
        <v>737</v>
      </c>
      <c r="G171" s="15">
        <v>926</v>
      </c>
      <c r="H171" s="15">
        <v>876</v>
      </c>
      <c r="I171" s="15">
        <v>883</v>
      </c>
      <c r="J171" s="15">
        <v>954</v>
      </c>
      <c r="K171" s="15">
        <v>944</v>
      </c>
      <c r="L171" s="15">
        <v>922</v>
      </c>
      <c r="M171" s="15">
        <v>891</v>
      </c>
      <c r="N171" s="15">
        <v>937</v>
      </c>
      <c r="O171" s="15">
        <v>732</v>
      </c>
      <c r="P171" s="15">
        <v>937</v>
      </c>
      <c r="Q171" s="15">
        <v>1245</v>
      </c>
      <c r="R171" s="15">
        <v>1347</v>
      </c>
      <c r="S171" s="15">
        <v>1415</v>
      </c>
      <c r="T171" s="88">
        <f t="shared" si="59"/>
        <v>0.48322851153039831</v>
      </c>
      <c r="U171" s="88">
        <f t="shared" si="60"/>
        <v>0.93306010928961747</v>
      </c>
      <c r="V171" s="88">
        <f t="shared" si="61"/>
        <v>5.0482553823311065E-2</v>
      </c>
      <c r="W171" s="90">
        <f t="shared" si="63"/>
        <v>1.1288572613843062E-2</v>
      </c>
      <c r="X171" s="52">
        <f t="shared" si="62"/>
        <v>68</v>
      </c>
    </row>
    <row r="172" spans="1:24" x14ac:dyDescent="0.2">
      <c r="A172" s="4" t="s">
        <v>450</v>
      </c>
      <c r="B172" s="4">
        <v>3107</v>
      </c>
      <c r="C172" s="4">
        <v>3628</v>
      </c>
      <c r="D172" s="4">
        <v>3796</v>
      </c>
      <c r="E172" s="4">
        <v>3200</v>
      </c>
      <c r="F172" s="4">
        <v>3392</v>
      </c>
      <c r="G172" s="15">
        <v>3570</v>
      </c>
      <c r="H172" s="15">
        <v>3772</v>
      </c>
      <c r="I172" s="15">
        <v>3971</v>
      </c>
      <c r="J172" s="15">
        <v>4195</v>
      </c>
      <c r="K172" s="15">
        <v>4006</v>
      </c>
      <c r="L172" s="15">
        <v>4230</v>
      </c>
      <c r="M172" s="15">
        <v>4409</v>
      </c>
      <c r="N172" s="15">
        <v>4735</v>
      </c>
      <c r="O172" s="15">
        <v>4032</v>
      </c>
      <c r="P172" s="15">
        <v>5947</v>
      </c>
      <c r="Q172" s="15">
        <v>6123</v>
      </c>
      <c r="R172" s="15">
        <v>6372</v>
      </c>
      <c r="S172" s="15">
        <v>6582</v>
      </c>
      <c r="T172" s="88">
        <f t="shared" si="59"/>
        <v>0.56901072705601907</v>
      </c>
      <c r="U172" s="88">
        <f t="shared" si="60"/>
        <v>0.63244047619047616</v>
      </c>
      <c r="V172" s="88">
        <f t="shared" si="61"/>
        <v>3.2956685499058377E-2</v>
      </c>
      <c r="W172" s="90">
        <f t="shared" si="63"/>
        <v>5.2509812681494718E-2</v>
      </c>
      <c r="X172" s="52">
        <f t="shared" si="62"/>
        <v>210</v>
      </c>
    </row>
    <row r="173" spans="1:24" x14ac:dyDescent="0.2">
      <c r="A173" s="4" t="s">
        <v>17</v>
      </c>
      <c r="B173" s="4">
        <v>12576</v>
      </c>
      <c r="C173" s="4">
        <v>13327</v>
      </c>
      <c r="D173" s="4">
        <v>14537</v>
      </c>
      <c r="E173" s="4">
        <v>14130</v>
      </c>
      <c r="F173" s="4">
        <v>14711</v>
      </c>
      <c r="G173" s="15">
        <v>16046</v>
      </c>
      <c r="H173" s="15">
        <v>19251</v>
      </c>
      <c r="I173" s="15">
        <v>19544</v>
      </c>
      <c r="J173" s="15">
        <v>20922</v>
      </c>
      <c r="K173" s="15">
        <v>21226</v>
      </c>
      <c r="L173" s="15">
        <v>23435</v>
      </c>
      <c r="M173" s="15">
        <v>23132</v>
      </c>
      <c r="N173" s="15">
        <v>24681</v>
      </c>
      <c r="O173" s="15">
        <v>21060</v>
      </c>
      <c r="P173" s="15">
        <v>25743</v>
      </c>
      <c r="Q173" s="15">
        <v>20798</v>
      </c>
      <c r="R173" s="15">
        <v>19517</v>
      </c>
      <c r="S173" s="15">
        <v>17377</v>
      </c>
      <c r="T173" s="88">
        <f t="shared" si="59"/>
        <v>-0.16943886817703852</v>
      </c>
      <c r="U173" s="88">
        <f t="shared" si="60"/>
        <v>-0.1748812915479582</v>
      </c>
      <c r="V173" s="88">
        <f t="shared" si="61"/>
        <v>-0.10964799918020188</v>
      </c>
      <c r="W173" s="90">
        <f t="shared" si="63"/>
        <v>0.13863005392985928</v>
      </c>
      <c r="X173" s="52">
        <f t="shared" si="62"/>
        <v>-2140</v>
      </c>
    </row>
    <row r="174" spans="1:24" x14ac:dyDescent="0.2">
      <c r="A174" s="4" t="s">
        <v>451</v>
      </c>
      <c r="B174" s="4">
        <v>3086</v>
      </c>
      <c r="C174" s="4">
        <v>2869</v>
      </c>
      <c r="D174" s="4">
        <v>3303</v>
      </c>
      <c r="E174" s="4">
        <v>3176</v>
      </c>
      <c r="F174" s="4">
        <v>3167</v>
      </c>
      <c r="G174" s="15">
        <v>3666</v>
      </c>
      <c r="H174" s="15">
        <v>4269</v>
      </c>
      <c r="I174" s="15">
        <v>4604</v>
      </c>
      <c r="J174" s="15">
        <v>5230</v>
      </c>
      <c r="K174" s="15">
        <v>5780</v>
      </c>
      <c r="L174" s="15">
        <v>6503</v>
      </c>
      <c r="M174" s="15">
        <v>6694</v>
      </c>
      <c r="N174" s="15">
        <v>6687</v>
      </c>
      <c r="O174" s="15">
        <v>6037</v>
      </c>
      <c r="P174" s="15">
        <v>7899</v>
      </c>
      <c r="Q174" s="15">
        <v>8539</v>
      </c>
      <c r="R174" s="15">
        <v>8797</v>
      </c>
      <c r="S174" s="15">
        <v>9085</v>
      </c>
      <c r="T174" s="88">
        <f t="shared" si="59"/>
        <v>0.73709369024856597</v>
      </c>
      <c r="U174" s="88">
        <f t="shared" si="60"/>
        <v>0.504886533046215</v>
      </c>
      <c r="V174" s="88">
        <f t="shared" si="61"/>
        <v>3.2738433556894396E-2</v>
      </c>
      <c r="W174" s="90">
        <f t="shared" si="63"/>
        <v>7.2478220633755627E-2</v>
      </c>
      <c r="X174" s="52">
        <f t="shared" si="62"/>
        <v>288</v>
      </c>
    </row>
    <row r="175" spans="1:24" x14ac:dyDescent="0.2">
      <c r="A175" s="4" t="s">
        <v>452</v>
      </c>
      <c r="B175" s="4">
        <v>9955</v>
      </c>
      <c r="C175" s="4">
        <v>15117</v>
      </c>
      <c r="D175" s="4">
        <v>15293</v>
      </c>
      <c r="E175" s="4">
        <v>14674</v>
      </c>
      <c r="F175" s="4">
        <v>20091</v>
      </c>
      <c r="G175" s="15">
        <v>24383</v>
      </c>
      <c r="H175" s="15">
        <v>27946</v>
      </c>
      <c r="I175" s="15">
        <v>30513</v>
      </c>
      <c r="J175" s="15">
        <v>32940</v>
      </c>
      <c r="K175" s="15">
        <v>34789</v>
      </c>
      <c r="L175" s="15">
        <v>35477</v>
      </c>
      <c r="M175" s="15">
        <v>36826</v>
      </c>
      <c r="N175" s="15">
        <v>33968</v>
      </c>
      <c r="O175" s="15">
        <v>21893</v>
      </c>
      <c r="P175" s="15">
        <v>44241</v>
      </c>
      <c r="Q175" s="15">
        <v>43634</v>
      </c>
      <c r="R175" s="15">
        <v>43563</v>
      </c>
      <c r="S175" s="15">
        <v>41431</v>
      </c>
      <c r="T175" s="88">
        <f t="shared" si="59"/>
        <v>0.25777170613236189</v>
      </c>
      <c r="U175" s="88">
        <f t="shared" si="60"/>
        <v>0.89243137075777645</v>
      </c>
      <c r="V175" s="88">
        <f t="shared" si="61"/>
        <v>-4.8940614741868102E-2</v>
      </c>
      <c r="W175" s="90">
        <f t="shared" si="63"/>
        <v>0.33052781057535818</v>
      </c>
      <c r="X175" s="52">
        <f t="shared" si="62"/>
        <v>-2132</v>
      </c>
    </row>
    <row r="176" spans="1:24" x14ac:dyDescent="0.2">
      <c r="A176" s="4" t="s">
        <v>453</v>
      </c>
      <c r="B176" s="4">
        <v>2512</v>
      </c>
      <c r="C176" s="4">
        <v>2594</v>
      </c>
      <c r="D176" s="4">
        <v>2964</v>
      </c>
      <c r="E176" s="4">
        <v>2920</v>
      </c>
      <c r="F176" s="4">
        <v>4009</v>
      </c>
      <c r="G176" s="15">
        <v>5434</v>
      </c>
      <c r="H176" s="15">
        <v>6844</v>
      </c>
      <c r="I176" s="15">
        <v>8616</v>
      </c>
      <c r="J176" s="15">
        <v>11103</v>
      </c>
      <c r="K176" s="15">
        <v>11898</v>
      </c>
      <c r="L176" s="15">
        <v>12061</v>
      </c>
      <c r="M176" s="15">
        <v>11398</v>
      </c>
      <c r="N176" s="15">
        <v>9236</v>
      </c>
      <c r="O176" s="15">
        <v>5966</v>
      </c>
      <c r="P176" s="15">
        <v>7809</v>
      </c>
      <c r="Q176" s="15">
        <v>8486</v>
      </c>
      <c r="R176" s="15">
        <v>8633</v>
      </c>
      <c r="S176" s="15">
        <v>8553</v>
      </c>
      <c r="T176" s="88">
        <f t="shared" si="59"/>
        <v>-0.22966765738989461</v>
      </c>
      <c r="U176" s="88">
        <f t="shared" si="60"/>
        <v>0.43362386858866914</v>
      </c>
      <c r="V176" s="88">
        <f t="shared" si="61"/>
        <v>-9.2667670566431142E-3</v>
      </c>
      <c r="W176" s="90">
        <f t="shared" si="63"/>
        <v>6.8234036442543958E-2</v>
      </c>
      <c r="X176" s="52">
        <f t="shared" si="62"/>
        <v>-80</v>
      </c>
    </row>
    <row r="177" spans="1:24" x14ac:dyDescent="0.2">
      <c r="A177" s="4" t="s">
        <v>454</v>
      </c>
      <c r="B177" s="4">
        <v>810</v>
      </c>
      <c r="C177" s="4">
        <v>713</v>
      </c>
      <c r="D177" s="4">
        <v>748</v>
      </c>
      <c r="E177" s="4">
        <v>596</v>
      </c>
      <c r="F177" s="4">
        <v>669</v>
      </c>
      <c r="G177" s="15">
        <v>673</v>
      </c>
      <c r="H177" s="15">
        <v>784</v>
      </c>
      <c r="I177" s="15">
        <v>826</v>
      </c>
      <c r="J177" s="15">
        <v>787</v>
      </c>
      <c r="K177" s="15">
        <v>806</v>
      </c>
      <c r="L177" s="15">
        <v>736</v>
      </c>
      <c r="M177" s="15">
        <v>753</v>
      </c>
      <c r="N177" s="15">
        <v>640</v>
      </c>
      <c r="O177" s="15">
        <v>651</v>
      </c>
      <c r="P177" s="15">
        <v>869</v>
      </c>
      <c r="Q177" s="15">
        <v>1001</v>
      </c>
      <c r="R177" s="15">
        <v>1083</v>
      </c>
      <c r="S177" s="15">
        <v>1257</v>
      </c>
      <c r="T177" s="88">
        <f t="shared" si="59"/>
        <v>0.59720457433290974</v>
      </c>
      <c r="U177" s="88">
        <f t="shared" si="60"/>
        <v>0.93087557603686633</v>
      </c>
      <c r="V177" s="88">
        <f t="shared" si="61"/>
        <v>0.16066481994459833</v>
      </c>
      <c r="W177" s="90">
        <f t="shared" si="63"/>
        <v>1.0028081820212528E-2</v>
      </c>
      <c r="X177" s="52">
        <f t="shared" si="62"/>
        <v>174</v>
      </c>
    </row>
    <row r="178" spans="1:24" x14ac:dyDescent="0.2">
      <c r="A178" s="5" t="s">
        <v>4</v>
      </c>
      <c r="B178" s="5">
        <v>46857</v>
      </c>
      <c r="C178" s="5">
        <v>54740</v>
      </c>
      <c r="D178" s="5">
        <v>58511</v>
      </c>
      <c r="E178" s="5">
        <v>55760</v>
      </c>
      <c r="F178" s="5">
        <v>65986</v>
      </c>
      <c r="G178" s="5">
        <v>76782</v>
      </c>
      <c r="H178" s="5">
        <v>88886</v>
      </c>
      <c r="I178" s="5">
        <v>95987</v>
      </c>
      <c r="J178" s="5">
        <v>105400</v>
      </c>
      <c r="K178" s="5">
        <v>111709</v>
      </c>
      <c r="L178" s="5">
        <v>116510</v>
      </c>
      <c r="M178" s="5">
        <v>118256</v>
      </c>
      <c r="N178" s="5">
        <v>114481</v>
      </c>
      <c r="O178" s="5">
        <v>91142</v>
      </c>
      <c r="P178" s="5">
        <v>132818</v>
      </c>
      <c r="Q178" s="5">
        <v>128765</v>
      </c>
      <c r="R178" s="5">
        <v>129729</v>
      </c>
      <c r="S178" s="66">
        <v>125348</v>
      </c>
      <c r="T178" s="89">
        <f t="shared" si="59"/>
        <v>0.18925996204933587</v>
      </c>
      <c r="U178" s="89">
        <f t="shared" si="60"/>
        <v>0.37530446994799327</v>
      </c>
      <c r="V178" s="89">
        <f t="shared" si="61"/>
        <v>-3.3770398291823725E-2</v>
      </c>
      <c r="W178" s="91">
        <f t="shared" si="63"/>
        <v>1</v>
      </c>
      <c r="X178" s="53">
        <f t="shared" si="62"/>
        <v>-4381</v>
      </c>
    </row>
    <row r="179" spans="1:24" x14ac:dyDescent="0.2">
      <c r="A179" s="63"/>
      <c r="B179" s="63"/>
      <c r="C179" s="63"/>
      <c r="D179" s="63"/>
      <c r="E179" s="63"/>
      <c r="F179" s="63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</row>
    <row r="180" spans="1:24" ht="15.75" x14ac:dyDescent="0.2">
      <c r="A180" s="32" t="s">
        <v>467</v>
      </c>
      <c r="B180" s="32"/>
      <c r="C180" s="32"/>
      <c r="D180" s="32"/>
      <c r="E180" s="32"/>
      <c r="F180" s="32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</row>
    <row r="181" spans="1:24" ht="27" customHeight="1" x14ac:dyDescent="0.2">
      <c r="A181" s="73" t="s">
        <v>10</v>
      </c>
      <c r="B181" s="3">
        <v>2007</v>
      </c>
      <c r="C181" s="3">
        <v>2008</v>
      </c>
      <c r="D181" s="3">
        <v>2009</v>
      </c>
      <c r="E181" s="3">
        <v>2010</v>
      </c>
      <c r="F181" s="3">
        <v>2011</v>
      </c>
      <c r="G181" s="3">
        <v>2012</v>
      </c>
      <c r="H181" s="3">
        <v>2013</v>
      </c>
      <c r="I181" s="3">
        <v>2014</v>
      </c>
      <c r="J181" s="3">
        <v>2015</v>
      </c>
      <c r="K181" s="3">
        <v>2016</v>
      </c>
      <c r="L181" s="3">
        <v>2017</v>
      </c>
      <c r="M181" s="3">
        <v>2018</v>
      </c>
      <c r="N181" s="3">
        <v>2019</v>
      </c>
      <c r="O181" s="3">
        <v>2020</v>
      </c>
      <c r="P181" s="3">
        <v>2021</v>
      </c>
      <c r="Q181" s="3">
        <v>2022</v>
      </c>
      <c r="R181" s="3">
        <v>2023</v>
      </c>
      <c r="S181" s="3">
        <v>2024</v>
      </c>
      <c r="T181" s="12" t="s">
        <v>368</v>
      </c>
      <c r="U181" s="12" t="s">
        <v>369</v>
      </c>
      <c r="V181" s="12" t="s">
        <v>370</v>
      </c>
      <c r="W181" s="12" t="s">
        <v>372</v>
      </c>
      <c r="X181" s="169" t="s">
        <v>494</v>
      </c>
    </row>
    <row r="182" spans="1:24" x14ac:dyDescent="0.2">
      <c r="A182" s="4" t="s">
        <v>446</v>
      </c>
      <c r="B182" s="4">
        <v>8970</v>
      </c>
      <c r="C182" s="4">
        <v>9578</v>
      </c>
      <c r="D182" s="4">
        <v>10280</v>
      </c>
      <c r="E182" s="4">
        <v>9995</v>
      </c>
      <c r="F182" s="4">
        <v>11502</v>
      </c>
      <c r="G182" s="15">
        <v>12541</v>
      </c>
      <c r="H182" s="15">
        <v>14254</v>
      </c>
      <c r="I182" s="15">
        <v>15922</v>
      </c>
      <c r="J182" s="15">
        <v>17434</v>
      </c>
      <c r="K182" s="15">
        <v>18222</v>
      </c>
      <c r="L182" s="15">
        <v>19367</v>
      </c>
      <c r="M182" s="15">
        <v>19511</v>
      </c>
      <c r="N182" s="15">
        <v>18934</v>
      </c>
      <c r="O182" s="15">
        <v>17532</v>
      </c>
      <c r="P182" s="15">
        <v>21914</v>
      </c>
      <c r="Q182" s="15">
        <v>21374</v>
      </c>
      <c r="R182" s="15">
        <v>22134</v>
      </c>
      <c r="S182" s="15">
        <v>21790</v>
      </c>
      <c r="T182" s="88">
        <f t="shared" ref="T182:T192" si="64">(S182-J182)/J182</f>
        <v>0.24985660204198692</v>
      </c>
      <c r="U182" s="88">
        <f t="shared" ref="U182:U192" si="65">(S182-O182)/O182</f>
        <v>0.24287018024184348</v>
      </c>
      <c r="V182" s="88">
        <f t="shared" ref="V182:V192" si="66">(S182-R182)/R182</f>
        <v>-1.5541700551188217E-2</v>
      </c>
      <c r="W182" s="90">
        <f>S182/S$192</f>
        <v>0.21906542807737162</v>
      </c>
      <c r="X182" s="52">
        <f t="shared" ref="X182:X192" si="67">S182-R182</f>
        <v>-344</v>
      </c>
    </row>
    <row r="183" spans="1:24" x14ac:dyDescent="0.2">
      <c r="A183" s="4" t="s">
        <v>447</v>
      </c>
      <c r="B183" s="4">
        <v>1627</v>
      </c>
      <c r="C183" s="4">
        <v>1938</v>
      </c>
      <c r="D183" s="4">
        <v>1855</v>
      </c>
      <c r="E183" s="4">
        <v>1683</v>
      </c>
      <c r="F183" s="4">
        <v>1825</v>
      </c>
      <c r="G183" s="15">
        <v>1940</v>
      </c>
      <c r="H183" s="15">
        <v>2003</v>
      </c>
      <c r="I183" s="15">
        <v>2123</v>
      </c>
      <c r="J183" s="15">
        <v>2116</v>
      </c>
      <c r="K183" s="15">
        <v>2137</v>
      </c>
      <c r="L183" s="15">
        <v>2062</v>
      </c>
      <c r="M183" s="15">
        <v>2012</v>
      </c>
      <c r="N183" s="15">
        <v>1977</v>
      </c>
      <c r="O183" s="15">
        <v>1576</v>
      </c>
      <c r="P183" s="15">
        <v>2197</v>
      </c>
      <c r="Q183" s="15">
        <v>2385</v>
      </c>
      <c r="R183" s="15">
        <v>2762</v>
      </c>
      <c r="S183" s="15">
        <v>2548</v>
      </c>
      <c r="T183" s="88">
        <f t="shared" si="64"/>
        <v>0.20415879017013233</v>
      </c>
      <c r="U183" s="88">
        <f t="shared" si="65"/>
        <v>0.61675126903553301</v>
      </c>
      <c r="V183" s="88">
        <f t="shared" si="66"/>
        <v>-7.74800868935554E-2</v>
      </c>
      <c r="W183" s="90">
        <f t="shared" ref="W183:W192" si="68">S183/S$192</f>
        <v>2.5616278602163509E-2</v>
      </c>
      <c r="X183" s="52">
        <f t="shared" si="67"/>
        <v>-214</v>
      </c>
    </row>
    <row r="184" spans="1:24" x14ac:dyDescent="0.2">
      <c r="A184" s="4" t="s">
        <v>448</v>
      </c>
      <c r="B184" s="4">
        <v>1943</v>
      </c>
      <c r="C184" s="4">
        <v>2218</v>
      </c>
      <c r="D184" s="4">
        <v>2493</v>
      </c>
      <c r="E184" s="4">
        <v>2245</v>
      </c>
      <c r="F184" s="4">
        <v>2803</v>
      </c>
      <c r="G184" s="15">
        <v>2868</v>
      </c>
      <c r="H184" s="15">
        <v>3135</v>
      </c>
      <c r="I184" s="15">
        <v>3170</v>
      </c>
      <c r="J184" s="15">
        <v>3198</v>
      </c>
      <c r="K184" s="15">
        <v>2874</v>
      </c>
      <c r="L184" s="15">
        <v>3025</v>
      </c>
      <c r="M184" s="15">
        <v>3044</v>
      </c>
      <c r="N184" s="15">
        <v>2847</v>
      </c>
      <c r="O184" s="15">
        <v>2288</v>
      </c>
      <c r="P184" s="15">
        <v>3371</v>
      </c>
      <c r="Q184" s="15">
        <v>3364</v>
      </c>
      <c r="R184" s="15">
        <v>3594</v>
      </c>
      <c r="S184" s="15">
        <v>3364</v>
      </c>
      <c r="T184" s="88">
        <f t="shared" si="64"/>
        <v>5.1907442151344588E-2</v>
      </c>
      <c r="U184" s="88">
        <f t="shared" si="65"/>
        <v>0.47027972027972026</v>
      </c>
      <c r="V184" s="88">
        <f t="shared" si="66"/>
        <v>-6.3995548135781857E-2</v>
      </c>
      <c r="W184" s="90">
        <f t="shared" si="68"/>
        <v>3.3819921984959984E-2</v>
      </c>
      <c r="X184" s="52">
        <f t="shared" si="67"/>
        <v>-230</v>
      </c>
    </row>
    <row r="185" spans="1:24" x14ac:dyDescent="0.2">
      <c r="A185" s="4" t="s">
        <v>449</v>
      </c>
      <c r="B185" s="4">
        <v>703</v>
      </c>
      <c r="C185" s="4">
        <v>738</v>
      </c>
      <c r="D185" s="4">
        <v>752</v>
      </c>
      <c r="E185" s="4">
        <v>709</v>
      </c>
      <c r="F185" s="4">
        <v>754</v>
      </c>
      <c r="G185" s="15">
        <v>845</v>
      </c>
      <c r="H185" s="15">
        <v>827</v>
      </c>
      <c r="I185" s="15">
        <v>988</v>
      </c>
      <c r="J185" s="15">
        <v>1102</v>
      </c>
      <c r="K185" s="15">
        <v>1141</v>
      </c>
      <c r="L185" s="15">
        <v>1139</v>
      </c>
      <c r="M185" s="15">
        <v>1100</v>
      </c>
      <c r="N185" s="15">
        <v>1182</v>
      </c>
      <c r="O185" s="15">
        <v>1056</v>
      </c>
      <c r="P185" s="15">
        <v>1287</v>
      </c>
      <c r="Q185" s="15">
        <v>1612</v>
      </c>
      <c r="R185" s="15">
        <v>1770</v>
      </c>
      <c r="S185" s="15">
        <v>1724</v>
      </c>
      <c r="T185" s="88">
        <f t="shared" si="64"/>
        <v>0.56442831215970957</v>
      </c>
      <c r="U185" s="88">
        <f t="shared" si="65"/>
        <v>0.63257575757575757</v>
      </c>
      <c r="V185" s="88">
        <f t="shared" si="66"/>
        <v>-2.598870056497175E-2</v>
      </c>
      <c r="W185" s="90">
        <f t="shared" si="68"/>
        <v>1.7332207343065106E-2</v>
      </c>
      <c r="X185" s="52">
        <f t="shared" si="67"/>
        <v>-46</v>
      </c>
    </row>
    <row r="186" spans="1:24" x14ac:dyDescent="0.2">
      <c r="A186" s="4" t="s">
        <v>450</v>
      </c>
      <c r="B186" s="4">
        <v>1528</v>
      </c>
      <c r="C186" s="4">
        <v>1718</v>
      </c>
      <c r="D186" s="4">
        <v>1931</v>
      </c>
      <c r="E186" s="4">
        <v>1728</v>
      </c>
      <c r="F186" s="4">
        <v>1835</v>
      </c>
      <c r="G186" s="15">
        <v>1859</v>
      </c>
      <c r="H186" s="15">
        <v>2072</v>
      </c>
      <c r="I186" s="15">
        <v>2169</v>
      </c>
      <c r="J186" s="15">
        <v>2152</v>
      </c>
      <c r="K186" s="15">
        <v>2059</v>
      </c>
      <c r="L186" s="15">
        <v>2185</v>
      </c>
      <c r="M186" s="15">
        <v>2244</v>
      </c>
      <c r="N186" s="15">
        <v>2320</v>
      </c>
      <c r="O186" s="15">
        <v>2005</v>
      </c>
      <c r="P186" s="15">
        <v>2934</v>
      </c>
      <c r="Q186" s="15">
        <v>3149</v>
      </c>
      <c r="R186" s="15">
        <v>3363</v>
      </c>
      <c r="S186" s="15">
        <v>3161</v>
      </c>
      <c r="T186" s="88">
        <f t="shared" si="64"/>
        <v>0.46886617100371747</v>
      </c>
      <c r="U186" s="88">
        <f t="shared" si="65"/>
        <v>0.57655860349127186</v>
      </c>
      <c r="V186" s="88">
        <f t="shared" si="66"/>
        <v>-6.0065417781742493E-2</v>
      </c>
      <c r="W186" s="90">
        <f t="shared" si="68"/>
        <v>3.1779064623798606E-2</v>
      </c>
      <c r="X186" s="52">
        <f t="shared" si="67"/>
        <v>-202</v>
      </c>
    </row>
    <row r="187" spans="1:24" x14ac:dyDescent="0.2">
      <c r="A187" s="4" t="s">
        <v>17</v>
      </c>
      <c r="B187" s="4">
        <v>3689</v>
      </c>
      <c r="C187" s="4">
        <v>3861</v>
      </c>
      <c r="D187" s="4">
        <v>4497</v>
      </c>
      <c r="E187" s="4">
        <v>4682</v>
      </c>
      <c r="F187" s="4">
        <v>4382</v>
      </c>
      <c r="G187" s="15">
        <v>4881</v>
      </c>
      <c r="H187" s="15">
        <v>5027</v>
      </c>
      <c r="I187" s="15">
        <v>5258</v>
      </c>
      <c r="J187" s="15">
        <v>5163</v>
      </c>
      <c r="K187" s="15">
        <v>4920</v>
      </c>
      <c r="L187" s="15">
        <v>4631</v>
      </c>
      <c r="M187" s="15">
        <v>3839</v>
      </c>
      <c r="N187" s="15">
        <v>3980</v>
      </c>
      <c r="O187" s="15">
        <v>3290</v>
      </c>
      <c r="P187" s="15">
        <v>3895</v>
      </c>
      <c r="Q187" s="15">
        <v>3589</v>
      </c>
      <c r="R187" s="15">
        <v>3835</v>
      </c>
      <c r="S187" s="15">
        <v>3345</v>
      </c>
      <c r="T187" s="88">
        <f t="shared" si="64"/>
        <v>-0.35212085996513653</v>
      </c>
      <c r="U187" s="88">
        <f t="shared" si="65"/>
        <v>1.6717325227963525E-2</v>
      </c>
      <c r="V187" s="88">
        <f t="shared" si="66"/>
        <v>-0.12777053455019557</v>
      </c>
      <c r="W187" s="90">
        <f t="shared" si="68"/>
        <v>3.3628905778742911E-2</v>
      </c>
      <c r="X187" s="52">
        <f t="shared" si="67"/>
        <v>-490</v>
      </c>
    </row>
    <row r="188" spans="1:24" x14ac:dyDescent="0.2">
      <c r="A188" s="4" t="s">
        <v>451</v>
      </c>
      <c r="B188" s="4">
        <v>12087</v>
      </c>
      <c r="C188" s="4">
        <v>12423</v>
      </c>
      <c r="D188" s="4">
        <v>13966</v>
      </c>
      <c r="E188" s="4">
        <v>14058</v>
      </c>
      <c r="F188" s="4">
        <v>15125</v>
      </c>
      <c r="G188" s="15">
        <v>16982</v>
      </c>
      <c r="H188" s="15">
        <v>20525</v>
      </c>
      <c r="I188" s="15">
        <v>23258</v>
      </c>
      <c r="J188" s="15">
        <v>26475</v>
      </c>
      <c r="K188" s="15">
        <v>28480</v>
      </c>
      <c r="L188" s="15">
        <v>31588</v>
      </c>
      <c r="M188" s="15">
        <v>33168</v>
      </c>
      <c r="N188" s="15">
        <v>31981</v>
      </c>
      <c r="O188" s="15">
        <v>26354</v>
      </c>
      <c r="P188" s="15">
        <v>35666</v>
      </c>
      <c r="Q188" s="15">
        <v>35775</v>
      </c>
      <c r="R188" s="15">
        <v>38038</v>
      </c>
      <c r="S188" s="15">
        <v>37950</v>
      </c>
      <c r="T188" s="88">
        <f t="shared" si="64"/>
        <v>0.43342776203966005</v>
      </c>
      <c r="U188" s="88">
        <f t="shared" si="65"/>
        <v>0.44000910677695987</v>
      </c>
      <c r="V188" s="88">
        <f t="shared" si="66"/>
        <v>-2.3134759976865238E-3</v>
      </c>
      <c r="W188" s="90">
        <f t="shared" si="68"/>
        <v>0.38152973820726266</v>
      </c>
      <c r="X188" s="52">
        <f t="shared" si="67"/>
        <v>-88</v>
      </c>
    </row>
    <row r="189" spans="1:24" x14ac:dyDescent="0.2">
      <c r="A189" s="4" t="s">
        <v>452</v>
      </c>
      <c r="B189" s="4">
        <v>2763</v>
      </c>
      <c r="C189" s="4">
        <v>3824</v>
      </c>
      <c r="D189" s="4">
        <v>4061</v>
      </c>
      <c r="E189" s="4">
        <v>3851</v>
      </c>
      <c r="F189" s="4">
        <v>5076</v>
      </c>
      <c r="G189" s="15">
        <v>6062</v>
      </c>
      <c r="H189" s="15">
        <v>7091</v>
      </c>
      <c r="I189" s="15">
        <v>7895</v>
      </c>
      <c r="J189" s="15">
        <v>8461</v>
      </c>
      <c r="K189" s="15">
        <v>8535</v>
      </c>
      <c r="L189" s="15">
        <v>9012</v>
      </c>
      <c r="M189" s="15">
        <v>9063</v>
      </c>
      <c r="N189" s="15">
        <v>8807</v>
      </c>
      <c r="O189" s="15">
        <v>4834</v>
      </c>
      <c r="P189" s="15">
        <v>10932</v>
      </c>
      <c r="Q189" s="15">
        <v>11232</v>
      </c>
      <c r="R189" s="15">
        <v>10865</v>
      </c>
      <c r="S189" s="15">
        <v>10227</v>
      </c>
      <c r="T189" s="88">
        <f t="shared" si="64"/>
        <v>0.20872237324193357</v>
      </c>
      <c r="U189" s="88">
        <f t="shared" si="65"/>
        <v>1.1156392221762514</v>
      </c>
      <c r="V189" s="88">
        <f t="shared" si="66"/>
        <v>-5.8720662678324896E-2</v>
      </c>
      <c r="W189" s="90">
        <f t="shared" si="68"/>
        <v>0.10281698636747497</v>
      </c>
      <c r="X189" s="52">
        <f t="shared" si="67"/>
        <v>-638</v>
      </c>
    </row>
    <row r="190" spans="1:24" x14ac:dyDescent="0.2">
      <c r="A190" s="4" t="s">
        <v>453</v>
      </c>
      <c r="B190" s="4">
        <v>3084</v>
      </c>
      <c r="C190" s="4">
        <v>3181</v>
      </c>
      <c r="D190" s="4">
        <v>3592</v>
      </c>
      <c r="E190" s="4">
        <v>3572</v>
      </c>
      <c r="F190" s="4">
        <v>4844</v>
      </c>
      <c r="G190" s="15">
        <v>6161</v>
      </c>
      <c r="H190" s="15">
        <v>7834</v>
      </c>
      <c r="I190" s="15">
        <v>9182</v>
      </c>
      <c r="J190" s="15">
        <v>11572</v>
      </c>
      <c r="K190" s="15">
        <v>11401</v>
      </c>
      <c r="L190" s="15">
        <v>11150</v>
      </c>
      <c r="M190" s="15">
        <v>10791</v>
      </c>
      <c r="N190" s="15">
        <v>9002</v>
      </c>
      <c r="O190" s="15">
        <v>5556</v>
      </c>
      <c r="P190" s="15">
        <v>6992</v>
      </c>
      <c r="Q190" s="15">
        <v>7409</v>
      </c>
      <c r="R190" s="15">
        <v>7227</v>
      </c>
      <c r="S190" s="15">
        <v>7040</v>
      </c>
      <c r="T190" s="88">
        <f t="shared" si="64"/>
        <v>-0.39163498098859317</v>
      </c>
      <c r="U190" s="88">
        <f t="shared" si="65"/>
        <v>0.26709863210943124</v>
      </c>
      <c r="V190" s="88">
        <f t="shared" si="66"/>
        <v>-2.5875190258751901E-2</v>
      </c>
      <c r="W190" s="90">
        <f t="shared" si="68"/>
        <v>7.0776531145695099E-2</v>
      </c>
      <c r="X190" s="52">
        <f t="shared" si="67"/>
        <v>-187</v>
      </c>
    </row>
    <row r="191" spans="1:24" x14ac:dyDescent="0.2">
      <c r="A191" s="4" t="s">
        <v>454</v>
      </c>
      <c r="B191" s="4">
        <v>3875</v>
      </c>
      <c r="C191" s="4">
        <v>3803</v>
      </c>
      <c r="D191" s="4">
        <v>4192</v>
      </c>
      <c r="E191" s="4">
        <v>3881</v>
      </c>
      <c r="F191" s="4">
        <v>4200</v>
      </c>
      <c r="G191" s="15">
        <v>4800</v>
      </c>
      <c r="H191" s="15">
        <v>5337</v>
      </c>
      <c r="I191" s="15">
        <v>5696</v>
      </c>
      <c r="J191" s="15">
        <v>6013</v>
      </c>
      <c r="K191" s="15">
        <v>6090</v>
      </c>
      <c r="L191" s="15">
        <v>5885</v>
      </c>
      <c r="M191" s="15">
        <v>5994</v>
      </c>
      <c r="N191" s="15">
        <v>5631</v>
      </c>
      <c r="O191" s="15">
        <v>5257</v>
      </c>
      <c r="P191" s="15">
        <v>6685</v>
      </c>
      <c r="Q191" s="15">
        <v>7281</v>
      </c>
      <c r="R191" s="15">
        <v>7851</v>
      </c>
      <c r="S191" s="15">
        <v>8319</v>
      </c>
      <c r="T191" s="88">
        <f t="shared" si="64"/>
        <v>0.38350241144187591</v>
      </c>
      <c r="U191" s="88">
        <f t="shared" si="65"/>
        <v>0.58246147993151987</v>
      </c>
      <c r="V191" s="88">
        <f t="shared" si="66"/>
        <v>5.9610240733664499E-2</v>
      </c>
      <c r="W191" s="90">
        <f t="shared" si="68"/>
        <v>8.3634937869465562E-2</v>
      </c>
      <c r="X191" s="52">
        <f t="shared" si="67"/>
        <v>468</v>
      </c>
    </row>
    <row r="192" spans="1:24" x14ac:dyDescent="0.2">
      <c r="A192" s="5" t="s">
        <v>4</v>
      </c>
      <c r="B192" s="5">
        <v>40269</v>
      </c>
      <c r="C192" s="5">
        <v>43282</v>
      </c>
      <c r="D192" s="5">
        <v>47619</v>
      </c>
      <c r="E192" s="5">
        <v>46404</v>
      </c>
      <c r="F192" s="5">
        <v>52346</v>
      </c>
      <c r="G192" s="5">
        <v>58939</v>
      </c>
      <c r="H192" s="5">
        <v>68105</v>
      </c>
      <c r="I192" s="5">
        <v>75661</v>
      </c>
      <c r="J192" s="5">
        <v>83686</v>
      </c>
      <c r="K192" s="5">
        <v>85859</v>
      </c>
      <c r="L192" s="5">
        <v>90044</v>
      </c>
      <c r="M192" s="5">
        <v>90766</v>
      </c>
      <c r="N192" s="5">
        <v>86661</v>
      </c>
      <c r="O192" s="5">
        <v>69748</v>
      </c>
      <c r="P192" s="5">
        <v>95873</v>
      </c>
      <c r="Q192" s="5">
        <v>97170</v>
      </c>
      <c r="R192" s="5">
        <v>101439</v>
      </c>
      <c r="S192" s="66">
        <v>99468</v>
      </c>
      <c r="T192" s="89">
        <f t="shared" si="64"/>
        <v>0.18858590445235762</v>
      </c>
      <c r="U192" s="89">
        <f t="shared" si="65"/>
        <v>0.42610540804037395</v>
      </c>
      <c r="V192" s="89">
        <f t="shared" si="66"/>
        <v>-1.9430396593026349E-2</v>
      </c>
      <c r="W192" s="91">
        <f t="shared" si="68"/>
        <v>1</v>
      </c>
      <c r="X192" s="53">
        <f t="shared" si="67"/>
        <v>-1971</v>
      </c>
    </row>
    <row r="193" spans="1:24" x14ac:dyDescent="0.2">
      <c r="A193" s="63"/>
      <c r="B193" s="63"/>
      <c r="C193" s="63"/>
      <c r="D193" s="63"/>
      <c r="E193" s="63"/>
      <c r="F193" s="63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</row>
    <row r="194" spans="1:24" ht="15.75" x14ac:dyDescent="0.2">
      <c r="A194" s="107" t="s">
        <v>504</v>
      </c>
      <c r="B194" s="32"/>
      <c r="C194" s="32"/>
      <c r="D194" s="32"/>
      <c r="E194" s="32"/>
      <c r="F194" s="32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</row>
    <row r="195" spans="1:24" ht="27" customHeight="1" x14ac:dyDescent="0.2">
      <c r="A195" s="73" t="s">
        <v>49</v>
      </c>
      <c r="B195" s="3">
        <v>2007</v>
      </c>
      <c r="C195" s="3">
        <v>2008</v>
      </c>
      <c r="D195" s="3">
        <v>2009</v>
      </c>
      <c r="E195" s="3">
        <v>2010</v>
      </c>
      <c r="F195" s="3">
        <v>2011</v>
      </c>
      <c r="G195" s="3">
        <v>2012</v>
      </c>
      <c r="H195" s="3">
        <v>2013</v>
      </c>
      <c r="I195" s="3">
        <v>2014</v>
      </c>
      <c r="J195" s="3">
        <v>2015</v>
      </c>
      <c r="K195" s="3">
        <v>2016</v>
      </c>
      <c r="L195" s="3">
        <v>2017</v>
      </c>
      <c r="M195" s="3">
        <v>2018</v>
      </c>
      <c r="N195" s="3">
        <v>2019</v>
      </c>
      <c r="O195" s="3">
        <v>2020</v>
      </c>
      <c r="P195" s="3">
        <v>2021</v>
      </c>
      <c r="Q195" s="3">
        <v>2022</v>
      </c>
      <c r="R195" s="3">
        <v>2023</v>
      </c>
      <c r="S195" s="3">
        <v>2024</v>
      </c>
      <c r="T195" s="12" t="s">
        <v>368</v>
      </c>
      <c r="U195" s="12" t="s">
        <v>369</v>
      </c>
      <c r="V195" s="12" t="s">
        <v>370</v>
      </c>
      <c r="W195" s="12" t="s">
        <v>372</v>
      </c>
      <c r="X195" s="169" t="s">
        <v>494</v>
      </c>
    </row>
    <row r="196" spans="1:24" x14ac:dyDescent="0.2">
      <c r="A196" s="92" t="s">
        <v>50</v>
      </c>
      <c r="B196" s="92">
        <v>2227</v>
      </c>
      <c r="C196" s="92">
        <v>4873</v>
      </c>
      <c r="D196" s="92">
        <v>3927</v>
      </c>
      <c r="E196" s="92">
        <v>2402</v>
      </c>
      <c r="F196" s="92">
        <v>5318</v>
      </c>
      <c r="G196" s="92">
        <v>6551</v>
      </c>
      <c r="H196" s="92">
        <v>6715</v>
      </c>
      <c r="I196" s="92">
        <v>6106</v>
      </c>
      <c r="J196" s="92">
        <v>5953</v>
      </c>
      <c r="K196" s="92">
        <v>5871</v>
      </c>
      <c r="L196" s="92">
        <v>4643</v>
      </c>
      <c r="M196" s="92">
        <v>5296</v>
      </c>
      <c r="N196" s="92">
        <v>4728</v>
      </c>
      <c r="O196" s="92">
        <v>3254</v>
      </c>
      <c r="P196" s="92">
        <v>4906</v>
      </c>
      <c r="Q196" s="92">
        <v>4869</v>
      </c>
      <c r="R196" s="92">
        <v>5219</v>
      </c>
      <c r="S196" s="92">
        <v>4930</v>
      </c>
      <c r="T196" s="88">
        <f t="shared" ref="T196:T215" si="69">(S196-J196)/J196</f>
        <v>-0.17184612800268773</v>
      </c>
      <c r="U196" s="88">
        <f t="shared" ref="U196:U215" si="70">(S196-O196)/O196</f>
        <v>0.51505838967424711</v>
      </c>
      <c r="V196" s="88">
        <f t="shared" ref="V196:V215" si="71">(S196-R196)/R196</f>
        <v>-5.5374592833876218E-2</v>
      </c>
      <c r="W196" s="90">
        <f>S196/S$6</f>
        <v>0.132698105081826</v>
      </c>
      <c r="X196" s="52">
        <f t="shared" ref="X196:X215" si="72">S196-R196</f>
        <v>-289</v>
      </c>
    </row>
    <row r="197" spans="1:24" x14ac:dyDescent="0.2">
      <c r="A197" s="92" t="s">
        <v>51</v>
      </c>
      <c r="B197" s="92">
        <v>721</v>
      </c>
      <c r="C197" s="92">
        <v>821</v>
      </c>
      <c r="D197" s="92">
        <v>833</v>
      </c>
      <c r="E197" s="92">
        <v>1011</v>
      </c>
      <c r="F197" s="92">
        <v>1474</v>
      </c>
      <c r="G197" s="92">
        <v>1603</v>
      </c>
      <c r="H197" s="92">
        <v>1954</v>
      </c>
      <c r="I197" s="92">
        <v>1821</v>
      </c>
      <c r="J197" s="92">
        <v>2351</v>
      </c>
      <c r="K197" s="92">
        <v>3756</v>
      </c>
      <c r="L197" s="92">
        <v>3250</v>
      </c>
      <c r="M197" s="92">
        <v>3434</v>
      </c>
      <c r="N197" s="92">
        <v>3681</v>
      </c>
      <c r="O197" s="92">
        <v>2892</v>
      </c>
      <c r="P197" s="92">
        <v>3930</v>
      </c>
      <c r="Q197" s="92">
        <v>3953</v>
      </c>
      <c r="R197" s="92">
        <v>3657</v>
      </c>
      <c r="S197" s="92">
        <v>3401</v>
      </c>
      <c r="T197" s="88">
        <f t="shared" si="69"/>
        <v>0.44661846022968948</v>
      </c>
      <c r="U197" s="88">
        <f t="shared" si="70"/>
        <v>0.17600276625172892</v>
      </c>
      <c r="V197" s="88">
        <f t="shared" si="71"/>
        <v>-7.0002734481815695E-2</v>
      </c>
      <c r="W197" s="90">
        <f t="shared" ref="W197:W215" si="73">S197/S$6</f>
        <v>9.1542850990525407E-2</v>
      </c>
      <c r="X197" s="52">
        <f t="shared" si="72"/>
        <v>-256</v>
      </c>
    </row>
    <row r="198" spans="1:24" x14ac:dyDescent="0.2">
      <c r="A198" s="92" t="s">
        <v>53</v>
      </c>
      <c r="B198" s="92">
        <v>995</v>
      </c>
      <c r="C198" s="92">
        <v>1204</v>
      </c>
      <c r="D198" s="92">
        <v>916</v>
      </c>
      <c r="E198" s="92">
        <v>761</v>
      </c>
      <c r="F198" s="92">
        <v>1027</v>
      </c>
      <c r="G198" s="92">
        <v>1313</v>
      </c>
      <c r="H198" s="92">
        <v>1482</v>
      </c>
      <c r="I198" s="92">
        <v>1380</v>
      </c>
      <c r="J198" s="92">
        <v>1362</v>
      </c>
      <c r="K198" s="92">
        <v>1618</v>
      </c>
      <c r="L198" s="92">
        <v>2262</v>
      </c>
      <c r="M198" s="92">
        <v>2304</v>
      </c>
      <c r="N198" s="92">
        <v>2172</v>
      </c>
      <c r="O198" s="92">
        <v>1027</v>
      </c>
      <c r="P198" s="92">
        <v>1916</v>
      </c>
      <c r="Q198" s="92">
        <v>2318</v>
      </c>
      <c r="R198" s="92">
        <v>2597</v>
      </c>
      <c r="S198" s="92">
        <v>2843</v>
      </c>
      <c r="T198" s="88">
        <f t="shared" si="69"/>
        <v>1.0873715124816445</v>
      </c>
      <c r="U198" s="88">
        <f t="shared" si="70"/>
        <v>1.7682570593962998</v>
      </c>
      <c r="V198" s="88">
        <f t="shared" si="71"/>
        <v>9.4724682325760493E-2</v>
      </c>
      <c r="W198" s="90">
        <f t="shared" si="73"/>
        <v>7.6523471145564168E-2</v>
      </c>
      <c r="X198" s="52">
        <f t="shared" si="72"/>
        <v>246</v>
      </c>
    </row>
    <row r="199" spans="1:24" x14ac:dyDescent="0.2">
      <c r="A199" s="92" t="s">
        <v>52</v>
      </c>
      <c r="B199" s="92">
        <v>243</v>
      </c>
      <c r="C199" s="92">
        <v>363</v>
      </c>
      <c r="D199" s="92">
        <v>349</v>
      </c>
      <c r="E199" s="92">
        <v>403</v>
      </c>
      <c r="F199" s="92">
        <v>831</v>
      </c>
      <c r="G199" s="92">
        <v>1141</v>
      </c>
      <c r="H199" s="92">
        <v>1673</v>
      </c>
      <c r="I199" s="92">
        <v>1711</v>
      </c>
      <c r="J199" s="92">
        <v>1735</v>
      </c>
      <c r="K199" s="92">
        <v>1911</v>
      </c>
      <c r="L199" s="92">
        <v>1949</v>
      </c>
      <c r="M199" s="92">
        <v>2794</v>
      </c>
      <c r="N199" s="92">
        <v>2950</v>
      </c>
      <c r="O199" s="92">
        <v>2479</v>
      </c>
      <c r="P199" s="92">
        <v>3566</v>
      </c>
      <c r="Q199" s="92">
        <v>3044</v>
      </c>
      <c r="R199" s="92">
        <v>2705</v>
      </c>
      <c r="S199" s="92">
        <v>2501</v>
      </c>
      <c r="T199" s="88">
        <f t="shared" si="69"/>
        <v>0.44149855907780977</v>
      </c>
      <c r="U199" s="88">
        <f t="shared" si="70"/>
        <v>8.8745461879790235E-3</v>
      </c>
      <c r="V199" s="88">
        <f t="shared" si="71"/>
        <v>-7.5415896487985218E-2</v>
      </c>
      <c r="W199" s="90">
        <f t="shared" si="73"/>
        <v>6.7318044788975018E-2</v>
      </c>
      <c r="X199" s="52">
        <f t="shared" si="72"/>
        <v>-204</v>
      </c>
    </row>
    <row r="200" spans="1:24" x14ac:dyDescent="0.2">
      <c r="A200" s="156" t="s">
        <v>54</v>
      </c>
      <c r="B200" s="156">
        <v>584</v>
      </c>
      <c r="C200" s="92">
        <v>767</v>
      </c>
      <c r="D200" s="92">
        <v>770</v>
      </c>
      <c r="E200" s="92">
        <v>739</v>
      </c>
      <c r="F200" s="92">
        <v>920</v>
      </c>
      <c r="G200" s="92">
        <v>1087</v>
      </c>
      <c r="H200" s="92">
        <v>1165</v>
      </c>
      <c r="I200" s="92">
        <v>1425</v>
      </c>
      <c r="J200" s="92">
        <v>1785</v>
      </c>
      <c r="K200" s="92">
        <v>1940</v>
      </c>
      <c r="L200" s="92">
        <v>2069</v>
      </c>
      <c r="M200" s="92">
        <v>2076</v>
      </c>
      <c r="N200" s="92">
        <v>2115</v>
      </c>
      <c r="O200" s="92">
        <v>1199</v>
      </c>
      <c r="P200" s="92">
        <v>1871</v>
      </c>
      <c r="Q200" s="92">
        <v>1998</v>
      </c>
      <c r="R200" s="92">
        <v>2775</v>
      </c>
      <c r="S200" s="92">
        <v>2053</v>
      </c>
      <c r="T200" s="88">
        <f t="shared" si="69"/>
        <v>0.15014005602240896</v>
      </c>
      <c r="U200" s="88">
        <f t="shared" si="70"/>
        <v>0.71226021684737284</v>
      </c>
      <c r="V200" s="88">
        <f t="shared" si="71"/>
        <v>-0.26018018018018019</v>
      </c>
      <c r="W200" s="90">
        <f t="shared" si="73"/>
        <v>5.5259474590869939E-2</v>
      </c>
      <c r="X200" s="52">
        <f t="shared" si="72"/>
        <v>-722</v>
      </c>
    </row>
    <row r="201" spans="1:24" x14ac:dyDescent="0.2">
      <c r="A201" s="156" t="s">
        <v>59</v>
      </c>
      <c r="B201" s="156">
        <v>168</v>
      </c>
      <c r="C201" s="92">
        <v>262</v>
      </c>
      <c r="D201" s="92">
        <v>208</v>
      </c>
      <c r="E201" s="92">
        <v>281</v>
      </c>
      <c r="F201" s="92">
        <v>411</v>
      </c>
      <c r="G201" s="92">
        <v>404</v>
      </c>
      <c r="H201" s="92">
        <v>467</v>
      </c>
      <c r="I201" s="92">
        <v>599</v>
      </c>
      <c r="J201" s="92">
        <v>600</v>
      </c>
      <c r="K201" s="92">
        <v>831</v>
      </c>
      <c r="L201" s="92">
        <v>869</v>
      </c>
      <c r="M201" s="92">
        <v>1004</v>
      </c>
      <c r="N201" s="92">
        <v>1039</v>
      </c>
      <c r="O201" s="92">
        <v>717</v>
      </c>
      <c r="P201" s="92">
        <v>1083</v>
      </c>
      <c r="Q201" s="92">
        <v>1043</v>
      </c>
      <c r="R201" s="92">
        <v>1071</v>
      </c>
      <c r="S201" s="92">
        <v>1381</v>
      </c>
      <c r="T201" s="88">
        <f t="shared" si="69"/>
        <v>1.3016666666666667</v>
      </c>
      <c r="U201" s="88">
        <f t="shared" si="70"/>
        <v>0.92608089260808923</v>
      </c>
      <c r="V201" s="88">
        <f t="shared" si="71"/>
        <v>0.28944911297852477</v>
      </c>
      <c r="W201" s="90">
        <f t="shared" si="73"/>
        <v>3.7171619293712314E-2</v>
      </c>
      <c r="X201" s="52">
        <f t="shared" si="72"/>
        <v>310</v>
      </c>
    </row>
    <row r="202" spans="1:24" x14ac:dyDescent="0.2">
      <c r="A202" s="92" t="s">
        <v>61</v>
      </c>
      <c r="B202" s="92">
        <v>221</v>
      </c>
      <c r="C202" s="92">
        <v>251</v>
      </c>
      <c r="D202" s="92">
        <v>213</v>
      </c>
      <c r="E202" s="92">
        <v>220</v>
      </c>
      <c r="F202" s="92">
        <v>414</v>
      </c>
      <c r="G202" s="92">
        <v>375</v>
      </c>
      <c r="H202" s="92">
        <v>479</v>
      </c>
      <c r="I202" s="92">
        <v>514</v>
      </c>
      <c r="J202" s="92">
        <v>611</v>
      </c>
      <c r="K202" s="92">
        <v>706</v>
      </c>
      <c r="L202" s="92">
        <v>763</v>
      </c>
      <c r="M202" s="92">
        <v>1035</v>
      </c>
      <c r="N202" s="92">
        <v>1132</v>
      </c>
      <c r="O202" s="92">
        <v>800</v>
      </c>
      <c r="P202" s="92">
        <v>879</v>
      </c>
      <c r="Q202" s="92">
        <v>989</v>
      </c>
      <c r="R202" s="92">
        <v>1437</v>
      </c>
      <c r="S202" s="92">
        <v>1314</v>
      </c>
      <c r="T202" s="88">
        <f t="shared" si="69"/>
        <v>1.1505728314238952</v>
      </c>
      <c r="U202" s="88">
        <f t="shared" si="70"/>
        <v>0.64249999999999996</v>
      </c>
      <c r="V202" s="88">
        <f t="shared" si="71"/>
        <v>-8.5594989561586635E-2</v>
      </c>
      <c r="W202" s="90">
        <f t="shared" si="73"/>
        <v>3.5368217054263566E-2</v>
      </c>
      <c r="X202" s="52">
        <f t="shared" si="72"/>
        <v>-123</v>
      </c>
    </row>
    <row r="203" spans="1:24" x14ac:dyDescent="0.2">
      <c r="A203" s="92" t="s">
        <v>211</v>
      </c>
      <c r="B203" s="92">
        <v>286</v>
      </c>
      <c r="C203" s="92">
        <v>228</v>
      </c>
      <c r="D203" s="92">
        <v>200</v>
      </c>
      <c r="E203" s="92">
        <v>268</v>
      </c>
      <c r="F203" s="92">
        <v>316</v>
      </c>
      <c r="G203" s="92">
        <v>353</v>
      </c>
      <c r="H203" s="92">
        <v>349</v>
      </c>
      <c r="I203" s="92">
        <v>400</v>
      </c>
      <c r="J203" s="92">
        <v>430</v>
      </c>
      <c r="K203" s="92">
        <v>435</v>
      </c>
      <c r="L203" s="92">
        <v>515</v>
      </c>
      <c r="M203" s="92">
        <v>566</v>
      </c>
      <c r="N203" s="92">
        <v>666</v>
      </c>
      <c r="O203" s="92">
        <v>546</v>
      </c>
      <c r="P203" s="92">
        <v>864</v>
      </c>
      <c r="Q203" s="92">
        <v>1134</v>
      </c>
      <c r="R203" s="92">
        <v>1240</v>
      </c>
      <c r="S203" s="92">
        <v>1276</v>
      </c>
      <c r="T203" s="88">
        <f t="shared" si="69"/>
        <v>1.9674418604651163</v>
      </c>
      <c r="U203" s="88">
        <f t="shared" si="70"/>
        <v>1.3369963369963369</v>
      </c>
      <c r="V203" s="88">
        <f t="shared" si="71"/>
        <v>2.903225806451613E-2</v>
      </c>
      <c r="W203" s="90">
        <f t="shared" si="73"/>
        <v>3.434539190353144E-2</v>
      </c>
      <c r="X203" s="52">
        <f t="shared" si="72"/>
        <v>36</v>
      </c>
    </row>
    <row r="204" spans="1:24" x14ac:dyDescent="0.2">
      <c r="A204" s="92" t="s">
        <v>57</v>
      </c>
      <c r="B204" s="92">
        <v>239</v>
      </c>
      <c r="C204" s="92">
        <v>270</v>
      </c>
      <c r="D204" s="92">
        <v>341</v>
      </c>
      <c r="E204" s="92">
        <v>384</v>
      </c>
      <c r="F204" s="92">
        <v>549</v>
      </c>
      <c r="G204" s="92">
        <v>457</v>
      </c>
      <c r="H204" s="92">
        <v>600</v>
      </c>
      <c r="I204" s="92">
        <v>733</v>
      </c>
      <c r="J204" s="92">
        <v>798</v>
      </c>
      <c r="K204" s="92">
        <v>1199</v>
      </c>
      <c r="L204" s="92">
        <v>1476</v>
      </c>
      <c r="M204" s="92">
        <v>1459</v>
      </c>
      <c r="N204" s="92">
        <v>1466</v>
      </c>
      <c r="O204" s="92">
        <v>877</v>
      </c>
      <c r="P204" s="92">
        <v>1314</v>
      </c>
      <c r="Q204" s="92">
        <v>1286</v>
      </c>
      <c r="R204" s="92">
        <v>1570</v>
      </c>
      <c r="S204" s="92">
        <v>1224</v>
      </c>
      <c r="T204" s="88">
        <f t="shared" si="69"/>
        <v>0.53383458646616544</v>
      </c>
      <c r="U204" s="88">
        <f t="shared" si="70"/>
        <v>0.39566704675028508</v>
      </c>
      <c r="V204" s="88">
        <f t="shared" si="71"/>
        <v>-0.22038216560509555</v>
      </c>
      <c r="W204" s="90">
        <f t="shared" si="73"/>
        <v>3.294573643410853E-2</v>
      </c>
      <c r="X204" s="52">
        <f t="shared" si="72"/>
        <v>-346</v>
      </c>
    </row>
    <row r="205" spans="1:24" x14ac:dyDescent="0.2">
      <c r="A205" s="92" t="s">
        <v>56</v>
      </c>
      <c r="B205" s="92">
        <v>306</v>
      </c>
      <c r="C205" s="92">
        <v>680</v>
      </c>
      <c r="D205" s="92">
        <v>374</v>
      </c>
      <c r="E205" s="92">
        <v>31</v>
      </c>
      <c r="F205" s="92">
        <v>495</v>
      </c>
      <c r="G205" s="92">
        <v>577</v>
      </c>
      <c r="H205" s="92">
        <v>688</v>
      </c>
      <c r="I205" s="92">
        <v>802</v>
      </c>
      <c r="J205" s="92">
        <v>811</v>
      </c>
      <c r="K205" s="92">
        <v>829</v>
      </c>
      <c r="L205" s="92">
        <v>899</v>
      </c>
      <c r="M205" s="92">
        <v>1100</v>
      </c>
      <c r="N205" s="92">
        <v>1111</v>
      </c>
      <c r="O205" s="92">
        <v>824</v>
      </c>
      <c r="P205" s="92">
        <v>1371</v>
      </c>
      <c r="Q205" s="92">
        <v>1301</v>
      </c>
      <c r="R205" s="92">
        <v>1349</v>
      </c>
      <c r="S205" s="92">
        <v>1105</v>
      </c>
      <c r="T205" s="88">
        <f t="shared" si="69"/>
        <v>0.36251541307028362</v>
      </c>
      <c r="U205" s="88">
        <f t="shared" si="70"/>
        <v>0.34101941747572817</v>
      </c>
      <c r="V205" s="88">
        <f t="shared" si="71"/>
        <v>-0.18087472201630839</v>
      </c>
      <c r="W205" s="90">
        <f t="shared" si="73"/>
        <v>2.9742678725236865E-2</v>
      </c>
      <c r="X205" s="52">
        <f t="shared" si="72"/>
        <v>-244</v>
      </c>
    </row>
    <row r="206" spans="1:24" x14ac:dyDescent="0.2">
      <c r="A206" s="92" t="s">
        <v>240</v>
      </c>
      <c r="B206" s="92">
        <v>61</v>
      </c>
      <c r="C206" s="92">
        <v>141</v>
      </c>
      <c r="D206" s="92">
        <v>214</v>
      </c>
      <c r="E206" s="92">
        <v>117</v>
      </c>
      <c r="F206" s="92">
        <v>141</v>
      </c>
      <c r="G206" s="92">
        <v>275</v>
      </c>
      <c r="H206" s="92">
        <v>272</v>
      </c>
      <c r="I206" s="92">
        <v>285</v>
      </c>
      <c r="J206" s="92">
        <v>366</v>
      </c>
      <c r="K206" s="92">
        <v>350</v>
      </c>
      <c r="L206" s="92">
        <v>501</v>
      </c>
      <c r="M206" s="92">
        <v>733</v>
      </c>
      <c r="N206" s="92">
        <v>753</v>
      </c>
      <c r="O206" s="92">
        <v>758</v>
      </c>
      <c r="P206" s="92">
        <v>1046</v>
      </c>
      <c r="Q206" s="92">
        <v>1116</v>
      </c>
      <c r="R206" s="92">
        <v>1157</v>
      </c>
      <c r="S206" s="92">
        <v>1099</v>
      </c>
      <c r="T206" s="88">
        <f t="shared" si="69"/>
        <v>2.0027322404371586</v>
      </c>
      <c r="U206" s="88">
        <f t="shared" si="70"/>
        <v>0.44986807387862798</v>
      </c>
      <c r="V206" s="88">
        <f t="shared" si="71"/>
        <v>-5.0129645635263613E-2</v>
      </c>
      <c r="W206" s="90">
        <f t="shared" si="73"/>
        <v>2.9581180017226528E-2</v>
      </c>
      <c r="X206" s="52">
        <f t="shared" si="72"/>
        <v>-58</v>
      </c>
    </row>
    <row r="207" spans="1:24" x14ac:dyDescent="0.2">
      <c r="A207" s="92" t="s">
        <v>60</v>
      </c>
      <c r="B207" s="92">
        <v>326</v>
      </c>
      <c r="C207" s="92">
        <v>585</v>
      </c>
      <c r="D207" s="92">
        <v>364</v>
      </c>
      <c r="E207" s="92">
        <v>197</v>
      </c>
      <c r="F207" s="92">
        <v>411</v>
      </c>
      <c r="G207" s="92">
        <v>487</v>
      </c>
      <c r="H207" s="92">
        <v>524</v>
      </c>
      <c r="I207" s="92">
        <v>511</v>
      </c>
      <c r="J207" s="92">
        <v>610</v>
      </c>
      <c r="K207" s="92">
        <v>730</v>
      </c>
      <c r="L207" s="92">
        <v>711</v>
      </c>
      <c r="M207" s="92">
        <v>894</v>
      </c>
      <c r="N207" s="92">
        <v>843</v>
      </c>
      <c r="O207" s="92">
        <v>664</v>
      </c>
      <c r="P207" s="92">
        <v>1022</v>
      </c>
      <c r="Q207" s="92">
        <v>918</v>
      </c>
      <c r="R207" s="92">
        <v>1227</v>
      </c>
      <c r="S207" s="92">
        <v>1094</v>
      </c>
      <c r="T207" s="88">
        <f t="shared" si="69"/>
        <v>0.79344262295081969</v>
      </c>
      <c r="U207" s="88">
        <f t="shared" si="70"/>
        <v>0.64759036144578308</v>
      </c>
      <c r="V207" s="88">
        <f t="shared" si="71"/>
        <v>-0.10839445802770986</v>
      </c>
      <c r="W207" s="90">
        <f t="shared" si="73"/>
        <v>2.9446597760551248E-2</v>
      </c>
      <c r="X207" s="52">
        <f t="shared" si="72"/>
        <v>-133</v>
      </c>
    </row>
    <row r="208" spans="1:24" x14ac:dyDescent="0.2">
      <c r="A208" s="92" t="s">
        <v>283</v>
      </c>
      <c r="B208" s="92">
        <v>93</v>
      </c>
      <c r="C208" s="92">
        <v>310</v>
      </c>
      <c r="D208" s="92">
        <v>278</v>
      </c>
      <c r="E208" s="92">
        <v>155</v>
      </c>
      <c r="F208" s="92">
        <v>365</v>
      </c>
      <c r="G208" s="92">
        <v>521</v>
      </c>
      <c r="H208" s="92">
        <v>581</v>
      </c>
      <c r="I208" s="92">
        <v>535</v>
      </c>
      <c r="J208" s="92">
        <v>556</v>
      </c>
      <c r="K208" s="92">
        <v>586</v>
      </c>
      <c r="L208" s="92">
        <v>543</v>
      </c>
      <c r="M208" s="92">
        <v>702</v>
      </c>
      <c r="N208" s="92">
        <v>774</v>
      </c>
      <c r="O208" s="92">
        <v>286</v>
      </c>
      <c r="P208" s="92">
        <v>746</v>
      </c>
      <c r="Q208" s="92">
        <v>1289</v>
      </c>
      <c r="R208" s="92">
        <v>1054</v>
      </c>
      <c r="S208" s="92">
        <v>928</v>
      </c>
      <c r="T208" s="88">
        <f t="shared" si="69"/>
        <v>0.6690647482014388</v>
      </c>
      <c r="U208" s="88">
        <f t="shared" si="70"/>
        <v>2.2447552447552446</v>
      </c>
      <c r="V208" s="88">
        <f t="shared" si="71"/>
        <v>-0.11954459203036052</v>
      </c>
      <c r="W208" s="90">
        <f t="shared" si="73"/>
        <v>2.4978466838931956E-2</v>
      </c>
      <c r="X208" s="52">
        <f t="shared" si="72"/>
        <v>-126</v>
      </c>
    </row>
    <row r="209" spans="1:24" x14ac:dyDescent="0.2">
      <c r="A209" s="92" t="s">
        <v>71</v>
      </c>
      <c r="B209" s="92">
        <v>80</v>
      </c>
      <c r="C209" s="92">
        <v>72</v>
      </c>
      <c r="D209" s="92">
        <v>99</v>
      </c>
      <c r="E209" s="92">
        <v>84</v>
      </c>
      <c r="F209" s="92">
        <v>113</v>
      </c>
      <c r="G209" s="92">
        <v>102</v>
      </c>
      <c r="H209" s="92">
        <v>132</v>
      </c>
      <c r="I209" s="92">
        <v>180</v>
      </c>
      <c r="J209" s="92">
        <v>246</v>
      </c>
      <c r="K209" s="92">
        <v>317</v>
      </c>
      <c r="L209" s="92">
        <v>457</v>
      </c>
      <c r="M209" s="92">
        <v>423</v>
      </c>
      <c r="N209" s="92">
        <v>520</v>
      </c>
      <c r="O209" s="92">
        <v>640</v>
      </c>
      <c r="P209" s="92">
        <v>806</v>
      </c>
      <c r="Q209" s="92">
        <v>937</v>
      </c>
      <c r="R209" s="92">
        <v>1003</v>
      </c>
      <c r="S209" s="92">
        <v>839</v>
      </c>
      <c r="T209" s="88">
        <f t="shared" si="69"/>
        <v>2.410569105691057</v>
      </c>
      <c r="U209" s="88">
        <f t="shared" si="70"/>
        <v>0.31093749999999998</v>
      </c>
      <c r="V209" s="88">
        <f t="shared" si="71"/>
        <v>-0.16350947158524426</v>
      </c>
      <c r="W209" s="90">
        <f t="shared" si="73"/>
        <v>2.2582902670111971E-2</v>
      </c>
      <c r="X209" s="52">
        <f t="shared" si="72"/>
        <v>-164</v>
      </c>
    </row>
    <row r="210" spans="1:24" x14ac:dyDescent="0.2">
      <c r="A210" s="92" t="s">
        <v>58</v>
      </c>
      <c r="B210" s="92">
        <v>184</v>
      </c>
      <c r="C210" s="92">
        <v>274</v>
      </c>
      <c r="D210" s="92">
        <v>232</v>
      </c>
      <c r="E210" s="92">
        <v>224</v>
      </c>
      <c r="F210" s="92">
        <v>766</v>
      </c>
      <c r="G210" s="92">
        <v>703</v>
      </c>
      <c r="H210" s="92">
        <v>712</v>
      </c>
      <c r="I210" s="92">
        <v>657</v>
      </c>
      <c r="J210" s="92">
        <v>609</v>
      </c>
      <c r="K210" s="92">
        <v>646</v>
      </c>
      <c r="L210" s="92">
        <v>648</v>
      </c>
      <c r="M210" s="92">
        <v>652</v>
      </c>
      <c r="N210" s="92">
        <v>655</v>
      </c>
      <c r="O210" s="92">
        <v>429</v>
      </c>
      <c r="P210" s="92">
        <v>984</v>
      </c>
      <c r="Q210" s="92">
        <v>814</v>
      </c>
      <c r="R210" s="92">
        <v>779</v>
      </c>
      <c r="S210" s="92">
        <v>825</v>
      </c>
      <c r="T210" s="88">
        <f t="shared" si="69"/>
        <v>0.35467980295566504</v>
      </c>
      <c r="U210" s="88">
        <f t="shared" si="70"/>
        <v>0.92307692307692313</v>
      </c>
      <c r="V210" s="88">
        <f t="shared" si="71"/>
        <v>5.9050064184852376E-2</v>
      </c>
      <c r="W210" s="90">
        <f t="shared" si="73"/>
        <v>2.2206072351421188E-2</v>
      </c>
      <c r="X210" s="52">
        <f t="shared" si="72"/>
        <v>46</v>
      </c>
    </row>
    <row r="211" spans="1:24" x14ac:dyDescent="0.2">
      <c r="A211" s="92" t="s">
        <v>62</v>
      </c>
      <c r="B211" s="92">
        <v>447</v>
      </c>
      <c r="C211" s="92">
        <v>414</v>
      </c>
      <c r="D211" s="92">
        <v>408</v>
      </c>
      <c r="E211" s="92">
        <v>417</v>
      </c>
      <c r="F211" s="92">
        <v>506</v>
      </c>
      <c r="G211" s="92">
        <v>465</v>
      </c>
      <c r="H211" s="92">
        <v>520</v>
      </c>
      <c r="I211" s="92">
        <v>502</v>
      </c>
      <c r="J211" s="92">
        <v>541</v>
      </c>
      <c r="K211" s="92">
        <v>710</v>
      </c>
      <c r="L211" s="92">
        <v>743</v>
      </c>
      <c r="M211" s="92">
        <v>804</v>
      </c>
      <c r="N211" s="92">
        <v>687</v>
      </c>
      <c r="O211" s="92">
        <v>655</v>
      </c>
      <c r="P211" s="92">
        <v>903</v>
      </c>
      <c r="Q211" s="92">
        <v>991</v>
      </c>
      <c r="R211" s="92">
        <v>888</v>
      </c>
      <c r="S211" s="92">
        <v>809</v>
      </c>
      <c r="T211" s="88">
        <f t="shared" si="69"/>
        <v>0.49537892791127541</v>
      </c>
      <c r="U211" s="88">
        <f t="shared" si="70"/>
        <v>0.23511450381679388</v>
      </c>
      <c r="V211" s="88">
        <f t="shared" si="71"/>
        <v>-8.8963963963963957E-2</v>
      </c>
      <c r="W211" s="90">
        <f t="shared" si="73"/>
        <v>2.1775409130060291E-2</v>
      </c>
      <c r="X211" s="52">
        <f t="shared" si="72"/>
        <v>-79</v>
      </c>
    </row>
    <row r="212" spans="1:24" x14ac:dyDescent="0.2">
      <c r="A212" s="156" t="s">
        <v>63</v>
      </c>
      <c r="B212" s="156">
        <v>232</v>
      </c>
      <c r="C212" s="92">
        <v>223</v>
      </c>
      <c r="D212" s="92">
        <v>230</v>
      </c>
      <c r="E212" s="92">
        <v>245</v>
      </c>
      <c r="F212" s="92">
        <v>364</v>
      </c>
      <c r="G212" s="92">
        <v>384</v>
      </c>
      <c r="H212" s="92">
        <v>389</v>
      </c>
      <c r="I212" s="92">
        <v>370</v>
      </c>
      <c r="J212" s="92">
        <v>490</v>
      </c>
      <c r="K212" s="92">
        <v>481</v>
      </c>
      <c r="L212" s="92">
        <v>615</v>
      </c>
      <c r="M212" s="92">
        <v>728</v>
      </c>
      <c r="N212" s="92">
        <v>856</v>
      </c>
      <c r="O212" s="92">
        <v>609</v>
      </c>
      <c r="P212" s="92">
        <v>953</v>
      </c>
      <c r="Q212" s="92">
        <v>1029</v>
      </c>
      <c r="R212" s="92">
        <v>899</v>
      </c>
      <c r="S212" s="92">
        <v>751</v>
      </c>
      <c r="T212" s="88">
        <f t="shared" si="69"/>
        <v>0.53265306122448974</v>
      </c>
      <c r="U212" s="88">
        <f t="shared" si="70"/>
        <v>0.23316912972085385</v>
      </c>
      <c r="V212" s="88">
        <f t="shared" si="71"/>
        <v>-0.1646273637374861</v>
      </c>
      <c r="W212" s="90">
        <f t="shared" si="73"/>
        <v>2.0214254952627044E-2</v>
      </c>
      <c r="X212" s="52">
        <f t="shared" si="72"/>
        <v>-148</v>
      </c>
    </row>
    <row r="213" spans="1:24" x14ac:dyDescent="0.2">
      <c r="A213" s="156" t="s">
        <v>419</v>
      </c>
      <c r="B213" s="156">
        <v>8</v>
      </c>
      <c r="C213" s="92">
        <v>22</v>
      </c>
      <c r="D213" s="92">
        <v>29</v>
      </c>
      <c r="E213" s="92">
        <v>28</v>
      </c>
      <c r="F213" s="92">
        <v>29</v>
      </c>
      <c r="G213" s="92">
        <v>56</v>
      </c>
      <c r="H213" s="92">
        <v>45</v>
      </c>
      <c r="I213" s="92">
        <v>52</v>
      </c>
      <c r="J213" s="92">
        <v>135</v>
      </c>
      <c r="K213" s="92">
        <v>122</v>
      </c>
      <c r="L213" s="92">
        <v>151</v>
      </c>
      <c r="M213" s="92">
        <v>156</v>
      </c>
      <c r="N213" s="92">
        <v>111</v>
      </c>
      <c r="O213" s="92">
        <v>184</v>
      </c>
      <c r="P213" s="92">
        <v>434</v>
      </c>
      <c r="Q213" s="92">
        <v>777</v>
      </c>
      <c r="R213" s="92">
        <v>627</v>
      </c>
      <c r="S213" s="92">
        <v>703</v>
      </c>
      <c r="T213" s="88">
        <f t="shared" si="69"/>
        <v>4.2074074074074073</v>
      </c>
      <c r="U213" s="88">
        <f t="shared" si="70"/>
        <v>2.8206521739130435</v>
      </c>
      <c r="V213" s="88">
        <f t="shared" si="71"/>
        <v>0.12121212121212122</v>
      </c>
      <c r="W213" s="90">
        <f t="shared" si="73"/>
        <v>1.8922265288544359E-2</v>
      </c>
      <c r="X213" s="52">
        <f t="shared" si="72"/>
        <v>76</v>
      </c>
    </row>
    <row r="214" spans="1:24" x14ac:dyDescent="0.2">
      <c r="A214" s="92" t="s">
        <v>310</v>
      </c>
      <c r="B214" s="92">
        <v>29</v>
      </c>
      <c r="C214" s="92">
        <v>6</v>
      </c>
      <c r="D214" s="92">
        <v>14</v>
      </c>
      <c r="E214" s="92">
        <v>50</v>
      </c>
      <c r="F214" s="92">
        <v>30</v>
      </c>
      <c r="G214" s="92">
        <v>53</v>
      </c>
      <c r="H214" s="92">
        <v>65</v>
      </c>
      <c r="I214" s="92">
        <v>84</v>
      </c>
      <c r="J214" s="92">
        <v>112</v>
      </c>
      <c r="K214" s="92">
        <v>96</v>
      </c>
      <c r="L214" s="92">
        <v>90</v>
      </c>
      <c r="M214" s="92">
        <v>267</v>
      </c>
      <c r="N214" s="92">
        <v>276</v>
      </c>
      <c r="O214" s="92">
        <v>173</v>
      </c>
      <c r="P214" s="92">
        <v>425</v>
      </c>
      <c r="Q214" s="92">
        <v>445</v>
      </c>
      <c r="R214" s="92">
        <v>664</v>
      </c>
      <c r="S214" s="92">
        <v>639</v>
      </c>
      <c r="T214" s="88">
        <f t="shared" si="69"/>
        <v>4.7053571428571432</v>
      </c>
      <c r="U214" s="88">
        <f t="shared" si="70"/>
        <v>2.6936416184971099</v>
      </c>
      <c r="V214" s="88">
        <f t="shared" si="71"/>
        <v>-3.7650602409638557E-2</v>
      </c>
      <c r="W214" s="90">
        <f t="shared" si="73"/>
        <v>1.7199612403100775E-2</v>
      </c>
      <c r="X214" s="52">
        <f t="shared" si="72"/>
        <v>-25</v>
      </c>
    </row>
    <row r="215" spans="1:24" x14ac:dyDescent="0.2">
      <c r="A215" s="92" t="s">
        <v>55</v>
      </c>
      <c r="B215" s="92">
        <v>552</v>
      </c>
      <c r="C215" s="92">
        <v>411</v>
      </c>
      <c r="D215" s="92">
        <v>529</v>
      </c>
      <c r="E215" s="92">
        <v>716</v>
      </c>
      <c r="F215" s="92">
        <v>635</v>
      </c>
      <c r="G215" s="92">
        <v>691</v>
      </c>
      <c r="H215" s="92">
        <v>769</v>
      </c>
      <c r="I215" s="92">
        <v>761</v>
      </c>
      <c r="J215" s="92">
        <v>786</v>
      </c>
      <c r="K215" s="92">
        <v>818</v>
      </c>
      <c r="L215" s="92">
        <v>842</v>
      </c>
      <c r="M215" s="92">
        <v>611</v>
      </c>
      <c r="N215" s="92">
        <v>594</v>
      </c>
      <c r="O215" s="92">
        <v>459</v>
      </c>
      <c r="P215" s="92">
        <v>657</v>
      </c>
      <c r="Q215" s="92">
        <v>783</v>
      </c>
      <c r="R215" s="92">
        <v>823</v>
      </c>
      <c r="S215" s="92">
        <v>619</v>
      </c>
      <c r="T215" s="88">
        <f t="shared" si="69"/>
        <v>-0.21246819338422393</v>
      </c>
      <c r="U215" s="88">
        <f t="shared" si="70"/>
        <v>0.34858387799564272</v>
      </c>
      <c r="V215" s="88">
        <f t="shared" si="71"/>
        <v>-0.24787363304981774</v>
      </c>
      <c r="W215" s="90">
        <f t="shared" si="73"/>
        <v>1.6661283376399657E-2</v>
      </c>
      <c r="X215" s="52">
        <f t="shared" si="72"/>
        <v>-204</v>
      </c>
    </row>
    <row r="217" spans="1:24" ht="15.75" x14ac:dyDescent="0.2">
      <c r="A217" s="107" t="s">
        <v>505</v>
      </c>
      <c r="B217" s="32"/>
      <c r="C217" s="32"/>
      <c r="D217" s="32"/>
      <c r="E217" s="32"/>
      <c r="F217" s="32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</row>
    <row r="218" spans="1:24" ht="27" customHeight="1" x14ac:dyDescent="0.2">
      <c r="A218" s="73" t="s">
        <v>49</v>
      </c>
      <c r="B218" s="3">
        <v>2007</v>
      </c>
      <c r="C218" s="3">
        <v>2008</v>
      </c>
      <c r="D218" s="3">
        <v>2009</v>
      </c>
      <c r="E218" s="3">
        <v>2010</v>
      </c>
      <c r="F218" s="3">
        <v>2011</v>
      </c>
      <c r="G218" s="3">
        <v>2012</v>
      </c>
      <c r="H218" s="3">
        <v>2013</v>
      </c>
      <c r="I218" s="3">
        <v>2014</v>
      </c>
      <c r="J218" s="3">
        <v>2015</v>
      </c>
      <c r="K218" s="3">
        <v>2016</v>
      </c>
      <c r="L218" s="3">
        <v>2017</v>
      </c>
      <c r="M218" s="3">
        <v>2018</v>
      </c>
      <c r="N218" s="3">
        <v>2019</v>
      </c>
      <c r="O218" s="3">
        <v>2020</v>
      </c>
      <c r="P218" s="3">
        <v>2021</v>
      </c>
      <c r="Q218" s="3">
        <v>2022</v>
      </c>
      <c r="R218" s="3">
        <v>2023</v>
      </c>
      <c r="S218" s="3">
        <v>2024</v>
      </c>
      <c r="T218" s="12" t="s">
        <v>368</v>
      </c>
      <c r="U218" s="12" t="s">
        <v>369</v>
      </c>
      <c r="V218" s="12" t="s">
        <v>370</v>
      </c>
      <c r="W218" s="12" t="s">
        <v>372</v>
      </c>
      <c r="X218" s="169" t="s">
        <v>494</v>
      </c>
    </row>
    <row r="219" spans="1:24" x14ac:dyDescent="0.2">
      <c r="A219" s="92" t="s">
        <v>50</v>
      </c>
      <c r="B219" s="92">
        <v>993</v>
      </c>
      <c r="C219" s="92">
        <v>2390</v>
      </c>
      <c r="D219" s="92">
        <v>3063</v>
      </c>
      <c r="E219" s="92">
        <v>3446</v>
      </c>
      <c r="F219" s="92">
        <v>3750</v>
      </c>
      <c r="G219" s="92">
        <v>4629</v>
      </c>
      <c r="H219" s="92">
        <v>5488</v>
      </c>
      <c r="I219" s="92">
        <v>6202</v>
      </c>
      <c r="J219" s="92">
        <v>6843</v>
      </c>
      <c r="K219" s="92">
        <v>6898</v>
      </c>
      <c r="L219" s="92">
        <v>6671</v>
      </c>
      <c r="M219" s="92">
        <v>6402</v>
      </c>
      <c r="N219" s="92">
        <v>6175</v>
      </c>
      <c r="O219" s="92">
        <v>5000</v>
      </c>
      <c r="P219" s="92">
        <v>6460</v>
      </c>
      <c r="Q219" s="92">
        <v>5153</v>
      </c>
      <c r="R219" s="92">
        <v>5978</v>
      </c>
      <c r="S219" s="92">
        <v>6237</v>
      </c>
      <c r="T219" s="88">
        <f t="shared" ref="T219:T244" si="74">(S219-J219)/J219</f>
        <v>-8.855765015344147E-2</v>
      </c>
      <c r="U219" s="88">
        <f t="shared" ref="U219:U244" si="75">(S219-O219)/O219</f>
        <v>0.24740000000000001</v>
      </c>
      <c r="V219" s="88">
        <f t="shared" ref="V219:V244" si="76">(S219-R219)/R219</f>
        <v>4.3325526932084309E-2</v>
      </c>
      <c r="W219" s="90">
        <f>S219/S$7</f>
        <v>7.6730023989665996E-2</v>
      </c>
      <c r="X219" s="52">
        <f t="shared" ref="X219:X244" si="77">S219-R219</f>
        <v>259</v>
      </c>
    </row>
    <row r="220" spans="1:24" x14ac:dyDescent="0.2">
      <c r="A220" s="92" t="s">
        <v>65</v>
      </c>
      <c r="B220" s="92">
        <v>486</v>
      </c>
      <c r="C220" s="92">
        <v>463</v>
      </c>
      <c r="D220" s="92">
        <v>408</v>
      </c>
      <c r="E220" s="92">
        <v>507</v>
      </c>
      <c r="F220" s="92">
        <v>880</v>
      </c>
      <c r="G220" s="92">
        <v>1379</v>
      </c>
      <c r="H220" s="92">
        <v>1631</v>
      </c>
      <c r="I220" s="92">
        <v>2128</v>
      </c>
      <c r="J220" s="92">
        <v>2773</v>
      </c>
      <c r="K220" s="92">
        <v>3064</v>
      </c>
      <c r="L220" s="92">
        <v>3288</v>
      </c>
      <c r="M220" s="92">
        <v>3902</v>
      </c>
      <c r="N220" s="92">
        <v>4327</v>
      </c>
      <c r="O220" s="92">
        <v>4223</v>
      </c>
      <c r="P220" s="92">
        <v>4430</v>
      </c>
      <c r="Q220" s="92">
        <v>4634</v>
      </c>
      <c r="R220" s="92">
        <v>4580</v>
      </c>
      <c r="S220" s="92">
        <v>4540</v>
      </c>
      <c r="T220" s="88">
        <f t="shared" si="74"/>
        <v>0.63721601153984853</v>
      </c>
      <c r="U220" s="88">
        <f t="shared" si="75"/>
        <v>7.5065119583234668E-2</v>
      </c>
      <c r="V220" s="88">
        <f t="shared" si="76"/>
        <v>-8.7336244541484712E-3</v>
      </c>
      <c r="W220" s="90">
        <f t="shared" ref="W220:W244" si="78">S220/S$7</f>
        <v>5.5852863381927784E-2</v>
      </c>
      <c r="X220" s="52">
        <f t="shared" si="77"/>
        <v>-40</v>
      </c>
    </row>
    <row r="221" spans="1:24" x14ac:dyDescent="0.2">
      <c r="A221" s="92" t="s">
        <v>51</v>
      </c>
      <c r="B221" s="92">
        <v>364</v>
      </c>
      <c r="C221" s="92">
        <v>446</v>
      </c>
      <c r="D221" s="92">
        <v>761</v>
      </c>
      <c r="E221" s="92">
        <v>987</v>
      </c>
      <c r="F221" s="92">
        <v>1492</v>
      </c>
      <c r="G221" s="92">
        <v>2159</v>
      </c>
      <c r="H221" s="92">
        <v>2694</v>
      </c>
      <c r="I221" s="92">
        <v>3825</v>
      </c>
      <c r="J221" s="92">
        <v>4537</v>
      </c>
      <c r="K221" s="92">
        <v>5749</v>
      </c>
      <c r="L221" s="92">
        <v>5440</v>
      </c>
      <c r="M221" s="92">
        <v>5531</v>
      </c>
      <c r="N221" s="92">
        <v>5030</v>
      </c>
      <c r="O221" s="92">
        <v>4694</v>
      </c>
      <c r="P221" s="92">
        <v>4537</v>
      </c>
      <c r="Q221" s="92">
        <v>3890</v>
      </c>
      <c r="R221" s="92">
        <v>3746</v>
      </c>
      <c r="S221" s="92">
        <v>3956</v>
      </c>
      <c r="T221" s="88">
        <f t="shared" si="74"/>
        <v>-0.12805818823010801</v>
      </c>
      <c r="U221" s="88">
        <f t="shared" si="75"/>
        <v>-0.1572219855134214</v>
      </c>
      <c r="V221" s="88">
        <f t="shared" si="76"/>
        <v>5.6059797116924721E-2</v>
      </c>
      <c r="W221" s="90">
        <f t="shared" si="78"/>
        <v>4.8668265977732668E-2</v>
      </c>
      <c r="X221" s="52">
        <f t="shared" si="77"/>
        <v>210</v>
      </c>
    </row>
    <row r="222" spans="1:24" x14ac:dyDescent="0.2">
      <c r="A222" s="92" t="s">
        <v>66</v>
      </c>
      <c r="B222" s="92">
        <v>724</v>
      </c>
      <c r="C222" s="92">
        <v>418</v>
      </c>
      <c r="D222" s="92">
        <v>615</v>
      </c>
      <c r="E222" s="92">
        <v>560</v>
      </c>
      <c r="F222" s="92">
        <v>789</v>
      </c>
      <c r="G222" s="92">
        <v>1269</v>
      </c>
      <c r="H222" s="92">
        <v>1768</v>
      </c>
      <c r="I222" s="92">
        <v>2060</v>
      </c>
      <c r="J222" s="92">
        <v>2411</v>
      </c>
      <c r="K222" s="92">
        <v>2550</v>
      </c>
      <c r="L222" s="92">
        <v>2738</v>
      </c>
      <c r="M222" s="92">
        <v>3060</v>
      </c>
      <c r="N222" s="92">
        <v>1666</v>
      </c>
      <c r="O222" s="92">
        <v>1901</v>
      </c>
      <c r="P222" s="92">
        <v>2507</v>
      </c>
      <c r="Q222" s="92">
        <v>3249</v>
      </c>
      <c r="R222" s="92">
        <v>3215</v>
      </c>
      <c r="S222" s="92">
        <v>3627</v>
      </c>
      <c r="T222" s="88">
        <f t="shared" si="74"/>
        <v>0.5043550394027374</v>
      </c>
      <c r="U222" s="88">
        <f t="shared" si="75"/>
        <v>0.90794318779589689</v>
      </c>
      <c r="V222" s="88">
        <f t="shared" si="76"/>
        <v>0.12814930015552101</v>
      </c>
      <c r="W222" s="90">
        <f t="shared" si="78"/>
        <v>4.4620778741465215E-2</v>
      </c>
      <c r="X222" s="52">
        <f t="shared" si="77"/>
        <v>412</v>
      </c>
    </row>
    <row r="223" spans="1:24" x14ac:dyDescent="0.2">
      <c r="A223" s="156" t="s">
        <v>70</v>
      </c>
      <c r="B223" s="156">
        <v>553</v>
      </c>
      <c r="C223" s="92">
        <v>601</v>
      </c>
      <c r="D223" s="92">
        <v>893</v>
      </c>
      <c r="E223" s="92">
        <v>885</v>
      </c>
      <c r="F223" s="92">
        <v>939</v>
      </c>
      <c r="G223" s="92">
        <v>938</v>
      </c>
      <c r="H223" s="92">
        <v>1122</v>
      </c>
      <c r="I223" s="92">
        <v>1298</v>
      </c>
      <c r="J223" s="92">
        <v>1415</v>
      </c>
      <c r="K223" s="92">
        <v>1586</v>
      </c>
      <c r="L223" s="92">
        <v>1834</v>
      </c>
      <c r="M223" s="92">
        <v>2058</v>
      </c>
      <c r="N223" s="92">
        <v>2113</v>
      </c>
      <c r="O223" s="92">
        <v>1565</v>
      </c>
      <c r="P223" s="92">
        <v>2932</v>
      </c>
      <c r="Q223" s="92">
        <v>2726</v>
      </c>
      <c r="R223" s="92">
        <v>2902</v>
      </c>
      <c r="S223" s="92">
        <v>2801</v>
      </c>
      <c r="T223" s="88">
        <f t="shared" si="74"/>
        <v>0.97950530035335692</v>
      </c>
      <c r="U223" s="88">
        <f t="shared" si="75"/>
        <v>0.78977635782747602</v>
      </c>
      <c r="V223" s="88">
        <f t="shared" si="76"/>
        <v>-3.4803583735354929E-2</v>
      </c>
      <c r="W223" s="90">
        <f t="shared" si="78"/>
        <v>3.4459002275942674E-2</v>
      </c>
      <c r="X223" s="52">
        <f t="shared" si="77"/>
        <v>-101</v>
      </c>
    </row>
    <row r="224" spans="1:24" x14ac:dyDescent="0.2">
      <c r="A224" s="156" t="s">
        <v>52</v>
      </c>
      <c r="B224" s="156">
        <v>136</v>
      </c>
      <c r="C224" s="92">
        <v>123</v>
      </c>
      <c r="D224" s="92">
        <v>158</v>
      </c>
      <c r="E224" s="92">
        <v>305</v>
      </c>
      <c r="F224" s="92">
        <v>771</v>
      </c>
      <c r="G224" s="92">
        <v>1004</v>
      </c>
      <c r="H224" s="92">
        <v>1383</v>
      </c>
      <c r="I224" s="92">
        <v>1606</v>
      </c>
      <c r="J224" s="92">
        <v>1979</v>
      </c>
      <c r="K224" s="92">
        <v>2171</v>
      </c>
      <c r="L224" s="92">
        <v>3325</v>
      </c>
      <c r="M224" s="92">
        <v>3673</v>
      </c>
      <c r="N224" s="92">
        <v>4454</v>
      </c>
      <c r="O224" s="92">
        <v>4165</v>
      </c>
      <c r="P224" s="92">
        <v>4699</v>
      </c>
      <c r="Q224" s="92">
        <v>3175</v>
      </c>
      <c r="R224" s="92">
        <v>2744</v>
      </c>
      <c r="S224" s="92">
        <v>2553</v>
      </c>
      <c r="T224" s="88">
        <f t="shared" si="74"/>
        <v>0.29004547751389592</v>
      </c>
      <c r="U224" s="88">
        <f t="shared" si="75"/>
        <v>-0.38703481392557021</v>
      </c>
      <c r="V224" s="88">
        <f t="shared" si="76"/>
        <v>-6.96064139941691E-2</v>
      </c>
      <c r="W224" s="90">
        <f t="shared" si="78"/>
        <v>3.1408008857722824E-2</v>
      </c>
      <c r="X224" s="52">
        <f t="shared" si="77"/>
        <v>-191</v>
      </c>
    </row>
    <row r="225" spans="1:24" x14ac:dyDescent="0.2">
      <c r="A225" s="92" t="s">
        <v>69</v>
      </c>
      <c r="B225" s="92">
        <v>863</v>
      </c>
      <c r="C225" s="92">
        <v>640</v>
      </c>
      <c r="D225" s="92">
        <v>642</v>
      </c>
      <c r="E225" s="92">
        <v>565</v>
      </c>
      <c r="F225" s="92">
        <v>650</v>
      </c>
      <c r="G225" s="92">
        <v>828</v>
      </c>
      <c r="H225" s="92">
        <v>970</v>
      </c>
      <c r="I225" s="92">
        <v>1176</v>
      </c>
      <c r="J225" s="92">
        <v>1350</v>
      </c>
      <c r="K225" s="92">
        <v>1519</v>
      </c>
      <c r="L225" s="92">
        <v>1522</v>
      </c>
      <c r="M225" s="92">
        <v>1452</v>
      </c>
      <c r="N225" s="92">
        <v>1460</v>
      </c>
      <c r="O225" s="92">
        <v>1512</v>
      </c>
      <c r="P225" s="92">
        <v>1821</v>
      </c>
      <c r="Q225" s="92">
        <v>2086</v>
      </c>
      <c r="R225" s="92">
        <v>2219</v>
      </c>
      <c r="S225" s="92">
        <v>2225</v>
      </c>
      <c r="T225" s="88">
        <f t="shared" si="74"/>
        <v>0.64814814814814814</v>
      </c>
      <c r="U225" s="88">
        <f t="shared" si="75"/>
        <v>0.47156084656084657</v>
      </c>
      <c r="V225" s="88">
        <f t="shared" si="76"/>
        <v>2.7039206849932404E-3</v>
      </c>
      <c r="W225" s="90">
        <f t="shared" si="78"/>
        <v>2.7372824014270776E-2</v>
      </c>
      <c r="X225" s="52">
        <f t="shared" si="77"/>
        <v>6</v>
      </c>
    </row>
    <row r="226" spans="1:24" x14ac:dyDescent="0.2">
      <c r="A226" s="92" t="s">
        <v>67</v>
      </c>
      <c r="B226" s="92">
        <v>853</v>
      </c>
      <c r="C226" s="92">
        <v>792</v>
      </c>
      <c r="D226" s="92">
        <v>766</v>
      </c>
      <c r="E226" s="92">
        <v>811</v>
      </c>
      <c r="F226" s="92">
        <v>1021</v>
      </c>
      <c r="G226" s="92">
        <v>1292</v>
      </c>
      <c r="H226" s="92">
        <v>1349</v>
      </c>
      <c r="I226" s="92">
        <v>1554</v>
      </c>
      <c r="J226" s="92">
        <v>1840</v>
      </c>
      <c r="K226" s="92">
        <v>1692</v>
      </c>
      <c r="L226" s="92">
        <v>1837</v>
      </c>
      <c r="M226" s="92">
        <v>2072</v>
      </c>
      <c r="N226" s="92">
        <v>2006</v>
      </c>
      <c r="O226" s="92">
        <v>1760</v>
      </c>
      <c r="P226" s="92">
        <v>2180</v>
      </c>
      <c r="Q226" s="92">
        <v>2369</v>
      </c>
      <c r="R226" s="92">
        <v>2112</v>
      </c>
      <c r="S226" s="92">
        <v>2092</v>
      </c>
      <c r="T226" s="88">
        <f t="shared" si="74"/>
        <v>0.13695652173913042</v>
      </c>
      <c r="U226" s="88">
        <f t="shared" si="75"/>
        <v>0.18863636363636363</v>
      </c>
      <c r="V226" s="88">
        <f t="shared" si="76"/>
        <v>-9.46969696969697E-3</v>
      </c>
      <c r="W226" s="90">
        <f t="shared" si="78"/>
        <v>2.5736605769822229E-2</v>
      </c>
      <c r="X226" s="52">
        <f t="shared" si="77"/>
        <v>-20</v>
      </c>
    </row>
    <row r="227" spans="1:24" x14ac:dyDescent="0.2">
      <c r="A227" s="92" t="s">
        <v>71</v>
      </c>
      <c r="B227" s="92">
        <v>139</v>
      </c>
      <c r="C227" s="92">
        <v>253</v>
      </c>
      <c r="D227" s="92">
        <v>325</v>
      </c>
      <c r="E227" s="92">
        <v>256</v>
      </c>
      <c r="F227" s="92">
        <v>504</v>
      </c>
      <c r="G227" s="92">
        <v>811</v>
      </c>
      <c r="H227" s="92">
        <v>924</v>
      </c>
      <c r="I227" s="92">
        <v>1079</v>
      </c>
      <c r="J227" s="92">
        <v>1308</v>
      </c>
      <c r="K227" s="92">
        <v>1664</v>
      </c>
      <c r="L227" s="92">
        <v>2082</v>
      </c>
      <c r="M227" s="92">
        <v>2319</v>
      </c>
      <c r="N227" s="92">
        <v>2582</v>
      </c>
      <c r="O227" s="92">
        <v>2322</v>
      </c>
      <c r="P227" s="92">
        <v>3083</v>
      </c>
      <c r="Q227" s="92">
        <v>2195</v>
      </c>
      <c r="R227" s="92">
        <v>2271</v>
      </c>
      <c r="S227" s="92">
        <v>2030</v>
      </c>
      <c r="T227" s="88">
        <f t="shared" si="74"/>
        <v>0.55198776758409784</v>
      </c>
      <c r="U227" s="88">
        <f t="shared" si="75"/>
        <v>-0.12575366063738158</v>
      </c>
      <c r="V227" s="88">
        <f t="shared" si="76"/>
        <v>-0.10612065169528842</v>
      </c>
      <c r="W227" s="90">
        <f t="shared" si="78"/>
        <v>2.4973857415267271E-2</v>
      </c>
      <c r="X227" s="52">
        <f t="shared" si="77"/>
        <v>-241</v>
      </c>
    </row>
    <row r="228" spans="1:24" x14ac:dyDescent="0.2">
      <c r="A228" s="92" t="s">
        <v>311</v>
      </c>
      <c r="B228" s="92">
        <v>113</v>
      </c>
      <c r="C228" s="92">
        <v>62</v>
      </c>
      <c r="D228" s="92">
        <v>62</v>
      </c>
      <c r="E228" s="92">
        <v>80</v>
      </c>
      <c r="F228" s="92">
        <v>78</v>
      </c>
      <c r="G228" s="92">
        <v>76</v>
      </c>
      <c r="H228" s="92">
        <v>110</v>
      </c>
      <c r="I228" s="92">
        <v>198</v>
      </c>
      <c r="J228" s="92">
        <v>271</v>
      </c>
      <c r="K228" s="92">
        <v>291</v>
      </c>
      <c r="L228" s="92">
        <v>633</v>
      </c>
      <c r="M228" s="92">
        <v>663</v>
      </c>
      <c r="N228" s="92">
        <v>698</v>
      </c>
      <c r="O228" s="92">
        <v>751</v>
      </c>
      <c r="P228" s="92">
        <v>991</v>
      </c>
      <c r="Q228" s="92">
        <v>1117</v>
      </c>
      <c r="R228" s="92">
        <v>1333</v>
      </c>
      <c r="S228" s="92">
        <v>1888</v>
      </c>
      <c r="T228" s="88">
        <f t="shared" si="74"/>
        <v>5.9667896678966788</v>
      </c>
      <c r="U228" s="88">
        <f t="shared" si="75"/>
        <v>1.5139813581890813</v>
      </c>
      <c r="V228" s="88">
        <f t="shared" si="76"/>
        <v>0.41635408852213052</v>
      </c>
      <c r="W228" s="90">
        <f t="shared" si="78"/>
        <v>2.3226917635480102E-2</v>
      </c>
      <c r="X228" s="52">
        <f t="shared" si="77"/>
        <v>555</v>
      </c>
    </row>
    <row r="229" spans="1:24" x14ac:dyDescent="0.2">
      <c r="A229" s="92" t="s">
        <v>211</v>
      </c>
      <c r="B229" s="92">
        <v>520</v>
      </c>
      <c r="C229" s="92">
        <v>431</v>
      </c>
      <c r="D229" s="92">
        <v>573</v>
      </c>
      <c r="E229" s="92">
        <v>225</v>
      </c>
      <c r="F229" s="92">
        <v>488</v>
      </c>
      <c r="G229" s="92">
        <v>501</v>
      </c>
      <c r="H229" s="92">
        <v>687</v>
      </c>
      <c r="I229" s="92">
        <v>683</v>
      </c>
      <c r="J229" s="92">
        <v>849</v>
      </c>
      <c r="K229" s="92">
        <v>951</v>
      </c>
      <c r="L229" s="92">
        <v>920</v>
      </c>
      <c r="M229" s="92">
        <v>1022</v>
      </c>
      <c r="N229" s="92">
        <v>960</v>
      </c>
      <c r="O229" s="92">
        <v>834</v>
      </c>
      <c r="P229" s="92">
        <v>1099</v>
      </c>
      <c r="Q229" s="92">
        <v>1348</v>
      </c>
      <c r="R229" s="92">
        <v>1517</v>
      </c>
      <c r="S229" s="92">
        <v>1778</v>
      </c>
      <c r="T229" s="88">
        <f t="shared" si="74"/>
        <v>1.0942285041224971</v>
      </c>
      <c r="U229" s="88">
        <f t="shared" si="75"/>
        <v>1.1318944844124701</v>
      </c>
      <c r="V229" s="88">
        <f t="shared" si="76"/>
        <v>0.17205009887936717</v>
      </c>
      <c r="W229" s="90">
        <f t="shared" si="78"/>
        <v>2.1873654425785816E-2</v>
      </c>
      <c r="X229" s="52">
        <f t="shared" si="77"/>
        <v>261</v>
      </c>
    </row>
    <row r="230" spans="1:24" x14ac:dyDescent="0.2">
      <c r="A230" s="92" t="s">
        <v>62</v>
      </c>
      <c r="B230" s="92">
        <v>155</v>
      </c>
      <c r="C230" s="92">
        <v>252</v>
      </c>
      <c r="D230" s="92">
        <v>448</v>
      </c>
      <c r="E230" s="92">
        <v>469</v>
      </c>
      <c r="F230" s="92">
        <v>662</v>
      </c>
      <c r="G230" s="92">
        <v>689</v>
      </c>
      <c r="H230" s="92">
        <v>923</v>
      </c>
      <c r="I230" s="92">
        <v>1070</v>
      </c>
      <c r="J230" s="92">
        <v>1222</v>
      </c>
      <c r="K230" s="92">
        <v>1348</v>
      </c>
      <c r="L230" s="92">
        <v>1555</v>
      </c>
      <c r="M230" s="92">
        <v>1676</v>
      </c>
      <c r="N230" s="92">
        <v>1678</v>
      </c>
      <c r="O230" s="92">
        <v>1645</v>
      </c>
      <c r="P230" s="92">
        <v>2324</v>
      </c>
      <c r="Q230" s="92">
        <v>1839</v>
      </c>
      <c r="R230" s="92">
        <v>1735</v>
      </c>
      <c r="S230" s="92">
        <v>1703</v>
      </c>
      <c r="T230" s="88">
        <f t="shared" si="74"/>
        <v>0.39361702127659576</v>
      </c>
      <c r="U230" s="88">
        <f t="shared" si="75"/>
        <v>3.5258358662613981E-2</v>
      </c>
      <c r="V230" s="88">
        <f t="shared" si="76"/>
        <v>-1.8443804034582133E-2</v>
      </c>
      <c r="W230" s="90">
        <f t="shared" si="78"/>
        <v>2.0950974964630619E-2</v>
      </c>
      <c r="X230" s="52">
        <f t="shared" si="77"/>
        <v>-32</v>
      </c>
    </row>
    <row r="231" spans="1:24" x14ac:dyDescent="0.2">
      <c r="A231" s="92" t="s">
        <v>64</v>
      </c>
      <c r="B231" s="92">
        <v>852</v>
      </c>
      <c r="C231" s="92">
        <v>816</v>
      </c>
      <c r="D231" s="92">
        <v>859</v>
      </c>
      <c r="E231" s="92">
        <v>959</v>
      </c>
      <c r="F231" s="92">
        <v>1434</v>
      </c>
      <c r="G231" s="92">
        <v>1880</v>
      </c>
      <c r="H231" s="92">
        <v>2996</v>
      </c>
      <c r="I231" s="92">
        <v>3486</v>
      </c>
      <c r="J231" s="92">
        <v>4498</v>
      </c>
      <c r="K231" s="92">
        <v>5431</v>
      </c>
      <c r="L231" s="92">
        <v>6058</v>
      </c>
      <c r="M231" s="92">
        <v>6287</v>
      </c>
      <c r="N231" s="92">
        <v>4439</v>
      </c>
      <c r="O231" s="92">
        <v>3079</v>
      </c>
      <c r="P231" s="92">
        <v>2760</v>
      </c>
      <c r="Q231" s="92">
        <v>2224</v>
      </c>
      <c r="R231" s="92">
        <v>1856</v>
      </c>
      <c r="S231" s="92">
        <v>1631</v>
      </c>
      <c r="T231" s="88">
        <f t="shared" si="74"/>
        <v>-0.63739439751000448</v>
      </c>
      <c r="U231" s="88">
        <f t="shared" si="75"/>
        <v>-0.47028255927249107</v>
      </c>
      <c r="V231" s="88">
        <f t="shared" si="76"/>
        <v>-0.12122844827586207</v>
      </c>
      <c r="W231" s="90">
        <f t="shared" si="78"/>
        <v>2.0065202681921634E-2</v>
      </c>
      <c r="X231" s="52">
        <f t="shared" si="77"/>
        <v>-225</v>
      </c>
    </row>
    <row r="232" spans="1:24" x14ac:dyDescent="0.2">
      <c r="A232" s="92" t="s">
        <v>240</v>
      </c>
      <c r="B232" s="92">
        <v>1</v>
      </c>
      <c r="C232" s="92">
        <v>11</v>
      </c>
      <c r="D232" s="92">
        <v>27</v>
      </c>
      <c r="E232" s="92">
        <v>36</v>
      </c>
      <c r="F232" s="92">
        <v>34</v>
      </c>
      <c r="G232" s="92">
        <v>71</v>
      </c>
      <c r="H232" s="92">
        <v>100</v>
      </c>
      <c r="I232" s="92">
        <v>160</v>
      </c>
      <c r="J232" s="92">
        <v>230</v>
      </c>
      <c r="K232" s="92">
        <v>295</v>
      </c>
      <c r="L232" s="92">
        <v>415</v>
      </c>
      <c r="M232" s="92">
        <v>555</v>
      </c>
      <c r="N232" s="92">
        <v>490</v>
      </c>
      <c r="O232" s="92">
        <v>670</v>
      </c>
      <c r="P232" s="92">
        <v>1130</v>
      </c>
      <c r="Q232" s="92">
        <v>1059</v>
      </c>
      <c r="R232" s="92">
        <v>1397</v>
      </c>
      <c r="S232" s="92">
        <v>1572</v>
      </c>
      <c r="T232" s="88">
        <f t="shared" si="74"/>
        <v>5.8347826086956518</v>
      </c>
      <c r="U232" s="88">
        <f t="shared" si="75"/>
        <v>1.3462686567164179</v>
      </c>
      <c r="V232" s="88">
        <f t="shared" si="76"/>
        <v>0.12526843235504653</v>
      </c>
      <c r="W232" s="90">
        <f t="shared" si="78"/>
        <v>1.9339361505812881E-2</v>
      </c>
      <c r="X232" s="52">
        <f t="shared" si="77"/>
        <v>175</v>
      </c>
    </row>
    <row r="233" spans="1:24" x14ac:dyDescent="0.2">
      <c r="A233" s="92" t="s">
        <v>72</v>
      </c>
      <c r="B233" s="92">
        <v>346</v>
      </c>
      <c r="C233" s="92">
        <v>260</v>
      </c>
      <c r="D233" s="92">
        <v>294</v>
      </c>
      <c r="E233" s="92">
        <v>271</v>
      </c>
      <c r="F233" s="92">
        <v>402</v>
      </c>
      <c r="G233" s="92">
        <v>484</v>
      </c>
      <c r="H233" s="92">
        <v>689</v>
      </c>
      <c r="I233" s="92">
        <v>799</v>
      </c>
      <c r="J233" s="92">
        <v>1037</v>
      </c>
      <c r="K233" s="92">
        <v>1082</v>
      </c>
      <c r="L233" s="92">
        <v>1405</v>
      </c>
      <c r="M233" s="92">
        <v>1631</v>
      </c>
      <c r="N233" s="92">
        <v>1730</v>
      </c>
      <c r="O233" s="92">
        <v>1594</v>
      </c>
      <c r="P233" s="92">
        <v>2062</v>
      </c>
      <c r="Q233" s="92">
        <v>1716</v>
      </c>
      <c r="R233" s="92">
        <v>1468</v>
      </c>
      <c r="S233" s="92">
        <v>1490</v>
      </c>
      <c r="T233" s="88">
        <f t="shared" si="74"/>
        <v>0.43683702989392476</v>
      </c>
      <c r="U233" s="88">
        <f t="shared" si="75"/>
        <v>-6.5244667503136761E-2</v>
      </c>
      <c r="V233" s="88">
        <f t="shared" si="76"/>
        <v>1.4986376021798364E-2</v>
      </c>
      <c r="W233" s="90">
        <f t="shared" si="78"/>
        <v>1.8330565294949867E-2</v>
      </c>
      <c r="X233" s="52">
        <f t="shared" si="77"/>
        <v>22</v>
      </c>
    </row>
    <row r="234" spans="1:24" x14ac:dyDescent="0.2">
      <c r="A234" s="156" t="s">
        <v>297</v>
      </c>
      <c r="B234" s="156">
        <v>45</v>
      </c>
      <c r="C234" s="92">
        <v>59</v>
      </c>
      <c r="D234" s="92">
        <v>49</v>
      </c>
      <c r="E234" s="92">
        <v>55</v>
      </c>
      <c r="F234" s="92">
        <v>100</v>
      </c>
      <c r="G234" s="92">
        <v>120</v>
      </c>
      <c r="H234" s="92">
        <v>192</v>
      </c>
      <c r="I234" s="92">
        <v>339</v>
      </c>
      <c r="J234" s="92">
        <v>511</v>
      </c>
      <c r="K234" s="92">
        <v>516</v>
      </c>
      <c r="L234" s="92">
        <v>602</v>
      </c>
      <c r="M234" s="92">
        <v>753</v>
      </c>
      <c r="N234" s="92">
        <v>701</v>
      </c>
      <c r="O234" s="92">
        <v>633</v>
      </c>
      <c r="P234" s="92">
        <v>856</v>
      </c>
      <c r="Q234" s="92">
        <v>1122</v>
      </c>
      <c r="R234" s="92">
        <v>1225</v>
      </c>
      <c r="S234" s="92">
        <v>1483</v>
      </c>
      <c r="T234" s="88">
        <f t="shared" si="74"/>
        <v>1.9021526418786692</v>
      </c>
      <c r="U234" s="88">
        <f t="shared" si="75"/>
        <v>1.3428120063191153</v>
      </c>
      <c r="V234" s="88">
        <f t="shared" si="76"/>
        <v>0.21061224489795918</v>
      </c>
      <c r="W234" s="90">
        <f t="shared" si="78"/>
        <v>1.8244448545242049E-2</v>
      </c>
      <c r="X234" s="52">
        <f t="shared" si="77"/>
        <v>258</v>
      </c>
    </row>
    <row r="235" spans="1:24" x14ac:dyDescent="0.2">
      <c r="A235" s="92" t="s">
        <v>68</v>
      </c>
      <c r="B235" s="92">
        <v>217</v>
      </c>
      <c r="C235" s="92">
        <v>291</v>
      </c>
      <c r="D235" s="92">
        <v>396</v>
      </c>
      <c r="E235" s="92">
        <v>550</v>
      </c>
      <c r="F235" s="92">
        <v>571</v>
      </c>
      <c r="G235" s="92">
        <v>589</v>
      </c>
      <c r="H235" s="92">
        <v>1058</v>
      </c>
      <c r="I235" s="92">
        <v>1359</v>
      </c>
      <c r="J235" s="92">
        <v>1529</v>
      </c>
      <c r="K235" s="92">
        <v>1637</v>
      </c>
      <c r="L235" s="92">
        <v>2174</v>
      </c>
      <c r="M235" s="92">
        <v>1559</v>
      </c>
      <c r="N235" s="92">
        <v>1521</v>
      </c>
      <c r="O235" s="92">
        <v>1312</v>
      </c>
      <c r="P235" s="92">
        <v>1401</v>
      </c>
      <c r="Q235" s="92">
        <v>1548</v>
      </c>
      <c r="R235" s="92">
        <v>1602</v>
      </c>
      <c r="S235" s="92">
        <v>1445</v>
      </c>
      <c r="T235" s="88">
        <f t="shared" si="74"/>
        <v>-5.4937867887508172E-2</v>
      </c>
      <c r="U235" s="88">
        <f t="shared" si="75"/>
        <v>0.1013719512195122</v>
      </c>
      <c r="V235" s="88">
        <f t="shared" si="76"/>
        <v>-9.8002496878901377E-2</v>
      </c>
      <c r="W235" s="90">
        <f t="shared" si="78"/>
        <v>1.7776957618256751E-2</v>
      </c>
      <c r="X235" s="52">
        <f t="shared" si="77"/>
        <v>-157</v>
      </c>
    </row>
    <row r="236" spans="1:24" x14ac:dyDescent="0.2">
      <c r="A236" s="156" t="s">
        <v>420</v>
      </c>
      <c r="B236" s="156">
        <v>20</v>
      </c>
      <c r="C236" s="92">
        <v>12</v>
      </c>
      <c r="D236" s="92">
        <v>22</v>
      </c>
      <c r="E236" s="92">
        <v>35</v>
      </c>
      <c r="F236" s="92">
        <v>56</v>
      </c>
      <c r="G236" s="92">
        <v>47</v>
      </c>
      <c r="H236" s="92">
        <v>48</v>
      </c>
      <c r="I236" s="92">
        <v>52</v>
      </c>
      <c r="J236" s="92">
        <v>125</v>
      </c>
      <c r="K236" s="92">
        <v>132</v>
      </c>
      <c r="L236" s="92">
        <v>175</v>
      </c>
      <c r="M236" s="92">
        <v>249</v>
      </c>
      <c r="N236" s="92">
        <v>249</v>
      </c>
      <c r="O236" s="92">
        <v>319</v>
      </c>
      <c r="P236" s="92">
        <v>473</v>
      </c>
      <c r="Q236" s="92">
        <v>715</v>
      </c>
      <c r="R236" s="92">
        <v>913</v>
      </c>
      <c r="S236" s="92">
        <v>1304</v>
      </c>
      <c r="T236" s="88">
        <f t="shared" si="74"/>
        <v>9.4320000000000004</v>
      </c>
      <c r="U236" s="88">
        <f t="shared" si="75"/>
        <v>3.0877742946708464</v>
      </c>
      <c r="V236" s="88">
        <f t="shared" si="76"/>
        <v>0.42825848849945236</v>
      </c>
      <c r="W236" s="90">
        <f t="shared" si="78"/>
        <v>1.6042320231284986E-2</v>
      </c>
      <c r="X236" s="52">
        <f t="shared" si="77"/>
        <v>391</v>
      </c>
    </row>
    <row r="237" spans="1:24" x14ac:dyDescent="0.2">
      <c r="A237" s="92" t="s">
        <v>216</v>
      </c>
      <c r="B237" s="92">
        <v>83</v>
      </c>
      <c r="C237" s="92">
        <v>79</v>
      </c>
      <c r="D237" s="92">
        <v>106</v>
      </c>
      <c r="E237" s="92">
        <v>175</v>
      </c>
      <c r="F237" s="92">
        <v>200</v>
      </c>
      <c r="G237" s="92">
        <v>316</v>
      </c>
      <c r="H237" s="92">
        <v>384</v>
      </c>
      <c r="I237" s="92">
        <v>499</v>
      </c>
      <c r="J237" s="92">
        <v>598</v>
      </c>
      <c r="K237" s="92">
        <v>1251</v>
      </c>
      <c r="L237" s="92">
        <v>1109</v>
      </c>
      <c r="M237" s="92">
        <v>1551</v>
      </c>
      <c r="N237" s="92">
        <v>1370</v>
      </c>
      <c r="O237" s="92">
        <v>1343</v>
      </c>
      <c r="P237" s="92">
        <v>1850</v>
      </c>
      <c r="Q237" s="92">
        <v>1666</v>
      </c>
      <c r="R237" s="92">
        <v>1634</v>
      </c>
      <c r="S237" s="92">
        <v>1293</v>
      </c>
      <c r="T237" s="88">
        <f t="shared" si="74"/>
        <v>1.1622073578595318</v>
      </c>
      <c r="U237" s="88">
        <f t="shared" si="75"/>
        <v>-3.7230081906180192E-2</v>
      </c>
      <c r="V237" s="88">
        <f t="shared" si="76"/>
        <v>-0.20869033047735619</v>
      </c>
      <c r="W237" s="90">
        <f t="shared" si="78"/>
        <v>1.5906993910315557E-2</v>
      </c>
      <c r="X237" s="52">
        <f t="shared" si="77"/>
        <v>-341</v>
      </c>
    </row>
    <row r="238" spans="1:24" x14ac:dyDescent="0.2">
      <c r="A238" s="92" t="s">
        <v>253</v>
      </c>
      <c r="B238" s="92">
        <v>332</v>
      </c>
      <c r="C238" s="92">
        <v>382</v>
      </c>
      <c r="D238" s="92">
        <v>365</v>
      </c>
      <c r="E238" s="92">
        <v>394</v>
      </c>
      <c r="F238" s="92">
        <v>462</v>
      </c>
      <c r="G238" s="92">
        <v>544</v>
      </c>
      <c r="H238" s="92">
        <v>524</v>
      </c>
      <c r="I238" s="92">
        <v>636</v>
      </c>
      <c r="J238" s="92">
        <v>771</v>
      </c>
      <c r="K238" s="92">
        <v>828</v>
      </c>
      <c r="L238" s="92">
        <v>938</v>
      </c>
      <c r="M238" s="92">
        <v>1022</v>
      </c>
      <c r="N238" s="92">
        <v>1011</v>
      </c>
      <c r="O238" s="92">
        <v>1065</v>
      </c>
      <c r="P238" s="92">
        <v>1513</v>
      </c>
      <c r="Q238" s="92">
        <v>1309</v>
      </c>
      <c r="R238" s="92">
        <v>1247</v>
      </c>
      <c r="S238" s="92">
        <v>1280</v>
      </c>
      <c r="T238" s="88">
        <f t="shared" si="74"/>
        <v>0.66018158236057067</v>
      </c>
      <c r="U238" s="88">
        <f t="shared" si="75"/>
        <v>0.20187793427230047</v>
      </c>
      <c r="V238" s="88">
        <f t="shared" si="76"/>
        <v>2.6463512429831595E-2</v>
      </c>
      <c r="W238" s="90">
        <f t="shared" si="78"/>
        <v>1.5747062803715323E-2</v>
      </c>
      <c r="X238" s="52">
        <f t="shared" si="77"/>
        <v>33</v>
      </c>
    </row>
    <row r="239" spans="1:24" x14ac:dyDescent="0.2">
      <c r="A239" s="92" t="s">
        <v>59</v>
      </c>
      <c r="B239" s="92">
        <v>46</v>
      </c>
      <c r="C239" s="92">
        <v>24</v>
      </c>
      <c r="D239" s="92">
        <v>88</v>
      </c>
      <c r="E239" s="92">
        <v>164</v>
      </c>
      <c r="F239" s="92">
        <v>180</v>
      </c>
      <c r="G239" s="92">
        <v>277</v>
      </c>
      <c r="H239" s="92">
        <v>412</v>
      </c>
      <c r="I239" s="92">
        <v>379</v>
      </c>
      <c r="J239" s="92">
        <v>704</v>
      </c>
      <c r="K239" s="92">
        <v>889</v>
      </c>
      <c r="L239" s="92">
        <v>995</v>
      </c>
      <c r="M239" s="92">
        <v>975</v>
      </c>
      <c r="N239" s="92">
        <v>911</v>
      </c>
      <c r="O239" s="92">
        <v>907</v>
      </c>
      <c r="P239" s="92">
        <v>1036</v>
      </c>
      <c r="Q239" s="92">
        <v>1006</v>
      </c>
      <c r="R239" s="92">
        <v>912</v>
      </c>
      <c r="S239" s="92">
        <v>1210</v>
      </c>
      <c r="T239" s="88">
        <f t="shared" si="74"/>
        <v>0.71875</v>
      </c>
      <c r="U239" s="88">
        <f t="shared" si="75"/>
        <v>0.33406835722160971</v>
      </c>
      <c r="V239" s="88">
        <f t="shared" si="76"/>
        <v>0.3267543859649123</v>
      </c>
      <c r="W239" s="90">
        <f t="shared" si="78"/>
        <v>1.4885895306637141E-2</v>
      </c>
      <c r="X239" s="52">
        <f t="shared" si="77"/>
        <v>298</v>
      </c>
    </row>
    <row r="240" spans="1:24" x14ac:dyDescent="0.2">
      <c r="A240" s="92" t="s">
        <v>61</v>
      </c>
      <c r="B240" s="92">
        <v>259</v>
      </c>
      <c r="C240" s="92">
        <v>264</v>
      </c>
      <c r="D240" s="92">
        <v>343</v>
      </c>
      <c r="E240" s="92">
        <v>541</v>
      </c>
      <c r="F240" s="92">
        <v>603</v>
      </c>
      <c r="G240" s="92">
        <v>770</v>
      </c>
      <c r="H240" s="92">
        <v>933</v>
      </c>
      <c r="I240" s="92">
        <v>1274</v>
      </c>
      <c r="J240" s="92">
        <v>1531</v>
      </c>
      <c r="K240" s="92">
        <v>1695</v>
      </c>
      <c r="L240" s="92">
        <v>1793</v>
      </c>
      <c r="M240" s="92">
        <v>1624</v>
      </c>
      <c r="N240" s="92">
        <v>1653</v>
      </c>
      <c r="O240" s="92">
        <v>1292</v>
      </c>
      <c r="P240" s="92">
        <v>1435</v>
      </c>
      <c r="Q240" s="92">
        <v>1184</v>
      </c>
      <c r="R240" s="92">
        <v>1079</v>
      </c>
      <c r="S240" s="92">
        <v>1199</v>
      </c>
      <c r="T240" s="88">
        <f t="shared" si="74"/>
        <v>-0.21685173089483997</v>
      </c>
      <c r="U240" s="88">
        <f t="shared" si="75"/>
        <v>-7.198142414860681E-2</v>
      </c>
      <c r="V240" s="88">
        <f t="shared" si="76"/>
        <v>0.11121408711770157</v>
      </c>
      <c r="W240" s="90">
        <f t="shared" si="78"/>
        <v>1.4750568985667713E-2</v>
      </c>
      <c r="X240" s="52">
        <f t="shared" si="77"/>
        <v>120</v>
      </c>
    </row>
    <row r="241" spans="1:24" x14ac:dyDescent="0.2">
      <c r="A241" s="92" t="s">
        <v>428</v>
      </c>
      <c r="B241" s="92">
        <v>54</v>
      </c>
      <c r="C241" s="92">
        <v>72</v>
      </c>
      <c r="D241" s="92">
        <v>72</v>
      </c>
      <c r="E241" s="92">
        <v>63</v>
      </c>
      <c r="F241" s="92">
        <v>117</v>
      </c>
      <c r="G241" s="92">
        <v>147</v>
      </c>
      <c r="H241" s="92">
        <v>156</v>
      </c>
      <c r="I241" s="92">
        <v>157</v>
      </c>
      <c r="J241" s="92">
        <v>140</v>
      </c>
      <c r="K241" s="92">
        <v>127</v>
      </c>
      <c r="L241" s="92">
        <v>237</v>
      </c>
      <c r="M241" s="92">
        <v>225</v>
      </c>
      <c r="N241" s="92">
        <v>315</v>
      </c>
      <c r="O241" s="92">
        <v>279</v>
      </c>
      <c r="P241" s="92">
        <v>281</v>
      </c>
      <c r="Q241" s="92">
        <v>467</v>
      </c>
      <c r="R241" s="92">
        <v>814</v>
      </c>
      <c r="S241" s="92">
        <v>1186</v>
      </c>
      <c r="T241" s="88">
        <f t="shared" si="74"/>
        <v>7.4714285714285715</v>
      </c>
      <c r="U241" s="88">
        <f t="shared" si="75"/>
        <v>3.2508960573476702</v>
      </c>
      <c r="V241" s="88">
        <f t="shared" si="76"/>
        <v>0.45700245700245701</v>
      </c>
      <c r="W241" s="90">
        <f t="shared" si="78"/>
        <v>1.4590637879067479E-2</v>
      </c>
      <c r="X241" s="52">
        <f t="shared" si="77"/>
        <v>372</v>
      </c>
    </row>
    <row r="242" spans="1:24" x14ac:dyDescent="0.2">
      <c r="A242" s="92" t="s">
        <v>56</v>
      </c>
      <c r="B242" s="92">
        <v>41</v>
      </c>
      <c r="C242" s="92">
        <v>25</v>
      </c>
      <c r="D242" s="92">
        <v>63</v>
      </c>
      <c r="E242" s="92">
        <v>162</v>
      </c>
      <c r="F242" s="92">
        <v>232</v>
      </c>
      <c r="G242" s="92">
        <v>433</v>
      </c>
      <c r="H242" s="92">
        <v>512</v>
      </c>
      <c r="I242" s="92">
        <v>682</v>
      </c>
      <c r="J242" s="92">
        <v>914</v>
      </c>
      <c r="K242" s="92">
        <v>996</v>
      </c>
      <c r="L242" s="92">
        <v>1081</v>
      </c>
      <c r="M242" s="92">
        <v>1058</v>
      </c>
      <c r="N242" s="92">
        <v>1256</v>
      </c>
      <c r="O242" s="92">
        <v>1308</v>
      </c>
      <c r="P242" s="92">
        <v>1889</v>
      </c>
      <c r="Q242" s="92">
        <v>1351</v>
      </c>
      <c r="R242" s="92">
        <v>1197</v>
      </c>
      <c r="S242" s="92">
        <v>1093</v>
      </c>
      <c r="T242" s="88">
        <f t="shared" si="74"/>
        <v>0.19584245076586435</v>
      </c>
      <c r="U242" s="88">
        <f t="shared" si="75"/>
        <v>-0.1643730886850153</v>
      </c>
      <c r="V242" s="88">
        <f t="shared" si="76"/>
        <v>-8.6883876357560563E-2</v>
      </c>
      <c r="W242" s="90">
        <f t="shared" si="78"/>
        <v>1.3446515347235037E-2</v>
      </c>
      <c r="X242" s="52">
        <f t="shared" si="77"/>
        <v>-104</v>
      </c>
    </row>
    <row r="243" spans="1:24" x14ac:dyDescent="0.2">
      <c r="A243" s="92" t="s">
        <v>429</v>
      </c>
      <c r="B243" s="92">
        <v>121</v>
      </c>
      <c r="C243" s="92">
        <v>159</v>
      </c>
      <c r="D243" s="92">
        <v>234</v>
      </c>
      <c r="E243" s="92">
        <v>242</v>
      </c>
      <c r="F243" s="92">
        <v>292</v>
      </c>
      <c r="G243" s="92">
        <v>325</v>
      </c>
      <c r="H243" s="92">
        <v>427</v>
      </c>
      <c r="I243" s="92">
        <v>572</v>
      </c>
      <c r="J243" s="92">
        <v>642</v>
      </c>
      <c r="K243" s="92">
        <v>606</v>
      </c>
      <c r="L243" s="92">
        <v>608</v>
      </c>
      <c r="M243" s="92">
        <v>634</v>
      </c>
      <c r="N243" s="92">
        <v>722</v>
      </c>
      <c r="O243" s="92">
        <v>380</v>
      </c>
      <c r="P243" s="92">
        <v>1009</v>
      </c>
      <c r="Q243" s="92">
        <v>1335</v>
      </c>
      <c r="R243" s="92">
        <v>1059</v>
      </c>
      <c r="S243" s="92">
        <v>1073</v>
      </c>
      <c r="T243" s="88">
        <f t="shared" si="74"/>
        <v>0.67133956386292837</v>
      </c>
      <c r="U243" s="88">
        <f t="shared" si="75"/>
        <v>1.8236842105263158</v>
      </c>
      <c r="V243" s="88">
        <f t="shared" si="76"/>
        <v>1.3220018885741265E-2</v>
      </c>
      <c r="W243" s="90">
        <f t="shared" si="78"/>
        <v>1.3200467490926985E-2</v>
      </c>
      <c r="X243" s="52">
        <f t="shared" si="77"/>
        <v>14</v>
      </c>
    </row>
    <row r="244" spans="1:24" x14ac:dyDescent="0.2">
      <c r="A244" s="92" t="s">
        <v>58</v>
      </c>
      <c r="B244" s="92">
        <v>83</v>
      </c>
      <c r="C244" s="92">
        <v>100</v>
      </c>
      <c r="D244" s="92">
        <v>207</v>
      </c>
      <c r="E244" s="92">
        <v>373</v>
      </c>
      <c r="F244" s="92">
        <v>444</v>
      </c>
      <c r="G244" s="92">
        <v>628</v>
      </c>
      <c r="H244" s="92">
        <v>833</v>
      </c>
      <c r="I244" s="92">
        <v>908</v>
      </c>
      <c r="J244" s="92">
        <v>1036</v>
      </c>
      <c r="K244" s="92">
        <v>1039</v>
      </c>
      <c r="L244" s="92">
        <v>1029</v>
      </c>
      <c r="M244" s="92">
        <v>1057</v>
      </c>
      <c r="N244" s="92">
        <v>1186</v>
      </c>
      <c r="O244" s="92">
        <v>958</v>
      </c>
      <c r="P244" s="92">
        <v>1189</v>
      </c>
      <c r="Q244" s="92">
        <v>940</v>
      </c>
      <c r="R244" s="92">
        <v>915</v>
      </c>
      <c r="S244" s="92">
        <v>1061</v>
      </c>
      <c r="T244" s="88">
        <f t="shared" si="74"/>
        <v>2.4131274131274132E-2</v>
      </c>
      <c r="U244" s="88">
        <f t="shared" si="75"/>
        <v>0.10751565762004175</v>
      </c>
      <c r="V244" s="88">
        <f t="shared" si="76"/>
        <v>0.15956284153005465</v>
      </c>
      <c r="W244" s="90">
        <f t="shared" si="78"/>
        <v>1.3052838777142153E-2</v>
      </c>
      <c r="X244" s="52">
        <f t="shared" si="77"/>
        <v>146</v>
      </c>
    </row>
    <row r="245" spans="1:24" x14ac:dyDescent="0.2">
      <c r="A245" s="157"/>
      <c r="B245" s="157"/>
      <c r="C245" s="157"/>
      <c r="D245" s="157"/>
      <c r="E245" s="157"/>
      <c r="F245" s="157"/>
      <c r="G245" s="157"/>
      <c r="H245" s="157"/>
      <c r="I245" s="157"/>
      <c r="J245" s="157"/>
      <c r="K245" s="157"/>
      <c r="L245" s="157"/>
      <c r="M245" s="157"/>
      <c r="N245" s="157"/>
      <c r="O245" s="157"/>
      <c r="P245" s="157"/>
      <c r="Q245" s="157"/>
      <c r="R245" s="157"/>
      <c r="S245" s="157"/>
      <c r="T245" s="129"/>
      <c r="U245" s="124"/>
      <c r="V245" s="124"/>
      <c r="W245" s="123"/>
      <c r="X245" s="123"/>
    </row>
    <row r="246" spans="1:24" ht="15.75" x14ac:dyDescent="0.2">
      <c r="A246" s="32" t="s">
        <v>506</v>
      </c>
      <c r="B246" s="32"/>
      <c r="C246" s="32"/>
      <c r="D246" s="32"/>
      <c r="E246" s="32"/>
      <c r="F246" s="32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</row>
    <row r="247" spans="1:24" ht="27" customHeight="1" x14ac:dyDescent="0.2">
      <c r="A247" s="73" t="s">
        <v>49</v>
      </c>
      <c r="B247" s="3">
        <v>2007</v>
      </c>
      <c r="C247" s="3">
        <v>2008</v>
      </c>
      <c r="D247" s="3">
        <v>2009</v>
      </c>
      <c r="E247" s="3">
        <v>2010</v>
      </c>
      <c r="F247" s="3">
        <v>2011</v>
      </c>
      <c r="G247" s="3">
        <v>2012</v>
      </c>
      <c r="H247" s="3">
        <v>2013</v>
      </c>
      <c r="I247" s="3">
        <v>2014</v>
      </c>
      <c r="J247" s="3">
        <v>2015</v>
      </c>
      <c r="K247" s="3">
        <v>2016</v>
      </c>
      <c r="L247" s="3">
        <v>2017</v>
      </c>
      <c r="M247" s="3">
        <v>2018</v>
      </c>
      <c r="N247" s="3">
        <v>2019</v>
      </c>
      <c r="O247" s="3">
        <v>2020</v>
      </c>
      <c r="P247" s="3">
        <v>2021</v>
      </c>
      <c r="Q247" s="3">
        <v>2022</v>
      </c>
      <c r="R247" s="3">
        <v>2023</v>
      </c>
      <c r="S247" s="3">
        <v>2024</v>
      </c>
      <c r="T247" s="12" t="s">
        <v>368</v>
      </c>
      <c r="U247" s="12" t="s">
        <v>369</v>
      </c>
      <c r="V247" s="12" t="s">
        <v>370</v>
      </c>
      <c r="W247" s="12" t="s">
        <v>372</v>
      </c>
      <c r="X247" s="169" t="s">
        <v>494</v>
      </c>
    </row>
    <row r="248" spans="1:24" x14ac:dyDescent="0.2">
      <c r="A248" s="4" t="s">
        <v>73</v>
      </c>
      <c r="B248" s="4">
        <v>3616</v>
      </c>
      <c r="C248" s="4">
        <v>3739</v>
      </c>
      <c r="D248" s="4">
        <v>3896</v>
      </c>
      <c r="E248" s="4">
        <v>3705</v>
      </c>
      <c r="F248" s="4">
        <v>4074</v>
      </c>
      <c r="G248" s="4">
        <v>4626</v>
      </c>
      <c r="H248" s="4">
        <v>5489</v>
      </c>
      <c r="I248" s="4">
        <v>6098</v>
      </c>
      <c r="J248" s="4">
        <v>6676</v>
      </c>
      <c r="K248" s="4">
        <v>6762</v>
      </c>
      <c r="L248" s="4">
        <v>7305</v>
      </c>
      <c r="M248" s="4">
        <v>7195</v>
      </c>
      <c r="N248" s="4">
        <v>7062</v>
      </c>
      <c r="O248" s="4">
        <v>6692</v>
      </c>
      <c r="P248" s="4">
        <v>8625</v>
      </c>
      <c r="Q248" s="4">
        <v>8435</v>
      </c>
      <c r="R248" s="4">
        <v>8692</v>
      </c>
      <c r="S248" s="92">
        <v>7786</v>
      </c>
      <c r="T248" s="88">
        <f t="shared" ref="T248:T267" si="79">(S248-J248)/J248</f>
        <v>0.16626722588376272</v>
      </c>
      <c r="U248" s="88">
        <f t="shared" ref="U248:U267" si="80">(S248-O248)/O248</f>
        <v>0.16347878063359234</v>
      </c>
      <c r="V248" s="88">
        <f t="shared" ref="V248:V267" si="81">(S248-R248)/R248</f>
        <v>-0.10423377818683847</v>
      </c>
      <c r="W248" s="90">
        <f>S248/S$8</f>
        <v>7.3190449332581314E-2</v>
      </c>
      <c r="X248" s="52">
        <f>S248-R248</f>
        <v>-906</v>
      </c>
    </row>
    <row r="249" spans="1:24" x14ac:dyDescent="0.2">
      <c r="A249" s="4" t="s">
        <v>76</v>
      </c>
      <c r="B249" s="4">
        <v>2530</v>
      </c>
      <c r="C249" s="4">
        <v>3086</v>
      </c>
      <c r="D249" s="4">
        <v>3296</v>
      </c>
      <c r="E249" s="4">
        <v>2849</v>
      </c>
      <c r="F249" s="4">
        <v>3025</v>
      </c>
      <c r="G249" s="4">
        <v>3053</v>
      </c>
      <c r="H249" s="4">
        <v>3411</v>
      </c>
      <c r="I249" s="4">
        <v>3720</v>
      </c>
      <c r="J249" s="4">
        <v>4061</v>
      </c>
      <c r="K249" s="4">
        <v>3959</v>
      </c>
      <c r="L249" s="4">
        <v>4072</v>
      </c>
      <c r="M249" s="4">
        <v>4438</v>
      </c>
      <c r="N249" s="4">
        <v>4920</v>
      </c>
      <c r="O249" s="4">
        <v>4245</v>
      </c>
      <c r="P249" s="4">
        <v>6257</v>
      </c>
      <c r="Q249" s="4">
        <v>6371</v>
      </c>
      <c r="R249" s="4">
        <v>6874</v>
      </c>
      <c r="S249" s="92">
        <v>6775</v>
      </c>
      <c r="T249" s="88">
        <f t="shared" si="79"/>
        <v>0.66830829844865791</v>
      </c>
      <c r="U249" s="88">
        <f t="shared" si="80"/>
        <v>0.59599528857479389</v>
      </c>
      <c r="V249" s="88">
        <f t="shared" si="81"/>
        <v>-1.4402094850160023E-2</v>
      </c>
      <c r="W249" s="90">
        <f t="shared" ref="W249:W267" si="82">S249/S$8</f>
        <v>6.3686783229930433E-2</v>
      </c>
      <c r="X249" s="52">
        <f t="shared" ref="X249:X277" si="83">S249-R249</f>
        <v>-99</v>
      </c>
    </row>
    <row r="250" spans="1:24" x14ac:dyDescent="0.2">
      <c r="A250" s="4" t="s">
        <v>74</v>
      </c>
      <c r="B250" s="4">
        <v>1724</v>
      </c>
      <c r="C250" s="4">
        <v>1574</v>
      </c>
      <c r="D250" s="4">
        <v>2129</v>
      </c>
      <c r="E250" s="4">
        <v>2054</v>
      </c>
      <c r="F250" s="4">
        <v>1953</v>
      </c>
      <c r="G250" s="4">
        <v>2618</v>
      </c>
      <c r="H250" s="4">
        <v>3551</v>
      </c>
      <c r="I250" s="4">
        <v>3770</v>
      </c>
      <c r="J250" s="4">
        <v>4324</v>
      </c>
      <c r="K250" s="4">
        <v>4359</v>
      </c>
      <c r="L250" s="4">
        <v>4483</v>
      </c>
      <c r="M250" s="4">
        <v>4573</v>
      </c>
      <c r="N250" s="4">
        <v>4146</v>
      </c>
      <c r="O250" s="4">
        <v>4027</v>
      </c>
      <c r="P250" s="4">
        <v>4727</v>
      </c>
      <c r="Q250" s="4">
        <v>5356</v>
      </c>
      <c r="R250" s="4">
        <v>6198</v>
      </c>
      <c r="S250" s="92">
        <v>6491</v>
      </c>
      <c r="T250" s="88">
        <f t="shared" si="79"/>
        <v>0.50115633672525439</v>
      </c>
      <c r="U250" s="88">
        <f t="shared" si="80"/>
        <v>0.611869878321331</v>
      </c>
      <c r="V250" s="88">
        <f t="shared" si="81"/>
        <v>4.7273313972249112E-2</v>
      </c>
      <c r="W250" s="90">
        <f t="shared" si="82"/>
        <v>6.1017108479037414E-2</v>
      </c>
      <c r="X250" s="52">
        <f t="shared" si="83"/>
        <v>293</v>
      </c>
    </row>
    <row r="251" spans="1:24" x14ac:dyDescent="0.2">
      <c r="A251" s="4" t="s">
        <v>75</v>
      </c>
      <c r="B251" s="4">
        <v>1287</v>
      </c>
      <c r="C251" s="4">
        <v>1549</v>
      </c>
      <c r="D251" s="4">
        <v>1662</v>
      </c>
      <c r="E251" s="4">
        <v>1777</v>
      </c>
      <c r="F251" s="4">
        <v>2107</v>
      </c>
      <c r="G251" s="4">
        <v>2623</v>
      </c>
      <c r="H251" s="4">
        <v>3430</v>
      </c>
      <c r="I251" s="4">
        <v>4384</v>
      </c>
      <c r="J251" s="4">
        <v>4806</v>
      </c>
      <c r="K251" s="4">
        <v>5314</v>
      </c>
      <c r="L251" s="4">
        <v>5688</v>
      </c>
      <c r="M251" s="4">
        <v>5928</v>
      </c>
      <c r="N251" s="4">
        <v>5355</v>
      </c>
      <c r="O251" s="4">
        <v>2125</v>
      </c>
      <c r="P251" s="4">
        <v>7534</v>
      </c>
      <c r="Q251" s="4">
        <v>7415</v>
      </c>
      <c r="R251" s="4">
        <v>6840</v>
      </c>
      <c r="S251" s="92">
        <v>5642</v>
      </c>
      <c r="T251" s="88">
        <f t="shared" si="79"/>
        <v>0.1739492301290054</v>
      </c>
      <c r="U251" s="88">
        <f t="shared" si="80"/>
        <v>1.6550588235294117</v>
      </c>
      <c r="V251" s="88">
        <f t="shared" si="81"/>
        <v>-0.17514619883040936</v>
      </c>
      <c r="W251" s="90">
        <f t="shared" si="82"/>
        <v>5.3036285015980449E-2</v>
      </c>
      <c r="X251" s="52">
        <f t="shared" si="83"/>
        <v>-1198</v>
      </c>
    </row>
    <row r="252" spans="1:24" x14ac:dyDescent="0.2">
      <c r="A252" s="4" t="s">
        <v>16</v>
      </c>
      <c r="B252" s="4">
        <v>1881</v>
      </c>
      <c r="C252" s="4">
        <v>2102</v>
      </c>
      <c r="D252" s="4">
        <v>2416</v>
      </c>
      <c r="E252" s="4">
        <v>2382</v>
      </c>
      <c r="F252" s="4">
        <v>2476</v>
      </c>
      <c r="G252" s="4">
        <v>2602</v>
      </c>
      <c r="H252" s="4">
        <v>2817</v>
      </c>
      <c r="I252" s="4">
        <v>3477</v>
      </c>
      <c r="J252" s="4">
        <v>3481</v>
      </c>
      <c r="K252" s="4">
        <v>3643</v>
      </c>
      <c r="L252" s="4">
        <v>4332</v>
      </c>
      <c r="M252" s="4">
        <v>3867</v>
      </c>
      <c r="N252" s="4">
        <v>3980</v>
      </c>
      <c r="O252" s="4">
        <v>2860</v>
      </c>
      <c r="P252" s="4">
        <v>3577</v>
      </c>
      <c r="Q252" s="4">
        <v>3874</v>
      </c>
      <c r="R252" s="4">
        <v>4713</v>
      </c>
      <c r="S252" s="92">
        <v>4923</v>
      </c>
      <c r="T252" s="88">
        <f t="shared" si="79"/>
        <v>0.4142487790864694</v>
      </c>
      <c r="U252" s="88">
        <f t="shared" si="80"/>
        <v>0.72132867132867129</v>
      </c>
      <c r="V252" s="88">
        <f t="shared" si="81"/>
        <v>4.4557606619987269E-2</v>
      </c>
      <c r="W252" s="90">
        <f t="shared" si="82"/>
        <v>4.6277495769881556E-2</v>
      </c>
      <c r="X252" s="52">
        <f t="shared" si="83"/>
        <v>210</v>
      </c>
    </row>
    <row r="253" spans="1:24" x14ac:dyDescent="0.2">
      <c r="A253" s="4" t="s">
        <v>66</v>
      </c>
      <c r="B253" s="4">
        <v>1856</v>
      </c>
      <c r="C253" s="4">
        <v>1724</v>
      </c>
      <c r="D253" s="4">
        <v>1635</v>
      </c>
      <c r="E253" s="4">
        <v>1595</v>
      </c>
      <c r="F253" s="4">
        <v>1897</v>
      </c>
      <c r="G253" s="4">
        <v>1973</v>
      </c>
      <c r="H253" s="4">
        <v>1991</v>
      </c>
      <c r="I253" s="4">
        <v>2469</v>
      </c>
      <c r="J253" s="4">
        <v>2210</v>
      </c>
      <c r="K253" s="4">
        <v>2209</v>
      </c>
      <c r="L253" s="4">
        <v>2423</v>
      </c>
      <c r="M253" s="4">
        <v>2351</v>
      </c>
      <c r="N253" s="4">
        <v>2137</v>
      </c>
      <c r="O253" s="4">
        <v>2267</v>
      </c>
      <c r="P253" s="4">
        <v>3445</v>
      </c>
      <c r="Q253" s="4">
        <v>3573</v>
      </c>
      <c r="R253" s="4">
        <v>3401</v>
      </c>
      <c r="S253" s="92">
        <v>3162</v>
      </c>
      <c r="T253" s="88">
        <f t="shared" si="79"/>
        <v>0.43076923076923079</v>
      </c>
      <c r="U253" s="88">
        <f t="shared" si="80"/>
        <v>0.39479488310542565</v>
      </c>
      <c r="V253" s="88">
        <f t="shared" si="81"/>
        <v>-7.0273448985592471E-2</v>
      </c>
      <c r="W253" s="90">
        <f t="shared" si="82"/>
        <v>2.9723632261703329E-2</v>
      </c>
      <c r="X253" s="52">
        <f t="shared" si="83"/>
        <v>-239</v>
      </c>
    </row>
    <row r="254" spans="1:24" x14ac:dyDescent="0.2">
      <c r="A254" s="4" t="s">
        <v>284</v>
      </c>
      <c r="B254" s="4">
        <v>632</v>
      </c>
      <c r="C254" s="4">
        <v>838</v>
      </c>
      <c r="D254" s="4">
        <v>1001</v>
      </c>
      <c r="E254" s="4">
        <v>1109</v>
      </c>
      <c r="F254" s="4">
        <v>1511</v>
      </c>
      <c r="G254" s="4">
        <v>1805</v>
      </c>
      <c r="H254" s="4">
        <v>2431</v>
      </c>
      <c r="I254" s="4">
        <v>2832</v>
      </c>
      <c r="J254" s="4">
        <v>2963</v>
      </c>
      <c r="K254" s="4">
        <v>2846</v>
      </c>
      <c r="L254" s="4">
        <v>3148</v>
      </c>
      <c r="M254" s="4">
        <v>2853</v>
      </c>
      <c r="N254" s="4">
        <v>2566</v>
      </c>
      <c r="O254" s="4">
        <v>793</v>
      </c>
      <c r="P254" s="4">
        <v>3200</v>
      </c>
      <c r="Q254" s="4">
        <v>3592</v>
      </c>
      <c r="R254" s="4">
        <v>2966</v>
      </c>
      <c r="S254" s="92">
        <v>2714</v>
      </c>
      <c r="T254" s="88">
        <f t="shared" si="79"/>
        <v>-8.4036449544380692E-2</v>
      </c>
      <c r="U254" s="88">
        <f t="shared" si="80"/>
        <v>2.4224464060529636</v>
      </c>
      <c r="V254" s="88">
        <f t="shared" si="81"/>
        <v>-8.4962913014160479E-2</v>
      </c>
      <c r="W254" s="90">
        <f t="shared" si="82"/>
        <v>2.5512314344801654E-2</v>
      </c>
      <c r="X254" s="52">
        <f t="shared" si="83"/>
        <v>-252</v>
      </c>
    </row>
    <row r="255" spans="1:24" x14ac:dyDescent="0.2">
      <c r="A255" s="4" t="s">
        <v>65</v>
      </c>
      <c r="B255" s="4">
        <v>1288</v>
      </c>
      <c r="C255" s="4">
        <v>1437</v>
      </c>
      <c r="D255" s="4">
        <v>1810</v>
      </c>
      <c r="E255" s="4">
        <v>1843</v>
      </c>
      <c r="F255" s="4">
        <v>2451</v>
      </c>
      <c r="G255" s="4">
        <v>2387</v>
      </c>
      <c r="H255" s="4">
        <v>3102</v>
      </c>
      <c r="I255" s="4">
        <v>3451</v>
      </c>
      <c r="J255" s="4">
        <v>3380</v>
      </c>
      <c r="K255" s="4">
        <v>3391</v>
      </c>
      <c r="L255" s="4">
        <v>3474</v>
      </c>
      <c r="M255" s="4">
        <v>3655</v>
      </c>
      <c r="N255" s="4">
        <v>3549</v>
      </c>
      <c r="O255" s="4">
        <v>3143</v>
      </c>
      <c r="P255" s="4">
        <v>4112</v>
      </c>
      <c r="Q255" s="4">
        <v>3726</v>
      </c>
      <c r="R255" s="4">
        <v>3351</v>
      </c>
      <c r="S255" s="92">
        <v>2626</v>
      </c>
      <c r="T255" s="88">
        <f t="shared" si="79"/>
        <v>-0.22307692307692309</v>
      </c>
      <c r="U255" s="88">
        <f t="shared" si="80"/>
        <v>-0.1644925230671333</v>
      </c>
      <c r="V255" s="88">
        <f t="shared" si="81"/>
        <v>-0.21635332736496568</v>
      </c>
      <c r="W255" s="90">
        <f t="shared" si="82"/>
        <v>2.4685091182553111E-2</v>
      </c>
      <c r="X255" s="52">
        <f t="shared" si="83"/>
        <v>-725</v>
      </c>
    </row>
    <row r="256" spans="1:24" x14ac:dyDescent="0.2">
      <c r="A256" s="4" t="s">
        <v>285</v>
      </c>
      <c r="B256" s="4">
        <v>909</v>
      </c>
      <c r="C256" s="4">
        <v>1096</v>
      </c>
      <c r="D256" s="4">
        <v>1136</v>
      </c>
      <c r="E256" s="4">
        <v>1254</v>
      </c>
      <c r="F256" s="4">
        <v>1283</v>
      </c>
      <c r="G256" s="4">
        <v>1318</v>
      </c>
      <c r="H256" s="4">
        <v>1502</v>
      </c>
      <c r="I256" s="4">
        <v>1564</v>
      </c>
      <c r="J256" s="4">
        <v>1632</v>
      </c>
      <c r="K256" s="4">
        <v>1598</v>
      </c>
      <c r="L256" s="4">
        <v>1637</v>
      </c>
      <c r="M256" s="4">
        <v>1801</v>
      </c>
      <c r="N256" s="4">
        <v>1817</v>
      </c>
      <c r="O256" s="4">
        <v>501</v>
      </c>
      <c r="P256" s="4">
        <v>2613</v>
      </c>
      <c r="Q256" s="4">
        <v>2496</v>
      </c>
      <c r="R256" s="4">
        <v>2488</v>
      </c>
      <c r="S256" s="92">
        <v>2430</v>
      </c>
      <c r="T256" s="88">
        <f t="shared" si="79"/>
        <v>0.4889705882352941</v>
      </c>
      <c r="U256" s="88">
        <f t="shared" si="80"/>
        <v>3.8502994011976046</v>
      </c>
      <c r="V256" s="88">
        <f t="shared" si="81"/>
        <v>-2.3311897106109324E-2</v>
      </c>
      <c r="W256" s="90">
        <f t="shared" si="82"/>
        <v>2.2842639593908629E-2</v>
      </c>
      <c r="X256" s="52">
        <f t="shared" si="83"/>
        <v>-58</v>
      </c>
    </row>
    <row r="257" spans="1:24" x14ac:dyDescent="0.2">
      <c r="A257" s="4" t="s">
        <v>288</v>
      </c>
      <c r="B257" s="4">
        <v>426</v>
      </c>
      <c r="C257" s="4">
        <v>414</v>
      </c>
      <c r="D257" s="4">
        <v>424</v>
      </c>
      <c r="E257" s="4">
        <v>494</v>
      </c>
      <c r="F257" s="4">
        <v>655</v>
      </c>
      <c r="G257" s="4">
        <v>592</v>
      </c>
      <c r="H257" s="4">
        <v>861</v>
      </c>
      <c r="I257" s="4">
        <v>905</v>
      </c>
      <c r="J257" s="4">
        <v>954</v>
      </c>
      <c r="K257" s="4">
        <v>1066</v>
      </c>
      <c r="L257" s="4">
        <v>1174</v>
      </c>
      <c r="M257" s="4">
        <v>1339</v>
      </c>
      <c r="N257" s="4">
        <v>1355</v>
      </c>
      <c r="O257" s="4">
        <v>752</v>
      </c>
      <c r="P257" s="4">
        <v>1805</v>
      </c>
      <c r="Q257" s="4">
        <v>2404</v>
      </c>
      <c r="R257" s="4">
        <v>2501</v>
      </c>
      <c r="S257" s="92">
        <v>2210</v>
      </c>
      <c r="T257" s="88">
        <f t="shared" si="79"/>
        <v>1.3165618448637317</v>
      </c>
      <c r="U257" s="88">
        <f t="shared" si="80"/>
        <v>1.9388297872340425</v>
      </c>
      <c r="V257" s="88">
        <f t="shared" si="81"/>
        <v>-0.11635345861655338</v>
      </c>
      <c r="W257" s="90">
        <f t="shared" si="82"/>
        <v>2.0774581688287271E-2</v>
      </c>
      <c r="X257" s="52">
        <f t="shared" si="83"/>
        <v>-291</v>
      </c>
    </row>
    <row r="258" spans="1:24" x14ac:dyDescent="0.2">
      <c r="A258" s="4" t="s">
        <v>287</v>
      </c>
      <c r="B258" s="4">
        <v>108</v>
      </c>
      <c r="C258" s="4">
        <v>162</v>
      </c>
      <c r="D258" s="4">
        <v>188</v>
      </c>
      <c r="E258" s="4">
        <v>195</v>
      </c>
      <c r="F258" s="4">
        <v>211</v>
      </c>
      <c r="G258" s="4">
        <v>292</v>
      </c>
      <c r="H258" s="4">
        <v>346</v>
      </c>
      <c r="I258" s="4">
        <v>494</v>
      </c>
      <c r="J258" s="4">
        <v>673</v>
      </c>
      <c r="K258" s="4">
        <v>873</v>
      </c>
      <c r="L258" s="4">
        <v>1062</v>
      </c>
      <c r="M258" s="4">
        <v>1193</v>
      </c>
      <c r="N258" s="4">
        <v>1330</v>
      </c>
      <c r="O258" s="4">
        <v>502</v>
      </c>
      <c r="P258" s="4">
        <v>2280</v>
      </c>
      <c r="Q258" s="4">
        <v>2491</v>
      </c>
      <c r="R258" s="4">
        <v>2429</v>
      </c>
      <c r="S258" s="92">
        <v>2121</v>
      </c>
      <c r="T258" s="88">
        <f t="shared" si="79"/>
        <v>2.151560178306092</v>
      </c>
      <c r="U258" s="88">
        <f t="shared" si="80"/>
        <v>3.2250996015936253</v>
      </c>
      <c r="V258" s="88">
        <f t="shared" si="81"/>
        <v>-0.12680115273775217</v>
      </c>
      <c r="W258" s="90">
        <f t="shared" si="82"/>
        <v>1.993795826283136E-2</v>
      </c>
      <c r="X258" s="52">
        <f t="shared" si="83"/>
        <v>-308</v>
      </c>
    </row>
    <row r="259" spans="1:24" x14ac:dyDescent="0.2">
      <c r="A259" s="4" t="s">
        <v>67</v>
      </c>
      <c r="B259" s="4">
        <v>1634</v>
      </c>
      <c r="C259" s="4">
        <v>1497</v>
      </c>
      <c r="D259" s="4">
        <v>1434</v>
      </c>
      <c r="E259" s="4">
        <v>1448</v>
      </c>
      <c r="F259" s="4">
        <v>1557</v>
      </c>
      <c r="G259" s="4">
        <v>1848</v>
      </c>
      <c r="H259" s="4">
        <v>2036</v>
      </c>
      <c r="I259" s="4">
        <v>2156</v>
      </c>
      <c r="J259" s="4">
        <v>2225</v>
      </c>
      <c r="K259" s="4">
        <v>1967</v>
      </c>
      <c r="L259" s="4">
        <v>1910</v>
      </c>
      <c r="M259" s="4">
        <v>1725</v>
      </c>
      <c r="N259" s="4">
        <v>1757</v>
      </c>
      <c r="O259" s="4">
        <v>1742</v>
      </c>
      <c r="P259" s="4">
        <v>2471</v>
      </c>
      <c r="Q259" s="4">
        <v>2404</v>
      </c>
      <c r="R259" s="4">
        <v>2436</v>
      </c>
      <c r="S259" s="92">
        <v>2119</v>
      </c>
      <c r="T259" s="88">
        <f t="shared" si="79"/>
        <v>-4.7640449438202247E-2</v>
      </c>
      <c r="U259" s="88">
        <f t="shared" si="80"/>
        <v>0.21641791044776118</v>
      </c>
      <c r="V259" s="88">
        <f t="shared" si="81"/>
        <v>-0.13013136288998359</v>
      </c>
      <c r="W259" s="90">
        <f t="shared" si="82"/>
        <v>1.9919157736416618E-2</v>
      </c>
      <c r="X259" s="52">
        <f t="shared" si="83"/>
        <v>-317</v>
      </c>
    </row>
    <row r="260" spans="1:24" x14ac:dyDescent="0.2">
      <c r="A260" s="4" t="s">
        <v>312</v>
      </c>
      <c r="B260" s="4">
        <v>324</v>
      </c>
      <c r="C260" s="4">
        <v>320</v>
      </c>
      <c r="D260" s="4">
        <v>376</v>
      </c>
      <c r="E260" s="4">
        <v>352</v>
      </c>
      <c r="F260" s="4">
        <v>312</v>
      </c>
      <c r="G260" s="4">
        <v>464</v>
      </c>
      <c r="H260" s="4">
        <v>450</v>
      </c>
      <c r="I260" s="4">
        <v>547</v>
      </c>
      <c r="J260" s="4">
        <v>507</v>
      </c>
      <c r="K260" s="4">
        <v>674</v>
      </c>
      <c r="L260" s="4">
        <v>726</v>
      </c>
      <c r="M260" s="4">
        <v>914</v>
      </c>
      <c r="N260" s="4">
        <v>1015</v>
      </c>
      <c r="O260" s="4">
        <v>500</v>
      </c>
      <c r="P260" s="4">
        <v>1127</v>
      </c>
      <c r="Q260" s="4">
        <v>1554</v>
      </c>
      <c r="R260" s="4">
        <v>2097</v>
      </c>
      <c r="S260" s="92">
        <v>2072</v>
      </c>
      <c r="T260" s="88">
        <f t="shared" si="79"/>
        <v>3.0867850098619329</v>
      </c>
      <c r="U260" s="88">
        <f t="shared" si="80"/>
        <v>3.1440000000000001</v>
      </c>
      <c r="V260" s="88">
        <f t="shared" si="81"/>
        <v>-1.1921793037672867E-2</v>
      </c>
      <c r="W260" s="90">
        <f t="shared" si="82"/>
        <v>1.9477345365670237E-2</v>
      </c>
      <c r="X260" s="52">
        <f t="shared" si="83"/>
        <v>-25</v>
      </c>
    </row>
    <row r="261" spans="1:24" x14ac:dyDescent="0.2">
      <c r="A261" s="4" t="s">
        <v>78</v>
      </c>
      <c r="B261" s="4">
        <v>994</v>
      </c>
      <c r="C261" s="4">
        <v>1337</v>
      </c>
      <c r="D261" s="4">
        <v>1144</v>
      </c>
      <c r="E261" s="4">
        <v>1150</v>
      </c>
      <c r="F261" s="4">
        <v>1180</v>
      </c>
      <c r="G261" s="4">
        <v>1277</v>
      </c>
      <c r="H261" s="4">
        <v>1920</v>
      </c>
      <c r="I261" s="4">
        <v>1866</v>
      </c>
      <c r="J261" s="4">
        <v>2845</v>
      </c>
      <c r="K261" s="4">
        <v>2645</v>
      </c>
      <c r="L261" s="4">
        <v>2783</v>
      </c>
      <c r="M261" s="4">
        <v>3884</v>
      </c>
      <c r="N261" s="4">
        <v>5003</v>
      </c>
      <c r="O261" s="4">
        <v>2991</v>
      </c>
      <c r="P261" s="4">
        <v>3368</v>
      </c>
      <c r="Q261" s="4">
        <v>2095</v>
      </c>
      <c r="R261" s="4">
        <v>2246</v>
      </c>
      <c r="S261" s="92">
        <v>1929</v>
      </c>
      <c r="T261" s="88">
        <f t="shared" si="79"/>
        <v>-0.32196836555360281</v>
      </c>
      <c r="U261" s="88">
        <f t="shared" si="80"/>
        <v>-0.35506519558676031</v>
      </c>
      <c r="V261" s="88">
        <f t="shared" si="81"/>
        <v>-0.14113980409617097</v>
      </c>
      <c r="W261" s="90">
        <f t="shared" si="82"/>
        <v>1.8133107727016356E-2</v>
      </c>
      <c r="X261" s="52">
        <f t="shared" si="83"/>
        <v>-317</v>
      </c>
    </row>
    <row r="262" spans="1:24" x14ac:dyDescent="0.2">
      <c r="A262" s="4" t="s">
        <v>243</v>
      </c>
      <c r="B262" s="4">
        <v>626</v>
      </c>
      <c r="C262" s="4">
        <v>602</v>
      </c>
      <c r="D262" s="4">
        <v>719</v>
      </c>
      <c r="E262" s="4">
        <v>662</v>
      </c>
      <c r="F262" s="4">
        <v>686</v>
      </c>
      <c r="G262" s="4">
        <v>768</v>
      </c>
      <c r="H262" s="4">
        <v>989</v>
      </c>
      <c r="I262" s="4">
        <v>1184</v>
      </c>
      <c r="J262" s="4">
        <v>1200</v>
      </c>
      <c r="K262" s="4">
        <v>1074</v>
      </c>
      <c r="L262" s="4">
        <v>1134</v>
      </c>
      <c r="M262" s="4">
        <v>1471</v>
      </c>
      <c r="N262" s="4">
        <v>1468</v>
      </c>
      <c r="O262" s="4">
        <v>1387</v>
      </c>
      <c r="P262" s="4">
        <v>1759</v>
      </c>
      <c r="Q262" s="4">
        <v>1799</v>
      </c>
      <c r="R262" s="4">
        <v>1769</v>
      </c>
      <c r="S262" s="92">
        <v>1855</v>
      </c>
      <c r="T262" s="88">
        <f t="shared" si="79"/>
        <v>0.54583333333333328</v>
      </c>
      <c r="U262" s="88">
        <f t="shared" si="80"/>
        <v>0.33741888968997835</v>
      </c>
      <c r="V262" s="88">
        <f t="shared" si="81"/>
        <v>4.8615036743923118E-2</v>
      </c>
      <c r="W262" s="90">
        <f t="shared" si="82"/>
        <v>1.743748824967099E-2</v>
      </c>
      <c r="X262" s="52">
        <f t="shared" si="83"/>
        <v>86</v>
      </c>
    </row>
    <row r="263" spans="1:24" x14ac:dyDescent="0.2">
      <c r="A263" s="4" t="s">
        <v>79</v>
      </c>
      <c r="B263" s="4">
        <v>319</v>
      </c>
      <c r="C263" s="4">
        <v>412</v>
      </c>
      <c r="D263" s="4">
        <v>507</v>
      </c>
      <c r="E263" s="4">
        <v>618</v>
      </c>
      <c r="F263" s="4">
        <v>724</v>
      </c>
      <c r="G263" s="4">
        <v>784</v>
      </c>
      <c r="H263" s="4">
        <v>1173</v>
      </c>
      <c r="I263" s="4">
        <v>1410</v>
      </c>
      <c r="J263" s="4">
        <v>1421</v>
      </c>
      <c r="K263" s="4">
        <v>1629</v>
      </c>
      <c r="L263" s="4">
        <v>1851</v>
      </c>
      <c r="M263" s="4">
        <v>2015</v>
      </c>
      <c r="N263" s="4">
        <v>1745</v>
      </c>
      <c r="O263" s="4">
        <v>860</v>
      </c>
      <c r="P263" s="4">
        <v>2709</v>
      </c>
      <c r="Q263" s="4">
        <v>2573</v>
      </c>
      <c r="R263" s="4">
        <v>2124</v>
      </c>
      <c r="S263" s="92">
        <v>1798</v>
      </c>
      <c r="T263" s="88">
        <f t="shared" si="79"/>
        <v>0.26530612244897961</v>
      </c>
      <c r="U263" s="88">
        <f t="shared" si="80"/>
        <v>1.0906976744186045</v>
      </c>
      <c r="V263" s="88">
        <f t="shared" si="81"/>
        <v>-0.15348399246704331</v>
      </c>
      <c r="W263" s="90">
        <f t="shared" si="82"/>
        <v>1.690167324685091E-2</v>
      </c>
      <c r="X263" s="52">
        <f t="shared" si="83"/>
        <v>-326</v>
      </c>
    </row>
    <row r="264" spans="1:24" x14ac:dyDescent="0.2">
      <c r="A264" s="4" t="s">
        <v>286</v>
      </c>
      <c r="B264" s="4">
        <v>526</v>
      </c>
      <c r="C264" s="4">
        <v>679</v>
      </c>
      <c r="D264" s="4">
        <v>786</v>
      </c>
      <c r="E264" s="4">
        <v>794</v>
      </c>
      <c r="F264" s="4">
        <v>855</v>
      </c>
      <c r="G264" s="4">
        <v>1119</v>
      </c>
      <c r="H264" s="4">
        <v>1222</v>
      </c>
      <c r="I264" s="4">
        <v>1246</v>
      </c>
      <c r="J264" s="4">
        <v>1407</v>
      </c>
      <c r="K264" s="4">
        <v>1525</v>
      </c>
      <c r="L264" s="4">
        <v>1657</v>
      </c>
      <c r="M264" s="4">
        <v>1602</v>
      </c>
      <c r="N264" s="4">
        <v>1711</v>
      </c>
      <c r="O264" s="4">
        <v>418</v>
      </c>
      <c r="P264" s="4">
        <v>2585</v>
      </c>
      <c r="Q264" s="4">
        <v>2193</v>
      </c>
      <c r="R264" s="4">
        <v>1882</v>
      </c>
      <c r="S264" s="92">
        <v>1781</v>
      </c>
      <c r="T264" s="88">
        <f t="shared" si="79"/>
        <v>0.26581378820184792</v>
      </c>
      <c r="U264" s="88">
        <f t="shared" si="80"/>
        <v>3.2607655502392343</v>
      </c>
      <c r="V264" s="88">
        <f t="shared" si="81"/>
        <v>-5.3666312433581297E-2</v>
      </c>
      <c r="W264" s="90">
        <f t="shared" si="82"/>
        <v>1.6741868772325624E-2</v>
      </c>
      <c r="X264" s="52">
        <f t="shared" si="83"/>
        <v>-101</v>
      </c>
    </row>
    <row r="265" spans="1:24" x14ac:dyDescent="0.2">
      <c r="A265" s="4" t="s">
        <v>254</v>
      </c>
      <c r="B265" s="4">
        <v>1290</v>
      </c>
      <c r="C265" s="4">
        <v>1185</v>
      </c>
      <c r="D265" s="4">
        <v>1416</v>
      </c>
      <c r="E265" s="4">
        <v>1363</v>
      </c>
      <c r="F265" s="4">
        <v>1141</v>
      </c>
      <c r="G265" s="4">
        <v>1201</v>
      </c>
      <c r="H265" s="4">
        <v>1407</v>
      </c>
      <c r="I265" s="4">
        <v>1274</v>
      </c>
      <c r="J265" s="4">
        <v>1282</v>
      </c>
      <c r="K265" s="4">
        <v>1219</v>
      </c>
      <c r="L265" s="4">
        <v>1312</v>
      </c>
      <c r="M265" s="4">
        <v>1147</v>
      </c>
      <c r="N265" s="4">
        <v>1133</v>
      </c>
      <c r="O265" s="4">
        <v>1178</v>
      </c>
      <c r="P265" s="4">
        <v>1517</v>
      </c>
      <c r="Q265" s="4">
        <v>1602</v>
      </c>
      <c r="R265" s="4">
        <v>1556</v>
      </c>
      <c r="S265" s="92">
        <v>1716</v>
      </c>
      <c r="T265" s="88">
        <f t="shared" si="79"/>
        <v>0.33853354134165364</v>
      </c>
      <c r="U265" s="88">
        <f t="shared" si="80"/>
        <v>0.45670628183361628</v>
      </c>
      <c r="V265" s="88">
        <f t="shared" si="81"/>
        <v>0.10282776349614396</v>
      </c>
      <c r="W265" s="90">
        <f t="shared" si="82"/>
        <v>1.6130851663846587E-2</v>
      </c>
      <c r="X265" s="52">
        <f t="shared" si="83"/>
        <v>160</v>
      </c>
    </row>
    <row r="266" spans="1:24" x14ac:dyDescent="0.2">
      <c r="A266" s="4" t="s">
        <v>422</v>
      </c>
      <c r="B266" s="4">
        <v>545</v>
      </c>
      <c r="C266" s="4">
        <v>595</v>
      </c>
      <c r="D266" s="4">
        <v>573</v>
      </c>
      <c r="E266" s="4">
        <v>589</v>
      </c>
      <c r="F266" s="4">
        <v>580</v>
      </c>
      <c r="G266" s="4">
        <v>676</v>
      </c>
      <c r="H266" s="4">
        <v>718</v>
      </c>
      <c r="I266" s="4">
        <v>746</v>
      </c>
      <c r="J266" s="4">
        <v>718</v>
      </c>
      <c r="K266" s="4">
        <v>655</v>
      </c>
      <c r="L266" s="4">
        <v>643</v>
      </c>
      <c r="M266" s="4">
        <v>615</v>
      </c>
      <c r="N266" s="4">
        <v>551</v>
      </c>
      <c r="O266" s="4">
        <v>664</v>
      </c>
      <c r="P266" s="4">
        <v>786</v>
      </c>
      <c r="Q266" s="4">
        <v>892</v>
      </c>
      <c r="R266" s="4">
        <v>1216</v>
      </c>
      <c r="S266" s="92">
        <v>1537</v>
      </c>
      <c r="T266" s="88">
        <f t="shared" si="79"/>
        <v>1.1406685236768803</v>
      </c>
      <c r="U266" s="88">
        <f t="shared" si="80"/>
        <v>1.3147590361445782</v>
      </c>
      <c r="V266" s="88">
        <f t="shared" si="81"/>
        <v>0.26398026315789475</v>
      </c>
      <c r="W266" s="90">
        <f t="shared" si="82"/>
        <v>1.4448204549727393E-2</v>
      </c>
      <c r="X266" s="52">
        <f t="shared" si="83"/>
        <v>321</v>
      </c>
    </row>
    <row r="267" spans="1:24" x14ac:dyDescent="0.2">
      <c r="A267" s="4" t="s">
        <v>421</v>
      </c>
      <c r="B267" s="4">
        <v>5469</v>
      </c>
      <c r="C267" s="4">
        <v>5385</v>
      </c>
      <c r="D267" s="4">
        <v>5695</v>
      </c>
      <c r="E267" s="4">
        <v>5182</v>
      </c>
      <c r="F267" s="4">
        <v>4224</v>
      </c>
      <c r="G267" s="4">
        <v>3160</v>
      </c>
      <c r="H267" s="4">
        <v>2856</v>
      </c>
      <c r="I267" s="4">
        <v>2691</v>
      </c>
      <c r="J267" s="4">
        <v>2431</v>
      </c>
      <c r="K267" s="4">
        <v>2085</v>
      </c>
      <c r="L267" s="4">
        <v>2030</v>
      </c>
      <c r="M267" s="4">
        <v>1452</v>
      </c>
      <c r="N267" s="4">
        <v>1394</v>
      </c>
      <c r="O267" s="4">
        <v>1195</v>
      </c>
      <c r="P267" s="4">
        <v>1480</v>
      </c>
      <c r="Q267" s="4">
        <v>1594</v>
      </c>
      <c r="R267" s="4">
        <v>1502</v>
      </c>
      <c r="S267" s="92">
        <v>1521</v>
      </c>
      <c r="T267" s="88">
        <f t="shared" si="79"/>
        <v>-0.37433155080213903</v>
      </c>
      <c r="U267" s="88">
        <f t="shared" si="80"/>
        <v>0.27280334728033473</v>
      </c>
      <c r="V267" s="88">
        <f t="shared" si="81"/>
        <v>1.2649800266311585E-2</v>
      </c>
      <c r="W267" s="90">
        <f t="shared" si="82"/>
        <v>1.4297800338409475E-2</v>
      </c>
      <c r="X267" s="52">
        <f t="shared" si="83"/>
        <v>19</v>
      </c>
    </row>
    <row r="268" spans="1:24" x14ac:dyDescent="0.2">
      <c r="A268" s="4" t="s">
        <v>423</v>
      </c>
      <c r="B268" s="4">
        <v>650</v>
      </c>
      <c r="C268" s="4">
        <v>783</v>
      </c>
      <c r="D268" s="4">
        <v>736</v>
      </c>
      <c r="E268" s="4">
        <v>758</v>
      </c>
      <c r="F268" s="4">
        <v>770</v>
      </c>
      <c r="G268" s="4">
        <v>881</v>
      </c>
      <c r="H268" s="4">
        <v>976</v>
      </c>
      <c r="I268" s="4">
        <v>977</v>
      </c>
      <c r="J268" s="4">
        <v>999</v>
      </c>
      <c r="K268" s="4">
        <v>1068</v>
      </c>
      <c r="L268" s="4">
        <v>940</v>
      </c>
      <c r="M268" s="4">
        <v>738</v>
      </c>
      <c r="N268" s="4">
        <v>699</v>
      </c>
      <c r="O268" s="4">
        <v>561</v>
      </c>
      <c r="P268" s="4">
        <v>986</v>
      </c>
      <c r="Q268" s="4">
        <v>1178</v>
      </c>
      <c r="R268" s="4">
        <v>1480</v>
      </c>
      <c r="S268" s="92">
        <v>1485</v>
      </c>
      <c r="T268" s="88">
        <f t="shared" ref="T268:T277" si="84">(S268-J268)/J268</f>
        <v>0.48648648648648651</v>
      </c>
      <c r="U268" s="88">
        <f t="shared" ref="U268:U277" si="85">(S268-O268)/O268</f>
        <v>1.6470588235294117</v>
      </c>
      <c r="V268" s="88">
        <f t="shared" ref="V268:V277" si="86">(S268-R268)/R268</f>
        <v>3.3783783783783786E-3</v>
      </c>
      <c r="W268" s="90">
        <f t="shared" ref="W268:W277" si="87">S268/S$8</f>
        <v>1.3959390862944163E-2</v>
      </c>
      <c r="X268" s="52">
        <f t="shared" si="83"/>
        <v>5</v>
      </c>
    </row>
    <row r="269" spans="1:24" x14ac:dyDescent="0.2">
      <c r="A269" s="4" t="s">
        <v>424</v>
      </c>
      <c r="B269" s="4">
        <v>183</v>
      </c>
      <c r="C269" s="4">
        <v>264</v>
      </c>
      <c r="D269" s="4">
        <v>313</v>
      </c>
      <c r="E269" s="4">
        <v>341</v>
      </c>
      <c r="F269" s="4">
        <v>340</v>
      </c>
      <c r="G269" s="4">
        <v>521</v>
      </c>
      <c r="H269" s="4">
        <v>476</v>
      </c>
      <c r="I269" s="4">
        <v>407</v>
      </c>
      <c r="J269" s="4">
        <v>464</v>
      </c>
      <c r="K269" s="4">
        <v>426</v>
      </c>
      <c r="L269" s="4">
        <v>486</v>
      </c>
      <c r="M269" s="4">
        <v>642</v>
      </c>
      <c r="N269" s="4">
        <v>690</v>
      </c>
      <c r="O269" s="4">
        <v>562</v>
      </c>
      <c r="P269" s="4">
        <v>1075</v>
      </c>
      <c r="Q269" s="4">
        <v>1052</v>
      </c>
      <c r="R269" s="4">
        <v>1329</v>
      </c>
      <c r="S269" s="92">
        <v>1477</v>
      </c>
      <c r="T269" s="88">
        <f t="shared" si="84"/>
        <v>2.1831896551724137</v>
      </c>
      <c r="U269" s="88">
        <f t="shared" si="85"/>
        <v>1.6281138790035588</v>
      </c>
      <c r="V269" s="88">
        <f t="shared" si="86"/>
        <v>0.11136192626034612</v>
      </c>
      <c r="W269" s="90">
        <f t="shared" si="87"/>
        <v>1.3884188757285204E-2</v>
      </c>
      <c r="X269" s="52">
        <f t="shared" si="83"/>
        <v>148</v>
      </c>
    </row>
    <row r="270" spans="1:24" x14ac:dyDescent="0.2">
      <c r="A270" s="4" t="s">
        <v>313</v>
      </c>
      <c r="B270" s="4">
        <v>1902</v>
      </c>
      <c r="C270" s="4">
        <v>1887</v>
      </c>
      <c r="D270" s="4">
        <v>1937</v>
      </c>
      <c r="E270" s="4">
        <v>2033</v>
      </c>
      <c r="F270" s="4">
        <v>1564</v>
      </c>
      <c r="G270" s="4">
        <v>1577</v>
      </c>
      <c r="H270" s="4">
        <v>1636</v>
      </c>
      <c r="I270" s="4">
        <v>1772</v>
      </c>
      <c r="J270" s="4">
        <v>1557</v>
      </c>
      <c r="K270" s="4">
        <v>1465</v>
      </c>
      <c r="L270" s="4">
        <v>1691</v>
      </c>
      <c r="M270" s="4">
        <v>1962</v>
      </c>
      <c r="N270" s="4">
        <v>2162</v>
      </c>
      <c r="O270" s="4">
        <v>2528</v>
      </c>
      <c r="P270" s="4">
        <v>2530</v>
      </c>
      <c r="Q270" s="4">
        <v>1586</v>
      </c>
      <c r="R270" s="4">
        <v>1829</v>
      </c>
      <c r="S270" s="92">
        <v>1434</v>
      </c>
      <c r="T270" s="88">
        <f t="shared" si="84"/>
        <v>-7.8998073217726394E-2</v>
      </c>
      <c r="U270" s="88">
        <f t="shared" si="85"/>
        <v>-0.432753164556962</v>
      </c>
      <c r="V270" s="88">
        <f t="shared" si="86"/>
        <v>-0.21596500820120285</v>
      </c>
      <c r="W270" s="90">
        <f t="shared" si="87"/>
        <v>1.3479977439368303E-2</v>
      </c>
      <c r="X270" s="52">
        <f t="shared" si="83"/>
        <v>-395</v>
      </c>
    </row>
    <row r="271" spans="1:24" x14ac:dyDescent="0.2">
      <c r="A271" s="4" t="s">
        <v>425</v>
      </c>
      <c r="B271" s="4">
        <v>244</v>
      </c>
      <c r="C271" s="4">
        <v>380</v>
      </c>
      <c r="D271" s="4">
        <v>462</v>
      </c>
      <c r="E271" s="4">
        <v>571</v>
      </c>
      <c r="F271" s="4">
        <v>567</v>
      </c>
      <c r="G271" s="4">
        <v>915</v>
      </c>
      <c r="H271" s="4">
        <v>926</v>
      </c>
      <c r="I271" s="4">
        <v>1278</v>
      </c>
      <c r="J271" s="4">
        <v>1395</v>
      </c>
      <c r="K271" s="4">
        <v>1653</v>
      </c>
      <c r="L271" s="4">
        <v>1697</v>
      </c>
      <c r="M271" s="4">
        <v>1673</v>
      </c>
      <c r="N271" s="4">
        <v>1721</v>
      </c>
      <c r="O271" s="4">
        <v>606</v>
      </c>
      <c r="P271" s="4">
        <v>2402</v>
      </c>
      <c r="Q271" s="4">
        <v>1792</v>
      </c>
      <c r="R271" s="4">
        <v>1571</v>
      </c>
      <c r="S271" s="92">
        <v>1398</v>
      </c>
      <c r="T271" s="88">
        <f t="shared" si="84"/>
        <v>2.1505376344086021E-3</v>
      </c>
      <c r="U271" s="88">
        <f t="shared" si="85"/>
        <v>1.306930693069307</v>
      </c>
      <c r="V271" s="88">
        <f t="shared" si="86"/>
        <v>-0.11012094207511139</v>
      </c>
      <c r="W271" s="90">
        <f t="shared" si="87"/>
        <v>1.3141567963902989E-2</v>
      </c>
      <c r="X271" s="52">
        <f t="shared" si="83"/>
        <v>-173</v>
      </c>
    </row>
    <row r="272" spans="1:24" x14ac:dyDescent="0.2">
      <c r="A272" s="4" t="s">
        <v>426</v>
      </c>
      <c r="B272" s="4">
        <v>1261</v>
      </c>
      <c r="C272" s="4">
        <v>1303</v>
      </c>
      <c r="D272" s="4">
        <v>1316</v>
      </c>
      <c r="E272" s="4">
        <v>1093</v>
      </c>
      <c r="F272" s="4">
        <v>1042</v>
      </c>
      <c r="G272" s="4">
        <v>1066</v>
      </c>
      <c r="H272" s="4">
        <v>982</v>
      </c>
      <c r="I272" s="4">
        <v>974</v>
      </c>
      <c r="J272" s="4">
        <v>929</v>
      </c>
      <c r="K272" s="4">
        <v>940</v>
      </c>
      <c r="L272" s="4">
        <v>1004</v>
      </c>
      <c r="M272" s="4">
        <v>923</v>
      </c>
      <c r="N272" s="4">
        <v>907</v>
      </c>
      <c r="O272" s="4">
        <v>912</v>
      </c>
      <c r="P272" s="4">
        <v>1232</v>
      </c>
      <c r="Q272" s="4">
        <v>1364</v>
      </c>
      <c r="R272" s="4">
        <v>1208</v>
      </c>
      <c r="S272" s="92">
        <v>1386</v>
      </c>
      <c r="T272" s="88">
        <f t="shared" si="84"/>
        <v>0.49192680301399355</v>
      </c>
      <c r="U272" s="88">
        <f t="shared" si="85"/>
        <v>0.51973684210526316</v>
      </c>
      <c r="V272" s="88">
        <f t="shared" si="86"/>
        <v>0.14735099337748345</v>
      </c>
      <c r="W272" s="90">
        <f t="shared" si="87"/>
        <v>1.3028764805414551E-2</v>
      </c>
      <c r="X272" s="52">
        <f t="shared" si="83"/>
        <v>178</v>
      </c>
    </row>
    <row r="273" spans="1:24" x14ac:dyDescent="0.2">
      <c r="A273" s="4" t="s">
        <v>77</v>
      </c>
      <c r="B273" s="4">
        <v>1519</v>
      </c>
      <c r="C273" s="4">
        <v>1625</v>
      </c>
      <c r="D273" s="4">
        <v>1984</v>
      </c>
      <c r="E273" s="4">
        <v>2051</v>
      </c>
      <c r="F273" s="4">
        <v>2256</v>
      </c>
      <c r="G273" s="4">
        <v>2605</v>
      </c>
      <c r="H273" s="4">
        <v>2771</v>
      </c>
      <c r="I273" s="4">
        <v>3001</v>
      </c>
      <c r="J273" s="4">
        <v>2912</v>
      </c>
      <c r="K273" s="4">
        <v>2726</v>
      </c>
      <c r="L273" s="4">
        <v>2380</v>
      </c>
      <c r="M273" s="4">
        <v>2000</v>
      </c>
      <c r="N273" s="4">
        <v>2103</v>
      </c>
      <c r="O273" s="4">
        <v>1722</v>
      </c>
      <c r="P273" s="4">
        <v>1615</v>
      </c>
      <c r="Q273" s="4">
        <v>1581</v>
      </c>
      <c r="R273" s="4">
        <v>1595</v>
      </c>
      <c r="S273" s="92">
        <v>1305</v>
      </c>
      <c r="T273" s="88">
        <f t="shared" si="84"/>
        <v>-0.55185439560439564</v>
      </c>
      <c r="U273" s="88">
        <f t="shared" si="85"/>
        <v>-0.24216027874564461</v>
      </c>
      <c r="V273" s="88">
        <f t="shared" si="86"/>
        <v>-0.18181818181818182</v>
      </c>
      <c r="W273" s="90">
        <f t="shared" si="87"/>
        <v>1.2267343485617596E-2</v>
      </c>
      <c r="X273" s="52">
        <f t="shared" si="83"/>
        <v>-290</v>
      </c>
    </row>
    <row r="274" spans="1:24" x14ac:dyDescent="0.2">
      <c r="A274" s="4" t="s">
        <v>253</v>
      </c>
      <c r="B274" s="4">
        <v>676</v>
      </c>
      <c r="C274" s="4">
        <v>647</v>
      </c>
      <c r="D274" s="4">
        <v>747</v>
      </c>
      <c r="E274" s="4">
        <v>697</v>
      </c>
      <c r="F274" s="4">
        <v>596</v>
      </c>
      <c r="G274" s="4">
        <v>640</v>
      </c>
      <c r="H274" s="4">
        <v>829</v>
      </c>
      <c r="I274" s="4">
        <v>982</v>
      </c>
      <c r="J274" s="4">
        <v>964</v>
      </c>
      <c r="K274" s="4">
        <v>939</v>
      </c>
      <c r="L274" s="4">
        <v>1107</v>
      </c>
      <c r="M274" s="4">
        <v>1138</v>
      </c>
      <c r="N274" s="4">
        <v>1039</v>
      </c>
      <c r="O274" s="4">
        <v>1001</v>
      </c>
      <c r="P274" s="4">
        <v>1445</v>
      </c>
      <c r="Q274" s="4">
        <v>1212</v>
      </c>
      <c r="R274" s="4">
        <v>1275</v>
      </c>
      <c r="S274" s="92">
        <v>1304</v>
      </c>
      <c r="T274" s="88">
        <f t="shared" si="84"/>
        <v>0.35269709543568467</v>
      </c>
      <c r="U274" s="88">
        <f t="shared" si="85"/>
        <v>0.30269730269730272</v>
      </c>
      <c r="V274" s="88">
        <f t="shared" si="86"/>
        <v>2.2745098039215685E-2</v>
      </c>
      <c r="W274" s="90">
        <f t="shared" si="87"/>
        <v>1.2257943222410228E-2</v>
      </c>
      <c r="X274" s="52">
        <f t="shared" si="83"/>
        <v>29</v>
      </c>
    </row>
    <row r="275" spans="1:24" x14ac:dyDescent="0.2">
      <c r="A275" s="4" t="s">
        <v>69</v>
      </c>
      <c r="B275" s="4">
        <v>1430</v>
      </c>
      <c r="C275" s="4">
        <v>1461</v>
      </c>
      <c r="D275" s="4">
        <v>1573</v>
      </c>
      <c r="E275" s="4">
        <v>1596</v>
      </c>
      <c r="F275" s="4">
        <v>1491</v>
      </c>
      <c r="G275" s="4">
        <v>1648</v>
      </c>
      <c r="H275" s="4">
        <v>1827</v>
      </c>
      <c r="I275" s="4">
        <v>1977</v>
      </c>
      <c r="J275" s="4">
        <v>1806</v>
      </c>
      <c r="K275" s="4">
        <v>1623</v>
      </c>
      <c r="L275" s="4">
        <v>1503</v>
      </c>
      <c r="M275" s="4">
        <v>1570</v>
      </c>
      <c r="N275" s="4">
        <v>1249</v>
      </c>
      <c r="O275" s="4">
        <v>1328</v>
      </c>
      <c r="P275" s="4">
        <v>1576</v>
      </c>
      <c r="Q275" s="4">
        <v>1440</v>
      </c>
      <c r="R275" s="4">
        <v>1313</v>
      </c>
      <c r="S275" s="92">
        <v>1201</v>
      </c>
      <c r="T275" s="88">
        <f t="shared" si="84"/>
        <v>-0.33499446290143964</v>
      </c>
      <c r="U275" s="88">
        <f t="shared" si="85"/>
        <v>-9.5632530120481923E-2</v>
      </c>
      <c r="V275" s="88">
        <f t="shared" si="86"/>
        <v>-8.5300837776085298E-2</v>
      </c>
      <c r="W275" s="90">
        <f t="shared" si="87"/>
        <v>1.1289716112051137E-2</v>
      </c>
      <c r="X275" s="52">
        <f t="shared" si="83"/>
        <v>-112</v>
      </c>
    </row>
    <row r="276" spans="1:24" x14ac:dyDescent="0.2">
      <c r="A276" s="4" t="s">
        <v>51</v>
      </c>
      <c r="B276" s="4">
        <v>221</v>
      </c>
      <c r="C276" s="4">
        <v>398</v>
      </c>
      <c r="D276" s="4">
        <v>489</v>
      </c>
      <c r="E276" s="4">
        <v>517</v>
      </c>
      <c r="F276" s="4">
        <v>474</v>
      </c>
      <c r="G276" s="4">
        <v>728</v>
      </c>
      <c r="H276" s="4">
        <v>812</v>
      </c>
      <c r="I276" s="4">
        <v>995</v>
      </c>
      <c r="J276" s="4">
        <v>947</v>
      </c>
      <c r="K276" s="4">
        <v>1148</v>
      </c>
      <c r="L276" s="4">
        <v>1173</v>
      </c>
      <c r="M276" s="4">
        <v>1401</v>
      </c>
      <c r="N276" s="4">
        <v>1570</v>
      </c>
      <c r="O276" s="4">
        <v>1617</v>
      </c>
      <c r="P276" s="4">
        <v>1501</v>
      </c>
      <c r="Q276" s="4">
        <v>1151</v>
      </c>
      <c r="R276" s="4">
        <v>1198</v>
      </c>
      <c r="S276" s="92">
        <v>1089</v>
      </c>
      <c r="T276" s="88">
        <f t="shared" si="84"/>
        <v>0.14994720168954592</v>
      </c>
      <c r="U276" s="88">
        <f t="shared" si="85"/>
        <v>-0.32653061224489793</v>
      </c>
      <c r="V276" s="88">
        <f t="shared" si="86"/>
        <v>-9.098497495826377E-2</v>
      </c>
      <c r="W276" s="90">
        <f t="shared" si="87"/>
        <v>1.023688663282572E-2</v>
      </c>
      <c r="X276" s="52">
        <f t="shared" si="83"/>
        <v>-109</v>
      </c>
    </row>
    <row r="277" spans="1:24" x14ac:dyDescent="0.2">
      <c r="A277" s="4" t="s">
        <v>427</v>
      </c>
      <c r="B277" s="4">
        <v>321</v>
      </c>
      <c r="C277" s="4">
        <v>376</v>
      </c>
      <c r="D277" s="4">
        <v>380</v>
      </c>
      <c r="E277" s="4">
        <v>340</v>
      </c>
      <c r="F277" s="4">
        <v>410</v>
      </c>
      <c r="G277" s="4">
        <v>412</v>
      </c>
      <c r="H277" s="4">
        <v>542</v>
      </c>
      <c r="I277" s="4">
        <v>484</v>
      </c>
      <c r="J277" s="4">
        <v>465</v>
      </c>
      <c r="K277" s="4">
        <v>470</v>
      </c>
      <c r="L277" s="4">
        <v>479</v>
      </c>
      <c r="M277" s="4">
        <v>472</v>
      </c>
      <c r="N277" s="4">
        <v>491</v>
      </c>
      <c r="O277" s="4">
        <v>348</v>
      </c>
      <c r="P277" s="4">
        <v>440</v>
      </c>
      <c r="Q277" s="4">
        <v>775</v>
      </c>
      <c r="R277" s="4">
        <v>955</v>
      </c>
      <c r="S277" s="92">
        <v>1048</v>
      </c>
      <c r="T277" s="88">
        <f t="shared" si="84"/>
        <v>1.253763440860215</v>
      </c>
      <c r="U277" s="88">
        <f t="shared" si="85"/>
        <v>2.0114942528735633</v>
      </c>
      <c r="V277" s="88">
        <f t="shared" si="86"/>
        <v>9.7382198952879584E-2</v>
      </c>
      <c r="W277" s="90">
        <f t="shared" si="87"/>
        <v>9.8514758413235579E-3</v>
      </c>
      <c r="X277" s="52">
        <f t="shared" si="83"/>
        <v>93</v>
      </c>
    </row>
    <row r="279" spans="1:24" ht="15.75" x14ac:dyDescent="0.2">
      <c r="A279" s="32" t="s">
        <v>433</v>
      </c>
    </row>
    <row r="280" spans="1:24" ht="25.5" x14ac:dyDescent="0.2">
      <c r="A280" s="73" t="s">
        <v>445</v>
      </c>
      <c r="B280" s="3">
        <v>2007</v>
      </c>
      <c r="C280" s="3">
        <v>2008</v>
      </c>
      <c r="D280" s="3">
        <v>2009</v>
      </c>
      <c r="E280" s="3">
        <v>2010</v>
      </c>
      <c r="F280" s="3">
        <v>2011</v>
      </c>
      <c r="G280" s="3">
        <v>2012</v>
      </c>
      <c r="H280" s="3">
        <v>2013</v>
      </c>
      <c r="I280" s="3">
        <v>2014</v>
      </c>
      <c r="J280" s="3">
        <v>2015</v>
      </c>
      <c r="K280" s="3">
        <v>2016</v>
      </c>
      <c r="L280" s="3">
        <v>2017</v>
      </c>
      <c r="M280" s="3">
        <v>2018</v>
      </c>
      <c r="N280" s="3">
        <v>2019</v>
      </c>
      <c r="O280" s="3">
        <v>2020</v>
      </c>
      <c r="P280" s="3">
        <v>2021</v>
      </c>
      <c r="Q280" s="3">
        <v>2022</v>
      </c>
      <c r="R280" s="3">
        <v>2023</v>
      </c>
      <c r="S280" s="3">
        <v>2024</v>
      </c>
      <c r="T280" s="12" t="s">
        <v>368</v>
      </c>
      <c r="U280" s="12" t="s">
        <v>369</v>
      </c>
      <c r="V280" s="12" t="s">
        <v>370</v>
      </c>
      <c r="W280" s="12" t="s">
        <v>372</v>
      </c>
      <c r="X280" s="169" t="s">
        <v>494</v>
      </c>
    </row>
    <row r="281" spans="1:24" x14ac:dyDescent="0.2">
      <c r="A281" s="4" t="s">
        <v>78</v>
      </c>
      <c r="B281" s="4">
        <v>1103</v>
      </c>
      <c r="C281" s="4">
        <v>1429</v>
      </c>
      <c r="D281" s="4">
        <v>1275</v>
      </c>
      <c r="E281" s="4">
        <v>1278</v>
      </c>
      <c r="F281" s="4">
        <v>1308</v>
      </c>
      <c r="G281" s="4">
        <v>1480</v>
      </c>
      <c r="H281" s="4">
        <v>2465</v>
      </c>
      <c r="I281" s="4">
        <v>2329</v>
      </c>
      <c r="J281" s="4">
        <v>3508</v>
      </c>
      <c r="K281" s="4">
        <v>3261</v>
      </c>
      <c r="L281" s="4">
        <v>3175</v>
      </c>
      <c r="M281" s="4">
        <v>4002</v>
      </c>
      <c r="N281" s="4">
        <v>5105</v>
      </c>
      <c r="O281" s="4">
        <v>2992</v>
      </c>
      <c r="P281" s="4">
        <v>3369</v>
      </c>
      <c r="Q281" s="4">
        <v>2095</v>
      </c>
      <c r="R281" s="4">
        <v>2246</v>
      </c>
      <c r="S281" s="92">
        <v>1929</v>
      </c>
      <c r="T281" s="88">
        <f t="shared" ref="T281:T295" si="88">(S281-J281)/J281</f>
        <v>-0.45011402508551879</v>
      </c>
      <c r="U281" s="88">
        <f t="shared" ref="U281:U295" si="89">(S281-O281)/O281</f>
        <v>-0.35528074866310161</v>
      </c>
      <c r="V281" s="88">
        <f t="shared" ref="V281:V294" si="90">(S281-R281)/R281</f>
        <v>-0.14113980409617097</v>
      </c>
      <c r="W281" s="90">
        <f t="shared" ref="W281:W295" si="91">S281/S$8</f>
        <v>1.8133107727016356E-2</v>
      </c>
      <c r="X281" s="52">
        <f>S281-R281</f>
        <v>-317</v>
      </c>
    </row>
    <row r="282" spans="1:24" x14ac:dyDescent="0.2">
      <c r="A282" s="4" t="s">
        <v>421</v>
      </c>
      <c r="B282" s="4">
        <v>5915</v>
      </c>
      <c r="C282" s="4">
        <v>5765</v>
      </c>
      <c r="D282" s="4">
        <v>6176</v>
      </c>
      <c r="E282" s="4">
        <v>5666</v>
      </c>
      <c r="F282" s="4">
        <v>4674</v>
      </c>
      <c r="G282" s="4">
        <v>3647</v>
      </c>
      <c r="H282" s="4">
        <v>3410</v>
      </c>
      <c r="I282" s="4">
        <v>3004</v>
      </c>
      <c r="J282" s="4">
        <v>2898</v>
      </c>
      <c r="K282" s="4">
        <v>2352</v>
      </c>
      <c r="L282" s="4">
        <v>2279</v>
      </c>
      <c r="M282" s="4">
        <v>1488</v>
      </c>
      <c r="N282" s="4">
        <v>1398</v>
      </c>
      <c r="O282" s="4">
        <v>1196</v>
      </c>
      <c r="P282" s="4">
        <v>1480</v>
      </c>
      <c r="Q282" s="4">
        <v>1594</v>
      </c>
      <c r="R282" s="4">
        <v>1502</v>
      </c>
      <c r="S282" s="92">
        <v>1521</v>
      </c>
      <c r="T282" s="88">
        <f t="shared" si="88"/>
        <v>-0.4751552795031056</v>
      </c>
      <c r="U282" s="88">
        <f t="shared" si="89"/>
        <v>0.27173913043478259</v>
      </c>
      <c r="V282" s="88">
        <f t="shared" si="90"/>
        <v>1.2649800266311585E-2</v>
      </c>
      <c r="W282" s="90">
        <f t="shared" si="91"/>
        <v>1.4297800338409475E-2</v>
      </c>
      <c r="X282" s="52">
        <f t="shared" ref="X282:X296" si="92">S282-R282</f>
        <v>19</v>
      </c>
    </row>
    <row r="283" spans="1:24" x14ac:dyDescent="0.2">
      <c r="A283" s="4" t="s">
        <v>313</v>
      </c>
      <c r="B283" s="4">
        <v>2493</v>
      </c>
      <c r="C283" s="4">
        <v>2316</v>
      </c>
      <c r="D283" s="4">
        <v>2433</v>
      </c>
      <c r="E283" s="4">
        <v>2510</v>
      </c>
      <c r="F283" s="4">
        <v>2156</v>
      </c>
      <c r="G283" s="4">
        <v>2271</v>
      </c>
      <c r="H283" s="4">
        <v>2991</v>
      </c>
      <c r="I283" s="4">
        <v>2996</v>
      </c>
      <c r="J283" s="4">
        <v>2879</v>
      </c>
      <c r="K283" s="4">
        <v>2793</v>
      </c>
      <c r="L283" s="4">
        <v>2946</v>
      </c>
      <c r="M283" s="4">
        <v>2218</v>
      </c>
      <c r="N283" s="4">
        <v>2214</v>
      </c>
      <c r="O283" s="4">
        <v>2538</v>
      </c>
      <c r="P283" s="4">
        <v>2533</v>
      </c>
      <c r="Q283" s="4">
        <v>1587</v>
      </c>
      <c r="R283" s="4">
        <v>1829</v>
      </c>
      <c r="S283" s="92">
        <v>1434</v>
      </c>
      <c r="T283" s="88">
        <f t="shared" si="88"/>
        <v>-0.50191038555053835</v>
      </c>
      <c r="U283" s="88">
        <f t="shared" si="89"/>
        <v>-0.43498817966903075</v>
      </c>
      <c r="V283" s="88">
        <f t="shared" si="90"/>
        <v>-0.21596500820120285</v>
      </c>
      <c r="W283" s="90">
        <f t="shared" si="91"/>
        <v>1.3479977439368303E-2</v>
      </c>
      <c r="X283" s="52">
        <f t="shared" si="92"/>
        <v>-395</v>
      </c>
    </row>
    <row r="284" spans="1:24" x14ac:dyDescent="0.2">
      <c r="A284" s="4" t="s">
        <v>77</v>
      </c>
      <c r="B284" s="4">
        <v>1519</v>
      </c>
      <c r="C284" s="4">
        <v>1625</v>
      </c>
      <c r="D284" s="4">
        <v>1984</v>
      </c>
      <c r="E284" s="4">
        <v>2051</v>
      </c>
      <c r="F284" s="4">
        <v>2256</v>
      </c>
      <c r="G284" s="4">
        <v>2605</v>
      </c>
      <c r="H284" s="4">
        <v>2771</v>
      </c>
      <c r="I284" s="4">
        <v>3001</v>
      </c>
      <c r="J284" s="4">
        <v>2912</v>
      </c>
      <c r="K284" s="4">
        <v>2726</v>
      </c>
      <c r="L284" s="4">
        <v>2380</v>
      </c>
      <c r="M284" s="4">
        <v>2000</v>
      </c>
      <c r="N284" s="4">
        <v>2103</v>
      </c>
      <c r="O284" s="4">
        <v>1722</v>
      </c>
      <c r="P284" s="4">
        <v>1615</v>
      </c>
      <c r="Q284" s="4">
        <v>1581</v>
      </c>
      <c r="R284" s="4">
        <v>1595</v>
      </c>
      <c r="S284" s="92">
        <v>1305</v>
      </c>
      <c r="T284" s="88">
        <f t="shared" si="88"/>
        <v>-0.55185439560439564</v>
      </c>
      <c r="U284" s="88">
        <f t="shared" si="89"/>
        <v>-0.24216027874564461</v>
      </c>
      <c r="V284" s="88">
        <f t="shared" si="90"/>
        <v>-0.18181818181818182</v>
      </c>
      <c r="W284" s="90">
        <f t="shared" si="91"/>
        <v>1.2267343485617596E-2</v>
      </c>
      <c r="X284" s="52">
        <f t="shared" si="92"/>
        <v>-290</v>
      </c>
    </row>
    <row r="285" spans="1:24" x14ac:dyDescent="0.2">
      <c r="A285" s="4" t="s">
        <v>441</v>
      </c>
      <c r="B285" s="4">
        <v>687</v>
      </c>
      <c r="C285" s="4">
        <v>933</v>
      </c>
      <c r="D285" s="4">
        <v>1349</v>
      </c>
      <c r="E285" s="4">
        <v>1320</v>
      </c>
      <c r="F285" s="4">
        <v>1302</v>
      </c>
      <c r="G285" s="4">
        <v>1543</v>
      </c>
      <c r="H285" s="4">
        <v>1615</v>
      </c>
      <c r="I285" s="4">
        <v>1765</v>
      </c>
      <c r="J285" s="4">
        <v>1621</v>
      </c>
      <c r="K285" s="4">
        <v>1594</v>
      </c>
      <c r="L285" s="4">
        <v>1465</v>
      </c>
      <c r="M285" s="4">
        <v>1176</v>
      </c>
      <c r="N285" s="4">
        <v>1229</v>
      </c>
      <c r="O285" s="4">
        <v>1070</v>
      </c>
      <c r="P285" s="4">
        <v>1247</v>
      </c>
      <c r="Q285" s="4">
        <v>1078</v>
      </c>
      <c r="R285" s="4">
        <v>1120</v>
      </c>
      <c r="S285" s="92">
        <v>989</v>
      </c>
      <c r="T285" s="88">
        <f t="shared" si="88"/>
        <v>-0.38988278840222085</v>
      </c>
      <c r="U285" s="88">
        <f t="shared" si="89"/>
        <v>-7.5700934579439258E-2</v>
      </c>
      <c r="V285" s="88">
        <f t="shared" si="90"/>
        <v>-0.11696428571428572</v>
      </c>
      <c r="W285" s="90">
        <f t="shared" si="91"/>
        <v>9.2968603120887391E-3</v>
      </c>
      <c r="X285" s="52">
        <f t="shared" si="92"/>
        <v>-131</v>
      </c>
    </row>
    <row r="286" spans="1:24" x14ac:dyDescent="0.2">
      <c r="A286" s="4" t="s">
        <v>442</v>
      </c>
      <c r="B286" s="4">
        <v>492</v>
      </c>
      <c r="C286" s="4">
        <v>487</v>
      </c>
      <c r="D286" s="4">
        <v>583</v>
      </c>
      <c r="E286" s="4">
        <v>542</v>
      </c>
      <c r="F286" s="4">
        <v>513</v>
      </c>
      <c r="G286" s="4">
        <v>801</v>
      </c>
      <c r="H286" s="4">
        <v>709</v>
      </c>
      <c r="I286" s="4">
        <v>799</v>
      </c>
      <c r="J286" s="4">
        <v>634</v>
      </c>
      <c r="K286" s="4">
        <v>712</v>
      </c>
      <c r="L286" s="4">
        <v>635</v>
      </c>
      <c r="M286" s="4">
        <v>466</v>
      </c>
      <c r="N286" s="4">
        <v>575</v>
      </c>
      <c r="O286" s="4">
        <v>501</v>
      </c>
      <c r="P286" s="4">
        <v>615</v>
      </c>
      <c r="Q286" s="4">
        <v>741</v>
      </c>
      <c r="R286" s="4">
        <v>808</v>
      </c>
      <c r="S286" s="92">
        <v>749</v>
      </c>
      <c r="T286" s="88">
        <f t="shared" si="88"/>
        <v>0.18138801261829654</v>
      </c>
      <c r="U286" s="88">
        <f t="shared" si="89"/>
        <v>0.49500998003992014</v>
      </c>
      <c r="V286" s="88">
        <f t="shared" si="90"/>
        <v>-7.3019801980198015E-2</v>
      </c>
      <c r="W286" s="90">
        <f t="shared" si="91"/>
        <v>7.0407971423199853E-3</v>
      </c>
      <c r="X286" s="52">
        <f t="shared" si="92"/>
        <v>-59</v>
      </c>
    </row>
    <row r="287" spans="1:24" x14ac:dyDescent="0.2">
      <c r="A287" s="4" t="s">
        <v>443</v>
      </c>
      <c r="B287" s="4">
        <v>349</v>
      </c>
      <c r="C287" s="4">
        <v>317</v>
      </c>
      <c r="D287" s="4">
        <v>489</v>
      </c>
      <c r="E287" s="4">
        <v>484</v>
      </c>
      <c r="F287" s="4">
        <v>502</v>
      </c>
      <c r="G287" s="4">
        <v>470</v>
      </c>
      <c r="H287" s="4">
        <v>503</v>
      </c>
      <c r="I287" s="4">
        <v>597</v>
      </c>
      <c r="J287" s="4">
        <v>509</v>
      </c>
      <c r="K287" s="4">
        <v>632</v>
      </c>
      <c r="L287" s="4">
        <v>526</v>
      </c>
      <c r="M287" s="4">
        <v>428</v>
      </c>
      <c r="N287" s="4">
        <v>396</v>
      </c>
      <c r="O287" s="4">
        <v>355</v>
      </c>
      <c r="P287" s="4">
        <v>533</v>
      </c>
      <c r="Q287" s="4">
        <v>540</v>
      </c>
      <c r="R287" s="4">
        <v>634</v>
      </c>
      <c r="S287" s="92">
        <v>597</v>
      </c>
      <c r="T287" s="88">
        <f t="shared" si="88"/>
        <v>0.17288801571709234</v>
      </c>
      <c r="U287" s="88">
        <f t="shared" si="89"/>
        <v>0.6816901408450704</v>
      </c>
      <c r="V287" s="88">
        <f t="shared" si="90"/>
        <v>-5.8359621451104099E-2</v>
      </c>
      <c r="W287" s="90">
        <f t="shared" si="91"/>
        <v>5.6119571347997745E-3</v>
      </c>
      <c r="X287" s="52">
        <f t="shared" si="92"/>
        <v>-37</v>
      </c>
    </row>
    <row r="288" spans="1:24" x14ac:dyDescent="0.2">
      <c r="A288" s="4" t="s">
        <v>440</v>
      </c>
      <c r="B288" s="4">
        <v>712</v>
      </c>
      <c r="C288" s="4">
        <v>659</v>
      </c>
      <c r="D288" s="4">
        <v>839</v>
      </c>
      <c r="E288" s="4">
        <v>848</v>
      </c>
      <c r="F288" s="4">
        <v>961</v>
      </c>
      <c r="G288" s="4">
        <v>1169</v>
      </c>
      <c r="H288" s="4">
        <v>1024</v>
      </c>
      <c r="I288" s="4">
        <v>978</v>
      </c>
      <c r="J288" s="4">
        <v>858</v>
      </c>
      <c r="K288" s="4">
        <v>805</v>
      </c>
      <c r="L288" s="4">
        <v>660</v>
      </c>
      <c r="M288" s="4">
        <v>495</v>
      </c>
      <c r="N288" s="4">
        <v>511</v>
      </c>
      <c r="O288" s="4">
        <v>431</v>
      </c>
      <c r="P288" s="4">
        <v>569</v>
      </c>
      <c r="Q288" s="4">
        <v>617</v>
      </c>
      <c r="R288" s="4">
        <v>644</v>
      </c>
      <c r="S288" s="92">
        <v>532</v>
      </c>
      <c r="T288" s="88">
        <f t="shared" si="88"/>
        <v>-0.37995337995337997</v>
      </c>
      <c r="U288" s="88">
        <f t="shared" si="89"/>
        <v>0.23433874709976799</v>
      </c>
      <c r="V288" s="88">
        <f t="shared" si="90"/>
        <v>-0.17391304347826086</v>
      </c>
      <c r="W288" s="90">
        <f t="shared" si="91"/>
        <v>5.000940026320737E-3</v>
      </c>
      <c r="X288" s="52">
        <f t="shared" si="92"/>
        <v>-112</v>
      </c>
    </row>
    <row r="289" spans="1:24" x14ac:dyDescent="0.2">
      <c r="A289" s="4" t="s">
        <v>435</v>
      </c>
      <c r="B289" s="4">
        <v>316</v>
      </c>
      <c r="C289" s="4">
        <v>325</v>
      </c>
      <c r="D289" s="4">
        <v>497</v>
      </c>
      <c r="E289" s="4">
        <v>551</v>
      </c>
      <c r="F289" s="4">
        <v>509</v>
      </c>
      <c r="G289" s="4">
        <v>646</v>
      </c>
      <c r="H289" s="4">
        <v>620</v>
      </c>
      <c r="I289" s="4">
        <v>627</v>
      </c>
      <c r="J289" s="4">
        <v>522</v>
      </c>
      <c r="K289" s="4">
        <v>486</v>
      </c>
      <c r="L289" s="4">
        <v>461</v>
      </c>
      <c r="M289" s="4">
        <v>316</v>
      </c>
      <c r="N289" s="4">
        <v>291</v>
      </c>
      <c r="O289" s="4">
        <v>227</v>
      </c>
      <c r="P289" s="4">
        <v>413</v>
      </c>
      <c r="Q289" s="4">
        <v>456</v>
      </c>
      <c r="R289" s="4">
        <v>523</v>
      </c>
      <c r="S289" s="92">
        <v>527</v>
      </c>
      <c r="T289" s="88">
        <f t="shared" si="88"/>
        <v>9.5785440613026813E-3</v>
      </c>
      <c r="U289" s="88">
        <f t="shared" si="89"/>
        <v>1.3215859030837005</v>
      </c>
      <c r="V289" s="88">
        <f t="shared" si="90"/>
        <v>7.6481835564053535E-3</v>
      </c>
      <c r="W289" s="90">
        <f t="shared" si="91"/>
        <v>4.9539387102838879E-3</v>
      </c>
      <c r="X289" s="52">
        <f t="shared" si="92"/>
        <v>4</v>
      </c>
    </row>
    <row r="290" spans="1:24" x14ac:dyDescent="0.2">
      <c r="A290" s="4" t="s">
        <v>434</v>
      </c>
      <c r="B290" s="4">
        <v>378</v>
      </c>
      <c r="C290" s="4">
        <v>409</v>
      </c>
      <c r="D290" s="4">
        <v>396</v>
      </c>
      <c r="E290" s="4">
        <v>385</v>
      </c>
      <c r="F290" s="4">
        <v>338</v>
      </c>
      <c r="G290" s="4">
        <v>442</v>
      </c>
      <c r="H290" s="4">
        <v>372</v>
      </c>
      <c r="I290" s="4">
        <v>395</v>
      </c>
      <c r="J290" s="4">
        <v>404</v>
      </c>
      <c r="K290" s="4">
        <v>386</v>
      </c>
      <c r="L290" s="4">
        <v>460</v>
      </c>
      <c r="M290" s="4">
        <v>380</v>
      </c>
      <c r="N290" s="4">
        <v>416</v>
      </c>
      <c r="O290" s="4">
        <v>324</v>
      </c>
      <c r="P290" s="4">
        <v>450</v>
      </c>
      <c r="Q290" s="4">
        <v>397</v>
      </c>
      <c r="R290" s="4">
        <v>535</v>
      </c>
      <c r="S290" s="92">
        <v>366</v>
      </c>
      <c r="T290" s="88">
        <f t="shared" si="88"/>
        <v>-9.405940594059406E-2</v>
      </c>
      <c r="U290" s="88">
        <f t="shared" si="89"/>
        <v>0.12962962962962962</v>
      </c>
      <c r="V290" s="88">
        <f t="shared" si="90"/>
        <v>-0.31588785046728973</v>
      </c>
      <c r="W290" s="90">
        <f t="shared" si="91"/>
        <v>3.4404963338973489E-3</v>
      </c>
      <c r="X290" s="52">
        <f t="shared" si="92"/>
        <v>-169</v>
      </c>
    </row>
    <row r="291" spans="1:24" x14ac:dyDescent="0.2">
      <c r="A291" s="4" t="s">
        <v>444</v>
      </c>
      <c r="B291" s="4">
        <v>247</v>
      </c>
      <c r="C291" s="4">
        <v>176</v>
      </c>
      <c r="D291" s="4">
        <v>316</v>
      </c>
      <c r="E291" s="4">
        <v>497</v>
      </c>
      <c r="F291" s="4">
        <v>411</v>
      </c>
      <c r="G291" s="4">
        <v>590</v>
      </c>
      <c r="H291" s="4">
        <v>654</v>
      </c>
      <c r="I291" s="4">
        <v>552</v>
      </c>
      <c r="J291" s="4">
        <v>595</v>
      </c>
      <c r="K291" s="4">
        <v>629</v>
      </c>
      <c r="L291" s="4">
        <v>748</v>
      </c>
      <c r="M291" s="4">
        <v>624</v>
      </c>
      <c r="N291" s="4">
        <v>520</v>
      </c>
      <c r="O291" s="4">
        <v>611</v>
      </c>
      <c r="P291" s="4">
        <v>934</v>
      </c>
      <c r="Q291" s="4">
        <v>552</v>
      </c>
      <c r="R291" s="4">
        <v>485</v>
      </c>
      <c r="S291" s="92">
        <v>353</v>
      </c>
      <c r="T291" s="88">
        <f t="shared" si="88"/>
        <v>-0.40672268907563025</v>
      </c>
      <c r="U291" s="88">
        <f t="shared" si="89"/>
        <v>-0.42225859247135844</v>
      </c>
      <c r="V291" s="88">
        <f t="shared" si="90"/>
        <v>-0.27216494845360822</v>
      </c>
      <c r="W291" s="90">
        <f t="shared" si="91"/>
        <v>3.3182929122015418E-3</v>
      </c>
      <c r="X291" s="52">
        <f t="shared" si="92"/>
        <v>-132</v>
      </c>
    </row>
    <row r="292" spans="1:24" x14ac:dyDescent="0.2">
      <c r="A292" s="4" t="s">
        <v>436</v>
      </c>
      <c r="B292" s="4">
        <v>252</v>
      </c>
      <c r="C292" s="4">
        <v>238</v>
      </c>
      <c r="D292" s="4">
        <v>162</v>
      </c>
      <c r="E292" s="4">
        <v>181</v>
      </c>
      <c r="F292" s="4">
        <v>187</v>
      </c>
      <c r="G292" s="4">
        <v>167</v>
      </c>
      <c r="H292" s="4">
        <v>198</v>
      </c>
      <c r="I292" s="4">
        <v>180</v>
      </c>
      <c r="J292" s="4">
        <v>82</v>
      </c>
      <c r="K292" s="4">
        <v>104</v>
      </c>
      <c r="L292" s="4">
        <v>113</v>
      </c>
      <c r="M292" s="4">
        <v>85</v>
      </c>
      <c r="N292" s="4">
        <v>113</v>
      </c>
      <c r="O292" s="4">
        <v>78</v>
      </c>
      <c r="P292" s="4">
        <v>103</v>
      </c>
      <c r="Q292" s="4">
        <v>92</v>
      </c>
      <c r="R292" s="4">
        <v>100</v>
      </c>
      <c r="S292" s="92">
        <v>246</v>
      </c>
      <c r="T292" s="88">
        <f t="shared" si="88"/>
        <v>2</v>
      </c>
      <c r="U292" s="88">
        <f t="shared" si="89"/>
        <v>2.1538461538461537</v>
      </c>
      <c r="V292" s="88">
        <f t="shared" si="90"/>
        <v>1.46</v>
      </c>
      <c r="W292" s="90">
        <f t="shared" si="91"/>
        <v>2.3124647490129725E-3</v>
      </c>
      <c r="X292" s="52">
        <f t="shared" si="92"/>
        <v>146</v>
      </c>
    </row>
    <row r="293" spans="1:24" x14ac:dyDescent="0.2">
      <c r="A293" s="4" t="s">
        <v>437</v>
      </c>
      <c r="B293" s="4">
        <v>145</v>
      </c>
      <c r="C293" s="4">
        <v>271</v>
      </c>
      <c r="D293" s="4">
        <v>309</v>
      </c>
      <c r="E293" s="4">
        <v>226</v>
      </c>
      <c r="F293" s="4">
        <v>85</v>
      </c>
      <c r="G293" s="4">
        <v>115</v>
      </c>
      <c r="H293" s="4">
        <v>60</v>
      </c>
      <c r="I293" s="4">
        <v>57</v>
      </c>
      <c r="J293" s="4">
        <v>88</v>
      </c>
      <c r="K293" s="4">
        <v>50</v>
      </c>
      <c r="L293" s="4">
        <v>59</v>
      </c>
      <c r="M293" s="4">
        <v>74</v>
      </c>
      <c r="N293" s="4">
        <v>90</v>
      </c>
      <c r="O293" s="4">
        <v>26</v>
      </c>
      <c r="P293" s="4">
        <v>118</v>
      </c>
      <c r="Q293" s="4">
        <v>62</v>
      </c>
      <c r="R293" s="4">
        <v>81</v>
      </c>
      <c r="S293" s="92">
        <v>102</v>
      </c>
      <c r="T293" s="88">
        <f t="shared" si="88"/>
        <v>0.15909090909090909</v>
      </c>
      <c r="U293" s="88">
        <f t="shared" si="89"/>
        <v>2.9230769230769229</v>
      </c>
      <c r="V293" s="88">
        <f t="shared" si="90"/>
        <v>0.25925925925925924</v>
      </c>
      <c r="W293" s="90">
        <f t="shared" si="91"/>
        <v>9.5882684715172027E-4</v>
      </c>
      <c r="X293" s="52">
        <f t="shared" si="92"/>
        <v>21</v>
      </c>
    </row>
    <row r="294" spans="1:24" x14ac:dyDescent="0.2">
      <c r="A294" s="4" t="s">
        <v>439</v>
      </c>
      <c r="B294" s="4">
        <v>225</v>
      </c>
      <c r="C294" s="4">
        <v>310</v>
      </c>
      <c r="D294" s="4">
        <v>382</v>
      </c>
      <c r="E294" s="4">
        <v>325</v>
      </c>
      <c r="F294" s="4">
        <v>304</v>
      </c>
      <c r="G294" s="4">
        <v>275</v>
      </c>
      <c r="H294" s="4">
        <v>241</v>
      </c>
      <c r="I294" s="4">
        <v>172</v>
      </c>
      <c r="J294" s="4">
        <v>192</v>
      </c>
      <c r="K294" s="4">
        <v>135</v>
      </c>
      <c r="L294" s="4">
        <v>158</v>
      </c>
      <c r="M294" s="4">
        <v>131</v>
      </c>
      <c r="N294" s="4">
        <v>132</v>
      </c>
      <c r="O294" s="4">
        <v>104</v>
      </c>
      <c r="P294" s="4">
        <v>136</v>
      </c>
      <c r="Q294" s="4">
        <v>90</v>
      </c>
      <c r="R294" s="4">
        <v>170</v>
      </c>
      <c r="S294" s="92">
        <v>97</v>
      </c>
      <c r="T294" s="88">
        <f t="shared" si="88"/>
        <v>-0.49479166666666669</v>
      </c>
      <c r="U294" s="88">
        <f t="shared" si="89"/>
        <v>-6.7307692307692304E-2</v>
      </c>
      <c r="V294" s="88">
        <f t="shared" si="90"/>
        <v>-0.42941176470588233</v>
      </c>
      <c r="W294" s="90">
        <f t="shared" si="91"/>
        <v>9.1182553111487116E-4</v>
      </c>
      <c r="X294" s="52">
        <f t="shared" si="92"/>
        <v>-73</v>
      </c>
    </row>
    <row r="295" spans="1:24" x14ac:dyDescent="0.2">
      <c r="A295" s="4" t="s">
        <v>438</v>
      </c>
      <c r="B295" s="4">
        <v>104</v>
      </c>
      <c r="C295" s="4">
        <v>203</v>
      </c>
      <c r="D295" s="4">
        <v>52</v>
      </c>
      <c r="E295" s="4">
        <v>44</v>
      </c>
      <c r="F295" s="4">
        <v>12</v>
      </c>
      <c r="G295" s="4">
        <v>16</v>
      </c>
      <c r="H295" s="4">
        <v>26</v>
      </c>
      <c r="I295" s="4">
        <v>20</v>
      </c>
      <c r="J295" s="4">
        <v>12</v>
      </c>
      <c r="K295" s="4">
        <v>10</v>
      </c>
      <c r="L295" s="4">
        <v>3</v>
      </c>
      <c r="M295" s="4">
        <v>1</v>
      </c>
      <c r="N295" s="4">
        <v>4</v>
      </c>
      <c r="O295" s="4">
        <v>2</v>
      </c>
      <c r="P295" s="4">
        <v>0</v>
      </c>
      <c r="Q295" s="4">
        <v>1</v>
      </c>
      <c r="R295" s="4">
        <v>0</v>
      </c>
      <c r="S295" s="92">
        <v>0</v>
      </c>
      <c r="T295" s="88">
        <f t="shared" si="88"/>
        <v>-1</v>
      </c>
      <c r="U295" s="88">
        <f t="shared" si="89"/>
        <v>-1</v>
      </c>
      <c r="V295" s="88" t="s">
        <v>296</v>
      </c>
      <c r="W295" s="90">
        <f t="shared" si="91"/>
        <v>0</v>
      </c>
      <c r="X295" s="52">
        <f t="shared" si="92"/>
        <v>0</v>
      </c>
    </row>
    <row r="296" spans="1:24" x14ac:dyDescent="0.2">
      <c r="A296" s="5" t="s">
        <v>4</v>
      </c>
      <c r="B296" s="5">
        <v>14937</v>
      </c>
      <c r="C296" s="5">
        <v>15463</v>
      </c>
      <c r="D296" s="5">
        <v>17242</v>
      </c>
      <c r="E296" s="5">
        <v>16908</v>
      </c>
      <c r="F296" s="5">
        <v>15518</v>
      </c>
      <c r="G296" s="5">
        <v>16237</v>
      </c>
      <c r="H296" s="5">
        <v>17659</v>
      </c>
      <c r="I296" s="5">
        <v>17472</v>
      </c>
      <c r="J296" s="5">
        <v>17714</v>
      </c>
      <c r="K296" s="5">
        <v>16675</v>
      </c>
      <c r="L296" s="5">
        <v>16068</v>
      </c>
      <c r="M296" s="5">
        <v>13884</v>
      </c>
      <c r="N296" s="5">
        <v>15097</v>
      </c>
      <c r="O296" s="5">
        <v>12177</v>
      </c>
      <c r="P296" s="5">
        <v>14115</v>
      </c>
      <c r="Q296" s="5">
        <v>11483</v>
      </c>
      <c r="R296" s="5">
        <v>12272</v>
      </c>
      <c r="S296" s="66">
        <v>10747</v>
      </c>
      <c r="T296" s="89">
        <f t="shared" ref="T296" si="93">(S296-J296)/J296</f>
        <v>-0.39330473072146327</v>
      </c>
      <c r="U296" s="89">
        <f t="shared" ref="U296" si="94">(S296-O296)/O296</f>
        <v>-0.11743450767841011</v>
      </c>
      <c r="V296" s="89">
        <f t="shared" ref="V296" si="95">(S296-R296)/R296</f>
        <v>-0.12426662320730117</v>
      </c>
      <c r="W296" s="91">
        <f t="shared" ref="W296" si="96">S296/S$8</f>
        <v>0.10102462868960331</v>
      </c>
      <c r="X296" s="53">
        <f t="shared" si="92"/>
        <v>-1525</v>
      </c>
    </row>
    <row r="298" spans="1:24" ht="15.75" x14ac:dyDescent="0.2">
      <c r="A298" s="32" t="s">
        <v>271</v>
      </c>
      <c r="B298" s="32"/>
      <c r="C298" s="32"/>
      <c r="D298" s="32"/>
      <c r="E298" s="32"/>
      <c r="F298" s="32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</row>
    <row r="299" spans="1:24" ht="27" customHeight="1" x14ac:dyDescent="0.2">
      <c r="A299" s="73" t="s">
        <v>207</v>
      </c>
      <c r="B299" s="3">
        <v>2007</v>
      </c>
      <c r="C299" s="3">
        <v>2008</v>
      </c>
      <c r="D299" s="3">
        <v>2009</v>
      </c>
      <c r="E299" s="3">
        <v>2010</v>
      </c>
      <c r="F299" s="3">
        <v>2011</v>
      </c>
      <c r="G299" s="3">
        <v>2012</v>
      </c>
      <c r="H299" s="3">
        <v>2013</v>
      </c>
      <c r="I299" s="3">
        <v>2014</v>
      </c>
      <c r="J299" s="3">
        <v>2015</v>
      </c>
      <c r="K299" s="3">
        <v>2016</v>
      </c>
      <c r="L299" s="3">
        <v>2017</v>
      </c>
      <c r="M299" s="3">
        <v>2018</v>
      </c>
      <c r="N299" s="3">
        <v>2019</v>
      </c>
      <c r="O299" s="3">
        <v>2020</v>
      </c>
      <c r="P299" s="3">
        <v>2021</v>
      </c>
      <c r="Q299" s="3">
        <v>2022</v>
      </c>
      <c r="R299" s="3">
        <v>2023</v>
      </c>
      <c r="S299" s="3">
        <v>2024</v>
      </c>
      <c r="T299" s="12" t="s">
        <v>368</v>
      </c>
      <c r="U299" s="12" t="s">
        <v>369</v>
      </c>
      <c r="V299" s="12" t="s">
        <v>370</v>
      </c>
      <c r="W299" s="12" t="s">
        <v>372</v>
      </c>
      <c r="X299" s="169" t="s">
        <v>494</v>
      </c>
    </row>
    <row r="300" spans="1:24" x14ac:dyDescent="0.2">
      <c r="A300" s="4" t="s">
        <v>188</v>
      </c>
      <c r="B300" s="4">
        <v>46857</v>
      </c>
      <c r="C300" s="4">
        <v>54740</v>
      </c>
      <c r="D300" s="4">
        <v>58511</v>
      </c>
      <c r="E300" s="4">
        <v>55760</v>
      </c>
      <c r="F300" s="4">
        <v>65986</v>
      </c>
      <c r="G300" s="4">
        <v>76782</v>
      </c>
      <c r="H300" s="4">
        <v>88886</v>
      </c>
      <c r="I300" s="4">
        <v>95987</v>
      </c>
      <c r="J300" s="4">
        <v>105400</v>
      </c>
      <c r="K300" s="4">
        <v>111709</v>
      </c>
      <c r="L300" s="4">
        <v>116510</v>
      </c>
      <c r="M300" s="4">
        <v>118256</v>
      </c>
      <c r="N300" s="4">
        <v>114481</v>
      </c>
      <c r="O300" s="4">
        <v>91142</v>
      </c>
      <c r="P300" s="4">
        <v>132818</v>
      </c>
      <c r="Q300" s="4">
        <v>128765</v>
      </c>
      <c r="R300" s="4">
        <v>129729</v>
      </c>
      <c r="S300" s="4">
        <v>125348</v>
      </c>
      <c r="T300" s="88">
        <f>(S300-J300)/J300</f>
        <v>0.18925996204933587</v>
      </c>
      <c r="U300" s="88">
        <f>(S300-O300)/O300</f>
        <v>0.37530446994799327</v>
      </c>
      <c r="V300" s="88">
        <f>(S300-R300)/R300</f>
        <v>-3.3770398291823725E-2</v>
      </c>
      <c r="W300" s="90">
        <f>S300/S$9</f>
        <v>0.55755570085892081</v>
      </c>
      <c r="X300" s="52">
        <f>S300-R300</f>
        <v>-4381</v>
      </c>
    </row>
    <row r="301" spans="1:24" x14ac:dyDescent="0.2">
      <c r="A301" s="4" t="s">
        <v>189</v>
      </c>
      <c r="B301" s="4">
        <v>40269</v>
      </c>
      <c r="C301" s="4">
        <v>43282</v>
      </c>
      <c r="D301" s="4">
        <v>47619</v>
      </c>
      <c r="E301" s="4">
        <v>46404</v>
      </c>
      <c r="F301" s="4">
        <v>52346</v>
      </c>
      <c r="G301" s="4">
        <v>58939</v>
      </c>
      <c r="H301" s="4">
        <v>68105</v>
      </c>
      <c r="I301" s="4">
        <v>75661</v>
      </c>
      <c r="J301" s="4">
        <v>83686</v>
      </c>
      <c r="K301" s="4">
        <v>85859</v>
      </c>
      <c r="L301" s="4">
        <v>90044</v>
      </c>
      <c r="M301" s="4">
        <v>90766</v>
      </c>
      <c r="N301" s="4">
        <v>86661</v>
      </c>
      <c r="O301" s="4">
        <v>69748</v>
      </c>
      <c r="P301" s="4">
        <v>95873</v>
      </c>
      <c r="Q301" s="4">
        <v>97170</v>
      </c>
      <c r="R301" s="4">
        <v>101439</v>
      </c>
      <c r="S301" s="4">
        <v>99468</v>
      </c>
      <c r="T301" s="88">
        <f>(S301-J301)/J301</f>
        <v>0.18858590445235762</v>
      </c>
      <c r="U301" s="88">
        <f>(S301-O301)/O301</f>
        <v>0.42610540804037395</v>
      </c>
      <c r="V301" s="88">
        <f>(S301-R301)/R301</f>
        <v>-1.9430396593026349E-2</v>
      </c>
      <c r="W301" s="90">
        <f>S301/S$9</f>
        <v>0.44243985107887751</v>
      </c>
      <c r="X301" s="52">
        <f t="shared" ref="X301:X303" si="97">S301-R301</f>
        <v>-1971</v>
      </c>
    </row>
    <row r="302" spans="1:24" x14ac:dyDescent="0.2">
      <c r="A302" s="4" t="s">
        <v>498</v>
      </c>
      <c r="B302" s="4">
        <v>0</v>
      </c>
      <c r="C302" s="4">
        <v>0</v>
      </c>
      <c r="D302" s="4">
        <v>0</v>
      </c>
      <c r="E302" s="4">
        <v>0</v>
      </c>
      <c r="F302" s="4">
        <v>0</v>
      </c>
      <c r="G302" s="4">
        <v>0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1</v>
      </c>
      <c r="S302" s="4">
        <v>1</v>
      </c>
      <c r="T302" s="88" t="s">
        <v>296</v>
      </c>
      <c r="U302" s="88" t="s">
        <v>296</v>
      </c>
      <c r="V302" s="88">
        <f>(S302-R302)/R302</f>
        <v>0</v>
      </c>
      <c r="W302" s="90">
        <f>S302/S$9</f>
        <v>4.4480622017018289E-6</v>
      </c>
      <c r="X302" s="52">
        <f t="shared" si="97"/>
        <v>0</v>
      </c>
    </row>
    <row r="303" spans="1:24" x14ac:dyDescent="0.2">
      <c r="A303" s="5" t="s">
        <v>4</v>
      </c>
      <c r="B303" s="5">
        <v>87126</v>
      </c>
      <c r="C303" s="5">
        <v>98022</v>
      </c>
      <c r="D303" s="5">
        <v>106130</v>
      </c>
      <c r="E303" s="5">
        <v>102164</v>
      </c>
      <c r="F303" s="5">
        <v>118332</v>
      </c>
      <c r="G303" s="5">
        <v>135721</v>
      </c>
      <c r="H303" s="5">
        <v>156991</v>
      </c>
      <c r="I303" s="5">
        <v>171648</v>
      </c>
      <c r="J303" s="5">
        <v>189086</v>
      </c>
      <c r="K303" s="5">
        <v>197568</v>
      </c>
      <c r="L303" s="5">
        <v>206554</v>
      </c>
      <c r="M303" s="5">
        <v>209022</v>
      </c>
      <c r="N303" s="5">
        <v>201142</v>
      </c>
      <c r="O303" s="5">
        <v>160890</v>
      </c>
      <c r="P303" s="5">
        <v>228691</v>
      </c>
      <c r="Q303" s="5">
        <v>225935</v>
      </c>
      <c r="R303" s="5">
        <v>231169</v>
      </c>
      <c r="S303" s="5">
        <v>224817</v>
      </c>
      <c r="T303" s="89">
        <f>(S303-J303)/J303</f>
        <v>0.18896692510286325</v>
      </c>
      <c r="U303" s="89">
        <f>(S303-O303)/O303</f>
        <v>0.39733358195040092</v>
      </c>
      <c r="V303" s="89">
        <f>(S303-R303)/R303</f>
        <v>-2.7477732740981704E-2</v>
      </c>
      <c r="W303" s="91">
        <f>S303/S$9</f>
        <v>1</v>
      </c>
      <c r="X303" s="53">
        <f t="shared" si="97"/>
        <v>-6352</v>
      </c>
    </row>
    <row r="304" spans="1:24" x14ac:dyDescent="0.2">
      <c r="A304" s="87"/>
      <c r="B304" s="87"/>
      <c r="C304" s="87"/>
      <c r="D304" s="87"/>
      <c r="E304" s="87"/>
      <c r="F304" s="87"/>
      <c r="G304" s="87"/>
      <c r="H304" s="87"/>
      <c r="I304" s="87"/>
      <c r="J304" s="87"/>
      <c r="K304" s="87"/>
      <c r="L304" s="87"/>
      <c r="M304" s="87"/>
      <c r="N304" s="87"/>
      <c r="O304" s="87"/>
      <c r="P304" s="87"/>
      <c r="Q304" s="87"/>
      <c r="R304" s="87"/>
      <c r="S304" s="87"/>
      <c r="T304" s="87"/>
      <c r="U304" s="87"/>
      <c r="V304" s="87"/>
      <c r="W304" s="87"/>
      <c r="X304" s="87"/>
    </row>
    <row r="305" spans="1:24" ht="15.75" x14ac:dyDescent="0.2">
      <c r="A305" s="107" t="s">
        <v>272</v>
      </c>
      <c r="B305" s="107"/>
      <c r="C305" s="107"/>
      <c r="D305" s="32"/>
      <c r="E305" s="32"/>
      <c r="F305" s="32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</row>
    <row r="306" spans="1:24" ht="27" customHeight="1" x14ac:dyDescent="0.2">
      <c r="A306" s="73" t="s">
        <v>207</v>
      </c>
      <c r="B306" s="3">
        <v>2007</v>
      </c>
      <c r="C306" s="3">
        <v>2008</v>
      </c>
      <c r="D306" s="3">
        <v>2009</v>
      </c>
      <c r="E306" s="3">
        <v>2010</v>
      </c>
      <c r="F306" s="3">
        <v>2011</v>
      </c>
      <c r="G306" s="3">
        <v>2012</v>
      </c>
      <c r="H306" s="3">
        <v>2013</v>
      </c>
      <c r="I306" s="3">
        <v>2014</v>
      </c>
      <c r="J306" s="3">
        <v>2015</v>
      </c>
      <c r="K306" s="3">
        <v>2016</v>
      </c>
      <c r="L306" s="3">
        <v>2017</v>
      </c>
      <c r="M306" s="3">
        <v>2018</v>
      </c>
      <c r="N306" s="3">
        <v>2019</v>
      </c>
      <c r="O306" s="3">
        <v>2020</v>
      </c>
      <c r="P306" s="3">
        <v>2021</v>
      </c>
      <c r="Q306" s="3">
        <v>2022</v>
      </c>
      <c r="R306" s="3">
        <v>2023</v>
      </c>
      <c r="S306" s="3">
        <v>2024</v>
      </c>
      <c r="T306" s="12" t="s">
        <v>368</v>
      </c>
      <c r="U306" s="12" t="s">
        <v>369</v>
      </c>
      <c r="V306" s="12" t="s">
        <v>370</v>
      </c>
      <c r="W306" s="12" t="s">
        <v>372</v>
      </c>
      <c r="X306" s="169" t="s">
        <v>494</v>
      </c>
    </row>
    <row r="307" spans="1:24" x14ac:dyDescent="0.2">
      <c r="A307" s="29" t="s">
        <v>188</v>
      </c>
      <c r="B307" s="29">
        <v>7755</v>
      </c>
      <c r="C307" s="29">
        <v>12144</v>
      </c>
      <c r="D307" s="29">
        <v>9917</v>
      </c>
      <c r="E307" s="29">
        <v>8058</v>
      </c>
      <c r="F307" s="29">
        <v>13729</v>
      </c>
      <c r="G307" s="4">
        <v>15836</v>
      </c>
      <c r="H307" s="4">
        <v>17291</v>
      </c>
      <c r="I307" s="4">
        <v>16627</v>
      </c>
      <c r="J307" s="4">
        <v>17700</v>
      </c>
      <c r="K307" s="4">
        <v>19640</v>
      </c>
      <c r="L307" s="4">
        <v>18309</v>
      </c>
      <c r="M307" s="4">
        <v>19854</v>
      </c>
      <c r="N307" s="4">
        <v>18787</v>
      </c>
      <c r="O307" s="4">
        <v>14107</v>
      </c>
      <c r="P307" s="4">
        <v>21604</v>
      </c>
      <c r="Q307" s="4">
        <v>22181</v>
      </c>
      <c r="R307" s="4">
        <v>23062</v>
      </c>
      <c r="S307" s="4">
        <v>21167</v>
      </c>
      <c r="T307" s="88">
        <f>(S307-J307)/J307</f>
        <v>0.19587570621468928</v>
      </c>
      <c r="U307" s="88">
        <f>(S307-O307)/O307</f>
        <v>0.50046076415963703</v>
      </c>
      <c r="V307" s="88">
        <f>(S307-R307)/R307</f>
        <v>-8.2169803139363451E-2</v>
      </c>
      <c r="W307" s="90">
        <f>S307/S$309</f>
        <v>0.56974052540913001</v>
      </c>
      <c r="X307" s="52">
        <f t="shared" ref="X307:X309" si="98">S307-R307</f>
        <v>-1895</v>
      </c>
    </row>
    <row r="308" spans="1:24" x14ac:dyDescent="0.2">
      <c r="A308" s="29" t="s">
        <v>189</v>
      </c>
      <c r="B308" s="29">
        <v>6158</v>
      </c>
      <c r="C308" s="29">
        <v>7870</v>
      </c>
      <c r="D308" s="29">
        <v>6976</v>
      </c>
      <c r="E308" s="29">
        <v>6284</v>
      </c>
      <c r="F308" s="29">
        <v>8749</v>
      </c>
      <c r="G308" s="4">
        <v>9779</v>
      </c>
      <c r="H308" s="4">
        <v>10992</v>
      </c>
      <c r="I308" s="4">
        <v>11152</v>
      </c>
      <c r="J308" s="4">
        <v>12955</v>
      </c>
      <c r="K308" s="4">
        <v>14290</v>
      </c>
      <c r="L308" s="4">
        <v>14705</v>
      </c>
      <c r="M308" s="4">
        <v>15500</v>
      </c>
      <c r="N308" s="4">
        <v>15260</v>
      </c>
      <c r="O308" s="4">
        <v>10106</v>
      </c>
      <c r="P308" s="4">
        <v>14870</v>
      </c>
      <c r="Q308" s="4">
        <v>15988</v>
      </c>
      <c r="R308" s="4">
        <v>17593</v>
      </c>
      <c r="S308" s="4">
        <v>15985</v>
      </c>
      <c r="T308" s="88">
        <f>(S308-J308)/J308</f>
        <v>0.23388653029718257</v>
      </c>
      <c r="U308" s="88">
        <f>(S308-O308)/O308</f>
        <v>0.58173362358994651</v>
      </c>
      <c r="V308" s="88">
        <f>(S308-R308)/R308</f>
        <v>-9.1399988631842205E-2</v>
      </c>
      <c r="W308" s="90">
        <f>S308/S$309</f>
        <v>0.43025947459086994</v>
      </c>
      <c r="X308" s="52">
        <f t="shared" si="98"/>
        <v>-1608</v>
      </c>
    </row>
    <row r="309" spans="1:24" x14ac:dyDescent="0.2">
      <c r="A309" s="5" t="s">
        <v>4</v>
      </c>
      <c r="B309" s="5">
        <v>13913</v>
      </c>
      <c r="C309" s="5">
        <v>20014</v>
      </c>
      <c r="D309" s="5">
        <v>16893</v>
      </c>
      <c r="E309" s="5">
        <v>14342</v>
      </c>
      <c r="F309" s="5">
        <v>22478</v>
      </c>
      <c r="G309" s="5">
        <v>25615</v>
      </c>
      <c r="H309" s="5">
        <v>28283</v>
      </c>
      <c r="I309" s="5">
        <v>27779</v>
      </c>
      <c r="J309" s="5">
        <v>30655</v>
      </c>
      <c r="K309" s="5">
        <v>33930</v>
      </c>
      <c r="L309" s="5">
        <v>33014</v>
      </c>
      <c r="M309" s="5">
        <v>35354</v>
      </c>
      <c r="N309" s="5">
        <v>34047</v>
      </c>
      <c r="O309" s="5">
        <v>24213</v>
      </c>
      <c r="P309" s="5">
        <v>36474</v>
      </c>
      <c r="Q309" s="5">
        <v>38169</v>
      </c>
      <c r="R309" s="5">
        <v>40655</v>
      </c>
      <c r="S309" s="5">
        <v>37152</v>
      </c>
      <c r="T309" s="89">
        <f>(S309-J309)/J309</f>
        <v>0.21193932474310878</v>
      </c>
      <c r="U309" s="89">
        <f>(S309-O309)/O309</f>
        <v>0.53438235658530542</v>
      </c>
      <c r="V309" s="89">
        <f>(S309-R309)/R309</f>
        <v>-8.616406346082893E-2</v>
      </c>
      <c r="W309" s="91">
        <f>S309/S$309</f>
        <v>1</v>
      </c>
      <c r="X309" s="53">
        <f t="shared" si="98"/>
        <v>-3503</v>
      </c>
    </row>
    <row r="310" spans="1:24" x14ac:dyDescent="0.2"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</row>
    <row r="311" spans="1:24" ht="15.75" x14ac:dyDescent="0.2">
      <c r="A311" s="32" t="s">
        <v>273</v>
      </c>
      <c r="B311" s="32"/>
      <c r="C311" s="32"/>
      <c r="D311" s="32"/>
      <c r="E311" s="32"/>
      <c r="F311" s="32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</row>
    <row r="312" spans="1:24" ht="27" customHeight="1" x14ac:dyDescent="0.2">
      <c r="A312" s="73" t="s">
        <v>207</v>
      </c>
      <c r="B312" s="3">
        <v>2007</v>
      </c>
      <c r="C312" s="3">
        <v>2008</v>
      </c>
      <c r="D312" s="3">
        <v>2009</v>
      </c>
      <c r="E312" s="3">
        <v>2010</v>
      </c>
      <c r="F312" s="3">
        <v>2011</v>
      </c>
      <c r="G312" s="3">
        <v>2012</v>
      </c>
      <c r="H312" s="3">
        <v>2013</v>
      </c>
      <c r="I312" s="3">
        <v>2014</v>
      </c>
      <c r="J312" s="3">
        <v>2015</v>
      </c>
      <c r="K312" s="3">
        <v>2016</v>
      </c>
      <c r="L312" s="3">
        <v>2017</v>
      </c>
      <c r="M312" s="3">
        <v>2018</v>
      </c>
      <c r="N312" s="3">
        <v>2019</v>
      </c>
      <c r="O312" s="3">
        <v>2020</v>
      </c>
      <c r="P312" s="3">
        <v>2021</v>
      </c>
      <c r="Q312" s="3">
        <v>2022</v>
      </c>
      <c r="R312" s="3">
        <v>2023</v>
      </c>
      <c r="S312" s="3">
        <v>2024</v>
      </c>
      <c r="T312" s="12" t="s">
        <v>368</v>
      </c>
      <c r="U312" s="12" t="s">
        <v>369</v>
      </c>
      <c r="V312" s="12" t="s">
        <v>370</v>
      </c>
      <c r="W312" s="12" t="s">
        <v>372</v>
      </c>
      <c r="X312" s="169" t="s">
        <v>494</v>
      </c>
    </row>
    <row r="313" spans="1:24" x14ac:dyDescent="0.2">
      <c r="A313" s="29" t="s">
        <v>188</v>
      </c>
      <c r="B313" s="29">
        <v>8286</v>
      </c>
      <c r="C313" s="29">
        <v>9490</v>
      </c>
      <c r="D313" s="29">
        <v>12263</v>
      </c>
      <c r="E313" s="29">
        <v>12640</v>
      </c>
      <c r="F313" s="29">
        <v>16624</v>
      </c>
      <c r="G313" s="4">
        <v>21394</v>
      </c>
      <c r="H313" s="4">
        <v>27054</v>
      </c>
      <c r="I313" s="4">
        <v>31726</v>
      </c>
      <c r="J313" s="4">
        <v>38468</v>
      </c>
      <c r="K313" s="4">
        <v>41786</v>
      </c>
      <c r="L313" s="4">
        <v>44961</v>
      </c>
      <c r="M313" s="4">
        <v>44271</v>
      </c>
      <c r="N313" s="4">
        <v>41605</v>
      </c>
      <c r="O313" s="4">
        <v>36307</v>
      </c>
      <c r="P313" s="4">
        <v>45603</v>
      </c>
      <c r="Q313" s="4">
        <v>42493</v>
      </c>
      <c r="R313" s="4">
        <v>42695</v>
      </c>
      <c r="S313" s="4">
        <v>44140</v>
      </c>
      <c r="T313" s="88">
        <f>(S313-J313)/J313</f>
        <v>0.14744722886555059</v>
      </c>
      <c r="U313" s="88">
        <f>(S313-O313)/O313</f>
        <v>0.21574352053323051</v>
      </c>
      <c r="V313" s="88">
        <f>(S313-R313)/R313</f>
        <v>3.3844712495608387E-2</v>
      </c>
      <c r="W313" s="90">
        <f>S313/S$315</f>
        <v>0.54302761887187057</v>
      </c>
      <c r="X313" s="52">
        <f t="shared" ref="X313:X315" si="99">S313-R313</f>
        <v>1445</v>
      </c>
    </row>
    <row r="314" spans="1:24" x14ac:dyDescent="0.2">
      <c r="A314" s="29" t="s">
        <v>189</v>
      </c>
      <c r="B314" s="29">
        <v>9694</v>
      </c>
      <c r="C314" s="29">
        <v>9740</v>
      </c>
      <c r="D314" s="29">
        <v>11574</v>
      </c>
      <c r="E314" s="29">
        <v>11164</v>
      </c>
      <c r="F314" s="29">
        <v>14232</v>
      </c>
      <c r="G314" s="4">
        <v>16873</v>
      </c>
      <c r="H314" s="4">
        <v>20482</v>
      </c>
      <c r="I314" s="4">
        <v>24784</v>
      </c>
      <c r="J314" s="4">
        <v>29830</v>
      </c>
      <c r="K314" s="4">
        <v>32149</v>
      </c>
      <c r="L314" s="4">
        <v>34174</v>
      </c>
      <c r="M314" s="4">
        <v>35064</v>
      </c>
      <c r="N314" s="4">
        <v>32767</v>
      </c>
      <c r="O314" s="4">
        <v>27130</v>
      </c>
      <c r="P314" s="4">
        <v>36050</v>
      </c>
      <c r="Q314" s="4">
        <v>34869</v>
      </c>
      <c r="R314" s="4">
        <v>35669</v>
      </c>
      <c r="S314" s="4">
        <v>37145</v>
      </c>
      <c r="T314" s="88">
        <f>(S314-J314)/J314</f>
        <v>0.24522292993630573</v>
      </c>
      <c r="U314" s="88">
        <f>(S314-O314)/O314</f>
        <v>0.36914854404718023</v>
      </c>
      <c r="V314" s="88">
        <f>(S314-R314)/R314</f>
        <v>4.1380470436513501E-2</v>
      </c>
      <c r="W314" s="90">
        <f>S314/S$315</f>
        <v>0.45697238112812943</v>
      </c>
      <c r="X314" s="52">
        <f t="shared" si="99"/>
        <v>1476</v>
      </c>
    </row>
    <row r="315" spans="1:24" x14ac:dyDescent="0.2">
      <c r="A315" s="5" t="s">
        <v>4</v>
      </c>
      <c r="B315" s="5">
        <v>17980</v>
      </c>
      <c r="C315" s="5">
        <v>19230</v>
      </c>
      <c r="D315" s="5">
        <v>23837</v>
      </c>
      <c r="E315" s="5">
        <v>23804</v>
      </c>
      <c r="F315" s="5">
        <v>30856</v>
      </c>
      <c r="G315" s="5">
        <v>38267</v>
      </c>
      <c r="H315" s="5">
        <v>47536</v>
      </c>
      <c r="I315" s="5">
        <v>56510</v>
      </c>
      <c r="J315" s="5">
        <v>68298</v>
      </c>
      <c r="K315" s="5">
        <v>73935</v>
      </c>
      <c r="L315" s="5">
        <v>79135</v>
      </c>
      <c r="M315" s="5">
        <v>79335</v>
      </c>
      <c r="N315" s="5">
        <v>74372</v>
      </c>
      <c r="O315" s="5">
        <v>63437</v>
      </c>
      <c r="P315" s="5">
        <v>81653</v>
      </c>
      <c r="Q315" s="5">
        <v>77362</v>
      </c>
      <c r="R315" s="5">
        <v>78364</v>
      </c>
      <c r="S315" s="5">
        <v>81285</v>
      </c>
      <c r="T315" s="89">
        <f>(S315-J315)/J315</f>
        <v>0.19015198102433453</v>
      </c>
      <c r="U315" s="89">
        <f>(S315-O315)/O315</f>
        <v>0.28135000078818356</v>
      </c>
      <c r="V315" s="89">
        <f>(S315-R315)/R315</f>
        <v>3.7274769026593844E-2</v>
      </c>
      <c r="W315" s="91">
        <f>S315/S$315</f>
        <v>1</v>
      </c>
      <c r="X315" s="53">
        <f t="shared" si="99"/>
        <v>2921</v>
      </c>
    </row>
    <row r="316" spans="1:24" x14ac:dyDescent="0.2"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</row>
    <row r="317" spans="1:24" ht="15.75" x14ac:dyDescent="0.2">
      <c r="A317" s="32" t="s">
        <v>274</v>
      </c>
      <c r="B317" s="32"/>
      <c r="C317" s="32"/>
      <c r="D317" s="32"/>
      <c r="E317" s="32"/>
      <c r="F317" s="32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</row>
    <row r="318" spans="1:24" ht="27" customHeight="1" x14ac:dyDescent="0.2">
      <c r="A318" s="73" t="s">
        <v>207</v>
      </c>
      <c r="B318" s="3">
        <v>2007</v>
      </c>
      <c r="C318" s="3">
        <v>2008</v>
      </c>
      <c r="D318" s="3">
        <v>2009</v>
      </c>
      <c r="E318" s="3">
        <v>2010</v>
      </c>
      <c r="F318" s="3">
        <v>2011</v>
      </c>
      <c r="G318" s="3">
        <v>2012</v>
      </c>
      <c r="H318" s="3">
        <v>2013</v>
      </c>
      <c r="I318" s="3">
        <v>2014</v>
      </c>
      <c r="J318" s="3">
        <v>2015</v>
      </c>
      <c r="K318" s="3">
        <v>2016</v>
      </c>
      <c r="L318" s="3">
        <v>2017</v>
      </c>
      <c r="M318" s="3">
        <v>2018</v>
      </c>
      <c r="N318" s="3">
        <v>2019</v>
      </c>
      <c r="O318" s="3">
        <v>2020</v>
      </c>
      <c r="P318" s="3">
        <v>2021</v>
      </c>
      <c r="Q318" s="3">
        <v>2022</v>
      </c>
      <c r="R318" s="3">
        <v>2023</v>
      </c>
      <c r="S318" s="3">
        <v>2024</v>
      </c>
      <c r="T318" s="12" t="s">
        <v>368</v>
      </c>
      <c r="U318" s="12" t="s">
        <v>369</v>
      </c>
      <c r="V318" s="12" t="s">
        <v>370</v>
      </c>
      <c r="W318" s="12" t="s">
        <v>372</v>
      </c>
      <c r="X318" s="169" t="s">
        <v>494</v>
      </c>
    </row>
    <row r="319" spans="1:24" x14ac:dyDescent="0.2">
      <c r="A319" s="29" t="s">
        <v>188</v>
      </c>
      <c r="B319" s="29">
        <v>30816</v>
      </c>
      <c r="C319" s="29">
        <v>33106</v>
      </c>
      <c r="D319" s="29">
        <v>36331</v>
      </c>
      <c r="E319" s="29">
        <v>35062</v>
      </c>
      <c r="F319" s="29">
        <v>35633</v>
      </c>
      <c r="G319" s="4">
        <v>39552</v>
      </c>
      <c r="H319" s="4">
        <v>44541</v>
      </c>
      <c r="I319" s="4">
        <v>47634</v>
      </c>
      <c r="J319" s="4">
        <v>49232</v>
      </c>
      <c r="K319" s="4">
        <v>50283</v>
      </c>
      <c r="L319" s="4">
        <v>53240</v>
      </c>
      <c r="M319" s="4">
        <v>54131</v>
      </c>
      <c r="N319" s="4">
        <v>54089</v>
      </c>
      <c r="O319" s="4">
        <v>40728</v>
      </c>
      <c r="P319" s="4">
        <v>65611</v>
      </c>
      <c r="Q319" s="4">
        <v>64091</v>
      </c>
      <c r="R319" s="4">
        <v>63972</v>
      </c>
      <c r="S319" s="4">
        <v>60041</v>
      </c>
      <c r="T319" s="88">
        <f>(S319-J319)/J319</f>
        <v>0.21955232369190769</v>
      </c>
      <c r="U319" s="88">
        <f>(S319-O319)/O319</f>
        <v>0.47419465723826359</v>
      </c>
      <c r="V319" s="88">
        <f>(S319-R319)/R319</f>
        <v>-6.1448758831988998E-2</v>
      </c>
      <c r="W319" s="90">
        <f>S319/S$322</f>
        <v>0.56440120323369058</v>
      </c>
      <c r="X319" s="52">
        <f t="shared" ref="X319:X322" si="100">S319-R319</f>
        <v>-3931</v>
      </c>
    </row>
    <row r="320" spans="1:24" x14ac:dyDescent="0.2">
      <c r="A320" s="29" t="s">
        <v>189</v>
      </c>
      <c r="B320" s="29">
        <v>24417</v>
      </c>
      <c r="C320" s="29">
        <v>25672</v>
      </c>
      <c r="D320" s="29">
        <v>29069</v>
      </c>
      <c r="E320" s="29">
        <v>28956</v>
      </c>
      <c r="F320" s="29">
        <v>29365</v>
      </c>
      <c r="G320" s="4">
        <v>32287</v>
      </c>
      <c r="H320" s="4">
        <v>36631</v>
      </c>
      <c r="I320" s="4">
        <v>39725</v>
      </c>
      <c r="J320" s="4">
        <v>40901</v>
      </c>
      <c r="K320" s="4">
        <v>39420</v>
      </c>
      <c r="L320" s="4">
        <v>41165</v>
      </c>
      <c r="M320" s="4">
        <v>40202</v>
      </c>
      <c r="N320" s="4">
        <v>38634</v>
      </c>
      <c r="O320" s="4">
        <v>32512</v>
      </c>
      <c r="P320" s="4">
        <v>44953</v>
      </c>
      <c r="Q320" s="4">
        <v>46313</v>
      </c>
      <c r="R320" s="4">
        <v>48177</v>
      </c>
      <c r="S320" s="4">
        <v>46338</v>
      </c>
      <c r="T320" s="88">
        <f>(S320-J320)/J320</f>
        <v>0.13293073518984866</v>
      </c>
      <c r="U320" s="88">
        <f>(S320-O320)/O320</f>
        <v>0.42525836614173229</v>
      </c>
      <c r="V320" s="88">
        <f>(S320-R320)/R320</f>
        <v>-3.8171741702472131E-2</v>
      </c>
      <c r="W320" s="90">
        <f>S320/S$322</f>
        <v>0.43558939650310208</v>
      </c>
      <c r="X320" s="52">
        <f t="shared" si="100"/>
        <v>-1839</v>
      </c>
    </row>
    <row r="321" spans="1:24" x14ac:dyDescent="0.2">
      <c r="A321" s="29" t="s">
        <v>498</v>
      </c>
      <c r="B321" s="29">
        <v>0</v>
      </c>
      <c r="C321" s="29">
        <v>0</v>
      </c>
      <c r="D321" s="29">
        <v>0</v>
      </c>
      <c r="E321" s="29">
        <v>0</v>
      </c>
      <c r="F321" s="29">
        <v>0</v>
      </c>
      <c r="G321" s="29">
        <v>0</v>
      </c>
      <c r="H321" s="29">
        <v>0</v>
      </c>
      <c r="I321" s="29">
        <v>0</v>
      </c>
      <c r="J321" s="29">
        <v>0</v>
      </c>
      <c r="K321" s="29">
        <v>0</v>
      </c>
      <c r="L321" s="29">
        <v>0</v>
      </c>
      <c r="M321" s="29">
        <v>0</v>
      </c>
      <c r="N321" s="29">
        <v>0</v>
      </c>
      <c r="O321" s="29">
        <v>0</v>
      </c>
      <c r="P321" s="29">
        <v>0</v>
      </c>
      <c r="Q321" s="29">
        <v>0</v>
      </c>
      <c r="R321" s="4">
        <v>1</v>
      </c>
      <c r="S321" s="4">
        <v>1</v>
      </c>
      <c r="T321" s="88" t="s">
        <v>296</v>
      </c>
      <c r="U321" s="88" t="s">
        <v>296</v>
      </c>
      <c r="V321" s="88">
        <f>(S321-R321)/R321</f>
        <v>0</v>
      </c>
      <c r="W321" s="90">
        <f>S321/S$322</f>
        <v>9.4002632073698058E-6</v>
      </c>
      <c r="X321" s="52">
        <f t="shared" si="100"/>
        <v>0</v>
      </c>
    </row>
    <row r="322" spans="1:24" x14ac:dyDescent="0.2">
      <c r="A322" s="5" t="s">
        <v>4</v>
      </c>
      <c r="B322" s="5">
        <v>55233</v>
      </c>
      <c r="C322" s="5">
        <v>58778</v>
      </c>
      <c r="D322" s="5">
        <v>65400</v>
      </c>
      <c r="E322" s="5">
        <v>64018</v>
      </c>
      <c r="F322" s="5">
        <v>64998</v>
      </c>
      <c r="G322" s="5">
        <v>71839</v>
      </c>
      <c r="H322" s="5">
        <v>81172</v>
      </c>
      <c r="I322" s="5">
        <v>87359</v>
      </c>
      <c r="J322" s="5">
        <v>90133</v>
      </c>
      <c r="K322" s="5">
        <v>89703</v>
      </c>
      <c r="L322" s="5">
        <v>94405</v>
      </c>
      <c r="M322" s="5">
        <v>94333</v>
      </c>
      <c r="N322" s="5">
        <v>92723</v>
      </c>
      <c r="O322" s="5">
        <v>73240</v>
      </c>
      <c r="P322" s="5">
        <v>110564</v>
      </c>
      <c r="Q322" s="5">
        <v>110404</v>
      </c>
      <c r="R322" s="5">
        <v>112150</v>
      </c>
      <c r="S322" s="5">
        <v>106380</v>
      </c>
      <c r="T322" s="89">
        <f>(S322-J322)/J322</f>
        <v>0.18025584414143545</v>
      </c>
      <c r="U322" s="89">
        <f>(S322-O322)/O322</f>
        <v>0.45248498088476241</v>
      </c>
      <c r="V322" s="89">
        <f>(S322-R322)/R322</f>
        <v>-5.1448952296032101E-2</v>
      </c>
      <c r="W322" s="91">
        <f>S322/S$322</f>
        <v>1</v>
      </c>
      <c r="X322" s="53">
        <f t="shared" si="100"/>
        <v>-5770</v>
      </c>
    </row>
    <row r="323" spans="1:24" x14ac:dyDescent="0.2">
      <c r="A323" s="63"/>
      <c r="B323" s="63"/>
      <c r="C323" s="63"/>
      <c r="D323" s="63"/>
      <c r="E323" s="63"/>
      <c r="F323" s="63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</row>
    <row r="324" spans="1:24" ht="15.75" x14ac:dyDescent="0.2">
      <c r="A324" s="32" t="s">
        <v>275</v>
      </c>
      <c r="B324" s="32"/>
      <c r="C324" s="32"/>
      <c r="D324" s="32"/>
      <c r="E324" s="32"/>
      <c r="F324" s="32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</row>
    <row r="325" spans="1:24" ht="27" customHeight="1" x14ac:dyDescent="0.2">
      <c r="A325" s="73" t="s">
        <v>25</v>
      </c>
      <c r="B325" s="3">
        <v>2007</v>
      </c>
      <c r="C325" s="3">
        <v>2008</v>
      </c>
      <c r="D325" s="3">
        <v>2009</v>
      </c>
      <c r="E325" s="3">
        <v>2010</v>
      </c>
      <c r="F325" s="3">
        <v>2011</v>
      </c>
      <c r="G325" s="3">
        <v>2012</v>
      </c>
      <c r="H325" s="3">
        <v>2013</v>
      </c>
      <c r="I325" s="3">
        <v>2014</v>
      </c>
      <c r="J325" s="3">
        <v>2015</v>
      </c>
      <c r="K325" s="3">
        <v>2016</v>
      </c>
      <c r="L325" s="3">
        <v>2017</v>
      </c>
      <c r="M325" s="3">
        <v>2018</v>
      </c>
      <c r="N325" s="3">
        <v>2019</v>
      </c>
      <c r="O325" s="3">
        <v>2020</v>
      </c>
      <c r="P325" s="3">
        <v>2021</v>
      </c>
      <c r="Q325" s="3">
        <v>2022</v>
      </c>
      <c r="R325" s="3">
        <v>2023</v>
      </c>
      <c r="S325" s="3">
        <v>2024</v>
      </c>
      <c r="T325" s="12" t="s">
        <v>368</v>
      </c>
      <c r="U325" s="12" t="s">
        <v>369</v>
      </c>
      <c r="V325" s="12" t="s">
        <v>370</v>
      </c>
      <c r="W325" s="12" t="s">
        <v>372</v>
      </c>
      <c r="X325" s="169" t="s">
        <v>494</v>
      </c>
    </row>
    <row r="326" spans="1:24" x14ac:dyDescent="0.2">
      <c r="A326" s="4" t="s">
        <v>26</v>
      </c>
      <c r="B326" s="92">
        <v>66</v>
      </c>
      <c r="C326" s="92">
        <v>822</v>
      </c>
      <c r="D326" s="92">
        <v>676</v>
      </c>
      <c r="E326" s="92">
        <v>75</v>
      </c>
      <c r="F326" s="92">
        <v>120</v>
      </c>
      <c r="G326" s="92">
        <v>169</v>
      </c>
      <c r="H326" s="92">
        <v>225</v>
      </c>
      <c r="I326" s="92">
        <v>314</v>
      </c>
      <c r="J326" s="92">
        <v>443</v>
      </c>
      <c r="K326" s="92">
        <v>512</v>
      </c>
      <c r="L326" s="92">
        <v>608</v>
      </c>
      <c r="M326" s="92">
        <v>540</v>
      </c>
      <c r="N326" s="92">
        <v>529</v>
      </c>
      <c r="O326" s="92">
        <v>319</v>
      </c>
      <c r="P326" s="92">
        <v>645</v>
      </c>
      <c r="Q326" s="92">
        <v>673</v>
      </c>
      <c r="R326" s="92">
        <v>581</v>
      </c>
      <c r="S326" s="92">
        <v>562</v>
      </c>
      <c r="T326" s="88">
        <f t="shared" ref="T326:T333" si="101">(S326-J326)/J326</f>
        <v>0.26862302483069977</v>
      </c>
      <c r="U326" s="88">
        <f t="shared" ref="U326:U333" si="102">(S326-O326)/O326</f>
        <v>0.76175548589341691</v>
      </c>
      <c r="V326" s="88">
        <f t="shared" ref="V326:V333" si="103">(S326-R326)/R326</f>
        <v>-3.2702237521514632E-2</v>
      </c>
      <c r="W326" s="90">
        <f t="shared" ref="W326:W333" si="104">S326/S$9</f>
        <v>2.4998109573564275E-3</v>
      </c>
      <c r="X326" s="52">
        <f t="shared" ref="X326:X333" si="105">S326-R326</f>
        <v>-19</v>
      </c>
    </row>
    <row r="327" spans="1:24" x14ac:dyDescent="0.2">
      <c r="A327" s="4" t="s">
        <v>27</v>
      </c>
      <c r="B327" s="92">
        <v>36230</v>
      </c>
      <c r="C327" s="92">
        <v>41183</v>
      </c>
      <c r="D327" s="92">
        <v>43911</v>
      </c>
      <c r="E327" s="92">
        <v>42851</v>
      </c>
      <c r="F327" s="92">
        <v>53491</v>
      </c>
      <c r="G327" s="92">
        <v>62073</v>
      </c>
      <c r="H327" s="92">
        <v>70320</v>
      </c>
      <c r="I327" s="92">
        <v>75021</v>
      </c>
      <c r="J327" s="92">
        <v>81581</v>
      </c>
      <c r="K327" s="92">
        <v>84428</v>
      </c>
      <c r="L327" s="92">
        <v>88236</v>
      </c>
      <c r="M327" s="92">
        <v>87476</v>
      </c>
      <c r="N327" s="92">
        <v>85944</v>
      </c>
      <c r="O327" s="92">
        <v>64349</v>
      </c>
      <c r="P327" s="92">
        <v>93069</v>
      </c>
      <c r="Q327" s="92">
        <v>92612</v>
      </c>
      <c r="R327" s="92">
        <v>94818</v>
      </c>
      <c r="S327" s="92">
        <v>95858</v>
      </c>
      <c r="T327" s="88">
        <f t="shared" si="101"/>
        <v>0.17500398377073093</v>
      </c>
      <c r="U327" s="88">
        <f t="shared" si="102"/>
        <v>0.48965795894264091</v>
      </c>
      <c r="V327" s="88">
        <f t="shared" si="103"/>
        <v>1.0968381530932944E-2</v>
      </c>
      <c r="W327" s="90">
        <f t="shared" si="104"/>
        <v>0.42638234653073387</v>
      </c>
      <c r="X327" s="52">
        <f t="shared" si="105"/>
        <v>1040</v>
      </c>
    </row>
    <row r="328" spans="1:24" x14ac:dyDescent="0.2">
      <c r="A328" s="4" t="s">
        <v>28</v>
      </c>
      <c r="B328" s="92">
        <v>32516</v>
      </c>
      <c r="C328" s="92">
        <v>34404</v>
      </c>
      <c r="D328" s="92">
        <v>37240</v>
      </c>
      <c r="E328" s="92">
        <v>36154</v>
      </c>
      <c r="F328" s="92">
        <v>39055</v>
      </c>
      <c r="G328" s="92">
        <v>44089</v>
      </c>
      <c r="H328" s="92">
        <v>51698</v>
      </c>
      <c r="I328" s="92">
        <v>57005</v>
      </c>
      <c r="J328" s="92">
        <v>62240</v>
      </c>
      <c r="K328" s="92">
        <v>64328</v>
      </c>
      <c r="L328" s="92">
        <v>67189</v>
      </c>
      <c r="M328" s="92">
        <v>67494</v>
      </c>
      <c r="N328" s="92">
        <v>63950</v>
      </c>
      <c r="O328" s="92">
        <v>50149</v>
      </c>
      <c r="P328" s="92">
        <v>74318</v>
      </c>
      <c r="Q328" s="92">
        <v>71510</v>
      </c>
      <c r="R328" s="92">
        <v>70013</v>
      </c>
      <c r="S328" s="92">
        <v>62819</v>
      </c>
      <c r="T328" s="88">
        <f t="shared" si="101"/>
        <v>9.3026992287917731E-3</v>
      </c>
      <c r="U328" s="88">
        <f t="shared" si="102"/>
        <v>0.25264711160740994</v>
      </c>
      <c r="V328" s="88">
        <f t="shared" si="103"/>
        <v>-0.10275234599288703</v>
      </c>
      <c r="W328" s="90">
        <f t="shared" si="104"/>
        <v>0.27942281944870717</v>
      </c>
      <c r="X328" s="52">
        <f t="shared" si="105"/>
        <v>-7194</v>
      </c>
    </row>
    <row r="329" spans="1:24" x14ac:dyDescent="0.2">
      <c r="A329" s="4" t="s">
        <v>29</v>
      </c>
      <c r="B329" s="92">
        <v>9424</v>
      </c>
      <c r="C329" s="92">
        <v>10334</v>
      </c>
      <c r="D329" s="92">
        <v>11411</v>
      </c>
      <c r="E329" s="92">
        <v>10949</v>
      </c>
      <c r="F329" s="92">
        <v>12344</v>
      </c>
      <c r="G329" s="92">
        <v>14394</v>
      </c>
      <c r="H329" s="92">
        <v>17470</v>
      </c>
      <c r="I329" s="92">
        <v>19601</v>
      </c>
      <c r="J329" s="92">
        <v>21648</v>
      </c>
      <c r="K329" s="92">
        <v>23026</v>
      </c>
      <c r="L329" s="92">
        <v>24011</v>
      </c>
      <c r="M329" s="92">
        <v>25260</v>
      </c>
      <c r="N329" s="92">
        <v>24068</v>
      </c>
      <c r="O329" s="92">
        <v>20984</v>
      </c>
      <c r="P329" s="92">
        <v>27819</v>
      </c>
      <c r="Q329" s="92">
        <v>27093</v>
      </c>
      <c r="R329" s="92">
        <v>27833</v>
      </c>
      <c r="S329" s="92">
        <v>26160</v>
      </c>
      <c r="T329" s="88">
        <f t="shared" si="101"/>
        <v>0.20842572062084258</v>
      </c>
      <c r="U329" s="88">
        <f t="shared" si="102"/>
        <v>0.24666412504765536</v>
      </c>
      <c r="V329" s="88">
        <f t="shared" si="103"/>
        <v>-6.0108504293464593E-2</v>
      </c>
      <c r="W329" s="90">
        <f t="shared" si="104"/>
        <v>0.11636130719651984</v>
      </c>
      <c r="X329" s="52">
        <f t="shared" si="105"/>
        <v>-1673</v>
      </c>
    </row>
    <row r="330" spans="1:24" x14ac:dyDescent="0.2">
      <c r="A330" s="4" t="s">
        <v>30</v>
      </c>
      <c r="B330" s="92">
        <v>4202</v>
      </c>
      <c r="C330" s="92">
        <v>5032</v>
      </c>
      <c r="D330" s="92">
        <v>5978</v>
      </c>
      <c r="E330" s="92">
        <v>5801</v>
      </c>
      <c r="F330" s="92">
        <v>6364</v>
      </c>
      <c r="G330" s="92">
        <v>7184</v>
      </c>
      <c r="H330" s="92">
        <v>8430</v>
      </c>
      <c r="I330" s="92">
        <v>9632</v>
      </c>
      <c r="J330" s="92">
        <v>10947</v>
      </c>
      <c r="K330" s="92">
        <v>11903</v>
      </c>
      <c r="L330" s="92">
        <v>12877</v>
      </c>
      <c r="M330" s="92">
        <v>13700</v>
      </c>
      <c r="N330" s="92">
        <v>12762</v>
      </c>
      <c r="O330" s="92">
        <v>11623</v>
      </c>
      <c r="P330" s="92">
        <v>14947</v>
      </c>
      <c r="Q330" s="92">
        <v>15222</v>
      </c>
      <c r="R330" s="92">
        <v>16628</v>
      </c>
      <c r="S330" s="92">
        <v>17035</v>
      </c>
      <c r="T330" s="88">
        <f t="shared" si="101"/>
        <v>0.55613410066684932</v>
      </c>
      <c r="U330" s="88">
        <f t="shared" si="102"/>
        <v>0.46562849522498495</v>
      </c>
      <c r="V330" s="88">
        <f t="shared" si="103"/>
        <v>2.4476786143853742E-2</v>
      </c>
      <c r="W330" s="90">
        <f t="shared" si="104"/>
        <v>7.5772739605990652E-2</v>
      </c>
      <c r="X330" s="52">
        <f t="shared" si="105"/>
        <v>407</v>
      </c>
    </row>
    <row r="331" spans="1:24" x14ac:dyDescent="0.2">
      <c r="A331" s="4" t="s">
        <v>31</v>
      </c>
      <c r="B331" s="92">
        <v>4504</v>
      </c>
      <c r="C331" s="92">
        <v>6115</v>
      </c>
      <c r="D331" s="92">
        <v>6889</v>
      </c>
      <c r="E331" s="92">
        <v>6316</v>
      </c>
      <c r="F331" s="92">
        <v>6939</v>
      </c>
      <c r="G331" s="92">
        <v>7795</v>
      </c>
      <c r="H331" s="92">
        <v>8838</v>
      </c>
      <c r="I331" s="92">
        <v>10000</v>
      </c>
      <c r="J331" s="92">
        <v>12206</v>
      </c>
      <c r="K331" s="92">
        <v>13368</v>
      </c>
      <c r="L331" s="92">
        <v>13631</v>
      </c>
      <c r="M331" s="92">
        <v>14551</v>
      </c>
      <c r="N331" s="92">
        <v>13887</v>
      </c>
      <c r="O331" s="92">
        <v>13466</v>
      </c>
      <c r="P331" s="92">
        <v>17889</v>
      </c>
      <c r="Q331" s="92">
        <v>18808</v>
      </c>
      <c r="R331" s="92">
        <v>21291</v>
      </c>
      <c r="S331" s="92">
        <v>22382</v>
      </c>
      <c r="T331" s="88">
        <f t="shared" si="101"/>
        <v>0.8336883499918073</v>
      </c>
      <c r="U331" s="88">
        <f t="shared" si="102"/>
        <v>0.66211198574186836</v>
      </c>
      <c r="V331" s="88">
        <f t="shared" si="103"/>
        <v>5.1242308956836222E-2</v>
      </c>
      <c r="W331" s="90">
        <f t="shared" si="104"/>
        <v>9.9556528198490327E-2</v>
      </c>
      <c r="X331" s="52">
        <f t="shared" si="105"/>
        <v>1091</v>
      </c>
    </row>
    <row r="332" spans="1:24" x14ac:dyDescent="0.2">
      <c r="A332" s="4" t="s">
        <v>32</v>
      </c>
      <c r="B332" s="92">
        <v>184</v>
      </c>
      <c r="C332" s="92">
        <v>132</v>
      </c>
      <c r="D332" s="92">
        <v>25</v>
      </c>
      <c r="E332" s="92">
        <v>18</v>
      </c>
      <c r="F332" s="92">
        <v>19</v>
      </c>
      <c r="G332" s="92">
        <v>17</v>
      </c>
      <c r="H332" s="92">
        <v>10</v>
      </c>
      <c r="I332" s="92">
        <v>75</v>
      </c>
      <c r="J332" s="92">
        <v>21</v>
      </c>
      <c r="K332" s="92">
        <v>3</v>
      </c>
      <c r="L332" s="92">
        <v>2</v>
      </c>
      <c r="M332" s="92">
        <v>1</v>
      </c>
      <c r="N332" s="92">
        <v>2</v>
      </c>
      <c r="O332" s="92">
        <v>0</v>
      </c>
      <c r="P332" s="92">
        <v>4</v>
      </c>
      <c r="Q332" s="92">
        <v>17</v>
      </c>
      <c r="R332" s="92">
        <v>5</v>
      </c>
      <c r="S332" s="92">
        <v>1</v>
      </c>
      <c r="T332" s="88">
        <f t="shared" si="101"/>
        <v>-0.95238095238095233</v>
      </c>
      <c r="U332" s="88" t="s">
        <v>296</v>
      </c>
      <c r="V332" s="88">
        <f t="shared" si="103"/>
        <v>-0.8</v>
      </c>
      <c r="W332" s="90">
        <f t="shared" si="104"/>
        <v>4.4480622017018289E-6</v>
      </c>
      <c r="X332" s="52">
        <f t="shared" si="105"/>
        <v>-4</v>
      </c>
    </row>
    <row r="333" spans="1:24" x14ac:dyDescent="0.2">
      <c r="A333" s="5" t="s">
        <v>4</v>
      </c>
      <c r="B333" s="5">
        <v>87126</v>
      </c>
      <c r="C333" s="5">
        <v>98022</v>
      </c>
      <c r="D333" s="5">
        <v>106130</v>
      </c>
      <c r="E333" s="5">
        <v>102164</v>
      </c>
      <c r="F333" s="5">
        <v>118332</v>
      </c>
      <c r="G333" s="5">
        <v>135721</v>
      </c>
      <c r="H333" s="5">
        <v>156991</v>
      </c>
      <c r="I333" s="5">
        <v>171648</v>
      </c>
      <c r="J333" s="5">
        <v>189086</v>
      </c>
      <c r="K333" s="5">
        <v>197568</v>
      </c>
      <c r="L333" s="5">
        <v>206554</v>
      </c>
      <c r="M333" s="5">
        <v>209022</v>
      </c>
      <c r="N333" s="5">
        <v>201142</v>
      </c>
      <c r="O333" s="5">
        <v>160890</v>
      </c>
      <c r="P333" s="5">
        <v>228691</v>
      </c>
      <c r="Q333" s="5">
        <v>225935</v>
      </c>
      <c r="R333" s="5">
        <v>231169</v>
      </c>
      <c r="S333" s="5">
        <v>224817</v>
      </c>
      <c r="T333" s="89">
        <f t="shared" si="101"/>
        <v>0.18896692510286325</v>
      </c>
      <c r="U333" s="89">
        <f t="shared" si="102"/>
        <v>0.39733358195040092</v>
      </c>
      <c r="V333" s="89">
        <f t="shared" si="103"/>
        <v>-2.7477732740981704E-2</v>
      </c>
      <c r="W333" s="91">
        <f t="shared" si="104"/>
        <v>1</v>
      </c>
      <c r="X333" s="53">
        <f t="shared" si="105"/>
        <v>-6352</v>
      </c>
    </row>
    <row r="334" spans="1:24" x14ac:dyDescent="0.2">
      <c r="A334" s="78" t="s">
        <v>264</v>
      </c>
      <c r="B334" s="82">
        <v>26.923719261116606</v>
      </c>
      <c r="C334" s="82">
        <v>27.080253345591991</v>
      </c>
      <c r="D334" s="82">
        <v>27.245986976603316</v>
      </c>
      <c r="E334" s="82">
        <v>27.215545060999606</v>
      </c>
      <c r="F334" s="82">
        <v>26.911294705023266</v>
      </c>
      <c r="G334" s="82">
        <v>26.89840387903083</v>
      </c>
      <c r="H334" s="82">
        <v>26.952898758448473</v>
      </c>
      <c r="I334" s="82">
        <v>27.052222669067977</v>
      </c>
      <c r="J334" s="82">
        <v>27.191923412582973</v>
      </c>
      <c r="K334" s="82">
        <v>27.30531217573963</v>
      </c>
      <c r="L334" s="82">
        <v>27.293916301948176</v>
      </c>
      <c r="M334" s="82">
        <v>27.474005004281867</v>
      </c>
      <c r="N334" s="82">
        <v>27.397782638957938</v>
      </c>
      <c r="O334" s="82">
        <v>27.957405680899996</v>
      </c>
      <c r="P334" s="82">
        <v>27.745027045700017</v>
      </c>
      <c r="Q334" s="82">
        <v>27.819195460299756</v>
      </c>
      <c r="R334" s="82">
        <v>28.057024450173902</v>
      </c>
      <c r="S334" s="171">
        <v>28.161741157213001</v>
      </c>
      <c r="T334" s="82"/>
      <c r="U334" s="82"/>
      <c r="V334" s="82"/>
      <c r="W334" s="77"/>
      <c r="X334" s="77"/>
    </row>
    <row r="335" spans="1:24" x14ac:dyDescent="0.2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136"/>
      <c r="O335" s="136"/>
      <c r="P335" s="136"/>
      <c r="Q335" s="136"/>
      <c r="R335" s="136"/>
      <c r="S335" s="136"/>
      <c r="T335" s="137"/>
      <c r="U335" s="63"/>
      <c r="V335" s="63"/>
      <c r="W335" s="63"/>
      <c r="X335" s="63"/>
    </row>
    <row r="336" spans="1:24" ht="15.75" x14ac:dyDescent="0.2">
      <c r="A336" s="32" t="s">
        <v>321</v>
      </c>
      <c r="B336" s="32"/>
      <c r="C336" s="32"/>
      <c r="D336" s="32"/>
      <c r="E336" s="32"/>
      <c r="F336" s="32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</row>
    <row r="337" spans="1:24" ht="25.5" x14ac:dyDescent="0.2">
      <c r="A337" s="73" t="s">
        <v>207</v>
      </c>
      <c r="B337" s="3">
        <v>2007</v>
      </c>
      <c r="C337" s="3">
        <v>2008</v>
      </c>
      <c r="D337" s="3">
        <v>2009</v>
      </c>
      <c r="E337" s="3">
        <v>2010</v>
      </c>
      <c r="F337" s="3">
        <v>2011</v>
      </c>
      <c r="G337" s="3">
        <v>2012</v>
      </c>
      <c r="H337" s="3">
        <v>2013</v>
      </c>
      <c r="I337" s="3">
        <v>2014</v>
      </c>
      <c r="J337" s="3">
        <v>2015</v>
      </c>
      <c r="K337" s="3">
        <v>2016</v>
      </c>
      <c r="L337" s="3">
        <v>2017</v>
      </c>
      <c r="M337" s="3">
        <v>2018</v>
      </c>
      <c r="N337" s="3">
        <v>2019</v>
      </c>
      <c r="O337" s="3">
        <v>2020</v>
      </c>
      <c r="P337" s="3">
        <v>2021</v>
      </c>
      <c r="Q337" s="3">
        <v>2022</v>
      </c>
      <c r="R337" s="3">
        <v>2023</v>
      </c>
      <c r="S337" s="3">
        <v>2024</v>
      </c>
      <c r="T337" s="12" t="s">
        <v>368</v>
      </c>
      <c r="U337" s="12" t="s">
        <v>369</v>
      </c>
      <c r="V337" s="12" t="s">
        <v>370</v>
      </c>
      <c r="W337" s="12" t="s">
        <v>372</v>
      </c>
      <c r="X337" s="169" t="s">
        <v>494</v>
      </c>
    </row>
    <row r="338" spans="1:24" x14ac:dyDescent="0.2">
      <c r="A338" s="66" t="s">
        <v>430</v>
      </c>
      <c r="B338" s="142">
        <f t="shared" ref="B338:R338" si="106">SUM(B339:B340)</f>
        <v>15421</v>
      </c>
      <c r="C338" s="142">
        <f t="shared" si="106"/>
        <v>15007</v>
      </c>
      <c r="D338" s="142">
        <f t="shared" si="106"/>
        <v>17010</v>
      </c>
      <c r="E338" s="142">
        <f t="shared" si="106"/>
        <v>16229</v>
      </c>
      <c r="F338" s="142">
        <f t="shared" si="106"/>
        <v>16396</v>
      </c>
      <c r="G338" s="142">
        <f t="shared" si="106"/>
        <v>18777</v>
      </c>
      <c r="H338" s="142">
        <f t="shared" si="106"/>
        <v>21910</v>
      </c>
      <c r="I338" s="142">
        <f t="shared" si="106"/>
        <v>24002</v>
      </c>
      <c r="J338" s="142">
        <f t="shared" si="106"/>
        <v>25259</v>
      </c>
      <c r="K338" s="142">
        <f t="shared" si="106"/>
        <v>25490</v>
      </c>
      <c r="L338" s="142">
        <f t="shared" si="106"/>
        <v>27692</v>
      </c>
      <c r="M338" s="142">
        <f t="shared" si="106"/>
        <v>28636</v>
      </c>
      <c r="N338" s="142">
        <f t="shared" si="106"/>
        <v>27964</v>
      </c>
      <c r="O338" s="142">
        <f t="shared" si="106"/>
        <v>26136</v>
      </c>
      <c r="P338" s="142">
        <f t="shared" si="106"/>
        <v>34397</v>
      </c>
      <c r="Q338" s="142">
        <f t="shared" si="106"/>
        <v>35897</v>
      </c>
      <c r="R338" s="142">
        <f t="shared" si="106"/>
        <v>38170</v>
      </c>
      <c r="S338" s="142">
        <f>SUM(S339:S340)</f>
        <v>39251</v>
      </c>
      <c r="T338" s="89">
        <f t="shared" ref="T338:T346" si="107">(S338-J338)/J338</f>
        <v>0.55394116948414429</v>
      </c>
      <c r="U338" s="89">
        <f t="shared" ref="U338:U346" si="108">(S338-O338)/O338</f>
        <v>0.50179828588919495</v>
      </c>
      <c r="V338" s="89">
        <f t="shared" ref="V338:V346" si="109">(S338-R338)/R338</f>
        <v>2.8320670683783074E-2</v>
      </c>
      <c r="W338" s="91">
        <f>S338/S$338</f>
        <v>1</v>
      </c>
      <c r="X338" s="53">
        <f t="shared" ref="X338:X346" si="110">S338-R338</f>
        <v>1081</v>
      </c>
    </row>
    <row r="339" spans="1:24" x14ac:dyDescent="0.2">
      <c r="A339" s="170" t="s">
        <v>322</v>
      </c>
      <c r="B339" s="141">
        <v>3814</v>
      </c>
      <c r="C339" s="141">
        <v>3509</v>
      </c>
      <c r="D339" s="141">
        <v>3955</v>
      </c>
      <c r="E339" s="141">
        <v>3638</v>
      </c>
      <c r="F339" s="141">
        <v>3552</v>
      </c>
      <c r="G339" s="141">
        <v>4161</v>
      </c>
      <c r="H339" s="141">
        <v>4777</v>
      </c>
      <c r="I339" s="141">
        <v>5135</v>
      </c>
      <c r="J339" s="141">
        <v>5224</v>
      </c>
      <c r="K339" s="141">
        <v>5410</v>
      </c>
      <c r="L339" s="141">
        <v>5808</v>
      </c>
      <c r="M339" s="141">
        <v>5844</v>
      </c>
      <c r="N339" s="141">
        <v>5972</v>
      </c>
      <c r="O339" s="141">
        <v>5655</v>
      </c>
      <c r="P339" s="141">
        <v>7396</v>
      </c>
      <c r="Q339" s="141">
        <v>8176</v>
      </c>
      <c r="R339" s="141">
        <v>8548</v>
      </c>
      <c r="S339" s="141">
        <v>9028</v>
      </c>
      <c r="T339" s="88">
        <f t="shared" si="107"/>
        <v>0.72817764165390508</v>
      </c>
      <c r="U339" s="88">
        <f t="shared" si="108"/>
        <v>0.59646330680813442</v>
      </c>
      <c r="V339" s="88">
        <f t="shared" si="109"/>
        <v>5.6153486195601308E-2</v>
      </c>
      <c r="W339" s="90">
        <f t="shared" ref="W339:W340" si="111">S339/S$338</f>
        <v>0.23000687880563553</v>
      </c>
      <c r="X339" s="52">
        <f t="shared" si="110"/>
        <v>480</v>
      </c>
    </row>
    <row r="340" spans="1:24" x14ac:dyDescent="0.2">
      <c r="A340" s="170" t="s">
        <v>323</v>
      </c>
      <c r="B340" s="141">
        <v>11607</v>
      </c>
      <c r="C340" s="141">
        <v>11498</v>
      </c>
      <c r="D340" s="141">
        <v>13055</v>
      </c>
      <c r="E340" s="141">
        <v>12591</v>
      </c>
      <c r="F340" s="141">
        <v>12844</v>
      </c>
      <c r="G340" s="141">
        <v>14616</v>
      </c>
      <c r="H340" s="141">
        <v>17133</v>
      </c>
      <c r="I340" s="141">
        <v>18867</v>
      </c>
      <c r="J340" s="141">
        <v>20035</v>
      </c>
      <c r="K340" s="141">
        <v>20080</v>
      </c>
      <c r="L340" s="141">
        <v>21884</v>
      </c>
      <c r="M340" s="141">
        <v>22792</v>
      </c>
      <c r="N340" s="141">
        <v>21992</v>
      </c>
      <c r="O340" s="141">
        <v>20481</v>
      </c>
      <c r="P340" s="141">
        <v>27001</v>
      </c>
      <c r="Q340" s="141">
        <v>27721</v>
      </c>
      <c r="R340" s="141">
        <v>29622</v>
      </c>
      <c r="S340" s="141">
        <v>30223</v>
      </c>
      <c r="T340" s="88">
        <f t="shared" si="107"/>
        <v>0.5085101073122037</v>
      </c>
      <c r="U340" s="88">
        <f t="shared" si="108"/>
        <v>0.47566036814608664</v>
      </c>
      <c r="V340" s="88">
        <f t="shared" si="109"/>
        <v>2.028897441091081E-2</v>
      </c>
      <c r="W340" s="90">
        <f t="shared" si="111"/>
        <v>0.76999312119436447</v>
      </c>
      <c r="X340" s="52">
        <f t="shared" si="110"/>
        <v>601</v>
      </c>
    </row>
    <row r="341" spans="1:24" x14ac:dyDescent="0.2">
      <c r="A341" s="66" t="s">
        <v>431</v>
      </c>
      <c r="B341" s="142">
        <f t="shared" ref="B341" si="112">SUM(B342:B343)</f>
        <v>5917</v>
      </c>
      <c r="C341" s="142">
        <f t="shared" ref="C341" si="113">SUM(C342:C343)</f>
        <v>6243</v>
      </c>
      <c r="D341" s="142">
        <f t="shared" ref="D341" si="114">SUM(D342:D343)</f>
        <v>6678</v>
      </c>
      <c r="E341" s="142">
        <f t="shared" ref="E341" si="115">SUM(E342:E343)</f>
        <v>6857</v>
      </c>
      <c r="F341" s="142">
        <f t="shared" ref="F341" si="116">SUM(F342:F343)</f>
        <v>8256</v>
      </c>
      <c r="G341" s="142">
        <f t="shared" ref="G341" si="117">SUM(G342:G343)</f>
        <v>9115</v>
      </c>
      <c r="H341" s="142">
        <f t="shared" ref="H341" si="118">SUM(H342:H343)</f>
        <v>10708</v>
      </c>
      <c r="I341" s="142">
        <f t="shared" ref="I341" si="119">SUM(I342:I343)</f>
        <v>12253</v>
      </c>
      <c r="J341" s="142">
        <f t="shared" ref="J341" si="120">SUM(J342:J343)</f>
        <v>15302</v>
      </c>
      <c r="K341" s="142">
        <f t="shared" ref="K341" si="121">SUM(K342:K343)</f>
        <v>17751</v>
      </c>
      <c r="L341" s="142">
        <f t="shared" ref="L341" si="122">SUM(L342:L343)</f>
        <v>19081</v>
      </c>
      <c r="M341" s="142">
        <f t="shared" ref="M341" si="123">SUM(M342:M343)</f>
        <v>19964</v>
      </c>
      <c r="N341" s="142">
        <f t="shared" ref="N341" si="124">SUM(N342:N343)</f>
        <v>19094</v>
      </c>
      <c r="O341" s="142">
        <f t="shared" ref="O341" si="125">SUM(O342:O343)</f>
        <v>13951</v>
      </c>
      <c r="P341" s="142">
        <f t="shared" ref="P341" si="126">SUM(P342:P343)</f>
        <v>18946</v>
      </c>
      <c r="Q341" s="142">
        <f t="shared" ref="Q341" si="127">SUM(Q342:Q343)</f>
        <v>19556</v>
      </c>
      <c r="R341" s="142">
        <f t="shared" ref="R341" si="128">SUM(R342:R343)</f>
        <v>20716</v>
      </c>
      <c r="S341" s="142">
        <f>SUM(S342:S343)</f>
        <v>20499</v>
      </c>
      <c r="T341" s="89">
        <f t="shared" si="107"/>
        <v>0.33962880669193568</v>
      </c>
      <c r="U341" s="89">
        <f t="shared" si="108"/>
        <v>0.46935703533796863</v>
      </c>
      <c r="V341" s="89">
        <f t="shared" si="109"/>
        <v>-1.0474995172813284E-2</v>
      </c>
      <c r="W341" s="91">
        <f>S341/S$341</f>
        <v>1</v>
      </c>
      <c r="X341" s="53">
        <f t="shared" si="110"/>
        <v>-217</v>
      </c>
    </row>
    <row r="342" spans="1:24" x14ac:dyDescent="0.2">
      <c r="A342" s="170" t="s">
        <v>322</v>
      </c>
      <c r="B342" s="141">
        <v>859</v>
      </c>
      <c r="C342" s="141">
        <v>777</v>
      </c>
      <c r="D342" s="141">
        <v>823</v>
      </c>
      <c r="E342" s="141">
        <v>800</v>
      </c>
      <c r="F342" s="141">
        <v>1021</v>
      </c>
      <c r="G342" s="141">
        <v>1104</v>
      </c>
      <c r="H342" s="141">
        <v>1152</v>
      </c>
      <c r="I342" s="141">
        <v>1178</v>
      </c>
      <c r="J342" s="141">
        <v>1747</v>
      </c>
      <c r="K342" s="141">
        <v>2120</v>
      </c>
      <c r="L342" s="141">
        <v>2353</v>
      </c>
      <c r="M342" s="141">
        <v>2494</v>
      </c>
      <c r="N342" s="141">
        <v>2292</v>
      </c>
      <c r="O342" s="141">
        <v>1765</v>
      </c>
      <c r="P342" s="141">
        <v>2309</v>
      </c>
      <c r="Q342" s="141">
        <v>2609</v>
      </c>
      <c r="R342" s="141">
        <v>2679</v>
      </c>
      <c r="S342" s="141">
        <v>2729</v>
      </c>
      <c r="T342" s="88">
        <f t="shared" si="107"/>
        <v>0.56210646823125354</v>
      </c>
      <c r="U342" s="88">
        <f t="shared" si="108"/>
        <v>0.54617563739376773</v>
      </c>
      <c r="V342" s="88">
        <f t="shared" si="109"/>
        <v>1.8663680477790219E-2</v>
      </c>
      <c r="W342" s="90">
        <f t="shared" ref="W342:W343" si="129">S342/S$341</f>
        <v>0.13312844529001414</v>
      </c>
      <c r="X342" s="52">
        <f t="shared" si="110"/>
        <v>50</v>
      </c>
    </row>
    <row r="343" spans="1:24" x14ac:dyDescent="0.2">
      <c r="A343" s="170" t="s">
        <v>323</v>
      </c>
      <c r="B343" s="141">
        <v>5058</v>
      </c>
      <c r="C343" s="141">
        <v>5466</v>
      </c>
      <c r="D343" s="141">
        <v>5855</v>
      </c>
      <c r="E343" s="141">
        <v>6057</v>
      </c>
      <c r="F343" s="141">
        <v>7235</v>
      </c>
      <c r="G343" s="141">
        <v>8011</v>
      </c>
      <c r="H343" s="141">
        <v>9556</v>
      </c>
      <c r="I343" s="141">
        <v>11075</v>
      </c>
      <c r="J343" s="141">
        <v>13555</v>
      </c>
      <c r="K343" s="141">
        <v>15631</v>
      </c>
      <c r="L343" s="141">
        <v>16728</v>
      </c>
      <c r="M343" s="141">
        <v>17470</v>
      </c>
      <c r="N343" s="141">
        <v>16802</v>
      </c>
      <c r="O343" s="141">
        <v>12186</v>
      </c>
      <c r="P343" s="141">
        <v>16637</v>
      </c>
      <c r="Q343" s="141">
        <v>16947</v>
      </c>
      <c r="R343" s="141">
        <v>18037</v>
      </c>
      <c r="S343" s="141">
        <v>17770</v>
      </c>
      <c r="T343" s="88">
        <f t="shared" si="107"/>
        <v>0.31095536702323867</v>
      </c>
      <c r="U343" s="88">
        <f t="shared" si="108"/>
        <v>0.45823075660594126</v>
      </c>
      <c r="V343" s="88">
        <f t="shared" si="109"/>
        <v>-1.4802905139435605E-2</v>
      </c>
      <c r="W343" s="90">
        <f t="shared" si="129"/>
        <v>0.86687155470998589</v>
      </c>
      <c r="X343" s="52">
        <f t="shared" si="110"/>
        <v>-267</v>
      </c>
    </row>
    <row r="344" spans="1:24" x14ac:dyDescent="0.2">
      <c r="A344" s="140" t="s">
        <v>324</v>
      </c>
      <c r="B344" s="142">
        <f t="shared" ref="B344" si="130">SUM(B345:B346)</f>
        <v>21338</v>
      </c>
      <c r="C344" s="142">
        <f t="shared" ref="C344" si="131">SUM(C345:C346)</f>
        <v>21250</v>
      </c>
      <c r="D344" s="142">
        <f t="shared" ref="D344" si="132">SUM(D345:D346)</f>
        <v>23688</v>
      </c>
      <c r="E344" s="142">
        <f t="shared" ref="E344" si="133">SUM(E345:E346)</f>
        <v>23086</v>
      </c>
      <c r="F344" s="142">
        <f t="shared" ref="F344" si="134">SUM(F345:F346)</f>
        <v>24652</v>
      </c>
      <c r="G344" s="142">
        <f t="shared" ref="G344" si="135">SUM(G345:G346)</f>
        <v>27892</v>
      </c>
      <c r="H344" s="142">
        <f t="shared" ref="H344" si="136">SUM(H345:H346)</f>
        <v>32618</v>
      </c>
      <c r="I344" s="142">
        <f t="shared" ref="I344" si="137">SUM(I345:I346)</f>
        <v>36255</v>
      </c>
      <c r="J344" s="142">
        <f t="shared" ref="J344" si="138">SUM(J345:J346)</f>
        <v>40561</v>
      </c>
      <c r="K344" s="142">
        <f t="shared" ref="K344" si="139">SUM(K345:K346)</f>
        <v>43241</v>
      </c>
      <c r="L344" s="142">
        <f t="shared" ref="L344" si="140">SUM(L345:L346)</f>
        <v>46773</v>
      </c>
      <c r="M344" s="142">
        <f t="shared" ref="M344" si="141">SUM(M345:M346)</f>
        <v>48600</v>
      </c>
      <c r="N344" s="142">
        <f t="shared" ref="N344" si="142">SUM(N345:N346)</f>
        <v>47058</v>
      </c>
      <c r="O344" s="142">
        <f t="shared" ref="O344" si="143">SUM(O345:O346)</f>
        <v>40087</v>
      </c>
      <c r="P344" s="142">
        <f t="shared" ref="P344" si="144">SUM(P345:P346)</f>
        <v>53343</v>
      </c>
      <c r="Q344" s="142">
        <f t="shared" ref="Q344" si="145">SUM(Q345:Q346)</f>
        <v>55453</v>
      </c>
      <c r="R344" s="142">
        <f t="shared" ref="R344" si="146">SUM(R345:R346)</f>
        <v>58886</v>
      </c>
      <c r="S344" s="142">
        <f>SUM(S345:S346)</f>
        <v>59750</v>
      </c>
      <c r="T344" s="89">
        <f t="shared" si="107"/>
        <v>0.47308991395675648</v>
      </c>
      <c r="U344" s="89">
        <f t="shared" si="108"/>
        <v>0.49050814478509241</v>
      </c>
      <c r="V344" s="89">
        <f t="shared" si="109"/>
        <v>1.4672417892198485E-2</v>
      </c>
      <c r="W344" s="91">
        <f>S344/S$344</f>
        <v>1</v>
      </c>
      <c r="X344" s="53">
        <f t="shared" si="110"/>
        <v>864</v>
      </c>
    </row>
    <row r="345" spans="1:24" x14ac:dyDescent="0.2">
      <c r="A345" s="170" t="s">
        <v>188</v>
      </c>
      <c r="B345" s="158">
        <v>4673</v>
      </c>
      <c r="C345" s="158">
        <v>4286</v>
      </c>
      <c r="D345" s="158">
        <v>4778</v>
      </c>
      <c r="E345" s="158">
        <v>4438</v>
      </c>
      <c r="F345" s="158">
        <v>4573</v>
      </c>
      <c r="G345" s="92">
        <v>5265</v>
      </c>
      <c r="H345" s="92">
        <v>5929</v>
      </c>
      <c r="I345" s="92">
        <v>6313</v>
      </c>
      <c r="J345" s="92">
        <v>6971</v>
      </c>
      <c r="K345" s="92">
        <v>7530</v>
      </c>
      <c r="L345" s="92">
        <v>8161</v>
      </c>
      <c r="M345" s="92">
        <v>8338</v>
      </c>
      <c r="N345" s="92">
        <v>8264</v>
      </c>
      <c r="O345" s="92">
        <v>7420</v>
      </c>
      <c r="P345" s="92">
        <v>9705</v>
      </c>
      <c r="Q345" s="92">
        <v>10785</v>
      </c>
      <c r="R345" s="92">
        <v>11227</v>
      </c>
      <c r="S345" s="92">
        <v>11757</v>
      </c>
      <c r="T345" s="88">
        <f t="shared" si="107"/>
        <v>0.68655859991392909</v>
      </c>
      <c r="U345" s="88">
        <f t="shared" si="108"/>
        <v>0.58450134770889484</v>
      </c>
      <c r="V345" s="88">
        <f t="shared" si="109"/>
        <v>4.7207624476707934E-2</v>
      </c>
      <c r="W345" s="90">
        <f t="shared" ref="W345:W346" si="147">S345/S$344</f>
        <v>0.19676987447698746</v>
      </c>
      <c r="X345" s="52">
        <f t="shared" si="110"/>
        <v>530</v>
      </c>
    </row>
    <row r="346" spans="1:24" x14ac:dyDescent="0.2">
      <c r="A346" s="170" t="s">
        <v>189</v>
      </c>
      <c r="B346" s="158">
        <v>16665</v>
      </c>
      <c r="C346" s="158">
        <v>16964</v>
      </c>
      <c r="D346" s="158">
        <v>18910</v>
      </c>
      <c r="E346" s="158">
        <v>18648</v>
      </c>
      <c r="F346" s="158">
        <v>20079</v>
      </c>
      <c r="G346" s="92">
        <v>22627</v>
      </c>
      <c r="H346" s="92">
        <v>26689</v>
      </c>
      <c r="I346" s="92">
        <v>29942</v>
      </c>
      <c r="J346" s="92">
        <v>33590</v>
      </c>
      <c r="K346" s="92">
        <v>35711</v>
      </c>
      <c r="L346" s="92">
        <v>38612</v>
      </c>
      <c r="M346" s="92">
        <v>40262</v>
      </c>
      <c r="N346" s="92">
        <v>38794</v>
      </c>
      <c r="O346" s="92">
        <v>32667</v>
      </c>
      <c r="P346" s="92">
        <v>43638</v>
      </c>
      <c r="Q346" s="92">
        <v>44668</v>
      </c>
      <c r="R346" s="92">
        <v>47659</v>
      </c>
      <c r="S346" s="92">
        <v>47993</v>
      </c>
      <c r="T346" s="88">
        <f t="shared" si="107"/>
        <v>0.42878832986007742</v>
      </c>
      <c r="U346" s="88">
        <f t="shared" si="108"/>
        <v>0.46915847797471455</v>
      </c>
      <c r="V346" s="88">
        <f t="shared" si="109"/>
        <v>7.0081201871629705E-3</v>
      </c>
      <c r="W346" s="90">
        <f t="shared" si="147"/>
        <v>0.80323012552301254</v>
      </c>
      <c r="X346" s="52">
        <f t="shared" si="110"/>
        <v>334</v>
      </c>
    </row>
    <row r="347" spans="1:24" x14ac:dyDescent="0.2">
      <c r="A347" s="160" t="s">
        <v>432</v>
      </c>
      <c r="B347" s="161">
        <f>B345/B344</f>
        <v>0.21899896897553661</v>
      </c>
      <c r="C347" s="161">
        <f t="shared" ref="C347:S347" si="148">C345/C344</f>
        <v>0.20169411764705883</v>
      </c>
      <c r="D347" s="161">
        <f t="shared" si="148"/>
        <v>0.20170550489699426</v>
      </c>
      <c r="E347" s="161">
        <f t="shared" si="148"/>
        <v>0.19223771983020013</v>
      </c>
      <c r="F347" s="161">
        <f t="shared" si="148"/>
        <v>0.18550219049164368</v>
      </c>
      <c r="G347" s="161">
        <f t="shared" si="148"/>
        <v>0.1887638032410727</v>
      </c>
      <c r="H347" s="161">
        <f t="shared" si="148"/>
        <v>0.18177080139800111</v>
      </c>
      <c r="I347" s="161">
        <f t="shared" si="148"/>
        <v>0.17412770652323817</v>
      </c>
      <c r="J347" s="161">
        <f t="shared" si="148"/>
        <v>0.1718645989990385</v>
      </c>
      <c r="K347" s="161">
        <f t="shared" si="148"/>
        <v>0.17414028352720798</v>
      </c>
      <c r="L347" s="161">
        <f t="shared" si="148"/>
        <v>0.17448100399803304</v>
      </c>
      <c r="M347" s="161">
        <f t="shared" si="148"/>
        <v>0.17156378600823044</v>
      </c>
      <c r="N347" s="161">
        <f t="shared" si="148"/>
        <v>0.1756130732287815</v>
      </c>
      <c r="O347" s="161">
        <f t="shared" si="148"/>
        <v>0.18509741312644998</v>
      </c>
      <c r="P347" s="161">
        <f t="shared" si="148"/>
        <v>0.18193577414093695</v>
      </c>
      <c r="Q347" s="161">
        <f t="shared" si="148"/>
        <v>0.19448902674336827</v>
      </c>
      <c r="R347" s="161">
        <f t="shared" si="148"/>
        <v>0.19065652277281528</v>
      </c>
      <c r="S347" s="161">
        <f t="shared" si="148"/>
        <v>0.19676987447698746</v>
      </c>
      <c r="T347" s="159"/>
      <c r="U347" s="159"/>
      <c r="V347" s="159"/>
      <c r="W347" s="77"/>
      <c r="X347" s="77"/>
    </row>
    <row r="348" spans="1:24" x14ac:dyDescent="0.2">
      <c r="A348" s="62" t="s">
        <v>508</v>
      </c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136"/>
      <c r="O348" s="136"/>
      <c r="P348" s="136"/>
      <c r="Q348" s="136"/>
      <c r="R348" s="136"/>
      <c r="S348" s="136"/>
      <c r="T348" s="137"/>
      <c r="U348" s="63"/>
      <c r="V348" s="63"/>
      <c r="W348" s="63"/>
      <c r="X348" s="63"/>
    </row>
    <row r="349" spans="1:24" x14ac:dyDescent="0.2">
      <c r="A349" s="62" t="s">
        <v>325</v>
      </c>
      <c r="B349" s="125"/>
      <c r="C349" s="125"/>
      <c r="D349" s="125"/>
      <c r="E349" s="125"/>
      <c r="F349" s="125"/>
      <c r="G349" s="125"/>
      <c r="H349" s="125"/>
      <c r="I349" s="125"/>
      <c r="J349" s="125"/>
      <c r="K349" s="125"/>
      <c r="L349" s="125"/>
      <c r="M349" s="125"/>
      <c r="N349" s="125"/>
      <c r="O349" s="125"/>
      <c r="P349" s="125"/>
      <c r="Q349" s="125"/>
      <c r="R349" s="125"/>
      <c r="S349" s="125"/>
      <c r="T349" s="63"/>
      <c r="U349" s="63"/>
      <c r="V349" s="63"/>
      <c r="W349" s="63"/>
      <c r="X349" s="63"/>
    </row>
    <row r="350" spans="1:24" x14ac:dyDescent="0.2">
      <c r="A350" s="63"/>
      <c r="B350" s="125"/>
      <c r="C350" s="125"/>
      <c r="D350" s="125"/>
      <c r="E350" s="125"/>
      <c r="F350" s="125"/>
      <c r="G350" s="125"/>
      <c r="H350" s="125"/>
      <c r="I350" s="125"/>
      <c r="J350" s="125"/>
      <c r="K350" s="125"/>
      <c r="L350" s="125"/>
      <c r="M350" s="125"/>
      <c r="N350" s="125"/>
      <c r="O350" s="125"/>
      <c r="P350" s="125"/>
      <c r="Q350" s="125"/>
      <c r="R350" s="125"/>
      <c r="S350" s="125"/>
      <c r="T350" s="104"/>
      <c r="U350" s="63"/>
      <c r="V350" s="31"/>
      <c r="W350" s="63"/>
      <c r="X350" s="63"/>
    </row>
    <row r="351" spans="1:24" x14ac:dyDescent="0.2">
      <c r="A351" s="57" t="s">
        <v>218</v>
      </c>
      <c r="B351" s="63"/>
      <c r="C351" s="63"/>
      <c r="D351" s="63"/>
      <c r="E351" s="63"/>
      <c r="F351" s="63"/>
      <c r="G351" s="31"/>
      <c r="H351" s="31"/>
      <c r="I351" s="31"/>
      <c r="J351" s="31"/>
      <c r="K351" s="31"/>
      <c r="L351" s="31"/>
      <c r="M351" s="31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</row>
    <row r="352" spans="1:24" x14ac:dyDescent="0.2">
      <c r="A352" s="63"/>
      <c r="B352" s="65"/>
      <c r="C352" s="65"/>
      <c r="D352" s="65"/>
      <c r="E352" s="65"/>
      <c r="F352" s="65"/>
      <c r="G352" s="31"/>
      <c r="H352" s="31"/>
      <c r="I352" s="31"/>
      <c r="J352" s="31"/>
      <c r="K352" s="31"/>
      <c r="L352" s="31"/>
      <c r="M352" s="31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</row>
    <row r="353" spans="1:24" x14ac:dyDescent="0.2">
      <c r="A353" s="65" t="s">
        <v>21</v>
      </c>
      <c r="B353" s="65"/>
      <c r="C353" s="65"/>
      <c r="D353" s="65"/>
      <c r="E353" s="65"/>
      <c r="F353" s="65"/>
      <c r="G353" s="31"/>
      <c r="H353" s="31"/>
      <c r="I353" s="31"/>
      <c r="J353" s="31"/>
      <c r="K353" s="31"/>
      <c r="L353" s="31"/>
      <c r="M353" s="31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</row>
    <row r="354" spans="1:24" x14ac:dyDescent="0.2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</row>
    <row r="355" spans="1:24" x14ac:dyDescent="0.2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</row>
    <row r="356" spans="1:24" x14ac:dyDescent="0.2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</row>
    <row r="357" spans="1:24" x14ac:dyDescent="0.2">
      <c r="A357" s="1"/>
      <c r="B357" s="1"/>
      <c r="C357" s="1"/>
      <c r="D357" s="1"/>
      <c r="E357" s="1"/>
      <c r="F357" s="1"/>
    </row>
    <row r="358" spans="1:24" x14ac:dyDescent="0.2">
      <c r="A358" s="1"/>
      <c r="B358" s="1"/>
      <c r="C358" s="1"/>
      <c r="D358" s="1"/>
      <c r="E358" s="1"/>
      <c r="F358" s="1"/>
    </row>
    <row r="359" spans="1:24" x14ac:dyDescent="0.2">
      <c r="A359" s="1"/>
      <c r="B359" s="1"/>
      <c r="C359" s="1"/>
      <c r="D359" s="1"/>
      <c r="E359" s="1"/>
      <c r="F359" s="1"/>
    </row>
    <row r="360" spans="1:24" x14ac:dyDescent="0.2">
      <c r="A360" s="1"/>
      <c r="B360" s="1"/>
      <c r="C360" s="1"/>
      <c r="D360" s="1"/>
      <c r="E360" s="1"/>
      <c r="F360" s="1"/>
    </row>
    <row r="361" spans="1:24" x14ac:dyDescent="0.2">
      <c r="A361" s="1"/>
      <c r="B361" s="1"/>
      <c r="C361" s="1"/>
      <c r="D361" s="1"/>
      <c r="E361" s="1"/>
      <c r="F361" s="1"/>
    </row>
    <row r="362" spans="1:24" x14ac:dyDescent="0.2">
      <c r="A362" s="1"/>
      <c r="B362" s="1"/>
      <c r="C362" s="1"/>
      <c r="D362" s="1"/>
      <c r="E362" s="1"/>
      <c r="F362" s="1"/>
    </row>
    <row r="363" spans="1:24" x14ac:dyDescent="0.2">
      <c r="B363" s="63"/>
    </row>
    <row r="364" spans="1:24" x14ac:dyDescent="0.2">
      <c r="B364" s="63"/>
    </row>
    <row r="365" spans="1:24" x14ac:dyDescent="0.2">
      <c r="B365" s="63"/>
    </row>
    <row r="366" spans="1:24" x14ac:dyDescent="0.2">
      <c r="B366" s="63"/>
    </row>
    <row r="367" spans="1:24" x14ac:dyDescent="0.2">
      <c r="B367" s="63"/>
    </row>
    <row r="368" spans="1:24" x14ac:dyDescent="0.2">
      <c r="B368" s="63"/>
    </row>
    <row r="369" spans="2:2" x14ac:dyDescent="0.2">
      <c r="B369" s="63"/>
    </row>
    <row r="370" spans="2:2" x14ac:dyDescent="0.2">
      <c r="B370" s="63"/>
    </row>
  </sheetData>
  <sortState xmlns:xlrd2="http://schemas.microsoft.com/office/spreadsheetml/2017/richdata2" ref="A281:W295">
    <sortCondition descending="1" ref="S281:S295"/>
  </sortState>
  <conditionalFormatting sqref="T6:T9">
    <cfRule type="iconSet" priority="147">
      <iconSet iconSet="5Arrows">
        <cfvo type="percent" val="0"/>
        <cfvo type="num" val="-0.4"/>
        <cfvo type="num" val="0"/>
        <cfvo type="num" val="0.4"/>
        <cfvo type="num" val="0.8"/>
      </iconSet>
    </cfRule>
  </conditionalFormatting>
  <conditionalFormatting sqref="T13:T19">
    <cfRule type="iconSet" priority="111">
      <iconSet iconSet="5Arrows">
        <cfvo type="percent" val="0"/>
        <cfvo type="num" val="-0.4"/>
        <cfvo type="num" val="0"/>
        <cfvo type="num" val="0.4"/>
        <cfvo type="num" val="0.8"/>
      </iconSet>
    </cfRule>
  </conditionalFormatting>
  <conditionalFormatting sqref="T24:T28">
    <cfRule type="iconSet" priority="106">
      <iconSet iconSet="5Arrows">
        <cfvo type="percent" val="0"/>
        <cfvo type="num" val="-0.4"/>
        <cfvo type="num" val="0"/>
        <cfvo type="num" val="0.4"/>
        <cfvo type="num" val="0.8"/>
      </iconSet>
    </cfRule>
  </conditionalFormatting>
  <conditionalFormatting sqref="T32:T34">
    <cfRule type="iconSet" priority="101">
      <iconSet iconSet="5Arrows">
        <cfvo type="percent" val="0"/>
        <cfvo type="num" val="-0.4"/>
        <cfvo type="num" val="0"/>
        <cfvo type="num" val="0.4"/>
        <cfvo type="num" val="0.8"/>
      </iconSet>
    </cfRule>
  </conditionalFormatting>
  <conditionalFormatting sqref="T40:T50">
    <cfRule type="iconSet" priority="96">
      <iconSet iconSet="5Arrows">
        <cfvo type="percent" val="0"/>
        <cfvo type="num" val="-0.4"/>
        <cfvo type="num" val="0"/>
        <cfvo type="num" val="0.4"/>
        <cfvo type="num" val="0.8"/>
      </iconSet>
    </cfRule>
  </conditionalFormatting>
  <conditionalFormatting sqref="T54:T76">
    <cfRule type="iconSet" priority="91">
      <iconSet iconSet="5Arrows">
        <cfvo type="percent" val="0"/>
        <cfvo type="num" val="-0.4"/>
        <cfvo type="num" val="0"/>
        <cfvo type="num" val="0.4"/>
        <cfvo type="num" val="0.8"/>
      </iconSet>
    </cfRule>
  </conditionalFormatting>
  <conditionalFormatting sqref="T81:T86">
    <cfRule type="iconSet" priority="86">
      <iconSet iconSet="5Arrows">
        <cfvo type="percent" val="0"/>
        <cfvo type="num" val="-0.4"/>
        <cfvo type="num" val="0"/>
        <cfvo type="num" val="0.4"/>
        <cfvo type="num" val="0.8"/>
      </iconSet>
    </cfRule>
  </conditionalFormatting>
  <conditionalFormatting sqref="T90:T108">
    <cfRule type="iconSet" priority="81">
      <iconSet iconSet="5Arrows">
        <cfvo type="percent" val="0"/>
        <cfvo type="num" val="-0.4"/>
        <cfvo type="num" val="0"/>
        <cfvo type="num" val="0.4"/>
        <cfvo type="num" val="0.8"/>
      </iconSet>
    </cfRule>
  </conditionalFormatting>
  <conditionalFormatting sqref="T112:T122">
    <cfRule type="iconSet" priority="76">
      <iconSet iconSet="5Arrows">
        <cfvo type="percent" val="0"/>
        <cfvo type="num" val="-0.4"/>
        <cfvo type="num" val="0"/>
        <cfvo type="num" val="0.4"/>
        <cfvo type="num" val="0.8"/>
      </iconSet>
    </cfRule>
  </conditionalFormatting>
  <conditionalFormatting sqref="T126:T136">
    <cfRule type="iconSet" priority="71">
      <iconSet iconSet="5Arrows">
        <cfvo type="percent" val="0"/>
        <cfvo type="num" val="-0.4"/>
        <cfvo type="num" val="0"/>
        <cfvo type="num" val="0.4"/>
        <cfvo type="num" val="0.8"/>
      </iconSet>
    </cfRule>
  </conditionalFormatting>
  <conditionalFormatting sqref="T140:T150">
    <cfRule type="iconSet" priority="66">
      <iconSet iconSet="5Arrows">
        <cfvo type="percent" val="0"/>
        <cfvo type="num" val="-0.4"/>
        <cfvo type="num" val="0"/>
        <cfvo type="num" val="0.4"/>
        <cfvo type="num" val="0.8"/>
      </iconSet>
    </cfRule>
  </conditionalFormatting>
  <conditionalFormatting sqref="T154:T164">
    <cfRule type="iconSet" priority="61">
      <iconSet iconSet="5Arrows">
        <cfvo type="percent" val="0"/>
        <cfvo type="num" val="-0.4"/>
        <cfvo type="num" val="0"/>
        <cfvo type="num" val="0.4"/>
        <cfvo type="num" val="0.8"/>
      </iconSet>
    </cfRule>
  </conditionalFormatting>
  <conditionalFormatting sqref="T168:T178">
    <cfRule type="iconSet" priority="56">
      <iconSet iconSet="5Arrows">
        <cfvo type="percent" val="0"/>
        <cfvo type="num" val="-0.4"/>
        <cfvo type="num" val="0"/>
        <cfvo type="num" val="0.4"/>
        <cfvo type="num" val="0.8"/>
      </iconSet>
    </cfRule>
  </conditionalFormatting>
  <conditionalFormatting sqref="T182:T192">
    <cfRule type="iconSet" priority="51">
      <iconSet iconSet="5Arrows">
        <cfvo type="percent" val="0"/>
        <cfvo type="num" val="-0.4"/>
        <cfvo type="num" val="0"/>
        <cfvo type="num" val="0.4"/>
        <cfvo type="num" val="0.8"/>
      </iconSet>
    </cfRule>
  </conditionalFormatting>
  <conditionalFormatting sqref="T196:T215">
    <cfRule type="iconSet" priority="46">
      <iconSet iconSet="5Arrows">
        <cfvo type="percent" val="0"/>
        <cfvo type="num" val="-0.4"/>
        <cfvo type="num" val="0"/>
        <cfvo type="num" val="0.4"/>
        <cfvo type="num" val="0.8"/>
      </iconSet>
    </cfRule>
  </conditionalFormatting>
  <conditionalFormatting sqref="T219:T244">
    <cfRule type="iconSet" priority="41">
      <iconSet iconSet="5Arrows">
        <cfvo type="percent" val="0"/>
        <cfvo type="num" val="-0.4"/>
        <cfvo type="num" val="0"/>
        <cfvo type="num" val="0.4"/>
        <cfvo type="num" val="0.8"/>
      </iconSet>
    </cfRule>
  </conditionalFormatting>
  <conditionalFormatting sqref="T248:T277">
    <cfRule type="iconSet" priority="36">
      <iconSet iconSet="5Arrows">
        <cfvo type="percent" val="0"/>
        <cfvo type="num" val="-0.4"/>
        <cfvo type="num" val="0"/>
        <cfvo type="num" val="0.4"/>
        <cfvo type="num" val="0.8"/>
      </iconSet>
    </cfRule>
  </conditionalFormatting>
  <conditionalFormatting sqref="T281:T296">
    <cfRule type="iconSet" priority="31">
      <iconSet iconSet="5Arrows">
        <cfvo type="percent" val="0"/>
        <cfvo type="num" val="-0.4"/>
        <cfvo type="num" val="0"/>
        <cfvo type="num" val="0.4"/>
        <cfvo type="num" val="0.8"/>
      </iconSet>
    </cfRule>
  </conditionalFormatting>
  <conditionalFormatting sqref="T300:T303">
    <cfRule type="iconSet" priority="26">
      <iconSet iconSet="5Arrows">
        <cfvo type="percent" val="0"/>
        <cfvo type="num" val="-0.4"/>
        <cfvo type="num" val="0"/>
        <cfvo type="num" val="0.4"/>
        <cfvo type="num" val="0.8"/>
      </iconSet>
    </cfRule>
  </conditionalFormatting>
  <conditionalFormatting sqref="T307:T309">
    <cfRule type="iconSet" priority="21">
      <iconSet iconSet="5Arrows">
        <cfvo type="percent" val="0"/>
        <cfvo type="num" val="-0.4"/>
        <cfvo type="num" val="0"/>
        <cfvo type="num" val="0.4"/>
        <cfvo type="num" val="0.8"/>
      </iconSet>
    </cfRule>
  </conditionalFormatting>
  <conditionalFormatting sqref="T313:T315">
    <cfRule type="iconSet" priority="16">
      <iconSet iconSet="5Arrows">
        <cfvo type="percent" val="0"/>
        <cfvo type="num" val="-0.4"/>
        <cfvo type="num" val="0"/>
        <cfvo type="num" val="0.4"/>
        <cfvo type="num" val="0.8"/>
      </iconSet>
    </cfRule>
  </conditionalFormatting>
  <conditionalFormatting sqref="T319:T322">
    <cfRule type="iconSet" priority="11">
      <iconSet iconSet="5Arrows">
        <cfvo type="percent" val="0"/>
        <cfvo type="num" val="-0.4"/>
        <cfvo type="num" val="0"/>
        <cfvo type="num" val="0.4"/>
        <cfvo type="num" val="0.8"/>
      </iconSet>
    </cfRule>
  </conditionalFormatting>
  <conditionalFormatting sqref="T326:T333">
    <cfRule type="iconSet" priority="6">
      <iconSet iconSet="5Arrows">
        <cfvo type="percent" val="0"/>
        <cfvo type="num" val="-0.4"/>
        <cfvo type="num" val="0"/>
        <cfvo type="num" val="0.4"/>
        <cfvo type="num" val="0.8"/>
      </iconSet>
    </cfRule>
  </conditionalFormatting>
  <conditionalFormatting sqref="T338:T346">
    <cfRule type="iconSet" priority="1">
      <iconSet iconSet="5Arrows">
        <cfvo type="percent" val="0"/>
        <cfvo type="num" val="-0.4"/>
        <cfvo type="num" val="0"/>
        <cfvo type="num" val="0.4"/>
        <cfvo type="num" val="0.8"/>
      </iconSet>
    </cfRule>
  </conditionalFormatting>
  <conditionalFormatting sqref="U6:U9">
    <cfRule type="iconSet" priority="149">
      <iconSet iconSet="5Arrows">
        <cfvo type="percent" val="0"/>
        <cfvo type="num" val="-0.6"/>
        <cfvo type="num" val="0"/>
        <cfvo type="num" val="0.6"/>
        <cfvo type="num" val="1"/>
      </iconSet>
    </cfRule>
  </conditionalFormatting>
  <conditionalFormatting sqref="U13:U19">
    <cfRule type="iconSet" priority="113">
      <iconSet iconSet="5Arrows">
        <cfvo type="percent" val="0"/>
        <cfvo type="num" val="-0.6"/>
        <cfvo type="num" val="0"/>
        <cfvo type="num" val="0.6"/>
        <cfvo type="num" val="1"/>
      </iconSet>
    </cfRule>
  </conditionalFormatting>
  <conditionalFormatting sqref="U24:U28">
    <cfRule type="iconSet" priority="108">
      <iconSet iconSet="5Arrows">
        <cfvo type="percent" val="0"/>
        <cfvo type="num" val="-0.6"/>
        <cfvo type="num" val="0"/>
        <cfvo type="num" val="0.6"/>
        <cfvo type="num" val="1"/>
      </iconSet>
    </cfRule>
  </conditionalFormatting>
  <conditionalFormatting sqref="U32:U34">
    <cfRule type="iconSet" priority="103">
      <iconSet iconSet="5Arrows">
        <cfvo type="percent" val="0"/>
        <cfvo type="num" val="-0.6"/>
        <cfvo type="num" val="0"/>
        <cfvo type="num" val="0.6"/>
        <cfvo type="num" val="1"/>
      </iconSet>
    </cfRule>
  </conditionalFormatting>
  <conditionalFormatting sqref="U40:U50">
    <cfRule type="iconSet" priority="98">
      <iconSet iconSet="5Arrows">
        <cfvo type="percent" val="0"/>
        <cfvo type="num" val="-0.6"/>
        <cfvo type="num" val="0"/>
        <cfvo type="num" val="0.6"/>
        <cfvo type="num" val="1"/>
      </iconSet>
    </cfRule>
  </conditionalFormatting>
  <conditionalFormatting sqref="U54:U76">
    <cfRule type="iconSet" priority="93">
      <iconSet iconSet="5Arrows">
        <cfvo type="percent" val="0"/>
        <cfvo type="num" val="-0.6"/>
        <cfvo type="num" val="0"/>
        <cfvo type="num" val="0.6"/>
        <cfvo type="num" val="1"/>
      </iconSet>
    </cfRule>
  </conditionalFormatting>
  <conditionalFormatting sqref="U81:U86">
    <cfRule type="iconSet" priority="88">
      <iconSet iconSet="5Arrows">
        <cfvo type="percent" val="0"/>
        <cfvo type="num" val="-0.6"/>
        <cfvo type="num" val="0"/>
        <cfvo type="num" val="0.6"/>
        <cfvo type="num" val="1"/>
      </iconSet>
    </cfRule>
  </conditionalFormatting>
  <conditionalFormatting sqref="U90:U108">
    <cfRule type="iconSet" priority="83">
      <iconSet iconSet="5Arrows">
        <cfvo type="percent" val="0"/>
        <cfvo type="num" val="-0.6"/>
        <cfvo type="num" val="0"/>
        <cfvo type="num" val="0.6"/>
        <cfvo type="num" val="1"/>
      </iconSet>
    </cfRule>
  </conditionalFormatting>
  <conditionalFormatting sqref="U112:U122">
    <cfRule type="iconSet" priority="78">
      <iconSet iconSet="5Arrows">
        <cfvo type="percent" val="0"/>
        <cfvo type="num" val="-0.6"/>
        <cfvo type="num" val="0"/>
        <cfvo type="num" val="0.6"/>
        <cfvo type="num" val="1"/>
      </iconSet>
    </cfRule>
  </conditionalFormatting>
  <conditionalFormatting sqref="U126:U136">
    <cfRule type="iconSet" priority="73">
      <iconSet iconSet="5Arrows">
        <cfvo type="percent" val="0"/>
        <cfvo type="num" val="-0.6"/>
        <cfvo type="num" val="0"/>
        <cfvo type="num" val="0.6"/>
        <cfvo type="num" val="1"/>
      </iconSet>
    </cfRule>
  </conditionalFormatting>
  <conditionalFormatting sqref="U140:U150">
    <cfRule type="iconSet" priority="68">
      <iconSet iconSet="5Arrows">
        <cfvo type="percent" val="0"/>
        <cfvo type="num" val="-0.6"/>
        <cfvo type="num" val="0"/>
        <cfvo type="num" val="0.6"/>
        <cfvo type="num" val="1"/>
      </iconSet>
    </cfRule>
  </conditionalFormatting>
  <conditionalFormatting sqref="U154:U164">
    <cfRule type="iconSet" priority="63">
      <iconSet iconSet="5Arrows">
        <cfvo type="percent" val="0"/>
        <cfvo type="num" val="-0.6"/>
        <cfvo type="num" val="0"/>
        <cfvo type="num" val="0.6"/>
        <cfvo type="num" val="1"/>
      </iconSet>
    </cfRule>
  </conditionalFormatting>
  <conditionalFormatting sqref="U168:U178">
    <cfRule type="iconSet" priority="58">
      <iconSet iconSet="5Arrows">
        <cfvo type="percent" val="0"/>
        <cfvo type="num" val="-0.6"/>
        <cfvo type="num" val="0"/>
        <cfvo type="num" val="0.6"/>
        <cfvo type="num" val="1"/>
      </iconSet>
    </cfRule>
  </conditionalFormatting>
  <conditionalFormatting sqref="U182:U192">
    <cfRule type="iconSet" priority="53">
      <iconSet iconSet="5Arrows">
        <cfvo type="percent" val="0"/>
        <cfvo type="num" val="-0.6"/>
        <cfvo type="num" val="0"/>
        <cfvo type="num" val="0.6"/>
        <cfvo type="num" val="1"/>
      </iconSet>
    </cfRule>
  </conditionalFormatting>
  <conditionalFormatting sqref="U196:U215">
    <cfRule type="iconSet" priority="48">
      <iconSet iconSet="5Arrows">
        <cfvo type="percent" val="0"/>
        <cfvo type="num" val="-0.6"/>
        <cfvo type="num" val="0"/>
        <cfvo type="num" val="0.6"/>
        <cfvo type="num" val="1"/>
      </iconSet>
    </cfRule>
  </conditionalFormatting>
  <conditionalFormatting sqref="U219:U244">
    <cfRule type="iconSet" priority="43">
      <iconSet iconSet="5Arrows">
        <cfvo type="percent" val="0"/>
        <cfvo type="num" val="-0.6"/>
        <cfvo type="num" val="0"/>
        <cfvo type="num" val="0.6"/>
        <cfvo type="num" val="1"/>
      </iconSet>
    </cfRule>
  </conditionalFormatting>
  <conditionalFormatting sqref="U248:U277">
    <cfRule type="iconSet" priority="38">
      <iconSet iconSet="5Arrows">
        <cfvo type="percent" val="0"/>
        <cfvo type="num" val="-0.6"/>
        <cfvo type="num" val="0"/>
        <cfvo type="num" val="0.6"/>
        <cfvo type="num" val="1"/>
      </iconSet>
    </cfRule>
  </conditionalFormatting>
  <conditionalFormatting sqref="U281:U296">
    <cfRule type="iconSet" priority="33">
      <iconSet iconSet="5Arrows">
        <cfvo type="percent" val="0"/>
        <cfvo type="num" val="-0.6"/>
        <cfvo type="num" val="0"/>
        <cfvo type="num" val="0.6"/>
        <cfvo type="num" val="1"/>
      </iconSet>
    </cfRule>
  </conditionalFormatting>
  <conditionalFormatting sqref="U300:U303">
    <cfRule type="iconSet" priority="28">
      <iconSet iconSet="5Arrows">
        <cfvo type="percent" val="0"/>
        <cfvo type="num" val="-0.6"/>
        <cfvo type="num" val="0"/>
        <cfvo type="num" val="0.6"/>
        <cfvo type="num" val="1"/>
      </iconSet>
    </cfRule>
  </conditionalFormatting>
  <conditionalFormatting sqref="U307:U309">
    <cfRule type="iconSet" priority="23">
      <iconSet iconSet="5Arrows">
        <cfvo type="percent" val="0"/>
        <cfvo type="num" val="-0.6"/>
        <cfvo type="num" val="0"/>
        <cfvo type="num" val="0.6"/>
        <cfvo type="num" val="1"/>
      </iconSet>
    </cfRule>
  </conditionalFormatting>
  <conditionalFormatting sqref="U313:U315">
    <cfRule type="iconSet" priority="18">
      <iconSet iconSet="5Arrows">
        <cfvo type="percent" val="0"/>
        <cfvo type="num" val="-0.6"/>
        <cfvo type="num" val="0"/>
        <cfvo type="num" val="0.6"/>
        <cfvo type="num" val="1"/>
      </iconSet>
    </cfRule>
  </conditionalFormatting>
  <conditionalFormatting sqref="U319:U322">
    <cfRule type="iconSet" priority="13">
      <iconSet iconSet="5Arrows">
        <cfvo type="percent" val="0"/>
        <cfvo type="num" val="-0.6"/>
        <cfvo type="num" val="0"/>
        <cfvo type="num" val="0.6"/>
        <cfvo type="num" val="1"/>
      </iconSet>
    </cfRule>
  </conditionalFormatting>
  <conditionalFormatting sqref="U326:U333">
    <cfRule type="iconSet" priority="8">
      <iconSet iconSet="5Arrows">
        <cfvo type="percent" val="0"/>
        <cfvo type="num" val="-0.6"/>
        <cfvo type="num" val="0"/>
        <cfvo type="num" val="0.6"/>
        <cfvo type="num" val="1"/>
      </iconSet>
    </cfRule>
  </conditionalFormatting>
  <conditionalFormatting sqref="U338:U346">
    <cfRule type="iconSet" priority="3">
      <iconSet iconSet="5Arrows">
        <cfvo type="percent" val="0"/>
        <cfvo type="num" val="-0.6"/>
        <cfvo type="num" val="0"/>
        <cfvo type="num" val="0.6"/>
        <cfvo type="num" val="1"/>
      </iconSet>
    </cfRule>
  </conditionalFormatting>
  <conditionalFormatting sqref="V6:V9">
    <cfRule type="iconSet" priority="150">
      <iconSet iconSet="5Arrows">
        <cfvo type="percent" val="0"/>
        <cfvo type="num" val="-0.1"/>
        <cfvo type="num" val="-0.05"/>
        <cfvo type="num" val="0.05"/>
        <cfvo type="num" val="0.1"/>
      </iconSet>
    </cfRule>
  </conditionalFormatting>
  <conditionalFormatting sqref="V13:V19">
    <cfRule type="iconSet" priority="114">
      <iconSet iconSet="5Arrows">
        <cfvo type="percent" val="0"/>
        <cfvo type="num" val="-0.1"/>
        <cfvo type="num" val="-0.05"/>
        <cfvo type="num" val="0.05"/>
        <cfvo type="num" val="0.1"/>
      </iconSet>
    </cfRule>
  </conditionalFormatting>
  <conditionalFormatting sqref="V24:V28">
    <cfRule type="iconSet" priority="109">
      <iconSet iconSet="5Arrows">
        <cfvo type="percent" val="0"/>
        <cfvo type="num" val="-0.1"/>
        <cfvo type="num" val="-0.05"/>
        <cfvo type="num" val="0.05"/>
        <cfvo type="num" val="0.1"/>
      </iconSet>
    </cfRule>
  </conditionalFormatting>
  <conditionalFormatting sqref="V32:V34">
    <cfRule type="iconSet" priority="104">
      <iconSet iconSet="5Arrows">
        <cfvo type="percent" val="0"/>
        <cfvo type="num" val="-0.1"/>
        <cfvo type="num" val="-0.05"/>
        <cfvo type="num" val="0.05"/>
        <cfvo type="num" val="0.1"/>
      </iconSet>
    </cfRule>
  </conditionalFormatting>
  <conditionalFormatting sqref="V40:V50">
    <cfRule type="iconSet" priority="99">
      <iconSet iconSet="5Arrows">
        <cfvo type="percent" val="0"/>
        <cfvo type="num" val="-0.1"/>
        <cfvo type="num" val="-0.05"/>
        <cfvo type="num" val="0.05"/>
        <cfvo type="num" val="0.1"/>
      </iconSet>
    </cfRule>
  </conditionalFormatting>
  <conditionalFormatting sqref="V54:V76">
    <cfRule type="iconSet" priority="94">
      <iconSet iconSet="5Arrows">
        <cfvo type="percent" val="0"/>
        <cfvo type="num" val="-0.1"/>
        <cfvo type="num" val="-0.05"/>
        <cfvo type="num" val="0.05"/>
        <cfvo type="num" val="0.1"/>
      </iconSet>
    </cfRule>
  </conditionalFormatting>
  <conditionalFormatting sqref="V81:V86">
    <cfRule type="iconSet" priority="89">
      <iconSet iconSet="5Arrows">
        <cfvo type="percent" val="0"/>
        <cfvo type="num" val="-0.1"/>
        <cfvo type="num" val="-0.05"/>
        <cfvo type="num" val="0.05"/>
        <cfvo type="num" val="0.1"/>
      </iconSet>
    </cfRule>
  </conditionalFormatting>
  <conditionalFormatting sqref="V90:V108">
    <cfRule type="iconSet" priority="84">
      <iconSet iconSet="5Arrows">
        <cfvo type="percent" val="0"/>
        <cfvo type="num" val="-0.1"/>
        <cfvo type="num" val="-0.05"/>
        <cfvo type="num" val="0.05"/>
        <cfvo type="num" val="0.1"/>
      </iconSet>
    </cfRule>
  </conditionalFormatting>
  <conditionalFormatting sqref="V112:V122">
    <cfRule type="iconSet" priority="79">
      <iconSet iconSet="5Arrows">
        <cfvo type="percent" val="0"/>
        <cfvo type="num" val="-0.1"/>
        <cfvo type="num" val="-0.05"/>
        <cfvo type="num" val="0.05"/>
        <cfvo type="num" val="0.1"/>
      </iconSet>
    </cfRule>
  </conditionalFormatting>
  <conditionalFormatting sqref="V126:V136">
    <cfRule type="iconSet" priority="74">
      <iconSet iconSet="5Arrows">
        <cfvo type="percent" val="0"/>
        <cfvo type="num" val="-0.1"/>
        <cfvo type="num" val="-0.05"/>
        <cfvo type="num" val="0.05"/>
        <cfvo type="num" val="0.1"/>
      </iconSet>
    </cfRule>
  </conditionalFormatting>
  <conditionalFormatting sqref="V140:V150">
    <cfRule type="iconSet" priority="69">
      <iconSet iconSet="5Arrows">
        <cfvo type="percent" val="0"/>
        <cfvo type="num" val="-0.1"/>
        <cfvo type="num" val="-0.05"/>
        <cfvo type="num" val="0.05"/>
        <cfvo type="num" val="0.1"/>
      </iconSet>
    </cfRule>
  </conditionalFormatting>
  <conditionalFormatting sqref="V154:V164">
    <cfRule type="iconSet" priority="64">
      <iconSet iconSet="5Arrows">
        <cfvo type="percent" val="0"/>
        <cfvo type="num" val="-0.1"/>
        <cfvo type="num" val="-0.05"/>
        <cfvo type="num" val="0.05"/>
        <cfvo type="num" val="0.1"/>
      </iconSet>
    </cfRule>
  </conditionalFormatting>
  <conditionalFormatting sqref="V168:V178">
    <cfRule type="iconSet" priority="59">
      <iconSet iconSet="5Arrows">
        <cfvo type="percent" val="0"/>
        <cfvo type="num" val="-0.1"/>
        <cfvo type="num" val="-0.05"/>
        <cfvo type="num" val="0.05"/>
        <cfvo type="num" val="0.1"/>
      </iconSet>
    </cfRule>
  </conditionalFormatting>
  <conditionalFormatting sqref="V182:V192">
    <cfRule type="iconSet" priority="54">
      <iconSet iconSet="5Arrows">
        <cfvo type="percent" val="0"/>
        <cfvo type="num" val="-0.1"/>
        <cfvo type="num" val="-0.05"/>
        <cfvo type="num" val="0.05"/>
        <cfvo type="num" val="0.1"/>
      </iconSet>
    </cfRule>
  </conditionalFormatting>
  <conditionalFormatting sqref="V196:V215">
    <cfRule type="iconSet" priority="49">
      <iconSet iconSet="5Arrows">
        <cfvo type="percent" val="0"/>
        <cfvo type="num" val="-0.1"/>
        <cfvo type="num" val="-0.05"/>
        <cfvo type="num" val="0.05"/>
        <cfvo type="num" val="0.1"/>
      </iconSet>
    </cfRule>
  </conditionalFormatting>
  <conditionalFormatting sqref="V219:V244">
    <cfRule type="iconSet" priority="44">
      <iconSet iconSet="5Arrows">
        <cfvo type="percent" val="0"/>
        <cfvo type="num" val="-0.1"/>
        <cfvo type="num" val="-0.05"/>
        <cfvo type="num" val="0.05"/>
        <cfvo type="num" val="0.1"/>
      </iconSet>
    </cfRule>
  </conditionalFormatting>
  <conditionalFormatting sqref="V248:V277">
    <cfRule type="iconSet" priority="39">
      <iconSet iconSet="5Arrows">
        <cfvo type="percent" val="0"/>
        <cfvo type="num" val="-0.1"/>
        <cfvo type="num" val="-0.05"/>
        <cfvo type="num" val="0.05"/>
        <cfvo type="num" val="0.1"/>
      </iconSet>
    </cfRule>
  </conditionalFormatting>
  <conditionalFormatting sqref="V281:V296">
    <cfRule type="iconSet" priority="34">
      <iconSet iconSet="5Arrows">
        <cfvo type="percent" val="0"/>
        <cfvo type="num" val="-0.1"/>
        <cfvo type="num" val="-0.05"/>
        <cfvo type="num" val="0.05"/>
        <cfvo type="num" val="0.1"/>
      </iconSet>
    </cfRule>
  </conditionalFormatting>
  <conditionalFormatting sqref="V300:V303">
    <cfRule type="iconSet" priority="29">
      <iconSet iconSet="5Arrows">
        <cfvo type="percent" val="0"/>
        <cfvo type="num" val="-0.1"/>
        <cfvo type="num" val="-0.05"/>
        <cfvo type="num" val="0.05"/>
        <cfvo type="num" val="0.1"/>
      </iconSet>
    </cfRule>
  </conditionalFormatting>
  <conditionalFormatting sqref="V307:V309">
    <cfRule type="iconSet" priority="24">
      <iconSet iconSet="5Arrows">
        <cfvo type="percent" val="0"/>
        <cfvo type="num" val="-0.1"/>
        <cfvo type="num" val="-0.05"/>
        <cfvo type="num" val="0.05"/>
        <cfvo type="num" val="0.1"/>
      </iconSet>
    </cfRule>
  </conditionalFormatting>
  <conditionalFormatting sqref="V313:V315">
    <cfRule type="iconSet" priority="19">
      <iconSet iconSet="5Arrows">
        <cfvo type="percent" val="0"/>
        <cfvo type="num" val="-0.1"/>
        <cfvo type="num" val="-0.05"/>
        <cfvo type="num" val="0.05"/>
        <cfvo type="num" val="0.1"/>
      </iconSet>
    </cfRule>
  </conditionalFormatting>
  <conditionalFormatting sqref="V319:V322">
    <cfRule type="iconSet" priority="14">
      <iconSet iconSet="5Arrows">
        <cfvo type="percent" val="0"/>
        <cfvo type="num" val="-0.1"/>
        <cfvo type="num" val="-0.05"/>
        <cfvo type="num" val="0.05"/>
        <cfvo type="num" val="0.1"/>
      </iconSet>
    </cfRule>
  </conditionalFormatting>
  <conditionalFormatting sqref="V326:V333">
    <cfRule type="iconSet" priority="9">
      <iconSet iconSet="5Arrows">
        <cfvo type="percent" val="0"/>
        <cfvo type="num" val="-0.1"/>
        <cfvo type="num" val="-0.05"/>
        <cfvo type="num" val="0.05"/>
        <cfvo type="num" val="0.1"/>
      </iconSet>
    </cfRule>
  </conditionalFormatting>
  <conditionalFormatting sqref="V338:V346">
    <cfRule type="iconSet" priority="4">
      <iconSet iconSet="5Arrows">
        <cfvo type="percent" val="0"/>
        <cfvo type="num" val="-0.1"/>
        <cfvo type="num" val="-0.05"/>
        <cfvo type="num" val="0.05"/>
        <cfvo type="num" val="0.1"/>
      </iconSet>
    </cfRule>
  </conditionalFormatting>
  <conditionalFormatting sqref="W6:W8">
    <cfRule type="dataBar" priority="14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{BFD95C35-ECDF-4755-B864-92F84454BD0B}</x14:id>
        </ext>
      </extLst>
    </cfRule>
  </conditionalFormatting>
  <conditionalFormatting sqref="W13:W18">
    <cfRule type="dataBar" priority="1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{F9901F80-5710-488A-A816-2E8A3DBD457A}</x14:id>
        </ext>
      </extLst>
    </cfRule>
  </conditionalFormatting>
  <conditionalFormatting sqref="W24:W27">
    <cfRule type="dataBar" priority="10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{C0B27E25-E62B-4F9A-82E8-50AE1130E234}</x14:id>
        </ext>
      </extLst>
    </cfRule>
  </conditionalFormatting>
  <conditionalFormatting sqref="W32:W33">
    <cfRule type="dataBar" priority="10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{EE42B6E6-40EE-4266-A487-8AD34B51EB39}</x14:id>
        </ext>
      </extLst>
    </cfRule>
  </conditionalFormatting>
  <conditionalFormatting sqref="W40:W49">
    <cfRule type="dataBar" priority="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{F79DA29F-8DA3-4DE1-A95D-45ECA44B4B78}</x14:id>
        </ext>
      </extLst>
    </cfRule>
  </conditionalFormatting>
  <conditionalFormatting sqref="W54:W75">
    <cfRule type="dataBar" priority="9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{B89D112C-E24E-4FB8-97BE-844CD60462AC}</x14:id>
        </ext>
      </extLst>
    </cfRule>
  </conditionalFormatting>
  <conditionalFormatting sqref="W81:W85">
    <cfRule type="dataBar" priority="8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{952F02D7-7777-4B1D-B64B-401754959E16}</x14:id>
        </ext>
      </extLst>
    </cfRule>
  </conditionalFormatting>
  <conditionalFormatting sqref="W90:W107">
    <cfRule type="dataBar" priority="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{0F3089DE-1489-49B4-874D-449900CD91E6}</x14:id>
        </ext>
      </extLst>
    </cfRule>
  </conditionalFormatting>
  <conditionalFormatting sqref="W112:W121">
    <cfRule type="dataBar" priority="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{35D77A04-6A71-4D83-80CB-2B8B48EF1669}</x14:id>
        </ext>
      </extLst>
    </cfRule>
  </conditionalFormatting>
  <conditionalFormatting sqref="W126:W135">
    <cfRule type="dataBar" priority="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{6BA5EE7B-17B5-4112-AF37-B4B882437C1D}</x14:id>
        </ext>
      </extLst>
    </cfRule>
  </conditionalFormatting>
  <conditionalFormatting sqref="W140:W149">
    <cfRule type="dataBar" priority="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{56A7674F-FC1D-4392-87C3-CAF0621E8C01}</x14:id>
        </ext>
      </extLst>
    </cfRule>
  </conditionalFormatting>
  <conditionalFormatting sqref="W154:W163">
    <cfRule type="dataBar" priority="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{33F2F49C-16F1-4A7E-ABD5-EC853709B575}</x14:id>
        </ext>
      </extLst>
    </cfRule>
  </conditionalFormatting>
  <conditionalFormatting sqref="W168:W177">
    <cfRule type="dataBar" priority="5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{47A82F79-38B5-4F1C-9225-1289FD66497D}</x14:id>
        </ext>
      </extLst>
    </cfRule>
  </conditionalFormatting>
  <conditionalFormatting sqref="W182:W191">
    <cfRule type="dataBar" priority="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{C1438445-1FAD-4807-B87C-5AF4752E4AD0}</x14:id>
        </ext>
      </extLst>
    </cfRule>
  </conditionalFormatting>
  <conditionalFormatting sqref="W196:W215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{493A852E-AF6A-4D2C-8C2C-AEE8FD069E2E}</x14:id>
        </ext>
      </extLst>
    </cfRule>
  </conditionalFormatting>
  <conditionalFormatting sqref="W219:W244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{9ECB12DC-8B01-4326-AC53-9DB1B21FA7EF}</x14:id>
        </ext>
      </extLst>
    </cfRule>
  </conditionalFormatting>
  <conditionalFormatting sqref="W248:W277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{DD6B118B-759E-4583-B136-2BD5150BDA0F}</x14:id>
        </ext>
      </extLst>
    </cfRule>
  </conditionalFormatting>
  <conditionalFormatting sqref="W281:W29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{096F72E6-740A-48C2-8E9A-4CEF090C07BE}</x14:id>
        </ext>
      </extLst>
    </cfRule>
  </conditionalFormatting>
  <conditionalFormatting sqref="W300:W302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{BC75F793-68F1-4521-8591-F325005F0E35}</x14:id>
        </ext>
      </extLst>
    </cfRule>
  </conditionalFormatting>
  <conditionalFormatting sqref="W307:W308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{B76242FA-C6D7-452B-8191-264EF391646B}</x14:id>
        </ext>
      </extLst>
    </cfRule>
  </conditionalFormatting>
  <conditionalFormatting sqref="W313:W314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{44CDFE8F-D2A5-4B9C-8320-EA0001FC0435}</x14:id>
        </ext>
      </extLst>
    </cfRule>
  </conditionalFormatting>
  <conditionalFormatting sqref="W319:W322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{C97D1CDD-38DC-4B5A-9B70-BAB543A6CFC2}</x14:id>
        </ext>
      </extLst>
    </cfRule>
  </conditionalFormatting>
  <conditionalFormatting sqref="W326:W332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{6AEA6D03-C073-4280-A962-7A75E1039C9D}</x14:id>
        </ext>
      </extLst>
    </cfRule>
  </conditionalFormatting>
  <conditionalFormatting sqref="W339:W340 W342:W343 W345:W346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{4B12B45A-150C-4875-BB8B-1DAEC5B89513}</x14:id>
        </ext>
      </extLst>
    </cfRule>
  </conditionalFormatting>
  <conditionalFormatting sqref="X6:X9">
    <cfRule type="dataBar" priority="1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{97AE074A-3D4D-4AD0-B876-7C29A8DAE1E6}</x14:id>
        </ext>
      </extLst>
    </cfRule>
  </conditionalFormatting>
  <conditionalFormatting sqref="X13:X19">
    <cfRule type="dataBar" priority="1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{D83D4AF4-9775-433F-BEEC-EDA222631891}</x14:id>
        </ext>
      </extLst>
    </cfRule>
  </conditionalFormatting>
  <conditionalFormatting sqref="X24:X28">
    <cfRule type="dataBar" priority="1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{80734ABB-44C9-4ACF-AC77-433662C4C2F1}</x14:id>
        </ext>
      </extLst>
    </cfRule>
  </conditionalFormatting>
  <conditionalFormatting sqref="X32:X34">
    <cfRule type="dataBar" priority="10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{00EA8E1B-1BB3-44B7-BEDA-0DF784951187}</x14:id>
        </ext>
      </extLst>
    </cfRule>
  </conditionalFormatting>
  <conditionalFormatting sqref="X40:X50">
    <cfRule type="dataBar" priority="10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{84E796B5-7B63-4716-A2FD-15E3980BE392}</x14:id>
        </ext>
      </extLst>
    </cfRule>
  </conditionalFormatting>
  <conditionalFormatting sqref="X54:X76">
    <cfRule type="dataBar" priority="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{90A0DC02-4173-4E53-AAC4-F813A5F05785}</x14:id>
        </ext>
      </extLst>
    </cfRule>
  </conditionalFormatting>
  <conditionalFormatting sqref="X81:X86">
    <cfRule type="dataBar" priority="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{00CBCB83-BB3F-4489-9C05-A2034EC181AE}</x14:id>
        </ext>
      </extLst>
    </cfRule>
  </conditionalFormatting>
  <conditionalFormatting sqref="X90:X108">
    <cfRule type="dataBar" priority="8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{1FF53B2A-B4E5-4438-84D9-1070D1388D4A}</x14:id>
        </ext>
      </extLst>
    </cfRule>
  </conditionalFormatting>
  <conditionalFormatting sqref="X112:X122">
    <cfRule type="dataBar" priority="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{9C3C59DD-DA90-472E-A95F-52D6C3DD8B36}</x14:id>
        </ext>
      </extLst>
    </cfRule>
  </conditionalFormatting>
  <conditionalFormatting sqref="X126:X136">
    <cfRule type="dataBar" priority="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{A4934112-94E9-4469-AC67-12058D70715C}</x14:id>
        </ext>
      </extLst>
    </cfRule>
  </conditionalFormatting>
  <conditionalFormatting sqref="X140:X150">
    <cfRule type="dataBar" priority="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{40A55172-404F-4BCD-919C-F29B93FC116C}</x14:id>
        </ext>
      </extLst>
    </cfRule>
  </conditionalFormatting>
  <conditionalFormatting sqref="X154:X164">
    <cfRule type="dataBar" priority="6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{D952B907-6A5B-42FA-8A60-BFA69C1CCC7F}</x14:id>
        </ext>
      </extLst>
    </cfRule>
  </conditionalFormatting>
  <conditionalFormatting sqref="X168:X178">
    <cfRule type="dataBar" priority="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{DBA80D2A-7EB3-4682-8CC5-1C8C4620FDAD}</x14:id>
        </ext>
      </extLst>
    </cfRule>
  </conditionalFormatting>
  <conditionalFormatting sqref="X182:X192">
    <cfRule type="dataBar" priority="5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{20F00A05-2ACE-4F24-A216-1B94A1620C20}</x14:id>
        </ext>
      </extLst>
    </cfRule>
  </conditionalFormatting>
  <conditionalFormatting sqref="X196:X215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{FA0F06D5-3C11-4A5B-A0BA-88446D601176}</x14:id>
        </ext>
      </extLst>
    </cfRule>
  </conditionalFormatting>
  <conditionalFormatting sqref="X219:X244"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{29024284-36F9-42C6-A104-667537E7E51B}</x14:id>
        </ext>
      </extLst>
    </cfRule>
  </conditionalFormatting>
  <conditionalFormatting sqref="X248:X277"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{B34EBCFD-E57D-4B12-A924-2C0A116FB9FC}</x14:id>
        </ext>
      </extLst>
    </cfRule>
  </conditionalFormatting>
  <conditionalFormatting sqref="X281:X296">
    <cfRule type="dataBar" priority="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{49D8E0AD-B069-4D60-910F-91A7D35562BF}</x14:id>
        </ext>
      </extLst>
    </cfRule>
  </conditionalFormatting>
  <conditionalFormatting sqref="X300:X303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{ADF8A890-46C6-49FC-AF05-98B24ECCD2EF}</x14:id>
        </ext>
      </extLst>
    </cfRule>
  </conditionalFormatting>
  <conditionalFormatting sqref="X307:X309"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{EE049436-EF07-478F-9047-C9C8A2F8EB13}</x14:id>
        </ext>
      </extLst>
    </cfRule>
  </conditionalFormatting>
  <conditionalFormatting sqref="X313:X315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{7CA37BBA-C0C3-4552-A7AE-7D376D9D8786}</x14:id>
        </ext>
      </extLst>
    </cfRule>
  </conditionalFormatting>
  <conditionalFormatting sqref="X319:X322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{D2E4CAC7-C25C-49DF-87A6-11FD05AC6922}</x14:id>
        </ext>
      </extLst>
    </cfRule>
  </conditionalFormatting>
  <conditionalFormatting sqref="X326:X333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{68C8BD4A-0B14-4389-A169-A1DDD423BF82}</x14:id>
        </ext>
      </extLst>
    </cfRule>
  </conditionalFormatting>
  <conditionalFormatting sqref="X338:X346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{7711875F-6037-48BC-82E5-13AAFAEB98F3}</x14:id>
        </ext>
      </extLst>
    </cfRule>
  </conditionalFormatting>
  <hyperlinks>
    <hyperlink ref="A353" location="Indice!A5" display="Volver al índice" xr:uid="{00000000-0004-0000-0400-000000000000}"/>
  </hyperlinks>
  <pageMargins left="0.7" right="0.7" top="0.75" bottom="0.75" header="0.3" footer="0.3"/>
  <pageSetup orientation="portrait" verticalDpi="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FD95C35-ECDF-4755-B864-92F84454BD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W6:W8</xm:sqref>
        </x14:conditionalFormatting>
        <x14:conditionalFormatting xmlns:xm="http://schemas.microsoft.com/office/excel/2006/main">
          <x14:cfRule type="dataBar" id="{F9901F80-5710-488A-A816-2E8A3DBD457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W13:W18</xm:sqref>
        </x14:conditionalFormatting>
        <x14:conditionalFormatting xmlns:xm="http://schemas.microsoft.com/office/excel/2006/main">
          <x14:cfRule type="dataBar" id="{C0B27E25-E62B-4F9A-82E8-50AE1130E2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W24:W27</xm:sqref>
        </x14:conditionalFormatting>
        <x14:conditionalFormatting xmlns:xm="http://schemas.microsoft.com/office/excel/2006/main">
          <x14:cfRule type="dataBar" id="{EE42B6E6-40EE-4266-A487-8AD34B51EB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W32:W33</xm:sqref>
        </x14:conditionalFormatting>
        <x14:conditionalFormatting xmlns:xm="http://schemas.microsoft.com/office/excel/2006/main">
          <x14:cfRule type="dataBar" id="{F79DA29F-8DA3-4DE1-A95D-45ECA44B4B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W40:W49</xm:sqref>
        </x14:conditionalFormatting>
        <x14:conditionalFormatting xmlns:xm="http://schemas.microsoft.com/office/excel/2006/main">
          <x14:cfRule type="dataBar" id="{B89D112C-E24E-4FB8-97BE-844CD60462A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W54:W75</xm:sqref>
        </x14:conditionalFormatting>
        <x14:conditionalFormatting xmlns:xm="http://schemas.microsoft.com/office/excel/2006/main">
          <x14:cfRule type="dataBar" id="{952F02D7-7777-4B1D-B64B-401754959E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W81:W85</xm:sqref>
        </x14:conditionalFormatting>
        <x14:conditionalFormatting xmlns:xm="http://schemas.microsoft.com/office/excel/2006/main">
          <x14:cfRule type="dataBar" id="{0F3089DE-1489-49B4-874D-449900CD91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W90:W107</xm:sqref>
        </x14:conditionalFormatting>
        <x14:conditionalFormatting xmlns:xm="http://schemas.microsoft.com/office/excel/2006/main">
          <x14:cfRule type="dataBar" id="{35D77A04-6A71-4D83-80CB-2B8B48EF16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W112:W121</xm:sqref>
        </x14:conditionalFormatting>
        <x14:conditionalFormatting xmlns:xm="http://schemas.microsoft.com/office/excel/2006/main">
          <x14:cfRule type="dataBar" id="{6BA5EE7B-17B5-4112-AF37-B4B882437C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W126:W135</xm:sqref>
        </x14:conditionalFormatting>
        <x14:conditionalFormatting xmlns:xm="http://schemas.microsoft.com/office/excel/2006/main">
          <x14:cfRule type="dataBar" id="{56A7674F-FC1D-4392-87C3-CAF0621E8C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W140:W149</xm:sqref>
        </x14:conditionalFormatting>
        <x14:conditionalFormatting xmlns:xm="http://schemas.microsoft.com/office/excel/2006/main">
          <x14:cfRule type="dataBar" id="{33F2F49C-16F1-4A7E-ABD5-EC853709B5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W154:W163</xm:sqref>
        </x14:conditionalFormatting>
        <x14:conditionalFormatting xmlns:xm="http://schemas.microsoft.com/office/excel/2006/main">
          <x14:cfRule type="dataBar" id="{47A82F79-38B5-4F1C-9225-1289FD66497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W168:W177</xm:sqref>
        </x14:conditionalFormatting>
        <x14:conditionalFormatting xmlns:xm="http://schemas.microsoft.com/office/excel/2006/main">
          <x14:cfRule type="dataBar" id="{C1438445-1FAD-4807-B87C-5AF4752E4A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W182:W191</xm:sqref>
        </x14:conditionalFormatting>
        <x14:conditionalFormatting xmlns:xm="http://schemas.microsoft.com/office/excel/2006/main">
          <x14:cfRule type="dataBar" id="{493A852E-AF6A-4D2C-8C2C-AEE8FD069E2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W196:W215</xm:sqref>
        </x14:conditionalFormatting>
        <x14:conditionalFormatting xmlns:xm="http://schemas.microsoft.com/office/excel/2006/main">
          <x14:cfRule type="dataBar" id="{9ECB12DC-8B01-4326-AC53-9DB1B21FA7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W219:W244</xm:sqref>
        </x14:conditionalFormatting>
        <x14:conditionalFormatting xmlns:xm="http://schemas.microsoft.com/office/excel/2006/main">
          <x14:cfRule type="dataBar" id="{DD6B118B-759E-4583-B136-2BD5150BDA0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W248:W277</xm:sqref>
        </x14:conditionalFormatting>
        <x14:conditionalFormatting xmlns:xm="http://schemas.microsoft.com/office/excel/2006/main">
          <x14:cfRule type="dataBar" id="{096F72E6-740A-48C2-8E9A-4CEF090C07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W281:W296</xm:sqref>
        </x14:conditionalFormatting>
        <x14:conditionalFormatting xmlns:xm="http://schemas.microsoft.com/office/excel/2006/main">
          <x14:cfRule type="dataBar" id="{BC75F793-68F1-4521-8591-F325005F0E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W300:W302</xm:sqref>
        </x14:conditionalFormatting>
        <x14:conditionalFormatting xmlns:xm="http://schemas.microsoft.com/office/excel/2006/main">
          <x14:cfRule type="dataBar" id="{B76242FA-C6D7-452B-8191-264EF391646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W307:W308</xm:sqref>
        </x14:conditionalFormatting>
        <x14:conditionalFormatting xmlns:xm="http://schemas.microsoft.com/office/excel/2006/main">
          <x14:cfRule type="dataBar" id="{44CDFE8F-D2A5-4B9C-8320-EA0001FC04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W313:W314</xm:sqref>
        </x14:conditionalFormatting>
        <x14:conditionalFormatting xmlns:xm="http://schemas.microsoft.com/office/excel/2006/main">
          <x14:cfRule type="dataBar" id="{C97D1CDD-38DC-4B5A-9B70-BAB543A6CF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W319:W322</xm:sqref>
        </x14:conditionalFormatting>
        <x14:conditionalFormatting xmlns:xm="http://schemas.microsoft.com/office/excel/2006/main">
          <x14:cfRule type="dataBar" id="{6AEA6D03-C073-4280-A962-7A75E1039C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W326:W332</xm:sqref>
        </x14:conditionalFormatting>
        <x14:conditionalFormatting xmlns:xm="http://schemas.microsoft.com/office/excel/2006/main">
          <x14:cfRule type="dataBar" id="{4B12B45A-150C-4875-BB8B-1DAEC5B8951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W339:W340 W342:W343 W345:W346</xm:sqref>
        </x14:conditionalFormatting>
        <x14:conditionalFormatting xmlns:xm="http://schemas.microsoft.com/office/excel/2006/main">
          <x14:cfRule type="dataBar" id="{97AE074A-3D4D-4AD0-B876-7C29A8DAE1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X6:X9</xm:sqref>
        </x14:conditionalFormatting>
        <x14:conditionalFormatting xmlns:xm="http://schemas.microsoft.com/office/excel/2006/main">
          <x14:cfRule type="dataBar" id="{D83D4AF4-9775-433F-BEEC-EDA22263189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X13:X19</xm:sqref>
        </x14:conditionalFormatting>
        <x14:conditionalFormatting xmlns:xm="http://schemas.microsoft.com/office/excel/2006/main">
          <x14:cfRule type="dataBar" id="{80734ABB-44C9-4ACF-AC77-433662C4C2F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X24:X28</xm:sqref>
        </x14:conditionalFormatting>
        <x14:conditionalFormatting xmlns:xm="http://schemas.microsoft.com/office/excel/2006/main">
          <x14:cfRule type="dataBar" id="{00EA8E1B-1BB3-44B7-BEDA-0DF78495118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X32:X34</xm:sqref>
        </x14:conditionalFormatting>
        <x14:conditionalFormatting xmlns:xm="http://schemas.microsoft.com/office/excel/2006/main">
          <x14:cfRule type="dataBar" id="{84E796B5-7B63-4716-A2FD-15E3980BE3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X40:X50</xm:sqref>
        </x14:conditionalFormatting>
        <x14:conditionalFormatting xmlns:xm="http://schemas.microsoft.com/office/excel/2006/main">
          <x14:cfRule type="dataBar" id="{90A0DC02-4173-4E53-AAC4-F813A5F057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X54:X76</xm:sqref>
        </x14:conditionalFormatting>
        <x14:conditionalFormatting xmlns:xm="http://schemas.microsoft.com/office/excel/2006/main">
          <x14:cfRule type="dataBar" id="{00CBCB83-BB3F-4489-9C05-A2034EC181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X81:X86</xm:sqref>
        </x14:conditionalFormatting>
        <x14:conditionalFormatting xmlns:xm="http://schemas.microsoft.com/office/excel/2006/main">
          <x14:cfRule type="dataBar" id="{1FF53B2A-B4E5-4438-84D9-1070D1388D4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X90:X108</xm:sqref>
        </x14:conditionalFormatting>
        <x14:conditionalFormatting xmlns:xm="http://schemas.microsoft.com/office/excel/2006/main">
          <x14:cfRule type="dataBar" id="{9C3C59DD-DA90-472E-A95F-52D6C3DD8B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X112:X122</xm:sqref>
        </x14:conditionalFormatting>
        <x14:conditionalFormatting xmlns:xm="http://schemas.microsoft.com/office/excel/2006/main">
          <x14:cfRule type="dataBar" id="{A4934112-94E9-4469-AC67-12058D7071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X126:X136</xm:sqref>
        </x14:conditionalFormatting>
        <x14:conditionalFormatting xmlns:xm="http://schemas.microsoft.com/office/excel/2006/main">
          <x14:cfRule type="dataBar" id="{40A55172-404F-4BCD-919C-F29B93FC116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X140:X150</xm:sqref>
        </x14:conditionalFormatting>
        <x14:conditionalFormatting xmlns:xm="http://schemas.microsoft.com/office/excel/2006/main">
          <x14:cfRule type="dataBar" id="{D952B907-6A5B-42FA-8A60-BFA69C1CCC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X154:X164</xm:sqref>
        </x14:conditionalFormatting>
        <x14:conditionalFormatting xmlns:xm="http://schemas.microsoft.com/office/excel/2006/main">
          <x14:cfRule type="dataBar" id="{DBA80D2A-7EB3-4682-8CC5-1C8C4620FD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X168:X178</xm:sqref>
        </x14:conditionalFormatting>
        <x14:conditionalFormatting xmlns:xm="http://schemas.microsoft.com/office/excel/2006/main">
          <x14:cfRule type="dataBar" id="{20F00A05-2ACE-4F24-A216-1B94A1620C2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X182:X192</xm:sqref>
        </x14:conditionalFormatting>
        <x14:conditionalFormatting xmlns:xm="http://schemas.microsoft.com/office/excel/2006/main">
          <x14:cfRule type="dataBar" id="{FA0F06D5-3C11-4A5B-A0BA-88446D60117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X196:X215</xm:sqref>
        </x14:conditionalFormatting>
        <x14:conditionalFormatting xmlns:xm="http://schemas.microsoft.com/office/excel/2006/main">
          <x14:cfRule type="dataBar" id="{29024284-36F9-42C6-A104-667537E7E5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X219:X244</xm:sqref>
        </x14:conditionalFormatting>
        <x14:conditionalFormatting xmlns:xm="http://schemas.microsoft.com/office/excel/2006/main">
          <x14:cfRule type="dataBar" id="{B34EBCFD-E57D-4B12-A924-2C0A116FB9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X248:X277</xm:sqref>
        </x14:conditionalFormatting>
        <x14:conditionalFormatting xmlns:xm="http://schemas.microsoft.com/office/excel/2006/main">
          <x14:cfRule type="dataBar" id="{49D8E0AD-B069-4D60-910F-91A7D35562B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X281:X296</xm:sqref>
        </x14:conditionalFormatting>
        <x14:conditionalFormatting xmlns:xm="http://schemas.microsoft.com/office/excel/2006/main">
          <x14:cfRule type="dataBar" id="{ADF8A890-46C6-49FC-AF05-98B24ECCD2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X300:X303</xm:sqref>
        </x14:conditionalFormatting>
        <x14:conditionalFormatting xmlns:xm="http://schemas.microsoft.com/office/excel/2006/main">
          <x14:cfRule type="dataBar" id="{EE049436-EF07-478F-9047-C9C8A2F8EB1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X307:X309</xm:sqref>
        </x14:conditionalFormatting>
        <x14:conditionalFormatting xmlns:xm="http://schemas.microsoft.com/office/excel/2006/main">
          <x14:cfRule type="dataBar" id="{7CA37BBA-C0C3-4552-A7AE-7D376D9D87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X313:X315</xm:sqref>
        </x14:conditionalFormatting>
        <x14:conditionalFormatting xmlns:xm="http://schemas.microsoft.com/office/excel/2006/main">
          <x14:cfRule type="dataBar" id="{D2E4CAC7-C25C-49DF-87A6-11FD05AC692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X319:X322</xm:sqref>
        </x14:conditionalFormatting>
        <x14:conditionalFormatting xmlns:xm="http://schemas.microsoft.com/office/excel/2006/main">
          <x14:cfRule type="dataBar" id="{68C8BD4A-0B14-4389-A169-A1DDD423BF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X326:X333</xm:sqref>
        </x14:conditionalFormatting>
        <x14:conditionalFormatting xmlns:xm="http://schemas.microsoft.com/office/excel/2006/main">
          <x14:cfRule type="dataBar" id="{7711875F-6037-48BC-82E5-13AAFAEB98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X338:X346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59999389629810485"/>
  </sheetPr>
  <dimension ref="A1:F138"/>
  <sheetViews>
    <sheetView showGridLines="0" zoomScale="80" zoomScaleNormal="80" workbookViewId="0">
      <pane ySplit="2" topLeftCell="A3" activePane="bottomLeft" state="frozen"/>
      <selection pane="bottomLeft"/>
    </sheetView>
  </sheetViews>
  <sheetFormatPr baseColWidth="10" defaultColWidth="10.85546875" defaultRowHeight="15" x14ac:dyDescent="0.25"/>
  <cols>
    <col min="1" max="1" width="45.85546875" style="1" customWidth="1"/>
    <col min="2" max="4" width="15.5703125" style="35" customWidth="1"/>
    <col min="5" max="5" width="19.42578125" style="2" customWidth="1"/>
    <col min="6" max="16384" width="10.85546875" style="2"/>
  </cols>
  <sheetData>
    <row r="1" spans="1:6" ht="21" x14ac:dyDescent="0.25">
      <c r="A1" s="54" t="s">
        <v>382</v>
      </c>
      <c r="B1" s="36"/>
      <c r="C1" s="36"/>
      <c r="D1" s="36"/>
    </row>
    <row r="2" spans="1:6" ht="26.25" customHeight="1" x14ac:dyDescent="0.25">
      <c r="A2" s="31"/>
      <c r="B2" s="36"/>
      <c r="C2" s="36"/>
      <c r="D2" s="36"/>
    </row>
    <row r="3" spans="1:6" x14ac:dyDescent="0.25">
      <c r="A3" s="31"/>
      <c r="B3" s="36"/>
      <c r="C3" s="36"/>
      <c r="D3" s="36"/>
    </row>
    <row r="4" spans="1:6" ht="15" customHeight="1" x14ac:dyDescent="0.25">
      <c r="A4" s="22" t="s">
        <v>383</v>
      </c>
      <c r="B4" s="36"/>
      <c r="C4" s="36"/>
      <c r="D4" s="36"/>
    </row>
    <row r="5" spans="1:6" ht="15" customHeight="1" x14ac:dyDescent="0.25">
      <c r="A5" s="73" t="s">
        <v>220</v>
      </c>
      <c r="B5" s="37" t="s">
        <v>81</v>
      </c>
      <c r="C5" s="37" t="s">
        <v>82</v>
      </c>
      <c r="D5" s="37" t="s">
        <v>8</v>
      </c>
    </row>
    <row r="6" spans="1:6" ht="15" customHeight="1" x14ac:dyDescent="0.25">
      <c r="A6" s="27" t="s">
        <v>306</v>
      </c>
      <c r="B6" s="33">
        <v>460</v>
      </c>
      <c r="C6" s="33">
        <v>3468</v>
      </c>
      <c r="D6" s="33">
        <v>3928</v>
      </c>
      <c r="E6" s="128"/>
      <c r="F6" s="128"/>
    </row>
    <row r="7" spans="1:6" ht="15" customHeight="1" x14ac:dyDescent="0.25">
      <c r="A7" s="27" t="s">
        <v>307</v>
      </c>
      <c r="B7" s="33">
        <v>574</v>
      </c>
      <c r="C7" s="33">
        <v>5263</v>
      </c>
      <c r="D7" s="33">
        <v>5837</v>
      </c>
      <c r="E7" s="128"/>
      <c r="F7" s="128"/>
    </row>
    <row r="8" spans="1:6" ht="15" customHeight="1" x14ac:dyDescent="0.25">
      <c r="A8" s="27" t="s">
        <v>217</v>
      </c>
      <c r="B8" s="33">
        <v>143</v>
      </c>
      <c r="C8" s="33">
        <v>10967</v>
      </c>
      <c r="D8" s="33">
        <v>11110</v>
      </c>
      <c r="E8" s="128"/>
      <c r="F8" s="128"/>
    </row>
    <row r="9" spans="1:6" ht="15" customHeight="1" x14ac:dyDescent="0.25">
      <c r="A9" s="5" t="s">
        <v>4</v>
      </c>
      <c r="B9" s="34">
        <v>1177</v>
      </c>
      <c r="C9" s="34">
        <v>19698</v>
      </c>
      <c r="D9" s="34">
        <v>20875</v>
      </c>
    </row>
    <row r="10" spans="1:6" ht="15" customHeight="1" x14ac:dyDescent="0.25">
      <c r="A10" s="97"/>
      <c r="B10" s="36"/>
      <c r="C10" s="36"/>
      <c r="D10" s="36"/>
    </row>
    <row r="11" spans="1:6" ht="15" customHeight="1" x14ac:dyDescent="0.25">
      <c r="A11" s="22" t="s">
        <v>384</v>
      </c>
      <c r="B11" s="36"/>
      <c r="C11" s="36"/>
      <c r="D11" s="36"/>
    </row>
    <row r="12" spans="1:6" ht="15" customHeight="1" x14ac:dyDescent="0.25">
      <c r="A12" s="73" t="s">
        <v>207</v>
      </c>
      <c r="B12" s="37" t="s">
        <v>81</v>
      </c>
      <c r="C12" s="37" t="s">
        <v>82</v>
      </c>
      <c r="D12" s="37" t="s">
        <v>8</v>
      </c>
    </row>
    <row r="13" spans="1:6" ht="15" customHeight="1" x14ac:dyDescent="0.25">
      <c r="A13" s="4" t="s">
        <v>385</v>
      </c>
      <c r="B13" s="33">
        <v>509</v>
      </c>
      <c r="C13" s="33">
        <v>9903</v>
      </c>
      <c r="D13" s="33">
        <v>10412</v>
      </c>
    </row>
    <row r="14" spans="1:6" ht="15" customHeight="1" x14ac:dyDescent="0.25">
      <c r="A14" s="4" t="s">
        <v>386</v>
      </c>
      <c r="B14" s="33">
        <v>668</v>
      </c>
      <c r="C14" s="33">
        <v>9794</v>
      </c>
      <c r="D14" s="33">
        <v>10462</v>
      </c>
    </row>
    <row r="15" spans="1:6" ht="15" customHeight="1" x14ac:dyDescent="0.25">
      <c r="A15" s="4" t="s">
        <v>500</v>
      </c>
      <c r="B15" s="33">
        <v>0</v>
      </c>
      <c r="C15" s="33">
        <v>1</v>
      </c>
      <c r="D15" s="33">
        <v>1</v>
      </c>
    </row>
    <row r="16" spans="1:6" ht="15" customHeight="1" x14ac:dyDescent="0.25">
      <c r="A16" s="5" t="s">
        <v>387</v>
      </c>
      <c r="B16" s="34">
        <v>1177</v>
      </c>
      <c r="C16" s="34">
        <v>19698</v>
      </c>
      <c r="D16" s="34">
        <v>20875</v>
      </c>
    </row>
    <row r="17" spans="1:6" ht="15" customHeight="1" x14ac:dyDescent="0.25"/>
    <row r="18" spans="1:6" ht="15" customHeight="1" x14ac:dyDescent="0.25">
      <c r="A18" s="22" t="s">
        <v>388</v>
      </c>
      <c r="B18" s="36"/>
      <c r="C18" s="36"/>
      <c r="D18" s="36"/>
    </row>
    <row r="19" spans="1:6" ht="15" customHeight="1" x14ac:dyDescent="0.25">
      <c r="A19" s="73" t="s">
        <v>25</v>
      </c>
      <c r="B19" s="37" t="s">
        <v>81</v>
      </c>
      <c r="C19" s="37" t="s">
        <v>82</v>
      </c>
      <c r="D19" s="37" t="s">
        <v>8</v>
      </c>
    </row>
    <row r="20" spans="1:6" ht="15" customHeight="1" x14ac:dyDescent="0.25">
      <c r="A20" s="4" t="s">
        <v>27</v>
      </c>
      <c r="B20" s="105">
        <v>5</v>
      </c>
      <c r="C20" s="105">
        <v>1181</v>
      </c>
      <c r="D20" s="105">
        <v>1186</v>
      </c>
    </row>
    <row r="21" spans="1:6" ht="15" customHeight="1" x14ac:dyDescent="0.25">
      <c r="A21" s="4" t="s">
        <v>28</v>
      </c>
      <c r="B21" s="105">
        <v>107</v>
      </c>
      <c r="C21" s="105">
        <v>3670</v>
      </c>
      <c r="D21" s="105">
        <v>3777</v>
      </c>
    </row>
    <row r="22" spans="1:6" ht="15" customHeight="1" x14ac:dyDescent="0.25">
      <c r="A22" s="4" t="s">
        <v>29</v>
      </c>
      <c r="B22" s="105">
        <v>379</v>
      </c>
      <c r="C22" s="105">
        <v>4510</v>
      </c>
      <c r="D22" s="105">
        <v>4889</v>
      </c>
    </row>
    <row r="23" spans="1:6" ht="15" customHeight="1" x14ac:dyDescent="0.25">
      <c r="A23" s="4" t="s">
        <v>30</v>
      </c>
      <c r="B23" s="105">
        <v>330</v>
      </c>
      <c r="C23" s="105">
        <v>4262</v>
      </c>
      <c r="D23" s="105">
        <v>4592</v>
      </c>
    </row>
    <row r="24" spans="1:6" ht="15" customHeight="1" x14ac:dyDescent="0.25">
      <c r="A24" s="4" t="s">
        <v>31</v>
      </c>
      <c r="B24" s="105">
        <v>356</v>
      </c>
      <c r="C24" s="105">
        <v>6074</v>
      </c>
      <c r="D24" s="105">
        <v>6430</v>
      </c>
    </row>
    <row r="25" spans="1:6" ht="15" customHeight="1" x14ac:dyDescent="0.25">
      <c r="A25" s="4" t="s">
        <v>32</v>
      </c>
      <c r="B25" s="105">
        <v>0</v>
      </c>
      <c r="C25" s="105">
        <v>1</v>
      </c>
      <c r="D25" s="105">
        <v>1</v>
      </c>
    </row>
    <row r="26" spans="1:6" ht="15" customHeight="1" x14ac:dyDescent="0.25">
      <c r="A26" s="5" t="s">
        <v>4</v>
      </c>
      <c r="B26" s="106">
        <v>1177</v>
      </c>
      <c r="C26" s="106">
        <v>19698</v>
      </c>
      <c r="D26" s="106">
        <v>20875</v>
      </c>
    </row>
    <row r="27" spans="1:6" ht="15" customHeight="1" x14ac:dyDescent="0.25">
      <c r="A27" s="78" t="s">
        <v>34</v>
      </c>
      <c r="B27" s="79">
        <v>37.875955819881057</v>
      </c>
      <c r="C27" s="79">
        <v>36.038381479413111</v>
      </c>
      <c r="D27" s="79">
        <v>36.141994826099456</v>
      </c>
    </row>
    <row r="28" spans="1:6" ht="15" customHeight="1" x14ac:dyDescent="0.25">
      <c r="B28" s="1"/>
      <c r="C28" s="1"/>
      <c r="D28" s="1"/>
      <c r="E28" s="1"/>
      <c r="F28" s="1"/>
    </row>
    <row r="29" spans="1:6" ht="15" customHeight="1" x14ac:dyDescent="0.25">
      <c r="A29" s="22" t="s">
        <v>477</v>
      </c>
      <c r="B29" s="36"/>
      <c r="C29" s="36"/>
      <c r="D29" s="36"/>
    </row>
    <row r="30" spans="1:6" ht="15" customHeight="1" x14ac:dyDescent="0.25">
      <c r="A30" s="73" t="s">
        <v>10</v>
      </c>
      <c r="B30" s="37" t="s">
        <v>81</v>
      </c>
      <c r="C30" s="37" t="s">
        <v>82</v>
      </c>
      <c r="D30" s="37" t="s">
        <v>8</v>
      </c>
    </row>
    <row r="31" spans="1:6" ht="15" customHeight="1" x14ac:dyDescent="0.25">
      <c r="A31" s="4" t="s">
        <v>11</v>
      </c>
      <c r="B31" s="52">
        <v>9</v>
      </c>
      <c r="C31" s="52">
        <v>7046</v>
      </c>
      <c r="D31" s="52">
        <v>7055</v>
      </c>
      <c r="E31" s="126"/>
      <c r="F31" s="126"/>
    </row>
    <row r="32" spans="1:6" ht="15" customHeight="1" x14ac:dyDescent="0.25">
      <c r="A32" s="4" t="s">
        <v>12</v>
      </c>
      <c r="B32" s="52">
        <v>59</v>
      </c>
      <c r="C32" s="52">
        <v>161</v>
      </c>
      <c r="D32" s="52">
        <v>220</v>
      </c>
      <c r="E32" s="126"/>
      <c r="F32" s="126"/>
    </row>
    <row r="33" spans="1:6" ht="15" customHeight="1" x14ac:dyDescent="0.25">
      <c r="A33" s="4" t="s">
        <v>13</v>
      </c>
      <c r="B33" s="52">
        <v>10</v>
      </c>
      <c r="C33" s="52">
        <v>507</v>
      </c>
      <c r="D33" s="52">
        <v>517</v>
      </c>
      <c r="E33" s="126"/>
      <c r="F33" s="126"/>
    </row>
    <row r="34" spans="1:6" ht="15" customHeight="1" x14ac:dyDescent="0.25">
      <c r="A34" s="4" t="s">
        <v>14</v>
      </c>
      <c r="B34" s="52">
        <v>347</v>
      </c>
      <c r="C34" s="52">
        <v>835</v>
      </c>
      <c r="D34" s="52">
        <v>1182</v>
      </c>
      <c r="E34" s="126"/>
      <c r="F34" s="126"/>
    </row>
    <row r="35" spans="1:6" ht="15" customHeight="1" x14ac:dyDescent="0.25">
      <c r="A35" s="4" t="s">
        <v>15</v>
      </c>
      <c r="B35" s="52">
        <v>203</v>
      </c>
      <c r="C35" s="52">
        <v>2408</v>
      </c>
      <c r="D35" s="52">
        <v>2611</v>
      </c>
      <c r="E35" s="126"/>
      <c r="F35" s="126"/>
    </row>
    <row r="36" spans="1:6" ht="15" customHeight="1" x14ac:dyDescent="0.25">
      <c r="A36" s="4" t="s">
        <v>16</v>
      </c>
      <c r="B36" s="52">
        <v>24</v>
      </c>
      <c r="C36" s="52">
        <v>1249</v>
      </c>
      <c r="D36" s="52">
        <v>1273</v>
      </c>
      <c r="E36" s="126"/>
      <c r="F36" s="126"/>
    </row>
    <row r="37" spans="1:6" ht="15" customHeight="1" x14ac:dyDescent="0.25">
      <c r="A37" s="4" t="s">
        <v>17</v>
      </c>
      <c r="B37" s="52">
        <v>100</v>
      </c>
      <c r="C37" s="52">
        <v>3648</v>
      </c>
      <c r="D37" s="52">
        <v>3748</v>
      </c>
      <c r="E37" s="126"/>
      <c r="F37" s="126"/>
    </row>
    <row r="38" spans="1:6" ht="15" customHeight="1" x14ac:dyDescent="0.25">
      <c r="A38" s="4" t="s">
        <v>18</v>
      </c>
      <c r="B38" s="52">
        <v>123</v>
      </c>
      <c r="C38" s="52">
        <v>441</v>
      </c>
      <c r="D38" s="52">
        <v>564</v>
      </c>
      <c r="E38" s="126"/>
      <c r="F38" s="126"/>
    </row>
    <row r="39" spans="1:6" ht="15" customHeight="1" x14ac:dyDescent="0.25">
      <c r="A39" s="4" t="s">
        <v>19</v>
      </c>
      <c r="B39" s="52">
        <v>91</v>
      </c>
      <c r="C39" s="52">
        <v>1402</v>
      </c>
      <c r="D39" s="52">
        <v>1493</v>
      </c>
      <c r="E39" s="126"/>
      <c r="F39" s="126"/>
    </row>
    <row r="40" spans="1:6" ht="15" customHeight="1" x14ac:dyDescent="0.25">
      <c r="A40" s="4" t="s">
        <v>20</v>
      </c>
      <c r="B40" s="52">
        <v>211</v>
      </c>
      <c r="C40" s="52">
        <v>2001</v>
      </c>
      <c r="D40" s="52">
        <v>2212</v>
      </c>
      <c r="E40" s="126"/>
      <c r="F40" s="126"/>
    </row>
    <row r="41" spans="1:6" ht="15" customHeight="1" x14ac:dyDescent="0.25">
      <c r="A41" s="5" t="s">
        <v>4</v>
      </c>
      <c r="B41" s="53">
        <v>1177</v>
      </c>
      <c r="C41" s="53">
        <v>19698</v>
      </c>
      <c r="D41" s="53">
        <v>20875</v>
      </c>
      <c r="E41" s="126"/>
      <c r="F41" s="126"/>
    </row>
    <row r="42" spans="1:6" ht="15" customHeight="1" x14ac:dyDescent="0.25">
      <c r="A42" s="2"/>
      <c r="B42" s="2"/>
      <c r="C42" s="2"/>
      <c r="D42" s="2"/>
    </row>
    <row r="43" spans="1:6" ht="15" customHeight="1" x14ac:dyDescent="0.25">
      <c r="A43" s="22" t="s">
        <v>478</v>
      </c>
      <c r="B43" s="36"/>
      <c r="C43" s="36"/>
      <c r="D43" s="36"/>
    </row>
    <row r="44" spans="1:6" ht="15" customHeight="1" x14ac:dyDescent="0.25">
      <c r="A44" s="73" t="s">
        <v>10</v>
      </c>
      <c r="B44" s="37" t="s">
        <v>81</v>
      </c>
      <c r="C44" s="37" t="s">
        <v>479</v>
      </c>
      <c r="D44" s="37" t="s">
        <v>4</v>
      </c>
    </row>
    <row r="45" spans="1:6" ht="15" customHeight="1" x14ac:dyDescent="0.25">
      <c r="A45" s="92" t="s">
        <v>446</v>
      </c>
      <c r="B45" s="52">
        <v>33</v>
      </c>
      <c r="C45" s="52">
        <v>8520</v>
      </c>
      <c r="D45" s="52">
        <v>8553</v>
      </c>
    </row>
    <row r="46" spans="1:6" ht="15" customHeight="1" x14ac:dyDescent="0.25">
      <c r="A46" s="92" t="s">
        <v>447</v>
      </c>
      <c r="B46" s="52">
        <v>59</v>
      </c>
      <c r="C46" s="52">
        <v>174</v>
      </c>
      <c r="D46" s="52">
        <v>233</v>
      </c>
    </row>
    <row r="47" spans="1:6" ht="15" customHeight="1" x14ac:dyDescent="0.25">
      <c r="A47" s="92" t="s">
        <v>448</v>
      </c>
      <c r="B47" s="52">
        <v>158</v>
      </c>
      <c r="C47" s="52">
        <v>791</v>
      </c>
      <c r="D47" s="52">
        <v>949</v>
      </c>
    </row>
    <row r="48" spans="1:6" ht="15" customHeight="1" x14ac:dyDescent="0.25">
      <c r="A48" s="92" t="s">
        <v>449</v>
      </c>
      <c r="B48" s="52">
        <v>376</v>
      </c>
      <c r="C48" s="52">
        <v>939</v>
      </c>
      <c r="D48" s="52">
        <v>1315</v>
      </c>
    </row>
    <row r="49" spans="1:4" ht="15" customHeight="1" x14ac:dyDescent="0.25">
      <c r="A49" s="92" t="s">
        <v>450</v>
      </c>
      <c r="B49" s="52">
        <v>169</v>
      </c>
      <c r="C49" s="52">
        <v>1984</v>
      </c>
      <c r="D49" s="52">
        <v>2153</v>
      </c>
    </row>
    <row r="50" spans="1:4" ht="15" customHeight="1" x14ac:dyDescent="0.25">
      <c r="A50" s="92" t="s">
        <v>17</v>
      </c>
      <c r="B50" s="52">
        <v>100</v>
      </c>
      <c r="C50" s="52">
        <v>3524</v>
      </c>
      <c r="D50" s="52">
        <v>3624</v>
      </c>
    </row>
    <row r="51" spans="1:4" ht="15" customHeight="1" x14ac:dyDescent="0.25">
      <c r="A51" s="92" t="s">
        <v>451</v>
      </c>
      <c r="B51" s="52">
        <v>172</v>
      </c>
      <c r="C51" s="52">
        <v>1634</v>
      </c>
      <c r="D51" s="52">
        <v>1806</v>
      </c>
    </row>
    <row r="52" spans="1:4" ht="15" customHeight="1" x14ac:dyDescent="0.25">
      <c r="A52" s="92" t="s">
        <v>452</v>
      </c>
      <c r="B52" s="52">
        <v>91</v>
      </c>
      <c r="C52" s="52">
        <v>1499</v>
      </c>
      <c r="D52" s="52">
        <v>1590</v>
      </c>
    </row>
    <row r="53" spans="1:4" ht="15" customHeight="1" x14ac:dyDescent="0.25">
      <c r="A53" s="92" t="s">
        <v>453</v>
      </c>
      <c r="B53" s="52"/>
      <c r="C53" s="52">
        <v>213</v>
      </c>
      <c r="D53" s="52">
        <v>213</v>
      </c>
    </row>
    <row r="54" spans="1:4" ht="15" customHeight="1" x14ac:dyDescent="0.25">
      <c r="A54" s="92" t="s">
        <v>454</v>
      </c>
      <c r="B54" s="52">
        <v>19</v>
      </c>
      <c r="C54" s="52">
        <v>420</v>
      </c>
      <c r="D54" s="52">
        <v>439</v>
      </c>
    </row>
    <row r="55" spans="1:4" ht="15" customHeight="1" x14ac:dyDescent="0.25">
      <c r="A55" s="66" t="s">
        <v>4</v>
      </c>
      <c r="B55" s="53">
        <v>1177</v>
      </c>
      <c r="C55" s="53">
        <v>19698</v>
      </c>
      <c r="D55" s="53">
        <v>20875</v>
      </c>
    </row>
    <row r="56" spans="1:4" ht="15" customHeight="1" x14ac:dyDescent="0.25">
      <c r="A56" s="2"/>
      <c r="B56" s="2"/>
      <c r="C56" s="2"/>
      <c r="D56" s="2"/>
    </row>
    <row r="57" spans="1:4" ht="15" customHeight="1" x14ac:dyDescent="0.25">
      <c r="A57" s="22" t="s">
        <v>389</v>
      </c>
      <c r="B57" s="36"/>
      <c r="C57" s="36"/>
      <c r="D57" s="36"/>
    </row>
    <row r="58" spans="1:4" ht="15" customHeight="1" x14ac:dyDescent="0.25">
      <c r="A58" s="73" t="s">
        <v>40</v>
      </c>
      <c r="B58" s="37" t="s">
        <v>81</v>
      </c>
      <c r="C58" s="37" t="s">
        <v>82</v>
      </c>
      <c r="D58" s="37" t="s">
        <v>8</v>
      </c>
    </row>
    <row r="59" spans="1:4" ht="15" customHeight="1" x14ac:dyDescent="0.25">
      <c r="A59" s="4" t="s">
        <v>41</v>
      </c>
      <c r="B59" s="33">
        <v>1030</v>
      </c>
      <c r="C59" s="33">
        <v>7302</v>
      </c>
      <c r="D59" s="33">
        <v>8332</v>
      </c>
    </row>
    <row r="60" spans="1:4" ht="15" customHeight="1" x14ac:dyDescent="0.25">
      <c r="A60" s="4" t="s">
        <v>42</v>
      </c>
      <c r="B60" s="33">
        <v>84</v>
      </c>
      <c r="C60" s="33">
        <v>4923</v>
      </c>
      <c r="D60" s="33">
        <v>5007</v>
      </c>
    </row>
    <row r="61" spans="1:4" ht="15" customHeight="1" x14ac:dyDescent="0.25">
      <c r="A61" s="27" t="s">
        <v>209</v>
      </c>
      <c r="B61" s="33">
        <v>5</v>
      </c>
      <c r="C61" s="33">
        <v>1619</v>
      </c>
      <c r="D61" s="33">
        <v>1624</v>
      </c>
    </row>
    <row r="62" spans="1:4" ht="15" customHeight="1" x14ac:dyDescent="0.25">
      <c r="A62" s="27" t="s">
        <v>212</v>
      </c>
      <c r="B62" s="33">
        <v>51</v>
      </c>
      <c r="C62" s="33">
        <v>4697</v>
      </c>
      <c r="D62" s="33">
        <v>4748</v>
      </c>
    </row>
    <row r="63" spans="1:4" ht="15" customHeight="1" x14ac:dyDescent="0.25">
      <c r="A63" s="4" t="s">
        <v>43</v>
      </c>
      <c r="B63" s="33">
        <v>7</v>
      </c>
      <c r="C63" s="33">
        <v>1157</v>
      </c>
      <c r="D63" s="33">
        <v>1164</v>
      </c>
    </row>
    <row r="64" spans="1:4" ht="15" customHeight="1" x14ac:dyDescent="0.25">
      <c r="A64" s="5" t="s">
        <v>4</v>
      </c>
      <c r="B64" s="34">
        <v>1177</v>
      </c>
      <c r="C64" s="34">
        <v>19698</v>
      </c>
      <c r="D64" s="34">
        <v>20875</v>
      </c>
    </row>
    <row r="65" spans="1:6" ht="15" customHeight="1" x14ac:dyDescent="0.25">
      <c r="A65" s="31"/>
      <c r="B65" s="36"/>
      <c r="C65" s="36"/>
      <c r="D65" s="36"/>
    </row>
    <row r="66" spans="1:6" ht="15" customHeight="1" x14ac:dyDescent="0.25">
      <c r="A66" s="22" t="s">
        <v>390</v>
      </c>
      <c r="B66" s="36"/>
      <c r="C66" s="36"/>
      <c r="D66" s="36"/>
    </row>
    <row r="67" spans="1:6" ht="15" customHeight="1" x14ac:dyDescent="0.25">
      <c r="A67" s="73" t="s">
        <v>9</v>
      </c>
      <c r="B67" s="37" t="s">
        <v>81</v>
      </c>
      <c r="C67" s="37" t="s">
        <v>82</v>
      </c>
      <c r="D67" s="37" t="s">
        <v>8</v>
      </c>
    </row>
    <row r="68" spans="1:6" ht="15" customHeight="1" x14ac:dyDescent="0.25">
      <c r="A68" s="4" t="s">
        <v>224</v>
      </c>
      <c r="B68" s="33">
        <v>13</v>
      </c>
      <c r="C68" s="33">
        <v>86</v>
      </c>
      <c r="D68" s="33">
        <v>99</v>
      </c>
      <c r="E68" s="126"/>
      <c r="F68" s="126"/>
    </row>
    <row r="69" spans="1:6" ht="15" customHeight="1" x14ac:dyDescent="0.25">
      <c r="A69" s="4" t="s">
        <v>225</v>
      </c>
      <c r="B69" s="33">
        <v>18</v>
      </c>
      <c r="C69" s="33">
        <v>60</v>
      </c>
      <c r="D69" s="33">
        <v>78</v>
      </c>
      <c r="E69" s="126"/>
      <c r="F69" s="126"/>
    </row>
    <row r="70" spans="1:6" ht="15" customHeight="1" x14ac:dyDescent="0.25">
      <c r="A70" s="4" t="s">
        <v>226</v>
      </c>
      <c r="B70" s="33">
        <v>26</v>
      </c>
      <c r="C70" s="33">
        <v>182</v>
      </c>
      <c r="D70" s="33">
        <v>208</v>
      </c>
      <c r="E70" s="126"/>
      <c r="F70" s="126"/>
    </row>
    <row r="71" spans="1:6" ht="15" customHeight="1" x14ac:dyDescent="0.25">
      <c r="A71" s="4" t="s">
        <v>227</v>
      </c>
      <c r="B71" s="33">
        <v>0</v>
      </c>
      <c r="C71" s="33">
        <v>12</v>
      </c>
      <c r="D71" s="33">
        <v>12</v>
      </c>
      <c r="E71" s="126"/>
      <c r="F71" s="126"/>
    </row>
    <row r="72" spans="1:6" ht="15" customHeight="1" x14ac:dyDescent="0.25">
      <c r="A72" s="4" t="s">
        <v>228</v>
      </c>
      <c r="B72" s="33">
        <v>14</v>
      </c>
      <c r="C72" s="33">
        <v>134</v>
      </c>
      <c r="D72" s="33">
        <v>148</v>
      </c>
      <c r="E72" s="126"/>
      <c r="F72" s="126"/>
    </row>
    <row r="73" spans="1:6" ht="15" customHeight="1" x14ac:dyDescent="0.25">
      <c r="A73" s="4" t="s">
        <v>229</v>
      </c>
      <c r="B73" s="33">
        <v>168</v>
      </c>
      <c r="C73" s="33">
        <v>1344</v>
      </c>
      <c r="D73" s="33">
        <v>1512</v>
      </c>
      <c r="E73" s="126"/>
      <c r="F73" s="126"/>
    </row>
    <row r="74" spans="1:6" ht="15" customHeight="1" x14ac:dyDescent="0.25">
      <c r="A74" s="27" t="s">
        <v>239</v>
      </c>
      <c r="B74" s="33">
        <v>644</v>
      </c>
      <c r="C74" s="33">
        <v>15154</v>
      </c>
      <c r="D74" s="33">
        <v>15798</v>
      </c>
      <c r="E74" s="126"/>
      <c r="F74" s="126"/>
    </row>
    <row r="75" spans="1:6" ht="15" customHeight="1" x14ac:dyDescent="0.25">
      <c r="A75" s="27" t="s">
        <v>260</v>
      </c>
      <c r="B75" s="152">
        <v>0</v>
      </c>
      <c r="C75" s="152">
        <v>11</v>
      </c>
      <c r="D75" s="152">
        <v>11</v>
      </c>
      <c r="E75" s="126"/>
      <c r="F75" s="126"/>
    </row>
    <row r="76" spans="1:6" ht="15" customHeight="1" x14ac:dyDescent="0.25">
      <c r="A76" s="4" t="s">
        <v>230</v>
      </c>
      <c r="B76" s="152">
        <v>70</v>
      </c>
      <c r="C76" s="152">
        <v>323</v>
      </c>
      <c r="D76" s="152">
        <v>393</v>
      </c>
      <c r="E76" s="126"/>
      <c r="F76" s="126"/>
    </row>
    <row r="77" spans="1:6" ht="15" customHeight="1" x14ac:dyDescent="0.25">
      <c r="A77" s="4" t="s">
        <v>242</v>
      </c>
      <c r="B77" s="33">
        <v>17</v>
      </c>
      <c r="C77" s="33">
        <v>139</v>
      </c>
      <c r="D77" s="33">
        <v>156</v>
      </c>
      <c r="E77" s="126"/>
      <c r="F77" s="126"/>
    </row>
    <row r="78" spans="1:6" ht="15" customHeight="1" x14ac:dyDescent="0.25">
      <c r="A78" s="4" t="s">
        <v>231</v>
      </c>
      <c r="B78" s="33">
        <v>118</v>
      </c>
      <c r="C78" s="33">
        <v>1243</v>
      </c>
      <c r="D78" s="33">
        <v>1361</v>
      </c>
      <c r="E78" s="126"/>
      <c r="F78" s="126"/>
    </row>
    <row r="79" spans="1:6" ht="15" customHeight="1" x14ac:dyDescent="0.25">
      <c r="A79" s="4" t="s">
        <v>232</v>
      </c>
      <c r="B79" s="33">
        <v>48</v>
      </c>
      <c r="C79" s="33">
        <v>517</v>
      </c>
      <c r="D79" s="33">
        <v>565</v>
      </c>
      <c r="E79" s="126"/>
      <c r="F79" s="126"/>
    </row>
    <row r="80" spans="1:6" ht="15" customHeight="1" x14ac:dyDescent="0.25">
      <c r="A80" s="4" t="s">
        <v>233</v>
      </c>
      <c r="B80" s="33">
        <v>36</v>
      </c>
      <c r="C80" s="33">
        <v>256</v>
      </c>
      <c r="D80" s="33">
        <v>292</v>
      </c>
      <c r="E80" s="126"/>
      <c r="F80" s="126"/>
    </row>
    <row r="81" spans="1:6" ht="15" customHeight="1" x14ac:dyDescent="0.25">
      <c r="A81" s="4" t="s">
        <v>234</v>
      </c>
      <c r="B81" s="33">
        <v>5</v>
      </c>
      <c r="C81" s="33">
        <v>222</v>
      </c>
      <c r="D81" s="33">
        <v>227</v>
      </c>
      <c r="E81" s="126"/>
      <c r="F81" s="126"/>
    </row>
    <row r="82" spans="1:6" ht="15" customHeight="1" x14ac:dyDescent="0.25">
      <c r="A82" s="4" t="s">
        <v>235</v>
      </c>
      <c r="B82" s="33">
        <v>0</v>
      </c>
      <c r="C82" s="33">
        <v>0</v>
      </c>
      <c r="D82" s="33">
        <v>0</v>
      </c>
      <c r="E82" s="126"/>
      <c r="F82" s="126"/>
    </row>
    <row r="83" spans="1:6" ht="15" customHeight="1" x14ac:dyDescent="0.25">
      <c r="A83" s="4" t="s">
        <v>237</v>
      </c>
      <c r="B83" s="152">
        <v>0</v>
      </c>
      <c r="C83" s="152">
        <v>15</v>
      </c>
      <c r="D83" s="152">
        <v>15</v>
      </c>
      <c r="E83" s="126"/>
      <c r="F83" s="126"/>
    </row>
    <row r="84" spans="1:6" ht="15" customHeight="1" x14ac:dyDescent="0.25">
      <c r="A84" s="5" t="s">
        <v>4</v>
      </c>
      <c r="B84" s="34">
        <v>1177</v>
      </c>
      <c r="C84" s="34">
        <v>19698</v>
      </c>
      <c r="D84" s="34">
        <v>20875</v>
      </c>
      <c r="E84" s="126"/>
      <c r="F84" s="126"/>
    </row>
    <row r="85" spans="1:6" ht="15" customHeight="1" x14ac:dyDescent="0.25"/>
    <row r="86" spans="1:6" ht="15" customHeight="1" x14ac:dyDescent="0.25">
      <c r="A86" s="22" t="s">
        <v>391</v>
      </c>
      <c r="B86" s="36"/>
      <c r="C86" s="36"/>
      <c r="D86" s="36"/>
    </row>
    <row r="87" spans="1:6" ht="25.5" x14ac:dyDescent="0.25">
      <c r="A87" s="73" t="s">
        <v>10</v>
      </c>
      <c r="B87" s="37" t="s">
        <v>188</v>
      </c>
      <c r="C87" s="37" t="s">
        <v>189</v>
      </c>
      <c r="D87" s="37" t="s">
        <v>498</v>
      </c>
      <c r="E87" s="37" t="s">
        <v>8</v>
      </c>
    </row>
    <row r="88" spans="1:6" ht="15" customHeight="1" x14ac:dyDescent="0.25">
      <c r="A88" s="16" t="s">
        <v>11</v>
      </c>
      <c r="B88" s="38">
        <v>3093</v>
      </c>
      <c r="C88" s="38">
        <v>3962</v>
      </c>
      <c r="D88" s="38">
        <v>0</v>
      </c>
      <c r="E88" s="38">
        <v>7055</v>
      </c>
      <c r="F88" s="126"/>
    </row>
    <row r="89" spans="1:6" ht="15" customHeight="1" x14ac:dyDescent="0.25">
      <c r="A89" s="16" t="s">
        <v>12</v>
      </c>
      <c r="B89" s="38">
        <v>118</v>
      </c>
      <c r="C89" s="38">
        <v>102</v>
      </c>
      <c r="D89" s="38">
        <v>0</v>
      </c>
      <c r="E89" s="38">
        <v>220</v>
      </c>
      <c r="F89" s="126"/>
    </row>
    <row r="90" spans="1:6" ht="15" customHeight="1" x14ac:dyDescent="0.25">
      <c r="A90" s="16" t="s">
        <v>13</v>
      </c>
      <c r="B90" s="38">
        <v>261</v>
      </c>
      <c r="C90" s="38">
        <v>256</v>
      </c>
      <c r="D90" s="38">
        <v>0</v>
      </c>
      <c r="E90" s="38">
        <v>517</v>
      </c>
      <c r="F90" s="126"/>
    </row>
    <row r="91" spans="1:6" ht="15" customHeight="1" x14ac:dyDescent="0.25">
      <c r="A91" s="16" t="s">
        <v>14</v>
      </c>
      <c r="B91" s="38">
        <v>401</v>
      </c>
      <c r="C91" s="38">
        <v>781</v>
      </c>
      <c r="D91" s="38">
        <v>0</v>
      </c>
      <c r="E91" s="38">
        <v>1182</v>
      </c>
      <c r="F91" s="126"/>
    </row>
    <row r="92" spans="1:6" ht="15" customHeight="1" x14ac:dyDescent="0.25">
      <c r="A92" s="16" t="s">
        <v>15</v>
      </c>
      <c r="B92" s="38">
        <v>1480</v>
      </c>
      <c r="C92" s="38">
        <v>1131</v>
      </c>
      <c r="D92" s="38">
        <v>0</v>
      </c>
      <c r="E92" s="38">
        <v>2611</v>
      </c>
      <c r="F92" s="126"/>
    </row>
    <row r="93" spans="1:6" ht="15" customHeight="1" x14ac:dyDescent="0.25">
      <c r="A93" s="16" t="s">
        <v>16</v>
      </c>
      <c r="B93" s="38">
        <v>613</v>
      </c>
      <c r="C93" s="38">
        <v>660</v>
      </c>
      <c r="D93" s="38">
        <v>0</v>
      </c>
      <c r="E93" s="38">
        <v>1273</v>
      </c>
      <c r="F93" s="126"/>
    </row>
    <row r="94" spans="1:6" ht="15" customHeight="1" x14ac:dyDescent="0.25">
      <c r="A94" s="16" t="s">
        <v>17</v>
      </c>
      <c r="B94" s="38">
        <v>2647</v>
      </c>
      <c r="C94" s="38">
        <v>1100</v>
      </c>
      <c r="D94" s="38">
        <v>1</v>
      </c>
      <c r="E94" s="38">
        <v>3748</v>
      </c>
      <c r="F94" s="126"/>
    </row>
    <row r="95" spans="1:6" ht="15" customHeight="1" x14ac:dyDescent="0.25">
      <c r="A95" s="16" t="s">
        <v>18</v>
      </c>
      <c r="B95" s="38">
        <v>248</v>
      </c>
      <c r="C95" s="38">
        <v>316</v>
      </c>
      <c r="D95" s="38">
        <v>0</v>
      </c>
      <c r="E95" s="38">
        <v>564</v>
      </c>
      <c r="F95" s="126"/>
    </row>
    <row r="96" spans="1:6" ht="15" customHeight="1" x14ac:dyDescent="0.25">
      <c r="A96" s="16" t="s">
        <v>19</v>
      </c>
      <c r="B96" s="38">
        <v>981</v>
      </c>
      <c r="C96" s="38">
        <v>512</v>
      </c>
      <c r="D96" s="38">
        <v>0</v>
      </c>
      <c r="E96" s="38">
        <v>1493</v>
      </c>
      <c r="F96" s="126"/>
    </row>
    <row r="97" spans="1:6" ht="15" customHeight="1" x14ac:dyDescent="0.25">
      <c r="A97" s="16" t="s">
        <v>20</v>
      </c>
      <c r="B97" s="38">
        <v>570</v>
      </c>
      <c r="C97" s="38">
        <v>1642</v>
      </c>
      <c r="D97" s="38">
        <v>0</v>
      </c>
      <c r="E97" s="38">
        <v>2212</v>
      </c>
      <c r="F97" s="126"/>
    </row>
    <row r="98" spans="1:6" ht="15" customHeight="1" x14ac:dyDescent="0.25">
      <c r="A98" s="17" t="s">
        <v>4</v>
      </c>
      <c r="B98" s="39">
        <v>10412</v>
      </c>
      <c r="C98" s="39">
        <v>10462</v>
      </c>
      <c r="D98" s="39">
        <v>1</v>
      </c>
      <c r="E98" s="39">
        <v>20875</v>
      </c>
    </row>
    <row r="99" spans="1:6" ht="15" customHeight="1" x14ac:dyDescent="0.25">
      <c r="A99" s="2"/>
      <c r="B99" s="2"/>
      <c r="C99" s="2"/>
      <c r="D99" s="2"/>
    </row>
    <row r="100" spans="1:6" ht="15" customHeight="1" x14ac:dyDescent="0.25">
      <c r="A100" s="22" t="s">
        <v>480</v>
      </c>
      <c r="B100" s="36"/>
      <c r="C100" s="36"/>
      <c r="D100" s="36"/>
    </row>
    <row r="101" spans="1:6" ht="25.5" x14ac:dyDescent="0.25">
      <c r="A101" s="73" t="s">
        <v>10</v>
      </c>
      <c r="B101" s="37" t="s">
        <v>188</v>
      </c>
      <c r="C101" s="37" t="s">
        <v>189</v>
      </c>
      <c r="D101" s="37" t="s">
        <v>498</v>
      </c>
      <c r="E101" s="37" t="s">
        <v>8</v>
      </c>
    </row>
    <row r="102" spans="1:6" ht="15" customHeight="1" x14ac:dyDescent="0.25">
      <c r="A102" s="16" t="s">
        <v>446</v>
      </c>
      <c r="B102" s="38">
        <v>3815</v>
      </c>
      <c r="C102" s="38">
        <v>4738</v>
      </c>
      <c r="D102" s="38">
        <v>0</v>
      </c>
      <c r="E102" s="38">
        <v>8553</v>
      </c>
    </row>
    <row r="103" spans="1:6" ht="15" customHeight="1" x14ac:dyDescent="0.25">
      <c r="A103" s="16" t="s">
        <v>447</v>
      </c>
      <c r="B103" s="38">
        <v>126</v>
      </c>
      <c r="C103" s="38">
        <v>107</v>
      </c>
      <c r="D103" s="38">
        <v>0</v>
      </c>
      <c r="E103" s="38">
        <v>233</v>
      </c>
    </row>
    <row r="104" spans="1:6" ht="15" customHeight="1" x14ac:dyDescent="0.25">
      <c r="A104" s="16" t="s">
        <v>448</v>
      </c>
      <c r="B104" s="38">
        <v>418</v>
      </c>
      <c r="C104" s="38">
        <v>531</v>
      </c>
      <c r="D104" s="38">
        <v>0</v>
      </c>
      <c r="E104" s="38">
        <v>949</v>
      </c>
    </row>
    <row r="105" spans="1:6" ht="15" customHeight="1" x14ac:dyDescent="0.25">
      <c r="A105" s="16" t="s">
        <v>449</v>
      </c>
      <c r="B105" s="38">
        <v>472</v>
      </c>
      <c r="C105" s="38">
        <v>843</v>
      </c>
      <c r="D105" s="38">
        <v>0</v>
      </c>
      <c r="E105" s="38">
        <v>1315</v>
      </c>
    </row>
    <row r="106" spans="1:6" ht="15" customHeight="1" x14ac:dyDescent="0.25">
      <c r="A106" s="16" t="s">
        <v>450</v>
      </c>
      <c r="B106" s="38">
        <v>1234</v>
      </c>
      <c r="C106" s="38">
        <v>919</v>
      </c>
      <c r="D106" s="38">
        <v>0</v>
      </c>
      <c r="E106" s="38">
        <v>2153</v>
      </c>
    </row>
    <row r="107" spans="1:6" ht="15" customHeight="1" x14ac:dyDescent="0.25">
      <c r="A107" s="16" t="s">
        <v>17</v>
      </c>
      <c r="B107" s="38">
        <v>2617</v>
      </c>
      <c r="C107" s="38">
        <v>1006</v>
      </c>
      <c r="D107" s="38">
        <v>1</v>
      </c>
      <c r="E107" s="38">
        <v>3624</v>
      </c>
    </row>
    <row r="108" spans="1:6" ht="15" customHeight="1" x14ac:dyDescent="0.25">
      <c r="A108" s="16" t="s">
        <v>451</v>
      </c>
      <c r="B108" s="38">
        <v>550</v>
      </c>
      <c r="C108" s="38">
        <v>1256</v>
      </c>
      <c r="D108" s="38">
        <v>0</v>
      </c>
      <c r="E108" s="38">
        <v>1806</v>
      </c>
    </row>
    <row r="109" spans="1:6" ht="15" customHeight="1" x14ac:dyDescent="0.25">
      <c r="A109" s="16" t="s">
        <v>452</v>
      </c>
      <c r="B109" s="38">
        <v>1063</v>
      </c>
      <c r="C109" s="38">
        <v>527</v>
      </c>
      <c r="D109" s="38">
        <v>0</v>
      </c>
      <c r="E109" s="38">
        <v>1590</v>
      </c>
    </row>
    <row r="110" spans="1:6" ht="15" customHeight="1" x14ac:dyDescent="0.25">
      <c r="A110" s="16" t="s">
        <v>453</v>
      </c>
      <c r="B110" s="38">
        <v>66</v>
      </c>
      <c r="C110" s="38">
        <v>147</v>
      </c>
      <c r="D110" s="38">
        <v>0</v>
      </c>
      <c r="E110" s="38">
        <v>213</v>
      </c>
    </row>
    <row r="111" spans="1:6" ht="15" customHeight="1" x14ac:dyDescent="0.25">
      <c r="A111" s="16" t="s">
        <v>454</v>
      </c>
      <c r="B111" s="38">
        <v>51</v>
      </c>
      <c r="C111" s="38">
        <v>388</v>
      </c>
      <c r="D111" s="38">
        <v>0</v>
      </c>
      <c r="E111" s="38">
        <v>439</v>
      </c>
    </row>
    <row r="112" spans="1:6" ht="15" customHeight="1" x14ac:dyDescent="0.25">
      <c r="A112" s="17" t="s">
        <v>4</v>
      </c>
      <c r="B112" s="39">
        <v>10412</v>
      </c>
      <c r="C112" s="39">
        <v>10462</v>
      </c>
      <c r="D112" s="39">
        <v>1</v>
      </c>
      <c r="E112" s="39">
        <v>20875</v>
      </c>
    </row>
    <row r="113" spans="1:5" ht="15" customHeight="1" x14ac:dyDescent="0.25">
      <c r="A113" s="2"/>
      <c r="B113" s="2"/>
      <c r="C113" s="2"/>
      <c r="D113" s="2"/>
    </row>
    <row r="114" spans="1:5" ht="15" customHeight="1" x14ac:dyDescent="0.25">
      <c r="A114" s="22" t="s">
        <v>392</v>
      </c>
      <c r="B114" s="36"/>
      <c r="C114" s="36"/>
      <c r="D114" s="36"/>
    </row>
    <row r="115" spans="1:5" ht="25.5" x14ac:dyDescent="0.25">
      <c r="A115" s="73" t="s">
        <v>9</v>
      </c>
      <c r="B115" s="37" t="s">
        <v>188</v>
      </c>
      <c r="C115" s="37" t="s">
        <v>189</v>
      </c>
      <c r="D115" s="37" t="s">
        <v>498</v>
      </c>
      <c r="E115" s="37" t="s">
        <v>8</v>
      </c>
    </row>
    <row r="116" spans="1:5" ht="15" customHeight="1" x14ac:dyDescent="0.25">
      <c r="A116" s="16" t="s">
        <v>224</v>
      </c>
      <c r="B116" s="52">
        <v>47</v>
      </c>
      <c r="C116" s="52">
        <v>52</v>
      </c>
      <c r="D116" s="52">
        <v>0</v>
      </c>
      <c r="E116" s="52">
        <v>99</v>
      </c>
    </row>
    <row r="117" spans="1:5" ht="15" customHeight="1" x14ac:dyDescent="0.25">
      <c r="A117" s="16" t="s">
        <v>225</v>
      </c>
      <c r="B117" s="52">
        <v>42</v>
      </c>
      <c r="C117" s="52">
        <v>36</v>
      </c>
      <c r="D117" s="52">
        <v>0</v>
      </c>
      <c r="E117" s="52">
        <v>78</v>
      </c>
    </row>
    <row r="118" spans="1:5" ht="15" customHeight="1" x14ac:dyDescent="0.25">
      <c r="A118" s="16" t="s">
        <v>226</v>
      </c>
      <c r="B118" s="52">
        <v>84</v>
      </c>
      <c r="C118" s="52">
        <v>124</v>
      </c>
      <c r="D118" s="52">
        <v>0</v>
      </c>
      <c r="E118" s="52">
        <v>208</v>
      </c>
    </row>
    <row r="119" spans="1:5" ht="15" customHeight="1" x14ac:dyDescent="0.25">
      <c r="A119" s="16" t="s">
        <v>227</v>
      </c>
      <c r="B119" s="52">
        <v>6</v>
      </c>
      <c r="C119" s="52">
        <v>6</v>
      </c>
      <c r="D119" s="52">
        <v>0</v>
      </c>
      <c r="E119" s="52">
        <v>12</v>
      </c>
    </row>
    <row r="120" spans="1:5" ht="15" customHeight="1" x14ac:dyDescent="0.25">
      <c r="A120" s="16" t="s">
        <v>228</v>
      </c>
      <c r="B120" s="52">
        <v>70</v>
      </c>
      <c r="C120" s="52">
        <v>78</v>
      </c>
      <c r="D120" s="52">
        <v>0</v>
      </c>
      <c r="E120" s="52">
        <v>148</v>
      </c>
    </row>
    <row r="121" spans="1:5" ht="15" customHeight="1" x14ac:dyDescent="0.25">
      <c r="A121" s="16" t="s">
        <v>229</v>
      </c>
      <c r="B121" s="52">
        <v>678</v>
      </c>
      <c r="C121" s="52">
        <v>834</v>
      </c>
      <c r="D121" s="52">
        <v>0</v>
      </c>
      <c r="E121" s="52">
        <v>1512</v>
      </c>
    </row>
    <row r="122" spans="1:5" ht="15" customHeight="1" x14ac:dyDescent="0.25">
      <c r="A122" s="80" t="s">
        <v>239</v>
      </c>
      <c r="B122" s="52">
        <v>7783</v>
      </c>
      <c r="C122" s="52">
        <v>8015</v>
      </c>
      <c r="D122" s="52">
        <v>0</v>
      </c>
      <c r="E122" s="52">
        <v>15798</v>
      </c>
    </row>
    <row r="123" spans="1:5" ht="15" customHeight="1" x14ac:dyDescent="0.25">
      <c r="A123" s="80" t="s">
        <v>260</v>
      </c>
      <c r="B123" s="52">
        <v>5</v>
      </c>
      <c r="C123" s="52">
        <v>6</v>
      </c>
      <c r="D123" s="52">
        <v>0</v>
      </c>
      <c r="E123" s="52">
        <v>11</v>
      </c>
    </row>
    <row r="124" spans="1:5" ht="15" customHeight="1" x14ac:dyDescent="0.25">
      <c r="A124" s="16" t="s">
        <v>230</v>
      </c>
      <c r="B124" s="52">
        <v>215</v>
      </c>
      <c r="C124" s="52">
        <v>178</v>
      </c>
      <c r="D124" s="52">
        <v>0</v>
      </c>
      <c r="E124" s="52">
        <v>393</v>
      </c>
    </row>
    <row r="125" spans="1:5" ht="15" customHeight="1" x14ac:dyDescent="0.25">
      <c r="A125" s="16" t="s">
        <v>242</v>
      </c>
      <c r="B125" s="52">
        <v>93</v>
      </c>
      <c r="C125" s="52">
        <v>63</v>
      </c>
      <c r="D125" s="52">
        <v>0</v>
      </c>
      <c r="E125" s="52">
        <v>156</v>
      </c>
    </row>
    <row r="126" spans="1:5" ht="15" customHeight="1" x14ac:dyDescent="0.25">
      <c r="A126" s="16" t="s">
        <v>231</v>
      </c>
      <c r="B126" s="52">
        <v>726</v>
      </c>
      <c r="C126" s="52">
        <v>634</v>
      </c>
      <c r="D126" s="52">
        <v>1</v>
      </c>
      <c r="E126" s="52">
        <v>1361</v>
      </c>
    </row>
    <row r="127" spans="1:5" ht="15" customHeight="1" x14ac:dyDescent="0.25">
      <c r="A127" s="16" t="s">
        <v>232</v>
      </c>
      <c r="B127" s="52">
        <v>377</v>
      </c>
      <c r="C127" s="52">
        <v>188</v>
      </c>
      <c r="D127" s="52">
        <v>0</v>
      </c>
      <c r="E127" s="52">
        <v>565</v>
      </c>
    </row>
    <row r="128" spans="1:5" ht="15" customHeight="1" x14ac:dyDescent="0.25">
      <c r="A128" s="16" t="s">
        <v>233</v>
      </c>
      <c r="B128" s="52">
        <v>149</v>
      </c>
      <c r="C128" s="52">
        <v>143</v>
      </c>
      <c r="D128" s="52">
        <v>0</v>
      </c>
      <c r="E128" s="52">
        <v>292</v>
      </c>
    </row>
    <row r="129" spans="1:5" ht="15" customHeight="1" x14ac:dyDescent="0.25">
      <c r="A129" s="16" t="s">
        <v>234</v>
      </c>
      <c r="B129" s="52">
        <v>131</v>
      </c>
      <c r="C129" s="52">
        <v>96</v>
      </c>
      <c r="D129" s="52">
        <v>0</v>
      </c>
      <c r="E129" s="52">
        <v>227</v>
      </c>
    </row>
    <row r="130" spans="1:5" ht="15" customHeight="1" x14ac:dyDescent="0.25">
      <c r="A130" s="16" t="s">
        <v>235</v>
      </c>
      <c r="B130" s="52">
        <v>0</v>
      </c>
      <c r="C130" s="52">
        <v>0</v>
      </c>
      <c r="D130" s="52">
        <v>0</v>
      </c>
      <c r="E130" s="52">
        <v>0</v>
      </c>
    </row>
    <row r="131" spans="1:5" ht="15" customHeight="1" x14ac:dyDescent="0.25">
      <c r="A131" s="16" t="s">
        <v>237</v>
      </c>
      <c r="B131" s="52">
        <v>6</v>
      </c>
      <c r="C131" s="52">
        <v>9</v>
      </c>
      <c r="D131" s="52">
        <v>0</v>
      </c>
      <c r="E131" s="52">
        <v>15</v>
      </c>
    </row>
    <row r="132" spans="1:5" ht="15" customHeight="1" x14ac:dyDescent="0.25">
      <c r="A132" s="17" t="s">
        <v>4</v>
      </c>
      <c r="B132" s="53">
        <v>10412</v>
      </c>
      <c r="C132" s="53">
        <v>10462</v>
      </c>
      <c r="D132" s="53">
        <v>1</v>
      </c>
      <c r="E132" s="53">
        <v>20875</v>
      </c>
    </row>
    <row r="133" spans="1:5" ht="15" customHeight="1" x14ac:dyDescent="0.25">
      <c r="A133" s="31"/>
      <c r="B133" s="36"/>
      <c r="C133" s="36"/>
      <c r="D133" s="36"/>
    </row>
    <row r="134" spans="1:5" ht="15" customHeight="1" x14ac:dyDescent="0.25">
      <c r="A134" s="31"/>
      <c r="B134" s="36"/>
      <c r="C134" s="36"/>
      <c r="D134" s="36"/>
    </row>
    <row r="135" spans="1:5" ht="15" customHeight="1" x14ac:dyDescent="0.25">
      <c r="A135" s="57" t="s">
        <v>218</v>
      </c>
      <c r="B135" s="36"/>
      <c r="C135" s="36"/>
      <c r="D135" s="36"/>
    </row>
    <row r="136" spans="1:5" ht="15" customHeight="1" x14ac:dyDescent="0.25">
      <c r="A136" s="31"/>
      <c r="B136" s="36"/>
      <c r="C136" s="36"/>
      <c r="D136" s="36"/>
    </row>
    <row r="137" spans="1:5" ht="15" customHeight="1" x14ac:dyDescent="0.25">
      <c r="A137" s="58" t="s">
        <v>21</v>
      </c>
      <c r="B137" s="36"/>
      <c r="C137" s="36"/>
      <c r="D137" s="36"/>
    </row>
    <row r="138" spans="1:5" x14ac:dyDescent="0.25">
      <c r="A138" s="31"/>
      <c r="B138" s="36"/>
      <c r="C138" s="36"/>
      <c r="D138" s="36"/>
    </row>
  </sheetData>
  <hyperlinks>
    <hyperlink ref="A137" location="Indice!A5" display="Volver al índice" xr:uid="{00000000-0004-0000-0500-000000000000}"/>
  </hyperlink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0.59999389629810485"/>
  </sheetPr>
  <dimension ref="A1:Y156"/>
  <sheetViews>
    <sheetView showGridLines="0"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ColWidth="10.85546875" defaultRowHeight="15" x14ac:dyDescent="0.2"/>
  <cols>
    <col min="1" max="1" width="38.85546875" style="1" customWidth="1"/>
    <col min="2" max="19" width="10" style="1" customWidth="1"/>
    <col min="20" max="24" width="12.140625" style="102" customWidth="1"/>
    <col min="25" max="16384" width="10.85546875" style="1"/>
  </cols>
  <sheetData>
    <row r="1" spans="1:25" ht="21" x14ac:dyDescent="0.2">
      <c r="A1" s="54" t="s">
        <v>400</v>
      </c>
      <c r="B1" s="54"/>
      <c r="C1" s="54"/>
      <c r="D1" s="54"/>
      <c r="E1" s="54"/>
      <c r="F1" s="54"/>
      <c r="G1" s="54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95"/>
      <c r="U1" s="95"/>
      <c r="V1" s="95"/>
      <c r="W1" s="95"/>
      <c r="X1" s="95"/>
    </row>
    <row r="2" spans="1:25" ht="26.25" customHeight="1" x14ac:dyDescent="0.2">
      <c r="A2" s="30"/>
      <c r="B2" s="30"/>
      <c r="C2" s="30"/>
      <c r="D2" s="30"/>
      <c r="E2" s="30"/>
      <c r="F2" s="30"/>
      <c r="G2" s="30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95"/>
      <c r="U2" s="95"/>
      <c r="V2" s="95"/>
      <c r="W2" s="95"/>
      <c r="X2" s="95"/>
    </row>
    <row r="3" spans="1:25" x14ac:dyDescent="0.2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95"/>
    </row>
    <row r="4" spans="1:25" ht="15.75" x14ac:dyDescent="0.2">
      <c r="A4" s="32" t="s">
        <v>276</v>
      </c>
      <c r="B4" s="32"/>
      <c r="C4" s="32"/>
      <c r="D4" s="32"/>
      <c r="E4" s="32"/>
      <c r="F4" s="32"/>
      <c r="G4" s="32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95"/>
      <c r="U4" s="95"/>
      <c r="V4" s="95"/>
      <c r="W4" s="95"/>
      <c r="X4" s="95"/>
    </row>
    <row r="5" spans="1:25" ht="38.25" x14ac:dyDescent="0.2">
      <c r="A5" s="73" t="s">
        <v>220</v>
      </c>
      <c r="B5" s="3">
        <v>2007</v>
      </c>
      <c r="C5" s="3">
        <v>2008</v>
      </c>
      <c r="D5" s="3">
        <v>2009</v>
      </c>
      <c r="E5" s="3">
        <v>2010</v>
      </c>
      <c r="F5" s="3">
        <v>2011</v>
      </c>
      <c r="G5" s="3">
        <v>2012</v>
      </c>
      <c r="H5" s="3">
        <v>2013</v>
      </c>
      <c r="I5" s="3">
        <v>2014</v>
      </c>
      <c r="J5" s="3">
        <v>2015</v>
      </c>
      <c r="K5" s="3">
        <v>2016</v>
      </c>
      <c r="L5" s="3">
        <v>2017</v>
      </c>
      <c r="M5" s="3">
        <v>2018</v>
      </c>
      <c r="N5" s="3">
        <v>2019</v>
      </c>
      <c r="O5" s="3">
        <v>2020</v>
      </c>
      <c r="P5" s="3">
        <v>2021</v>
      </c>
      <c r="Q5" s="3">
        <v>2022</v>
      </c>
      <c r="R5" s="3">
        <v>2023</v>
      </c>
      <c r="S5" s="3">
        <v>2024</v>
      </c>
      <c r="T5" s="130" t="s">
        <v>368</v>
      </c>
      <c r="U5" s="130" t="s">
        <v>369</v>
      </c>
      <c r="V5" s="130" t="s">
        <v>370</v>
      </c>
      <c r="W5" s="130" t="s">
        <v>372</v>
      </c>
      <c r="X5" s="169" t="s">
        <v>494</v>
      </c>
    </row>
    <row r="6" spans="1:25" x14ac:dyDescent="0.2">
      <c r="A6" s="27" t="s">
        <v>306</v>
      </c>
      <c r="B6" s="27">
        <v>1648</v>
      </c>
      <c r="C6" s="4">
        <v>1920</v>
      </c>
      <c r="D6" s="4">
        <v>2327</v>
      </c>
      <c r="E6" s="4">
        <v>2421</v>
      </c>
      <c r="F6" s="4">
        <v>2696</v>
      </c>
      <c r="G6" s="4">
        <v>2990</v>
      </c>
      <c r="H6" s="4">
        <v>3331</v>
      </c>
      <c r="I6" s="4">
        <v>3547</v>
      </c>
      <c r="J6" s="4">
        <v>3709</v>
      </c>
      <c r="K6" s="4">
        <v>3532</v>
      </c>
      <c r="L6" s="4">
        <v>4053</v>
      </c>
      <c r="M6" s="4">
        <v>4198</v>
      </c>
      <c r="N6" s="4">
        <v>4004</v>
      </c>
      <c r="O6" s="105">
        <v>2884</v>
      </c>
      <c r="P6" s="105">
        <v>4417</v>
      </c>
      <c r="Q6" s="105">
        <v>3262</v>
      </c>
      <c r="R6" s="105">
        <v>4135</v>
      </c>
      <c r="S6" s="105">
        <v>3928</v>
      </c>
      <c r="T6" s="88">
        <f>(S6-J6)/J6</f>
        <v>5.9045564842275543E-2</v>
      </c>
      <c r="U6" s="88">
        <f>(S6-O6)/O6</f>
        <v>0.36199722607489598</v>
      </c>
      <c r="V6" s="88">
        <f>(S6-R6)/R6</f>
        <v>-5.0060459492140268E-2</v>
      </c>
      <c r="W6" s="90">
        <f>S6/S$9</f>
        <v>0.18816766467065868</v>
      </c>
      <c r="X6" s="52">
        <f>S6-R6</f>
        <v>-207</v>
      </c>
    </row>
    <row r="7" spans="1:25" x14ac:dyDescent="0.2">
      <c r="A7" s="27" t="s">
        <v>307</v>
      </c>
      <c r="B7" s="27">
        <v>1565</v>
      </c>
      <c r="C7" s="27">
        <v>1478</v>
      </c>
      <c r="D7" s="27">
        <v>1909</v>
      </c>
      <c r="E7" s="27">
        <v>1865</v>
      </c>
      <c r="F7" s="27">
        <v>2099</v>
      </c>
      <c r="G7" s="27">
        <v>2085</v>
      </c>
      <c r="H7" s="18">
        <v>2814</v>
      </c>
      <c r="I7" s="18">
        <v>3018</v>
      </c>
      <c r="J7" s="18">
        <v>2931</v>
      </c>
      <c r="K7" s="18">
        <v>3106</v>
      </c>
      <c r="L7" s="18">
        <v>3410</v>
      </c>
      <c r="M7" s="18">
        <v>3489</v>
      </c>
      <c r="N7" s="18">
        <v>3780</v>
      </c>
      <c r="O7" s="105">
        <v>3488</v>
      </c>
      <c r="P7" s="105">
        <v>4992</v>
      </c>
      <c r="Q7" s="105">
        <v>5167</v>
      </c>
      <c r="R7" s="105">
        <v>5521</v>
      </c>
      <c r="S7" s="105">
        <v>5837</v>
      </c>
      <c r="T7" s="88">
        <f>(S7-J7)/J7</f>
        <v>0.99147048788809278</v>
      </c>
      <c r="U7" s="88">
        <f>(S7-O7)/O7</f>
        <v>0.67345183486238536</v>
      </c>
      <c r="V7" s="88">
        <f>(S7-R7)/R7</f>
        <v>5.7236007969570728E-2</v>
      </c>
      <c r="W7" s="90">
        <f>S7/S$9</f>
        <v>0.27961676646706585</v>
      </c>
      <c r="X7" s="52">
        <f>S7-R7</f>
        <v>316</v>
      </c>
    </row>
    <row r="8" spans="1:25" x14ac:dyDescent="0.2">
      <c r="A8" s="27" t="s">
        <v>217</v>
      </c>
      <c r="B8" s="27">
        <v>2268</v>
      </c>
      <c r="C8" s="27">
        <v>2841</v>
      </c>
      <c r="D8" s="27">
        <v>4370</v>
      </c>
      <c r="E8" s="27">
        <v>3802</v>
      </c>
      <c r="F8" s="27">
        <v>5216</v>
      </c>
      <c r="G8" s="27">
        <v>5514</v>
      </c>
      <c r="H8" s="18">
        <v>6468</v>
      </c>
      <c r="I8" s="18">
        <v>6450</v>
      </c>
      <c r="J8" s="18">
        <v>7344</v>
      </c>
      <c r="K8" s="18">
        <v>7346</v>
      </c>
      <c r="L8" s="18">
        <v>7364</v>
      </c>
      <c r="M8" s="18">
        <v>8692</v>
      </c>
      <c r="N8" s="18">
        <v>8460</v>
      </c>
      <c r="O8" s="105">
        <v>8980</v>
      </c>
      <c r="P8" s="105">
        <v>9982</v>
      </c>
      <c r="Q8" s="105">
        <v>11056</v>
      </c>
      <c r="R8" s="105">
        <v>12521</v>
      </c>
      <c r="S8" s="105">
        <v>11110</v>
      </c>
      <c r="T8" s="88">
        <f>(S8-J8)/J8</f>
        <v>0.5127995642701525</v>
      </c>
      <c r="U8" s="88">
        <f>(S8-O8)/O8</f>
        <v>0.23719376391982183</v>
      </c>
      <c r="V8" s="88">
        <f>(S8-R8)/R8</f>
        <v>-0.11269067965817427</v>
      </c>
      <c r="W8" s="90">
        <f>S8/S$9</f>
        <v>0.5322155688622755</v>
      </c>
      <c r="X8" s="52">
        <f>S8-R8</f>
        <v>-1411</v>
      </c>
    </row>
    <row r="9" spans="1:25" x14ac:dyDescent="0.2">
      <c r="A9" s="66" t="s">
        <v>4</v>
      </c>
      <c r="B9" s="66">
        <v>5481</v>
      </c>
      <c r="C9" s="66">
        <v>6239</v>
      </c>
      <c r="D9" s="66">
        <v>8606</v>
      </c>
      <c r="E9" s="66">
        <v>8088</v>
      </c>
      <c r="F9" s="66">
        <v>10011</v>
      </c>
      <c r="G9" s="66">
        <v>10589</v>
      </c>
      <c r="H9" s="67">
        <v>12613</v>
      </c>
      <c r="I9" s="67">
        <v>13015</v>
      </c>
      <c r="J9" s="67">
        <v>13984</v>
      </c>
      <c r="K9" s="67">
        <v>13984</v>
      </c>
      <c r="L9" s="67">
        <v>14827</v>
      </c>
      <c r="M9" s="67">
        <v>16379</v>
      </c>
      <c r="N9" s="67">
        <v>16244</v>
      </c>
      <c r="O9" s="106">
        <v>15352</v>
      </c>
      <c r="P9" s="106">
        <v>19391</v>
      </c>
      <c r="Q9" s="106">
        <v>19485</v>
      </c>
      <c r="R9" s="106">
        <v>22177</v>
      </c>
      <c r="S9" s="106">
        <v>20875</v>
      </c>
      <c r="T9" s="89">
        <f>(S9-J9)/J9</f>
        <v>0.49277745995423339</v>
      </c>
      <c r="U9" s="89">
        <f>(S9-O9)/O9</f>
        <v>0.35975768629494531</v>
      </c>
      <c r="V9" s="89">
        <f>(S9-R9)/R9</f>
        <v>-5.8709473779140549E-2</v>
      </c>
      <c r="W9" s="91">
        <f>S9/S$9</f>
        <v>1</v>
      </c>
      <c r="X9" s="53">
        <f>S9-R9</f>
        <v>-1302</v>
      </c>
    </row>
    <row r="10" spans="1:25" x14ac:dyDescent="0.2">
      <c r="A10" s="113" t="s">
        <v>509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95"/>
      <c r="U10" s="95"/>
      <c r="V10" s="95"/>
      <c r="W10" s="95"/>
      <c r="X10" s="95"/>
      <c r="Y10" s="31"/>
    </row>
    <row r="11" spans="1:25" x14ac:dyDescent="0.2">
      <c r="A11" s="97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95"/>
      <c r="U11" s="95"/>
      <c r="V11" s="95"/>
      <c r="W11" s="95"/>
      <c r="X11" s="95"/>
      <c r="Y11" s="31"/>
    </row>
    <row r="12" spans="1:25" ht="15.75" x14ac:dyDescent="0.2">
      <c r="A12" s="32" t="s">
        <v>277</v>
      </c>
      <c r="B12" s="32"/>
      <c r="C12" s="32"/>
      <c r="D12" s="32"/>
      <c r="E12" s="32"/>
      <c r="F12" s="32"/>
      <c r="G12" s="32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95"/>
      <c r="U12" s="95"/>
      <c r="V12" s="95"/>
      <c r="W12" s="95"/>
      <c r="X12" s="95"/>
    </row>
    <row r="13" spans="1:25" ht="38.25" x14ac:dyDescent="0.2">
      <c r="A13" s="73" t="s">
        <v>83</v>
      </c>
      <c r="B13" s="3">
        <v>2007</v>
      </c>
      <c r="C13" s="3">
        <v>2008</v>
      </c>
      <c r="D13" s="3">
        <v>2009</v>
      </c>
      <c r="E13" s="3">
        <v>2010</v>
      </c>
      <c r="F13" s="3">
        <v>2011</v>
      </c>
      <c r="G13" s="3">
        <v>2012</v>
      </c>
      <c r="H13" s="3">
        <v>2013</v>
      </c>
      <c r="I13" s="3">
        <v>2014</v>
      </c>
      <c r="J13" s="3">
        <v>2015</v>
      </c>
      <c r="K13" s="3">
        <v>2016</v>
      </c>
      <c r="L13" s="3">
        <v>2017</v>
      </c>
      <c r="M13" s="3">
        <v>2018</v>
      </c>
      <c r="N13" s="3">
        <v>2019</v>
      </c>
      <c r="O13" s="3">
        <v>2020</v>
      </c>
      <c r="P13" s="3">
        <v>2021</v>
      </c>
      <c r="Q13" s="3">
        <v>2022</v>
      </c>
      <c r="R13" s="3">
        <v>2023</v>
      </c>
      <c r="S13" s="3">
        <v>2024</v>
      </c>
      <c r="T13" s="130" t="s">
        <v>368</v>
      </c>
      <c r="U13" s="130" t="s">
        <v>369</v>
      </c>
      <c r="V13" s="130" t="s">
        <v>370</v>
      </c>
      <c r="W13" s="130" t="s">
        <v>372</v>
      </c>
      <c r="X13" s="169" t="s">
        <v>494</v>
      </c>
    </row>
    <row r="14" spans="1:25" x14ac:dyDescent="0.2">
      <c r="A14" s="4" t="s">
        <v>81</v>
      </c>
      <c r="B14" s="4">
        <v>314</v>
      </c>
      <c r="C14" s="92">
        <v>320</v>
      </c>
      <c r="D14" s="92">
        <v>384</v>
      </c>
      <c r="E14" s="92">
        <v>394</v>
      </c>
      <c r="F14" s="92">
        <v>492</v>
      </c>
      <c r="G14" s="92">
        <v>603</v>
      </c>
      <c r="H14" s="93">
        <v>634</v>
      </c>
      <c r="I14" s="93">
        <v>612</v>
      </c>
      <c r="J14" s="93">
        <v>693</v>
      </c>
      <c r="K14" s="93">
        <v>706</v>
      </c>
      <c r="L14" s="93">
        <v>727</v>
      </c>
      <c r="M14" s="93">
        <v>832</v>
      </c>
      <c r="N14" s="93">
        <v>885</v>
      </c>
      <c r="O14" s="105">
        <v>777</v>
      </c>
      <c r="P14" s="105">
        <v>909</v>
      </c>
      <c r="Q14" s="105">
        <v>895</v>
      </c>
      <c r="R14" s="105">
        <v>1051</v>
      </c>
      <c r="S14" s="105">
        <v>1177</v>
      </c>
      <c r="T14" s="88">
        <f>(S14-J14)/J14</f>
        <v>0.69841269841269837</v>
      </c>
      <c r="U14" s="88">
        <f>(S14-O14)/O14</f>
        <v>0.51480051480051481</v>
      </c>
      <c r="V14" s="88">
        <f>(S14-R14)/R14</f>
        <v>0.11988582302568981</v>
      </c>
      <c r="W14" s="90">
        <f>S14/S$9</f>
        <v>5.6383233532934132E-2</v>
      </c>
      <c r="X14" s="52">
        <f>S14-R14</f>
        <v>126</v>
      </c>
      <c r="Y14" s="139"/>
    </row>
    <row r="15" spans="1:25" x14ac:dyDescent="0.2">
      <c r="A15" s="4" t="s">
        <v>82</v>
      </c>
      <c r="B15" s="4">
        <v>5167</v>
      </c>
      <c r="C15" s="92">
        <v>5919</v>
      </c>
      <c r="D15" s="92">
        <v>8222</v>
      </c>
      <c r="E15" s="92">
        <v>7694</v>
      </c>
      <c r="F15" s="92">
        <v>9519</v>
      </c>
      <c r="G15" s="92">
        <v>9986</v>
      </c>
      <c r="H15" s="93">
        <v>11979</v>
      </c>
      <c r="I15" s="93">
        <v>12403</v>
      </c>
      <c r="J15" s="93">
        <v>13291</v>
      </c>
      <c r="K15" s="93">
        <v>13278</v>
      </c>
      <c r="L15" s="93">
        <v>14100</v>
      </c>
      <c r="M15" s="93">
        <v>15547</v>
      </c>
      <c r="N15" s="93">
        <v>15359</v>
      </c>
      <c r="O15" s="105">
        <v>14575</v>
      </c>
      <c r="P15" s="105">
        <v>18482</v>
      </c>
      <c r="Q15" s="105">
        <v>18590</v>
      </c>
      <c r="R15" s="105">
        <v>21126</v>
      </c>
      <c r="S15" s="105">
        <v>19698</v>
      </c>
      <c r="T15" s="88">
        <f>(S15-J15)/J15</f>
        <v>0.48205552629598974</v>
      </c>
      <c r="U15" s="88">
        <f>(S15-O15)/O15</f>
        <v>0.35149228130360205</v>
      </c>
      <c r="V15" s="88">
        <f>(S15-R15)/R15</f>
        <v>-6.7594433399602388E-2</v>
      </c>
      <c r="W15" s="90">
        <f>S15/S$9</f>
        <v>0.94361676646706583</v>
      </c>
      <c r="X15" s="52">
        <f>S15-R15</f>
        <v>-1428</v>
      </c>
      <c r="Y15" s="139"/>
    </row>
    <row r="16" spans="1:25" x14ac:dyDescent="0.2">
      <c r="A16" s="5" t="s">
        <v>4</v>
      </c>
      <c r="B16" s="5">
        <v>5481</v>
      </c>
      <c r="C16" s="5">
        <v>6239</v>
      </c>
      <c r="D16" s="5">
        <v>8606</v>
      </c>
      <c r="E16" s="5">
        <v>8088</v>
      </c>
      <c r="F16" s="5">
        <v>10011</v>
      </c>
      <c r="G16" s="5">
        <v>10589</v>
      </c>
      <c r="H16" s="19">
        <v>12613</v>
      </c>
      <c r="I16" s="19">
        <v>13015</v>
      </c>
      <c r="J16" s="19">
        <v>13984</v>
      </c>
      <c r="K16" s="19">
        <v>13984</v>
      </c>
      <c r="L16" s="19">
        <v>14827</v>
      </c>
      <c r="M16" s="19">
        <v>16379</v>
      </c>
      <c r="N16" s="19">
        <v>16244</v>
      </c>
      <c r="O16" s="106">
        <v>15352</v>
      </c>
      <c r="P16" s="106">
        <v>19391</v>
      </c>
      <c r="Q16" s="106">
        <v>19485</v>
      </c>
      <c r="R16" s="106">
        <v>22177</v>
      </c>
      <c r="S16" s="106">
        <v>20875</v>
      </c>
      <c r="T16" s="89">
        <f>(S16-J16)/J16</f>
        <v>0.49277745995423339</v>
      </c>
      <c r="U16" s="89">
        <f>(S16-O16)/O16</f>
        <v>0.35975768629494531</v>
      </c>
      <c r="V16" s="89">
        <f>(S16-R16)/R16</f>
        <v>-5.8709473779140549E-2</v>
      </c>
      <c r="W16" s="91">
        <f>S16/S$9</f>
        <v>1</v>
      </c>
      <c r="X16" s="53">
        <f>S16-R16</f>
        <v>-1302</v>
      </c>
      <c r="Y16" s="139"/>
    </row>
    <row r="17" spans="1:25" x14ac:dyDescent="0.2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95"/>
      <c r="U17" s="95"/>
      <c r="V17" s="95"/>
      <c r="W17" s="95"/>
      <c r="X17" s="95"/>
    </row>
    <row r="18" spans="1:25" ht="15.75" x14ac:dyDescent="0.2">
      <c r="A18" s="32" t="s">
        <v>278</v>
      </c>
      <c r="B18" s="32"/>
      <c r="C18" s="32"/>
      <c r="D18" s="32"/>
      <c r="E18" s="32"/>
      <c r="F18" s="32"/>
      <c r="G18" s="32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95"/>
      <c r="U18" s="95"/>
      <c r="V18" s="95"/>
      <c r="W18" s="95"/>
      <c r="X18" s="95"/>
    </row>
    <row r="19" spans="1:25" ht="38.25" x14ac:dyDescent="0.2">
      <c r="A19" s="73" t="s">
        <v>222</v>
      </c>
      <c r="B19" s="3">
        <v>2007</v>
      </c>
      <c r="C19" s="3">
        <v>2008</v>
      </c>
      <c r="D19" s="3">
        <v>2009</v>
      </c>
      <c r="E19" s="3">
        <v>2010</v>
      </c>
      <c r="F19" s="3">
        <v>2011</v>
      </c>
      <c r="G19" s="3">
        <v>2012</v>
      </c>
      <c r="H19" s="3">
        <v>2013</v>
      </c>
      <c r="I19" s="3">
        <v>2014</v>
      </c>
      <c r="J19" s="3">
        <v>2015</v>
      </c>
      <c r="K19" s="3">
        <v>2016</v>
      </c>
      <c r="L19" s="3">
        <v>2017</v>
      </c>
      <c r="M19" s="3">
        <v>2018</v>
      </c>
      <c r="N19" s="3">
        <v>2019</v>
      </c>
      <c r="O19" s="3">
        <v>2020</v>
      </c>
      <c r="P19" s="3">
        <v>2021</v>
      </c>
      <c r="Q19" s="3">
        <v>2022</v>
      </c>
      <c r="R19" s="3">
        <v>2023</v>
      </c>
      <c r="S19" s="3">
        <v>2024</v>
      </c>
      <c r="T19" s="130" t="s">
        <v>368</v>
      </c>
      <c r="U19" s="130" t="s">
        <v>369</v>
      </c>
      <c r="V19" s="130" t="s">
        <v>370</v>
      </c>
      <c r="W19" s="130" t="s">
        <v>372</v>
      </c>
      <c r="X19" s="169" t="s">
        <v>494</v>
      </c>
    </row>
    <row r="20" spans="1:25" s="11" customFormat="1" x14ac:dyDescent="0.2">
      <c r="A20" s="5" t="s">
        <v>308</v>
      </c>
      <c r="B20" s="5">
        <v>1648</v>
      </c>
      <c r="C20" s="66">
        <v>1920</v>
      </c>
      <c r="D20" s="66">
        <v>2327</v>
      </c>
      <c r="E20" s="66">
        <v>2421</v>
      </c>
      <c r="F20" s="66">
        <v>2696</v>
      </c>
      <c r="G20" s="66">
        <v>2990</v>
      </c>
      <c r="H20" s="20">
        <v>3331</v>
      </c>
      <c r="I20" s="20">
        <v>3547</v>
      </c>
      <c r="J20" s="20">
        <v>3709</v>
      </c>
      <c r="K20" s="20">
        <v>3532</v>
      </c>
      <c r="L20" s="20">
        <v>4053</v>
      </c>
      <c r="M20" s="20">
        <v>4198</v>
      </c>
      <c r="N20" s="20">
        <v>4004</v>
      </c>
      <c r="O20" s="106">
        <v>2884</v>
      </c>
      <c r="P20" s="106">
        <v>4417</v>
      </c>
      <c r="Q20" s="106">
        <v>3262</v>
      </c>
      <c r="R20" s="106">
        <v>4135</v>
      </c>
      <c r="S20" s="106">
        <v>3928</v>
      </c>
      <c r="T20" s="89">
        <f t="shared" ref="T20:T29" si="0">(S20-J20)/J20</f>
        <v>5.9045564842275543E-2</v>
      </c>
      <c r="U20" s="89">
        <f t="shared" ref="U20:U29" si="1">(S20-O20)/O20</f>
        <v>0.36199722607489598</v>
      </c>
      <c r="V20" s="89">
        <f t="shared" ref="V20:V29" si="2">(S20-R20)/R20</f>
        <v>-5.0060459492140268E-2</v>
      </c>
      <c r="W20" s="91">
        <f t="shared" ref="W20:W29" si="3">S20/S$9</f>
        <v>0.18816766467065868</v>
      </c>
      <c r="X20" s="53">
        <f t="shared" ref="X20:X29" si="4">S20-R20</f>
        <v>-207</v>
      </c>
      <c r="Y20" s="139"/>
    </row>
    <row r="21" spans="1:25" x14ac:dyDescent="0.2">
      <c r="A21" s="70" t="s">
        <v>81</v>
      </c>
      <c r="B21" s="70">
        <v>143</v>
      </c>
      <c r="C21" s="94">
        <v>132</v>
      </c>
      <c r="D21" s="94">
        <v>169</v>
      </c>
      <c r="E21" s="94">
        <v>185</v>
      </c>
      <c r="F21" s="94">
        <v>213</v>
      </c>
      <c r="G21" s="94">
        <v>254</v>
      </c>
      <c r="H21" s="21">
        <v>247</v>
      </c>
      <c r="I21" s="21">
        <v>251</v>
      </c>
      <c r="J21" s="21">
        <v>328</v>
      </c>
      <c r="K21" s="21">
        <v>325</v>
      </c>
      <c r="L21" s="21">
        <v>320</v>
      </c>
      <c r="M21" s="21">
        <v>405</v>
      </c>
      <c r="N21" s="21">
        <v>408</v>
      </c>
      <c r="O21" s="105">
        <v>339</v>
      </c>
      <c r="P21" s="105">
        <v>378</v>
      </c>
      <c r="Q21" s="105">
        <v>358</v>
      </c>
      <c r="R21" s="105">
        <v>444</v>
      </c>
      <c r="S21" s="105">
        <v>460</v>
      </c>
      <c r="T21" s="88">
        <f t="shared" si="0"/>
        <v>0.40243902439024393</v>
      </c>
      <c r="U21" s="88">
        <f t="shared" si="1"/>
        <v>0.35693215339233036</v>
      </c>
      <c r="V21" s="88">
        <f t="shared" si="2"/>
        <v>3.6036036036036036E-2</v>
      </c>
      <c r="W21" s="90">
        <f t="shared" si="3"/>
        <v>2.2035928143712576E-2</v>
      </c>
      <c r="X21" s="52">
        <f t="shared" si="4"/>
        <v>16</v>
      </c>
      <c r="Y21" s="139"/>
    </row>
    <row r="22" spans="1:25" x14ac:dyDescent="0.2">
      <c r="A22" s="70" t="s">
        <v>82</v>
      </c>
      <c r="B22" s="70">
        <v>1505</v>
      </c>
      <c r="C22" s="94">
        <v>1788</v>
      </c>
      <c r="D22" s="94">
        <v>2158</v>
      </c>
      <c r="E22" s="94">
        <v>2236</v>
      </c>
      <c r="F22" s="94">
        <v>2483</v>
      </c>
      <c r="G22" s="94">
        <v>2736</v>
      </c>
      <c r="H22" s="21">
        <v>3084</v>
      </c>
      <c r="I22" s="21">
        <v>3296</v>
      </c>
      <c r="J22" s="21">
        <v>3381</v>
      </c>
      <c r="K22" s="21">
        <v>3207</v>
      </c>
      <c r="L22" s="21">
        <v>3733</v>
      </c>
      <c r="M22" s="21">
        <v>3793</v>
      </c>
      <c r="N22" s="21">
        <v>3596</v>
      </c>
      <c r="O22" s="105">
        <v>2545</v>
      </c>
      <c r="P22" s="105">
        <v>4039</v>
      </c>
      <c r="Q22" s="105">
        <v>2904</v>
      </c>
      <c r="R22" s="105">
        <v>3691</v>
      </c>
      <c r="S22" s="105">
        <v>3468</v>
      </c>
      <c r="T22" s="88">
        <f t="shared" si="0"/>
        <v>2.5732031943212066E-2</v>
      </c>
      <c r="U22" s="88">
        <f t="shared" si="1"/>
        <v>0.36267190569744595</v>
      </c>
      <c r="V22" s="88">
        <f t="shared" si="2"/>
        <v>-6.0417231102682198E-2</v>
      </c>
      <c r="W22" s="90">
        <f t="shared" si="3"/>
        <v>0.1661317365269461</v>
      </c>
      <c r="X22" s="52">
        <f t="shared" si="4"/>
        <v>-223</v>
      </c>
      <c r="Y22" s="139"/>
    </row>
    <row r="23" spans="1:25" s="11" customFormat="1" x14ac:dyDescent="0.2">
      <c r="A23" s="5" t="s">
        <v>307</v>
      </c>
      <c r="B23" s="5">
        <v>1565</v>
      </c>
      <c r="C23" s="66">
        <v>1478</v>
      </c>
      <c r="D23" s="66">
        <v>1909</v>
      </c>
      <c r="E23" s="66">
        <v>1865</v>
      </c>
      <c r="F23" s="66">
        <v>2099</v>
      </c>
      <c r="G23" s="66">
        <v>2085</v>
      </c>
      <c r="H23" s="20">
        <v>2814</v>
      </c>
      <c r="I23" s="20">
        <v>3018</v>
      </c>
      <c r="J23" s="20">
        <v>2931</v>
      </c>
      <c r="K23" s="20">
        <v>3106</v>
      </c>
      <c r="L23" s="20">
        <v>3410</v>
      </c>
      <c r="M23" s="20">
        <v>3489</v>
      </c>
      <c r="N23" s="20">
        <v>3780</v>
      </c>
      <c r="O23" s="106">
        <v>3488</v>
      </c>
      <c r="P23" s="106">
        <v>4992</v>
      </c>
      <c r="Q23" s="106">
        <v>5167</v>
      </c>
      <c r="R23" s="106">
        <v>5521</v>
      </c>
      <c r="S23" s="106">
        <v>5837</v>
      </c>
      <c r="T23" s="89">
        <f t="shared" si="0"/>
        <v>0.99147048788809278</v>
      </c>
      <c r="U23" s="89">
        <f t="shared" si="1"/>
        <v>0.67345183486238536</v>
      </c>
      <c r="V23" s="89">
        <f t="shared" si="2"/>
        <v>5.7236007969570728E-2</v>
      </c>
      <c r="W23" s="91">
        <f t="shared" si="3"/>
        <v>0.27961676646706585</v>
      </c>
      <c r="X23" s="53">
        <f t="shared" si="4"/>
        <v>316</v>
      </c>
      <c r="Y23" s="139"/>
    </row>
    <row r="24" spans="1:25" x14ac:dyDescent="0.2">
      <c r="A24" s="70" t="s">
        <v>81</v>
      </c>
      <c r="B24" s="70">
        <v>166</v>
      </c>
      <c r="C24" s="94">
        <v>181</v>
      </c>
      <c r="D24" s="94">
        <v>202</v>
      </c>
      <c r="E24" s="94">
        <v>194</v>
      </c>
      <c r="F24" s="94">
        <v>240</v>
      </c>
      <c r="G24" s="94">
        <v>252</v>
      </c>
      <c r="H24" s="21">
        <v>286</v>
      </c>
      <c r="I24" s="21">
        <v>299</v>
      </c>
      <c r="J24" s="21">
        <v>307</v>
      </c>
      <c r="K24" s="21">
        <v>318</v>
      </c>
      <c r="L24" s="21">
        <v>342</v>
      </c>
      <c r="M24" s="21">
        <v>339</v>
      </c>
      <c r="N24" s="21">
        <v>394</v>
      </c>
      <c r="O24" s="105">
        <v>369</v>
      </c>
      <c r="P24" s="105">
        <v>421</v>
      </c>
      <c r="Q24" s="105">
        <v>445</v>
      </c>
      <c r="R24" s="105">
        <v>475</v>
      </c>
      <c r="S24" s="105">
        <v>574</v>
      </c>
      <c r="T24" s="88">
        <f t="shared" si="0"/>
        <v>0.86970684039087953</v>
      </c>
      <c r="U24" s="88">
        <f t="shared" si="1"/>
        <v>0.55555555555555558</v>
      </c>
      <c r="V24" s="88">
        <f t="shared" si="2"/>
        <v>0.20842105263157895</v>
      </c>
      <c r="W24" s="90">
        <f t="shared" si="3"/>
        <v>2.7497005988023952E-2</v>
      </c>
      <c r="X24" s="52">
        <f t="shared" si="4"/>
        <v>99</v>
      </c>
      <c r="Y24" s="139"/>
    </row>
    <row r="25" spans="1:25" x14ac:dyDescent="0.2">
      <c r="A25" s="70" t="s">
        <v>82</v>
      </c>
      <c r="B25" s="70">
        <v>1399</v>
      </c>
      <c r="C25" s="94">
        <v>1297</v>
      </c>
      <c r="D25" s="94">
        <v>1707</v>
      </c>
      <c r="E25" s="94">
        <v>1671</v>
      </c>
      <c r="F25" s="94">
        <v>1859</v>
      </c>
      <c r="G25" s="94">
        <v>1833</v>
      </c>
      <c r="H25" s="21">
        <v>2528</v>
      </c>
      <c r="I25" s="21">
        <v>2719</v>
      </c>
      <c r="J25" s="21">
        <v>2624</v>
      </c>
      <c r="K25" s="21">
        <v>2788</v>
      </c>
      <c r="L25" s="21">
        <v>3068</v>
      </c>
      <c r="M25" s="21">
        <v>3150</v>
      </c>
      <c r="N25" s="21">
        <v>3386</v>
      </c>
      <c r="O25" s="105">
        <v>3119</v>
      </c>
      <c r="P25" s="105">
        <v>4571</v>
      </c>
      <c r="Q25" s="105">
        <v>4722</v>
      </c>
      <c r="R25" s="105">
        <v>5046</v>
      </c>
      <c r="S25" s="105">
        <v>5263</v>
      </c>
      <c r="T25" s="88">
        <f t="shared" si="0"/>
        <v>1.0057164634146341</v>
      </c>
      <c r="U25" s="88">
        <f t="shared" si="1"/>
        <v>0.68739980763065089</v>
      </c>
      <c r="V25" s="88">
        <f t="shared" si="2"/>
        <v>4.3004359889021009E-2</v>
      </c>
      <c r="W25" s="90">
        <f t="shared" si="3"/>
        <v>0.25211976047904194</v>
      </c>
      <c r="X25" s="52">
        <f t="shared" si="4"/>
        <v>217</v>
      </c>
      <c r="Y25" s="139"/>
    </row>
    <row r="26" spans="1:25" s="11" customFormat="1" x14ac:dyDescent="0.2">
      <c r="A26" s="5" t="s">
        <v>217</v>
      </c>
      <c r="B26" s="5">
        <v>2268</v>
      </c>
      <c r="C26" s="66">
        <v>2841</v>
      </c>
      <c r="D26" s="66">
        <v>4370</v>
      </c>
      <c r="E26" s="66">
        <v>3802</v>
      </c>
      <c r="F26" s="66">
        <v>5216</v>
      </c>
      <c r="G26" s="66">
        <v>5514</v>
      </c>
      <c r="H26" s="20">
        <v>6468</v>
      </c>
      <c r="I26" s="20">
        <v>6450</v>
      </c>
      <c r="J26" s="20">
        <v>7344</v>
      </c>
      <c r="K26" s="20">
        <v>7346</v>
      </c>
      <c r="L26" s="20">
        <v>7364</v>
      </c>
      <c r="M26" s="20">
        <v>8692</v>
      </c>
      <c r="N26" s="20">
        <v>8460</v>
      </c>
      <c r="O26" s="106">
        <v>8980</v>
      </c>
      <c r="P26" s="106">
        <v>9982</v>
      </c>
      <c r="Q26" s="106">
        <v>11056</v>
      </c>
      <c r="R26" s="106">
        <v>12521</v>
      </c>
      <c r="S26" s="106">
        <v>11110</v>
      </c>
      <c r="T26" s="89">
        <f t="shared" si="0"/>
        <v>0.5127995642701525</v>
      </c>
      <c r="U26" s="89">
        <f t="shared" si="1"/>
        <v>0.23719376391982183</v>
      </c>
      <c r="V26" s="89">
        <f t="shared" si="2"/>
        <v>-0.11269067965817427</v>
      </c>
      <c r="W26" s="91">
        <f t="shared" si="3"/>
        <v>0.5322155688622755</v>
      </c>
      <c r="X26" s="53">
        <f t="shared" si="4"/>
        <v>-1411</v>
      </c>
      <c r="Y26" s="139"/>
    </row>
    <row r="27" spans="1:25" x14ac:dyDescent="0.2">
      <c r="A27" s="70" t="s">
        <v>81</v>
      </c>
      <c r="B27" s="70">
        <v>5</v>
      </c>
      <c r="C27" s="94">
        <v>7</v>
      </c>
      <c r="D27" s="94">
        <v>13</v>
      </c>
      <c r="E27" s="94">
        <v>15</v>
      </c>
      <c r="F27" s="94">
        <v>39</v>
      </c>
      <c r="G27" s="94">
        <v>97</v>
      </c>
      <c r="H27" s="21">
        <v>101</v>
      </c>
      <c r="I27" s="21">
        <v>62</v>
      </c>
      <c r="J27" s="21">
        <v>58</v>
      </c>
      <c r="K27" s="21">
        <v>63</v>
      </c>
      <c r="L27" s="21">
        <v>65</v>
      </c>
      <c r="M27" s="21">
        <v>88</v>
      </c>
      <c r="N27" s="21">
        <v>83</v>
      </c>
      <c r="O27" s="105">
        <v>69</v>
      </c>
      <c r="P27" s="105">
        <v>110</v>
      </c>
      <c r="Q27" s="105">
        <v>92</v>
      </c>
      <c r="R27" s="105">
        <v>132</v>
      </c>
      <c r="S27" s="105">
        <v>143</v>
      </c>
      <c r="T27" s="88">
        <f t="shared" si="0"/>
        <v>1.4655172413793103</v>
      </c>
      <c r="U27" s="88">
        <f t="shared" si="1"/>
        <v>1.0724637681159421</v>
      </c>
      <c r="V27" s="88">
        <f t="shared" si="2"/>
        <v>8.3333333333333329E-2</v>
      </c>
      <c r="W27" s="90">
        <f t="shared" si="3"/>
        <v>6.8502994011976044E-3</v>
      </c>
      <c r="X27" s="52">
        <f t="shared" si="4"/>
        <v>11</v>
      </c>
      <c r="Y27" s="139"/>
    </row>
    <row r="28" spans="1:25" x14ac:dyDescent="0.2">
      <c r="A28" s="70" t="s">
        <v>82</v>
      </c>
      <c r="B28" s="70">
        <v>2263</v>
      </c>
      <c r="C28" s="94">
        <v>2834</v>
      </c>
      <c r="D28" s="94">
        <v>4357</v>
      </c>
      <c r="E28" s="94">
        <v>3787</v>
      </c>
      <c r="F28" s="94">
        <v>5177</v>
      </c>
      <c r="G28" s="94">
        <v>5417</v>
      </c>
      <c r="H28" s="21">
        <v>6367</v>
      </c>
      <c r="I28" s="21">
        <v>6388</v>
      </c>
      <c r="J28" s="21">
        <v>7286</v>
      </c>
      <c r="K28" s="21">
        <v>7283</v>
      </c>
      <c r="L28" s="21">
        <v>7299</v>
      </c>
      <c r="M28" s="21">
        <v>8604</v>
      </c>
      <c r="N28" s="21">
        <v>8377</v>
      </c>
      <c r="O28" s="105">
        <v>8911</v>
      </c>
      <c r="P28" s="105">
        <v>9872</v>
      </c>
      <c r="Q28" s="105">
        <v>10964</v>
      </c>
      <c r="R28" s="105">
        <v>12389</v>
      </c>
      <c r="S28" s="105">
        <v>10967</v>
      </c>
      <c r="T28" s="88">
        <f t="shared" si="0"/>
        <v>0.50521548174581388</v>
      </c>
      <c r="U28" s="88">
        <f t="shared" si="1"/>
        <v>0.23072606890360228</v>
      </c>
      <c r="V28" s="88">
        <f t="shared" si="2"/>
        <v>-0.1147792396480749</v>
      </c>
      <c r="W28" s="90">
        <f t="shared" si="3"/>
        <v>0.52536526946107787</v>
      </c>
      <c r="X28" s="52">
        <f t="shared" si="4"/>
        <v>-1422</v>
      </c>
      <c r="Y28" s="139"/>
    </row>
    <row r="29" spans="1:25" s="11" customFormat="1" x14ac:dyDescent="0.2">
      <c r="A29" s="5" t="s">
        <v>4</v>
      </c>
      <c r="B29" s="5">
        <v>5481</v>
      </c>
      <c r="C29" s="66">
        <v>6239</v>
      </c>
      <c r="D29" s="66">
        <v>8606</v>
      </c>
      <c r="E29" s="66">
        <v>8088</v>
      </c>
      <c r="F29" s="66">
        <v>10011</v>
      </c>
      <c r="G29" s="66">
        <v>10589</v>
      </c>
      <c r="H29" s="20">
        <v>12613</v>
      </c>
      <c r="I29" s="20">
        <v>13015</v>
      </c>
      <c r="J29" s="20">
        <v>13984</v>
      </c>
      <c r="K29" s="20">
        <v>13984</v>
      </c>
      <c r="L29" s="20">
        <v>14827</v>
      </c>
      <c r="M29" s="20">
        <v>16379</v>
      </c>
      <c r="N29" s="20">
        <v>16244</v>
      </c>
      <c r="O29" s="106">
        <v>15352</v>
      </c>
      <c r="P29" s="106">
        <v>19391</v>
      </c>
      <c r="Q29" s="106">
        <v>19485</v>
      </c>
      <c r="R29" s="106">
        <v>22177</v>
      </c>
      <c r="S29" s="106">
        <v>20875</v>
      </c>
      <c r="T29" s="89">
        <f t="shared" si="0"/>
        <v>0.49277745995423339</v>
      </c>
      <c r="U29" s="89">
        <f t="shared" si="1"/>
        <v>0.35975768629494531</v>
      </c>
      <c r="V29" s="89">
        <f t="shared" si="2"/>
        <v>-5.8709473779140549E-2</v>
      </c>
      <c r="W29" s="91">
        <f t="shared" si="3"/>
        <v>1</v>
      </c>
      <c r="X29" s="53">
        <f t="shared" si="4"/>
        <v>-1302</v>
      </c>
      <c r="Y29" s="139"/>
    </row>
    <row r="30" spans="1:25" x14ac:dyDescent="0.2">
      <c r="A30" s="113" t="s">
        <v>509</v>
      </c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100"/>
      <c r="S30" s="100"/>
      <c r="T30" s="95"/>
      <c r="U30" s="95"/>
      <c r="V30" s="95"/>
      <c r="W30" s="95"/>
      <c r="X30" s="95"/>
    </row>
    <row r="31" spans="1:25" x14ac:dyDescent="0.2">
      <c r="A31" s="97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100"/>
      <c r="S31" s="100"/>
      <c r="T31" s="95"/>
      <c r="U31" s="95"/>
      <c r="V31" s="95"/>
      <c r="W31" s="95"/>
      <c r="X31" s="95"/>
    </row>
    <row r="32" spans="1:25" ht="15.75" x14ac:dyDescent="0.2">
      <c r="A32" s="32" t="s">
        <v>326</v>
      </c>
      <c r="B32" s="32"/>
      <c r="C32" s="32"/>
      <c r="D32" s="32"/>
      <c r="E32" s="32"/>
      <c r="F32" s="32"/>
      <c r="G32" s="32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1"/>
      <c r="T32" s="95"/>
      <c r="U32" s="95"/>
      <c r="V32" s="95"/>
      <c r="W32" s="95"/>
      <c r="X32" s="95"/>
    </row>
    <row r="33" spans="1:25" ht="38.25" x14ac:dyDescent="0.2">
      <c r="A33" s="73" t="s">
        <v>221</v>
      </c>
      <c r="B33" s="3">
        <v>2007</v>
      </c>
      <c r="C33" s="3">
        <v>2008</v>
      </c>
      <c r="D33" s="3">
        <v>2009</v>
      </c>
      <c r="E33" s="3">
        <v>2010</v>
      </c>
      <c r="F33" s="3">
        <v>2011</v>
      </c>
      <c r="G33" s="3">
        <v>2012</v>
      </c>
      <c r="H33" s="3">
        <v>2013</v>
      </c>
      <c r="I33" s="3">
        <v>2014</v>
      </c>
      <c r="J33" s="3">
        <v>2015</v>
      </c>
      <c r="K33" s="3">
        <v>2016</v>
      </c>
      <c r="L33" s="3">
        <v>2017</v>
      </c>
      <c r="M33" s="3">
        <v>2018</v>
      </c>
      <c r="N33" s="3">
        <v>2019</v>
      </c>
      <c r="O33" s="3">
        <v>2020</v>
      </c>
      <c r="P33" s="3">
        <v>2021</v>
      </c>
      <c r="Q33" s="3">
        <v>2022</v>
      </c>
      <c r="R33" s="3">
        <v>2023</v>
      </c>
      <c r="S33" s="3">
        <v>2024</v>
      </c>
      <c r="T33" s="130" t="s">
        <v>368</v>
      </c>
      <c r="U33" s="130" t="s">
        <v>369</v>
      </c>
      <c r="V33" s="130" t="s">
        <v>370</v>
      </c>
      <c r="W33" s="130" t="s">
        <v>372</v>
      </c>
      <c r="X33" s="169" t="s">
        <v>494</v>
      </c>
    </row>
    <row r="34" spans="1:25" x14ac:dyDescent="0.2">
      <c r="A34" s="5" t="s">
        <v>188</v>
      </c>
      <c r="B34" s="48">
        <f>SUM(B35:B36)</f>
        <v>2262</v>
      </c>
      <c r="C34" s="48">
        <f t="shared" ref="C34:S34" si="5">SUM(C35:C36)</f>
        <v>2625</v>
      </c>
      <c r="D34" s="48">
        <f t="shared" si="5"/>
        <v>3739</v>
      </c>
      <c r="E34" s="48">
        <f t="shared" si="5"/>
        <v>3659</v>
      </c>
      <c r="F34" s="48">
        <f t="shared" si="5"/>
        <v>4814</v>
      </c>
      <c r="G34" s="48">
        <f t="shared" si="5"/>
        <v>5088</v>
      </c>
      <c r="H34" s="48">
        <f t="shared" si="5"/>
        <v>6099</v>
      </c>
      <c r="I34" s="48">
        <f t="shared" si="5"/>
        <v>6214</v>
      </c>
      <c r="J34" s="48">
        <f t="shared" si="5"/>
        <v>6785</v>
      </c>
      <c r="K34" s="48">
        <f t="shared" si="5"/>
        <v>6835</v>
      </c>
      <c r="L34" s="48">
        <f t="shared" si="5"/>
        <v>7366</v>
      </c>
      <c r="M34" s="48">
        <f t="shared" si="5"/>
        <v>8117</v>
      </c>
      <c r="N34" s="48">
        <f t="shared" si="5"/>
        <v>8207</v>
      </c>
      <c r="O34" s="48">
        <f t="shared" si="5"/>
        <v>7862</v>
      </c>
      <c r="P34" s="48">
        <f t="shared" si="5"/>
        <v>9835</v>
      </c>
      <c r="Q34" s="48">
        <f t="shared" si="5"/>
        <v>9963</v>
      </c>
      <c r="R34" s="48">
        <f t="shared" si="5"/>
        <v>11269</v>
      </c>
      <c r="S34" s="48">
        <f t="shared" si="5"/>
        <v>10412</v>
      </c>
      <c r="T34" s="89">
        <f t="shared" ref="T34:T43" si="6">(S34-J34)/J34</f>
        <v>0.53456153279292562</v>
      </c>
      <c r="U34" s="89">
        <f t="shared" ref="U34:U43" si="7">(S34-O34)/O34</f>
        <v>0.32434495039430172</v>
      </c>
      <c r="V34" s="89">
        <f t="shared" ref="V34:V43" si="8">(S34-R34)/R34</f>
        <v>-7.6049338894311827E-2</v>
      </c>
      <c r="W34" s="91">
        <f t="shared" ref="W34:W43" si="9">S34/S$9</f>
        <v>0.49877844311377245</v>
      </c>
      <c r="X34" s="53">
        <f t="shared" ref="X34:X43" si="10">S34-R34</f>
        <v>-857</v>
      </c>
    </row>
    <row r="35" spans="1:25" x14ac:dyDescent="0.2">
      <c r="A35" s="70" t="s">
        <v>81</v>
      </c>
      <c r="B35" s="153">
        <v>138</v>
      </c>
      <c r="C35" s="153">
        <v>133</v>
      </c>
      <c r="D35" s="153">
        <v>155</v>
      </c>
      <c r="E35" s="153">
        <v>175</v>
      </c>
      <c r="F35" s="153">
        <v>212</v>
      </c>
      <c r="G35" s="153">
        <v>239</v>
      </c>
      <c r="H35" s="33">
        <v>293</v>
      </c>
      <c r="I35" s="33">
        <v>280</v>
      </c>
      <c r="J35" s="33">
        <v>307</v>
      </c>
      <c r="K35" s="33">
        <v>289</v>
      </c>
      <c r="L35" s="33">
        <v>319</v>
      </c>
      <c r="M35" s="33">
        <v>359</v>
      </c>
      <c r="N35" s="33">
        <v>383</v>
      </c>
      <c r="O35" s="105">
        <v>339</v>
      </c>
      <c r="P35" s="105">
        <v>382</v>
      </c>
      <c r="Q35" s="105">
        <v>385</v>
      </c>
      <c r="R35" s="105">
        <v>460</v>
      </c>
      <c r="S35" s="105">
        <v>509</v>
      </c>
      <c r="T35" s="88">
        <f t="shared" si="6"/>
        <v>0.65798045602605859</v>
      </c>
      <c r="U35" s="88">
        <f t="shared" si="7"/>
        <v>0.50147492625368728</v>
      </c>
      <c r="V35" s="88">
        <f t="shared" si="8"/>
        <v>0.10652173913043478</v>
      </c>
      <c r="W35" s="90">
        <f t="shared" si="9"/>
        <v>2.4383233532934132E-2</v>
      </c>
      <c r="X35" s="52">
        <f t="shared" si="10"/>
        <v>49</v>
      </c>
      <c r="Y35" s="87"/>
    </row>
    <row r="36" spans="1:25" x14ac:dyDescent="0.2">
      <c r="A36" s="70" t="s">
        <v>82</v>
      </c>
      <c r="B36" s="153">
        <v>2124</v>
      </c>
      <c r="C36" s="153">
        <v>2492</v>
      </c>
      <c r="D36" s="153">
        <v>3584</v>
      </c>
      <c r="E36" s="153">
        <v>3484</v>
      </c>
      <c r="F36" s="153">
        <v>4602</v>
      </c>
      <c r="G36" s="153">
        <v>4849</v>
      </c>
      <c r="H36" s="33">
        <v>5806</v>
      </c>
      <c r="I36" s="33">
        <v>5934</v>
      </c>
      <c r="J36" s="33">
        <v>6478</v>
      </c>
      <c r="K36" s="33">
        <v>6546</v>
      </c>
      <c r="L36" s="33">
        <v>7047</v>
      </c>
      <c r="M36" s="33">
        <v>7758</v>
      </c>
      <c r="N36" s="33">
        <v>7824</v>
      </c>
      <c r="O36" s="105">
        <v>7523</v>
      </c>
      <c r="P36" s="105">
        <v>9453</v>
      </c>
      <c r="Q36" s="105">
        <v>9578</v>
      </c>
      <c r="R36" s="105">
        <v>10809</v>
      </c>
      <c r="S36" s="105">
        <v>9903</v>
      </c>
      <c r="T36" s="88">
        <f t="shared" si="6"/>
        <v>0.52871256560666868</v>
      </c>
      <c r="U36" s="88">
        <f t="shared" si="7"/>
        <v>0.31636315299747442</v>
      </c>
      <c r="V36" s="88">
        <f t="shared" si="8"/>
        <v>-8.3819039689147931E-2</v>
      </c>
      <c r="W36" s="90">
        <f t="shared" si="9"/>
        <v>0.47439520958083831</v>
      </c>
      <c r="X36" s="52">
        <f t="shared" si="10"/>
        <v>-906</v>
      </c>
      <c r="Y36" s="87"/>
    </row>
    <row r="37" spans="1:25" x14ac:dyDescent="0.2">
      <c r="A37" s="5" t="s">
        <v>189</v>
      </c>
      <c r="B37" s="48">
        <f t="shared" ref="B37:S37" si="11">SUM(B38:B39)</f>
        <v>3219</v>
      </c>
      <c r="C37" s="48">
        <f t="shared" si="11"/>
        <v>3614</v>
      </c>
      <c r="D37" s="48">
        <f t="shared" si="11"/>
        <v>4867</v>
      </c>
      <c r="E37" s="48">
        <f t="shared" si="11"/>
        <v>4429</v>
      </c>
      <c r="F37" s="48">
        <f t="shared" si="11"/>
        <v>5197</v>
      </c>
      <c r="G37" s="48">
        <f t="shared" si="11"/>
        <v>5501</v>
      </c>
      <c r="H37" s="48">
        <f t="shared" si="11"/>
        <v>6514</v>
      </c>
      <c r="I37" s="48">
        <f t="shared" si="11"/>
        <v>6801</v>
      </c>
      <c r="J37" s="48">
        <f t="shared" si="11"/>
        <v>7199</v>
      </c>
      <c r="K37" s="48">
        <f t="shared" si="11"/>
        <v>7149</v>
      </c>
      <c r="L37" s="48">
        <f t="shared" si="11"/>
        <v>7461</v>
      </c>
      <c r="M37" s="48">
        <f t="shared" si="11"/>
        <v>8262</v>
      </c>
      <c r="N37" s="48">
        <f t="shared" si="11"/>
        <v>8037</v>
      </c>
      <c r="O37" s="48">
        <f t="shared" si="11"/>
        <v>7490</v>
      </c>
      <c r="P37" s="48">
        <f t="shared" si="11"/>
        <v>9556</v>
      </c>
      <c r="Q37" s="48">
        <f t="shared" si="11"/>
        <v>9522</v>
      </c>
      <c r="R37" s="48">
        <f t="shared" si="11"/>
        <v>10907</v>
      </c>
      <c r="S37" s="48">
        <f t="shared" si="11"/>
        <v>10462</v>
      </c>
      <c r="T37" s="89">
        <f t="shared" si="6"/>
        <v>0.45325739686067512</v>
      </c>
      <c r="U37" s="89">
        <f t="shared" si="7"/>
        <v>0.39679572763684912</v>
      </c>
      <c r="V37" s="89">
        <f t="shared" si="8"/>
        <v>-4.0799486568258915E-2</v>
      </c>
      <c r="W37" s="91">
        <f t="shared" si="9"/>
        <v>0.50117365269461078</v>
      </c>
      <c r="X37" s="53">
        <f t="shared" si="10"/>
        <v>-445</v>
      </c>
    </row>
    <row r="38" spans="1:25" x14ac:dyDescent="0.2">
      <c r="A38" s="70" t="s">
        <v>81</v>
      </c>
      <c r="B38" s="153">
        <v>176</v>
      </c>
      <c r="C38" s="153">
        <v>187</v>
      </c>
      <c r="D38" s="153">
        <v>229</v>
      </c>
      <c r="E38" s="153">
        <v>219</v>
      </c>
      <c r="F38" s="153">
        <v>280</v>
      </c>
      <c r="G38" s="153">
        <v>364</v>
      </c>
      <c r="H38" s="33">
        <v>341</v>
      </c>
      <c r="I38" s="33">
        <v>332</v>
      </c>
      <c r="J38" s="33">
        <v>386</v>
      </c>
      <c r="K38" s="33">
        <v>417</v>
      </c>
      <c r="L38" s="33">
        <v>408</v>
      </c>
      <c r="M38" s="33">
        <v>473</v>
      </c>
      <c r="N38" s="33">
        <v>502</v>
      </c>
      <c r="O38" s="105">
        <v>438</v>
      </c>
      <c r="P38" s="105">
        <v>527</v>
      </c>
      <c r="Q38" s="105">
        <v>510</v>
      </c>
      <c r="R38" s="105">
        <v>591</v>
      </c>
      <c r="S38" s="105">
        <v>668</v>
      </c>
      <c r="T38" s="88">
        <f t="shared" si="6"/>
        <v>0.73056994818652854</v>
      </c>
      <c r="U38" s="88">
        <f t="shared" si="7"/>
        <v>0.52511415525114158</v>
      </c>
      <c r="V38" s="88">
        <f t="shared" si="8"/>
        <v>0.13028764805414553</v>
      </c>
      <c r="W38" s="90">
        <f t="shared" si="9"/>
        <v>3.2000000000000001E-2</v>
      </c>
      <c r="X38" s="52">
        <f t="shared" si="10"/>
        <v>77</v>
      </c>
    </row>
    <row r="39" spans="1:25" x14ac:dyDescent="0.2">
      <c r="A39" s="70" t="s">
        <v>82</v>
      </c>
      <c r="B39" s="153">
        <v>3043</v>
      </c>
      <c r="C39" s="153">
        <v>3427</v>
      </c>
      <c r="D39" s="153">
        <v>4638</v>
      </c>
      <c r="E39" s="153">
        <v>4210</v>
      </c>
      <c r="F39" s="153">
        <v>4917</v>
      </c>
      <c r="G39" s="153">
        <v>5137</v>
      </c>
      <c r="H39" s="33">
        <v>6173</v>
      </c>
      <c r="I39" s="33">
        <v>6469</v>
      </c>
      <c r="J39" s="33">
        <v>6813</v>
      </c>
      <c r="K39" s="33">
        <v>6732</v>
      </c>
      <c r="L39" s="33">
        <v>7053</v>
      </c>
      <c r="M39" s="33">
        <v>7789</v>
      </c>
      <c r="N39" s="33">
        <v>7535</v>
      </c>
      <c r="O39" s="105">
        <v>7052</v>
      </c>
      <c r="P39" s="105">
        <v>9029</v>
      </c>
      <c r="Q39" s="105">
        <v>9012</v>
      </c>
      <c r="R39" s="105">
        <v>10316</v>
      </c>
      <c r="S39" s="105">
        <v>9794</v>
      </c>
      <c r="T39" s="88">
        <f t="shared" si="6"/>
        <v>0.43754586819316016</v>
      </c>
      <c r="U39" s="88">
        <f t="shared" si="7"/>
        <v>0.38882586500283606</v>
      </c>
      <c r="V39" s="88">
        <f t="shared" si="8"/>
        <v>-5.0601008142690966E-2</v>
      </c>
      <c r="W39" s="90">
        <f t="shared" si="9"/>
        <v>0.46917365269461075</v>
      </c>
      <c r="X39" s="52">
        <f t="shared" si="10"/>
        <v>-522</v>
      </c>
    </row>
    <row r="40" spans="1:25" x14ac:dyDescent="0.2">
      <c r="A40" s="5" t="s">
        <v>498</v>
      </c>
      <c r="B40" s="48">
        <f t="shared" ref="B40:S40" si="12">SUM(B41:B42)</f>
        <v>0</v>
      </c>
      <c r="C40" s="48">
        <f t="shared" si="12"/>
        <v>0</v>
      </c>
      <c r="D40" s="48">
        <f t="shared" si="12"/>
        <v>0</v>
      </c>
      <c r="E40" s="48">
        <f t="shared" si="12"/>
        <v>0</v>
      </c>
      <c r="F40" s="48">
        <f t="shared" si="12"/>
        <v>0</v>
      </c>
      <c r="G40" s="48">
        <f t="shared" si="12"/>
        <v>0</v>
      </c>
      <c r="H40" s="48">
        <f t="shared" si="12"/>
        <v>0</v>
      </c>
      <c r="I40" s="48">
        <f t="shared" si="12"/>
        <v>0</v>
      </c>
      <c r="J40" s="48">
        <f t="shared" si="12"/>
        <v>0</v>
      </c>
      <c r="K40" s="48">
        <f t="shared" si="12"/>
        <v>0</v>
      </c>
      <c r="L40" s="48">
        <f t="shared" si="12"/>
        <v>0</v>
      </c>
      <c r="M40" s="48">
        <f t="shared" si="12"/>
        <v>0</v>
      </c>
      <c r="N40" s="48">
        <f t="shared" si="12"/>
        <v>0</v>
      </c>
      <c r="O40" s="48">
        <f t="shared" si="12"/>
        <v>0</v>
      </c>
      <c r="P40" s="48">
        <f t="shared" si="12"/>
        <v>0</v>
      </c>
      <c r="Q40" s="48">
        <f t="shared" si="12"/>
        <v>0</v>
      </c>
      <c r="R40" s="48">
        <f t="shared" si="12"/>
        <v>1</v>
      </c>
      <c r="S40" s="48">
        <f t="shared" si="12"/>
        <v>1</v>
      </c>
      <c r="T40" s="89" t="s">
        <v>296</v>
      </c>
      <c r="U40" s="89" t="s">
        <v>296</v>
      </c>
      <c r="V40" s="89">
        <f t="shared" si="8"/>
        <v>0</v>
      </c>
      <c r="W40" s="91">
        <f t="shared" si="9"/>
        <v>4.7904191616766468E-5</v>
      </c>
      <c r="X40" s="53">
        <f t="shared" si="10"/>
        <v>0</v>
      </c>
    </row>
    <row r="41" spans="1:25" x14ac:dyDescent="0.2">
      <c r="A41" s="70" t="s">
        <v>81</v>
      </c>
      <c r="B41" s="153">
        <v>0</v>
      </c>
      <c r="C41" s="153">
        <v>0</v>
      </c>
      <c r="D41" s="153">
        <v>0</v>
      </c>
      <c r="E41" s="153">
        <v>0</v>
      </c>
      <c r="F41" s="153">
        <v>0</v>
      </c>
      <c r="G41" s="153">
        <v>0</v>
      </c>
      <c r="H41" s="153">
        <v>0</v>
      </c>
      <c r="I41" s="153">
        <v>0</v>
      </c>
      <c r="J41" s="153">
        <v>0</v>
      </c>
      <c r="K41" s="153">
        <v>0</v>
      </c>
      <c r="L41" s="153">
        <v>0</v>
      </c>
      <c r="M41" s="153">
        <v>0</v>
      </c>
      <c r="N41" s="153">
        <v>0</v>
      </c>
      <c r="O41" s="153">
        <v>0</v>
      </c>
      <c r="P41" s="153">
        <v>0</v>
      </c>
      <c r="Q41" s="153">
        <v>0</v>
      </c>
      <c r="R41" s="153">
        <v>0</v>
      </c>
      <c r="S41" s="153">
        <v>0</v>
      </c>
      <c r="T41" s="88" t="s">
        <v>296</v>
      </c>
      <c r="U41" s="88" t="s">
        <v>296</v>
      </c>
      <c r="V41" s="88" t="s">
        <v>296</v>
      </c>
      <c r="W41" s="90">
        <f t="shared" si="9"/>
        <v>0</v>
      </c>
      <c r="X41" s="52">
        <f t="shared" si="10"/>
        <v>0</v>
      </c>
    </row>
    <row r="42" spans="1:25" x14ac:dyDescent="0.2">
      <c r="A42" s="70" t="s">
        <v>82</v>
      </c>
      <c r="B42" s="153">
        <v>0</v>
      </c>
      <c r="C42" s="153">
        <v>0</v>
      </c>
      <c r="D42" s="153">
        <v>0</v>
      </c>
      <c r="E42" s="153">
        <v>0</v>
      </c>
      <c r="F42" s="153">
        <v>0</v>
      </c>
      <c r="G42" s="153">
        <v>0</v>
      </c>
      <c r="H42" s="153">
        <v>0</v>
      </c>
      <c r="I42" s="153">
        <v>0</v>
      </c>
      <c r="J42" s="153">
        <v>0</v>
      </c>
      <c r="K42" s="153">
        <v>0</v>
      </c>
      <c r="L42" s="153">
        <v>0</v>
      </c>
      <c r="M42" s="153">
        <v>0</v>
      </c>
      <c r="N42" s="153">
        <v>0</v>
      </c>
      <c r="O42" s="153">
        <v>0</v>
      </c>
      <c r="P42" s="153">
        <v>0</v>
      </c>
      <c r="Q42" s="153">
        <v>0</v>
      </c>
      <c r="R42" s="105">
        <v>1</v>
      </c>
      <c r="S42" s="105">
        <v>1</v>
      </c>
      <c r="T42" s="88" t="s">
        <v>296</v>
      </c>
      <c r="U42" s="88" t="s">
        <v>296</v>
      </c>
      <c r="V42" s="88">
        <f t="shared" si="8"/>
        <v>0</v>
      </c>
      <c r="W42" s="90">
        <f t="shared" si="9"/>
        <v>4.7904191616766468E-5</v>
      </c>
      <c r="X42" s="52">
        <f t="shared" si="10"/>
        <v>0</v>
      </c>
    </row>
    <row r="43" spans="1:25" x14ac:dyDescent="0.2">
      <c r="A43" s="5" t="s">
        <v>4</v>
      </c>
      <c r="B43" s="48">
        <f>B34+B37+B40</f>
        <v>5481</v>
      </c>
      <c r="C43" s="48">
        <f t="shared" ref="C43:S43" si="13">C34+C37+C40</f>
        <v>6239</v>
      </c>
      <c r="D43" s="48">
        <f t="shared" si="13"/>
        <v>8606</v>
      </c>
      <c r="E43" s="48">
        <f t="shared" si="13"/>
        <v>8088</v>
      </c>
      <c r="F43" s="48">
        <f t="shared" si="13"/>
        <v>10011</v>
      </c>
      <c r="G43" s="48">
        <f t="shared" si="13"/>
        <v>10589</v>
      </c>
      <c r="H43" s="48">
        <f t="shared" si="13"/>
        <v>12613</v>
      </c>
      <c r="I43" s="48">
        <f t="shared" si="13"/>
        <v>13015</v>
      </c>
      <c r="J43" s="48">
        <f t="shared" si="13"/>
        <v>13984</v>
      </c>
      <c r="K43" s="48">
        <f t="shared" si="13"/>
        <v>13984</v>
      </c>
      <c r="L43" s="48">
        <f t="shared" si="13"/>
        <v>14827</v>
      </c>
      <c r="M43" s="48">
        <f t="shared" si="13"/>
        <v>16379</v>
      </c>
      <c r="N43" s="48">
        <f t="shared" si="13"/>
        <v>16244</v>
      </c>
      <c r="O43" s="48">
        <f t="shared" si="13"/>
        <v>15352</v>
      </c>
      <c r="P43" s="48">
        <f t="shared" si="13"/>
        <v>19391</v>
      </c>
      <c r="Q43" s="48">
        <f t="shared" si="13"/>
        <v>19485</v>
      </c>
      <c r="R43" s="48">
        <f t="shared" si="13"/>
        <v>22177</v>
      </c>
      <c r="S43" s="48">
        <f t="shared" si="13"/>
        <v>20875</v>
      </c>
      <c r="T43" s="89">
        <f t="shared" si="6"/>
        <v>0.49277745995423339</v>
      </c>
      <c r="U43" s="89">
        <f t="shared" si="7"/>
        <v>0.35975768629494531</v>
      </c>
      <c r="V43" s="89">
        <f t="shared" si="8"/>
        <v>-5.8709473779140549E-2</v>
      </c>
      <c r="W43" s="91">
        <f t="shared" si="9"/>
        <v>1</v>
      </c>
      <c r="X43" s="53">
        <f t="shared" si="10"/>
        <v>-1302</v>
      </c>
    </row>
    <row r="44" spans="1:25" x14ac:dyDescent="0.2">
      <c r="B44" s="134"/>
      <c r="C44" s="134"/>
      <c r="D44" s="134"/>
      <c r="E44" s="134"/>
      <c r="F44" s="134"/>
      <c r="G44" s="134"/>
      <c r="H44" s="134"/>
      <c r="I44" s="134"/>
      <c r="J44" s="134"/>
      <c r="K44" s="134"/>
      <c r="L44" s="134"/>
      <c r="M44" s="134"/>
      <c r="N44" s="134"/>
      <c r="O44" s="134"/>
      <c r="P44" s="134"/>
      <c r="Q44" s="134"/>
      <c r="R44" s="147"/>
      <c r="S44" s="147"/>
      <c r="T44" s="135"/>
      <c r="U44" s="135"/>
      <c r="V44" s="135"/>
      <c r="W44" s="135"/>
      <c r="X44" s="135"/>
    </row>
    <row r="45" spans="1:25" ht="15.75" x14ac:dyDescent="0.2">
      <c r="A45" s="32" t="s">
        <v>327</v>
      </c>
      <c r="B45" s="134"/>
      <c r="C45" s="134"/>
      <c r="D45" s="134"/>
      <c r="E45" s="134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47"/>
      <c r="S45" s="147"/>
      <c r="T45" s="135"/>
      <c r="U45" s="135"/>
      <c r="V45" s="135"/>
      <c r="W45" s="135"/>
      <c r="X45" s="135"/>
    </row>
    <row r="46" spans="1:25" ht="38.25" x14ac:dyDescent="0.2">
      <c r="A46" s="73" t="s">
        <v>329</v>
      </c>
      <c r="B46" s="3">
        <v>2007</v>
      </c>
      <c r="C46" s="3">
        <v>2008</v>
      </c>
      <c r="D46" s="3">
        <v>2009</v>
      </c>
      <c r="E46" s="3">
        <v>2010</v>
      </c>
      <c r="F46" s="3">
        <v>2011</v>
      </c>
      <c r="G46" s="3">
        <v>2012</v>
      </c>
      <c r="H46" s="3">
        <v>2013</v>
      </c>
      <c r="I46" s="3">
        <v>2014</v>
      </c>
      <c r="J46" s="3">
        <v>2015</v>
      </c>
      <c r="K46" s="3">
        <v>2016</v>
      </c>
      <c r="L46" s="3">
        <v>2017</v>
      </c>
      <c r="M46" s="3">
        <v>2018</v>
      </c>
      <c r="N46" s="3">
        <v>2019</v>
      </c>
      <c r="O46" s="3">
        <v>2020</v>
      </c>
      <c r="P46" s="3">
        <v>2021</v>
      </c>
      <c r="Q46" s="3">
        <v>2022</v>
      </c>
      <c r="R46" s="3">
        <v>2023</v>
      </c>
      <c r="S46" s="3">
        <v>2024</v>
      </c>
      <c r="T46" s="130" t="s">
        <v>368</v>
      </c>
      <c r="U46" s="130" t="s">
        <v>369</v>
      </c>
      <c r="V46" s="130" t="s">
        <v>370</v>
      </c>
      <c r="W46" s="130" t="s">
        <v>372</v>
      </c>
      <c r="X46" s="169" t="s">
        <v>494</v>
      </c>
    </row>
    <row r="47" spans="1:25" x14ac:dyDescent="0.2">
      <c r="A47" s="5" t="s">
        <v>81</v>
      </c>
      <c r="B47" s="48">
        <v>314</v>
      </c>
      <c r="C47" s="48">
        <v>320</v>
      </c>
      <c r="D47" s="48">
        <v>384</v>
      </c>
      <c r="E47" s="48">
        <v>394</v>
      </c>
      <c r="F47" s="48">
        <v>492</v>
      </c>
      <c r="G47" s="48">
        <v>603</v>
      </c>
      <c r="H47" s="48">
        <v>634</v>
      </c>
      <c r="I47" s="48">
        <v>612</v>
      </c>
      <c r="J47" s="48">
        <v>693</v>
      </c>
      <c r="K47" s="48">
        <v>706</v>
      </c>
      <c r="L47" s="48">
        <v>727</v>
      </c>
      <c r="M47" s="48">
        <v>832</v>
      </c>
      <c r="N47" s="48">
        <v>885</v>
      </c>
      <c r="O47" s="48">
        <v>777</v>
      </c>
      <c r="P47" s="48">
        <v>909</v>
      </c>
      <c r="Q47" s="48">
        <v>895</v>
      </c>
      <c r="R47" s="48">
        <v>1051</v>
      </c>
      <c r="S47" s="48">
        <v>1177</v>
      </c>
      <c r="T47" s="89">
        <f t="shared" ref="T47:T59" si="14">(S47-J47)/J47</f>
        <v>0.69841269841269837</v>
      </c>
      <c r="U47" s="89">
        <f t="shared" ref="U47:U59" si="15">(S47-O47)/O47</f>
        <v>0.51480051480051481</v>
      </c>
      <c r="V47" s="89">
        <f t="shared" ref="V47:V59" si="16">(S47-R47)/R47</f>
        <v>0.11988582302568981</v>
      </c>
      <c r="W47" s="91">
        <f t="shared" ref="W47:W59" si="17">S47/S$9</f>
        <v>5.6383233532934132E-2</v>
      </c>
      <c r="X47" s="53">
        <f t="shared" ref="X47:X59" si="18">S47-R47</f>
        <v>126</v>
      </c>
    </row>
    <row r="48" spans="1:25" x14ac:dyDescent="0.2">
      <c r="A48" s="70" t="s">
        <v>41</v>
      </c>
      <c r="B48" s="153">
        <v>294</v>
      </c>
      <c r="C48" s="153">
        <v>312</v>
      </c>
      <c r="D48" s="153">
        <v>353</v>
      </c>
      <c r="E48" s="153">
        <v>379</v>
      </c>
      <c r="F48" s="153">
        <v>439</v>
      </c>
      <c r="G48" s="153">
        <v>515</v>
      </c>
      <c r="H48" s="33">
        <v>546</v>
      </c>
      <c r="I48" s="33">
        <v>532</v>
      </c>
      <c r="J48" s="33">
        <v>628</v>
      </c>
      <c r="K48" s="33">
        <v>617</v>
      </c>
      <c r="L48" s="33">
        <v>623</v>
      </c>
      <c r="M48" s="33">
        <v>709</v>
      </c>
      <c r="N48" s="33">
        <v>775</v>
      </c>
      <c r="O48" s="105">
        <v>703</v>
      </c>
      <c r="P48" s="105">
        <v>783</v>
      </c>
      <c r="Q48" s="105">
        <v>795</v>
      </c>
      <c r="R48" s="105">
        <v>868</v>
      </c>
      <c r="S48" s="105">
        <v>1030</v>
      </c>
      <c r="T48" s="88">
        <f t="shared" si="14"/>
        <v>0.64012738853503182</v>
      </c>
      <c r="U48" s="88">
        <f t="shared" si="15"/>
        <v>0.46514935988620199</v>
      </c>
      <c r="V48" s="88">
        <f t="shared" si="16"/>
        <v>0.18663594470046083</v>
      </c>
      <c r="W48" s="90">
        <f t="shared" si="17"/>
        <v>4.9341317365269463E-2</v>
      </c>
      <c r="X48" s="52">
        <f t="shared" si="18"/>
        <v>162</v>
      </c>
    </row>
    <row r="49" spans="1:24" x14ac:dyDescent="0.2">
      <c r="A49" s="70" t="s">
        <v>42</v>
      </c>
      <c r="B49" s="153">
        <v>20</v>
      </c>
      <c r="C49" s="153">
        <v>8</v>
      </c>
      <c r="D49" s="153">
        <v>31</v>
      </c>
      <c r="E49" s="153">
        <v>14</v>
      </c>
      <c r="F49" s="153">
        <v>36</v>
      </c>
      <c r="G49" s="153">
        <v>34</v>
      </c>
      <c r="H49" s="33">
        <v>29</v>
      </c>
      <c r="I49" s="33">
        <v>69</v>
      </c>
      <c r="J49" s="33">
        <v>49</v>
      </c>
      <c r="K49" s="33">
        <v>71</v>
      </c>
      <c r="L49" s="33">
        <v>88</v>
      </c>
      <c r="M49" s="33">
        <v>106</v>
      </c>
      <c r="N49" s="33">
        <v>84</v>
      </c>
      <c r="O49" s="105">
        <v>69</v>
      </c>
      <c r="P49" s="105">
        <v>83</v>
      </c>
      <c r="Q49" s="105">
        <v>58</v>
      </c>
      <c r="R49" s="105">
        <v>93</v>
      </c>
      <c r="S49" s="105">
        <v>84</v>
      </c>
      <c r="T49" s="88">
        <f t="shared" si="14"/>
        <v>0.7142857142857143</v>
      </c>
      <c r="U49" s="88">
        <f t="shared" si="15"/>
        <v>0.21739130434782608</v>
      </c>
      <c r="V49" s="88">
        <f t="shared" si="16"/>
        <v>-9.6774193548387094E-2</v>
      </c>
      <c r="W49" s="90">
        <f t="shared" si="17"/>
        <v>4.0239520958083828E-3</v>
      </c>
      <c r="X49" s="52">
        <f t="shared" si="18"/>
        <v>-9</v>
      </c>
    </row>
    <row r="50" spans="1:24" x14ac:dyDescent="0.2">
      <c r="A50" s="70" t="s">
        <v>209</v>
      </c>
      <c r="B50" s="154">
        <v>0</v>
      </c>
      <c r="C50" s="47">
        <v>0</v>
      </c>
      <c r="D50" s="47">
        <v>0</v>
      </c>
      <c r="E50" s="47">
        <v>0</v>
      </c>
      <c r="F50" s="47">
        <v>0</v>
      </c>
      <c r="G50" s="47">
        <v>3</v>
      </c>
      <c r="H50" s="47">
        <v>33</v>
      </c>
      <c r="I50" s="47">
        <v>1</v>
      </c>
      <c r="J50" s="47">
        <v>2</v>
      </c>
      <c r="K50" s="47">
        <v>7</v>
      </c>
      <c r="L50" s="47">
        <v>2</v>
      </c>
      <c r="M50" s="47">
        <v>2</v>
      </c>
      <c r="N50" s="47">
        <v>6</v>
      </c>
      <c r="O50" s="47">
        <v>0</v>
      </c>
      <c r="P50" s="47">
        <v>9</v>
      </c>
      <c r="Q50" s="47">
        <v>7</v>
      </c>
      <c r="R50" s="47">
        <v>16</v>
      </c>
      <c r="S50" s="47">
        <v>5</v>
      </c>
      <c r="T50" s="88">
        <f t="shared" si="14"/>
        <v>1.5</v>
      </c>
      <c r="U50" s="88" t="s">
        <v>296</v>
      </c>
      <c r="V50" s="88">
        <f t="shared" si="16"/>
        <v>-0.6875</v>
      </c>
      <c r="W50" s="90">
        <f t="shared" si="17"/>
        <v>2.3952095808383233E-4</v>
      </c>
      <c r="X50" s="52">
        <f t="shared" si="18"/>
        <v>-11</v>
      </c>
    </row>
    <row r="51" spans="1:24" x14ac:dyDescent="0.2">
      <c r="A51" s="70" t="s">
        <v>210</v>
      </c>
      <c r="B51" s="153">
        <v>0</v>
      </c>
      <c r="C51" s="153">
        <v>0</v>
      </c>
      <c r="D51" s="153">
        <v>0</v>
      </c>
      <c r="E51" s="153">
        <v>0</v>
      </c>
      <c r="F51" s="153">
        <v>1</v>
      </c>
      <c r="G51" s="153">
        <v>0</v>
      </c>
      <c r="H51" s="33">
        <v>7</v>
      </c>
      <c r="I51" s="33">
        <v>1</v>
      </c>
      <c r="J51" s="33">
        <v>3</v>
      </c>
      <c r="K51" s="33">
        <v>3</v>
      </c>
      <c r="L51" s="33">
        <v>4</v>
      </c>
      <c r="M51" s="33">
        <v>7</v>
      </c>
      <c r="N51" s="33">
        <v>6</v>
      </c>
      <c r="O51" s="105">
        <v>4</v>
      </c>
      <c r="P51" s="105">
        <v>26</v>
      </c>
      <c r="Q51" s="105">
        <v>31</v>
      </c>
      <c r="R51" s="105">
        <v>71</v>
      </c>
      <c r="S51" s="105">
        <v>51</v>
      </c>
      <c r="T51" s="88">
        <f t="shared" si="14"/>
        <v>16</v>
      </c>
      <c r="U51" s="88">
        <f t="shared" si="15"/>
        <v>11.75</v>
      </c>
      <c r="V51" s="88">
        <f t="shared" si="16"/>
        <v>-0.28169014084507044</v>
      </c>
      <c r="W51" s="90">
        <f t="shared" si="17"/>
        <v>2.4431137724550897E-3</v>
      </c>
      <c r="X51" s="52">
        <f t="shared" si="18"/>
        <v>-20</v>
      </c>
    </row>
    <row r="52" spans="1:24" x14ac:dyDescent="0.2">
      <c r="A52" s="70" t="s">
        <v>43</v>
      </c>
      <c r="B52" s="153">
        <v>0</v>
      </c>
      <c r="C52" s="153">
        <v>0</v>
      </c>
      <c r="D52" s="153">
        <v>0</v>
      </c>
      <c r="E52" s="153">
        <v>1</v>
      </c>
      <c r="F52" s="153">
        <v>16</v>
      </c>
      <c r="G52" s="153">
        <v>51</v>
      </c>
      <c r="H52" s="33">
        <v>19</v>
      </c>
      <c r="I52" s="33">
        <v>9</v>
      </c>
      <c r="J52" s="33">
        <v>11</v>
      </c>
      <c r="K52" s="33">
        <v>8</v>
      </c>
      <c r="L52" s="33">
        <v>10</v>
      </c>
      <c r="M52" s="33">
        <v>8</v>
      </c>
      <c r="N52" s="33">
        <v>14</v>
      </c>
      <c r="O52" s="105">
        <v>1</v>
      </c>
      <c r="P52" s="105">
        <v>8</v>
      </c>
      <c r="Q52" s="105">
        <v>4</v>
      </c>
      <c r="R52" s="105">
        <v>3</v>
      </c>
      <c r="S52" s="105">
        <v>7</v>
      </c>
      <c r="T52" s="88">
        <f t="shared" si="14"/>
        <v>-0.36363636363636365</v>
      </c>
      <c r="U52" s="88">
        <f t="shared" si="15"/>
        <v>6</v>
      </c>
      <c r="V52" s="88">
        <f t="shared" si="16"/>
        <v>1.3333333333333333</v>
      </c>
      <c r="W52" s="90">
        <f t="shared" si="17"/>
        <v>3.3532934131736525E-4</v>
      </c>
      <c r="X52" s="52">
        <f t="shared" si="18"/>
        <v>4</v>
      </c>
    </row>
    <row r="53" spans="1:24" x14ac:dyDescent="0.2">
      <c r="A53" s="5" t="s">
        <v>82</v>
      </c>
      <c r="B53" s="48">
        <v>5167</v>
      </c>
      <c r="C53" s="48">
        <v>5919</v>
      </c>
      <c r="D53" s="48">
        <v>8222</v>
      </c>
      <c r="E53" s="48">
        <v>7694</v>
      </c>
      <c r="F53" s="48">
        <v>9519</v>
      </c>
      <c r="G53" s="48">
        <v>9986</v>
      </c>
      <c r="H53" s="48">
        <v>11979</v>
      </c>
      <c r="I53" s="48">
        <v>12403</v>
      </c>
      <c r="J53" s="48">
        <v>13291</v>
      </c>
      <c r="K53" s="48">
        <v>13278</v>
      </c>
      <c r="L53" s="48">
        <v>14100</v>
      </c>
      <c r="M53" s="48">
        <v>15547</v>
      </c>
      <c r="N53" s="48">
        <v>15359</v>
      </c>
      <c r="O53" s="48">
        <v>14575</v>
      </c>
      <c r="P53" s="48">
        <v>18482</v>
      </c>
      <c r="Q53" s="48">
        <v>18590</v>
      </c>
      <c r="R53" s="48">
        <v>21126</v>
      </c>
      <c r="S53" s="48">
        <v>19698</v>
      </c>
      <c r="T53" s="89">
        <f t="shared" si="14"/>
        <v>0.48205552629598974</v>
      </c>
      <c r="U53" s="89">
        <f t="shared" si="15"/>
        <v>0.35149228130360205</v>
      </c>
      <c r="V53" s="89">
        <f t="shared" si="16"/>
        <v>-6.7594433399602388E-2</v>
      </c>
      <c r="W53" s="91">
        <f t="shared" si="17"/>
        <v>0.94361676646706583</v>
      </c>
      <c r="X53" s="53">
        <f t="shared" si="18"/>
        <v>-1428</v>
      </c>
    </row>
    <row r="54" spans="1:24" x14ac:dyDescent="0.2">
      <c r="A54" s="70" t="s">
        <v>41</v>
      </c>
      <c r="B54" s="47">
        <v>3108</v>
      </c>
      <c r="C54" s="47">
        <v>3435</v>
      </c>
      <c r="D54" s="47">
        <v>3906</v>
      </c>
      <c r="E54" s="47">
        <v>3875</v>
      </c>
      <c r="F54" s="47">
        <v>4381</v>
      </c>
      <c r="G54" s="47">
        <v>4655</v>
      </c>
      <c r="H54" s="47">
        <v>5087</v>
      </c>
      <c r="I54" s="47">
        <v>5399</v>
      </c>
      <c r="J54" s="47">
        <v>5465</v>
      </c>
      <c r="K54" s="47">
        <v>5690</v>
      </c>
      <c r="L54" s="47">
        <v>5637</v>
      </c>
      <c r="M54" s="47">
        <v>5772</v>
      </c>
      <c r="N54" s="47">
        <v>5781</v>
      </c>
      <c r="O54" s="47">
        <v>5420</v>
      </c>
      <c r="P54" s="47">
        <v>7076</v>
      </c>
      <c r="Q54" s="47">
        <v>7347</v>
      </c>
      <c r="R54" s="47">
        <v>7799</v>
      </c>
      <c r="S54" s="47">
        <v>7302</v>
      </c>
      <c r="T54" s="88">
        <f t="shared" si="14"/>
        <v>0.33613906678865507</v>
      </c>
      <c r="U54" s="88">
        <f t="shared" si="15"/>
        <v>0.34723247232472326</v>
      </c>
      <c r="V54" s="88">
        <f t="shared" si="16"/>
        <v>-6.3726118733170925E-2</v>
      </c>
      <c r="W54" s="90">
        <f t="shared" si="17"/>
        <v>0.34979640718562877</v>
      </c>
      <c r="X54" s="52">
        <f t="shared" si="18"/>
        <v>-497</v>
      </c>
    </row>
    <row r="55" spans="1:24" x14ac:dyDescent="0.2">
      <c r="A55" s="70" t="s">
        <v>42</v>
      </c>
      <c r="B55" s="47">
        <v>1784</v>
      </c>
      <c r="C55" s="47">
        <v>2016</v>
      </c>
      <c r="D55" s="47">
        <v>2851</v>
      </c>
      <c r="E55" s="47">
        <v>2745</v>
      </c>
      <c r="F55" s="47">
        <v>3837</v>
      </c>
      <c r="G55" s="47">
        <v>3611</v>
      </c>
      <c r="H55" s="47">
        <v>4603</v>
      </c>
      <c r="I55" s="47">
        <v>5100</v>
      </c>
      <c r="J55" s="47">
        <v>5116</v>
      </c>
      <c r="K55" s="47">
        <v>4568</v>
      </c>
      <c r="L55" s="47">
        <v>5274</v>
      </c>
      <c r="M55" s="47">
        <v>6029</v>
      </c>
      <c r="N55" s="47">
        <v>5332</v>
      </c>
      <c r="O55" s="47">
        <v>4581</v>
      </c>
      <c r="P55" s="47">
        <v>6037</v>
      </c>
      <c r="Q55" s="47">
        <v>5437</v>
      </c>
      <c r="R55" s="47">
        <v>5988</v>
      </c>
      <c r="S55" s="47">
        <v>4923</v>
      </c>
      <c r="T55" s="88">
        <f t="shared" si="14"/>
        <v>-3.7724784988272086E-2</v>
      </c>
      <c r="U55" s="88">
        <f t="shared" si="15"/>
        <v>7.4656188605108059E-2</v>
      </c>
      <c r="V55" s="88">
        <f t="shared" si="16"/>
        <v>-0.1778557114228457</v>
      </c>
      <c r="W55" s="90">
        <f t="shared" si="17"/>
        <v>0.23583233532934131</v>
      </c>
      <c r="X55" s="52">
        <f t="shared" si="18"/>
        <v>-1065</v>
      </c>
    </row>
    <row r="56" spans="1:24" x14ac:dyDescent="0.2">
      <c r="A56" s="70" t="s">
        <v>209</v>
      </c>
      <c r="B56" s="47">
        <v>114</v>
      </c>
      <c r="C56" s="47">
        <v>156</v>
      </c>
      <c r="D56" s="47">
        <v>27</v>
      </c>
      <c r="E56" s="47">
        <v>51</v>
      </c>
      <c r="F56" s="47">
        <v>76</v>
      </c>
      <c r="G56" s="47">
        <v>62</v>
      </c>
      <c r="H56" s="47">
        <v>328</v>
      </c>
      <c r="I56" s="47">
        <v>580</v>
      </c>
      <c r="J56" s="47">
        <v>266</v>
      </c>
      <c r="K56" s="47">
        <v>194</v>
      </c>
      <c r="L56" s="47">
        <v>350</v>
      </c>
      <c r="M56" s="47">
        <v>404</v>
      </c>
      <c r="N56" s="47">
        <v>433</v>
      </c>
      <c r="O56" s="47">
        <v>460</v>
      </c>
      <c r="P56" s="47">
        <v>579</v>
      </c>
      <c r="Q56" s="47">
        <v>575</v>
      </c>
      <c r="R56" s="47">
        <v>1292</v>
      </c>
      <c r="S56" s="47">
        <v>1619</v>
      </c>
      <c r="T56" s="88">
        <f t="shared" si="14"/>
        <v>5.0864661654135341</v>
      </c>
      <c r="U56" s="88">
        <f t="shared" si="15"/>
        <v>2.5195652173913046</v>
      </c>
      <c r="V56" s="88">
        <f t="shared" si="16"/>
        <v>0.25309597523219812</v>
      </c>
      <c r="W56" s="90">
        <f t="shared" si="17"/>
        <v>7.7556886227544905E-2</v>
      </c>
      <c r="X56" s="52">
        <f t="shared" si="18"/>
        <v>327</v>
      </c>
    </row>
    <row r="57" spans="1:24" x14ac:dyDescent="0.2">
      <c r="A57" s="70" t="s">
        <v>210</v>
      </c>
      <c r="B57" s="153">
        <v>39</v>
      </c>
      <c r="C57" s="153">
        <v>46</v>
      </c>
      <c r="D57" s="153">
        <v>714</v>
      </c>
      <c r="E57" s="153">
        <v>299</v>
      </c>
      <c r="F57" s="153">
        <v>237</v>
      </c>
      <c r="G57" s="153">
        <v>848</v>
      </c>
      <c r="H57" s="153">
        <v>993</v>
      </c>
      <c r="I57" s="153">
        <v>538</v>
      </c>
      <c r="J57" s="153">
        <v>1276</v>
      </c>
      <c r="K57" s="153">
        <v>1489</v>
      </c>
      <c r="L57" s="153">
        <v>1137</v>
      </c>
      <c r="M57" s="153">
        <v>1483</v>
      </c>
      <c r="N57" s="153">
        <v>1520</v>
      </c>
      <c r="O57" s="153">
        <v>2268</v>
      </c>
      <c r="P57" s="153">
        <v>3044</v>
      </c>
      <c r="Q57" s="153">
        <v>3628</v>
      </c>
      <c r="R57" s="153">
        <v>4594</v>
      </c>
      <c r="S57" s="153">
        <v>4697</v>
      </c>
      <c r="T57" s="88">
        <f t="shared" si="14"/>
        <v>2.6810344827586206</v>
      </c>
      <c r="U57" s="88">
        <f t="shared" si="15"/>
        <v>1.0709876543209877</v>
      </c>
      <c r="V57" s="88">
        <f t="shared" si="16"/>
        <v>2.242054854157597E-2</v>
      </c>
      <c r="W57" s="90">
        <f t="shared" si="17"/>
        <v>0.22500598802395211</v>
      </c>
      <c r="X57" s="52">
        <f t="shared" si="18"/>
        <v>103</v>
      </c>
    </row>
    <row r="58" spans="1:24" x14ac:dyDescent="0.2">
      <c r="A58" s="70" t="s">
        <v>43</v>
      </c>
      <c r="B58" s="153">
        <v>122</v>
      </c>
      <c r="C58" s="153">
        <v>266</v>
      </c>
      <c r="D58" s="153">
        <v>724</v>
      </c>
      <c r="E58" s="153">
        <v>724</v>
      </c>
      <c r="F58" s="153">
        <v>988</v>
      </c>
      <c r="G58" s="153">
        <v>810</v>
      </c>
      <c r="H58" s="153">
        <v>968</v>
      </c>
      <c r="I58" s="153">
        <v>786</v>
      </c>
      <c r="J58" s="153">
        <v>1168</v>
      </c>
      <c r="K58" s="153">
        <v>1337</v>
      </c>
      <c r="L58" s="153">
        <v>1702</v>
      </c>
      <c r="M58" s="153">
        <v>1859</v>
      </c>
      <c r="N58" s="153">
        <v>2293</v>
      </c>
      <c r="O58" s="153">
        <v>1846</v>
      </c>
      <c r="P58" s="153">
        <v>1746</v>
      </c>
      <c r="Q58" s="153">
        <v>1603</v>
      </c>
      <c r="R58" s="105">
        <v>1453</v>
      </c>
      <c r="S58" s="105">
        <v>1157</v>
      </c>
      <c r="T58" s="88">
        <f t="shared" si="14"/>
        <v>-9.4178082191780817E-3</v>
      </c>
      <c r="U58" s="88">
        <f t="shared" si="15"/>
        <v>-0.37323943661971831</v>
      </c>
      <c r="V58" s="88">
        <f t="shared" si="16"/>
        <v>-0.20371644872677219</v>
      </c>
      <c r="W58" s="90">
        <f t="shared" si="17"/>
        <v>5.5425149700598801E-2</v>
      </c>
      <c r="X58" s="52">
        <f t="shared" si="18"/>
        <v>-296</v>
      </c>
    </row>
    <row r="59" spans="1:24" x14ac:dyDescent="0.2">
      <c r="A59" s="5" t="s">
        <v>4</v>
      </c>
      <c r="B59" s="48">
        <v>5481</v>
      </c>
      <c r="C59" s="48">
        <v>6239</v>
      </c>
      <c r="D59" s="48">
        <v>8606</v>
      </c>
      <c r="E59" s="48">
        <v>8088</v>
      </c>
      <c r="F59" s="48">
        <v>10011</v>
      </c>
      <c r="G59" s="48">
        <v>10589</v>
      </c>
      <c r="H59" s="48">
        <v>12613</v>
      </c>
      <c r="I59" s="48">
        <v>13015</v>
      </c>
      <c r="J59" s="48">
        <v>13984</v>
      </c>
      <c r="K59" s="48">
        <v>13984</v>
      </c>
      <c r="L59" s="48">
        <v>14827</v>
      </c>
      <c r="M59" s="48">
        <v>16379</v>
      </c>
      <c r="N59" s="48">
        <v>16244</v>
      </c>
      <c r="O59" s="48">
        <v>15352</v>
      </c>
      <c r="P59" s="48">
        <v>19391</v>
      </c>
      <c r="Q59" s="48">
        <v>19485</v>
      </c>
      <c r="R59" s="48">
        <v>22177</v>
      </c>
      <c r="S59" s="48">
        <v>20875</v>
      </c>
      <c r="T59" s="89">
        <f t="shared" si="14"/>
        <v>0.49277745995423339</v>
      </c>
      <c r="U59" s="89">
        <f t="shared" si="15"/>
        <v>0.35975768629494531</v>
      </c>
      <c r="V59" s="89">
        <f t="shared" si="16"/>
        <v>-5.8709473779140549E-2</v>
      </c>
      <c r="W59" s="91">
        <f t="shared" si="17"/>
        <v>1</v>
      </c>
      <c r="X59" s="53">
        <f t="shared" si="18"/>
        <v>-1302</v>
      </c>
    </row>
    <row r="60" spans="1:24" x14ac:dyDescent="0.2">
      <c r="B60" s="134"/>
      <c r="C60" s="134"/>
      <c r="D60" s="134"/>
      <c r="E60" s="134"/>
      <c r="F60" s="134"/>
      <c r="G60" s="134"/>
      <c r="H60" s="134"/>
      <c r="I60" s="134"/>
      <c r="J60" s="134"/>
      <c r="K60" s="134"/>
      <c r="L60" s="134"/>
      <c r="M60" s="134"/>
      <c r="N60" s="134"/>
      <c r="O60" s="134"/>
      <c r="P60" s="134"/>
      <c r="Q60" s="134"/>
      <c r="R60" s="134"/>
      <c r="S60" s="134"/>
      <c r="T60" s="135"/>
      <c r="U60" s="135"/>
      <c r="V60" s="135"/>
      <c r="W60" s="135"/>
      <c r="X60" s="135"/>
    </row>
    <row r="61" spans="1:24" ht="15.75" x14ac:dyDescent="0.2">
      <c r="A61" s="32" t="s">
        <v>331</v>
      </c>
      <c r="B61" s="32"/>
      <c r="C61" s="32"/>
      <c r="D61" s="32"/>
      <c r="E61" s="32"/>
      <c r="F61" s="32"/>
      <c r="G61" s="31"/>
      <c r="H61" s="31"/>
      <c r="I61" s="31"/>
      <c r="J61" s="31"/>
      <c r="K61" s="31"/>
      <c r="L61" s="31"/>
      <c r="M61" s="31"/>
      <c r="N61" s="31"/>
      <c r="O61" s="31"/>
      <c r="P61" s="31"/>
      <c r="Q61" s="31"/>
      <c r="R61" s="31"/>
      <c r="S61" s="31"/>
      <c r="T61" s="31"/>
      <c r="U61" s="31"/>
      <c r="V61" s="31"/>
      <c r="W61" s="31"/>
      <c r="X61" s="31"/>
    </row>
    <row r="62" spans="1:24" ht="38.25" x14ac:dyDescent="0.2">
      <c r="A62" s="73" t="s">
        <v>10</v>
      </c>
      <c r="B62" s="3">
        <v>2007</v>
      </c>
      <c r="C62" s="3">
        <v>2008</v>
      </c>
      <c r="D62" s="3">
        <v>2009</v>
      </c>
      <c r="E62" s="3">
        <v>2010</v>
      </c>
      <c r="F62" s="3">
        <v>2011</v>
      </c>
      <c r="G62" s="3">
        <v>2012</v>
      </c>
      <c r="H62" s="3">
        <v>2013</v>
      </c>
      <c r="I62" s="3">
        <v>2014</v>
      </c>
      <c r="J62" s="3">
        <v>2015</v>
      </c>
      <c r="K62" s="3">
        <v>2016</v>
      </c>
      <c r="L62" s="3">
        <v>2017</v>
      </c>
      <c r="M62" s="3">
        <v>2018</v>
      </c>
      <c r="N62" s="3">
        <v>2019</v>
      </c>
      <c r="O62" s="3">
        <v>2020</v>
      </c>
      <c r="P62" s="3">
        <v>2021</v>
      </c>
      <c r="Q62" s="3">
        <v>2022</v>
      </c>
      <c r="R62" s="3">
        <v>2023</v>
      </c>
      <c r="S62" s="3">
        <v>2024</v>
      </c>
      <c r="T62" s="12" t="s">
        <v>368</v>
      </c>
      <c r="U62" s="12" t="s">
        <v>369</v>
      </c>
      <c r="V62" s="12" t="s">
        <v>370</v>
      </c>
      <c r="W62" s="12" t="s">
        <v>372</v>
      </c>
      <c r="X62" s="169" t="s">
        <v>494</v>
      </c>
    </row>
    <row r="63" spans="1:24" x14ac:dyDescent="0.2">
      <c r="A63" s="4" t="s">
        <v>11</v>
      </c>
      <c r="B63" s="4">
        <v>2342</v>
      </c>
      <c r="C63" s="4">
        <v>2608</v>
      </c>
      <c r="D63" s="4">
        <v>3601</v>
      </c>
      <c r="E63" s="4">
        <v>2998</v>
      </c>
      <c r="F63" s="4">
        <v>3702</v>
      </c>
      <c r="G63" s="15">
        <v>3576</v>
      </c>
      <c r="H63" s="15">
        <v>5204</v>
      </c>
      <c r="I63" s="15">
        <v>4976</v>
      </c>
      <c r="J63" s="15">
        <v>5296</v>
      </c>
      <c r="K63" s="15">
        <v>5125</v>
      </c>
      <c r="L63" s="15">
        <v>5107</v>
      </c>
      <c r="M63" s="15">
        <v>5337</v>
      </c>
      <c r="N63" s="15">
        <v>5253</v>
      </c>
      <c r="O63" s="15">
        <v>5059</v>
      </c>
      <c r="P63" s="15">
        <v>6293</v>
      </c>
      <c r="Q63" s="15">
        <v>5999</v>
      </c>
      <c r="R63" s="15">
        <v>7777</v>
      </c>
      <c r="S63" s="15">
        <v>7046</v>
      </c>
      <c r="T63" s="88">
        <f t="shared" ref="T63:T73" si="19">(S63-J63)/J63</f>
        <v>0.33043806646525681</v>
      </c>
      <c r="U63" s="88">
        <f t="shared" ref="U63:U73" si="20">(S63-O63)/O63</f>
        <v>0.39276536864993083</v>
      </c>
      <c r="V63" s="88">
        <f t="shared" ref="V63:V73" si="21">(S63-R63)/R63</f>
        <v>-9.3995113797093993E-2</v>
      </c>
      <c r="W63" s="90">
        <f>S63/S$73</f>
        <v>0.35770128947101226</v>
      </c>
      <c r="X63" s="52">
        <f t="shared" ref="X63:X73" si="22">S63-R63</f>
        <v>-731</v>
      </c>
    </row>
    <row r="64" spans="1:24" x14ac:dyDescent="0.2">
      <c r="A64" s="4" t="s">
        <v>12</v>
      </c>
      <c r="B64" s="4">
        <v>59</v>
      </c>
      <c r="C64" s="4">
        <v>68</v>
      </c>
      <c r="D64" s="4">
        <v>100</v>
      </c>
      <c r="E64" s="4">
        <v>101</v>
      </c>
      <c r="F64" s="4">
        <v>132</v>
      </c>
      <c r="G64" s="15">
        <v>169</v>
      </c>
      <c r="H64" s="15">
        <v>194</v>
      </c>
      <c r="I64" s="15">
        <v>165</v>
      </c>
      <c r="J64" s="15">
        <v>165</v>
      </c>
      <c r="K64" s="15">
        <v>163</v>
      </c>
      <c r="L64" s="15">
        <v>180</v>
      </c>
      <c r="M64" s="15">
        <v>176</v>
      </c>
      <c r="N64" s="15">
        <v>147</v>
      </c>
      <c r="O64" s="15">
        <v>137</v>
      </c>
      <c r="P64" s="15">
        <v>170</v>
      </c>
      <c r="Q64" s="15">
        <v>138</v>
      </c>
      <c r="R64" s="15">
        <v>144</v>
      </c>
      <c r="S64" s="15">
        <v>161</v>
      </c>
      <c r="T64" s="88">
        <f t="shared" si="19"/>
        <v>-2.4242424242424242E-2</v>
      </c>
      <c r="U64" s="88">
        <f t="shared" si="20"/>
        <v>0.17518248175182483</v>
      </c>
      <c r="V64" s="88">
        <f t="shared" si="21"/>
        <v>0.11805555555555555</v>
      </c>
      <c r="W64" s="90">
        <f t="shared" ref="W64:W73" si="23">S64/S$73</f>
        <v>8.1734186211798159E-3</v>
      </c>
      <c r="X64" s="52">
        <f t="shared" si="22"/>
        <v>17</v>
      </c>
    </row>
    <row r="65" spans="1:24" x14ac:dyDescent="0.2">
      <c r="A65" s="4" t="s">
        <v>13</v>
      </c>
      <c r="B65" s="4">
        <v>81</v>
      </c>
      <c r="C65" s="4">
        <v>105</v>
      </c>
      <c r="D65" s="4">
        <v>97</v>
      </c>
      <c r="E65" s="4">
        <v>136</v>
      </c>
      <c r="F65" s="4">
        <v>135</v>
      </c>
      <c r="G65" s="15">
        <v>130</v>
      </c>
      <c r="H65" s="15">
        <v>193</v>
      </c>
      <c r="I65" s="15">
        <v>208</v>
      </c>
      <c r="J65" s="15">
        <v>279</v>
      </c>
      <c r="K65" s="15">
        <v>252</v>
      </c>
      <c r="L65" s="15">
        <v>367</v>
      </c>
      <c r="M65" s="15">
        <v>433</v>
      </c>
      <c r="N65" s="15">
        <v>462</v>
      </c>
      <c r="O65" s="15">
        <v>391</v>
      </c>
      <c r="P65" s="15">
        <v>489</v>
      </c>
      <c r="Q65" s="15">
        <v>569</v>
      </c>
      <c r="R65" s="15">
        <v>511</v>
      </c>
      <c r="S65" s="15">
        <v>507</v>
      </c>
      <c r="T65" s="88">
        <f t="shared" si="19"/>
        <v>0.81720430107526887</v>
      </c>
      <c r="U65" s="88">
        <f t="shared" si="20"/>
        <v>0.29667519181585678</v>
      </c>
      <c r="V65" s="88">
        <f t="shared" si="21"/>
        <v>-7.8277886497064575E-3</v>
      </c>
      <c r="W65" s="90">
        <f t="shared" si="23"/>
        <v>2.5738653670423394E-2</v>
      </c>
      <c r="X65" s="52">
        <f t="shared" si="22"/>
        <v>-4</v>
      </c>
    </row>
    <row r="66" spans="1:24" x14ac:dyDescent="0.2">
      <c r="A66" s="4" t="s">
        <v>14</v>
      </c>
      <c r="B66" s="4">
        <v>166</v>
      </c>
      <c r="C66" s="4">
        <v>167</v>
      </c>
      <c r="D66" s="4">
        <v>239</v>
      </c>
      <c r="E66" s="4">
        <v>266</v>
      </c>
      <c r="F66" s="4">
        <v>257</v>
      </c>
      <c r="G66" s="15">
        <v>226</v>
      </c>
      <c r="H66" s="15">
        <v>335</v>
      </c>
      <c r="I66" s="15">
        <v>367</v>
      </c>
      <c r="J66" s="15">
        <v>430</v>
      </c>
      <c r="K66" s="15">
        <v>430</v>
      </c>
      <c r="L66" s="15">
        <v>441</v>
      </c>
      <c r="M66" s="15">
        <v>412</v>
      </c>
      <c r="N66" s="15">
        <v>466</v>
      </c>
      <c r="O66" s="15">
        <v>456</v>
      </c>
      <c r="P66" s="15">
        <v>600</v>
      </c>
      <c r="Q66" s="15">
        <v>556</v>
      </c>
      <c r="R66" s="15">
        <v>924</v>
      </c>
      <c r="S66" s="15">
        <v>835</v>
      </c>
      <c r="T66" s="88">
        <f t="shared" si="19"/>
        <v>0.94186046511627908</v>
      </c>
      <c r="U66" s="88">
        <f t="shared" si="20"/>
        <v>0.83114035087719296</v>
      </c>
      <c r="V66" s="88">
        <f t="shared" si="21"/>
        <v>-9.632034632034632E-2</v>
      </c>
      <c r="W66" s="90">
        <f t="shared" si="23"/>
        <v>4.2390090364504009E-2</v>
      </c>
      <c r="X66" s="52">
        <f t="shared" si="22"/>
        <v>-89</v>
      </c>
    </row>
    <row r="67" spans="1:24" x14ac:dyDescent="0.2">
      <c r="A67" s="4" t="s">
        <v>15</v>
      </c>
      <c r="B67" s="4">
        <v>1032</v>
      </c>
      <c r="C67" s="4">
        <v>1008</v>
      </c>
      <c r="D67" s="4">
        <v>1506</v>
      </c>
      <c r="E67" s="4">
        <v>1463</v>
      </c>
      <c r="F67" s="4">
        <v>1577</v>
      </c>
      <c r="G67" s="15">
        <v>1579</v>
      </c>
      <c r="H67" s="15">
        <v>1629</v>
      </c>
      <c r="I67" s="15">
        <v>1770</v>
      </c>
      <c r="J67" s="15">
        <v>1651</v>
      </c>
      <c r="K67" s="15">
        <v>1678</v>
      </c>
      <c r="L67" s="15">
        <v>2004</v>
      </c>
      <c r="M67" s="15">
        <v>2085</v>
      </c>
      <c r="N67" s="15">
        <v>2014</v>
      </c>
      <c r="O67" s="15">
        <v>1697</v>
      </c>
      <c r="P67" s="15">
        <v>2675</v>
      </c>
      <c r="Q67" s="15">
        <v>2364</v>
      </c>
      <c r="R67" s="15">
        <v>2523</v>
      </c>
      <c r="S67" s="15">
        <v>2408</v>
      </c>
      <c r="T67" s="88">
        <f t="shared" si="19"/>
        <v>0.4585099939430648</v>
      </c>
      <c r="U67" s="88">
        <f t="shared" si="20"/>
        <v>0.41897466116676491</v>
      </c>
      <c r="V67" s="88">
        <f t="shared" si="21"/>
        <v>-4.5580657946888627E-2</v>
      </c>
      <c r="W67" s="90">
        <f t="shared" si="23"/>
        <v>0.12224591329068941</v>
      </c>
      <c r="X67" s="52">
        <f t="shared" si="22"/>
        <v>-115</v>
      </c>
    </row>
    <row r="68" spans="1:24" x14ac:dyDescent="0.2">
      <c r="A68" s="4" t="s">
        <v>16</v>
      </c>
      <c r="B68" s="4">
        <v>130</v>
      </c>
      <c r="C68" s="4">
        <v>226</v>
      </c>
      <c r="D68" s="4">
        <v>225</v>
      </c>
      <c r="E68" s="4">
        <v>230</v>
      </c>
      <c r="F68" s="4">
        <v>428</v>
      </c>
      <c r="G68" s="15">
        <v>467</v>
      </c>
      <c r="H68" s="15">
        <v>413</v>
      </c>
      <c r="I68" s="15">
        <v>560</v>
      </c>
      <c r="J68" s="15">
        <v>560</v>
      </c>
      <c r="K68" s="15">
        <v>733</v>
      </c>
      <c r="L68" s="15">
        <v>713</v>
      </c>
      <c r="M68" s="15">
        <v>848</v>
      </c>
      <c r="N68" s="15">
        <v>1084</v>
      </c>
      <c r="O68" s="15">
        <v>939</v>
      </c>
      <c r="P68" s="15">
        <v>1114</v>
      </c>
      <c r="Q68" s="15">
        <v>1267</v>
      </c>
      <c r="R68" s="15">
        <v>1242</v>
      </c>
      <c r="S68" s="15">
        <v>1249</v>
      </c>
      <c r="T68" s="88">
        <f t="shared" si="19"/>
        <v>1.2303571428571429</v>
      </c>
      <c r="U68" s="88">
        <f t="shared" si="20"/>
        <v>0.33013844515441959</v>
      </c>
      <c r="V68" s="88">
        <f t="shared" si="21"/>
        <v>5.6360708534621577E-3</v>
      </c>
      <c r="W68" s="90">
        <f t="shared" si="23"/>
        <v>6.3407452533252112E-2</v>
      </c>
      <c r="X68" s="52">
        <f t="shared" si="22"/>
        <v>7</v>
      </c>
    </row>
    <row r="69" spans="1:24" x14ac:dyDescent="0.2">
      <c r="A69" s="4" t="s">
        <v>17</v>
      </c>
      <c r="B69" s="4">
        <v>501</v>
      </c>
      <c r="C69" s="4">
        <v>705</v>
      </c>
      <c r="D69" s="4">
        <v>1196</v>
      </c>
      <c r="E69" s="4">
        <v>1316</v>
      </c>
      <c r="F69" s="4">
        <v>1832</v>
      </c>
      <c r="G69" s="15">
        <v>2536</v>
      </c>
      <c r="H69" s="15">
        <v>2546</v>
      </c>
      <c r="I69" s="15">
        <v>2660</v>
      </c>
      <c r="J69" s="15">
        <v>2972</v>
      </c>
      <c r="K69" s="15">
        <v>2981</v>
      </c>
      <c r="L69" s="15">
        <v>3120</v>
      </c>
      <c r="M69" s="15">
        <v>3634</v>
      </c>
      <c r="N69" s="15">
        <v>3539</v>
      </c>
      <c r="O69" s="15">
        <v>3607</v>
      </c>
      <c r="P69" s="15">
        <v>4387</v>
      </c>
      <c r="Q69" s="15">
        <v>4462</v>
      </c>
      <c r="R69" s="15">
        <v>4352</v>
      </c>
      <c r="S69" s="15">
        <v>3648</v>
      </c>
      <c r="T69" s="88">
        <f t="shared" si="19"/>
        <v>0.22745625841184389</v>
      </c>
      <c r="U69" s="88">
        <f t="shared" si="20"/>
        <v>1.1366786803437759E-2</v>
      </c>
      <c r="V69" s="88">
        <f t="shared" si="21"/>
        <v>-0.16176470588235295</v>
      </c>
      <c r="W69" s="90">
        <f t="shared" si="23"/>
        <v>0.18519646664636003</v>
      </c>
      <c r="X69" s="52">
        <f t="shared" si="22"/>
        <v>-704</v>
      </c>
    </row>
    <row r="70" spans="1:24" x14ac:dyDescent="0.2">
      <c r="A70" s="4" t="s">
        <v>18</v>
      </c>
      <c r="B70" s="4">
        <v>166</v>
      </c>
      <c r="C70" s="4">
        <v>146</v>
      </c>
      <c r="D70" s="4">
        <v>197</v>
      </c>
      <c r="E70" s="4">
        <v>183</v>
      </c>
      <c r="F70" s="4">
        <v>217</v>
      </c>
      <c r="G70" s="15">
        <v>195</v>
      </c>
      <c r="H70" s="15">
        <v>260</v>
      </c>
      <c r="I70" s="15">
        <v>225</v>
      </c>
      <c r="J70" s="15">
        <v>266</v>
      </c>
      <c r="K70" s="15">
        <v>228</v>
      </c>
      <c r="L70" s="15">
        <v>265</v>
      </c>
      <c r="M70" s="15">
        <v>225</v>
      </c>
      <c r="N70" s="15">
        <v>300</v>
      </c>
      <c r="O70" s="15">
        <v>209</v>
      </c>
      <c r="P70" s="15">
        <v>321</v>
      </c>
      <c r="Q70" s="15">
        <v>288</v>
      </c>
      <c r="R70" s="15">
        <v>360</v>
      </c>
      <c r="S70" s="15">
        <v>441</v>
      </c>
      <c r="T70" s="88">
        <f t="shared" si="19"/>
        <v>0.65789473684210531</v>
      </c>
      <c r="U70" s="88">
        <f t="shared" si="20"/>
        <v>1.1100478468899522</v>
      </c>
      <c r="V70" s="88">
        <f t="shared" si="21"/>
        <v>0.22500000000000001</v>
      </c>
      <c r="W70" s="90">
        <f t="shared" si="23"/>
        <v>2.2388059701492536E-2</v>
      </c>
      <c r="X70" s="52">
        <f t="shared" si="22"/>
        <v>81</v>
      </c>
    </row>
    <row r="71" spans="1:24" x14ac:dyDescent="0.2">
      <c r="A71" s="4" t="s">
        <v>19</v>
      </c>
      <c r="B71" s="4">
        <v>227</v>
      </c>
      <c r="C71" s="4">
        <v>387</v>
      </c>
      <c r="D71" s="4">
        <v>400</v>
      </c>
      <c r="E71" s="4">
        <v>374</v>
      </c>
      <c r="F71" s="4">
        <v>558</v>
      </c>
      <c r="G71" s="15">
        <v>430</v>
      </c>
      <c r="H71" s="15">
        <v>391</v>
      </c>
      <c r="I71" s="15">
        <v>476</v>
      </c>
      <c r="J71" s="15">
        <v>469</v>
      </c>
      <c r="K71" s="15">
        <v>558</v>
      </c>
      <c r="L71" s="15">
        <v>571</v>
      </c>
      <c r="M71" s="15">
        <v>965</v>
      </c>
      <c r="N71" s="15">
        <v>821</v>
      </c>
      <c r="O71" s="15">
        <v>912</v>
      </c>
      <c r="P71" s="15">
        <v>921</v>
      </c>
      <c r="Q71" s="15">
        <v>1236</v>
      </c>
      <c r="R71" s="15">
        <v>1431</v>
      </c>
      <c r="S71" s="15">
        <v>1402</v>
      </c>
      <c r="T71" s="88">
        <f t="shared" si="19"/>
        <v>1.9893390191897655</v>
      </c>
      <c r="U71" s="88">
        <f t="shared" si="20"/>
        <v>0.53728070175438591</v>
      </c>
      <c r="V71" s="88">
        <f t="shared" si="21"/>
        <v>-2.026554856743536E-2</v>
      </c>
      <c r="W71" s="90">
        <f t="shared" si="23"/>
        <v>7.1174738552137268E-2</v>
      </c>
      <c r="X71" s="52">
        <f t="shared" si="22"/>
        <v>-29</v>
      </c>
    </row>
    <row r="72" spans="1:24" x14ac:dyDescent="0.2">
      <c r="A72" s="4" t="s">
        <v>20</v>
      </c>
      <c r="B72" s="4">
        <v>463</v>
      </c>
      <c r="C72" s="4">
        <v>499</v>
      </c>
      <c r="D72" s="4">
        <v>661</v>
      </c>
      <c r="E72" s="4">
        <v>627</v>
      </c>
      <c r="F72" s="4">
        <v>681</v>
      </c>
      <c r="G72" s="15">
        <v>678</v>
      </c>
      <c r="H72" s="15">
        <v>814</v>
      </c>
      <c r="I72" s="15">
        <v>996</v>
      </c>
      <c r="J72" s="15">
        <v>1203</v>
      </c>
      <c r="K72" s="15">
        <v>1130</v>
      </c>
      <c r="L72" s="15">
        <v>1332</v>
      </c>
      <c r="M72" s="15">
        <v>1432</v>
      </c>
      <c r="N72" s="15">
        <v>1273</v>
      </c>
      <c r="O72" s="15">
        <v>1168</v>
      </c>
      <c r="P72" s="15">
        <v>1512</v>
      </c>
      <c r="Q72" s="15">
        <v>1711</v>
      </c>
      <c r="R72" s="15">
        <v>1862</v>
      </c>
      <c r="S72" s="15">
        <v>2001</v>
      </c>
      <c r="T72" s="88">
        <f t="shared" si="19"/>
        <v>0.66334164588528677</v>
      </c>
      <c r="U72" s="88">
        <f t="shared" si="20"/>
        <v>0.71318493150684936</v>
      </c>
      <c r="V72" s="88">
        <f t="shared" si="21"/>
        <v>7.465091299677766E-2</v>
      </c>
      <c r="W72" s="90">
        <f t="shared" si="23"/>
        <v>0.10158391714894913</v>
      </c>
      <c r="X72" s="52">
        <f t="shared" si="22"/>
        <v>139</v>
      </c>
    </row>
    <row r="73" spans="1:24" x14ac:dyDescent="0.2">
      <c r="A73" s="5" t="s">
        <v>4</v>
      </c>
      <c r="B73" s="5">
        <v>5167</v>
      </c>
      <c r="C73" s="5">
        <v>5919</v>
      </c>
      <c r="D73" s="5">
        <v>8222</v>
      </c>
      <c r="E73" s="5">
        <v>7694</v>
      </c>
      <c r="F73" s="5">
        <v>9519</v>
      </c>
      <c r="G73" s="5">
        <v>9986</v>
      </c>
      <c r="H73" s="5">
        <v>11979</v>
      </c>
      <c r="I73" s="5">
        <v>12403</v>
      </c>
      <c r="J73" s="5">
        <v>13291</v>
      </c>
      <c r="K73" s="5">
        <v>13278</v>
      </c>
      <c r="L73" s="5">
        <v>14100</v>
      </c>
      <c r="M73" s="5">
        <v>15547</v>
      </c>
      <c r="N73" s="5">
        <v>15359</v>
      </c>
      <c r="O73" s="5">
        <v>14575</v>
      </c>
      <c r="P73" s="5">
        <v>18482</v>
      </c>
      <c r="Q73" s="5">
        <v>18590</v>
      </c>
      <c r="R73" s="5">
        <v>21126</v>
      </c>
      <c r="S73" s="66">
        <v>19698</v>
      </c>
      <c r="T73" s="89">
        <f t="shared" si="19"/>
        <v>0.48205552629598974</v>
      </c>
      <c r="U73" s="89">
        <f t="shared" si="20"/>
        <v>0.35149228130360205</v>
      </c>
      <c r="V73" s="89">
        <f t="shared" si="21"/>
        <v>-6.7594433399602388E-2</v>
      </c>
      <c r="W73" s="91">
        <f t="shared" si="23"/>
        <v>1</v>
      </c>
      <c r="X73" s="53">
        <f t="shared" si="22"/>
        <v>-1428</v>
      </c>
    </row>
    <row r="74" spans="1:24" x14ac:dyDescent="0.2">
      <c r="A74" s="134"/>
      <c r="B74" s="134"/>
      <c r="C74" s="134"/>
      <c r="D74" s="134"/>
      <c r="E74" s="134"/>
      <c r="F74" s="134"/>
      <c r="G74" s="134"/>
      <c r="H74" s="134"/>
      <c r="I74" s="134"/>
      <c r="J74" s="134"/>
      <c r="K74" s="134"/>
      <c r="L74" s="134"/>
      <c r="M74" s="134"/>
      <c r="N74" s="134"/>
      <c r="O74" s="134"/>
      <c r="P74" s="134"/>
      <c r="Q74" s="134"/>
      <c r="R74" s="134"/>
      <c r="S74" s="134"/>
      <c r="T74" s="135"/>
      <c r="U74" s="135"/>
      <c r="V74" s="135"/>
      <c r="W74" s="135"/>
      <c r="X74" s="135"/>
    </row>
    <row r="75" spans="1:24" ht="15.75" x14ac:dyDescent="0.2">
      <c r="A75" s="32" t="s">
        <v>332</v>
      </c>
      <c r="B75" s="32"/>
      <c r="C75" s="32"/>
      <c r="D75" s="32"/>
      <c r="E75" s="32"/>
      <c r="F75" s="32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</row>
    <row r="76" spans="1:24" ht="38.25" x14ac:dyDescent="0.2">
      <c r="A76" s="73" t="s">
        <v>10</v>
      </c>
      <c r="B76" s="3">
        <v>2007</v>
      </c>
      <c r="C76" s="3">
        <v>2008</v>
      </c>
      <c r="D76" s="3">
        <v>2009</v>
      </c>
      <c r="E76" s="3">
        <v>2010</v>
      </c>
      <c r="F76" s="3">
        <v>2011</v>
      </c>
      <c r="G76" s="3">
        <v>2012</v>
      </c>
      <c r="H76" s="3">
        <v>2013</v>
      </c>
      <c r="I76" s="3">
        <v>2014</v>
      </c>
      <c r="J76" s="3">
        <v>2015</v>
      </c>
      <c r="K76" s="3">
        <v>2016</v>
      </c>
      <c r="L76" s="3">
        <v>2017</v>
      </c>
      <c r="M76" s="3">
        <v>2018</v>
      </c>
      <c r="N76" s="3">
        <v>2019</v>
      </c>
      <c r="O76" s="3">
        <v>2020</v>
      </c>
      <c r="P76" s="3">
        <v>2021</v>
      </c>
      <c r="Q76" s="3">
        <v>2022</v>
      </c>
      <c r="R76" s="3">
        <v>2023</v>
      </c>
      <c r="S76" s="3">
        <v>2024</v>
      </c>
      <c r="T76" s="12" t="s">
        <v>368</v>
      </c>
      <c r="U76" s="12" t="s">
        <v>369</v>
      </c>
      <c r="V76" s="12" t="s">
        <v>370</v>
      </c>
      <c r="W76" s="12" t="s">
        <v>372</v>
      </c>
      <c r="X76" s="169" t="s">
        <v>494</v>
      </c>
    </row>
    <row r="77" spans="1:24" x14ac:dyDescent="0.2">
      <c r="A77" s="4" t="s">
        <v>11</v>
      </c>
      <c r="B77" s="4">
        <v>0</v>
      </c>
      <c r="C77" s="4">
        <v>0</v>
      </c>
      <c r="D77" s="4">
        <v>0</v>
      </c>
      <c r="E77" s="4">
        <v>0</v>
      </c>
      <c r="F77" s="4">
        <v>8</v>
      </c>
      <c r="G77" s="15">
        <v>21</v>
      </c>
      <c r="H77" s="15">
        <v>4</v>
      </c>
      <c r="I77" s="15">
        <v>3</v>
      </c>
      <c r="J77" s="15">
        <v>2</v>
      </c>
      <c r="K77" s="15">
        <v>3</v>
      </c>
      <c r="L77" s="15">
        <v>4</v>
      </c>
      <c r="M77" s="15">
        <v>9</v>
      </c>
      <c r="N77" s="15">
        <v>8</v>
      </c>
      <c r="O77" s="15">
        <v>7</v>
      </c>
      <c r="P77" s="15">
        <v>15</v>
      </c>
      <c r="Q77" s="15">
        <v>6</v>
      </c>
      <c r="R77" s="15">
        <v>13</v>
      </c>
      <c r="S77" s="15">
        <v>9</v>
      </c>
      <c r="T77" s="88">
        <f t="shared" ref="T77:T87" si="24">(S77-J77)/J77</f>
        <v>3.5</v>
      </c>
      <c r="U77" s="88">
        <f t="shared" ref="U77:U87" si="25">(S77-O77)/O77</f>
        <v>0.2857142857142857</v>
      </c>
      <c r="V77" s="88">
        <f t="shared" ref="V77:V87" si="26">(S77-R77)/R77</f>
        <v>-0.30769230769230771</v>
      </c>
      <c r="W77" s="90">
        <f>S77/S$87</f>
        <v>7.6465590484282074E-3</v>
      </c>
      <c r="X77" s="52">
        <f t="shared" ref="X77:X87" si="27">S77-R77</f>
        <v>-4</v>
      </c>
    </row>
    <row r="78" spans="1:24" x14ac:dyDescent="0.2">
      <c r="A78" s="4" t="s">
        <v>12</v>
      </c>
      <c r="B78" s="4">
        <v>26</v>
      </c>
      <c r="C78" s="4">
        <v>21</v>
      </c>
      <c r="D78" s="4">
        <v>29</v>
      </c>
      <c r="E78" s="4">
        <v>25</v>
      </c>
      <c r="F78" s="4">
        <v>35</v>
      </c>
      <c r="G78" s="15">
        <v>44</v>
      </c>
      <c r="H78" s="15">
        <v>48</v>
      </c>
      <c r="I78" s="15">
        <v>47</v>
      </c>
      <c r="J78" s="15">
        <v>50</v>
      </c>
      <c r="K78" s="15">
        <v>58</v>
      </c>
      <c r="L78" s="15">
        <v>52</v>
      </c>
      <c r="M78" s="15">
        <v>68</v>
      </c>
      <c r="N78" s="15">
        <v>64</v>
      </c>
      <c r="O78" s="15">
        <v>47</v>
      </c>
      <c r="P78" s="15">
        <v>48</v>
      </c>
      <c r="Q78" s="15">
        <v>54</v>
      </c>
      <c r="R78" s="15">
        <v>39</v>
      </c>
      <c r="S78" s="15">
        <v>59</v>
      </c>
      <c r="T78" s="88">
        <f t="shared" si="24"/>
        <v>0.18</v>
      </c>
      <c r="U78" s="88">
        <f t="shared" si="25"/>
        <v>0.25531914893617019</v>
      </c>
      <c r="V78" s="88">
        <f t="shared" si="26"/>
        <v>0.51282051282051277</v>
      </c>
      <c r="W78" s="90">
        <f t="shared" ref="W78:W87" si="28">S78/S$87</f>
        <v>5.0127442650807139E-2</v>
      </c>
      <c r="X78" s="52">
        <f t="shared" si="27"/>
        <v>20</v>
      </c>
    </row>
    <row r="79" spans="1:24" x14ac:dyDescent="0.2">
      <c r="A79" s="4" t="s">
        <v>13</v>
      </c>
      <c r="B79" s="4">
        <v>0</v>
      </c>
      <c r="C79" s="4">
        <v>0</v>
      </c>
      <c r="D79" s="4">
        <v>3</v>
      </c>
      <c r="E79" s="4">
        <v>10</v>
      </c>
      <c r="F79" s="4">
        <v>4</v>
      </c>
      <c r="G79" s="15">
        <v>8</v>
      </c>
      <c r="H79" s="15">
        <v>9</v>
      </c>
      <c r="I79" s="15">
        <v>8</v>
      </c>
      <c r="J79" s="15">
        <v>4</v>
      </c>
      <c r="K79" s="15">
        <v>15</v>
      </c>
      <c r="L79" s="15">
        <v>10</v>
      </c>
      <c r="M79" s="15">
        <v>13</v>
      </c>
      <c r="N79" s="15">
        <v>11</v>
      </c>
      <c r="O79" s="15">
        <v>11</v>
      </c>
      <c r="P79" s="15">
        <v>16</v>
      </c>
      <c r="Q79" s="15">
        <v>15</v>
      </c>
      <c r="R79" s="15">
        <v>11</v>
      </c>
      <c r="S79" s="15">
        <v>10</v>
      </c>
      <c r="T79" s="88">
        <f t="shared" si="24"/>
        <v>1.5</v>
      </c>
      <c r="U79" s="88">
        <f t="shared" si="25"/>
        <v>-9.0909090909090912E-2</v>
      </c>
      <c r="V79" s="88">
        <f t="shared" si="26"/>
        <v>-9.0909090909090912E-2</v>
      </c>
      <c r="W79" s="90">
        <f t="shared" si="28"/>
        <v>8.4961767204757861E-3</v>
      </c>
      <c r="X79" s="52">
        <f t="shared" si="27"/>
        <v>-1</v>
      </c>
    </row>
    <row r="80" spans="1:24" x14ac:dyDescent="0.2">
      <c r="A80" s="4" t="s">
        <v>14</v>
      </c>
      <c r="B80" s="4">
        <v>158</v>
      </c>
      <c r="C80" s="4">
        <v>140</v>
      </c>
      <c r="D80" s="4">
        <v>197</v>
      </c>
      <c r="E80" s="4">
        <v>191</v>
      </c>
      <c r="F80" s="4">
        <v>215</v>
      </c>
      <c r="G80" s="15">
        <v>237</v>
      </c>
      <c r="H80" s="15">
        <v>235</v>
      </c>
      <c r="I80" s="15">
        <v>217</v>
      </c>
      <c r="J80" s="15">
        <v>265</v>
      </c>
      <c r="K80" s="15">
        <v>258</v>
      </c>
      <c r="L80" s="15">
        <v>241</v>
      </c>
      <c r="M80" s="15">
        <v>276</v>
      </c>
      <c r="N80" s="15">
        <v>328</v>
      </c>
      <c r="O80" s="15">
        <v>274</v>
      </c>
      <c r="P80" s="15">
        <v>277</v>
      </c>
      <c r="Q80" s="15">
        <v>313</v>
      </c>
      <c r="R80" s="15">
        <v>296</v>
      </c>
      <c r="S80" s="15">
        <v>347</v>
      </c>
      <c r="T80" s="88">
        <f t="shared" si="24"/>
        <v>0.30943396226415093</v>
      </c>
      <c r="U80" s="88">
        <f t="shared" si="25"/>
        <v>0.26642335766423358</v>
      </c>
      <c r="V80" s="88">
        <f t="shared" si="26"/>
        <v>0.17229729729729729</v>
      </c>
      <c r="W80" s="90">
        <f t="shared" si="28"/>
        <v>0.29481733220050976</v>
      </c>
      <c r="X80" s="52">
        <f t="shared" si="27"/>
        <v>51</v>
      </c>
    </row>
    <row r="81" spans="1:24" x14ac:dyDescent="0.2">
      <c r="A81" s="4" t="s">
        <v>15</v>
      </c>
      <c r="B81" s="4">
        <v>19</v>
      </c>
      <c r="C81" s="4">
        <v>18</v>
      </c>
      <c r="D81" s="4">
        <v>34</v>
      </c>
      <c r="E81" s="4">
        <v>17</v>
      </c>
      <c r="F81" s="4">
        <v>41</v>
      </c>
      <c r="G81" s="15">
        <v>40</v>
      </c>
      <c r="H81" s="15">
        <v>39</v>
      </c>
      <c r="I81" s="15">
        <v>65</v>
      </c>
      <c r="J81" s="15">
        <v>69</v>
      </c>
      <c r="K81" s="15">
        <v>74</v>
      </c>
      <c r="L81" s="15">
        <v>93</v>
      </c>
      <c r="M81" s="15">
        <v>124</v>
      </c>
      <c r="N81" s="15">
        <v>110</v>
      </c>
      <c r="O81" s="15">
        <v>89</v>
      </c>
      <c r="P81" s="15">
        <v>134</v>
      </c>
      <c r="Q81" s="15">
        <v>135</v>
      </c>
      <c r="R81" s="15">
        <v>183</v>
      </c>
      <c r="S81" s="15">
        <v>203</v>
      </c>
      <c r="T81" s="88">
        <f t="shared" si="24"/>
        <v>1.9420289855072463</v>
      </c>
      <c r="U81" s="88">
        <f t="shared" si="25"/>
        <v>1.2808988764044944</v>
      </c>
      <c r="V81" s="88">
        <f t="shared" si="26"/>
        <v>0.10928961748633879</v>
      </c>
      <c r="W81" s="90">
        <f t="shared" si="28"/>
        <v>0.17247238742565846</v>
      </c>
      <c r="X81" s="52">
        <f t="shared" si="27"/>
        <v>20</v>
      </c>
    </row>
    <row r="82" spans="1:24" x14ac:dyDescent="0.2">
      <c r="A82" s="4" t="s">
        <v>16</v>
      </c>
      <c r="B82" s="4">
        <v>1</v>
      </c>
      <c r="C82" s="4">
        <v>8</v>
      </c>
      <c r="D82" s="4">
        <v>2</v>
      </c>
      <c r="E82" s="4">
        <v>7</v>
      </c>
      <c r="F82" s="4">
        <v>3</v>
      </c>
      <c r="G82" s="15">
        <v>11</v>
      </c>
      <c r="H82" s="15">
        <v>14</v>
      </c>
      <c r="I82" s="15">
        <v>10</v>
      </c>
      <c r="J82" s="15">
        <v>6</v>
      </c>
      <c r="K82" s="15">
        <v>17</v>
      </c>
      <c r="L82" s="15">
        <v>15</v>
      </c>
      <c r="M82" s="15">
        <v>25</v>
      </c>
      <c r="N82" s="15">
        <v>19</v>
      </c>
      <c r="O82" s="15">
        <v>18</v>
      </c>
      <c r="P82" s="15">
        <v>22</v>
      </c>
      <c r="Q82" s="15">
        <v>16</v>
      </c>
      <c r="R82" s="15">
        <v>30</v>
      </c>
      <c r="S82" s="15">
        <v>24</v>
      </c>
      <c r="T82" s="88">
        <f t="shared" si="24"/>
        <v>3</v>
      </c>
      <c r="U82" s="88">
        <f t="shared" si="25"/>
        <v>0.33333333333333331</v>
      </c>
      <c r="V82" s="88">
        <f t="shared" si="26"/>
        <v>-0.2</v>
      </c>
      <c r="W82" s="90">
        <f t="shared" si="28"/>
        <v>2.0390824129141887E-2</v>
      </c>
      <c r="X82" s="52">
        <f t="shared" si="27"/>
        <v>-6</v>
      </c>
    </row>
    <row r="83" spans="1:24" x14ac:dyDescent="0.2">
      <c r="A83" s="4" t="s">
        <v>17</v>
      </c>
      <c r="B83" s="4">
        <v>21</v>
      </c>
      <c r="C83" s="4">
        <v>21</v>
      </c>
      <c r="D83" s="4">
        <v>10</v>
      </c>
      <c r="E83" s="4">
        <v>21</v>
      </c>
      <c r="F83" s="4">
        <v>28</v>
      </c>
      <c r="G83" s="15">
        <v>49</v>
      </c>
      <c r="H83" s="15">
        <v>70</v>
      </c>
      <c r="I83" s="15">
        <v>33</v>
      </c>
      <c r="J83" s="15">
        <v>34</v>
      </c>
      <c r="K83" s="15">
        <v>32</v>
      </c>
      <c r="L83" s="15">
        <v>47</v>
      </c>
      <c r="M83" s="15">
        <v>38</v>
      </c>
      <c r="N83" s="15">
        <v>44</v>
      </c>
      <c r="O83" s="15">
        <v>53</v>
      </c>
      <c r="P83" s="15">
        <v>40</v>
      </c>
      <c r="Q83" s="15">
        <v>57</v>
      </c>
      <c r="R83" s="15">
        <v>113</v>
      </c>
      <c r="S83" s="15">
        <v>100</v>
      </c>
      <c r="T83" s="88">
        <f t="shared" si="24"/>
        <v>1.9411764705882353</v>
      </c>
      <c r="U83" s="88">
        <f t="shared" si="25"/>
        <v>0.8867924528301887</v>
      </c>
      <c r="V83" s="88">
        <f t="shared" si="26"/>
        <v>-0.11504424778761062</v>
      </c>
      <c r="W83" s="90">
        <f t="shared" si="28"/>
        <v>8.4961767204757857E-2</v>
      </c>
      <c r="X83" s="52">
        <f t="shared" si="27"/>
        <v>-13</v>
      </c>
    </row>
    <row r="84" spans="1:24" x14ac:dyDescent="0.2">
      <c r="A84" s="4" t="s">
        <v>18</v>
      </c>
      <c r="B84" s="4">
        <v>32</v>
      </c>
      <c r="C84" s="4">
        <v>31</v>
      </c>
      <c r="D84" s="4">
        <v>40</v>
      </c>
      <c r="E84" s="4">
        <v>30</v>
      </c>
      <c r="F84" s="4">
        <v>57</v>
      </c>
      <c r="G84" s="15">
        <v>64</v>
      </c>
      <c r="H84" s="15">
        <v>67</v>
      </c>
      <c r="I84" s="15">
        <v>74</v>
      </c>
      <c r="J84" s="15">
        <v>74</v>
      </c>
      <c r="K84" s="15">
        <v>76</v>
      </c>
      <c r="L84" s="15">
        <v>88</v>
      </c>
      <c r="M84" s="15">
        <v>89</v>
      </c>
      <c r="N84" s="15">
        <v>77</v>
      </c>
      <c r="O84" s="15">
        <v>73</v>
      </c>
      <c r="P84" s="15">
        <v>115</v>
      </c>
      <c r="Q84" s="15">
        <v>88</v>
      </c>
      <c r="R84" s="15">
        <v>98</v>
      </c>
      <c r="S84" s="15">
        <v>123</v>
      </c>
      <c r="T84" s="88">
        <f t="shared" si="24"/>
        <v>0.66216216216216217</v>
      </c>
      <c r="U84" s="88">
        <f t="shared" si="25"/>
        <v>0.68493150684931503</v>
      </c>
      <c r="V84" s="88">
        <f t="shared" si="26"/>
        <v>0.25510204081632654</v>
      </c>
      <c r="W84" s="90">
        <f t="shared" si="28"/>
        <v>0.10450297366185217</v>
      </c>
      <c r="X84" s="52">
        <f t="shared" si="27"/>
        <v>25</v>
      </c>
    </row>
    <row r="85" spans="1:24" x14ac:dyDescent="0.2">
      <c r="A85" s="4" t="s">
        <v>19</v>
      </c>
      <c r="B85" s="4">
        <v>19</v>
      </c>
      <c r="C85" s="4">
        <v>26</v>
      </c>
      <c r="D85" s="4">
        <v>23</v>
      </c>
      <c r="E85" s="4">
        <v>46</v>
      </c>
      <c r="F85" s="4">
        <v>30</v>
      </c>
      <c r="G85" s="15">
        <v>45</v>
      </c>
      <c r="H85" s="15">
        <v>35</v>
      </c>
      <c r="I85" s="15">
        <v>57</v>
      </c>
      <c r="J85" s="15">
        <v>59</v>
      </c>
      <c r="K85" s="15">
        <v>56</v>
      </c>
      <c r="L85" s="15">
        <v>46</v>
      </c>
      <c r="M85" s="15">
        <v>63</v>
      </c>
      <c r="N85" s="15">
        <v>81</v>
      </c>
      <c r="O85" s="15">
        <v>69</v>
      </c>
      <c r="P85" s="15">
        <v>82</v>
      </c>
      <c r="Q85" s="15">
        <v>75</v>
      </c>
      <c r="R85" s="15">
        <v>61</v>
      </c>
      <c r="S85" s="15">
        <v>91</v>
      </c>
      <c r="T85" s="88">
        <f t="shared" si="24"/>
        <v>0.5423728813559322</v>
      </c>
      <c r="U85" s="88">
        <f t="shared" si="25"/>
        <v>0.3188405797101449</v>
      </c>
      <c r="V85" s="88">
        <f t="shared" si="26"/>
        <v>0.49180327868852458</v>
      </c>
      <c r="W85" s="90">
        <f t="shared" si="28"/>
        <v>7.7315208156329654E-2</v>
      </c>
      <c r="X85" s="52">
        <f t="shared" si="27"/>
        <v>30</v>
      </c>
    </row>
    <row r="86" spans="1:24" x14ac:dyDescent="0.2">
      <c r="A86" s="4" t="s">
        <v>20</v>
      </c>
      <c r="B86" s="4">
        <v>38</v>
      </c>
      <c r="C86" s="4">
        <v>55</v>
      </c>
      <c r="D86" s="4">
        <v>46</v>
      </c>
      <c r="E86" s="4">
        <v>47</v>
      </c>
      <c r="F86" s="4">
        <v>71</v>
      </c>
      <c r="G86" s="15">
        <v>84</v>
      </c>
      <c r="H86" s="15">
        <v>113</v>
      </c>
      <c r="I86" s="15">
        <v>98</v>
      </c>
      <c r="J86" s="15">
        <v>130</v>
      </c>
      <c r="K86" s="15">
        <v>117</v>
      </c>
      <c r="L86" s="15">
        <v>131</v>
      </c>
      <c r="M86" s="15">
        <v>127</v>
      </c>
      <c r="N86" s="15">
        <v>143</v>
      </c>
      <c r="O86" s="15">
        <v>136</v>
      </c>
      <c r="P86" s="15">
        <v>160</v>
      </c>
      <c r="Q86" s="15">
        <v>136</v>
      </c>
      <c r="R86" s="15">
        <v>207</v>
      </c>
      <c r="S86" s="15">
        <v>211</v>
      </c>
      <c r="T86" s="88">
        <f t="shared" si="24"/>
        <v>0.62307692307692308</v>
      </c>
      <c r="U86" s="88">
        <f t="shared" si="25"/>
        <v>0.55147058823529416</v>
      </c>
      <c r="V86" s="88">
        <f t="shared" si="26"/>
        <v>1.932367149758454E-2</v>
      </c>
      <c r="W86" s="90">
        <f t="shared" si="28"/>
        <v>0.17926932880203908</v>
      </c>
      <c r="X86" s="52">
        <f t="shared" si="27"/>
        <v>4</v>
      </c>
    </row>
    <row r="87" spans="1:24" x14ac:dyDescent="0.2">
      <c r="A87" s="5" t="s">
        <v>4</v>
      </c>
      <c r="B87" s="5">
        <v>314</v>
      </c>
      <c r="C87" s="5">
        <v>320</v>
      </c>
      <c r="D87" s="5">
        <v>384</v>
      </c>
      <c r="E87" s="5">
        <v>394</v>
      </c>
      <c r="F87" s="5">
        <v>492</v>
      </c>
      <c r="G87" s="5">
        <v>603</v>
      </c>
      <c r="H87" s="5">
        <v>634</v>
      </c>
      <c r="I87" s="5">
        <v>612</v>
      </c>
      <c r="J87" s="5">
        <v>693</v>
      </c>
      <c r="K87" s="5">
        <v>706</v>
      </c>
      <c r="L87" s="5">
        <v>727</v>
      </c>
      <c r="M87" s="5">
        <v>832</v>
      </c>
      <c r="N87" s="5">
        <v>885</v>
      </c>
      <c r="O87" s="5">
        <v>777</v>
      </c>
      <c r="P87" s="5">
        <v>909</v>
      </c>
      <c r="Q87" s="5">
        <v>895</v>
      </c>
      <c r="R87" s="5">
        <v>1051</v>
      </c>
      <c r="S87" s="66">
        <v>1177</v>
      </c>
      <c r="T87" s="89">
        <f t="shared" si="24"/>
        <v>0.69841269841269837</v>
      </c>
      <c r="U87" s="89">
        <f t="shared" si="25"/>
        <v>0.51480051480051481</v>
      </c>
      <c r="V87" s="89">
        <f t="shared" si="26"/>
        <v>0.11988582302568981</v>
      </c>
      <c r="W87" s="91">
        <f t="shared" si="28"/>
        <v>1</v>
      </c>
      <c r="X87" s="53">
        <f t="shared" si="27"/>
        <v>126</v>
      </c>
    </row>
    <row r="88" spans="1:24" x14ac:dyDescent="0.2">
      <c r="A88" s="134"/>
      <c r="B88" s="134"/>
      <c r="C88" s="134"/>
      <c r="D88" s="134"/>
      <c r="E88" s="134"/>
      <c r="F88" s="134"/>
      <c r="G88" s="134"/>
      <c r="H88" s="134"/>
      <c r="I88" s="134"/>
      <c r="J88" s="134"/>
      <c r="K88" s="134"/>
      <c r="L88" s="134"/>
      <c r="M88" s="134"/>
      <c r="N88" s="134"/>
      <c r="O88" s="134"/>
      <c r="P88" s="134"/>
      <c r="Q88" s="134"/>
      <c r="R88" s="134"/>
      <c r="S88" s="134"/>
      <c r="T88" s="135"/>
      <c r="U88" s="135"/>
      <c r="V88" s="135"/>
      <c r="W88" s="135"/>
      <c r="X88" s="135"/>
    </row>
    <row r="89" spans="1:24" ht="15.75" x14ac:dyDescent="0.2">
      <c r="A89" s="32" t="s">
        <v>485</v>
      </c>
      <c r="B89" s="32"/>
      <c r="C89" s="32"/>
      <c r="D89" s="32"/>
      <c r="E89" s="32"/>
      <c r="F89" s="32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</row>
    <row r="90" spans="1:24" ht="38.25" x14ac:dyDescent="0.2">
      <c r="A90" s="73" t="s">
        <v>10</v>
      </c>
      <c r="B90" s="3">
        <v>2007</v>
      </c>
      <c r="C90" s="3">
        <v>2008</v>
      </c>
      <c r="D90" s="3">
        <v>2009</v>
      </c>
      <c r="E90" s="3">
        <v>2010</v>
      </c>
      <c r="F90" s="3">
        <v>2011</v>
      </c>
      <c r="G90" s="3">
        <v>2012</v>
      </c>
      <c r="H90" s="3">
        <v>2013</v>
      </c>
      <c r="I90" s="3">
        <v>2014</v>
      </c>
      <c r="J90" s="3">
        <v>2015</v>
      </c>
      <c r="K90" s="3">
        <v>2016</v>
      </c>
      <c r="L90" s="3">
        <v>2017</v>
      </c>
      <c r="M90" s="3">
        <v>2018</v>
      </c>
      <c r="N90" s="3">
        <v>2019</v>
      </c>
      <c r="O90" s="3">
        <v>2020</v>
      </c>
      <c r="P90" s="3">
        <v>2021</v>
      </c>
      <c r="Q90" s="3">
        <v>2022</v>
      </c>
      <c r="R90" s="3">
        <v>2023</v>
      </c>
      <c r="S90" s="3">
        <v>2024</v>
      </c>
      <c r="T90" s="12" t="s">
        <v>368</v>
      </c>
      <c r="U90" s="12" t="s">
        <v>369</v>
      </c>
      <c r="V90" s="12" t="s">
        <v>370</v>
      </c>
      <c r="W90" s="12" t="s">
        <v>372</v>
      </c>
      <c r="X90" s="169" t="s">
        <v>494</v>
      </c>
    </row>
    <row r="91" spans="1:24" x14ac:dyDescent="0.2">
      <c r="A91" s="4" t="s">
        <v>446</v>
      </c>
      <c r="B91" s="4">
        <v>2502</v>
      </c>
      <c r="C91" s="4">
        <v>2860</v>
      </c>
      <c r="D91" s="4">
        <v>3913</v>
      </c>
      <c r="E91" s="4">
        <v>3337</v>
      </c>
      <c r="F91" s="4">
        <v>4276</v>
      </c>
      <c r="G91" s="15">
        <v>4097</v>
      </c>
      <c r="H91" s="15">
        <v>5676</v>
      </c>
      <c r="I91" s="15">
        <v>5593</v>
      </c>
      <c r="J91" s="15">
        <v>5916</v>
      </c>
      <c r="K91" s="15">
        <v>5917</v>
      </c>
      <c r="L91" s="15">
        <v>5874</v>
      </c>
      <c r="M91" s="15">
        <v>6304</v>
      </c>
      <c r="N91" s="15">
        <v>6466</v>
      </c>
      <c r="O91" s="15">
        <v>6159</v>
      </c>
      <c r="P91" s="15">
        <v>7537</v>
      </c>
      <c r="Q91" s="15">
        <v>7400</v>
      </c>
      <c r="R91" s="15">
        <v>9305</v>
      </c>
      <c r="S91" s="15">
        <v>8520</v>
      </c>
      <c r="T91" s="88">
        <f t="shared" ref="T91:T101" si="29">(S91-J91)/J91</f>
        <v>0.44016227180527384</v>
      </c>
      <c r="U91" s="88">
        <f t="shared" ref="U91:U101" si="30">(S91-O91)/O91</f>
        <v>0.38334145153434002</v>
      </c>
      <c r="V91" s="88">
        <f t="shared" ref="V91:V101" si="31">(S91-R91)/R91</f>
        <v>-8.4363245566899517E-2</v>
      </c>
      <c r="W91" s="90">
        <f>S91/S$101</f>
        <v>0.43253122144380141</v>
      </c>
      <c r="X91" s="52">
        <f t="shared" ref="X91:X101" si="32">S91-R91</f>
        <v>-785</v>
      </c>
    </row>
    <row r="92" spans="1:24" x14ac:dyDescent="0.2">
      <c r="A92" s="4" t="s">
        <v>447</v>
      </c>
      <c r="B92" s="4">
        <v>70</v>
      </c>
      <c r="C92" s="4">
        <v>85</v>
      </c>
      <c r="D92" s="4">
        <v>107</v>
      </c>
      <c r="E92" s="4">
        <v>102</v>
      </c>
      <c r="F92" s="4">
        <v>138</v>
      </c>
      <c r="G92" s="15">
        <v>175</v>
      </c>
      <c r="H92" s="15">
        <v>226</v>
      </c>
      <c r="I92" s="15">
        <v>197</v>
      </c>
      <c r="J92" s="15">
        <v>195</v>
      </c>
      <c r="K92" s="15">
        <v>186</v>
      </c>
      <c r="L92" s="15">
        <v>224</v>
      </c>
      <c r="M92" s="15">
        <v>200</v>
      </c>
      <c r="N92" s="15">
        <v>167</v>
      </c>
      <c r="O92" s="15">
        <v>147</v>
      </c>
      <c r="P92" s="15">
        <v>179</v>
      </c>
      <c r="Q92" s="15">
        <v>154</v>
      </c>
      <c r="R92" s="15">
        <v>162</v>
      </c>
      <c r="S92" s="15">
        <v>174</v>
      </c>
      <c r="T92" s="88">
        <f t="shared" si="29"/>
        <v>-0.1076923076923077</v>
      </c>
      <c r="U92" s="88">
        <f t="shared" si="30"/>
        <v>0.18367346938775511</v>
      </c>
      <c r="V92" s="88">
        <f t="shared" si="31"/>
        <v>7.407407407407407E-2</v>
      </c>
      <c r="W92" s="90">
        <f t="shared" ref="W92:W101" si="33">S92/S$101</f>
        <v>8.833384099908621E-3</v>
      </c>
      <c r="X92" s="52">
        <f t="shared" si="32"/>
        <v>12</v>
      </c>
    </row>
    <row r="93" spans="1:24" x14ac:dyDescent="0.2">
      <c r="A93" s="4" t="s">
        <v>448</v>
      </c>
      <c r="B93" s="4">
        <v>251</v>
      </c>
      <c r="C93" s="4">
        <v>243</v>
      </c>
      <c r="D93" s="4">
        <v>290</v>
      </c>
      <c r="E93" s="4">
        <v>323</v>
      </c>
      <c r="F93" s="4">
        <v>331</v>
      </c>
      <c r="G93" s="15">
        <v>305</v>
      </c>
      <c r="H93" s="15">
        <v>420</v>
      </c>
      <c r="I93" s="15">
        <v>406</v>
      </c>
      <c r="J93" s="15">
        <v>496</v>
      </c>
      <c r="K93" s="15">
        <v>458</v>
      </c>
      <c r="L93" s="15">
        <v>591</v>
      </c>
      <c r="M93" s="15">
        <v>530</v>
      </c>
      <c r="N93" s="15">
        <v>637</v>
      </c>
      <c r="O93" s="15">
        <v>451</v>
      </c>
      <c r="P93" s="15">
        <v>612</v>
      </c>
      <c r="Q93" s="15">
        <v>633</v>
      </c>
      <c r="R93" s="15">
        <v>709</v>
      </c>
      <c r="S93" s="15">
        <v>791</v>
      </c>
      <c r="T93" s="88">
        <f t="shared" si="29"/>
        <v>0.594758064516129</v>
      </c>
      <c r="U93" s="88">
        <f t="shared" si="30"/>
        <v>0.75388026607538805</v>
      </c>
      <c r="V93" s="88">
        <f t="shared" si="31"/>
        <v>0.1156558533145275</v>
      </c>
      <c r="W93" s="90">
        <f t="shared" si="33"/>
        <v>4.0156361051883437E-2</v>
      </c>
      <c r="X93" s="52">
        <f t="shared" si="32"/>
        <v>82</v>
      </c>
    </row>
    <row r="94" spans="1:24" x14ac:dyDescent="0.2">
      <c r="A94" s="4" t="s">
        <v>449</v>
      </c>
      <c r="B94" s="4">
        <v>188</v>
      </c>
      <c r="C94" s="4">
        <v>175</v>
      </c>
      <c r="D94" s="4">
        <v>307</v>
      </c>
      <c r="E94" s="4">
        <v>286</v>
      </c>
      <c r="F94" s="4">
        <v>322</v>
      </c>
      <c r="G94" s="15">
        <v>273</v>
      </c>
      <c r="H94" s="15">
        <v>392</v>
      </c>
      <c r="I94" s="15">
        <v>450</v>
      </c>
      <c r="J94" s="15">
        <v>506</v>
      </c>
      <c r="K94" s="15">
        <v>576</v>
      </c>
      <c r="L94" s="15">
        <v>587</v>
      </c>
      <c r="M94" s="15">
        <v>623</v>
      </c>
      <c r="N94" s="15">
        <v>572</v>
      </c>
      <c r="O94" s="15">
        <v>531</v>
      </c>
      <c r="P94" s="15">
        <v>727</v>
      </c>
      <c r="Q94" s="15">
        <v>660</v>
      </c>
      <c r="R94" s="15">
        <v>1047</v>
      </c>
      <c r="S94" s="15">
        <v>939</v>
      </c>
      <c r="T94" s="88">
        <f t="shared" si="29"/>
        <v>0.85573122529644263</v>
      </c>
      <c r="U94" s="88">
        <f t="shared" si="30"/>
        <v>0.76836158192090398</v>
      </c>
      <c r="V94" s="88">
        <f t="shared" si="31"/>
        <v>-0.10315186246418338</v>
      </c>
      <c r="W94" s="90">
        <f t="shared" si="33"/>
        <v>4.7669814194334449E-2</v>
      </c>
      <c r="X94" s="52">
        <f t="shared" si="32"/>
        <v>-108</v>
      </c>
    </row>
    <row r="95" spans="1:24" x14ac:dyDescent="0.2">
      <c r="A95" s="4" t="s">
        <v>450</v>
      </c>
      <c r="B95" s="4">
        <v>934</v>
      </c>
      <c r="C95" s="4">
        <v>909</v>
      </c>
      <c r="D95" s="4">
        <v>1362</v>
      </c>
      <c r="E95" s="4">
        <v>1243</v>
      </c>
      <c r="F95" s="4">
        <v>1251</v>
      </c>
      <c r="G95" s="15">
        <v>1384</v>
      </c>
      <c r="H95" s="15">
        <v>1352</v>
      </c>
      <c r="I95" s="15">
        <v>1493</v>
      </c>
      <c r="J95" s="15">
        <v>1427</v>
      </c>
      <c r="K95" s="15">
        <v>1471</v>
      </c>
      <c r="L95" s="15">
        <v>1704</v>
      </c>
      <c r="M95" s="15">
        <v>1749</v>
      </c>
      <c r="N95" s="15">
        <v>1714</v>
      </c>
      <c r="O95" s="15">
        <v>1370</v>
      </c>
      <c r="P95" s="15">
        <v>2372</v>
      </c>
      <c r="Q95" s="15">
        <v>2087</v>
      </c>
      <c r="R95" s="15">
        <v>2037</v>
      </c>
      <c r="S95" s="15">
        <v>1984</v>
      </c>
      <c r="T95" s="88">
        <f t="shared" si="29"/>
        <v>0.39032936229852838</v>
      </c>
      <c r="U95" s="88">
        <f t="shared" si="30"/>
        <v>0.44817518248175181</v>
      </c>
      <c r="V95" s="88">
        <f t="shared" si="31"/>
        <v>-2.6018654884634267E-2</v>
      </c>
      <c r="W95" s="90">
        <f t="shared" si="33"/>
        <v>0.100720885369073</v>
      </c>
      <c r="X95" s="52">
        <f t="shared" si="32"/>
        <v>-53</v>
      </c>
    </row>
    <row r="96" spans="1:24" x14ac:dyDescent="0.2">
      <c r="A96" s="4" t="s">
        <v>17</v>
      </c>
      <c r="B96" s="4">
        <v>493</v>
      </c>
      <c r="C96" s="4">
        <v>679</v>
      </c>
      <c r="D96" s="4">
        <v>1156</v>
      </c>
      <c r="E96" s="4">
        <v>1291</v>
      </c>
      <c r="F96" s="4">
        <v>1771</v>
      </c>
      <c r="G96" s="15">
        <v>2486</v>
      </c>
      <c r="H96" s="15">
        <v>2436</v>
      </c>
      <c r="I96" s="15">
        <v>2559</v>
      </c>
      <c r="J96" s="15">
        <v>2893</v>
      </c>
      <c r="K96" s="15">
        <v>2910</v>
      </c>
      <c r="L96" s="15">
        <v>2980</v>
      </c>
      <c r="M96" s="15">
        <v>3458</v>
      </c>
      <c r="N96" s="15">
        <v>3405</v>
      </c>
      <c r="O96" s="15">
        <v>3410</v>
      </c>
      <c r="P96" s="15">
        <v>4118</v>
      </c>
      <c r="Q96" s="15">
        <v>4203</v>
      </c>
      <c r="R96" s="15">
        <v>4162</v>
      </c>
      <c r="S96" s="15">
        <v>3524</v>
      </c>
      <c r="T96" s="88">
        <f t="shared" si="29"/>
        <v>0.21811268579329415</v>
      </c>
      <c r="U96" s="88">
        <f t="shared" si="30"/>
        <v>3.3431085043988271E-2</v>
      </c>
      <c r="V96" s="88">
        <f t="shared" si="31"/>
        <v>-0.15329168668909179</v>
      </c>
      <c r="W96" s="90">
        <f t="shared" si="33"/>
        <v>0.17890141131079298</v>
      </c>
      <c r="X96" s="52">
        <f t="shared" si="32"/>
        <v>-638</v>
      </c>
    </row>
    <row r="97" spans="1:24" x14ac:dyDescent="0.2">
      <c r="A97" s="4" t="s">
        <v>451</v>
      </c>
      <c r="B97" s="4">
        <v>392</v>
      </c>
      <c r="C97" s="4">
        <v>448</v>
      </c>
      <c r="D97" s="4">
        <v>466</v>
      </c>
      <c r="E97" s="4">
        <v>569</v>
      </c>
      <c r="F97" s="4">
        <v>572</v>
      </c>
      <c r="G97" s="15">
        <v>593</v>
      </c>
      <c r="H97" s="15">
        <v>687</v>
      </c>
      <c r="I97" s="15">
        <v>822</v>
      </c>
      <c r="J97" s="15">
        <v>1043</v>
      </c>
      <c r="K97" s="15">
        <v>916</v>
      </c>
      <c r="L97" s="15">
        <v>1096</v>
      </c>
      <c r="M97" s="15">
        <v>1174</v>
      </c>
      <c r="N97" s="15">
        <v>1149</v>
      </c>
      <c r="O97" s="15">
        <v>1105</v>
      </c>
      <c r="P97" s="15">
        <v>1334</v>
      </c>
      <c r="Q97" s="15">
        <v>1539</v>
      </c>
      <c r="R97" s="15">
        <v>1575</v>
      </c>
      <c r="S97" s="15">
        <v>1634</v>
      </c>
      <c r="T97" s="88">
        <f t="shared" si="29"/>
        <v>0.5666347075743049</v>
      </c>
      <c r="U97" s="88">
        <f t="shared" si="30"/>
        <v>0.47873303167420816</v>
      </c>
      <c r="V97" s="88">
        <f t="shared" si="31"/>
        <v>3.7460317460317458E-2</v>
      </c>
      <c r="W97" s="90">
        <f t="shared" si="33"/>
        <v>8.2952584018682093E-2</v>
      </c>
      <c r="X97" s="52">
        <f t="shared" si="32"/>
        <v>59</v>
      </c>
    </row>
    <row r="98" spans="1:24" x14ac:dyDescent="0.2">
      <c r="A98" s="4" t="s">
        <v>452</v>
      </c>
      <c r="B98" s="4">
        <v>249</v>
      </c>
      <c r="C98" s="4">
        <v>398</v>
      </c>
      <c r="D98" s="4">
        <v>421</v>
      </c>
      <c r="E98" s="4">
        <v>418</v>
      </c>
      <c r="F98" s="4">
        <v>675</v>
      </c>
      <c r="G98" s="15">
        <v>525</v>
      </c>
      <c r="H98" s="15">
        <v>507</v>
      </c>
      <c r="I98" s="15">
        <v>581</v>
      </c>
      <c r="J98" s="15">
        <v>523</v>
      </c>
      <c r="K98" s="15">
        <v>607</v>
      </c>
      <c r="L98" s="15">
        <v>667</v>
      </c>
      <c r="M98" s="15">
        <v>1074</v>
      </c>
      <c r="N98" s="15">
        <v>896</v>
      </c>
      <c r="O98" s="15">
        <v>999</v>
      </c>
      <c r="P98" s="15">
        <v>1010</v>
      </c>
      <c r="Q98" s="15">
        <v>1292</v>
      </c>
      <c r="R98" s="15">
        <v>1518</v>
      </c>
      <c r="S98" s="15">
        <v>1499</v>
      </c>
      <c r="T98" s="88">
        <f t="shared" si="29"/>
        <v>1.8661567877629064</v>
      </c>
      <c r="U98" s="88">
        <f t="shared" si="30"/>
        <v>0.50050050050050054</v>
      </c>
      <c r="V98" s="88">
        <f t="shared" si="31"/>
        <v>-1.2516469038208168E-2</v>
      </c>
      <c r="W98" s="90">
        <f t="shared" si="33"/>
        <v>7.60990963549599E-2</v>
      </c>
      <c r="X98" s="52">
        <f t="shared" si="32"/>
        <v>-19</v>
      </c>
    </row>
    <row r="99" spans="1:24" x14ac:dyDescent="0.2">
      <c r="A99" s="4" t="s">
        <v>453</v>
      </c>
      <c r="B99" s="4">
        <v>10</v>
      </c>
      <c r="C99" s="4">
        <v>26</v>
      </c>
      <c r="D99" s="4">
        <v>57</v>
      </c>
      <c r="E99" s="4">
        <v>33</v>
      </c>
      <c r="F99" s="4">
        <v>74</v>
      </c>
      <c r="G99" s="15">
        <v>61</v>
      </c>
      <c r="H99" s="15">
        <v>157</v>
      </c>
      <c r="I99" s="15">
        <v>129</v>
      </c>
      <c r="J99" s="15">
        <v>107</v>
      </c>
      <c r="K99" s="15">
        <v>83</v>
      </c>
      <c r="L99" s="15">
        <v>180</v>
      </c>
      <c r="M99" s="15">
        <v>241</v>
      </c>
      <c r="N99" s="15">
        <v>186</v>
      </c>
      <c r="O99" s="15">
        <v>225</v>
      </c>
      <c r="P99" s="15">
        <v>316</v>
      </c>
      <c r="Q99" s="15">
        <v>329</v>
      </c>
      <c r="R99" s="15">
        <v>282</v>
      </c>
      <c r="S99" s="15">
        <v>213</v>
      </c>
      <c r="T99" s="88">
        <f t="shared" si="29"/>
        <v>0.99065420560747663</v>
      </c>
      <c r="U99" s="88">
        <f t="shared" si="30"/>
        <v>-5.3333333333333337E-2</v>
      </c>
      <c r="V99" s="88">
        <f t="shared" si="31"/>
        <v>-0.24468085106382978</v>
      </c>
      <c r="W99" s="90">
        <f t="shared" si="33"/>
        <v>1.0813280536095034E-2</v>
      </c>
      <c r="X99" s="52">
        <f t="shared" si="32"/>
        <v>-69</v>
      </c>
    </row>
    <row r="100" spans="1:24" x14ac:dyDescent="0.2">
      <c r="A100" s="4" t="s">
        <v>454</v>
      </c>
      <c r="B100" s="4">
        <v>78</v>
      </c>
      <c r="C100" s="4">
        <v>96</v>
      </c>
      <c r="D100" s="4">
        <v>143</v>
      </c>
      <c r="E100" s="4">
        <v>92</v>
      </c>
      <c r="F100" s="4">
        <v>109</v>
      </c>
      <c r="G100" s="15">
        <v>87</v>
      </c>
      <c r="H100" s="15">
        <v>126</v>
      </c>
      <c r="I100" s="15">
        <v>173</v>
      </c>
      <c r="J100" s="15">
        <v>185</v>
      </c>
      <c r="K100" s="15">
        <v>154</v>
      </c>
      <c r="L100" s="15">
        <v>197</v>
      </c>
      <c r="M100" s="15">
        <v>194</v>
      </c>
      <c r="N100" s="15">
        <v>167</v>
      </c>
      <c r="O100" s="15">
        <v>178</v>
      </c>
      <c r="P100" s="15">
        <v>277</v>
      </c>
      <c r="Q100" s="15">
        <v>293</v>
      </c>
      <c r="R100" s="15">
        <v>329</v>
      </c>
      <c r="S100" s="15">
        <v>420</v>
      </c>
      <c r="T100" s="88">
        <f t="shared" si="29"/>
        <v>1.2702702702702702</v>
      </c>
      <c r="U100" s="88">
        <f t="shared" si="30"/>
        <v>1.3595505617977528</v>
      </c>
      <c r="V100" s="88">
        <f t="shared" si="31"/>
        <v>0.27659574468085107</v>
      </c>
      <c r="W100" s="90">
        <f t="shared" si="33"/>
        <v>2.1321961620469083E-2</v>
      </c>
      <c r="X100" s="52">
        <f t="shared" si="32"/>
        <v>91</v>
      </c>
    </row>
    <row r="101" spans="1:24" x14ac:dyDescent="0.2">
      <c r="A101" s="5" t="s">
        <v>4</v>
      </c>
      <c r="B101" s="5">
        <v>5167</v>
      </c>
      <c r="C101" s="5">
        <v>5919</v>
      </c>
      <c r="D101" s="5">
        <v>8222</v>
      </c>
      <c r="E101" s="5">
        <v>7694</v>
      </c>
      <c r="F101" s="5">
        <v>9519</v>
      </c>
      <c r="G101" s="5">
        <v>9986</v>
      </c>
      <c r="H101" s="5">
        <v>11979</v>
      </c>
      <c r="I101" s="5">
        <v>12403</v>
      </c>
      <c r="J101" s="5">
        <v>13291</v>
      </c>
      <c r="K101" s="5">
        <v>13278</v>
      </c>
      <c r="L101" s="5">
        <v>14100</v>
      </c>
      <c r="M101" s="5">
        <v>15547</v>
      </c>
      <c r="N101" s="5">
        <v>15359</v>
      </c>
      <c r="O101" s="5">
        <v>14575</v>
      </c>
      <c r="P101" s="5">
        <v>18482</v>
      </c>
      <c r="Q101" s="5">
        <v>18590</v>
      </c>
      <c r="R101" s="5">
        <v>21126</v>
      </c>
      <c r="S101" s="66">
        <v>19698</v>
      </c>
      <c r="T101" s="89">
        <f t="shared" si="29"/>
        <v>0.48205552629598974</v>
      </c>
      <c r="U101" s="89">
        <f t="shared" si="30"/>
        <v>0.35149228130360205</v>
      </c>
      <c r="V101" s="89">
        <f t="shared" si="31"/>
        <v>-6.7594433399602388E-2</v>
      </c>
      <c r="W101" s="91">
        <f t="shared" si="33"/>
        <v>1</v>
      </c>
      <c r="X101" s="53">
        <f t="shared" si="32"/>
        <v>-1428</v>
      </c>
    </row>
    <row r="102" spans="1:24" x14ac:dyDescent="0.2">
      <c r="A102" s="134"/>
      <c r="B102" s="134"/>
      <c r="C102" s="134"/>
      <c r="D102" s="134"/>
      <c r="E102" s="134"/>
      <c r="F102" s="134"/>
      <c r="G102" s="134"/>
      <c r="H102" s="134"/>
      <c r="I102" s="134"/>
      <c r="J102" s="134"/>
      <c r="K102" s="134"/>
      <c r="L102" s="134"/>
      <c r="M102" s="134"/>
      <c r="N102" s="134"/>
      <c r="O102" s="134"/>
      <c r="P102" s="134"/>
      <c r="Q102" s="134"/>
      <c r="R102" s="134"/>
      <c r="S102" s="134"/>
      <c r="T102" s="135"/>
      <c r="U102" s="135"/>
      <c r="V102" s="135"/>
      <c r="W102" s="135"/>
      <c r="X102" s="135"/>
    </row>
    <row r="103" spans="1:24" ht="15.75" x14ac:dyDescent="0.2">
      <c r="A103" s="32" t="s">
        <v>486</v>
      </c>
      <c r="B103" s="32"/>
      <c r="C103" s="32"/>
      <c r="D103" s="32"/>
      <c r="E103" s="32"/>
      <c r="F103" s="32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</row>
    <row r="104" spans="1:24" ht="38.25" x14ac:dyDescent="0.2">
      <c r="A104" s="73" t="s">
        <v>10</v>
      </c>
      <c r="B104" s="3">
        <v>2007</v>
      </c>
      <c r="C104" s="3">
        <v>2008</v>
      </c>
      <c r="D104" s="3">
        <v>2009</v>
      </c>
      <c r="E104" s="3">
        <v>2010</v>
      </c>
      <c r="F104" s="3">
        <v>2011</v>
      </c>
      <c r="G104" s="3">
        <v>2012</v>
      </c>
      <c r="H104" s="3">
        <v>2013</v>
      </c>
      <c r="I104" s="3">
        <v>2014</v>
      </c>
      <c r="J104" s="3">
        <v>2015</v>
      </c>
      <c r="K104" s="3">
        <v>2016</v>
      </c>
      <c r="L104" s="3">
        <v>2017</v>
      </c>
      <c r="M104" s="3">
        <v>2018</v>
      </c>
      <c r="N104" s="3">
        <v>2019</v>
      </c>
      <c r="O104" s="3">
        <v>2020</v>
      </c>
      <c r="P104" s="3">
        <v>2021</v>
      </c>
      <c r="Q104" s="3">
        <v>2022</v>
      </c>
      <c r="R104" s="3">
        <v>2023</v>
      </c>
      <c r="S104" s="3">
        <v>2024</v>
      </c>
      <c r="T104" s="12" t="s">
        <v>368</v>
      </c>
      <c r="U104" s="12" t="s">
        <v>369</v>
      </c>
      <c r="V104" s="12" t="s">
        <v>370</v>
      </c>
      <c r="W104" s="12" t="s">
        <v>372</v>
      </c>
      <c r="X104" s="169" t="s">
        <v>494</v>
      </c>
    </row>
    <row r="105" spans="1:24" x14ac:dyDescent="0.2">
      <c r="A105" s="4" t="s">
        <v>446</v>
      </c>
      <c r="B105" s="4">
        <v>1</v>
      </c>
      <c r="C105" s="4">
        <v>8</v>
      </c>
      <c r="D105" s="4">
        <v>2</v>
      </c>
      <c r="E105" s="4">
        <v>7</v>
      </c>
      <c r="F105" s="4">
        <v>11</v>
      </c>
      <c r="G105" s="15">
        <v>32</v>
      </c>
      <c r="H105" s="15">
        <v>18</v>
      </c>
      <c r="I105" s="15">
        <v>13</v>
      </c>
      <c r="J105" s="15">
        <v>8</v>
      </c>
      <c r="K105" s="15">
        <v>20</v>
      </c>
      <c r="L105" s="15">
        <v>19</v>
      </c>
      <c r="M105" s="15">
        <v>34</v>
      </c>
      <c r="N105" s="15">
        <v>27</v>
      </c>
      <c r="O105" s="15">
        <v>25</v>
      </c>
      <c r="P105" s="15">
        <v>37</v>
      </c>
      <c r="Q105" s="15">
        <v>22</v>
      </c>
      <c r="R105" s="15">
        <v>43</v>
      </c>
      <c r="S105" s="15">
        <v>33</v>
      </c>
      <c r="T105" s="88">
        <f t="shared" ref="T105:T115" si="34">(S105-J105)/J105</f>
        <v>3.125</v>
      </c>
      <c r="U105" s="88">
        <f t="shared" ref="U105:U115" si="35">(S105-O105)/O105</f>
        <v>0.32</v>
      </c>
      <c r="V105" s="88">
        <f t="shared" ref="V105:V115" si="36">(S105-R105)/R105</f>
        <v>-0.23255813953488372</v>
      </c>
      <c r="W105" s="90">
        <f>S105/S$115</f>
        <v>2.8037383177570093E-2</v>
      </c>
      <c r="X105" s="52">
        <f t="shared" ref="X105:X115" si="37">S105-R105</f>
        <v>-10</v>
      </c>
    </row>
    <row r="106" spans="1:24" x14ac:dyDescent="0.2">
      <c r="A106" s="4" t="s">
        <v>447</v>
      </c>
      <c r="B106" s="4">
        <v>26</v>
      </c>
      <c r="C106" s="4">
        <v>21</v>
      </c>
      <c r="D106" s="4">
        <v>29</v>
      </c>
      <c r="E106" s="4">
        <v>25</v>
      </c>
      <c r="F106" s="4">
        <v>35</v>
      </c>
      <c r="G106" s="15">
        <v>44</v>
      </c>
      <c r="H106" s="15">
        <v>48</v>
      </c>
      <c r="I106" s="15">
        <v>47</v>
      </c>
      <c r="J106" s="15">
        <v>50</v>
      </c>
      <c r="K106" s="15">
        <v>58</v>
      </c>
      <c r="L106" s="15">
        <v>52</v>
      </c>
      <c r="M106" s="15">
        <v>68</v>
      </c>
      <c r="N106" s="15">
        <v>64</v>
      </c>
      <c r="O106" s="15">
        <v>47</v>
      </c>
      <c r="P106" s="15">
        <v>48</v>
      </c>
      <c r="Q106" s="15">
        <v>54</v>
      </c>
      <c r="R106" s="15">
        <v>39</v>
      </c>
      <c r="S106" s="15">
        <v>59</v>
      </c>
      <c r="T106" s="88">
        <f t="shared" si="34"/>
        <v>0.18</v>
      </c>
      <c r="U106" s="88">
        <f t="shared" si="35"/>
        <v>0.25531914893617019</v>
      </c>
      <c r="V106" s="88">
        <f t="shared" si="36"/>
        <v>0.51282051282051277</v>
      </c>
      <c r="W106" s="90">
        <f t="shared" ref="W106:W115" si="38">S106/S$115</f>
        <v>5.0127442650807139E-2</v>
      </c>
      <c r="X106" s="52">
        <f t="shared" si="37"/>
        <v>20</v>
      </c>
    </row>
    <row r="107" spans="1:24" x14ac:dyDescent="0.2">
      <c r="A107" s="4" t="s">
        <v>448</v>
      </c>
      <c r="B107" s="4">
        <v>37</v>
      </c>
      <c r="C107" s="4">
        <v>38</v>
      </c>
      <c r="D107" s="4">
        <v>51</v>
      </c>
      <c r="E107" s="4">
        <v>35</v>
      </c>
      <c r="F107" s="4">
        <v>66</v>
      </c>
      <c r="G107" s="15">
        <v>73</v>
      </c>
      <c r="H107" s="15">
        <v>77</v>
      </c>
      <c r="I107" s="15">
        <v>85</v>
      </c>
      <c r="J107" s="15">
        <v>89</v>
      </c>
      <c r="K107" s="15">
        <v>97</v>
      </c>
      <c r="L107" s="15">
        <v>105</v>
      </c>
      <c r="M107" s="15">
        <v>110</v>
      </c>
      <c r="N107" s="15">
        <v>100</v>
      </c>
      <c r="O107" s="15">
        <v>83</v>
      </c>
      <c r="P107" s="15">
        <v>139</v>
      </c>
      <c r="Q107" s="15">
        <v>107</v>
      </c>
      <c r="R107" s="15">
        <v>132</v>
      </c>
      <c r="S107" s="15">
        <v>158</v>
      </c>
      <c r="T107" s="88">
        <f t="shared" si="34"/>
        <v>0.7752808988764045</v>
      </c>
      <c r="U107" s="88">
        <f t="shared" si="35"/>
        <v>0.90361445783132532</v>
      </c>
      <c r="V107" s="88">
        <f t="shared" si="36"/>
        <v>0.19696969696969696</v>
      </c>
      <c r="W107" s="90">
        <f t="shared" si="38"/>
        <v>0.13423959218351741</v>
      </c>
      <c r="X107" s="52">
        <f t="shared" si="37"/>
        <v>26</v>
      </c>
    </row>
    <row r="108" spans="1:24" x14ac:dyDescent="0.2">
      <c r="A108" s="4" t="s">
        <v>449</v>
      </c>
      <c r="B108" s="4">
        <v>159</v>
      </c>
      <c r="C108" s="4">
        <v>163</v>
      </c>
      <c r="D108" s="4">
        <v>204</v>
      </c>
      <c r="E108" s="4">
        <v>198</v>
      </c>
      <c r="F108" s="4">
        <v>235</v>
      </c>
      <c r="G108" s="15">
        <v>256</v>
      </c>
      <c r="H108" s="15">
        <v>260</v>
      </c>
      <c r="I108" s="15">
        <v>245</v>
      </c>
      <c r="J108" s="15">
        <v>301</v>
      </c>
      <c r="K108" s="15">
        <v>281</v>
      </c>
      <c r="L108" s="15">
        <v>273</v>
      </c>
      <c r="M108" s="15">
        <v>296</v>
      </c>
      <c r="N108" s="15">
        <v>356</v>
      </c>
      <c r="O108" s="15">
        <v>304</v>
      </c>
      <c r="P108" s="15">
        <v>298</v>
      </c>
      <c r="Q108" s="15">
        <v>321</v>
      </c>
      <c r="R108" s="15">
        <v>319</v>
      </c>
      <c r="S108" s="15">
        <v>376</v>
      </c>
      <c r="T108" s="88">
        <f t="shared" si="34"/>
        <v>0.24916943521594684</v>
      </c>
      <c r="U108" s="88">
        <f t="shared" si="35"/>
        <v>0.23684210526315788</v>
      </c>
      <c r="V108" s="88">
        <f t="shared" si="36"/>
        <v>0.17868338557993729</v>
      </c>
      <c r="W108" s="90">
        <f t="shared" si="38"/>
        <v>0.31945624468988953</v>
      </c>
      <c r="X108" s="52">
        <f t="shared" si="37"/>
        <v>57</v>
      </c>
    </row>
    <row r="109" spans="1:24" x14ac:dyDescent="0.2">
      <c r="A109" s="4" t="s">
        <v>450</v>
      </c>
      <c r="B109" s="4">
        <v>14</v>
      </c>
      <c r="C109" s="4">
        <v>11</v>
      </c>
      <c r="D109" s="4">
        <v>23</v>
      </c>
      <c r="E109" s="4">
        <v>12</v>
      </c>
      <c r="F109" s="4">
        <v>32</v>
      </c>
      <c r="G109" s="15">
        <v>31</v>
      </c>
      <c r="H109" s="15">
        <v>29</v>
      </c>
      <c r="I109" s="15">
        <v>54</v>
      </c>
      <c r="J109" s="15">
        <v>54</v>
      </c>
      <c r="K109" s="15">
        <v>53</v>
      </c>
      <c r="L109" s="15">
        <v>78</v>
      </c>
      <c r="M109" s="15">
        <v>107</v>
      </c>
      <c r="N109" s="15">
        <v>89</v>
      </c>
      <c r="O109" s="15">
        <v>80</v>
      </c>
      <c r="P109" s="15">
        <v>112</v>
      </c>
      <c r="Q109" s="15">
        <v>121</v>
      </c>
      <c r="R109" s="15">
        <v>149</v>
      </c>
      <c r="S109" s="15">
        <v>169</v>
      </c>
      <c r="T109" s="88">
        <f t="shared" si="34"/>
        <v>2.1296296296296298</v>
      </c>
      <c r="U109" s="88">
        <f t="shared" si="35"/>
        <v>1.1125</v>
      </c>
      <c r="V109" s="88">
        <f t="shared" si="36"/>
        <v>0.13422818791946309</v>
      </c>
      <c r="W109" s="90">
        <f t="shared" si="38"/>
        <v>0.14358538657604078</v>
      </c>
      <c r="X109" s="52">
        <f t="shared" si="37"/>
        <v>20</v>
      </c>
    </row>
    <row r="110" spans="1:24" x14ac:dyDescent="0.2">
      <c r="A110" s="4" t="s">
        <v>17</v>
      </c>
      <c r="B110" s="4">
        <v>21</v>
      </c>
      <c r="C110" s="4">
        <v>21</v>
      </c>
      <c r="D110" s="4">
        <v>10</v>
      </c>
      <c r="E110" s="4">
        <v>21</v>
      </c>
      <c r="F110" s="4">
        <v>28</v>
      </c>
      <c r="G110" s="15">
        <v>49</v>
      </c>
      <c r="H110" s="15">
        <v>70</v>
      </c>
      <c r="I110" s="15">
        <v>33</v>
      </c>
      <c r="J110" s="15">
        <v>34</v>
      </c>
      <c r="K110" s="15">
        <v>32</v>
      </c>
      <c r="L110" s="15">
        <v>47</v>
      </c>
      <c r="M110" s="15">
        <v>38</v>
      </c>
      <c r="N110" s="15">
        <v>44</v>
      </c>
      <c r="O110" s="15">
        <v>49</v>
      </c>
      <c r="P110" s="15">
        <v>40</v>
      </c>
      <c r="Q110" s="15">
        <v>53</v>
      </c>
      <c r="R110" s="15">
        <v>111</v>
      </c>
      <c r="S110" s="15">
        <v>100</v>
      </c>
      <c r="T110" s="88">
        <f t="shared" si="34"/>
        <v>1.9411764705882353</v>
      </c>
      <c r="U110" s="88">
        <f t="shared" si="35"/>
        <v>1.0408163265306123</v>
      </c>
      <c r="V110" s="88">
        <f t="shared" si="36"/>
        <v>-9.90990990990991E-2</v>
      </c>
      <c r="W110" s="90">
        <f t="shared" si="38"/>
        <v>8.4961767204757857E-2</v>
      </c>
      <c r="X110" s="52">
        <f t="shared" si="37"/>
        <v>-11</v>
      </c>
    </row>
    <row r="111" spans="1:24" x14ac:dyDescent="0.2">
      <c r="A111" s="4" t="s">
        <v>451</v>
      </c>
      <c r="B111" s="4">
        <v>32</v>
      </c>
      <c r="C111" s="4">
        <v>29</v>
      </c>
      <c r="D111" s="4">
        <v>40</v>
      </c>
      <c r="E111" s="4">
        <v>48</v>
      </c>
      <c r="F111" s="4">
        <v>49</v>
      </c>
      <c r="G111" s="15">
        <v>69</v>
      </c>
      <c r="H111" s="15">
        <v>93</v>
      </c>
      <c r="I111" s="15">
        <v>69</v>
      </c>
      <c r="J111" s="15">
        <v>84</v>
      </c>
      <c r="K111" s="15">
        <v>96</v>
      </c>
      <c r="L111" s="15">
        <v>95</v>
      </c>
      <c r="M111" s="15">
        <v>105</v>
      </c>
      <c r="N111" s="15">
        <v>113</v>
      </c>
      <c r="O111" s="15">
        <v>105</v>
      </c>
      <c r="P111" s="15">
        <v>140</v>
      </c>
      <c r="Q111" s="15">
        <v>130</v>
      </c>
      <c r="R111" s="15">
        <v>172</v>
      </c>
      <c r="S111" s="15">
        <v>172</v>
      </c>
      <c r="T111" s="88">
        <f t="shared" si="34"/>
        <v>1.0476190476190477</v>
      </c>
      <c r="U111" s="88">
        <f t="shared" si="35"/>
        <v>0.63809523809523805</v>
      </c>
      <c r="V111" s="88">
        <f t="shared" si="36"/>
        <v>0</v>
      </c>
      <c r="W111" s="90">
        <f t="shared" si="38"/>
        <v>0.14613423959218352</v>
      </c>
      <c r="X111" s="52">
        <f t="shared" si="37"/>
        <v>0</v>
      </c>
    </row>
    <row r="112" spans="1:24" x14ac:dyDescent="0.2">
      <c r="A112" s="4" t="s">
        <v>452</v>
      </c>
      <c r="B112" s="4">
        <v>19</v>
      </c>
      <c r="C112" s="4">
        <v>26</v>
      </c>
      <c r="D112" s="4">
        <v>23</v>
      </c>
      <c r="E112" s="4">
        <v>46</v>
      </c>
      <c r="F112" s="4">
        <v>30</v>
      </c>
      <c r="G112" s="15">
        <v>45</v>
      </c>
      <c r="H112" s="15">
        <v>35</v>
      </c>
      <c r="I112" s="15">
        <v>57</v>
      </c>
      <c r="J112" s="15">
        <v>59</v>
      </c>
      <c r="K112" s="15">
        <v>56</v>
      </c>
      <c r="L112" s="15">
        <v>46</v>
      </c>
      <c r="M112" s="15">
        <v>63</v>
      </c>
      <c r="N112" s="15">
        <v>81</v>
      </c>
      <c r="O112" s="15">
        <v>69</v>
      </c>
      <c r="P112" s="15">
        <v>82</v>
      </c>
      <c r="Q112" s="15">
        <v>75</v>
      </c>
      <c r="R112" s="15">
        <v>64</v>
      </c>
      <c r="S112" s="15">
        <v>91</v>
      </c>
      <c r="T112" s="88">
        <f t="shared" si="34"/>
        <v>0.5423728813559322</v>
      </c>
      <c r="U112" s="88">
        <f t="shared" si="35"/>
        <v>0.3188405797101449</v>
      </c>
      <c r="V112" s="88">
        <f t="shared" si="36"/>
        <v>0.421875</v>
      </c>
      <c r="W112" s="90">
        <f t="shared" si="38"/>
        <v>7.7315208156329654E-2</v>
      </c>
      <c r="X112" s="52">
        <f t="shared" si="37"/>
        <v>27</v>
      </c>
    </row>
    <row r="113" spans="1:24" x14ac:dyDescent="0.2">
      <c r="A113" s="4" t="s">
        <v>453</v>
      </c>
      <c r="B113" s="4">
        <v>0</v>
      </c>
      <c r="C113" s="4">
        <v>0</v>
      </c>
      <c r="D113" s="4">
        <v>0</v>
      </c>
      <c r="E113" s="4">
        <v>0</v>
      </c>
      <c r="F113" s="4">
        <v>0</v>
      </c>
      <c r="G113" s="15">
        <v>0</v>
      </c>
      <c r="H113" s="15">
        <v>0</v>
      </c>
      <c r="I113" s="15">
        <v>0</v>
      </c>
      <c r="J113" s="15">
        <v>0</v>
      </c>
      <c r="K113" s="15">
        <v>0</v>
      </c>
      <c r="L113" s="15">
        <v>0</v>
      </c>
      <c r="M113" s="15">
        <v>0</v>
      </c>
      <c r="N113" s="15">
        <v>0</v>
      </c>
      <c r="O113" s="15">
        <v>4</v>
      </c>
      <c r="P113" s="15">
        <v>0</v>
      </c>
      <c r="Q113" s="15">
        <v>4</v>
      </c>
      <c r="R113" s="15">
        <v>2</v>
      </c>
      <c r="S113" s="15">
        <v>0</v>
      </c>
      <c r="T113" s="88" t="s">
        <v>296</v>
      </c>
      <c r="U113" s="88">
        <f t="shared" si="35"/>
        <v>-1</v>
      </c>
      <c r="V113" s="88">
        <f t="shared" si="36"/>
        <v>-1</v>
      </c>
      <c r="W113" s="90">
        <f t="shared" si="38"/>
        <v>0</v>
      </c>
      <c r="X113" s="52">
        <f t="shared" si="37"/>
        <v>-2</v>
      </c>
    </row>
    <row r="114" spans="1:24" x14ac:dyDescent="0.2">
      <c r="A114" s="4" t="s">
        <v>454</v>
      </c>
      <c r="B114" s="4">
        <v>5</v>
      </c>
      <c r="C114" s="4">
        <v>3</v>
      </c>
      <c r="D114" s="4">
        <v>2</v>
      </c>
      <c r="E114" s="4">
        <v>2</v>
      </c>
      <c r="F114" s="4">
        <v>6</v>
      </c>
      <c r="G114" s="15">
        <v>4</v>
      </c>
      <c r="H114" s="15">
        <v>4</v>
      </c>
      <c r="I114" s="15">
        <v>9</v>
      </c>
      <c r="J114" s="15">
        <v>14</v>
      </c>
      <c r="K114" s="15">
        <v>13</v>
      </c>
      <c r="L114" s="15">
        <v>12</v>
      </c>
      <c r="M114" s="15">
        <v>11</v>
      </c>
      <c r="N114" s="15">
        <v>11</v>
      </c>
      <c r="O114" s="15">
        <v>11</v>
      </c>
      <c r="P114" s="15">
        <v>13</v>
      </c>
      <c r="Q114" s="15">
        <v>8</v>
      </c>
      <c r="R114" s="15">
        <v>20</v>
      </c>
      <c r="S114" s="15">
        <v>19</v>
      </c>
      <c r="T114" s="88">
        <f t="shared" si="34"/>
        <v>0.35714285714285715</v>
      </c>
      <c r="U114" s="88">
        <f t="shared" si="35"/>
        <v>0.72727272727272729</v>
      </c>
      <c r="V114" s="88">
        <f t="shared" si="36"/>
        <v>-0.05</v>
      </c>
      <c r="W114" s="90">
        <f t="shared" si="38"/>
        <v>1.6142735768903994E-2</v>
      </c>
      <c r="X114" s="52">
        <f t="shared" si="37"/>
        <v>-1</v>
      </c>
    </row>
    <row r="115" spans="1:24" x14ac:dyDescent="0.2">
      <c r="A115" s="5" t="s">
        <v>4</v>
      </c>
      <c r="B115" s="5">
        <v>314</v>
      </c>
      <c r="C115" s="5">
        <v>320</v>
      </c>
      <c r="D115" s="5">
        <v>384</v>
      </c>
      <c r="E115" s="5">
        <v>394</v>
      </c>
      <c r="F115" s="5">
        <v>492</v>
      </c>
      <c r="G115" s="5">
        <v>603</v>
      </c>
      <c r="H115" s="5">
        <v>634</v>
      </c>
      <c r="I115" s="5">
        <v>612</v>
      </c>
      <c r="J115" s="5">
        <v>693</v>
      </c>
      <c r="K115" s="5">
        <v>706</v>
      </c>
      <c r="L115" s="5">
        <v>727</v>
      </c>
      <c r="M115" s="5">
        <v>832</v>
      </c>
      <c r="N115" s="5">
        <v>885</v>
      </c>
      <c r="O115" s="5">
        <v>777</v>
      </c>
      <c r="P115" s="5">
        <v>909</v>
      </c>
      <c r="Q115" s="5">
        <v>895</v>
      </c>
      <c r="R115" s="5">
        <v>1051</v>
      </c>
      <c r="S115" s="66">
        <v>1177</v>
      </c>
      <c r="T115" s="89">
        <f t="shared" si="34"/>
        <v>0.69841269841269837</v>
      </c>
      <c r="U115" s="89">
        <f t="shared" si="35"/>
        <v>0.51480051480051481</v>
      </c>
      <c r="V115" s="89">
        <f t="shared" si="36"/>
        <v>0.11988582302568981</v>
      </c>
      <c r="W115" s="91">
        <f t="shared" si="38"/>
        <v>1</v>
      </c>
      <c r="X115" s="53">
        <f t="shared" si="37"/>
        <v>126</v>
      </c>
    </row>
    <row r="116" spans="1:24" x14ac:dyDescent="0.2">
      <c r="A116" s="134"/>
      <c r="B116" s="134"/>
      <c r="C116" s="134"/>
      <c r="D116" s="134"/>
      <c r="E116" s="134"/>
      <c r="F116" s="134"/>
      <c r="G116" s="134"/>
      <c r="H116" s="134"/>
      <c r="I116" s="134"/>
      <c r="J116" s="134"/>
      <c r="K116" s="134"/>
      <c r="L116" s="134"/>
      <c r="M116" s="134"/>
      <c r="N116" s="134"/>
      <c r="O116" s="134"/>
      <c r="P116" s="134"/>
      <c r="Q116" s="134"/>
      <c r="R116" s="134"/>
      <c r="S116" s="134"/>
      <c r="T116" s="135"/>
      <c r="U116" s="135"/>
      <c r="V116" s="135"/>
      <c r="W116" s="135"/>
      <c r="X116" s="135"/>
    </row>
    <row r="117" spans="1:24" ht="15.75" x14ac:dyDescent="0.2">
      <c r="A117" s="32" t="s">
        <v>333</v>
      </c>
      <c r="B117" s="32"/>
      <c r="C117" s="32"/>
      <c r="D117" s="32"/>
      <c r="E117" s="32"/>
      <c r="F117" s="32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</row>
    <row r="118" spans="1:24" ht="38.25" x14ac:dyDescent="0.2">
      <c r="A118" s="73" t="s">
        <v>9</v>
      </c>
      <c r="B118" s="3">
        <v>2007</v>
      </c>
      <c r="C118" s="3">
        <v>2008</v>
      </c>
      <c r="D118" s="3">
        <v>2009</v>
      </c>
      <c r="E118" s="3">
        <v>2010</v>
      </c>
      <c r="F118" s="3">
        <v>2011</v>
      </c>
      <c r="G118" s="3">
        <v>2012</v>
      </c>
      <c r="H118" s="3">
        <v>2013</v>
      </c>
      <c r="I118" s="3">
        <v>2014</v>
      </c>
      <c r="J118" s="3">
        <v>2015</v>
      </c>
      <c r="K118" s="3">
        <v>2016</v>
      </c>
      <c r="L118" s="3">
        <v>2017</v>
      </c>
      <c r="M118" s="3">
        <v>2018</v>
      </c>
      <c r="N118" s="3">
        <v>2019</v>
      </c>
      <c r="O118" s="3">
        <v>2020</v>
      </c>
      <c r="P118" s="3">
        <v>2021</v>
      </c>
      <c r="Q118" s="3">
        <v>2022</v>
      </c>
      <c r="R118" s="3">
        <v>2023</v>
      </c>
      <c r="S118" s="3">
        <v>2024</v>
      </c>
      <c r="T118" s="12" t="s">
        <v>368</v>
      </c>
      <c r="U118" s="12" t="s">
        <v>369</v>
      </c>
      <c r="V118" s="12" t="s">
        <v>370</v>
      </c>
      <c r="W118" s="12" t="s">
        <v>372</v>
      </c>
      <c r="X118" s="169" t="s">
        <v>494</v>
      </c>
    </row>
    <row r="119" spans="1:24" x14ac:dyDescent="0.2">
      <c r="A119" s="4" t="s">
        <v>224</v>
      </c>
      <c r="B119" s="4">
        <v>47</v>
      </c>
      <c r="C119" s="4">
        <v>178</v>
      </c>
      <c r="D119" s="4">
        <v>222</v>
      </c>
      <c r="E119" s="4">
        <v>248</v>
      </c>
      <c r="F119" s="4">
        <v>204</v>
      </c>
      <c r="G119" s="15">
        <v>195</v>
      </c>
      <c r="H119" s="15">
        <v>196</v>
      </c>
      <c r="I119" s="15">
        <v>171</v>
      </c>
      <c r="J119" s="15">
        <v>135</v>
      </c>
      <c r="K119" s="15">
        <v>47</v>
      </c>
      <c r="L119" s="15">
        <v>65</v>
      </c>
      <c r="M119" s="15">
        <v>108</v>
      </c>
      <c r="N119" s="15">
        <v>92</v>
      </c>
      <c r="O119" s="15">
        <v>117</v>
      </c>
      <c r="P119" s="15">
        <v>91</v>
      </c>
      <c r="Q119" s="15">
        <v>76</v>
      </c>
      <c r="R119" s="15">
        <v>132</v>
      </c>
      <c r="S119" s="15">
        <v>99</v>
      </c>
      <c r="T119" s="88">
        <f t="shared" ref="T119:T135" si="39">(S119-J119)/J119</f>
        <v>-0.26666666666666666</v>
      </c>
      <c r="U119" s="88">
        <f t="shared" ref="U119:U135" si="40">(S119-O119)/O119</f>
        <v>-0.15384615384615385</v>
      </c>
      <c r="V119" s="88">
        <f t="shared" ref="V119:V135" si="41">(S119-R119)/R119</f>
        <v>-0.25</v>
      </c>
      <c r="W119" s="90">
        <f t="shared" ref="W119:W135" si="42">S119/S$9</f>
        <v>4.7425149700598803E-3</v>
      </c>
      <c r="X119" s="52">
        <f t="shared" ref="X119:X135" si="43">S119-R119</f>
        <v>-33</v>
      </c>
    </row>
    <row r="120" spans="1:24" x14ac:dyDescent="0.2">
      <c r="A120" s="4" t="s">
        <v>225</v>
      </c>
      <c r="B120" s="4">
        <v>62</v>
      </c>
      <c r="C120" s="4">
        <v>37</v>
      </c>
      <c r="D120" s="4">
        <v>41</v>
      </c>
      <c r="E120" s="4">
        <v>36</v>
      </c>
      <c r="F120" s="4">
        <v>76</v>
      </c>
      <c r="G120" s="15">
        <v>48</v>
      </c>
      <c r="H120" s="15">
        <v>46</v>
      </c>
      <c r="I120" s="15">
        <v>50</v>
      </c>
      <c r="J120" s="15">
        <v>74</v>
      </c>
      <c r="K120" s="15">
        <v>62</v>
      </c>
      <c r="L120" s="15">
        <v>106</v>
      </c>
      <c r="M120" s="15">
        <v>192</v>
      </c>
      <c r="N120" s="15">
        <v>160</v>
      </c>
      <c r="O120" s="15">
        <v>181</v>
      </c>
      <c r="P120" s="15">
        <v>282</v>
      </c>
      <c r="Q120" s="15">
        <v>113</v>
      </c>
      <c r="R120" s="15">
        <v>67</v>
      </c>
      <c r="S120" s="15">
        <v>78</v>
      </c>
      <c r="T120" s="88">
        <f t="shared" si="39"/>
        <v>5.4054054054054057E-2</v>
      </c>
      <c r="U120" s="88">
        <f t="shared" si="40"/>
        <v>-0.56906077348066297</v>
      </c>
      <c r="V120" s="88">
        <f t="shared" si="41"/>
        <v>0.16417910447761194</v>
      </c>
      <c r="W120" s="90">
        <f t="shared" si="42"/>
        <v>3.7365269461077846E-3</v>
      </c>
      <c r="X120" s="52">
        <f t="shared" si="43"/>
        <v>11</v>
      </c>
    </row>
    <row r="121" spans="1:24" x14ac:dyDescent="0.2">
      <c r="A121" s="4" t="s">
        <v>226</v>
      </c>
      <c r="B121" s="4">
        <v>40</v>
      </c>
      <c r="C121" s="4">
        <v>54</v>
      </c>
      <c r="D121" s="4">
        <v>62</v>
      </c>
      <c r="E121" s="4">
        <v>88</v>
      </c>
      <c r="F121" s="4">
        <v>70</v>
      </c>
      <c r="G121" s="15">
        <v>140</v>
      </c>
      <c r="H121" s="15">
        <v>181</v>
      </c>
      <c r="I121" s="15">
        <v>112</v>
      </c>
      <c r="J121" s="15">
        <v>218</v>
      </c>
      <c r="K121" s="15">
        <v>198</v>
      </c>
      <c r="L121" s="15">
        <v>266</v>
      </c>
      <c r="M121" s="15">
        <v>282</v>
      </c>
      <c r="N121" s="15">
        <v>220</v>
      </c>
      <c r="O121" s="15">
        <v>173</v>
      </c>
      <c r="P121" s="15">
        <v>227</v>
      </c>
      <c r="Q121" s="15">
        <v>174</v>
      </c>
      <c r="R121" s="15">
        <v>213</v>
      </c>
      <c r="S121" s="15">
        <v>208</v>
      </c>
      <c r="T121" s="88">
        <f t="shared" si="39"/>
        <v>-4.5871559633027525E-2</v>
      </c>
      <c r="U121" s="88">
        <f t="shared" si="40"/>
        <v>0.20231213872832371</v>
      </c>
      <c r="V121" s="88">
        <f t="shared" si="41"/>
        <v>-2.3474178403755867E-2</v>
      </c>
      <c r="W121" s="90">
        <f t="shared" si="42"/>
        <v>9.9640718562874243E-3</v>
      </c>
      <c r="X121" s="52">
        <f t="shared" si="43"/>
        <v>-5</v>
      </c>
    </row>
    <row r="122" spans="1:24" x14ac:dyDescent="0.2">
      <c r="A122" s="4" t="s">
        <v>227</v>
      </c>
      <c r="B122" s="4">
        <v>2</v>
      </c>
      <c r="C122" s="4">
        <v>0</v>
      </c>
      <c r="D122" s="4">
        <v>19</v>
      </c>
      <c r="E122" s="4">
        <v>27</v>
      </c>
      <c r="F122" s="4">
        <v>0</v>
      </c>
      <c r="G122" s="15">
        <v>8</v>
      </c>
      <c r="H122" s="15">
        <v>0</v>
      </c>
      <c r="I122" s="15">
        <v>2</v>
      </c>
      <c r="J122" s="15">
        <v>9</v>
      </c>
      <c r="K122" s="15">
        <v>11</v>
      </c>
      <c r="L122" s="15">
        <v>11</v>
      </c>
      <c r="M122" s="15">
        <v>18</v>
      </c>
      <c r="N122" s="15">
        <v>26</v>
      </c>
      <c r="O122" s="15">
        <v>21</v>
      </c>
      <c r="P122" s="15">
        <v>41</v>
      </c>
      <c r="Q122" s="15">
        <v>20</v>
      </c>
      <c r="R122" s="15">
        <v>14</v>
      </c>
      <c r="S122" s="15">
        <v>12</v>
      </c>
      <c r="T122" s="88">
        <f t="shared" si="39"/>
        <v>0.33333333333333331</v>
      </c>
      <c r="U122" s="88">
        <f t="shared" si="40"/>
        <v>-0.42857142857142855</v>
      </c>
      <c r="V122" s="88">
        <f t="shared" si="41"/>
        <v>-0.14285714285714285</v>
      </c>
      <c r="W122" s="90">
        <f t="shared" si="42"/>
        <v>5.7485029940119764E-4</v>
      </c>
      <c r="X122" s="52">
        <f t="shared" si="43"/>
        <v>-2</v>
      </c>
    </row>
    <row r="123" spans="1:24" x14ac:dyDescent="0.2">
      <c r="A123" s="4" t="s">
        <v>228</v>
      </c>
      <c r="B123" s="4">
        <v>38</v>
      </c>
      <c r="C123" s="4">
        <v>35</v>
      </c>
      <c r="D123" s="4">
        <v>14</v>
      </c>
      <c r="E123" s="4">
        <v>13</v>
      </c>
      <c r="F123" s="4">
        <v>30</v>
      </c>
      <c r="G123" s="15">
        <v>39</v>
      </c>
      <c r="H123" s="15">
        <v>66</v>
      </c>
      <c r="I123" s="15">
        <v>99</v>
      </c>
      <c r="J123" s="15">
        <v>142</v>
      </c>
      <c r="K123" s="15">
        <v>97</v>
      </c>
      <c r="L123" s="15">
        <v>142</v>
      </c>
      <c r="M123" s="15">
        <v>116</v>
      </c>
      <c r="N123" s="15">
        <v>159</v>
      </c>
      <c r="O123" s="15">
        <v>146</v>
      </c>
      <c r="P123" s="15">
        <v>212</v>
      </c>
      <c r="Q123" s="15">
        <v>181</v>
      </c>
      <c r="R123" s="15">
        <v>214</v>
      </c>
      <c r="S123" s="15">
        <v>148</v>
      </c>
      <c r="T123" s="88">
        <f t="shared" si="39"/>
        <v>4.2253521126760563E-2</v>
      </c>
      <c r="U123" s="88">
        <f t="shared" si="40"/>
        <v>1.3698630136986301E-2</v>
      </c>
      <c r="V123" s="88">
        <f t="shared" si="41"/>
        <v>-0.30841121495327101</v>
      </c>
      <c r="W123" s="90">
        <f t="shared" si="42"/>
        <v>7.0898203592814372E-3</v>
      </c>
      <c r="X123" s="52">
        <f t="shared" si="43"/>
        <v>-66</v>
      </c>
    </row>
    <row r="124" spans="1:24" x14ac:dyDescent="0.2">
      <c r="A124" s="4" t="s">
        <v>229</v>
      </c>
      <c r="B124" s="4">
        <v>553</v>
      </c>
      <c r="C124" s="4">
        <v>769</v>
      </c>
      <c r="D124" s="4">
        <v>998</v>
      </c>
      <c r="E124" s="4">
        <v>691</v>
      </c>
      <c r="F124" s="4">
        <v>904</v>
      </c>
      <c r="G124" s="15">
        <v>1052</v>
      </c>
      <c r="H124" s="15">
        <v>1304</v>
      </c>
      <c r="I124" s="15">
        <v>1466</v>
      </c>
      <c r="J124" s="15">
        <v>1438</v>
      </c>
      <c r="K124" s="15">
        <v>1365</v>
      </c>
      <c r="L124" s="15">
        <v>1117</v>
      </c>
      <c r="M124" s="15">
        <v>1095</v>
      </c>
      <c r="N124" s="15">
        <v>1210</v>
      </c>
      <c r="O124" s="15">
        <v>1182</v>
      </c>
      <c r="P124" s="15">
        <v>1458</v>
      </c>
      <c r="Q124" s="15">
        <v>1277</v>
      </c>
      <c r="R124" s="15">
        <v>1480</v>
      </c>
      <c r="S124" s="15">
        <v>1512</v>
      </c>
      <c r="T124" s="88">
        <f t="shared" si="39"/>
        <v>5.1460361613351879E-2</v>
      </c>
      <c r="U124" s="88">
        <f t="shared" si="40"/>
        <v>0.27918781725888325</v>
      </c>
      <c r="V124" s="88">
        <f t="shared" si="41"/>
        <v>2.1621621621621623E-2</v>
      </c>
      <c r="W124" s="90">
        <f t="shared" si="42"/>
        <v>7.2431137724550898E-2</v>
      </c>
      <c r="X124" s="52">
        <f t="shared" si="43"/>
        <v>32</v>
      </c>
    </row>
    <row r="125" spans="1:24" x14ac:dyDescent="0.2">
      <c r="A125" s="4" t="s">
        <v>239</v>
      </c>
      <c r="B125" s="4">
        <v>3945</v>
      </c>
      <c r="C125" s="4">
        <v>4416</v>
      </c>
      <c r="D125" s="4">
        <v>5493</v>
      </c>
      <c r="E125" s="4">
        <v>5309</v>
      </c>
      <c r="F125" s="4">
        <v>6811</v>
      </c>
      <c r="G125" s="15">
        <v>7165</v>
      </c>
      <c r="H125" s="15">
        <v>8529</v>
      </c>
      <c r="I125" s="15">
        <v>8869</v>
      </c>
      <c r="J125" s="15">
        <v>9391</v>
      </c>
      <c r="K125" s="15">
        <v>9757</v>
      </c>
      <c r="L125" s="15">
        <v>10448</v>
      </c>
      <c r="M125" s="15">
        <v>11361</v>
      </c>
      <c r="N125" s="15">
        <v>11193</v>
      </c>
      <c r="O125" s="15">
        <v>10505</v>
      </c>
      <c r="P125" s="15">
        <v>13739</v>
      </c>
      <c r="Q125" s="15">
        <v>14445</v>
      </c>
      <c r="R125" s="15">
        <v>16734</v>
      </c>
      <c r="S125" s="15">
        <v>15798</v>
      </c>
      <c r="T125" s="88">
        <f t="shared" si="39"/>
        <v>0.6822489617719093</v>
      </c>
      <c r="U125" s="88">
        <f t="shared" si="40"/>
        <v>0.50385530699666825</v>
      </c>
      <c r="V125" s="88">
        <f t="shared" si="41"/>
        <v>-5.5934026532807456E-2</v>
      </c>
      <c r="W125" s="90">
        <f t="shared" si="42"/>
        <v>0.75679041916167666</v>
      </c>
      <c r="X125" s="52">
        <f t="shared" si="43"/>
        <v>-936</v>
      </c>
    </row>
    <row r="126" spans="1:24" x14ac:dyDescent="0.2">
      <c r="A126" s="4" t="s">
        <v>328</v>
      </c>
      <c r="B126" s="4">
        <v>16</v>
      </c>
      <c r="C126" s="4">
        <v>1</v>
      </c>
      <c r="D126" s="4">
        <v>5</v>
      </c>
      <c r="E126" s="4">
        <v>13</v>
      </c>
      <c r="F126" s="4">
        <v>109</v>
      </c>
      <c r="G126" s="15">
        <v>50</v>
      </c>
      <c r="H126" s="15">
        <v>4</v>
      </c>
      <c r="I126" s="15">
        <v>4</v>
      </c>
      <c r="J126" s="15">
        <v>44</v>
      </c>
      <c r="K126" s="15">
        <v>0</v>
      </c>
      <c r="L126" s="15">
        <v>0</v>
      </c>
      <c r="M126" s="15">
        <v>0</v>
      </c>
      <c r="N126" s="15">
        <v>0</v>
      </c>
      <c r="O126" s="15">
        <v>0</v>
      </c>
      <c r="P126" s="15">
        <v>0</v>
      </c>
      <c r="Q126" s="15">
        <v>0</v>
      </c>
      <c r="R126" s="15">
        <v>0</v>
      </c>
      <c r="S126" s="15">
        <v>11</v>
      </c>
      <c r="T126" s="88">
        <f t="shared" si="39"/>
        <v>-0.75</v>
      </c>
      <c r="U126" s="88" t="s">
        <v>296</v>
      </c>
      <c r="V126" s="88" t="s">
        <v>296</v>
      </c>
      <c r="W126" s="90">
        <f t="shared" si="42"/>
        <v>5.2694610778443115E-4</v>
      </c>
      <c r="X126" s="52">
        <f t="shared" si="43"/>
        <v>11</v>
      </c>
    </row>
    <row r="127" spans="1:24" x14ac:dyDescent="0.2">
      <c r="A127" s="4" t="s">
        <v>230</v>
      </c>
      <c r="B127" s="4">
        <v>108</v>
      </c>
      <c r="C127" s="4">
        <v>96</v>
      </c>
      <c r="D127" s="4">
        <v>816</v>
      </c>
      <c r="E127" s="4">
        <v>427</v>
      </c>
      <c r="F127" s="4">
        <v>344</v>
      </c>
      <c r="G127" s="15">
        <v>434</v>
      </c>
      <c r="H127" s="15">
        <v>346</v>
      </c>
      <c r="I127" s="15">
        <v>282</v>
      </c>
      <c r="J127" s="15">
        <v>306</v>
      </c>
      <c r="K127" s="15">
        <v>277</v>
      </c>
      <c r="L127" s="15">
        <v>292</v>
      </c>
      <c r="M127" s="15">
        <v>369</v>
      </c>
      <c r="N127" s="15">
        <v>355</v>
      </c>
      <c r="O127" s="15">
        <v>232</v>
      </c>
      <c r="P127" s="15">
        <v>410</v>
      </c>
      <c r="Q127" s="15">
        <v>393</v>
      </c>
      <c r="R127" s="15">
        <v>374</v>
      </c>
      <c r="S127" s="15">
        <v>393</v>
      </c>
      <c r="T127" s="88">
        <f t="shared" si="39"/>
        <v>0.28431372549019607</v>
      </c>
      <c r="U127" s="88">
        <f t="shared" si="40"/>
        <v>0.69396551724137934</v>
      </c>
      <c r="V127" s="88">
        <f t="shared" si="41"/>
        <v>5.0802139037433157E-2</v>
      </c>
      <c r="W127" s="90">
        <f t="shared" si="42"/>
        <v>1.8826347305389221E-2</v>
      </c>
      <c r="X127" s="52">
        <f t="shared" si="43"/>
        <v>19</v>
      </c>
    </row>
    <row r="128" spans="1:24" x14ac:dyDescent="0.2">
      <c r="A128" s="4" t="s">
        <v>242</v>
      </c>
      <c r="B128" s="4"/>
      <c r="C128" s="4">
        <v>41</v>
      </c>
      <c r="D128" s="4">
        <v>41</v>
      </c>
      <c r="E128" s="4">
        <v>37</v>
      </c>
      <c r="F128" s="4">
        <v>81</v>
      </c>
      <c r="G128" s="15">
        <v>120</v>
      </c>
      <c r="H128" s="15">
        <v>146</v>
      </c>
      <c r="I128" s="15">
        <v>133</v>
      </c>
      <c r="J128" s="15">
        <v>182</v>
      </c>
      <c r="K128" s="15">
        <v>111</v>
      </c>
      <c r="L128" s="15">
        <v>199</v>
      </c>
      <c r="M128" s="15">
        <v>144</v>
      </c>
      <c r="N128" s="15">
        <v>120</v>
      </c>
      <c r="O128" s="15">
        <v>104</v>
      </c>
      <c r="P128" s="15">
        <v>127</v>
      </c>
      <c r="Q128" s="15">
        <v>103</v>
      </c>
      <c r="R128" s="15">
        <v>115</v>
      </c>
      <c r="S128" s="15">
        <v>156</v>
      </c>
      <c r="T128" s="88">
        <f t="shared" si="39"/>
        <v>-0.14285714285714285</v>
      </c>
      <c r="U128" s="88">
        <f t="shared" si="40"/>
        <v>0.5</v>
      </c>
      <c r="V128" s="88">
        <f t="shared" si="41"/>
        <v>0.35652173913043478</v>
      </c>
      <c r="W128" s="90">
        <f t="shared" si="42"/>
        <v>7.4730538922155691E-3</v>
      </c>
      <c r="X128" s="52">
        <f t="shared" si="43"/>
        <v>41</v>
      </c>
    </row>
    <row r="129" spans="1:24" x14ac:dyDescent="0.2">
      <c r="A129" s="4" t="s">
        <v>231</v>
      </c>
      <c r="B129" s="4">
        <v>442</v>
      </c>
      <c r="C129" s="4">
        <v>418</v>
      </c>
      <c r="D129" s="4">
        <v>530</v>
      </c>
      <c r="E129" s="4">
        <v>672</v>
      </c>
      <c r="F129" s="4">
        <v>862</v>
      </c>
      <c r="G129" s="15">
        <v>697</v>
      </c>
      <c r="H129" s="15">
        <v>1151</v>
      </c>
      <c r="I129" s="15">
        <v>998</v>
      </c>
      <c r="J129" s="15">
        <v>1176</v>
      </c>
      <c r="K129" s="15">
        <v>1158</v>
      </c>
      <c r="L129" s="15">
        <v>1272</v>
      </c>
      <c r="M129" s="15">
        <v>1457</v>
      </c>
      <c r="N129" s="15">
        <v>1580</v>
      </c>
      <c r="O129" s="15">
        <v>1370</v>
      </c>
      <c r="P129" s="15">
        <v>1506</v>
      </c>
      <c r="Q129" s="15">
        <v>1468</v>
      </c>
      <c r="R129" s="15">
        <v>1639</v>
      </c>
      <c r="S129" s="15">
        <v>1361</v>
      </c>
      <c r="T129" s="88">
        <f t="shared" si="39"/>
        <v>0.15731292517006804</v>
      </c>
      <c r="U129" s="88">
        <f t="shared" si="40"/>
        <v>-6.5693430656934308E-3</v>
      </c>
      <c r="V129" s="88">
        <f t="shared" si="41"/>
        <v>-0.16961561928004881</v>
      </c>
      <c r="W129" s="90">
        <f t="shared" si="42"/>
        <v>6.5197604790419167E-2</v>
      </c>
      <c r="X129" s="52">
        <f t="shared" si="43"/>
        <v>-278</v>
      </c>
    </row>
    <row r="130" spans="1:24" x14ac:dyDescent="0.2">
      <c r="A130" s="4" t="s">
        <v>232</v>
      </c>
      <c r="B130" s="4">
        <v>111</v>
      </c>
      <c r="C130" s="4">
        <v>172</v>
      </c>
      <c r="D130" s="4">
        <v>190</v>
      </c>
      <c r="E130" s="4">
        <v>346</v>
      </c>
      <c r="F130" s="4">
        <v>342</v>
      </c>
      <c r="G130" s="15">
        <v>397</v>
      </c>
      <c r="H130" s="15">
        <v>392</v>
      </c>
      <c r="I130" s="15">
        <v>532</v>
      </c>
      <c r="J130" s="15">
        <v>630</v>
      </c>
      <c r="K130" s="15">
        <v>583</v>
      </c>
      <c r="L130" s="15">
        <v>560</v>
      </c>
      <c r="M130" s="15">
        <v>678</v>
      </c>
      <c r="N130" s="15">
        <v>782</v>
      </c>
      <c r="O130" s="15">
        <v>813</v>
      </c>
      <c r="P130" s="15">
        <v>714</v>
      </c>
      <c r="Q130" s="15">
        <v>725</v>
      </c>
      <c r="R130" s="15">
        <v>774</v>
      </c>
      <c r="S130" s="15">
        <v>565</v>
      </c>
      <c r="T130" s="88">
        <f t="shared" si="39"/>
        <v>-0.10317460317460317</v>
      </c>
      <c r="U130" s="88">
        <f t="shared" si="40"/>
        <v>-0.30504305043050428</v>
      </c>
      <c r="V130" s="88">
        <f t="shared" si="41"/>
        <v>-0.27002583979328165</v>
      </c>
      <c r="W130" s="90">
        <f t="shared" si="42"/>
        <v>2.7065868263473052E-2</v>
      </c>
      <c r="X130" s="52">
        <f t="shared" si="43"/>
        <v>-209</v>
      </c>
    </row>
    <row r="131" spans="1:24" x14ac:dyDescent="0.2">
      <c r="A131" s="4" t="s">
        <v>233</v>
      </c>
      <c r="B131" s="4">
        <v>113</v>
      </c>
      <c r="C131" s="4">
        <v>6</v>
      </c>
      <c r="D131" s="4">
        <v>153</v>
      </c>
      <c r="E131" s="4">
        <v>157</v>
      </c>
      <c r="F131" s="4">
        <v>154</v>
      </c>
      <c r="G131" s="15">
        <v>196</v>
      </c>
      <c r="H131" s="15">
        <v>183</v>
      </c>
      <c r="I131" s="15">
        <v>195</v>
      </c>
      <c r="J131" s="15">
        <v>185</v>
      </c>
      <c r="K131" s="15">
        <v>233</v>
      </c>
      <c r="L131" s="15">
        <v>286</v>
      </c>
      <c r="M131" s="15">
        <v>295</v>
      </c>
      <c r="N131" s="15">
        <v>210</v>
      </c>
      <c r="O131" s="15">
        <v>315</v>
      </c>
      <c r="P131" s="15">
        <v>306</v>
      </c>
      <c r="Q131" s="15">
        <v>301</v>
      </c>
      <c r="R131" s="15">
        <v>168</v>
      </c>
      <c r="S131" s="15">
        <v>292</v>
      </c>
      <c r="T131" s="88">
        <f t="shared" si="39"/>
        <v>0.57837837837837835</v>
      </c>
      <c r="U131" s="88">
        <f t="shared" si="40"/>
        <v>-7.301587301587302E-2</v>
      </c>
      <c r="V131" s="88">
        <f t="shared" si="41"/>
        <v>0.73809523809523814</v>
      </c>
      <c r="W131" s="90">
        <f t="shared" si="42"/>
        <v>1.3988023952095809E-2</v>
      </c>
      <c r="X131" s="52">
        <f t="shared" si="43"/>
        <v>124</v>
      </c>
    </row>
    <row r="132" spans="1:24" x14ac:dyDescent="0.2">
      <c r="A132" s="4" t="s">
        <v>234</v>
      </c>
      <c r="B132" s="4">
        <v>4</v>
      </c>
      <c r="C132" s="4">
        <v>7</v>
      </c>
      <c r="D132" s="4">
        <v>10</v>
      </c>
      <c r="E132" s="4">
        <v>8</v>
      </c>
      <c r="F132" s="4">
        <v>19</v>
      </c>
      <c r="G132" s="15">
        <v>43</v>
      </c>
      <c r="H132" s="15">
        <v>64</v>
      </c>
      <c r="I132" s="15">
        <v>91</v>
      </c>
      <c r="J132" s="15">
        <v>47</v>
      </c>
      <c r="K132" s="15">
        <v>81</v>
      </c>
      <c r="L132" s="15">
        <v>59</v>
      </c>
      <c r="M132" s="15">
        <v>264</v>
      </c>
      <c r="N132" s="15">
        <v>137</v>
      </c>
      <c r="O132" s="15">
        <v>193</v>
      </c>
      <c r="P132" s="15">
        <v>278</v>
      </c>
      <c r="Q132" s="15">
        <v>209</v>
      </c>
      <c r="R132" s="15">
        <v>249</v>
      </c>
      <c r="S132" s="15">
        <v>227</v>
      </c>
      <c r="T132" s="88">
        <f t="shared" si="39"/>
        <v>3.8297872340425534</v>
      </c>
      <c r="U132" s="88">
        <f t="shared" si="40"/>
        <v>0.17616580310880828</v>
      </c>
      <c r="V132" s="88">
        <f t="shared" si="41"/>
        <v>-8.8353413654618476E-2</v>
      </c>
      <c r="W132" s="90">
        <f t="shared" si="42"/>
        <v>1.0874251497005988E-2</v>
      </c>
      <c r="X132" s="52">
        <f t="shared" si="43"/>
        <v>-22</v>
      </c>
    </row>
    <row r="133" spans="1:24" x14ac:dyDescent="0.2">
      <c r="A133" s="4" t="s">
        <v>235</v>
      </c>
      <c r="B133" s="4">
        <v>0</v>
      </c>
      <c r="C133" s="4">
        <v>0</v>
      </c>
      <c r="D133" s="4">
        <v>0</v>
      </c>
      <c r="E133" s="4">
        <v>0</v>
      </c>
      <c r="F133" s="4">
        <v>2</v>
      </c>
      <c r="G133" s="15">
        <v>0</v>
      </c>
      <c r="H133" s="15">
        <v>0</v>
      </c>
      <c r="I133" s="15">
        <v>2</v>
      </c>
      <c r="J133" s="15">
        <v>2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88">
        <f t="shared" si="39"/>
        <v>-1</v>
      </c>
      <c r="U133" s="88" t="s">
        <v>296</v>
      </c>
      <c r="V133" s="88" t="s">
        <v>296</v>
      </c>
      <c r="W133" s="90">
        <f t="shared" si="42"/>
        <v>0</v>
      </c>
      <c r="X133" s="52">
        <f t="shared" si="43"/>
        <v>0</v>
      </c>
    </row>
    <row r="134" spans="1:24" x14ac:dyDescent="0.2">
      <c r="A134" s="4" t="s">
        <v>236</v>
      </c>
      <c r="B134" s="4">
        <v>0</v>
      </c>
      <c r="C134" s="4">
        <v>9</v>
      </c>
      <c r="D134" s="4">
        <v>12</v>
      </c>
      <c r="E134" s="4">
        <v>16</v>
      </c>
      <c r="F134" s="4">
        <v>3</v>
      </c>
      <c r="G134" s="15">
        <v>5</v>
      </c>
      <c r="H134" s="15">
        <v>5</v>
      </c>
      <c r="I134" s="15">
        <v>9</v>
      </c>
      <c r="J134" s="15">
        <v>5</v>
      </c>
      <c r="K134" s="15">
        <v>4</v>
      </c>
      <c r="L134" s="15">
        <v>4</v>
      </c>
      <c r="M134" s="15">
        <v>0</v>
      </c>
      <c r="N134" s="15">
        <v>0</v>
      </c>
      <c r="O134" s="15">
        <v>0</v>
      </c>
      <c r="P134" s="15">
        <v>0</v>
      </c>
      <c r="Q134" s="15">
        <v>0</v>
      </c>
      <c r="R134" s="15">
        <v>4</v>
      </c>
      <c r="S134" s="15">
        <v>15</v>
      </c>
      <c r="T134" s="88">
        <f t="shared" si="39"/>
        <v>2</v>
      </c>
      <c r="U134" s="88" t="s">
        <v>296</v>
      </c>
      <c r="V134" s="88">
        <f t="shared" si="41"/>
        <v>2.75</v>
      </c>
      <c r="W134" s="90">
        <f t="shared" si="42"/>
        <v>7.18562874251497E-4</v>
      </c>
      <c r="X134" s="52">
        <f t="shared" si="43"/>
        <v>11</v>
      </c>
    </row>
    <row r="135" spans="1:24" x14ac:dyDescent="0.2">
      <c r="A135" s="5" t="s">
        <v>4</v>
      </c>
      <c r="B135" s="5">
        <v>5481</v>
      </c>
      <c r="C135" s="5">
        <v>6239</v>
      </c>
      <c r="D135" s="5">
        <v>8606</v>
      </c>
      <c r="E135" s="5">
        <v>8088</v>
      </c>
      <c r="F135" s="5">
        <v>10011</v>
      </c>
      <c r="G135" s="5">
        <v>10589</v>
      </c>
      <c r="H135" s="5">
        <v>12613</v>
      </c>
      <c r="I135" s="5">
        <v>13015</v>
      </c>
      <c r="J135" s="5">
        <v>13984</v>
      </c>
      <c r="K135" s="5">
        <v>13984</v>
      </c>
      <c r="L135" s="5">
        <v>14827</v>
      </c>
      <c r="M135" s="5">
        <v>16379</v>
      </c>
      <c r="N135" s="5">
        <v>16244</v>
      </c>
      <c r="O135" s="5">
        <v>15352</v>
      </c>
      <c r="P135" s="5">
        <v>19391</v>
      </c>
      <c r="Q135" s="5">
        <v>19485</v>
      </c>
      <c r="R135" s="5">
        <v>22177</v>
      </c>
      <c r="S135" s="5">
        <v>20875</v>
      </c>
      <c r="T135" s="89">
        <f t="shared" si="39"/>
        <v>0.49277745995423339</v>
      </c>
      <c r="U135" s="89">
        <f t="shared" si="40"/>
        <v>0.35975768629494531</v>
      </c>
      <c r="V135" s="89">
        <f t="shared" si="41"/>
        <v>-5.8709473779140549E-2</v>
      </c>
      <c r="W135" s="91">
        <f t="shared" si="42"/>
        <v>1</v>
      </c>
      <c r="X135" s="53">
        <f t="shared" si="43"/>
        <v>-1302</v>
      </c>
    </row>
    <row r="136" spans="1:24" x14ac:dyDescent="0.2">
      <c r="A136" s="134"/>
      <c r="B136" s="134"/>
      <c r="C136" s="134"/>
      <c r="D136" s="134"/>
      <c r="E136" s="134"/>
      <c r="F136" s="134"/>
      <c r="G136" s="134"/>
      <c r="H136" s="134"/>
      <c r="I136" s="134"/>
      <c r="J136" s="134"/>
      <c r="K136" s="134"/>
      <c r="L136" s="134"/>
      <c r="M136" s="134"/>
      <c r="N136" s="134"/>
      <c r="O136" s="134"/>
      <c r="P136" s="134"/>
      <c r="Q136" s="134"/>
      <c r="R136" s="134"/>
      <c r="S136" s="134"/>
      <c r="T136" s="135"/>
      <c r="U136" s="135"/>
      <c r="V136" s="135"/>
      <c r="W136" s="135"/>
      <c r="X136" s="135"/>
    </row>
    <row r="137" spans="1:24" x14ac:dyDescent="0.2">
      <c r="A137" s="134"/>
      <c r="B137" s="134"/>
      <c r="C137" s="134"/>
      <c r="D137" s="134"/>
      <c r="E137" s="134"/>
      <c r="F137" s="134"/>
      <c r="G137" s="134"/>
      <c r="H137" s="134"/>
      <c r="I137" s="134"/>
      <c r="J137" s="134"/>
      <c r="K137" s="134"/>
      <c r="L137" s="134"/>
      <c r="M137" s="134"/>
      <c r="N137" s="134"/>
      <c r="O137" s="134"/>
      <c r="P137" s="134"/>
      <c r="Q137" s="134"/>
      <c r="R137" s="134"/>
      <c r="S137" s="134"/>
      <c r="T137" s="135"/>
      <c r="U137" s="135"/>
      <c r="V137" s="135"/>
      <c r="W137" s="135"/>
      <c r="X137" s="135"/>
    </row>
    <row r="138" spans="1:24" x14ac:dyDescent="0.2">
      <c r="A138" s="57" t="s">
        <v>218</v>
      </c>
      <c r="B138" s="57"/>
      <c r="C138" s="57"/>
      <c r="D138" s="57"/>
      <c r="E138" s="57"/>
      <c r="F138" s="57"/>
      <c r="G138" s="57"/>
      <c r="H138" s="31"/>
      <c r="I138" s="31"/>
      <c r="J138" s="31"/>
      <c r="K138" s="31"/>
      <c r="L138" s="55"/>
      <c r="M138" s="55"/>
      <c r="N138" s="55"/>
      <c r="O138" s="31"/>
      <c r="P138" s="31"/>
      <c r="Q138" s="31"/>
      <c r="R138" s="31"/>
      <c r="S138" s="31"/>
      <c r="T138" s="95"/>
      <c r="U138" s="95"/>
      <c r="V138" s="95"/>
      <c r="W138" s="95"/>
      <c r="X138" s="95"/>
    </row>
    <row r="139" spans="1:24" x14ac:dyDescent="0.2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95"/>
      <c r="U139" s="95"/>
      <c r="V139" s="95"/>
      <c r="W139" s="95"/>
      <c r="X139" s="95"/>
    </row>
    <row r="140" spans="1:24" x14ac:dyDescent="0.2">
      <c r="A140" s="58" t="s">
        <v>21</v>
      </c>
      <c r="B140" s="58"/>
      <c r="C140" s="58"/>
      <c r="D140" s="58"/>
      <c r="E140" s="58"/>
      <c r="F140" s="58"/>
      <c r="G140" s="58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95"/>
      <c r="U140" s="95"/>
      <c r="V140" s="95"/>
      <c r="W140" s="95"/>
      <c r="X140" s="95"/>
    </row>
    <row r="141" spans="1:24" x14ac:dyDescent="0.2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95"/>
      <c r="U141" s="95"/>
      <c r="V141" s="95"/>
      <c r="W141" s="95"/>
      <c r="X141" s="95"/>
    </row>
    <row r="142" spans="1:24" x14ac:dyDescent="0.2"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95"/>
    </row>
    <row r="143" spans="1:24" x14ac:dyDescent="0.2"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95"/>
    </row>
    <row r="144" spans="1:24" x14ac:dyDescent="0.2">
      <c r="T144" s="1"/>
      <c r="U144" s="1"/>
      <c r="V144" s="1"/>
      <c r="W144" s="1"/>
      <c r="X144" s="1"/>
    </row>
    <row r="145" s="1" customFormat="1" x14ac:dyDescent="0.2"/>
    <row r="146" s="1" customFormat="1" x14ac:dyDescent="0.2"/>
    <row r="147" s="1" customFormat="1" x14ac:dyDescent="0.2"/>
    <row r="148" s="1" customFormat="1" x14ac:dyDescent="0.2"/>
    <row r="149" s="1" customFormat="1" x14ac:dyDescent="0.2"/>
    <row r="150" s="1" customFormat="1" x14ac:dyDescent="0.2"/>
    <row r="151" s="1" customFormat="1" x14ac:dyDescent="0.2"/>
    <row r="152" s="1" customFormat="1" x14ac:dyDescent="0.2"/>
    <row r="153" s="1" customFormat="1" x14ac:dyDescent="0.2"/>
    <row r="154" s="1" customFormat="1" x14ac:dyDescent="0.2"/>
    <row r="155" s="1" customFormat="1" x14ac:dyDescent="0.2"/>
    <row r="156" s="1" customFormat="1" x14ac:dyDescent="0.2"/>
  </sheetData>
  <conditionalFormatting sqref="T6:T9">
    <cfRule type="iconSet" priority="37">
      <iconSet iconSet="5Arrows">
        <cfvo type="percent" val="0"/>
        <cfvo type="num" val="-0.5"/>
        <cfvo type="num" val="0"/>
        <cfvo type="num" val="0.5"/>
        <cfvo type="num" val="1"/>
      </iconSet>
    </cfRule>
  </conditionalFormatting>
  <conditionalFormatting sqref="T14:T16">
    <cfRule type="iconSet" priority="33">
      <iconSet iconSet="5Arrows">
        <cfvo type="percent" val="0"/>
        <cfvo type="num" val="-0.5"/>
        <cfvo type="num" val="0"/>
        <cfvo type="num" val="0.5"/>
        <cfvo type="num" val="1"/>
      </iconSet>
    </cfRule>
  </conditionalFormatting>
  <conditionalFormatting sqref="T20:T29">
    <cfRule type="iconSet" priority="29">
      <iconSet iconSet="5Arrows">
        <cfvo type="percent" val="0"/>
        <cfvo type="num" val="-0.5"/>
        <cfvo type="num" val="0"/>
        <cfvo type="num" val="0.5"/>
        <cfvo type="num" val="1"/>
      </iconSet>
    </cfRule>
  </conditionalFormatting>
  <conditionalFormatting sqref="T34:T43">
    <cfRule type="iconSet" priority="25">
      <iconSet iconSet="5Arrows">
        <cfvo type="percent" val="0"/>
        <cfvo type="num" val="-0.5"/>
        <cfvo type="num" val="0"/>
        <cfvo type="num" val="0.5"/>
        <cfvo type="num" val="1"/>
      </iconSet>
    </cfRule>
  </conditionalFormatting>
  <conditionalFormatting sqref="T47:T59">
    <cfRule type="iconSet" priority="21">
      <iconSet iconSet="5Arrows">
        <cfvo type="percent" val="0"/>
        <cfvo type="num" val="-0.5"/>
        <cfvo type="num" val="0"/>
        <cfvo type="num" val="0.5"/>
        <cfvo type="num" val="1"/>
      </iconSet>
    </cfRule>
  </conditionalFormatting>
  <conditionalFormatting sqref="T63:T73">
    <cfRule type="iconSet" priority="17">
      <iconSet iconSet="5Arrows">
        <cfvo type="percent" val="0"/>
        <cfvo type="num" val="-0.5"/>
        <cfvo type="num" val="0"/>
        <cfvo type="num" val="0.5"/>
        <cfvo type="num" val="1"/>
      </iconSet>
    </cfRule>
  </conditionalFormatting>
  <conditionalFormatting sqref="T77:T87">
    <cfRule type="iconSet" priority="13">
      <iconSet iconSet="5Arrows">
        <cfvo type="percent" val="0"/>
        <cfvo type="num" val="-0.5"/>
        <cfvo type="num" val="0"/>
        <cfvo type="num" val="0.5"/>
        <cfvo type="num" val="1"/>
      </iconSet>
    </cfRule>
  </conditionalFormatting>
  <conditionalFormatting sqref="T91:T101">
    <cfRule type="iconSet" priority="9">
      <iconSet iconSet="5Arrows">
        <cfvo type="percent" val="0"/>
        <cfvo type="num" val="-0.5"/>
        <cfvo type="num" val="0"/>
        <cfvo type="num" val="0.5"/>
        <cfvo type="num" val="1"/>
      </iconSet>
    </cfRule>
  </conditionalFormatting>
  <conditionalFormatting sqref="T105:T115">
    <cfRule type="iconSet" priority="5">
      <iconSet iconSet="5Arrows">
        <cfvo type="percent" val="0"/>
        <cfvo type="num" val="-0.5"/>
        <cfvo type="num" val="0"/>
        <cfvo type="num" val="0.5"/>
        <cfvo type="num" val="1"/>
      </iconSet>
    </cfRule>
  </conditionalFormatting>
  <conditionalFormatting sqref="T119:T135">
    <cfRule type="iconSet" priority="1">
      <iconSet iconSet="5Arrows">
        <cfvo type="percent" val="0"/>
        <cfvo type="num" val="-0.5"/>
        <cfvo type="num" val="0"/>
        <cfvo type="num" val="0.5"/>
        <cfvo type="num" val="1"/>
      </iconSet>
    </cfRule>
  </conditionalFormatting>
  <conditionalFormatting sqref="U6:U9">
    <cfRule type="iconSet" priority="39">
      <iconSet iconSet="5Arrows">
        <cfvo type="percent" val="0"/>
        <cfvo type="num" val="-0.5"/>
        <cfvo type="num" val="0"/>
        <cfvo type="num" val="0.5"/>
        <cfvo type="num" val="1"/>
      </iconSet>
    </cfRule>
  </conditionalFormatting>
  <conditionalFormatting sqref="U14:U16">
    <cfRule type="iconSet" priority="35">
      <iconSet iconSet="5Arrows">
        <cfvo type="percent" val="0"/>
        <cfvo type="num" val="-0.5"/>
        <cfvo type="num" val="0"/>
        <cfvo type="num" val="0.5"/>
        <cfvo type="num" val="1"/>
      </iconSet>
    </cfRule>
  </conditionalFormatting>
  <conditionalFormatting sqref="U20:U29">
    <cfRule type="iconSet" priority="31">
      <iconSet iconSet="5Arrows">
        <cfvo type="percent" val="0"/>
        <cfvo type="num" val="-0.5"/>
        <cfvo type="num" val="0"/>
        <cfvo type="num" val="0.5"/>
        <cfvo type="num" val="1"/>
      </iconSet>
    </cfRule>
  </conditionalFormatting>
  <conditionalFormatting sqref="U34:U43">
    <cfRule type="iconSet" priority="27">
      <iconSet iconSet="5Arrows">
        <cfvo type="percent" val="0"/>
        <cfvo type="num" val="-0.5"/>
        <cfvo type="num" val="0"/>
        <cfvo type="num" val="0.5"/>
        <cfvo type="num" val="1"/>
      </iconSet>
    </cfRule>
  </conditionalFormatting>
  <conditionalFormatting sqref="U47:U59">
    <cfRule type="iconSet" priority="23">
      <iconSet iconSet="5Arrows">
        <cfvo type="percent" val="0"/>
        <cfvo type="num" val="-0.5"/>
        <cfvo type="num" val="0"/>
        <cfvo type="num" val="0.5"/>
        <cfvo type="num" val="1"/>
      </iconSet>
    </cfRule>
  </conditionalFormatting>
  <conditionalFormatting sqref="U63:U73">
    <cfRule type="iconSet" priority="19">
      <iconSet iconSet="5Arrows">
        <cfvo type="percent" val="0"/>
        <cfvo type="num" val="-0.5"/>
        <cfvo type="num" val="0"/>
        <cfvo type="num" val="0.5"/>
        <cfvo type="num" val="1"/>
      </iconSet>
    </cfRule>
  </conditionalFormatting>
  <conditionalFormatting sqref="U77:U87">
    <cfRule type="iconSet" priority="15">
      <iconSet iconSet="5Arrows">
        <cfvo type="percent" val="0"/>
        <cfvo type="num" val="-0.5"/>
        <cfvo type="num" val="0"/>
        <cfvo type="num" val="0.5"/>
        <cfvo type="num" val="1"/>
      </iconSet>
    </cfRule>
  </conditionalFormatting>
  <conditionalFormatting sqref="U91:U101">
    <cfRule type="iconSet" priority="11">
      <iconSet iconSet="5Arrows">
        <cfvo type="percent" val="0"/>
        <cfvo type="num" val="-0.5"/>
        <cfvo type="num" val="0"/>
        <cfvo type="num" val="0.5"/>
        <cfvo type="num" val="1"/>
      </iconSet>
    </cfRule>
  </conditionalFormatting>
  <conditionalFormatting sqref="U105:U115">
    <cfRule type="iconSet" priority="7">
      <iconSet iconSet="5Arrows">
        <cfvo type="percent" val="0"/>
        <cfvo type="num" val="-0.5"/>
        <cfvo type="num" val="0"/>
        <cfvo type="num" val="0.5"/>
        <cfvo type="num" val="1"/>
      </iconSet>
    </cfRule>
  </conditionalFormatting>
  <conditionalFormatting sqref="U119:U135">
    <cfRule type="iconSet" priority="3">
      <iconSet iconSet="5Arrows">
        <cfvo type="percent" val="0"/>
        <cfvo type="num" val="-0.5"/>
        <cfvo type="num" val="0"/>
        <cfvo type="num" val="0.5"/>
        <cfvo type="num" val="1"/>
      </iconSet>
    </cfRule>
  </conditionalFormatting>
  <conditionalFormatting sqref="V6:V9">
    <cfRule type="iconSet" priority="40">
      <iconSet iconSet="5Arrows">
        <cfvo type="percent" val="0"/>
        <cfvo type="num" val="-0.05"/>
        <cfvo type="num" val="0"/>
        <cfvo type="num" val="0.05"/>
        <cfvo type="num" val="0.1"/>
      </iconSet>
    </cfRule>
  </conditionalFormatting>
  <conditionalFormatting sqref="V14:V16">
    <cfRule type="iconSet" priority="36">
      <iconSet iconSet="5Arrows">
        <cfvo type="percent" val="0"/>
        <cfvo type="num" val="-0.05"/>
        <cfvo type="num" val="0"/>
        <cfvo type="num" val="0.05"/>
        <cfvo type="num" val="0.1"/>
      </iconSet>
    </cfRule>
  </conditionalFormatting>
  <conditionalFormatting sqref="V20:V29">
    <cfRule type="iconSet" priority="32">
      <iconSet iconSet="5Arrows">
        <cfvo type="percent" val="0"/>
        <cfvo type="num" val="-0.05"/>
        <cfvo type="num" val="0"/>
        <cfvo type="num" val="0.05"/>
        <cfvo type="num" val="0.1"/>
      </iconSet>
    </cfRule>
  </conditionalFormatting>
  <conditionalFormatting sqref="V34:V43">
    <cfRule type="iconSet" priority="28">
      <iconSet iconSet="5Arrows">
        <cfvo type="percent" val="0"/>
        <cfvo type="num" val="-0.05"/>
        <cfvo type="num" val="0"/>
        <cfvo type="num" val="0.05"/>
        <cfvo type="num" val="0.1"/>
      </iconSet>
    </cfRule>
  </conditionalFormatting>
  <conditionalFormatting sqref="V47:V59">
    <cfRule type="iconSet" priority="24">
      <iconSet iconSet="5Arrows">
        <cfvo type="percent" val="0"/>
        <cfvo type="num" val="-0.05"/>
        <cfvo type="num" val="0"/>
        <cfvo type="num" val="0.05"/>
        <cfvo type="num" val="0.1"/>
      </iconSet>
    </cfRule>
  </conditionalFormatting>
  <conditionalFormatting sqref="V63:V73">
    <cfRule type="iconSet" priority="20">
      <iconSet iconSet="5Arrows">
        <cfvo type="percent" val="0"/>
        <cfvo type="num" val="-0.05"/>
        <cfvo type="num" val="0"/>
        <cfvo type="num" val="0.05"/>
        <cfvo type="num" val="0.1"/>
      </iconSet>
    </cfRule>
  </conditionalFormatting>
  <conditionalFormatting sqref="V77:V87">
    <cfRule type="iconSet" priority="16">
      <iconSet iconSet="5Arrows">
        <cfvo type="percent" val="0"/>
        <cfvo type="num" val="-0.05"/>
        <cfvo type="num" val="0"/>
        <cfvo type="num" val="0.05"/>
        <cfvo type="num" val="0.1"/>
      </iconSet>
    </cfRule>
  </conditionalFormatting>
  <conditionalFormatting sqref="V91:V101">
    <cfRule type="iconSet" priority="12">
      <iconSet iconSet="5Arrows">
        <cfvo type="percent" val="0"/>
        <cfvo type="num" val="-0.05"/>
        <cfvo type="num" val="0"/>
        <cfvo type="num" val="0.05"/>
        <cfvo type="num" val="0.1"/>
      </iconSet>
    </cfRule>
  </conditionalFormatting>
  <conditionalFormatting sqref="V105:V115">
    <cfRule type="iconSet" priority="8">
      <iconSet iconSet="5Arrows">
        <cfvo type="percent" val="0"/>
        <cfvo type="num" val="-0.05"/>
        <cfvo type="num" val="0"/>
        <cfvo type="num" val="0.05"/>
        <cfvo type="num" val="0.1"/>
      </iconSet>
    </cfRule>
  </conditionalFormatting>
  <conditionalFormatting sqref="V119:V135">
    <cfRule type="iconSet" priority="4">
      <iconSet iconSet="5Arrows">
        <cfvo type="percent" val="0"/>
        <cfvo type="num" val="-0.05"/>
        <cfvo type="num" val="0"/>
        <cfvo type="num" val="0.05"/>
        <cfvo type="num" val="0.1"/>
      </iconSet>
    </cfRule>
  </conditionalFormatting>
  <conditionalFormatting sqref="W6:W8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{2F20D0BB-6B6E-470D-94AD-0BE54B0E235D}</x14:id>
        </ext>
      </extLst>
    </cfRule>
  </conditionalFormatting>
  <conditionalFormatting sqref="W14:W15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{8951C4ED-AD49-48F5-AC5B-17E5221FC4F1}</x14:id>
        </ext>
      </extLst>
    </cfRule>
  </conditionalFormatting>
  <conditionalFormatting sqref="W20:W28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{ABB12A82-0110-4167-8FF0-9F0F05225208}</x14:id>
        </ext>
      </extLst>
    </cfRule>
  </conditionalFormatting>
  <conditionalFormatting sqref="W34:W42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{277062CA-5E7C-4199-B104-62E71B35C0A9}</x14:id>
        </ext>
      </extLst>
    </cfRule>
  </conditionalFormatting>
  <conditionalFormatting sqref="W47:W58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{21197850-FF66-4B0B-9AB2-226F66132E1B}</x14:id>
        </ext>
      </extLst>
    </cfRule>
  </conditionalFormatting>
  <conditionalFormatting sqref="W63:W72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{71BE4969-8266-45F0-A7D1-0BF556F18E9E}</x14:id>
        </ext>
      </extLst>
    </cfRule>
  </conditionalFormatting>
  <conditionalFormatting sqref="W77:W86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{64D0D885-BA2E-4CC8-96A8-35F8D32459FB}</x14:id>
        </ext>
      </extLst>
    </cfRule>
  </conditionalFormatting>
  <conditionalFormatting sqref="W91:W100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{880F0037-1E9E-4CD1-9A3F-78ED94208DE7}</x14:id>
        </ext>
      </extLst>
    </cfRule>
  </conditionalFormatting>
  <conditionalFormatting sqref="W105:W114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{E213C862-73A0-4DA8-94CA-6B1858C2F2BB}</x14:id>
        </ext>
      </extLst>
    </cfRule>
  </conditionalFormatting>
  <conditionalFormatting sqref="W119:W13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{65C7F24F-0D05-4145-9939-DE6EECC67DB9}</x14:id>
        </ext>
      </extLst>
    </cfRule>
  </conditionalFormatting>
  <conditionalFormatting sqref="X6:X9"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{4DBA0AC3-C052-4872-9645-1EC3246739E0}</x14:id>
        </ext>
      </extLst>
    </cfRule>
  </conditionalFormatting>
  <conditionalFormatting sqref="X14:X16">
    <cfRule type="dataBar" priority="5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{D97939DC-2AF4-469E-8DEF-FA523EA32E95}</x14:id>
        </ext>
      </extLst>
    </cfRule>
  </conditionalFormatting>
  <conditionalFormatting sqref="X20:X29">
    <cfRule type="dataBar" priority="5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{DD4E6FCC-1909-4714-9567-66E36E9BC879}</x14:id>
        </ext>
      </extLst>
    </cfRule>
  </conditionalFormatting>
  <conditionalFormatting sqref="X34:X43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{09C1C798-DC3C-45B8-B61A-9C17E6B3B960}</x14:id>
        </ext>
      </extLst>
    </cfRule>
  </conditionalFormatting>
  <conditionalFormatting sqref="X47:X59">
    <cfRule type="dataBar" priority="5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{EBAC8326-2166-47E5-AC64-1EF1294BD5AB}</x14:id>
        </ext>
      </extLst>
    </cfRule>
  </conditionalFormatting>
  <conditionalFormatting sqref="X63:X73">
    <cfRule type="dataBar" priority="4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{AE7D17BC-EA9C-4177-9DE3-8CE766141952}</x14:id>
        </ext>
      </extLst>
    </cfRule>
  </conditionalFormatting>
  <conditionalFormatting sqref="X77:X87">
    <cfRule type="dataBar" priority="4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{EE24B65D-F5C4-487A-A8AF-4EAC99270669}</x14:id>
        </ext>
      </extLst>
    </cfRule>
  </conditionalFormatting>
  <conditionalFormatting sqref="X91:X101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{D15C775E-5A00-4ABA-B882-43F049B10949}</x14:id>
        </ext>
      </extLst>
    </cfRule>
  </conditionalFormatting>
  <conditionalFormatting sqref="X105:X115"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{C9B393A1-E94D-4DAC-8C4B-BE4DFFBEA149}</x14:id>
        </ext>
      </extLst>
    </cfRule>
  </conditionalFormatting>
  <conditionalFormatting sqref="X119:X135">
    <cfRule type="dataBar" priority="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{46009948-E198-4DFA-BC6D-C575E51D1738}</x14:id>
        </ext>
      </extLst>
    </cfRule>
  </conditionalFormatting>
  <hyperlinks>
    <hyperlink ref="A140" location="Indice!A5" display="Volver al índice" xr:uid="{00000000-0004-0000-0600-000000000000}"/>
  </hyperlinks>
  <pageMargins left="0.7" right="0.7" top="0.75" bottom="0.75" header="0.3" footer="0.3"/>
  <pageSetup orientation="portrait" verticalDpi="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F20D0BB-6B6E-470D-94AD-0BE54B0E235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W6:W8</xm:sqref>
        </x14:conditionalFormatting>
        <x14:conditionalFormatting xmlns:xm="http://schemas.microsoft.com/office/excel/2006/main">
          <x14:cfRule type="dataBar" id="{8951C4ED-AD49-48F5-AC5B-17E5221FC4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W14:W15</xm:sqref>
        </x14:conditionalFormatting>
        <x14:conditionalFormatting xmlns:xm="http://schemas.microsoft.com/office/excel/2006/main">
          <x14:cfRule type="dataBar" id="{ABB12A82-0110-4167-8FF0-9F0F0522520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W20:W28</xm:sqref>
        </x14:conditionalFormatting>
        <x14:conditionalFormatting xmlns:xm="http://schemas.microsoft.com/office/excel/2006/main">
          <x14:cfRule type="dataBar" id="{277062CA-5E7C-4199-B104-62E71B35C0A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W34:W42</xm:sqref>
        </x14:conditionalFormatting>
        <x14:conditionalFormatting xmlns:xm="http://schemas.microsoft.com/office/excel/2006/main">
          <x14:cfRule type="dataBar" id="{21197850-FF66-4B0B-9AB2-226F66132E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W47:W58</xm:sqref>
        </x14:conditionalFormatting>
        <x14:conditionalFormatting xmlns:xm="http://schemas.microsoft.com/office/excel/2006/main">
          <x14:cfRule type="dataBar" id="{71BE4969-8266-45F0-A7D1-0BF556F18E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W63:W72</xm:sqref>
        </x14:conditionalFormatting>
        <x14:conditionalFormatting xmlns:xm="http://schemas.microsoft.com/office/excel/2006/main">
          <x14:cfRule type="dataBar" id="{64D0D885-BA2E-4CC8-96A8-35F8D32459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W77:W86</xm:sqref>
        </x14:conditionalFormatting>
        <x14:conditionalFormatting xmlns:xm="http://schemas.microsoft.com/office/excel/2006/main">
          <x14:cfRule type="dataBar" id="{880F0037-1E9E-4CD1-9A3F-78ED94208DE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W91:W100</xm:sqref>
        </x14:conditionalFormatting>
        <x14:conditionalFormatting xmlns:xm="http://schemas.microsoft.com/office/excel/2006/main">
          <x14:cfRule type="dataBar" id="{E213C862-73A0-4DA8-94CA-6B1858C2F2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W105:W114</xm:sqref>
        </x14:conditionalFormatting>
        <x14:conditionalFormatting xmlns:xm="http://schemas.microsoft.com/office/excel/2006/main">
          <x14:cfRule type="dataBar" id="{65C7F24F-0D05-4145-9939-DE6EECC67D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W119:W134</xm:sqref>
        </x14:conditionalFormatting>
        <x14:conditionalFormatting xmlns:xm="http://schemas.microsoft.com/office/excel/2006/main">
          <x14:cfRule type="dataBar" id="{4DBA0AC3-C052-4872-9645-1EC3246739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X6:X9</xm:sqref>
        </x14:conditionalFormatting>
        <x14:conditionalFormatting xmlns:xm="http://schemas.microsoft.com/office/excel/2006/main">
          <x14:cfRule type="dataBar" id="{D97939DC-2AF4-469E-8DEF-FA523EA32E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X14:X16</xm:sqref>
        </x14:conditionalFormatting>
        <x14:conditionalFormatting xmlns:xm="http://schemas.microsoft.com/office/excel/2006/main">
          <x14:cfRule type="dataBar" id="{DD4E6FCC-1909-4714-9567-66E36E9BC8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X20:X29</xm:sqref>
        </x14:conditionalFormatting>
        <x14:conditionalFormatting xmlns:xm="http://schemas.microsoft.com/office/excel/2006/main">
          <x14:cfRule type="dataBar" id="{09C1C798-DC3C-45B8-B61A-9C17E6B3B96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X34:X43</xm:sqref>
        </x14:conditionalFormatting>
        <x14:conditionalFormatting xmlns:xm="http://schemas.microsoft.com/office/excel/2006/main">
          <x14:cfRule type="dataBar" id="{EBAC8326-2166-47E5-AC64-1EF1294BD5A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X47:X59</xm:sqref>
        </x14:conditionalFormatting>
        <x14:conditionalFormatting xmlns:xm="http://schemas.microsoft.com/office/excel/2006/main">
          <x14:cfRule type="dataBar" id="{AE7D17BC-EA9C-4177-9DE3-8CE76614195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X63:X73</xm:sqref>
        </x14:conditionalFormatting>
        <x14:conditionalFormatting xmlns:xm="http://schemas.microsoft.com/office/excel/2006/main">
          <x14:cfRule type="dataBar" id="{EE24B65D-F5C4-487A-A8AF-4EAC992706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X77:X87</xm:sqref>
        </x14:conditionalFormatting>
        <x14:conditionalFormatting xmlns:xm="http://schemas.microsoft.com/office/excel/2006/main">
          <x14:cfRule type="dataBar" id="{D15C775E-5A00-4ABA-B882-43F049B109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X91:X101</xm:sqref>
        </x14:conditionalFormatting>
        <x14:conditionalFormatting xmlns:xm="http://schemas.microsoft.com/office/excel/2006/main">
          <x14:cfRule type="dataBar" id="{C9B393A1-E94D-4DAC-8C4B-BE4DFFBEA14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X105:X115</xm:sqref>
        </x14:conditionalFormatting>
        <x14:conditionalFormatting xmlns:xm="http://schemas.microsoft.com/office/excel/2006/main">
          <x14:cfRule type="dataBar" id="{46009948-E198-4DFA-BC6D-C575E51D17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X119:X135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0.59999389629810485"/>
  </sheetPr>
  <dimension ref="A1:F155"/>
  <sheetViews>
    <sheetView showGridLines="0" zoomScale="80" zoomScaleNormal="80" workbookViewId="0">
      <pane ySplit="2" topLeftCell="A3" activePane="bottomLeft" state="frozen"/>
      <selection pane="bottomLeft"/>
    </sheetView>
  </sheetViews>
  <sheetFormatPr baseColWidth="10" defaultColWidth="10.85546875" defaultRowHeight="15" x14ac:dyDescent="0.25"/>
  <cols>
    <col min="1" max="1" width="45.28515625" style="40" customWidth="1"/>
    <col min="2" max="5" width="20.85546875" style="40" customWidth="1"/>
    <col min="6" max="16384" width="10.85546875" style="2"/>
  </cols>
  <sheetData>
    <row r="1" spans="1:6" ht="21" x14ac:dyDescent="0.25">
      <c r="A1" s="72" t="s">
        <v>393</v>
      </c>
      <c r="B1" s="36"/>
      <c r="C1" s="36"/>
      <c r="D1" s="36"/>
      <c r="E1" s="36"/>
    </row>
    <row r="2" spans="1:6" ht="24" customHeight="1" x14ac:dyDescent="0.25">
      <c r="A2" s="51"/>
      <c r="B2" s="36"/>
      <c r="C2" s="36"/>
      <c r="D2" s="36"/>
      <c r="E2" s="36"/>
    </row>
    <row r="3" spans="1:6" x14ac:dyDescent="0.25">
      <c r="A3" s="36"/>
      <c r="B3" s="36"/>
      <c r="C3" s="36"/>
      <c r="D3" s="36"/>
      <c r="E3" s="36"/>
    </row>
    <row r="4" spans="1:6" ht="15.75" x14ac:dyDescent="0.25">
      <c r="A4" s="42" t="s">
        <v>409</v>
      </c>
      <c r="B4" s="36"/>
      <c r="C4" s="36"/>
      <c r="D4" s="36"/>
      <c r="E4" s="36"/>
    </row>
    <row r="5" spans="1:6" ht="27.95" customHeight="1" x14ac:dyDescent="0.25">
      <c r="A5" s="43" t="s">
        <v>215</v>
      </c>
      <c r="B5" s="37" t="s">
        <v>85</v>
      </c>
      <c r="C5" s="37" t="s">
        <v>3</v>
      </c>
      <c r="D5" s="37" t="s">
        <v>510</v>
      </c>
      <c r="E5" s="37" t="s">
        <v>8</v>
      </c>
    </row>
    <row r="6" spans="1:6" x14ac:dyDescent="0.25">
      <c r="A6" s="44" t="s">
        <v>5</v>
      </c>
      <c r="B6" s="33">
        <v>0</v>
      </c>
      <c r="C6" s="33">
        <v>0</v>
      </c>
      <c r="D6" s="33">
        <v>15</v>
      </c>
      <c r="E6" s="33">
        <v>15</v>
      </c>
      <c r="F6" s="126"/>
    </row>
    <row r="7" spans="1:6" x14ac:dyDescent="0.25">
      <c r="A7" s="44" t="s">
        <v>6</v>
      </c>
      <c r="B7" s="33">
        <v>0</v>
      </c>
      <c r="C7" s="33">
        <v>372</v>
      </c>
      <c r="D7" s="33">
        <v>43</v>
      </c>
      <c r="E7" s="33">
        <v>415</v>
      </c>
      <c r="F7" s="126"/>
    </row>
    <row r="8" spans="1:6" x14ac:dyDescent="0.25">
      <c r="A8" s="44" t="s">
        <v>7</v>
      </c>
      <c r="B8" s="33">
        <v>2320</v>
      </c>
      <c r="C8" s="33">
        <v>2475</v>
      </c>
      <c r="D8" s="33">
        <v>51815</v>
      </c>
      <c r="E8" s="33">
        <v>56610</v>
      </c>
      <c r="F8" s="126"/>
    </row>
    <row r="9" spans="1:6" x14ac:dyDescent="0.25">
      <c r="A9" s="45" t="s">
        <v>4</v>
      </c>
      <c r="B9" s="34">
        <v>2320</v>
      </c>
      <c r="C9" s="34">
        <v>2847</v>
      </c>
      <c r="D9" s="34">
        <v>51873</v>
      </c>
      <c r="E9" s="34">
        <v>57040</v>
      </c>
    </row>
    <row r="10" spans="1:6" x14ac:dyDescent="0.25">
      <c r="A10" s="50"/>
      <c r="B10" s="50"/>
      <c r="C10" s="50"/>
      <c r="D10" s="50"/>
      <c r="E10" s="50"/>
    </row>
    <row r="11" spans="1:6" ht="15.75" x14ac:dyDescent="0.25">
      <c r="A11" s="42" t="s">
        <v>410</v>
      </c>
      <c r="B11" s="36"/>
      <c r="C11" s="36"/>
      <c r="D11" s="36"/>
      <c r="E11" s="36"/>
    </row>
    <row r="12" spans="1:6" ht="27.95" customHeight="1" x14ac:dyDescent="0.25">
      <c r="A12" s="43" t="s">
        <v>207</v>
      </c>
      <c r="B12" s="37" t="s">
        <v>85</v>
      </c>
      <c r="C12" s="37" t="s">
        <v>3</v>
      </c>
      <c r="D12" s="37" t="s">
        <v>510</v>
      </c>
      <c r="E12" s="37" t="s">
        <v>8</v>
      </c>
    </row>
    <row r="13" spans="1:6" x14ac:dyDescent="0.25">
      <c r="A13" s="44" t="s">
        <v>411</v>
      </c>
      <c r="B13" s="33">
        <v>1209</v>
      </c>
      <c r="C13" s="33">
        <v>2127</v>
      </c>
      <c r="D13" s="33">
        <v>30837</v>
      </c>
      <c r="E13" s="33">
        <v>34173</v>
      </c>
      <c r="F13" s="13"/>
    </row>
    <row r="14" spans="1:6" x14ac:dyDescent="0.25">
      <c r="A14" s="44" t="s">
        <v>412</v>
      </c>
      <c r="B14" s="33">
        <v>1111</v>
      </c>
      <c r="C14" s="33">
        <v>720</v>
      </c>
      <c r="D14" s="33">
        <v>21036</v>
      </c>
      <c r="E14" s="33">
        <v>22867</v>
      </c>
      <c r="F14" s="13"/>
    </row>
    <row r="15" spans="1:6" x14ac:dyDescent="0.25">
      <c r="A15" s="44" t="s">
        <v>501</v>
      </c>
      <c r="B15" s="33">
        <v>0</v>
      </c>
      <c r="C15" s="33">
        <v>0</v>
      </c>
      <c r="D15" s="33">
        <v>0</v>
      </c>
      <c r="E15" s="33">
        <v>0</v>
      </c>
      <c r="F15" s="13"/>
    </row>
    <row r="16" spans="1:6" x14ac:dyDescent="0.25">
      <c r="A16" s="45" t="s">
        <v>413</v>
      </c>
      <c r="B16" s="34">
        <v>2320</v>
      </c>
      <c r="C16" s="34">
        <v>2847</v>
      </c>
      <c r="D16" s="34">
        <v>51873</v>
      </c>
      <c r="E16" s="34">
        <v>57040</v>
      </c>
    </row>
    <row r="17" spans="1:6" x14ac:dyDescent="0.25">
      <c r="A17" s="36"/>
      <c r="B17" s="36"/>
      <c r="C17" s="36"/>
      <c r="D17" s="36"/>
      <c r="E17" s="36"/>
    </row>
    <row r="18" spans="1:6" ht="15.75" x14ac:dyDescent="0.25">
      <c r="A18" s="42" t="s">
        <v>414</v>
      </c>
      <c r="B18" s="36"/>
      <c r="C18" s="36"/>
      <c r="D18" s="36"/>
      <c r="E18" s="36"/>
    </row>
    <row r="19" spans="1:6" ht="27.95" customHeight="1" x14ac:dyDescent="0.25">
      <c r="A19" s="46" t="s">
        <v>25</v>
      </c>
      <c r="B19" s="37" t="s">
        <v>85</v>
      </c>
      <c r="C19" s="37" t="s">
        <v>3</v>
      </c>
      <c r="D19" s="37" t="s">
        <v>510</v>
      </c>
      <c r="E19" s="37" t="s">
        <v>8</v>
      </c>
    </row>
    <row r="20" spans="1:6" x14ac:dyDescent="0.25">
      <c r="A20" s="47" t="s">
        <v>26</v>
      </c>
      <c r="B20" s="52">
        <v>0</v>
      </c>
      <c r="C20" s="52">
        <v>0</v>
      </c>
      <c r="D20" s="52">
        <v>2</v>
      </c>
      <c r="E20" s="52">
        <v>2</v>
      </c>
    </row>
    <row r="21" spans="1:6" x14ac:dyDescent="0.25">
      <c r="A21" s="47" t="s">
        <v>27</v>
      </c>
      <c r="B21" s="52">
        <v>0</v>
      </c>
      <c r="C21" s="52">
        <v>79</v>
      </c>
      <c r="D21" s="52">
        <v>2383</v>
      </c>
      <c r="E21" s="52">
        <v>2462</v>
      </c>
    </row>
    <row r="22" spans="1:6" x14ac:dyDescent="0.25">
      <c r="A22" s="47" t="s">
        <v>28</v>
      </c>
      <c r="B22" s="52">
        <v>333</v>
      </c>
      <c r="C22" s="52">
        <v>524</v>
      </c>
      <c r="D22" s="52">
        <v>12389</v>
      </c>
      <c r="E22" s="52">
        <v>13246</v>
      </c>
    </row>
    <row r="23" spans="1:6" x14ac:dyDescent="0.25">
      <c r="A23" s="47" t="s">
        <v>29</v>
      </c>
      <c r="B23" s="52">
        <v>1161</v>
      </c>
      <c r="C23" s="52">
        <v>661</v>
      </c>
      <c r="D23" s="52">
        <v>12654</v>
      </c>
      <c r="E23" s="52">
        <v>14476</v>
      </c>
    </row>
    <row r="24" spans="1:6" x14ac:dyDescent="0.25">
      <c r="A24" s="47" t="s">
        <v>30</v>
      </c>
      <c r="B24" s="52">
        <v>680</v>
      </c>
      <c r="C24" s="52">
        <v>575</v>
      </c>
      <c r="D24" s="52">
        <v>9575</v>
      </c>
      <c r="E24" s="52">
        <v>10830</v>
      </c>
    </row>
    <row r="25" spans="1:6" x14ac:dyDescent="0.25">
      <c r="A25" s="47" t="s">
        <v>31</v>
      </c>
      <c r="B25" s="52">
        <v>146</v>
      </c>
      <c r="C25" s="52">
        <v>1007</v>
      </c>
      <c r="D25" s="52">
        <v>14870</v>
      </c>
      <c r="E25" s="52">
        <v>16023</v>
      </c>
    </row>
    <row r="26" spans="1:6" x14ac:dyDescent="0.25">
      <c r="A26" s="47" t="s">
        <v>87</v>
      </c>
      <c r="B26" s="52">
        <v>0</v>
      </c>
      <c r="C26" s="52">
        <v>1</v>
      </c>
      <c r="D26" s="52">
        <v>0</v>
      </c>
      <c r="E26" s="52">
        <v>1</v>
      </c>
    </row>
    <row r="27" spans="1:6" x14ac:dyDescent="0.25">
      <c r="A27" s="48" t="s">
        <v>4</v>
      </c>
      <c r="B27" s="34">
        <v>2320</v>
      </c>
      <c r="C27" s="34">
        <v>2847</v>
      </c>
      <c r="D27" s="34">
        <v>51873</v>
      </c>
      <c r="E27" s="34">
        <v>57040</v>
      </c>
    </row>
    <row r="28" spans="1:6" x14ac:dyDescent="0.25">
      <c r="A28" s="49" t="s">
        <v>34</v>
      </c>
      <c r="B28" s="79">
        <v>33.565086206896552</v>
      </c>
      <c r="C28" s="79">
        <v>37.087842586085735</v>
      </c>
      <c r="D28" s="79">
        <v>35.601468972297724</v>
      </c>
      <c r="E28" s="79">
        <v>35.592804922947458</v>
      </c>
    </row>
    <row r="29" spans="1:6" x14ac:dyDescent="0.25">
      <c r="A29" s="36"/>
      <c r="B29" s="2"/>
      <c r="C29" s="2"/>
      <c r="D29" s="2"/>
      <c r="E29" s="2"/>
    </row>
    <row r="30" spans="1:6" ht="15.75" x14ac:dyDescent="0.25">
      <c r="A30" s="42" t="s">
        <v>487</v>
      </c>
      <c r="B30" s="36"/>
      <c r="C30" s="36"/>
      <c r="D30" s="36"/>
      <c r="E30" s="36"/>
    </row>
    <row r="31" spans="1:6" ht="25.5" x14ac:dyDescent="0.25">
      <c r="A31" s="46" t="s">
        <v>10</v>
      </c>
      <c r="B31" s="37" t="s">
        <v>85</v>
      </c>
      <c r="C31" s="37" t="s">
        <v>3</v>
      </c>
      <c r="D31" s="37" t="s">
        <v>510</v>
      </c>
      <c r="E31" s="37" t="s">
        <v>8</v>
      </c>
    </row>
    <row r="32" spans="1:6" x14ac:dyDescent="0.25">
      <c r="A32" s="47" t="s">
        <v>11</v>
      </c>
      <c r="B32" s="33">
        <v>0</v>
      </c>
      <c r="C32" s="33">
        <v>83</v>
      </c>
      <c r="D32" s="33">
        <v>15750</v>
      </c>
      <c r="E32" s="33">
        <v>15833</v>
      </c>
      <c r="F32" s="13"/>
    </row>
    <row r="33" spans="1:6" x14ac:dyDescent="0.25">
      <c r="A33" s="47" t="s">
        <v>12</v>
      </c>
      <c r="B33" s="33">
        <v>0</v>
      </c>
      <c r="C33" s="33">
        <v>13</v>
      </c>
      <c r="D33" s="33">
        <v>644</v>
      </c>
      <c r="E33" s="33">
        <v>657</v>
      </c>
      <c r="F33" s="13"/>
    </row>
    <row r="34" spans="1:6" x14ac:dyDescent="0.25">
      <c r="A34" s="47" t="s">
        <v>13</v>
      </c>
      <c r="B34" s="33">
        <v>0</v>
      </c>
      <c r="C34" s="33">
        <v>50</v>
      </c>
      <c r="D34" s="33">
        <v>1003</v>
      </c>
      <c r="E34" s="33">
        <v>1053</v>
      </c>
      <c r="F34" s="13"/>
    </row>
    <row r="35" spans="1:6" x14ac:dyDescent="0.25">
      <c r="A35" s="47" t="s">
        <v>14</v>
      </c>
      <c r="B35" s="33">
        <v>0</v>
      </c>
      <c r="C35" s="33">
        <v>0</v>
      </c>
      <c r="D35" s="33">
        <v>1209</v>
      </c>
      <c r="E35" s="33">
        <v>1209</v>
      </c>
      <c r="F35" s="13"/>
    </row>
    <row r="36" spans="1:6" x14ac:dyDescent="0.25">
      <c r="A36" s="47" t="s">
        <v>15</v>
      </c>
      <c r="B36" s="33">
        <v>0</v>
      </c>
      <c r="C36" s="33">
        <v>261</v>
      </c>
      <c r="D36" s="33">
        <v>5628</v>
      </c>
      <c r="E36" s="33">
        <v>5889</v>
      </c>
      <c r="F36" s="13"/>
    </row>
    <row r="37" spans="1:6" x14ac:dyDescent="0.25">
      <c r="A37" s="47" t="s">
        <v>16</v>
      </c>
      <c r="B37" s="33">
        <v>0</v>
      </c>
      <c r="C37" s="33">
        <v>194</v>
      </c>
      <c r="D37" s="33">
        <v>4152</v>
      </c>
      <c r="E37" s="33">
        <v>4346</v>
      </c>
      <c r="F37" s="13"/>
    </row>
    <row r="38" spans="1:6" x14ac:dyDescent="0.25">
      <c r="A38" s="47" t="s">
        <v>17</v>
      </c>
      <c r="B38" s="33">
        <v>0</v>
      </c>
      <c r="C38" s="33">
        <v>1835</v>
      </c>
      <c r="D38" s="33">
        <v>6652</v>
      </c>
      <c r="E38" s="33">
        <v>8487</v>
      </c>
      <c r="F38" s="13"/>
    </row>
    <row r="39" spans="1:6" x14ac:dyDescent="0.25">
      <c r="A39" s="47" t="s">
        <v>18</v>
      </c>
      <c r="B39" s="33">
        <v>0</v>
      </c>
      <c r="C39" s="33">
        <v>32</v>
      </c>
      <c r="D39" s="33">
        <v>629</v>
      </c>
      <c r="E39" s="33">
        <v>661</v>
      </c>
      <c r="F39" s="13"/>
    </row>
    <row r="40" spans="1:6" x14ac:dyDescent="0.25">
      <c r="A40" s="47" t="s">
        <v>19</v>
      </c>
      <c r="B40" s="33">
        <v>2320</v>
      </c>
      <c r="C40" s="33">
        <v>358</v>
      </c>
      <c r="D40" s="33">
        <v>11539</v>
      </c>
      <c r="E40" s="33">
        <v>14217</v>
      </c>
      <c r="F40" s="13"/>
    </row>
    <row r="41" spans="1:6" x14ac:dyDescent="0.25">
      <c r="A41" s="47" t="s">
        <v>20</v>
      </c>
      <c r="B41" s="33">
        <v>0</v>
      </c>
      <c r="C41" s="33">
        <v>21</v>
      </c>
      <c r="D41" s="33">
        <v>4667</v>
      </c>
      <c r="E41" s="33">
        <v>4688</v>
      </c>
      <c r="F41" s="13"/>
    </row>
    <row r="42" spans="1:6" x14ac:dyDescent="0.25">
      <c r="A42" s="48" t="s">
        <v>4</v>
      </c>
      <c r="B42" s="34">
        <v>2320</v>
      </c>
      <c r="C42" s="34">
        <v>2847</v>
      </c>
      <c r="D42" s="34">
        <v>51873</v>
      </c>
      <c r="E42" s="34">
        <v>57040</v>
      </c>
      <c r="F42" s="13"/>
    </row>
    <row r="43" spans="1:6" x14ac:dyDescent="0.25">
      <c r="A43" s="2"/>
      <c r="B43" s="2"/>
      <c r="C43" s="2"/>
      <c r="D43" s="2"/>
      <c r="E43" s="2"/>
    </row>
    <row r="44" spans="1:6" ht="15.75" x14ac:dyDescent="0.25">
      <c r="A44" s="42" t="s">
        <v>489</v>
      </c>
      <c r="B44" s="36"/>
      <c r="C44" s="36"/>
      <c r="D44" s="36"/>
      <c r="E44" s="36"/>
    </row>
    <row r="45" spans="1:6" ht="27.95" customHeight="1" x14ac:dyDescent="0.25">
      <c r="A45" s="46" t="s">
        <v>10</v>
      </c>
      <c r="B45" s="37" t="s">
        <v>85</v>
      </c>
      <c r="C45" s="37" t="s">
        <v>3</v>
      </c>
      <c r="D45" s="37" t="s">
        <v>510</v>
      </c>
      <c r="E45" s="37" t="s">
        <v>8</v>
      </c>
    </row>
    <row r="46" spans="1:6" x14ac:dyDescent="0.25">
      <c r="A46" s="47" t="s">
        <v>446</v>
      </c>
      <c r="B46" s="33">
        <v>0</v>
      </c>
      <c r="C46" s="33">
        <v>287</v>
      </c>
      <c r="D46" s="33">
        <v>20617</v>
      </c>
      <c r="E46" s="33">
        <v>20904</v>
      </c>
    </row>
    <row r="47" spans="1:6" x14ac:dyDescent="0.25">
      <c r="A47" s="47" t="s">
        <v>447</v>
      </c>
      <c r="B47" s="33">
        <v>0</v>
      </c>
      <c r="C47" s="33">
        <v>13</v>
      </c>
      <c r="D47" s="33">
        <v>692</v>
      </c>
      <c r="E47" s="33">
        <v>705</v>
      </c>
    </row>
    <row r="48" spans="1:6" x14ac:dyDescent="0.25">
      <c r="A48" s="47" t="s">
        <v>448</v>
      </c>
      <c r="B48" s="33">
        <v>0</v>
      </c>
      <c r="C48" s="33">
        <v>59</v>
      </c>
      <c r="D48" s="33">
        <v>1090</v>
      </c>
      <c r="E48" s="33">
        <v>1149</v>
      </c>
    </row>
    <row r="49" spans="1:5" x14ac:dyDescent="0.25">
      <c r="A49" s="47" t="s">
        <v>449</v>
      </c>
      <c r="B49" s="33">
        <v>0</v>
      </c>
      <c r="C49" s="33">
        <v>0</v>
      </c>
      <c r="D49" s="33">
        <v>1355</v>
      </c>
      <c r="E49" s="33">
        <v>1355</v>
      </c>
    </row>
    <row r="50" spans="1:5" x14ac:dyDescent="0.25">
      <c r="A50" s="47" t="s">
        <v>450</v>
      </c>
      <c r="B50" s="33">
        <v>0</v>
      </c>
      <c r="C50" s="33">
        <v>143</v>
      </c>
      <c r="D50" s="33">
        <v>3850</v>
      </c>
      <c r="E50" s="33">
        <v>3993</v>
      </c>
    </row>
    <row r="51" spans="1:5" x14ac:dyDescent="0.25">
      <c r="A51" s="47" t="s">
        <v>17</v>
      </c>
      <c r="B51" s="33">
        <v>0</v>
      </c>
      <c r="C51" s="33">
        <v>1835</v>
      </c>
      <c r="D51" s="33">
        <v>6613</v>
      </c>
      <c r="E51" s="33">
        <v>8448</v>
      </c>
    </row>
    <row r="52" spans="1:5" x14ac:dyDescent="0.25">
      <c r="A52" s="47" t="s">
        <v>451</v>
      </c>
      <c r="B52" s="33">
        <v>0</v>
      </c>
      <c r="C52" s="33">
        <v>29</v>
      </c>
      <c r="D52" s="33">
        <v>2377</v>
      </c>
      <c r="E52" s="33">
        <v>2406</v>
      </c>
    </row>
    <row r="53" spans="1:5" x14ac:dyDescent="0.25">
      <c r="A53" s="47" t="s">
        <v>452</v>
      </c>
      <c r="B53" s="33">
        <v>2320</v>
      </c>
      <c r="C53" s="33">
        <v>466</v>
      </c>
      <c r="D53" s="33">
        <v>12484</v>
      </c>
      <c r="E53" s="33">
        <v>15270</v>
      </c>
    </row>
    <row r="54" spans="1:5" x14ac:dyDescent="0.25">
      <c r="A54" s="47" t="s">
        <v>453</v>
      </c>
      <c r="B54" s="33">
        <v>0</v>
      </c>
      <c r="C54" s="33">
        <v>15</v>
      </c>
      <c r="D54" s="33">
        <v>783</v>
      </c>
      <c r="E54" s="33">
        <v>798</v>
      </c>
    </row>
    <row r="55" spans="1:5" x14ac:dyDescent="0.25">
      <c r="A55" s="47" t="s">
        <v>454</v>
      </c>
      <c r="B55" s="33">
        <v>0</v>
      </c>
      <c r="C55" s="33">
        <v>0</v>
      </c>
      <c r="D55" s="33">
        <v>2012</v>
      </c>
      <c r="E55" s="33">
        <v>2012</v>
      </c>
    </row>
    <row r="56" spans="1:5" x14ac:dyDescent="0.25">
      <c r="A56" s="48" t="s">
        <v>4</v>
      </c>
      <c r="B56" s="34">
        <v>2320</v>
      </c>
      <c r="C56" s="34">
        <v>2847</v>
      </c>
      <c r="D56" s="34">
        <v>51873</v>
      </c>
      <c r="E56" s="34">
        <v>57040</v>
      </c>
    </row>
    <row r="57" spans="1:5" x14ac:dyDescent="0.25">
      <c r="A57" s="36"/>
      <c r="B57" s="36"/>
      <c r="C57" s="36"/>
      <c r="D57" s="36"/>
      <c r="E57" s="36"/>
    </row>
    <row r="58" spans="1:5" ht="15.75" x14ac:dyDescent="0.25">
      <c r="A58" s="42" t="s">
        <v>415</v>
      </c>
      <c r="B58" s="36"/>
      <c r="C58" s="36"/>
      <c r="D58" s="36"/>
      <c r="E58" s="36"/>
    </row>
    <row r="59" spans="1:5" ht="27.95" customHeight="1" x14ac:dyDescent="0.25">
      <c r="A59" s="46" t="s">
        <v>40</v>
      </c>
      <c r="B59" s="37" t="s">
        <v>85</v>
      </c>
      <c r="C59" s="37" t="s">
        <v>3</v>
      </c>
      <c r="D59" s="37" t="s">
        <v>510</v>
      </c>
      <c r="E59" s="37" t="s">
        <v>8</v>
      </c>
    </row>
    <row r="60" spans="1:5" x14ac:dyDescent="0.25">
      <c r="A60" s="47" t="s">
        <v>41</v>
      </c>
      <c r="B60" s="33">
        <v>2105</v>
      </c>
      <c r="C60" s="33">
        <v>461</v>
      </c>
      <c r="D60" s="33">
        <v>4345</v>
      </c>
      <c r="E60" s="33">
        <v>6911</v>
      </c>
    </row>
    <row r="61" spans="1:5" x14ac:dyDescent="0.25">
      <c r="A61" s="47" t="s">
        <v>42</v>
      </c>
      <c r="B61" s="33">
        <v>87</v>
      </c>
      <c r="C61" s="33">
        <v>643</v>
      </c>
      <c r="D61" s="33">
        <v>8188</v>
      </c>
      <c r="E61" s="33">
        <v>8918</v>
      </c>
    </row>
    <row r="62" spans="1:5" x14ac:dyDescent="0.25">
      <c r="A62" s="47" t="s">
        <v>209</v>
      </c>
      <c r="B62" s="33">
        <v>16</v>
      </c>
      <c r="C62" s="33">
        <v>263</v>
      </c>
      <c r="D62" s="33">
        <v>6990</v>
      </c>
      <c r="E62" s="33">
        <v>7269</v>
      </c>
    </row>
    <row r="63" spans="1:5" x14ac:dyDescent="0.25">
      <c r="A63" s="47" t="s">
        <v>212</v>
      </c>
      <c r="B63" s="33">
        <v>0</v>
      </c>
      <c r="C63" s="33">
        <v>1471</v>
      </c>
      <c r="D63" s="33">
        <v>31933</v>
      </c>
      <c r="E63" s="33">
        <v>33404</v>
      </c>
    </row>
    <row r="64" spans="1:5" x14ac:dyDescent="0.25">
      <c r="A64" s="47" t="s">
        <v>43</v>
      </c>
      <c r="B64" s="33">
        <v>112</v>
      </c>
      <c r="C64" s="33">
        <v>9</v>
      </c>
      <c r="D64" s="33">
        <v>417</v>
      </c>
      <c r="E64" s="33">
        <v>538</v>
      </c>
    </row>
    <row r="65" spans="1:5" x14ac:dyDescent="0.25">
      <c r="A65" s="48" t="s">
        <v>4</v>
      </c>
      <c r="B65" s="34">
        <v>2320</v>
      </c>
      <c r="C65" s="34">
        <v>2847</v>
      </c>
      <c r="D65" s="34">
        <v>51873</v>
      </c>
      <c r="E65" s="34">
        <v>57040</v>
      </c>
    </row>
    <row r="66" spans="1:5" x14ac:dyDescent="0.25">
      <c r="A66" s="36"/>
      <c r="B66" s="36"/>
      <c r="C66" s="36"/>
      <c r="D66" s="36"/>
      <c r="E66" s="36"/>
    </row>
    <row r="67" spans="1:5" ht="15.75" x14ac:dyDescent="0.25">
      <c r="A67" s="42" t="s">
        <v>416</v>
      </c>
      <c r="B67" s="36"/>
      <c r="C67" s="36"/>
      <c r="D67" s="36"/>
      <c r="E67" s="36"/>
    </row>
    <row r="68" spans="1:5" ht="27.95" customHeight="1" x14ac:dyDescent="0.25">
      <c r="A68" s="46" t="s">
        <v>9</v>
      </c>
      <c r="B68" s="37" t="s">
        <v>85</v>
      </c>
      <c r="C68" s="37" t="s">
        <v>3</v>
      </c>
      <c r="D68" s="37" t="s">
        <v>510</v>
      </c>
      <c r="E68" s="37" t="s">
        <v>8</v>
      </c>
    </row>
    <row r="69" spans="1:5" x14ac:dyDescent="0.25">
      <c r="A69" s="47" t="s">
        <v>224</v>
      </c>
      <c r="B69" s="33">
        <v>0</v>
      </c>
      <c r="C69" s="33">
        <v>0</v>
      </c>
      <c r="D69" s="33">
        <v>0</v>
      </c>
      <c r="E69" s="33">
        <v>0</v>
      </c>
    </row>
    <row r="70" spans="1:5" x14ac:dyDescent="0.25">
      <c r="A70" s="47" t="s">
        <v>225</v>
      </c>
      <c r="B70" s="115">
        <v>0</v>
      </c>
      <c r="C70" s="115">
        <v>1</v>
      </c>
      <c r="D70" s="115">
        <v>0</v>
      </c>
      <c r="E70" s="115">
        <v>1</v>
      </c>
    </row>
    <row r="71" spans="1:5" x14ac:dyDescent="0.25">
      <c r="A71" s="47" t="s">
        <v>226</v>
      </c>
      <c r="B71" s="115">
        <v>9</v>
      </c>
      <c r="C71" s="115">
        <v>0</v>
      </c>
      <c r="D71" s="115">
        <v>251</v>
      </c>
      <c r="E71" s="115">
        <v>260</v>
      </c>
    </row>
    <row r="72" spans="1:5" x14ac:dyDescent="0.25">
      <c r="A72" s="47" t="s">
        <v>227</v>
      </c>
      <c r="B72" s="33">
        <v>0</v>
      </c>
      <c r="C72" s="33">
        <v>1</v>
      </c>
      <c r="D72" s="33">
        <v>29</v>
      </c>
      <c r="E72" s="33">
        <v>30</v>
      </c>
    </row>
    <row r="73" spans="1:5" x14ac:dyDescent="0.25">
      <c r="A73" s="47" t="s">
        <v>228</v>
      </c>
      <c r="B73" s="33">
        <v>23</v>
      </c>
      <c r="C73" s="33">
        <v>102</v>
      </c>
      <c r="D73" s="33">
        <v>1262</v>
      </c>
      <c r="E73" s="33">
        <v>1387</v>
      </c>
    </row>
    <row r="74" spans="1:5" x14ac:dyDescent="0.25">
      <c r="A74" s="47" t="s">
        <v>229</v>
      </c>
      <c r="B74" s="33">
        <v>149</v>
      </c>
      <c r="C74" s="33">
        <v>113</v>
      </c>
      <c r="D74" s="33">
        <v>878</v>
      </c>
      <c r="E74" s="33">
        <v>1140</v>
      </c>
    </row>
    <row r="75" spans="1:5" x14ac:dyDescent="0.25">
      <c r="A75" s="76" t="s">
        <v>239</v>
      </c>
      <c r="B75" s="33">
        <v>1635</v>
      </c>
      <c r="C75" s="33">
        <v>2355</v>
      </c>
      <c r="D75" s="33">
        <v>40110</v>
      </c>
      <c r="E75" s="33">
        <v>44100</v>
      </c>
    </row>
    <row r="76" spans="1:5" x14ac:dyDescent="0.25">
      <c r="A76" s="76" t="s">
        <v>260</v>
      </c>
      <c r="B76" s="115">
        <v>0</v>
      </c>
      <c r="C76" s="115">
        <v>0</v>
      </c>
      <c r="D76" s="115">
        <v>0</v>
      </c>
      <c r="E76" s="115">
        <v>0</v>
      </c>
    </row>
    <row r="77" spans="1:5" x14ac:dyDescent="0.25">
      <c r="A77" s="47" t="s">
        <v>230</v>
      </c>
      <c r="B77" s="33">
        <v>79</v>
      </c>
      <c r="C77" s="33">
        <v>89</v>
      </c>
      <c r="D77" s="33">
        <v>470</v>
      </c>
      <c r="E77" s="33">
        <v>638</v>
      </c>
    </row>
    <row r="78" spans="1:5" x14ac:dyDescent="0.25">
      <c r="A78" s="47" t="s">
        <v>242</v>
      </c>
      <c r="B78" s="115"/>
      <c r="C78" s="115">
        <v>74</v>
      </c>
      <c r="D78" s="115">
        <v>143</v>
      </c>
      <c r="E78" s="115">
        <v>217</v>
      </c>
    </row>
    <row r="79" spans="1:5" x14ac:dyDescent="0.25">
      <c r="A79" s="47" t="s">
        <v>231</v>
      </c>
      <c r="B79" s="33">
        <v>240</v>
      </c>
      <c r="C79" s="33">
        <v>69</v>
      </c>
      <c r="D79" s="33">
        <v>1731</v>
      </c>
      <c r="E79" s="33">
        <v>2040</v>
      </c>
    </row>
    <row r="80" spans="1:5" x14ac:dyDescent="0.25">
      <c r="A80" s="47" t="s">
        <v>232</v>
      </c>
      <c r="B80" s="33">
        <v>119</v>
      </c>
      <c r="C80" s="33">
        <v>33</v>
      </c>
      <c r="D80" s="33">
        <v>6928</v>
      </c>
      <c r="E80" s="33">
        <v>7080</v>
      </c>
    </row>
    <row r="81" spans="1:5" x14ac:dyDescent="0.25">
      <c r="A81" s="47" t="s">
        <v>233</v>
      </c>
      <c r="B81" s="33">
        <v>50</v>
      </c>
      <c r="C81" s="33">
        <v>3</v>
      </c>
      <c r="D81" s="33">
        <v>51</v>
      </c>
      <c r="E81" s="33">
        <v>104</v>
      </c>
    </row>
    <row r="82" spans="1:5" x14ac:dyDescent="0.25">
      <c r="A82" s="47" t="s">
        <v>234</v>
      </c>
      <c r="B82" s="33">
        <v>16</v>
      </c>
      <c r="C82" s="33">
        <v>7</v>
      </c>
      <c r="D82" s="33">
        <v>20</v>
      </c>
      <c r="E82" s="33">
        <v>43</v>
      </c>
    </row>
    <row r="83" spans="1:5" x14ac:dyDescent="0.25">
      <c r="A83" s="47" t="s">
        <v>235</v>
      </c>
      <c r="B83" s="33">
        <v>0</v>
      </c>
      <c r="C83" s="33">
        <v>0</v>
      </c>
      <c r="D83" s="33">
        <v>0</v>
      </c>
      <c r="E83" s="33">
        <v>0</v>
      </c>
    </row>
    <row r="84" spans="1:5" x14ac:dyDescent="0.25">
      <c r="A84" s="47" t="s">
        <v>237</v>
      </c>
      <c r="B84" s="33">
        <v>0</v>
      </c>
      <c r="C84" s="33">
        <v>0</v>
      </c>
      <c r="D84" s="33">
        <v>0</v>
      </c>
      <c r="E84" s="33">
        <v>0</v>
      </c>
    </row>
    <row r="85" spans="1:5" x14ac:dyDescent="0.25">
      <c r="A85" s="48" t="s">
        <v>4</v>
      </c>
      <c r="B85" s="34">
        <v>2320</v>
      </c>
      <c r="C85" s="34">
        <v>2847</v>
      </c>
      <c r="D85" s="34">
        <v>51873</v>
      </c>
      <c r="E85" s="34">
        <v>57040</v>
      </c>
    </row>
    <row r="86" spans="1:5" x14ac:dyDescent="0.25">
      <c r="A86" s="35"/>
      <c r="B86" s="35"/>
      <c r="C86" s="35"/>
      <c r="D86" s="35"/>
      <c r="E86" s="36"/>
    </row>
    <row r="87" spans="1:5" ht="15.75" x14ac:dyDescent="0.25">
      <c r="A87" s="42" t="s">
        <v>417</v>
      </c>
      <c r="B87" s="36"/>
      <c r="C87" s="36"/>
      <c r="D87" s="36"/>
      <c r="E87" s="36"/>
    </row>
    <row r="88" spans="1:5" x14ac:dyDescent="0.25">
      <c r="A88" s="49" t="s">
        <v>10</v>
      </c>
      <c r="B88" s="37" t="s">
        <v>188</v>
      </c>
      <c r="C88" s="37" t="s">
        <v>189</v>
      </c>
      <c r="D88" s="37" t="s">
        <v>498</v>
      </c>
      <c r="E88" s="37" t="s">
        <v>8</v>
      </c>
    </row>
    <row r="89" spans="1:5" x14ac:dyDescent="0.25">
      <c r="A89" s="47" t="s">
        <v>11</v>
      </c>
      <c r="B89" s="38">
        <v>8551</v>
      </c>
      <c r="C89" s="38">
        <v>7282</v>
      </c>
      <c r="D89" s="166">
        <v>0</v>
      </c>
      <c r="E89" s="38">
        <v>15833</v>
      </c>
    </row>
    <row r="90" spans="1:5" x14ac:dyDescent="0.25">
      <c r="A90" s="76" t="s">
        <v>12</v>
      </c>
      <c r="B90" s="38">
        <v>397</v>
      </c>
      <c r="C90" s="38">
        <v>260</v>
      </c>
      <c r="D90" s="166">
        <v>0</v>
      </c>
      <c r="E90" s="38">
        <v>657</v>
      </c>
    </row>
    <row r="91" spans="1:5" x14ac:dyDescent="0.25">
      <c r="A91" s="76" t="s">
        <v>13</v>
      </c>
      <c r="B91" s="38">
        <v>612</v>
      </c>
      <c r="C91" s="38">
        <v>441</v>
      </c>
      <c r="D91" s="166">
        <v>0</v>
      </c>
      <c r="E91" s="38">
        <v>1053</v>
      </c>
    </row>
    <row r="92" spans="1:5" x14ac:dyDescent="0.25">
      <c r="A92" s="76" t="s">
        <v>14</v>
      </c>
      <c r="B92" s="38">
        <v>466</v>
      </c>
      <c r="C92" s="38">
        <v>743</v>
      </c>
      <c r="D92" s="166">
        <v>0</v>
      </c>
      <c r="E92" s="38">
        <v>1209</v>
      </c>
    </row>
    <row r="93" spans="1:5" x14ac:dyDescent="0.25">
      <c r="A93" s="76" t="s">
        <v>15</v>
      </c>
      <c r="B93" s="38">
        <v>4187</v>
      </c>
      <c r="C93" s="38">
        <v>1702</v>
      </c>
      <c r="D93" s="166">
        <v>0</v>
      </c>
      <c r="E93" s="38">
        <v>5889</v>
      </c>
    </row>
    <row r="94" spans="1:5" x14ac:dyDescent="0.25">
      <c r="A94" s="76" t="s">
        <v>16</v>
      </c>
      <c r="B94" s="38">
        <v>2301</v>
      </c>
      <c r="C94" s="38">
        <v>2045</v>
      </c>
      <c r="D94" s="166">
        <v>0</v>
      </c>
      <c r="E94" s="38">
        <v>4346</v>
      </c>
    </row>
    <row r="95" spans="1:5" x14ac:dyDescent="0.25">
      <c r="A95" s="76" t="s">
        <v>17</v>
      </c>
      <c r="B95" s="38">
        <v>6194</v>
      </c>
      <c r="C95" s="38">
        <v>2293</v>
      </c>
      <c r="D95" s="166">
        <v>0</v>
      </c>
      <c r="E95" s="38">
        <v>8487</v>
      </c>
    </row>
    <row r="96" spans="1:5" x14ac:dyDescent="0.25">
      <c r="A96" s="76" t="s">
        <v>18</v>
      </c>
      <c r="B96" s="38">
        <v>356</v>
      </c>
      <c r="C96" s="38">
        <v>305</v>
      </c>
      <c r="D96" s="166">
        <v>0</v>
      </c>
      <c r="E96" s="38">
        <v>661</v>
      </c>
    </row>
    <row r="97" spans="1:5" x14ac:dyDescent="0.25">
      <c r="A97" s="76" t="s">
        <v>19</v>
      </c>
      <c r="B97" s="38">
        <v>9817</v>
      </c>
      <c r="C97" s="38">
        <v>4400</v>
      </c>
      <c r="D97" s="166">
        <v>0</v>
      </c>
      <c r="E97" s="38">
        <v>14217</v>
      </c>
    </row>
    <row r="98" spans="1:5" x14ac:dyDescent="0.25">
      <c r="A98" s="76" t="s">
        <v>20</v>
      </c>
      <c r="B98" s="38">
        <v>1292</v>
      </c>
      <c r="C98" s="38">
        <v>3396</v>
      </c>
      <c r="D98" s="166">
        <v>0</v>
      </c>
      <c r="E98" s="38">
        <v>4688</v>
      </c>
    </row>
    <row r="99" spans="1:5" x14ac:dyDescent="0.25">
      <c r="A99" s="48" t="s">
        <v>238</v>
      </c>
      <c r="B99" s="39">
        <v>34173</v>
      </c>
      <c r="C99" s="39">
        <v>22867</v>
      </c>
      <c r="D99" s="167">
        <v>0</v>
      </c>
      <c r="E99" s="39">
        <v>57040</v>
      </c>
    </row>
    <row r="100" spans="1:5" x14ac:dyDescent="0.25">
      <c r="A100" s="36"/>
      <c r="B100" s="36"/>
      <c r="C100" s="36"/>
      <c r="D100" s="36"/>
      <c r="E100" s="36"/>
    </row>
    <row r="101" spans="1:5" ht="15.75" x14ac:dyDescent="0.25">
      <c r="A101" s="42" t="s">
        <v>417</v>
      </c>
      <c r="B101" s="36"/>
      <c r="C101" s="36"/>
      <c r="D101" s="36"/>
      <c r="E101" s="36"/>
    </row>
    <row r="102" spans="1:5" x14ac:dyDescent="0.25">
      <c r="A102" s="49" t="s">
        <v>10</v>
      </c>
      <c r="B102" s="37" t="s">
        <v>188</v>
      </c>
      <c r="C102" s="37" t="s">
        <v>189</v>
      </c>
      <c r="D102" s="37" t="s">
        <v>498</v>
      </c>
      <c r="E102" s="37" t="s">
        <v>8</v>
      </c>
    </row>
    <row r="103" spans="1:5" x14ac:dyDescent="0.25">
      <c r="A103" s="47" t="s">
        <v>446</v>
      </c>
      <c r="B103" s="38">
        <v>11279</v>
      </c>
      <c r="C103" s="38">
        <v>9625</v>
      </c>
      <c r="D103" s="166">
        <v>0</v>
      </c>
      <c r="E103" s="38">
        <v>20904</v>
      </c>
    </row>
    <row r="104" spans="1:5" x14ac:dyDescent="0.25">
      <c r="A104" s="76" t="s">
        <v>447</v>
      </c>
      <c r="B104" s="38">
        <v>413</v>
      </c>
      <c r="C104" s="38">
        <v>292</v>
      </c>
      <c r="D104" s="166">
        <v>0</v>
      </c>
      <c r="E104" s="38">
        <v>705</v>
      </c>
    </row>
    <row r="105" spans="1:5" x14ac:dyDescent="0.25">
      <c r="A105" s="76" t="s">
        <v>448</v>
      </c>
      <c r="B105" s="38">
        <v>688</v>
      </c>
      <c r="C105" s="38">
        <v>461</v>
      </c>
      <c r="D105" s="166">
        <v>0</v>
      </c>
      <c r="E105" s="38">
        <v>1149</v>
      </c>
    </row>
    <row r="106" spans="1:5" x14ac:dyDescent="0.25">
      <c r="A106" s="76" t="s">
        <v>449</v>
      </c>
      <c r="B106" s="38">
        <v>523</v>
      </c>
      <c r="C106" s="38">
        <v>832</v>
      </c>
      <c r="D106" s="166">
        <v>0</v>
      </c>
      <c r="E106" s="38">
        <v>1355</v>
      </c>
    </row>
    <row r="107" spans="1:5" x14ac:dyDescent="0.25">
      <c r="A107" s="76" t="s">
        <v>450</v>
      </c>
      <c r="B107" s="38">
        <v>2882</v>
      </c>
      <c r="C107" s="38">
        <v>1111</v>
      </c>
      <c r="D107" s="166">
        <v>0</v>
      </c>
      <c r="E107" s="38">
        <v>3993</v>
      </c>
    </row>
    <row r="108" spans="1:5" x14ac:dyDescent="0.25">
      <c r="A108" s="76" t="s">
        <v>17</v>
      </c>
      <c r="B108" s="38">
        <v>6180</v>
      </c>
      <c r="C108" s="38">
        <v>2268</v>
      </c>
      <c r="D108" s="166">
        <v>0</v>
      </c>
      <c r="E108" s="38">
        <v>8448</v>
      </c>
    </row>
    <row r="109" spans="1:5" x14ac:dyDescent="0.25">
      <c r="A109" s="76" t="s">
        <v>451</v>
      </c>
      <c r="B109" s="38">
        <v>839</v>
      </c>
      <c r="C109" s="38">
        <v>1567</v>
      </c>
      <c r="D109" s="166">
        <v>0</v>
      </c>
      <c r="E109" s="38">
        <v>2406</v>
      </c>
    </row>
    <row r="110" spans="1:5" x14ac:dyDescent="0.25">
      <c r="A110" s="76" t="s">
        <v>452</v>
      </c>
      <c r="B110" s="38">
        <v>10662</v>
      </c>
      <c r="C110" s="38">
        <v>4608</v>
      </c>
      <c r="D110" s="166">
        <v>0</v>
      </c>
      <c r="E110" s="38">
        <v>15270</v>
      </c>
    </row>
    <row r="111" spans="1:5" x14ac:dyDescent="0.25">
      <c r="A111" s="76" t="s">
        <v>453</v>
      </c>
      <c r="B111" s="38">
        <v>326</v>
      </c>
      <c r="C111" s="38">
        <v>472</v>
      </c>
      <c r="D111" s="166">
        <v>0</v>
      </c>
      <c r="E111" s="38">
        <v>798</v>
      </c>
    </row>
    <row r="112" spans="1:5" x14ac:dyDescent="0.25">
      <c r="A112" s="76" t="s">
        <v>454</v>
      </c>
      <c r="B112" s="38">
        <v>381</v>
      </c>
      <c r="C112" s="38">
        <v>1631</v>
      </c>
      <c r="D112" s="166">
        <v>0</v>
      </c>
      <c r="E112" s="38">
        <v>2012</v>
      </c>
    </row>
    <row r="113" spans="1:5" x14ac:dyDescent="0.25">
      <c r="A113" s="48" t="s">
        <v>4</v>
      </c>
      <c r="B113" s="39">
        <v>34173</v>
      </c>
      <c r="C113" s="39">
        <v>22867</v>
      </c>
      <c r="D113" s="167">
        <v>0</v>
      </c>
      <c r="E113" s="39">
        <v>57040</v>
      </c>
    </row>
    <row r="114" spans="1:5" x14ac:dyDescent="0.25">
      <c r="A114" s="2"/>
      <c r="B114" s="2"/>
      <c r="C114" s="2"/>
      <c r="D114" s="2"/>
      <c r="E114" s="2"/>
    </row>
    <row r="115" spans="1:5" ht="15.75" x14ac:dyDescent="0.25">
      <c r="A115" s="42" t="s">
        <v>418</v>
      </c>
      <c r="B115" s="36"/>
      <c r="C115" s="36"/>
      <c r="D115" s="36"/>
      <c r="E115" s="36"/>
    </row>
    <row r="116" spans="1:5" x14ac:dyDescent="0.25">
      <c r="A116" s="49" t="s">
        <v>9</v>
      </c>
      <c r="B116" s="37" t="s">
        <v>188</v>
      </c>
      <c r="C116" s="37" t="s">
        <v>189</v>
      </c>
      <c r="D116" s="37" t="s">
        <v>498</v>
      </c>
      <c r="E116" s="37" t="s">
        <v>8</v>
      </c>
    </row>
    <row r="117" spans="1:5" x14ac:dyDescent="0.25">
      <c r="A117" s="47" t="s">
        <v>224</v>
      </c>
      <c r="B117" s="115">
        <v>0</v>
      </c>
      <c r="C117" s="115">
        <v>0</v>
      </c>
      <c r="D117" s="115">
        <v>0</v>
      </c>
      <c r="E117" s="115">
        <v>0</v>
      </c>
    </row>
    <row r="118" spans="1:5" x14ac:dyDescent="0.25">
      <c r="A118" s="47" t="s">
        <v>225</v>
      </c>
      <c r="B118" s="38">
        <v>0</v>
      </c>
      <c r="C118" s="38">
        <v>1</v>
      </c>
      <c r="D118" s="38">
        <v>0</v>
      </c>
      <c r="E118" s="38">
        <v>1</v>
      </c>
    </row>
    <row r="119" spans="1:5" x14ac:dyDescent="0.25">
      <c r="A119" s="47" t="s">
        <v>226</v>
      </c>
      <c r="B119" s="38">
        <v>103</v>
      </c>
      <c r="C119" s="38">
        <v>157</v>
      </c>
      <c r="D119" s="38">
        <v>0</v>
      </c>
      <c r="E119" s="38">
        <v>260</v>
      </c>
    </row>
    <row r="120" spans="1:5" x14ac:dyDescent="0.25">
      <c r="A120" s="47" t="s">
        <v>227</v>
      </c>
      <c r="B120" s="38">
        <v>22</v>
      </c>
      <c r="C120" s="38">
        <v>8</v>
      </c>
      <c r="D120" s="38">
        <v>0</v>
      </c>
      <c r="E120" s="38">
        <v>30</v>
      </c>
    </row>
    <row r="121" spans="1:5" x14ac:dyDescent="0.25">
      <c r="A121" s="47" t="s">
        <v>228</v>
      </c>
      <c r="B121" s="38">
        <v>763</v>
      </c>
      <c r="C121" s="38">
        <v>624</v>
      </c>
      <c r="D121" s="38">
        <v>0</v>
      </c>
      <c r="E121" s="38">
        <v>1387</v>
      </c>
    </row>
    <row r="122" spans="1:5" x14ac:dyDescent="0.25">
      <c r="A122" s="47" t="s">
        <v>229</v>
      </c>
      <c r="B122" s="38">
        <v>582</v>
      </c>
      <c r="C122" s="38">
        <v>558</v>
      </c>
      <c r="D122" s="38">
        <v>0</v>
      </c>
      <c r="E122" s="38">
        <v>1140</v>
      </c>
    </row>
    <row r="123" spans="1:5" x14ac:dyDescent="0.25">
      <c r="A123" s="81" t="s">
        <v>239</v>
      </c>
      <c r="B123" s="38">
        <v>26430</v>
      </c>
      <c r="C123" s="38">
        <v>17670</v>
      </c>
      <c r="D123" s="38">
        <v>0</v>
      </c>
      <c r="E123" s="38">
        <v>44100</v>
      </c>
    </row>
    <row r="124" spans="1:5" x14ac:dyDescent="0.25">
      <c r="A124" s="76" t="s">
        <v>260</v>
      </c>
      <c r="B124" s="38">
        <v>0</v>
      </c>
      <c r="C124" s="38">
        <v>0</v>
      </c>
      <c r="D124" s="38">
        <v>0</v>
      </c>
      <c r="E124" s="38">
        <v>0</v>
      </c>
    </row>
    <row r="125" spans="1:5" x14ac:dyDescent="0.25">
      <c r="A125" s="47" t="s">
        <v>230</v>
      </c>
      <c r="B125" s="38">
        <v>375</v>
      </c>
      <c r="C125" s="38">
        <v>263</v>
      </c>
      <c r="D125" s="38">
        <v>0</v>
      </c>
      <c r="E125" s="38">
        <v>638</v>
      </c>
    </row>
    <row r="126" spans="1:5" x14ac:dyDescent="0.25">
      <c r="A126" s="47" t="s">
        <v>242</v>
      </c>
      <c r="B126" s="38">
        <v>135</v>
      </c>
      <c r="C126" s="38">
        <v>82</v>
      </c>
      <c r="D126" s="38">
        <v>0</v>
      </c>
      <c r="E126" s="38">
        <v>217</v>
      </c>
    </row>
    <row r="127" spans="1:5" x14ac:dyDescent="0.25">
      <c r="A127" s="47" t="s">
        <v>231</v>
      </c>
      <c r="B127" s="38">
        <v>1140</v>
      </c>
      <c r="C127" s="38">
        <v>900</v>
      </c>
      <c r="D127" s="38">
        <v>0</v>
      </c>
      <c r="E127" s="38">
        <v>2040</v>
      </c>
    </row>
    <row r="128" spans="1:5" x14ac:dyDescent="0.25">
      <c r="A128" s="47" t="s">
        <v>232</v>
      </c>
      <c r="B128" s="38">
        <v>4537</v>
      </c>
      <c r="C128" s="38">
        <v>2543</v>
      </c>
      <c r="D128" s="38">
        <v>0</v>
      </c>
      <c r="E128" s="38">
        <v>7080</v>
      </c>
    </row>
    <row r="129" spans="1:5" x14ac:dyDescent="0.25">
      <c r="A129" s="47" t="s">
        <v>233</v>
      </c>
      <c r="B129" s="38">
        <v>62</v>
      </c>
      <c r="C129" s="38">
        <v>42</v>
      </c>
      <c r="D129" s="38">
        <v>0</v>
      </c>
      <c r="E129" s="38">
        <v>104</v>
      </c>
    </row>
    <row r="130" spans="1:5" x14ac:dyDescent="0.25">
      <c r="A130" s="47" t="s">
        <v>234</v>
      </c>
      <c r="B130" s="38">
        <v>24</v>
      </c>
      <c r="C130" s="38">
        <v>19</v>
      </c>
      <c r="D130" s="38">
        <v>0</v>
      </c>
      <c r="E130" s="38">
        <v>43</v>
      </c>
    </row>
    <row r="131" spans="1:5" x14ac:dyDescent="0.25">
      <c r="A131" s="47" t="s">
        <v>235</v>
      </c>
      <c r="B131" s="38">
        <v>0</v>
      </c>
      <c r="C131" s="38">
        <v>0</v>
      </c>
      <c r="D131" s="38">
        <v>0</v>
      </c>
      <c r="E131" s="38">
        <v>0</v>
      </c>
    </row>
    <row r="132" spans="1:5" x14ac:dyDescent="0.25">
      <c r="A132" s="47" t="s">
        <v>237</v>
      </c>
      <c r="B132" s="38">
        <v>0</v>
      </c>
      <c r="C132" s="38">
        <v>0</v>
      </c>
      <c r="D132" s="38">
        <v>0</v>
      </c>
      <c r="E132" s="38">
        <v>0</v>
      </c>
    </row>
    <row r="133" spans="1:5" x14ac:dyDescent="0.25">
      <c r="A133" s="68" t="s">
        <v>4</v>
      </c>
      <c r="B133" s="39">
        <v>34173</v>
      </c>
      <c r="C133" s="39">
        <v>22867</v>
      </c>
      <c r="D133" s="39">
        <v>0</v>
      </c>
      <c r="E133" s="39">
        <v>57040</v>
      </c>
    </row>
    <row r="134" spans="1:5" x14ac:dyDescent="0.25">
      <c r="A134" s="36"/>
      <c r="B134" s="36"/>
      <c r="C134" s="36"/>
      <c r="D134" s="36"/>
      <c r="E134" s="36"/>
    </row>
    <row r="135" spans="1:5" x14ac:dyDescent="0.25">
      <c r="A135" s="36"/>
      <c r="B135" s="36"/>
      <c r="C135" s="36"/>
      <c r="D135" s="36"/>
      <c r="E135" s="36"/>
    </row>
    <row r="136" spans="1:5" x14ac:dyDescent="0.25">
      <c r="A136" s="57" t="s">
        <v>218</v>
      </c>
      <c r="B136" s="60"/>
      <c r="C136" s="60"/>
      <c r="D136" s="60"/>
      <c r="E136" s="60"/>
    </row>
    <row r="137" spans="1:5" x14ac:dyDescent="0.25">
      <c r="A137" s="60"/>
      <c r="B137" s="60"/>
      <c r="C137" s="60"/>
      <c r="D137" s="60"/>
      <c r="E137" s="60"/>
    </row>
    <row r="138" spans="1:5" x14ac:dyDescent="0.25">
      <c r="A138" s="61" t="s">
        <v>21</v>
      </c>
      <c r="B138" s="60"/>
      <c r="C138" s="60"/>
      <c r="D138" s="60"/>
      <c r="E138" s="60"/>
    </row>
    <row r="139" spans="1:5" x14ac:dyDescent="0.25">
      <c r="A139" s="60"/>
      <c r="B139" s="60"/>
      <c r="C139" s="60"/>
      <c r="D139" s="60"/>
      <c r="E139" s="60"/>
    </row>
    <row r="140" spans="1:5" x14ac:dyDescent="0.25">
      <c r="A140" s="60"/>
      <c r="B140" s="60"/>
      <c r="C140" s="60"/>
      <c r="D140" s="60"/>
    </row>
    <row r="141" spans="1:5" x14ac:dyDescent="0.25">
      <c r="A141" s="60"/>
      <c r="B141" s="60"/>
      <c r="C141" s="60"/>
      <c r="D141" s="60"/>
    </row>
    <row r="142" spans="1:5" x14ac:dyDescent="0.25">
      <c r="A142" s="60"/>
      <c r="B142" s="60"/>
      <c r="C142" s="60"/>
      <c r="D142" s="60"/>
    </row>
    <row r="143" spans="1:5" x14ac:dyDescent="0.25">
      <c r="A143" s="60"/>
      <c r="B143" s="60"/>
      <c r="C143" s="60"/>
      <c r="D143" s="60"/>
    </row>
    <row r="144" spans="1:5" x14ac:dyDescent="0.25">
      <c r="A144" s="60"/>
      <c r="B144" s="60"/>
      <c r="C144" s="60"/>
      <c r="D144" s="60"/>
    </row>
    <row r="145" spans="1:4" x14ac:dyDescent="0.25">
      <c r="A145" s="60"/>
      <c r="B145" s="60"/>
      <c r="C145" s="60"/>
      <c r="D145" s="60"/>
    </row>
    <row r="146" spans="1:4" x14ac:dyDescent="0.25">
      <c r="A146" s="60"/>
      <c r="B146" s="60"/>
      <c r="C146" s="60"/>
      <c r="D146" s="60"/>
    </row>
    <row r="147" spans="1:4" x14ac:dyDescent="0.25">
      <c r="A147" s="60"/>
      <c r="B147" s="60"/>
      <c r="C147" s="60"/>
      <c r="D147" s="60"/>
    </row>
    <row r="148" spans="1:4" x14ac:dyDescent="0.25">
      <c r="A148" s="60"/>
      <c r="B148" s="60"/>
      <c r="C148" s="60"/>
      <c r="D148" s="60"/>
    </row>
    <row r="149" spans="1:4" x14ac:dyDescent="0.25">
      <c r="A149" s="60"/>
      <c r="B149" s="60"/>
      <c r="C149" s="60"/>
      <c r="D149" s="60"/>
    </row>
    <row r="150" spans="1:4" x14ac:dyDescent="0.25">
      <c r="A150" s="60"/>
      <c r="B150" s="60"/>
      <c r="C150" s="60"/>
      <c r="D150" s="60"/>
    </row>
    <row r="151" spans="1:4" x14ac:dyDescent="0.25">
      <c r="A151" s="60"/>
      <c r="B151" s="60"/>
      <c r="C151" s="60"/>
      <c r="D151" s="60"/>
    </row>
    <row r="152" spans="1:4" x14ac:dyDescent="0.25">
      <c r="A152" s="60"/>
      <c r="B152" s="60"/>
      <c r="C152" s="60"/>
      <c r="D152" s="60"/>
    </row>
    <row r="153" spans="1:4" x14ac:dyDescent="0.25">
      <c r="A153" s="60"/>
      <c r="B153" s="60"/>
      <c r="C153" s="60"/>
      <c r="D153" s="60"/>
    </row>
    <row r="154" spans="1:4" x14ac:dyDescent="0.25">
      <c r="A154" s="60"/>
      <c r="B154" s="60"/>
      <c r="C154" s="60"/>
      <c r="D154" s="60"/>
    </row>
    <row r="155" spans="1:4" x14ac:dyDescent="0.25">
      <c r="A155" s="60"/>
      <c r="B155" s="60"/>
      <c r="C155" s="60"/>
      <c r="D155" s="60"/>
    </row>
  </sheetData>
  <hyperlinks>
    <hyperlink ref="A138" location="Indice!A5" display="Volver al índice" xr:uid="{00000000-0004-0000-0700-000000000000}"/>
  </hyperlink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9" tint="0.59999389629810485"/>
  </sheetPr>
  <dimension ref="A1:X54"/>
  <sheetViews>
    <sheetView showGridLines="0"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ColWidth="10.85546875" defaultRowHeight="15" x14ac:dyDescent="0.25"/>
  <cols>
    <col min="1" max="1" width="36.85546875" style="1" customWidth="1"/>
    <col min="2" max="19" width="8.5703125" style="1" customWidth="1"/>
    <col min="20" max="24" width="12.85546875" style="1" customWidth="1"/>
    <col min="25" max="16384" width="10.85546875" style="2"/>
  </cols>
  <sheetData>
    <row r="1" spans="1:24" ht="21" x14ac:dyDescent="0.25">
      <c r="A1" s="54" t="s">
        <v>408</v>
      </c>
      <c r="B1" s="54"/>
      <c r="C1" s="54"/>
      <c r="D1" s="54"/>
      <c r="E1" s="54"/>
      <c r="F1" s="54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</row>
    <row r="2" spans="1:24" ht="25.5" customHeight="1" x14ac:dyDescent="0.25">
      <c r="A2" s="30"/>
      <c r="B2" s="30"/>
      <c r="C2" s="30"/>
      <c r="D2" s="30"/>
      <c r="E2" s="30"/>
      <c r="F2" s="30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</row>
    <row r="3" spans="1:24" x14ac:dyDescent="0.25">
      <c r="A3" s="31"/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</row>
    <row r="4" spans="1:24" ht="15.75" x14ac:dyDescent="0.25">
      <c r="A4" s="22" t="s">
        <v>279</v>
      </c>
      <c r="B4" s="22"/>
      <c r="C4" s="22"/>
      <c r="D4" s="22"/>
      <c r="E4" s="22"/>
      <c r="F4" s="22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</row>
    <row r="5" spans="1:24" ht="42" customHeight="1" x14ac:dyDescent="0.25">
      <c r="A5" s="73" t="s">
        <v>0</v>
      </c>
      <c r="B5" s="3">
        <v>2007</v>
      </c>
      <c r="C5" s="3">
        <v>2008</v>
      </c>
      <c r="D5" s="3">
        <v>2009</v>
      </c>
      <c r="E5" s="3">
        <v>2010</v>
      </c>
      <c r="F5" s="3">
        <v>2011</v>
      </c>
      <c r="G5" s="3">
        <v>2012</v>
      </c>
      <c r="H5" s="3">
        <v>2013</v>
      </c>
      <c r="I5" s="3">
        <v>2014</v>
      </c>
      <c r="J5" s="3">
        <v>2015</v>
      </c>
      <c r="K5" s="3">
        <v>2016</v>
      </c>
      <c r="L5" s="3">
        <v>2017</v>
      </c>
      <c r="M5" s="3">
        <v>2018</v>
      </c>
      <c r="N5" s="3">
        <v>2019</v>
      </c>
      <c r="O5" s="3">
        <v>2020</v>
      </c>
      <c r="P5" s="3">
        <v>2021</v>
      </c>
      <c r="Q5" s="3">
        <v>2022</v>
      </c>
      <c r="R5" s="3">
        <v>2023</v>
      </c>
      <c r="S5" s="3">
        <v>2024</v>
      </c>
      <c r="T5" s="12" t="s">
        <v>368</v>
      </c>
      <c r="U5" s="12" t="s">
        <v>369</v>
      </c>
      <c r="V5" s="12" t="s">
        <v>370</v>
      </c>
      <c r="W5" s="12" t="s">
        <v>372</v>
      </c>
      <c r="X5" s="169" t="s">
        <v>494</v>
      </c>
    </row>
    <row r="6" spans="1:24" x14ac:dyDescent="0.25">
      <c r="A6" s="4" t="s">
        <v>5</v>
      </c>
      <c r="B6" s="4">
        <v>0</v>
      </c>
      <c r="C6" s="4">
        <v>0</v>
      </c>
      <c r="D6" s="4">
        <v>10</v>
      </c>
      <c r="E6" s="4">
        <v>11</v>
      </c>
      <c r="F6" s="4">
        <v>13</v>
      </c>
      <c r="G6" s="4">
        <v>8</v>
      </c>
      <c r="H6" s="4">
        <v>10</v>
      </c>
      <c r="I6" s="4">
        <v>0</v>
      </c>
      <c r="J6" s="4">
        <v>0</v>
      </c>
      <c r="K6" s="4">
        <v>9</v>
      </c>
      <c r="L6" s="4">
        <v>10</v>
      </c>
      <c r="M6" s="4">
        <v>5</v>
      </c>
      <c r="N6" s="4">
        <v>3</v>
      </c>
      <c r="O6" s="4">
        <v>3</v>
      </c>
      <c r="P6" s="4">
        <v>7</v>
      </c>
      <c r="Q6" s="4">
        <v>9</v>
      </c>
      <c r="R6" s="4">
        <v>2</v>
      </c>
      <c r="S6" s="4">
        <v>15</v>
      </c>
      <c r="T6" s="88" t="s">
        <v>296</v>
      </c>
      <c r="U6" s="88">
        <f>(S6-O6)/O6</f>
        <v>4</v>
      </c>
      <c r="V6" s="88">
        <f>(S6-R6)/R6</f>
        <v>6.5</v>
      </c>
      <c r="W6" s="90">
        <f>S6/S$9</f>
        <v>2.6297335203366058E-4</v>
      </c>
      <c r="X6" s="52">
        <f>S6-R6</f>
        <v>13</v>
      </c>
    </row>
    <row r="7" spans="1:24" x14ac:dyDescent="0.25">
      <c r="A7" s="4" t="s">
        <v>6</v>
      </c>
      <c r="B7" s="4">
        <v>0</v>
      </c>
      <c r="C7" s="4">
        <v>0</v>
      </c>
      <c r="D7" s="4">
        <v>28</v>
      </c>
      <c r="E7" s="4">
        <v>0</v>
      </c>
      <c r="F7" s="4">
        <v>0</v>
      </c>
      <c r="G7" s="4">
        <v>0</v>
      </c>
      <c r="H7" s="4">
        <v>5</v>
      </c>
      <c r="I7" s="4">
        <v>21</v>
      </c>
      <c r="J7" s="4">
        <v>256</v>
      </c>
      <c r="K7" s="4">
        <v>2641</v>
      </c>
      <c r="L7" s="4">
        <v>1162</v>
      </c>
      <c r="M7" s="4">
        <v>876</v>
      </c>
      <c r="N7" s="4">
        <v>1408</v>
      </c>
      <c r="O7" s="4">
        <v>1065</v>
      </c>
      <c r="P7" s="4">
        <v>1149</v>
      </c>
      <c r="Q7" s="4">
        <v>1193</v>
      </c>
      <c r="R7" s="4">
        <v>1763</v>
      </c>
      <c r="S7" s="4">
        <v>415</v>
      </c>
      <c r="T7" s="88">
        <f>(S7-J7)/J7</f>
        <v>0.62109375</v>
      </c>
      <c r="U7" s="88">
        <f>(S7-O7)/O7</f>
        <v>-0.61032863849765262</v>
      </c>
      <c r="V7" s="88">
        <f>(S7-R7)/R7</f>
        <v>-0.76460578559273962</v>
      </c>
      <c r="W7" s="90">
        <f>S7/S$9</f>
        <v>7.2755960729312761E-3</v>
      </c>
      <c r="X7" s="52">
        <f>S7-R7</f>
        <v>-1348</v>
      </c>
    </row>
    <row r="8" spans="1:24" x14ac:dyDescent="0.25">
      <c r="A8" s="4" t="s">
        <v>7</v>
      </c>
      <c r="B8" s="4">
        <v>5017</v>
      </c>
      <c r="C8" s="4">
        <v>7652</v>
      </c>
      <c r="D8" s="4">
        <v>8745</v>
      </c>
      <c r="E8" s="4">
        <v>8842</v>
      </c>
      <c r="F8" s="4">
        <v>8717</v>
      </c>
      <c r="G8" s="4">
        <v>9682</v>
      </c>
      <c r="H8" s="4">
        <v>12560</v>
      </c>
      <c r="I8" s="4">
        <v>12874</v>
      </c>
      <c r="J8" s="4">
        <v>13261</v>
      </c>
      <c r="K8" s="4">
        <v>16304</v>
      </c>
      <c r="L8" s="4">
        <v>21453</v>
      </c>
      <c r="M8" s="4">
        <v>24067</v>
      </c>
      <c r="N8" s="4">
        <v>27822</v>
      </c>
      <c r="O8" s="4">
        <v>26287</v>
      </c>
      <c r="P8" s="4">
        <v>32251</v>
      </c>
      <c r="Q8" s="4">
        <v>44831</v>
      </c>
      <c r="R8" s="4">
        <v>44688</v>
      </c>
      <c r="S8" s="4">
        <v>56610</v>
      </c>
      <c r="T8" s="88">
        <f>(S8-J8)/J8</f>
        <v>3.2689088304049467</v>
      </c>
      <c r="U8" s="88">
        <f>(S8-O8)/O8</f>
        <v>1.1535359683493742</v>
      </c>
      <c r="V8" s="88">
        <f>(S8-R8)/R8</f>
        <v>0.26678302900107409</v>
      </c>
      <c r="W8" s="90">
        <f>S8/S$9</f>
        <v>0.99246143057503511</v>
      </c>
      <c r="X8" s="52">
        <f>S8-R8</f>
        <v>11922</v>
      </c>
    </row>
    <row r="9" spans="1:24" x14ac:dyDescent="0.25">
      <c r="A9" s="5" t="s">
        <v>4</v>
      </c>
      <c r="B9" s="5">
        <v>5017</v>
      </c>
      <c r="C9" s="5">
        <v>7652</v>
      </c>
      <c r="D9" s="5">
        <v>8783</v>
      </c>
      <c r="E9" s="5">
        <v>8853</v>
      </c>
      <c r="F9" s="5">
        <v>8730</v>
      </c>
      <c r="G9" s="5">
        <v>9690</v>
      </c>
      <c r="H9" s="5">
        <v>12575</v>
      </c>
      <c r="I9" s="5">
        <v>12895</v>
      </c>
      <c r="J9" s="5">
        <v>13517</v>
      </c>
      <c r="K9" s="5">
        <v>18954</v>
      </c>
      <c r="L9" s="5">
        <v>22625</v>
      </c>
      <c r="M9" s="5">
        <v>24948</v>
      </c>
      <c r="N9" s="5">
        <v>29233</v>
      </c>
      <c r="O9" s="5">
        <v>27355</v>
      </c>
      <c r="P9" s="5">
        <v>33407</v>
      </c>
      <c r="Q9" s="5">
        <v>46033</v>
      </c>
      <c r="R9" s="5">
        <v>46453</v>
      </c>
      <c r="S9" s="5">
        <v>57040</v>
      </c>
      <c r="T9" s="89">
        <f>(S9-J9)/J9</f>
        <v>3.2198712732115116</v>
      </c>
      <c r="U9" s="89">
        <f>(S9-O9)/O9</f>
        <v>1.0851763845732041</v>
      </c>
      <c r="V9" s="89">
        <f>(S9-R9)/R9</f>
        <v>0.22790777775385873</v>
      </c>
      <c r="W9" s="91">
        <f>S9/S$9</f>
        <v>1</v>
      </c>
      <c r="X9" s="53">
        <f>S9-R9</f>
        <v>10587</v>
      </c>
    </row>
    <row r="10" spans="1:24" x14ac:dyDescent="0.25">
      <c r="A10" s="31"/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</row>
    <row r="11" spans="1:24" ht="15.75" x14ac:dyDescent="0.25">
      <c r="A11" s="22" t="s">
        <v>280</v>
      </c>
      <c r="B11" s="22"/>
      <c r="C11" s="22"/>
      <c r="D11" s="22"/>
      <c r="E11" s="22"/>
      <c r="F11" s="22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</row>
    <row r="12" spans="1:24" ht="42.75" customHeight="1" x14ac:dyDescent="0.25">
      <c r="A12" s="73" t="s">
        <v>83</v>
      </c>
      <c r="B12" s="3">
        <v>2007</v>
      </c>
      <c r="C12" s="3">
        <v>2008</v>
      </c>
      <c r="D12" s="3">
        <v>2009</v>
      </c>
      <c r="E12" s="3">
        <v>2010</v>
      </c>
      <c r="F12" s="3">
        <v>2011</v>
      </c>
      <c r="G12" s="3">
        <v>2012</v>
      </c>
      <c r="H12" s="3">
        <v>2013</v>
      </c>
      <c r="I12" s="3">
        <v>2014</v>
      </c>
      <c r="J12" s="3">
        <v>2015</v>
      </c>
      <c r="K12" s="3">
        <v>2016</v>
      </c>
      <c r="L12" s="3">
        <v>2017</v>
      </c>
      <c r="M12" s="3">
        <v>2018</v>
      </c>
      <c r="N12" s="3">
        <v>2019</v>
      </c>
      <c r="O12" s="3">
        <v>2020</v>
      </c>
      <c r="P12" s="3">
        <v>2021</v>
      </c>
      <c r="Q12" s="3">
        <v>2022</v>
      </c>
      <c r="R12" s="3">
        <v>2023</v>
      </c>
      <c r="S12" s="3">
        <v>2024</v>
      </c>
      <c r="T12" s="12" t="s">
        <v>368</v>
      </c>
      <c r="U12" s="12" t="s">
        <v>369</v>
      </c>
      <c r="V12" s="12" t="s">
        <v>370</v>
      </c>
      <c r="W12" s="12" t="s">
        <v>372</v>
      </c>
      <c r="X12" s="169" t="s">
        <v>494</v>
      </c>
    </row>
    <row r="13" spans="1:24" x14ac:dyDescent="0.25">
      <c r="A13" s="4" t="s">
        <v>85</v>
      </c>
      <c r="B13" s="4">
        <v>816</v>
      </c>
      <c r="C13" s="4">
        <v>912</v>
      </c>
      <c r="D13" s="4">
        <v>856</v>
      </c>
      <c r="E13" s="4">
        <v>979</v>
      </c>
      <c r="F13" s="4">
        <v>931</v>
      </c>
      <c r="G13" s="4">
        <v>1068</v>
      </c>
      <c r="H13" s="4">
        <v>1220</v>
      </c>
      <c r="I13" s="4">
        <v>1342</v>
      </c>
      <c r="J13" s="4">
        <v>1496</v>
      </c>
      <c r="K13" s="4">
        <v>1923</v>
      </c>
      <c r="L13" s="4">
        <v>1733</v>
      </c>
      <c r="M13" s="4">
        <v>2217</v>
      </c>
      <c r="N13" s="4">
        <v>2103</v>
      </c>
      <c r="O13" s="4">
        <v>1659</v>
      </c>
      <c r="P13" s="4">
        <v>1843</v>
      </c>
      <c r="Q13" s="4">
        <v>2206</v>
      </c>
      <c r="R13" s="4">
        <v>2466</v>
      </c>
      <c r="S13" s="4">
        <v>2320</v>
      </c>
      <c r="T13" s="88">
        <f>(S13-J13)/J13</f>
        <v>0.55080213903743314</v>
      </c>
      <c r="U13" s="88">
        <f>(S13-O13)/O13</f>
        <v>0.39843279083785416</v>
      </c>
      <c r="V13" s="88">
        <f>(S13-R13)/R13</f>
        <v>-5.9205190592051905E-2</v>
      </c>
      <c r="W13" s="90">
        <f>S13/S$9</f>
        <v>4.067321178120617E-2</v>
      </c>
      <c r="X13" s="52">
        <f t="shared" ref="X13:X16" si="0">S13-R13</f>
        <v>-146</v>
      </c>
    </row>
    <row r="14" spans="1:24" x14ac:dyDescent="0.25">
      <c r="A14" s="4" t="s">
        <v>3</v>
      </c>
      <c r="B14" s="4">
        <v>1765</v>
      </c>
      <c r="C14" s="4">
        <v>2833</v>
      </c>
      <c r="D14" s="4">
        <v>3064</v>
      </c>
      <c r="E14" s="4">
        <v>2664</v>
      </c>
      <c r="F14" s="4">
        <v>3680</v>
      </c>
      <c r="G14" s="4">
        <v>2578</v>
      </c>
      <c r="H14" s="4">
        <v>4117</v>
      </c>
      <c r="I14" s="4">
        <v>3813</v>
      </c>
      <c r="J14" s="4">
        <v>3194</v>
      </c>
      <c r="K14" s="4">
        <v>5323</v>
      </c>
      <c r="L14" s="4">
        <v>4154</v>
      </c>
      <c r="M14" s="4">
        <v>3477</v>
      </c>
      <c r="N14" s="4">
        <v>3796</v>
      </c>
      <c r="O14" s="4">
        <v>2624</v>
      </c>
      <c r="P14" s="4">
        <v>3975</v>
      </c>
      <c r="Q14" s="4">
        <v>3438</v>
      </c>
      <c r="R14" s="4">
        <v>3151</v>
      </c>
      <c r="S14" s="4">
        <v>2847</v>
      </c>
      <c r="T14" s="88">
        <f>(S14-J14)/J14</f>
        <v>-0.10864120225422667</v>
      </c>
      <c r="U14" s="88">
        <f>(S14-O14)/O14</f>
        <v>8.4984756097560982E-2</v>
      </c>
      <c r="V14" s="88">
        <f>(S14-R14)/R14</f>
        <v>-9.6477308790860042E-2</v>
      </c>
      <c r="W14" s="90">
        <f>S14/S$9</f>
        <v>4.9912342215988781E-2</v>
      </c>
      <c r="X14" s="52">
        <f t="shared" si="0"/>
        <v>-304</v>
      </c>
    </row>
    <row r="15" spans="1:24" x14ac:dyDescent="0.25">
      <c r="A15" s="4" t="s">
        <v>86</v>
      </c>
      <c r="B15" s="4">
        <v>2436</v>
      </c>
      <c r="C15" s="4">
        <v>3907</v>
      </c>
      <c r="D15" s="4">
        <v>4863</v>
      </c>
      <c r="E15" s="4">
        <v>5210</v>
      </c>
      <c r="F15" s="4">
        <v>4119</v>
      </c>
      <c r="G15" s="4">
        <v>6044</v>
      </c>
      <c r="H15" s="4">
        <v>7238</v>
      </c>
      <c r="I15" s="4">
        <v>7740</v>
      </c>
      <c r="J15" s="4">
        <v>8827</v>
      </c>
      <c r="K15" s="4">
        <v>11708</v>
      </c>
      <c r="L15" s="4">
        <v>16738</v>
      </c>
      <c r="M15" s="4">
        <v>19254</v>
      </c>
      <c r="N15" s="4">
        <v>23334</v>
      </c>
      <c r="O15" s="4">
        <v>23072</v>
      </c>
      <c r="P15" s="4">
        <v>27589</v>
      </c>
      <c r="Q15" s="4">
        <v>40389</v>
      </c>
      <c r="R15" s="4">
        <v>40836</v>
      </c>
      <c r="S15" s="4">
        <v>51873</v>
      </c>
      <c r="T15" s="88">
        <f>(S15-J15)/J15</f>
        <v>4.8766285261130626</v>
      </c>
      <c r="U15" s="88">
        <f>(S15-O15)/O15</f>
        <v>1.2483096393897364</v>
      </c>
      <c r="V15" s="88">
        <f>(S15-R15)/R15</f>
        <v>0.27027622685865416</v>
      </c>
      <c r="W15" s="90">
        <f>S15/S$9</f>
        <v>0.90941444600280508</v>
      </c>
      <c r="X15" s="52">
        <f t="shared" si="0"/>
        <v>11037</v>
      </c>
    </row>
    <row r="16" spans="1:24" x14ac:dyDescent="0.25">
      <c r="A16" s="5" t="s">
        <v>4</v>
      </c>
      <c r="B16" s="5">
        <v>5017</v>
      </c>
      <c r="C16" s="5">
        <v>7652</v>
      </c>
      <c r="D16" s="5">
        <v>8783</v>
      </c>
      <c r="E16" s="5">
        <v>8853</v>
      </c>
      <c r="F16" s="5">
        <v>8730</v>
      </c>
      <c r="G16" s="5">
        <v>9690</v>
      </c>
      <c r="H16" s="5">
        <v>12575</v>
      </c>
      <c r="I16" s="5">
        <v>12895</v>
      </c>
      <c r="J16" s="5">
        <v>13517</v>
      </c>
      <c r="K16" s="5">
        <v>18954</v>
      </c>
      <c r="L16" s="5">
        <v>22625</v>
      </c>
      <c r="M16" s="5">
        <v>24948</v>
      </c>
      <c r="N16" s="5">
        <v>29233</v>
      </c>
      <c r="O16" s="5">
        <v>27355</v>
      </c>
      <c r="P16" s="5">
        <v>33407</v>
      </c>
      <c r="Q16" s="5">
        <v>46033</v>
      </c>
      <c r="R16" s="5">
        <v>46453</v>
      </c>
      <c r="S16" s="5">
        <v>57040</v>
      </c>
      <c r="T16" s="89">
        <f>(S16-J16)/J16</f>
        <v>3.2198712732115116</v>
      </c>
      <c r="U16" s="89">
        <f>(S16-O16)/O16</f>
        <v>1.0851763845732041</v>
      </c>
      <c r="V16" s="89">
        <f>(S16-R16)/R16</f>
        <v>0.22790777775385873</v>
      </c>
      <c r="W16" s="91">
        <f>S16/S$9</f>
        <v>1</v>
      </c>
      <c r="X16" s="53">
        <f t="shared" si="0"/>
        <v>10587</v>
      </c>
    </row>
    <row r="17" spans="1:24" x14ac:dyDescent="0.25">
      <c r="A17" s="31"/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</row>
    <row r="18" spans="1:24" ht="15.75" x14ac:dyDescent="0.25">
      <c r="A18" s="22" t="s">
        <v>281</v>
      </c>
      <c r="B18" s="22"/>
      <c r="C18" s="22"/>
      <c r="D18" s="22"/>
      <c r="E18" s="22"/>
      <c r="F18" s="22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</row>
    <row r="19" spans="1:24" ht="42" customHeight="1" x14ac:dyDescent="0.25">
      <c r="A19" s="73" t="s">
        <v>84</v>
      </c>
      <c r="B19" s="3">
        <v>2007</v>
      </c>
      <c r="C19" s="3">
        <v>2008</v>
      </c>
      <c r="D19" s="3">
        <v>2009</v>
      </c>
      <c r="E19" s="3">
        <v>2010</v>
      </c>
      <c r="F19" s="3">
        <v>2011</v>
      </c>
      <c r="G19" s="3">
        <v>2012</v>
      </c>
      <c r="H19" s="3">
        <v>2013</v>
      </c>
      <c r="I19" s="3">
        <v>2014</v>
      </c>
      <c r="J19" s="3">
        <v>2015</v>
      </c>
      <c r="K19" s="3">
        <v>2016</v>
      </c>
      <c r="L19" s="3">
        <v>2017</v>
      </c>
      <c r="M19" s="3">
        <v>2018</v>
      </c>
      <c r="N19" s="3">
        <v>2019</v>
      </c>
      <c r="O19" s="3">
        <v>2020</v>
      </c>
      <c r="P19" s="3">
        <v>2021</v>
      </c>
      <c r="Q19" s="3">
        <v>2022</v>
      </c>
      <c r="R19" s="3">
        <v>2023</v>
      </c>
      <c r="S19" s="3">
        <v>2024</v>
      </c>
      <c r="T19" s="12" t="s">
        <v>368</v>
      </c>
      <c r="U19" s="12" t="s">
        <v>369</v>
      </c>
      <c r="V19" s="12" t="s">
        <v>370</v>
      </c>
      <c r="W19" s="12" t="s">
        <v>372</v>
      </c>
      <c r="X19" s="169" t="s">
        <v>494</v>
      </c>
    </row>
    <row r="20" spans="1:24" x14ac:dyDescent="0.25">
      <c r="A20" s="5" t="s">
        <v>5</v>
      </c>
      <c r="B20" s="5">
        <v>0</v>
      </c>
      <c r="C20" s="5">
        <v>0</v>
      </c>
      <c r="D20" s="5">
        <v>10</v>
      </c>
      <c r="E20" s="5">
        <v>11</v>
      </c>
      <c r="F20" s="5">
        <v>13</v>
      </c>
      <c r="G20" s="14">
        <v>8</v>
      </c>
      <c r="H20" s="14">
        <v>10</v>
      </c>
      <c r="I20" s="14">
        <v>0</v>
      </c>
      <c r="J20" s="14">
        <v>0</v>
      </c>
      <c r="K20" s="14">
        <v>9</v>
      </c>
      <c r="L20" s="14">
        <v>10</v>
      </c>
      <c r="M20" s="14">
        <v>5</v>
      </c>
      <c r="N20" s="14">
        <v>3</v>
      </c>
      <c r="O20" s="14">
        <v>3</v>
      </c>
      <c r="P20" s="14">
        <v>7</v>
      </c>
      <c r="Q20" s="14">
        <v>9</v>
      </c>
      <c r="R20" s="14">
        <v>2</v>
      </c>
      <c r="S20" s="14">
        <v>15</v>
      </c>
      <c r="T20" s="89" t="s">
        <v>296</v>
      </c>
      <c r="U20" s="89">
        <f t="shared" ref="U20:U29" si="1">(S20-O20)/O20</f>
        <v>4</v>
      </c>
      <c r="V20" s="89">
        <f t="shared" ref="V20:V29" si="2">(S20-R20)/R20</f>
        <v>6.5</v>
      </c>
      <c r="W20" s="91">
        <f t="shared" ref="W20:W29" si="3">S20/S$9</f>
        <v>2.6297335203366058E-4</v>
      </c>
      <c r="X20" s="53">
        <f t="shared" ref="X20:X29" si="4">S20-R20</f>
        <v>13</v>
      </c>
    </row>
    <row r="21" spans="1:24" x14ac:dyDescent="0.25">
      <c r="A21" s="70" t="s">
        <v>86</v>
      </c>
      <c r="B21" s="70">
        <v>0</v>
      </c>
      <c r="C21" s="70">
        <v>0</v>
      </c>
      <c r="D21" s="70">
        <v>10</v>
      </c>
      <c r="E21" s="70">
        <v>11</v>
      </c>
      <c r="F21" s="70">
        <v>13</v>
      </c>
      <c r="G21" s="15">
        <v>8</v>
      </c>
      <c r="H21" s="15">
        <v>10</v>
      </c>
      <c r="I21" s="15">
        <v>0</v>
      </c>
      <c r="J21" s="15">
        <v>0</v>
      </c>
      <c r="K21" s="15">
        <v>9</v>
      </c>
      <c r="L21" s="15">
        <v>10</v>
      </c>
      <c r="M21" s="15">
        <v>5</v>
      </c>
      <c r="N21" s="15">
        <v>3</v>
      </c>
      <c r="O21" s="15">
        <v>3</v>
      </c>
      <c r="P21" s="15">
        <v>7</v>
      </c>
      <c r="Q21" s="15">
        <v>9</v>
      </c>
      <c r="R21" s="15">
        <v>2</v>
      </c>
      <c r="S21" s="15">
        <v>15</v>
      </c>
      <c r="T21" s="88" t="s">
        <v>296</v>
      </c>
      <c r="U21" s="88">
        <f t="shared" si="1"/>
        <v>4</v>
      </c>
      <c r="V21" s="88">
        <f t="shared" si="2"/>
        <v>6.5</v>
      </c>
      <c r="W21" s="90">
        <f t="shared" si="3"/>
        <v>2.6297335203366058E-4</v>
      </c>
      <c r="X21" s="52">
        <f t="shared" si="4"/>
        <v>13</v>
      </c>
    </row>
    <row r="22" spans="1:24" x14ac:dyDescent="0.25">
      <c r="A22" s="5" t="s">
        <v>6</v>
      </c>
      <c r="B22" s="5">
        <v>0</v>
      </c>
      <c r="C22" s="5">
        <v>0</v>
      </c>
      <c r="D22" s="5">
        <v>28</v>
      </c>
      <c r="E22" s="5">
        <v>0</v>
      </c>
      <c r="F22" s="5">
        <v>0</v>
      </c>
      <c r="G22" s="14">
        <v>0</v>
      </c>
      <c r="H22" s="14">
        <v>5</v>
      </c>
      <c r="I22" s="14">
        <v>21</v>
      </c>
      <c r="J22" s="14">
        <v>256</v>
      </c>
      <c r="K22" s="14">
        <v>2641</v>
      </c>
      <c r="L22" s="14">
        <v>1162</v>
      </c>
      <c r="M22" s="14">
        <v>876</v>
      </c>
      <c r="N22" s="14">
        <v>1408</v>
      </c>
      <c r="O22" s="14">
        <v>1065</v>
      </c>
      <c r="P22" s="14">
        <v>1149</v>
      </c>
      <c r="Q22" s="14">
        <v>1193</v>
      </c>
      <c r="R22" s="14">
        <v>1763</v>
      </c>
      <c r="S22" s="14">
        <v>415</v>
      </c>
      <c r="T22" s="89">
        <f t="shared" ref="T22:T29" si="5">(S22-J22)/J22</f>
        <v>0.62109375</v>
      </c>
      <c r="U22" s="89">
        <f t="shared" si="1"/>
        <v>-0.61032863849765262</v>
      </c>
      <c r="V22" s="89">
        <f t="shared" si="2"/>
        <v>-0.76460578559273962</v>
      </c>
      <c r="W22" s="91">
        <f t="shared" si="3"/>
        <v>7.2755960729312761E-3</v>
      </c>
      <c r="X22" s="53">
        <f t="shared" si="4"/>
        <v>-1348</v>
      </c>
    </row>
    <row r="23" spans="1:24" x14ac:dyDescent="0.25">
      <c r="A23" s="70" t="s">
        <v>3</v>
      </c>
      <c r="B23" s="70">
        <v>0</v>
      </c>
      <c r="C23" s="70">
        <v>0</v>
      </c>
      <c r="D23" s="70">
        <v>28</v>
      </c>
      <c r="E23" s="70">
        <v>0</v>
      </c>
      <c r="F23" s="70">
        <v>0</v>
      </c>
      <c r="G23" s="15">
        <v>0</v>
      </c>
      <c r="H23" s="15">
        <v>0</v>
      </c>
      <c r="I23" s="15">
        <v>19</v>
      </c>
      <c r="J23" s="15">
        <v>129</v>
      </c>
      <c r="K23" s="15">
        <v>2267</v>
      </c>
      <c r="L23" s="15">
        <v>933</v>
      </c>
      <c r="M23" s="15">
        <v>765</v>
      </c>
      <c r="N23" s="15">
        <v>1045</v>
      </c>
      <c r="O23" s="15">
        <v>744</v>
      </c>
      <c r="P23" s="15">
        <v>903</v>
      </c>
      <c r="Q23" s="15">
        <v>537</v>
      </c>
      <c r="R23" s="15">
        <v>376</v>
      </c>
      <c r="S23" s="15">
        <v>372</v>
      </c>
      <c r="T23" s="88">
        <f t="shared" si="5"/>
        <v>1.8837209302325582</v>
      </c>
      <c r="U23" s="88">
        <f t="shared" si="1"/>
        <v>-0.5</v>
      </c>
      <c r="V23" s="88">
        <f t="shared" si="2"/>
        <v>-1.0638297872340425E-2</v>
      </c>
      <c r="W23" s="90">
        <f t="shared" si="3"/>
        <v>6.5217391304347823E-3</v>
      </c>
      <c r="X23" s="52">
        <f t="shared" si="4"/>
        <v>-4</v>
      </c>
    </row>
    <row r="24" spans="1:24" x14ac:dyDescent="0.25">
      <c r="A24" s="70" t="s">
        <v>86</v>
      </c>
      <c r="B24" s="70">
        <v>0</v>
      </c>
      <c r="C24" s="70">
        <v>0</v>
      </c>
      <c r="D24" s="70">
        <v>0</v>
      </c>
      <c r="E24" s="70">
        <v>0</v>
      </c>
      <c r="F24" s="70">
        <v>0</v>
      </c>
      <c r="G24" s="15">
        <v>0</v>
      </c>
      <c r="H24" s="15">
        <v>5</v>
      </c>
      <c r="I24" s="15">
        <v>2</v>
      </c>
      <c r="J24" s="15">
        <v>127</v>
      </c>
      <c r="K24" s="15">
        <v>374</v>
      </c>
      <c r="L24" s="15">
        <v>229</v>
      </c>
      <c r="M24" s="15">
        <v>111</v>
      </c>
      <c r="N24" s="15">
        <v>363</v>
      </c>
      <c r="O24" s="15">
        <v>321</v>
      </c>
      <c r="P24" s="15">
        <v>246</v>
      </c>
      <c r="Q24" s="15">
        <v>656</v>
      </c>
      <c r="R24" s="15">
        <v>1387</v>
      </c>
      <c r="S24" s="15">
        <v>43</v>
      </c>
      <c r="T24" s="88">
        <f t="shared" si="5"/>
        <v>-0.66141732283464572</v>
      </c>
      <c r="U24" s="88">
        <f t="shared" si="1"/>
        <v>-0.86604361370716509</v>
      </c>
      <c r="V24" s="88">
        <f t="shared" si="2"/>
        <v>-0.96899783705839937</v>
      </c>
      <c r="W24" s="90">
        <f t="shared" si="3"/>
        <v>7.5385694249649373E-4</v>
      </c>
      <c r="X24" s="52">
        <f t="shared" si="4"/>
        <v>-1344</v>
      </c>
    </row>
    <row r="25" spans="1:24" x14ac:dyDescent="0.25">
      <c r="A25" s="5" t="s">
        <v>7</v>
      </c>
      <c r="B25" s="5">
        <v>5017</v>
      </c>
      <c r="C25" s="5">
        <v>7652</v>
      </c>
      <c r="D25" s="5">
        <v>8745</v>
      </c>
      <c r="E25" s="5">
        <v>8842</v>
      </c>
      <c r="F25" s="5">
        <v>8717</v>
      </c>
      <c r="G25" s="14">
        <v>9682</v>
      </c>
      <c r="H25" s="14">
        <v>12560</v>
      </c>
      <c r="I25" s="14">
        <v>12874</v>
      </c>
      <c r="J25" s="14">
        <v>13261</v>
      </c>
      <c r="K25" s="14">
        <v>16304</v>
      </c>
      <c r="L25" s="14">
        <v>21453</v>
      </c>
      <c r="M25" s="14">
        <v>24067</v>
      </c>
      <c r="N25" s="14">
        <v>27822</v>
      </c>
      <c r="O25" s="14">
        <v>26287</v>
      </c>
      <c r="P25" s="14">
        <v>32251</v>
      </c>
      <c r="Q25" s="14">
        <v>44831</v>
      </c>
      <c r="R25" s="14">
        <v>44688</v>
      </c>
      <c r="S25" s="14">
        <v>56610</v>
      </c>
      <c r="T25" s="89">
        <f t="shared" si="5"/>
        <v>3.2689088304049467</v>
      </c>
      <c r="U25" s="89">
        <f t="shared" si="1"/>
        <v>1.1535359683493742</v>
      </c>
      <c r="V25" s="89">
        <f t="shared" si="2"/>
        <v>0.26678302900107409</v>
      </c>
      <c r="W25" s="91">
        <f t="shared" si="3"/>
        <v>0.99246143057503511</v>
      </c>
      <c r="X25" s="53">
        <f t="shared" si="4"/>
        <v>11922</v>
      </c>
    </row>
    <row r="26" spans="1:24" x14ac:dyDescent="0.25">
      <c r="A26" s="70" t="s">
        <v>85</v>
      </c>
      <c r="B26" s="70">
        <v>816</v>
      </c>
      <c r="C26" s="70">
        <v>912</v>
      </c>
      <c r="D26" s="70">
        <v>856</v>
      </c>
      <c r="E26" s="70">
        <v>979</v>
      </c>
      <c r="F26" s="70">
        <v>931</v>
      </c>
      <c r="G26" s="15">
        <v>1068</v>
      </c>
      <c r="H26" s="15">
        <v>1220</v>
      </c>
      <c r="I26" s="15">
        <v>1342</v>
      </c>
      <c r="J26" s="15">
        <v>1496</v>
      </c>
      <c r="K26" s="15">
        <v>1923</v>
      </c>
      <c r="L26" s="15">
        <v>1733</v>
      </c>
      <c r="M26" s="15">
        <v>2217</v>
      </c>
      <c r="N26" s="15">
        <v>2103</v>
      </c>
      <c r="O26" s="15">
        <v>1659</v>
      </c>
      <c r="P26" s="15">
        <v>1843</v>
      </c>
      <c r="Q26" s="15">
        <v>2206</v>
      </c>
      <c r="R26" s="15">
        <v>2466</v>
      </c>
      <c r="S26" s="15">
        <v>2320</v>
      </c>
      <c r="T26" s="88">
        <f t="shared" si="5"/>
        <v>0.55080213903743314</v>
      </c>
      <c r="U26" s="88">
        <f t="shared" si="1"/>
        <v>0.39843279083785416</v>
      </c>
      <c r="V26" s="88">
        <f t="shared" si="2"/>
        <v>-5.9205190592051905E-2</v>
      </c>
      <c r="W26" s="90">
        <f t="shared" si="3"/>
        <v>4.067321178120617E-2</v>
      </c>
      <c r="X26" s="52">
        <f t="shared" si="4"/>
        <v>-146</v>
      </c>
    </row>
    <row r="27" spans="1:24" x14ac:dyDescent="0.25">
      <c r="A27" s="70" t="s">
        <v>3</v>
      </c>
      <c r="B27" s="70">
        <v>1765</v>
      </c>
      <c r="C27" s="70">
        <v>2833</v>
      </c>
      <c r="D27" s="70">
        <v>3036</v>
      </c>
      <c r="E27" s="70">
        <v>2664</v>
      </c>
      <c r="F27" s="70">
        <v>3680</v>
      </c>
      <c r="G27" s="15">
        <v>2578</v>
      </c>
      <c r="H27" s="15">
        <v>4117</v>
      </c>
      <c r="I27" s="15">
        <v>3794</v>
      </c>
      <c r="J27" s="15">
        <v>3065</v>
      </c>
      <c r="K27" s="15">
        <v>3056</v>
      </c>
      <c r="L27" s="15">
        <v>3221</v>
      </c>
      <c r="M27" s="15">
        <v>2712</v>
      </c>
      <c r="N27" s="15">
        <v>2751</v>
      </c>
      <c r="O27" s="15">
        <v>1880</v>
      </c>
      <c r="P27" s="15">
        <v>3072</v>
      </c>
      <c r="Q27" s="15">
        <v>2901</v>
      </c>
      <c r="R27" s="15">
        <v>2775</v>
      </c>
      <c r="S27" s="15">
        <v>2475</v>
      </c>
      <c r="T27" s="88">
        <f t="shared" si="5"/>
        <v>-0.19249592169657423</v>
      </c>
      <c r="U27" s="88">
        <f t="shared" si="1"/>
        <v>0.31648936170212766</v>
      </c>
      <c r="V27" s="88">
        <f t="shared" si="2"/>
        <v>-0.10810810810810811</v>
      </c>
      <c r="W27" s="90">
        <f t="shared" si="3"/>
        <v>4.3390603085553994E-2</v>
      </c>
      <c r="X27" s="52">
        <f t="shared" si="4"/>
        <v>-300</v>
      </c>
    </row>
    <row r="28" spans="1:24" x14ac:dyDescent="0.25">
      <c r="A28" s="70" t="s">
        <v>86</v>
      </c>
      <c r="B28" s="70">
        <v>2436</v>
      </c>
      <c r="C28" s="70">
        <v>3907</v>
      </c>
      <c r="D28" s="70">
        <v>4853</v>
      </c>
      <c r="E28" s="70">
        <v>5199</v>
      </c>
      <c r="F28" s="70">
        <v>4106</v>
      </c>
      <c r="G28" s="15">
        <v>6036</v>
      </c>
      <c r="H28" s="15">
        <v>7223</v>
      </c>
      <c r="I28" s="15">
        <v>7738</v>
      </c>
      <c r="J28" s="15">
        <v>8700</v>
      </c>
      <c r="K28" s="15">
        <v>11325</v>
      </c>
      <c r="L28" s="15">
        <v>16499</v>
      </c>
      <c r="M28" s="15">
        <v>19138</v>
      </c>
      <c r="N28" s="15">
        <v>22968</v>
      </c>
      <c r="O28" s="15">
        <v>22748</v>
      </c>
      <c r="P28" s="15">
        <v>27336</v>
      </c>
      <c r="Q28" s="15">
        <v>39724</v>
      </c>
      <c r="R28" s="15">
        <v>39447</v>
      </c>
      <c r="S28" s="15">
        <v>51815</v>
      </c>
      <c r="T28" s="88">
        <f t="shared" si="5"/>
        <v>4.9557471264367816</v>
      </c>
      <c r="U28" s="88">
        <f t="shared" si="1"/>
        <v>1.2777826622120625</v>
      </c>
      <c r="V28" s="88">
        <f t="shared" si="2"/>
        <v>0.31353461606712807</v>
      </c>
      <c r="W28" s="90">
        <f t="shared" si="3"/>
        <v>0.90839761570827493</v>
      </c>
      <c r="X28" s="52">
        <f t="shared" si="4"/>
        <v>12368</v>
      </c>
    </row>
    <row r="29" spans="1:24" x14ac:dyDescent="0.25">
      <c r="A29" s="5" t="s">
        <v>4</v>
      </c>
      <c r="B29" s="5">
        <v>5017</v>
      </c>
      <c r="C29" s="5">
        <v>7652</v>
      </c>
      <c r="D29" s="5">
        <v>8783</v>
      </c>
      <c r="E29" s="5">
        <v>8853</v>
      </c>
      <c r="F29" s="5">
        <v>8730</v>
      </c>
      <c r="G29" s="14">
        <v>9690</v>
      </c>
      <c r="H29" s="14">
        <v>12575</v>
      </c>
      <c r="I29" s="14">
        <v>12895</v>
      </c>
      <c r="J29" s="14">
        <v>13517</v>
      </c>
      <c r="K29" s="14">
        <v>18954</v>
      </c>
      <c r="L29" s="14">
        <v>22625</v>
      </c>
      <c r="M29" s="14">
        <v>24948</v>
      </c>
      <c r="N29" s="14">
        <v>29233</v>
      </c>
      <c r="O29" s="14">
        <v>27355</v>
      </c>
      <c r="P29" s="14">
        <v>33407</v>
      </c>
      <c r="Q29" s="14">
        <v>46033</v>
      </c>
      <c r="R29" s="14">
        <v>46453</v>
      </c>
      <c r="S29" s="14">
        <v>57040</v>
      </c>
      <c r="T29" s="89">
        <f t="shared" si="5"/>
        <v>3.2198712732115116</v>
      </c>
      <c r="U29" s="89">
        <f t="shared" si="1"/>
        <v>1.0851763845732041</v>
      </c>
      <c r="V29" s="89">
        <f t="shared" si="2"/>
        <v>0.22790777775385873</v>
      </c>
      <c r="W29" s="91">
        <f t="shared" si="3"/>
        <v>1</v>
      </c>
      <c r="X29" s="53">
        <f t="shared" si="4"/>
        <v>10587</v>
      </c>
    </row>
    <row r="30" spans="1:24" x14ac:dyDescent="0.25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</row>
    <row r="31" spans="1:24" ht="15.75" x14ac:dyDescent="0.25">
      <c r="A31" s="32" t="s">
        <v>282</v>
      </c>
      <c r="B31" s="32"/>
      <c r="C31" s="32"/>
      <c r="D31" s="32"/>
      <c r="E31" s="32"/>
      <c r="F31" s="32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1"/>
      <c r="T31" s="31"/>
      <c r="U31" s="31"/>
      <c r="V31" s="31"/>
      <c r="W31" s="31"/>
      <c r="X31" s="31"/>
    </row>
    <row r="32" spans="1:24" ht="42" customHeight="1" x14ac:dyDescent="0.25">
      <c r="A32" s="73" t="s">
        <v>84</v>
      </c>
      <c r="B32" s="3">
        <v>2007</v>
      </c>
      <c r="C32" s="3">
        <v>2008</v>
      </c>
      <c r="D32" s="3">
        <v>2009</v>
      </c>
      <c r="E32" s="3">
        <v>2010</v>
      </c>
      <c r="F32" s="3">
        <v>2011</v>
      </c>
      <c r="G32" s="3">
        <v>2012</v>
      </c>
      <c r="H32" s="3">
        <v>2013</v>
      </c>
      <c r="I32" s="3">
        <v>2014</v>
      </c>
      <c r="J32" s="3">
        <v>2015</v>
      </c>
      <c r="K32" s="3">
        <v>2016</v>
      </c>
      <c r="L32" s="3">
        <v>2017</v>
      </c>
      <c r="M32" s="3">
        <v>2018</v>
      </c>
      <c r="N32" s="3">
        <v>2019</v>
      </c>
      <c r="O32" s="3">
        <v>2020</v>
      </c>
      <c r="P32" s="3">
        <v>2021</v>
      </c>
      <c r="Q32" s="3">
        <v>2022</v>
      </c>
      <c r="R32" s="3">
        <v>2023</v>
      </c>
      <c r="S32" s="3">
        <v>2024</v>
      </c>
      <c r="T32" s="12" t="s">
        <v>368</v>
      </c>
      <c r="U32" s="12" t="s">
        <v>369</v>
      </c>
      <c r="V32" s="12" t="s">
        <v>370</v>
      </c>
      <c r="W32" s="12" t="s">
        <v>372</v>
      </c>
      <c r="X32" s="169" t="s">
        <v>494</v>
      </c>
    </row>
    <row r="33" spans="1:24" x14ac:dyDescent="0.25">
      <c r="A33" s="5" t="s">
        <v>188</v>
      </c>
      <c r="B33" s="5">
        <f>SUM(B34:B36)</f>
        <v>3131</v>
      </c>
      <c r="C33" s="5">
        <f t="shared" ref="C33:S33" si="6">SUM(C34:C36)</f>
        <v>5013</v>
      </c>
      <c r="D33" s="5">
        <f t="shared" si="6"/>
        <v>5552</v>
      </c>
      <c r="E33" s="5">
        <f t="shared" si="6"/>
        <v>5303</v>
      </c>
      <c r="F33" s="5">
        <f t="shared" si="6"/>
        <v>5575</v>
      </c>
      <c r="G33" s="5">
        <f t="shared" si="6"/>
        <v>5877</v>
      </c>
      <c r="H33" s="5">
        <f t="shared" si="6"/>
        <v>7815</v>
      </c>
      <c r="I33" s="5">
        <f t="shared" si="6"/>
        <v>8130</v>
      </c>
      <c r="J33" s="5">
        <f t="shared" si="6"/>
        <v>8286</v>
      </c>
      <c r="K33" s="5">
        <f t="shared" si="6"/>
        <v>11663</v>
      </c>
      <c r="L33" s="5">
        <f t="shared" si="6"/>
        <v>14330</v>
      </c>
      <c r="M33" s="5">
        <f t="shared" si="6"/>
        <v>15190</v>
      </c>
      <c r="N33" s="5">
        <f t="shared" si="6"/>
        <v>17472</v>
      </c>
      <c r="O33" s="5">
        <f t="shared" si="6"/>
        <v>16041</v>
      </c>
      <c r="P33" s="5">
        <f t="shared" si="6"/>
        <v>20633</v>
      </c>
      <c r="Q33" s="5">
        <f t="shared" si="6"/>
        <v>27468</v>
      </c>
      <c r="R33" s="5">
        <f t="shared" si="6"/>
        <v>27559</v>
      </c>
      <c r="S33" s="5">
        <f t="shared" si="6"/>
        <v>34173</v>
      </c>
      <c r="T33" s="89">
        <f t="shared" ref="T33:T43" si="7">(S33-J33)/J33</f>
        <v>3.1241853729181752</v>
      </c>
      <c r="U33" s="89">
        <f t="shared" ref="U33:U43" si="8">(S33-O33)/O33</f>
        <v>1.1303534692350852</v>
      </c>
      <c r="V33" s="89">
        <f t="shared" ref="V33:V43" si="9">(S33-R33)/R33</f>
        <v>0.23999419427410285</v>
      </c>
      <c r="W33" s="91">
        <f t="shared" ref="W33:W43" si="10">S33/S$9</f>
        <v>0.5991058906030855</v>
      </c>
      <c r="X33" s="53">
        <f t="shared" ref="X33:X43" si="11">S33-R33</f>
        <v>6614</v>
      </c>
    </row>
    <row r="34" spans="1:24" x14ac:dyDescent="0.25">
      <c r="A34" s="70" t="s">
        <v>85</v>
      </c>
      <c r="B34" s="70">
        <v>376</v>
      </c>
      <c r="C34" s="70">
        <v>513</v>
      </c>
      <c r="D34" s="70">
        <v>448</v>
      </c>
      <c r="E34" s="70">
        <v>463</v>
      </c>
      <c r="F34" s="70">
        <v>456</v>
      </c>
      <c r="G34" s="21">
        <v>500</v>
      </c>
      <c r="H34" s="21">
        <v>607</v>
      </c>
      <c r="I34" s="21">
        <v>670</v>
      </c>
      <c r="J34" s="21">
        <v>741</v>
      </c>
      <c r="K34" s="21">
        <v>980</v>
      </c>
      <c r="L34" s="21">
        <v>936</v>
      </c>
      <c r="M34" s="21">
        <v>1101</v>
      </c>
      <c r="N34" s="21">
        <v>1112</v>
      </c>
      <c r="O34" s="21">
        <v>811</v>
      </c>
      <c r="P34" s="21">
        <v>954</v>
      </c>
      <c r="Q34" s="21">
        <v>1155</v>
      </c>
      <c r="R34" s="21">
        <v>1289</v>
      </c>
      <c r="S34" s="21">
        <v>1209</v>
      </c>
      <c r="T34" s="88">
        <f t="shared" si="7"/>
        <v>0.63157894736842102</v>
      </c>
      <c r="U34" s="88">
        <f t="shared" si="8"/>
        <v>0.49075215782983972</v>
      </c>
      <c r="V34" s="88">
        <f t="shared" si="9"/>
        <v>-6.2063615205585725E-2</v>
      </c>
      <c r="W34" s="90">
        <f t="shared" si="10"/>
        <v>2.1195652173913043E-2</v>
      </c>
      <c r="X34" s="52">
        <f t="shared" si="11"/>
        <v>-80</v>
      </c>
    </row>
    <row r="35" spans="1:24" x14ac:dyDescent="0.25">
      <c r="A35" s="70" t="s">
        <v>3</v>
      </c>
      <c r="B35" s="70">
        <v>1328</v>
      </c>
      <c r="C35" s="70">
        <v>2280</v>
      </c>
      <c r="D35" s="70">
        <v>2339</v>
      </c>
      <c r="E35" s="70">
        <v>1994</v>
      </c>
      <c r="F35" s="70">
        <v>2817</v>
      </c>
      <c r="G35" s="21">
        <v>2007</v>
      </c>
      <c r="H35" s="21">
        <v>3200</v>
      </c>
      <c r="I35" s="21">
        <v>2965</v>
      </c>
      <c r="J35" s="21">
        <v>2312</v>
      </c>
      <c r="K35" s="21">
        <v>4072</v>
      </c>
      <c r="L35" s="21">
        <v>3207</v>
      </c>
      <c r="M35" s="21">
        <v>2703</v>
      </c>
      <c r="N35" s="21">
        <v>2892</v>
      </c>
      <c r="O35" s="21">
        <v>2132</v>
      </c>
      <c r="P35" s="21">
        <v>3145</v>
      </c>
      <c r="Q35" s="21">
        <v>2467</v>
      </c>
      <c r="R35" s="21">
        <v>2340</v>
      </c>
      <c r="S35" s="21">
        <v>2127</v>
      </c>
      <c r="T35" s="88">
        <f t="shared" si="7"/>
        <v>-8.0017301038062288E-2</v>
      </c>
      <c r="U35" s="88">
        <f t="shared" si="8"/>
        <v>-2.3452157598499064E-3</v>
      </c>
      <c r="V35" s="88">
        <f t="shared" si="9"/>
        <v>-9.1025641025641021E-2</v>
      </c>
      <c r="W35" s="90">
        <f t="shared" si="10"/>
        <v>3.7289621318373073E-2</v>
      </c>
      <c r="X35" s="52">
        <f t="shared" si="11"/>
        <v>-213</v>
      </c>
    </row>
    <row r="36" spans="1:24" x14ac:dyDescent="0.25">
      <c r="A36" s="70" t="s">
        <v>86</v>
      </c>
      <c r="B36" s="70">
        <v>1427</v>
      </c>
      <c r="C36" s="70">
        <v>2220</v>
      </c>
      <c r="D36" s="70">
        <v>2765</v>
      </c>
      <c r="E36" s="70">
        <v>2846</v>
      </c>
      <c r="F36" s="70">
        <v>2302</v>
      </c>
      <c r="G36" s="21">
        <v>3370</v>
      </c>
      <c r="H36" s="21">
        <v>4008</v>
      </c>
      <c r="I36" s="21">
        <v>4495</v>
      </c>
      <c r="J36" s="21">
        <v>5233</v>
      </c>
      <c r="K36" s="21">
        <v>6611</v>
      </c>
      <c r="L36" s="21">
        <v>10187</v>
      </c>
      <c r="M36" s="21">
        <v>11386</v>
      </c>
      <c r="N36" s="21">
        <v>13468</v>
      </c>
      <c r="O36" s="21">
        <v>13098</v>
      </c>
      <c r="P36" s="21">
        <v>16534</v>
      </c>
      <c r="Q36" s="21">
        <v>23846</v>
      </c>
      <c r="R36" s="21">
        <v>23930</v>
      </c>
      <c r="S36" s="21">
        <v>30837</v>
      </c>
      <c r="T36" s="88">
        <f t="shared" si="7"/>
        <v>4.892795719472578</v>
      </c>
      <c r="U36" s="88">
        <f t="shared" si="8"/>
        <v>1.3543289051763627</v>
      </c>
      <c r="V36" s="88">
        <f t="shared" si="9"/>
        <v>0.28863351441704971</v>
      </c>
      <c r="W36" s="90">
        <f t="shared" si="10"/>
        <v>0.54062061711079945</v>
      </c>
      <c r="X36" s="52">
        <f t="shared" si="11"/>
        <v>6907</v>
      </c>
    </row>
    <row r="37" spans="1:24" x14ac:dyDescent="0.25">
      <c r="A37" s="5" t="s">
        <v>189</v>
      </c>
      <c r="B37" s="5">
        <f t="shared" ref="B37:S37" si="12">SUM(B38:B40)</f>
        <v>1886</v>
      </c>
      <c r="C37" s="5">
        <f t="shared" si="12"/>
        <v>2639</v>
      </c>
      <c r="D37" s="5">
        <f t="shared" si="12"/>
        <v>3231</v>
      </c>
      <c r="E37" s="5">
        <f t="shared" si="12"/>
        <v>3550</v>
      </c>
      <c r="F37" s="5">
        <f t="shared" si="12"/>
        <v>3155</v>
      </c>
      <c r="G37" s="5">
        <f t="shared" si="12"/>
        <v>3813</v>
      </c>
      <c r="H37" s="5">
        <f t="shared" si="12"/>
        <v>4760</v>
      </c>
      <c r="I37" s="5">
        <f t="shared" si="12"/>
        <v>4765</v>
      </c>
      <c r="J37" s="5">
        <f t="shared" si="12"/>
        <v>5231</v>
      </c>
      <c r="K37" s="5">
        <f t="shared" si="12"/>
        <v>7291</v>
      </c>
      <c r="L37" s="5">
        <f t="shared" si="12"/>
        <v>8295</v>
      </c>
      <c r="M37" s="5">
        <f t="shared" si="12"/>
        <v>9758</v>
      </c>
      <c r="N37" s="5">
        <f t="shared" si="12"/>
        <v>11761</v>
      </c>
      <c r="O37" s="5">
        <f t="shared" si="12"/>
        <v>11314</v>
      </c>
      <c r="P37" s="5">
        <f t="shared" si="12"/>
        <v>12774</v>
      </c>
      <c r="Q37" s="5">
        <f t="shared" si="12"/>
        <v>18565</v>
      </c>
      <c r="R37" s="5">
        <f t="shared" si="12"/>
        <v>18893</v>
      </c>
      <c r="S37" s="5">
        <f t="shared" si="12"/>
        <v>22867</v>
      </c>
      <c r="T37" s="89">
        <f t="shared" si="7"/>
        <v>3.3714394953163831</v>
      </c>
      <c r="U37" s="89">
        <f t="shared" si="8"/>
        <v>1.0211242708149195</v>
      </c>
      <c r="V37" s="89">
        <f t="shared" si="9"/>
        <v>0.21034245487746783</v>
      </c>
      <c r="W37" s="91">
        <f t="shared" si="10"/>
        <v>0.40089410939691444</v>
      </c>
      <c r="X37" s="53">
        <f t="shared" si="11"/>
        <v>3974</v>
      </c>
    </row>
    <row r="38" spans="1:24" x14ac:dyDescent="0.25">
      <c r="A38" s="70" t="s">
        <v>85</v>
      </c>
      <c r="B38" s="70">
        <v>440</v>
      </c>
      <c r="C38" s="70">
        <v>399</v>
      </c>
      <c r="D38" s="70">
        <v>408</v>
      </c>
      <c r="E38" s="70">
        <v>516</v>
      </c>
      <c r="F38" s="70">
        <v>475</v>
      </c>
      <c r="G38" s="21">
        <v>568</v>
      </c>
      <c r="H38" s="21">
        <v>613</v>
      </c>
      <c r="I38" s="21">
        <v>672</v>
      </c>
      <c r="J38" s="21">
        <v>755</v>
      </c>
      <c r="K38" s="21">
        <v>943</v>
      </c>
      <c r="L38" s="21">
        <v>797</v>
      </c>
      <c r="M38" s="21">
        <v>1116</v>
      </c>
      <c r="N38" s="21">
        <v>991</v>
      </c>
      <c r="O38" s="21">
        <v>848</v>
      </c>
      <c r="P38" s="21">
        <v>889</v>
      </c>
      <c r="Q38" s="21">
        <v>1051</v>
      </c>
      <c r="R38" s="21">
        <v>1177</v>
      </c>
      <c r="S38" s="21">
        <v>1111</v>
      </c>
      <c r="T38" s="88">
        <f t="shared" si="7"/>
        <v>0.47152317880794703</v>
      </c>
      <c r="U38" s="88">
        <f t="shared" si="8"/>
        <v>0.31014150943396224</v>
      </c>
      <c r="V38" s="88">
        <f t="shared" si="9"/>
        <v>-5.6074766355140186E-2</v>
      </c>
      <c r="W38" s="90">
        <f t="shared" si="10"/>
        <v>1.9477559607293127E-2</v>
      </c>
      <c r="X38" s="52">
        <f t="shared" si="11"/>
        <v>-66</v>
      </c>
    </row>
    <row r="39" spans="1:24" x14ac:dyDescent="0.25">
      <c r="A39" s="70" t="s">
        <v>3</v>
      </c>
      <c r="B39" s="70">
        <v>437</v>
      </c>
      <c r="C39" s="70">
        <v>553</v>
      </c>
      <c r="D39" s="70">
        <v>725</v>
      </c>
      <c r="E39" s="70">
        <v>670</v>
      </c>
      <c r="F39" s="70">
        <v>863</v>
      </c>
      <c r="G39" s="21">
        <v>571</v>
      </c>
      <c r="H39" s="21">
        <v>917</v>
      </c>
      <c r="I39" s="21">
        <v>848</v>
      </c>
      <c r="J39" s="21">
        <v>882</v>
      </c>
      <c r="K39" s="21">
        <v>1251</v>
      </c>
      <c r="L39" s="21">
        <v>947</v>
      </c>
      <c r="M39" s="21">
        <v>774</v>
      </c>
      <c r="N39" s="21">
        <v>904</v>
      </c>
      <c r="O39" s="21">
        <v>492</v>
      </c>
      <c r="P39" s="21">
        <v>830</v>
      </c>
      <c r="Q39" s="21">
        <v>971</v>
      </c>
      <c r="R39" s="21">
        <v>811</v>
      </c>
      <c r="S39" s="21">
        <v>720</v>
      </c>
      <c r="T39" s="88">
        <f t="shared" si="7"/>
        <v>-0.18367346938775511</v>
      </c>
      <c r="U39" s="88">
        <f t="shared" si="8"/>
        <v>0.46341463414634149</v>
      </c>
      <c r="V39" s="88">
        <f t="shared" si="9"/>
        <v>-0.11220715166461159</v>
      </c>
      <c r="W39" s="90">
        <f t="shared" si="10"/>
        <v>1.2622720897615708E-2</v>
      </c>
      <c r="X39" s="52">
        <f t="shared" si="11"/>
        <v>-91</v>
      </c>
    </row>
    <row r="40" spans="1:24" x14ac:dyDescent="0.25">
      <c r="A40" s="70" t="s">
        <v>86</v>
      </c>
      <c r="B40" s="70">
        <v>1009</v>
      </c>
      <c r="C40" s="70">
        <v>1687</v>
      </c>
      <c r="D40" s="70">
        <v>2098</v>
      </c>
      <c r="E40" s="70">
        <v>2364</v>
      </c>
      <c r="F40" s="70">
        <v>1817</v>
      </c>
      <c r="G40" s="21">
        <v>2674</v>
      </c>
      <c r="H40" s="21">
        <v>3230</v>
      </c>
      <c r="I40" s="21">
        <v>3245</v>
      </c>
      <c r="J40" s="21">
        <v>3594</v>
      </c>
      <c r="K40" s="21">
        <v>5097</v>
      </c>
      <c r="L40" s="21">
        <v>6551</v>
      </c>
      <c r="M40" s="21">
        <v>7868</v>
      </c>
      <c r="N40" s="21">
        <v>9866</v>
      </c>
      <c r="O40" s="21">
        <v>9974</v>
      </c>
      <c r="P40" s="21">
        <v>11055</v>
      </c>
      <c r="Q40" s="21">
        <v>16543</v>
      </c>
      <c r="R40" s="21">
        <v>16905</v>
      </c>
      <c r="S40" s="21">
        <v>21036</v>
      </c>
      <c r="T40" s="88">
        <f t="shared" si="7"/>
        <v>4.8530884808013353</v>
      </c>
      <c r="U40" s="88">
        <f t="shared" si="8"/>
        <v>1.1090836174052536</v>
      </c>
      <c r="V40" s="88">
        <f t="shared" si="9"/>
        <v>0.24436557231588288</v>
      </c>
      <c r="W40" s="90">
        <f t="shared" si="10"/>
        <v>0.36879382889200563</v>
      </c>
      <c r="X40" s="52">
        <f t="shared" si="11"/>
        <v>4131</v>
      </c>
    </row>
    <row r="41" spans="1:24" x14ac:dyDescent="0.25">
      <c r="A41" s="5" t="s">
        <v>498</v>
      </c>
      <c r="B41" s="119">
        <f>SUM(B42)</f>
        <v>0</v>
      </c>
      <c r="C41" s="119">
        <f t="shared" ref="C41:S41" si="13">SUM(C42)</f>
        <v>0</v>
      </c>
      <c r="D41" s="119">
        <f t="shared" si="13"/>
        <v>0</v>
      </c>
      <c r="E41" s="119">
        <f t="shared" si="13"/>
        <v>0</v>
      </c>
      <c r="F41" s="119">
        <f t="shared" si="13"/>
        <v>0</v>
      </c>
      <c r="G41" s="119">
        <f t="shared" si="13"/>
        <v>0</v>
      </c>
      <c r="H41" s="119">
        <f t="shared" si="13"/>
        <v>0</v>
      </c>
      <c r="I41" s="119">
        <f t="shared" si="13"/>
        <v>0</v>
      </c>
      <c r="J41" s="119">
        <f t="shared" si="13"/>
        <v>0</v>
      </c>
      <c r="K41" s="119">
        <f t="shared" si="13"/>
        <v>0</v>
      </c>
      <c r="L41" s="119">
        <f t="shared" si="13"/>
        <v>0</v>
      </c>
      <c r="M41" s="119">
        <f t="shared" si="13"/>
        <v>0</v>
      </c>
      <c r="N41" s="119">
        <f t="shared" si="13"/>
        <v>0</v>
      </c>
      <c r="O41" s="119">
        <f t="shared" si="13"/>
        <v>0</v>
      </c>
      <c r="P41" s="119">
        <f t="shared" si="13"/>
        <v>0</v>
      </c>
      <c r="Q41" s="119">
        <f t="shared" si="13"/>
        <v>0</v>
      </c>
      <c r="R41" s="119">
        <f t="shared" si="13"/>
        <v>1</v>
      </c>
      <c r="S41" s="119">
        <f t="shared" si="13"/>
        <v>0</v>
      </c>
      <c r="T41" s="89" t="s">
        <v>296</v>
      </c>
      <c r="U41" s="89" t="s">
        <v>296</v>
      </c>
      <c r="V41" s="89">
        <f t="shared" si="9"/>
        <v>-1</v>
      </c>
      <c r="W41" s="91">
        <f t="shared" si="10"/>
        <v>0</v>
      </c>
      <c r="X41" s="53">
        <f t="shared" si="11"/>
        <v>-1</v>
      </c>
    </row>
    <row r="42" spans="1:24" x14ac:dyDescent="0.25">
      <c r="A42" s="70" t="s">
        <v>86</v>
      </c>
      <c r="B42" s="70">
        <v>0</v>
      </c>
      <c r="C42" s="70">
        <v>0</v>
      </c>
      <c r="D42" s="70">
        <v>0</v>
      </c>
      <c r="E42" s="70">
        <v>0</v>
      </c>
      <c r="F42" s="70">
        <v>0</v>
      </c>
      <c r="G42" s="21">
        <v>0</v>
      </c>
      <c r="H42" s="21">
        <v>0</v>
      </c>
      <c r="I42" s="21">
        <v>0</v>
      </c>
      <c r="J42" s="21">
        <v>0</v>
      </c>
      <c r="K42" s="21">
        <v>0</v>
      </c>
      <c r="L42" s="21">
        <v>0</v>
      </c>
      <c r="M42" s="21">
        <v>0</v>
      </c>
      <c r="N42" s="21">
        <v>0</v>
      </c>
      <c r="O42" s="21">
        <v>0</v>
      </c>
      <c r="P42" s="21">
        <v>0</v>
      </c>
      <c r="Q42" s="21">
        <v>0</v>
      </c>
      <c r="R42" s="21">
        <v>1</v>
      </c>
      <c r="S42" s="21">
        <v>0</v>
      </c>
      <c r="T42" s="88" t="s">
        <v>296</v>
      </c>
      <c r="U42" s="88" t="s">
        <v>296</v>
      </c>
      <c r="V42" s="88">
        <f t="shared" si="9"/>
        <v>-1</v>
      </c>
      <c r="W42" s="90">
        <f t="shared" si="10"/>
        <v>0</v>
      </c>
      <c r="X42" s="52">
        <f t="shared" si="11"/>
        <v>-1</v>
      </c>
    </row>
    <row r="43" spans="1:24" x14ac:dyDescent="0.25">
      <c r="A43" s="5" t="s">
        <v>4</v>
      </c>
      <c r="B43" s="5">
        <f>B33+B37+B41</f>
        <v>5017</v>
      </c>
      <c r="C43" s="5">
        <f t="shared" ref="C43:S43" si="14">C33+C37+C41</f>
        <v>7652</v>
      </c>
      <c r="D43" s="5">
        <f t="shared" si="14"/>
        <v>8783</v>
      </c>
      <c r="E43" s="5">
        <f t="shared" si="14"/>
        <v>8853</v>
      </c>
      <c r="F43" s="5">
        <f t="shared" si="14"/>
        <v>8730</v>
      </c>
      <c r="G43" s="5">
        <f t="shared" si="14"/>
        <v>9690</v>
      </c>
      <c r="H43" s="5">
        <f t="shared" si="14"/>
        <v>12575</v>
      </c>
      <c r="I43" s="5">
        <f t="shared" si="14"/>
        <v>12895</v>
      </c>
      <c r="J43" s="5">
        <f t="shared" si="14"/>
        <v>13517</v>
      </c>
      <c r="K43" s="5">
        <f t="shared" si="14"/>
        <v>18954</v>
      </c>
      <c r="L43" s="5">
        <f t="shared" si="14"/>
        <v>22625</v>
      </c>
      <c r="M43" s="5">
        <f t="shared" si="14"/>
        <v>24948</v>
      </c>
      <c r="N43" s="5">
        <f t="shared" si="14"/>
        <v>29233</v>
      </c>
      <c r="O43" s="5">
        <f t="shared" si="14"/>
        <v>27355</v>
      </c>
      <c r="P43" s="5">
        <f t="shared" si="14"/>
        <v>33407</v>
      </c>
      <c r="Q43" s="5">
        <f t="shared" si="14"/>
        <v>46033</v>
      </c>
      <c r="R43" s="5">
        <f t="shared" si="14"/>
        <v>46453</v>
      </c>
      <c r="S43" s="5">
        <f t="shared" si="14"/>
        <v>57040</v>
      </c>
      <c r="T43" s="89">
        <f t="shared" si="7"/>
        <v>3.2198712732115116</v>
      </c>
      <c r="U43" s="89">
        <f t="shared" si="8"/>
        <v>1.0851763845732041</v>
      </c>
      <c r="V43" s="89">
        <f t="shared" si="9"/>
        <v>0.22790777775385873</v>
      </c>
      <c r="W43" s="91">
        <f t="shared" si="10"/>
        <v>1</v>
      </c>
      <c r="X43" s="53">
        <f t="shared" si="11"/>
        <v>10587</v>
      </c>
    </row>
    <row r="44" spans="1:24" x14ac:dyDescent="0.25">
      <c r="A44" s="131"/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</row>
    <row r="45" spans="1:24" x14ac:dyDescent="0.25">
      <c r="A45" s="31"/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</row>
    <row r="46" spans="1:24" x14ac:dyDescent="0.25">
      <c r="A46" s="57" t="s">
        <v>218</v>
      </c>
      <c r="B46" s="57"/>
      <c r="C46" s="57"/>
      <c r="D46" s="57"/>
      <c r="E46" s="57"/>
      <c r="F46" s="57"/>
      <c r="G46" s="31"/>
      <c r="H46" s="31"/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</row>
    <row r="47" spans="1:24" x14ac:dyDescent="0.25">
      <c r="A47" s="31"/>
      <c r="B47" s="31"/>
      <c r="C47" s="31"/>
      <c r="D47" s="31"/>
      <c r="E47" s="31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</row>
    <row r="48" spans="1:24" x14ac:dyDescent="0.25">
      <c r="A48" s="58" t="s">
        <v>21</v>
      </c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</row>
    <row r="49" spans="1:24" x14ac:dyDescent="0.25">
      <c r="A49" s="31"/>
      <c r="B49" s="31"/>
      <c r="C49" s="31"/>
      <c r="D49" s="31"/>
      <c r="E49" s="31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</row>
    <row r="50" spans="1:24" x14ac:dyDescent="0.25"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</row>
    <row r="51" spans="1:24" x14ac:dyDescent="0.25">
      <c r="B51" s="31"/>
      <c r="C51" s="31"/>
      <c r="D51" s="31"/>
      <c r="E51" s="31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</row>
    <row r="52" spans="1:24" x14ac:dyDescent="0.25">
      <c r="C52" s="31"/>
      <c r="D52" s="31"/>
      <c r="E52" s="31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</row>
    <row r="53" spans="1:24" x14ac:dyDescent="0.25">
      <c r="C53" s="31"/>
      <c r="D53" s="31"/>
      <c r="E53" s="31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</row>
    <row r="54" spans="1:24" x14ac:dyDescent="0.25"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</row>
  </sheetData>
  <conditionalFormatting sqref="T6:T9">
    <cfRule type="iconSet" priority="17">
      <iconSet iconSet="5Arrows">
        <cfvo type="percent" val="0"/>
        <cfvo type="num" val="-0.5"/>
        <cfvo type="num" val="0"/>
        <cfvo type="num" val="0.5"/>
        <cfvo type="num" val="1"/>
      </iconSet>
    </cfRule>
  </conditionalFormatting>
  <conditionalFormatting sqref="T13:T16">
    <cfRule type="iconSet" priority="9">
      <iconSet iconSet="5Arrows">
        <cfvo type="percent" val="0"/>
        <cfvo type="num" val="-0.5"/>
        <cfvo type="num" val="0"/>
        <cfvo type="num" val="0.5"/>
        <cfvo type="num" val="1"/>
      </iconSet>
    </cfRule>
  </conditionalFormatting>
  <conditionalFormatting sqref="T20:T29">
    <cfRule type="iconSet" priority="5">
      <iconSet iconSet="5Arrows">
        <cfvo type="percent" val="0"/>
        <cfvo type="num" val="-0.5"/>
        <cfvo type="num" val="0"/>
        <cfvo type="num" val="0.5"/>
        <cfvo type="num" val="1"/>
      </iconSet>
    </cfRule>
  </conditionalFormatting>
  <conditionalFormatting sqref="T33:T43">
    <cfRule type="iconSet" priority="1">
      <iconSet iconSet="5Arrows">
        <cfvo type="percent" val="0"/>
        <cfvo type="num" val="-0.5"/>
        <cfvo type="num" val="0"/>
        <cfvo type="num" val="0.5"/>
        <cfvo type="num" val="1"/>
      </iconSet>
    </cfRule>
  </conditionalFormatting>
  <conditionalFormatting sqref="U6:U9">
    <cfRule type="iconSet" priority="19">
      <iconSet iconSet="5Arrows">
        <cfvo type="percent" val="0"/>
        <cfvo type="num" val="-0.5"/>
        <cfvo type="num" val="0"/>
        <cfvo type="num" val="0.5"/>
        <cfvo type="num" val="1"/>
      </iconSet>
    </cfRule>
  </conditionalFormatting>
  <conditionalFormatting sqref="U13:U16">
    <cfRule type="iconSet" priority="11">
      <iconSet iconSet="5Arrows">
        <cfvo type="percent" val="0"/>
        <cfvo type="num" val="-0.5"/>
        <cfvo type="num" val="0"/>
        <cfvo type="num" val="0.5"/>
        <cfvo type="num" val="1"/>
      </iconSet>
    </cfRule>
  </conditionalFormatting>
  <conditionalFormatting sqref="U20:U29">
    <cfRule type="iconSet" priority="7">
      <iconSet iconSet="5Arrows">
        <cfvo type="percent" val="0"/>
        <cfvo type="num" val="-0.5"/>
        <cfvo type="num" val="0"/>
        <cfvo type="num" val="0.5"/>
        <cfvo type="num" val="1"/>
      </iconSet>
    </cfRule>
  </conditionalFormatting>
  <conditionalFormatting sqref="U33:U43">
    <cfRule type="iconSet" priority="3">
      <iconSet iconSet="5Arrows">
        <cfvo type="percent" val="0"/>
        <cfvo type="num" val="-0.5"/>
        <cfvo type="num" val="0"/>
        <cfvo type="num" val="0.5"/>
        <cfvo type="num" val="1"/>
      </iconSet>
    </cfRule>
  </conditionalFormatting>
  <conditionalFormatting sqref="V6:V9">
    <cfRule type="iconSet" priority="20">
      <iconSet iconSet="5Arrows">
        <cfvo type="percent" val="0"/>
        <cfvo type="num" val="-0.05"/>
        <cfvo type="num" val="0"/>
        <cfvo type="num" val="0.05"/>
        <cfvo type="num" val="0.1"/>
      </iconSet>
    </cfRule>
  </conditionalFormatting>
  <conditionalFormatting sqref="V13:V16">
    <cfRule type="iconSet" priority="12">
      <iconSet iconSet="5Arrows">
        <cfvo type="percent" val="0"/>
        <cfvo type="num" val="-0.05"/>
        <cfvo type="num" val="0"/>
        <cfvo type="num" val="0.05"/>
        <cfvo type="num" val="0.1"/>
      </iconSet>
    </cfRule>
  </conditionalFormatting>
  <conditionalFormatting sqref="V20:V29">
    <cfRule type="iconSet" priority="8">
      <iconSet iconSet="5Arrows">
        <cfvo type="percent" val="0"/>
        <cfvo type="num" val="-0.05"/>
        <cfvo type="num" val="0"/>
        <cfvo type="num" val="0.05"/>
        <cfvo type="num" val="0.1"/>
      </iconSet>
    </cfRule>
  </conditionalFormatting>
  <conditionalFormatting sqref="V33:V43">
    <cfRule type="iconSet" priority="4">
      <iconSet iconSet="5Arrows">
        <cfvo type="percent" val="0"/>
        <cfvo type="num" val="-0.05"/>
        <cfvo type="num" val="0"/>
        <cfvo type="num" val="0.05"/>
        <cfvo type="num" val="0.1"/>
      </iconSet>
    </cfRule>
  </conditionalFormatting>
  <conditionalFormatting sqref="W6:W8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{C589339E-C392-4660-B06D-418A60DAC4FB}</x14:id>
        </ext>
      </extLst>
    </cfRule>
  </conditionalFormatting>
  <conditionalFormatting sqref="W13:W15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{E496A667-1E4E-40D3-A053-FE7FC6FE07B9}</x14:id>
        </ext>
      </extLst>
    </cfRule>
  </conditionalFormatting>
  <conditionalFormatting sqref="W20:W28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{8001BB2C-1E20-4248-B1F1-F013D7EF633D}</x14:id>
        </ext>
      </extLst>
    </cfRule>
  </conditionalFormatting>
  <conditionalFormatting sqref="W33:W42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{3F825EDF-E101-4646-9EC6-0E413AFFC0C8}</x14:id>
        </ext>
      </extLst>
    </cfRule>
  </conditionalFormatting>
  <conditionalFormatting sqref="X6:X9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{4056BABA-6B6A-4163-A3D2-36C12E199E85}</x14:id>
        </ext>
      </extLst>
    </cfRule>
  </conditionalFormatting>
  <conditionalFormatting sqref="X13:X16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{3D4C0530-C69D-496F-AE27-CDD8FBAF35C3}</x14:id>
        </ext>
      </extLst>
    </cfRule>
  </conditionalFormatting>
  <conditionalFormatting sqref="X20:X29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{1CF0E1C9-8682-4A6F-ABEA-1F6320976C5C}</x14:id>
        </ext>
      </extLst>
    </cfRule>
  </conditionalFormatting>
  <conditionalFormatting sqref="X33:X43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{4D73FE56-C5BD-4702-A94A-A288E570027F}</x14:id>
        </ext>
      </extLst>
    </cfRule>
  </conditionalFormatting>
  <hyperlinks>
    <hyperlink ref="A48" location="Indice!A5" display="Volver al índice" xr:uid="{00000000-0004-0000-0800-000000000000}"/>
  </hyperlinks>
  <pageMargins left="0.7" right="0.7" top="0.75" bottom="0.75" header="0.3" footer="0.3"/>
  <pageSetup orientation="portrait" verticalDpi="3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589339E-C392-4660-B06D-418A60DAC4F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W6:W8</xm:sqref>
        </x14:conditionalFormatting>
        <x14:conditionalFormatting xmlns:xm="http://schemas.microsoft.com/office/excel/2006/main">
          <x14:cfRule type="dataBar" id="{E496A667-1E4E-40D3-A053-FE7FC6FE07B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W13:W15</xm:sqref>
        </x14:conditionalFormatting>
        <x14:conditionalFormatting xmlns:xm="http://schemas.microsoft.com/office/excel/2006/main">
          <x14:cfRule type="dataBar" id="{8001BB2C-1E20-4248-B1F1-F013D7EF63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W20:W28</xm:sqref>
        </x14:conditionalFormatting>
        <x14:conditionalFormatting xmlns:xm="http://schemas.microsoft.com/office/excel/2006/main">
          <x14:cfRule type="dataBar" id="{3F825EDF-E101-4646-9EC6-0E413AFFC0C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W33:W42</xm:sqref>
        </x14:conditionalFormatting>
        <x14:conditionalFormatting xmlns:xm="http://schemas.microsoft.com/office/excel/2006/main">
          <x14:cfRule type="dataBar" id="{4056BABA-6B6A-4163-A3D2-36C12E199E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X6:X9</xm:sqref>
        </x14:conditionalFormatting>
        <x14:conditionalFormatting xmlns:xm="http://schemas.microsoft.com/office/excel/2006/main">
          <x14:cfRule type="dataBar" id="{3D4C0530-C69D-496F-AE27-CDD8FBAF35C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X13:X16</xm:sqref>
        </x14:conditionalFormatting>
        <x14:conditionalFormatting xmlns:xm="http://schemas.microsoft.com/office/excel/2006/main">
          <x14:cfRule type="dataBar" id="{1CF0E1C9-8682-4A6F-ABEA-1F6320976C5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X20:X29</xm:sqref>
        </x14:conditionalFormatting>
        <x14:conditionalFormatting xmlns:xm="http://schemas.microsoft.com/office/excel/2006/main">
          <x14:cfRule type="dataBar" id="{4D73FE56-C5BD-4702-A94A-A288E570027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X33:X43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 tint="0.59999389629810485"/>
  </sheetPr>
  <dimension ref="A1:E134"/>
  <sheetViews>
    <sheetView showGridLines="0" zoomScale="80" zoomScaleNormal="80" workbookViewId="0">
      <pane ySplit="4" topLeftCell="A5" activePane="bottomLeft" state="frozen"/>
      <selection pane="bottomLeft"/>
    </sheetView>
  </sheetViews>
  <sheetFormatPr baseColWidth="10" defaultColWidth="10.85546875" defaultRowHeight="15" x14ac:dyDescent="0.25"/>
  <cols>
    <col min="1" max="1" width="84.42578125" style="1" customWidth="1"/>
    <col min="2" max="2" width="14" style="35" customWidth="1"/>
    <col min="3" max="3" width="14.140625" style="35" customWidth="1"/>
    <col min="4" max="4" width="13" style="35" customWidth="1"/>
    <col min="5" max="5" width="16.7109375" style="35" customWidth="1"/>
    <col min="6" max="16384" width="10.85546875" style="2"/>
  </cols>
  <sheetData>
    <row r="1" spans="1:5" ht="21" x14ac:dyDescent="0.25">
      <c r="A1" s="54" t="s">
        <v>395</v>
      </c>
      <c r="B1" s="36"/>
      <c r="C1" s="36"/>
      <c r="D1" s="36"/>
      <c r="E1" s="36"/>
    </row>
    <row r="2" spans="1:5" ht="27" customHeight="1" x14ac:dyDescent="0.25">
      <c r="A2" s="30"/>
      <c r="B2" s="36"/>
      <c r="C2" s="36"/>
      <c r="D2" s="36"/>
      <c r="E2" s="36"/>
    </row>
    <row r="3" spans="1:5" x14ac:dyDescent="0.25">
      <c r="A3" s="31"/>
      <c r="B3" s="36"/>
      <c r="C3" s="36"/>
      <c r="D3" s="36"/>
      <c r="E3" s="36"/>
    </row>
    <row r="4" spans="1:5" ht="44.25" customHeight="1" x14ac:dyDescent="0.25">
      <c r="A4" s="111" t="s">
        <v>90</v>
      </c>
      <c r="B4" s="41" t="s">
        <v>396</v>
      </c>
      <c r="C4" s="41" t="s">
        <v>397</v>
      </c>
      <c r="D4" s="41" t="s">
        <v>398</v>
      </c>
      <c r="E4" s="41" t="s">
        <v>507</v>
      </c>
    </row>
    <row r="5" spans="1:5" x14ac:dyDescent="0.25">
      <c r="A5" s="4" t="s">
        <v>91</v>
      </c>
      <c r="B5" s="33">
        <v>46</v>
      </c>
      <c r="C5" s="33">
        <v>0</v>
      </c>
      <c r="D5" s="33">
        <v>0</v>
      </c>
      <c r="E5" s="34">
        <v>46</v>
      </c>
    </row>
    <row r="6" spans="1:5" x14ac:dyDescent="0.25">
      <c r="A6" s="4" t="s">
        <v>314</v>
      </c>
      <c r="B6" s="33">
        <v>47</v>
      </c>
      <c r="C6" s="33">
        <v>0</v>
      </c>
      <c r="D6" s="33">
        <v>0</v>
      </c>
      <c r="E6" s="34">
        <v>47</v>
      </c>
    </row>
    <row r="7" spans="1:5" x14ac:dyDescent="0.25">
      <c r="A7" s="4" t="s">
        <v>92</v>
      </c>
      <c r="B7" s="33">
        <v>1126</v>
      </c>
      <c r="C7" s="33">
        <v>0</v>
      </c>
      <c r="D7" s="33">
        <v>0</v>
      </c>
      <c r="E7" s="34">
        <v>1126</v>
      </c>
    </row>
    <row r="8" spans="1:5" x14ac:dyDescent="0.25">
      <c r="A8" s="4" t="s">
        <v>93</v>
      </c>
      <c r="B8" s="33">
        <v>1463</v>
      </c>
      <c r="C8" s="33">
        <v>0</v>
      </c>
      <c r="D8" s="33">
        <v>0</v>
      </c>
      <c r="E8" s="34">
        <v>1463</v>
      </c>
    </row>
    <row r="9" spans="1:5" x14ac:dyDescent="0.25">
      <c r="A9" s="4" t="s">
        <v>94</v>
      </c>
      <c r="B9" s="33">
        <v>12</v>
      </c>
      <c r="C9" s="33">
        <v>0</v>
      </c>
      <c r="D9" s="33">
        <v>15</v>
      </c>
      <c r="E9" s="34">
        <v>27</v>
      </c>
    </row>
    <row r="10" spans="1:5" x14ac:dyDescent="0.25">
      <c r="A10" s="4" t="s">
        <v>95</v>
      </c>
      <c r="B10" s="33">
        <v>1861</v>
      </c>
      <c r="C10" s="33">
        <v>0</v>
      </c>
      <c r="D10" s="33">
        <v>0</v>
      </c>
      <c r="E10" s="34">
        <v>1861</v>
      </c>
    </row>
    <row r="11" spans="1:5" x14ac:dyDescent="0.25">
      <c r="A11" s="4" t="s">
        <v>298</v>
      </c>
      <c r="B11" s="33">
        <v>55</v>
      </c>
      <c r="C11" s="33">
        <v>0</v>
      </c>
      <c r="D11" s="33">
        <v>0</v>
      </c>
      <c r="E11" s="34">
        <v>55</v>
      </c>
    </row>
    <row r="12" spans="1:5" x14ac:dyDescent="0.25">
      <c r="A12" s="4" t="s">
        <v>289</v>
      </c>
      <c r="B12" s="33">
        <v>562</v>
      </c>
      <c r="C12" s="33">
        <v>0</v>
      </c>
      <c r="D12" s="33">
        <v>0</v>
      </c>
      <c r="E12" s="34">
        <v>562</v>
      </c>
    </row>
    <row r="13" spans="1:5" x14ac:dyDescent="0.25">
      <c r="A13" s="4" t="s">
        <v>315</v>
      </c>
      <c r="B13" s="33">
        <v>38</v>
      </c>
      <c r="C13" s="33">
        <v>0</v>
      </c>
      <c r="D13" s="33">
        <v>0</v>
      </c>
      <c r="E13" s="34">
        <v>38</v>
      </c>
    </row>
    <row r="14" spans="1:5" x14ac:dyDescent="0.25">
      <c r="A14" s="4" t="s">
        <v>401</v>
      </c>
      <c r="B14" s="33">
        <v>50</v>
      </c>
      <c r="C14" s="33">
        <v>0</v>
      </c>
      <c r="D14" s="33">
        <v>0</v>
      </c>
      <c r="E14" s="34">
        <v>50</v>
      </c>
    </row>
    <row r="15" spans="1:5" x14ac:dyDescent="0.25">
      <c r="A15" s="4" t="s">
        <v>290</v>
      </c>
      <c r="B15" s="33">
        <v>256</v>
      </c>
      <c r="C15" s="33">
        <v>0</v>
      </c>
      <c r="D15" s="33">
        <v>0</v>
      </c>
      <c r="E15" s="34">
        <v>256</v>
      </c>
    </row>
    <row r="16" spans="1:5" x14ac:dyDescent="0.25">
      <c r="A16" s="4" t="s">
        <v>255</v>
      </c>
      <c r="B16" s="33">
        <v>192</v>
      </c>
      <c r="C16" s="33">
        <v>0</v>
      </c>
      <c r="D16" s="33">
        <v>0</v>
      </c>
      <c r="E16" s="34">
        <v>192</v>
      </c>
    </row>
    <row r="17" spans="1:5" x14ac:dyDescent="0.25">
      <c r="A17" s="4" t="s">
        <v>299</v>
      </c>
      <c r="B17" s="33">
        <v>98</v>
      </c>
      <c r="C17" s="33">
        <v>0</v>
      </c>
      <c r="D17" s="33">
        <v>0</v>
      </c>
      <c r="E17" s="34">
        <v>98</v>
      </c>
    </row>
    <row r="18" spans="1:5" x14ac:dyDescent="0.25">
      <c r="A18" s="4" t="s">
        <v>300</v>
      </c>
      <c r="B18" s="33">
        <v>201</v>
      </c>
      <c r="C18" s="33">
        <v>0</v>
      </c>
      <c r="D18" s="33">
        <v>0</v>
      </c>
      <c r="E18" s="34">
        <v>201</v>
      </c>
    </row>
    <row r="19" spans="1:5" x14ac:dyDescent="0.25">
      <c r="A19" s="4" t="s">
        <v>301</v>
      </c>
      <c r="B19" s="33">
        <v>28</v>
      </c>
      <c r="C19" s="33">
        <v>0</v>
      </c>
      <c r="D19" s="33">
        <v>0</v>
      </c>
      <c r="E19" s="34">
        <v>28</v>
      </c>
    </row>
    <row r="20" spans="1:5" x14ac:dyDescent="0.25">
      <c r="A20" s="4" t="s">
        <v>291</v>
      </c>
      <c r="B20" s="33">
        <v>281</v>
      </c>
      <c r="C20" s="33">
        <v>0</v>
      </c>
      <c r="D20" s="33">
        <v>0</v>
      </c>
      <c r="E20" s="34">
        <v>281</v>
      </c>
    </row>
    <row r="21" spans="1:5" x14ac:dyDescent="0.25">
      <c r="A21" s="4" t="s">
        <v>292</v>
      </c>
      <c r="B21" s="33">
        <v>223</v>
      </c>
      <c r="C21" s="33">
        <v>0</v>
      </c>
      <c r="D21" s="33">
        <v>0</v>
      </c>
      <c r="E21" s="34">
        <v>223</v>
      </c>
    </row>
    <row r="22" spans="1:5" x14ac:dyDescent="0.25">
      <c r="A22" s="4" t="s">
        <v>402</v>
      </c>
      <c r="B22" s="33">
        <v>65</v>
      </c>
      <c r="C22" s="33">
        <v>0</v>
      </c>
      <c r="D22" s="33">
        <v>0</v>
      </c>
      <c r="E22" s="34">
        <v>65</v>
      </c>
    </row>
    <row r="23" spans="1:5" x14ac:dyDescent="0.25">
      <c r="A23" s="4" t="s">
        <v>403</v>
      </c>
      <c r="B23" s="33">
        <v>71</v>
      </c>
      <c r="C23" s="33">
        <v>0</v>
      </c>
      <c r="D23" s="33">
        <v>0</v>
      </c>
      <c r="E23" s="34">
        <v>71</v>
      </c>
    </row>
    <row r="24" spans="1:5" x14ac:dyDescent="0.25">
      <c r="A24" s="4" t="s">
        <v>256</v>
      </c>
      <c r="B24" s="33">
        <v>126</v>
      </c>
      <c r="C24" s="33">
        <v>0</v>
      </c>
      <c r="D24" s="33">
        <v>0</v>
      </c>
      <c r="E24" s="34">
        <v>126</v>
      </c>
    </row>
    <row r="25" spans="1:5" x14ac:dyDescent="0.25">
      <c r="A25" s="4" t="s">
        <v>302</v>
      </c>
      <c r="B25" s="33">
        <v>29</v>
      </c>
      <c r="C25" s="33">
        <v>0</v>
      </c>
      <c r="D25" s="33">
        <v>0</v>
      </c>
      <c r="E25" s="34">
        <v>29</v>
      </c>
    </row>
    <row r="26" spans="1:5" x14ac:dyDescent="0.25">
      <c r="A26" s="4" t="s">
        <v>96</v>
      </c>
      <c r="B26" s="33">
        <v>166</v>
      </c>
      <c r="C26" s="33">
        <v>0</v>
      </c>
      <c r="D26" s="33">
        <v>0</v>
      </c>
      <c r="E26" s="34">
        <v>166</v>
      </c>
    </row>
    <row r="27" spans="1:5" x14ac:dyDescent="0.25">
      <c r="A27" s="4" t="s">
        <v>293</v>
      </c>
      <c r="B27" s="33">
        <v>101</v>
      </c>
      <c r="C27" s="33">
        <v>0</v>
      </c>
      <c r="D27" s="33">
        <v>0</v>
      </c>
      <c r="E27" s="34">
        <v>101</v>
      </c>
    </row>
    <row r="28" spans="1:5" x14ac:dyDescent="0.25">
      <c r="A28" s="4" t="s">
        <v>316</v>
      </c>
      <c r="B28" s="33">
        <v>441</v>
      </c>
      <c r="C28" s="33">
        <v>0</v>
      </c>
      <c r="D28" s="33">
        <v>0</v>
      </c>
      <c r="E28" s="34">
        <v>441</v>
      </c>
    </row>
    <row r="29" spans="1:5" x14ac:dyDescent="0.25">
      <c r="A29" s="4" t="s">
        <v>97</v>
      </c>
      <c r="B29" s="33">
        <v>14655</v>
      </c>
      <c r="C29" s="33">
        <v>0</v>
      </c>
      <c r="D29" s="33">
        <v>0</v>
      </c>
      <c r="E29" s="34">
        <v>14655</v>
      </c>
    </row>
    <row r="30" spans="1:5" x14ac:dyDescent="0.25">
      <c r="A30" s="4" t="s">
        <v>98</v>
      </c>
      <c r="B30" s="33">
        <v>534</v>
      </c>
      <c r="C30" s="33">
        <v>0</v>
      </c>
      <c r="D30" s="33">
        <v>0</v>
      </c>
      <c r="E30" s="34">
        <v>534</v>
      </c>
    </row>
    <row r="31" spans="1:5" x14ac:dyDescent="0.25">
      <c r="A31" s="4" t="s">
        <v>404</v>
      </c>
      <c r="B31" s="33">
        <v>32</v>
      </c>
      <c r="C31" s="33">
        <v>0</v>
      </c>
      <c r="D31" s="33">
        <v>0</v>
      </c>
      <c r="E31" s="34">
        <v>32</v>
      </c>
    </row>
    <row r="32" spans="1:5" x14ac:dyDescent="0.25">
      <c r="A32" s="4" t="s">
        <v>99</v>
      </c>
      <c r="B32" s="33">
        <v>100</v>
      </c>
      <c r="C32" s="33">
        <v>0</v>
      </c>
      <c r="D32" s="33">
        <v>0</v>
      </c>
      <c r="E32" s="34">
        <v>100</v>
      </c>
    </row>
    <row r="33" spans="1:5" x14ac:dyDescent="0.25">
      <c r="A33" s="4" t="s">
        <v>100</v>
      </c>
      <c r="B33" s="33">
        <v>57</v>
      </c>
      <c r="C33" s="33">
        <v>0</v>
      </c>
      <c r="D33" s="33">
        <v>0</v>
      </c>
      <c r="E33" s="34">
        <v>57</v>
      </c>
    </row>
    <row r="34" spans="1:5" x14ac:dyDescent="0.25">
      <c r="A34" s="4" t="s">
        <v>101</v>
      </c>
      <c r="B34" s="33">
        <v>342</v>
      </c>
      <c r="C34" s="33">
        <v>0</v>
      </c>
      <c r="D34" s="33">
        <v>0</v>
      </c>
      <c r="E34" s="34">
        <v>342</v>
      </c>
    </row>
    <row r="35" spans="1:5" x14ac:dyDescent="0.25">
      <c r="A35" s="4" t="s">
        <v>102</v>
      </c>
      <c r="B35" s="33">
        <v>174</v>
      </c>
      <c r="C35" s="33">
        <v>0</v>
      </c>
      <c r="D35" s="33">
        <v>0</v>
      </c>
      <c r="E35" s="34">
        <v>174</v>
      </c>
    </row>
    <row r="36" spans="1:5" x14ac:dyDescent="0.25">
      <c r="A36" s="4" t="s">
        <v>103</v>
      </c>
      <c r="B36" s="33">
        <v>447</v>
      </c>
      <c r="C36" s="33">
        <v>0</v>
      </c>
      <c r="D36" s="33">
        <v>0</v>
      </c>
      <c r="E36" s="34">
        <v>447</v>
      </c>
    </row>
    <row r="37" spans="1:5" x14ac:dyDescent="0.25">
      <c r="A37" s="4" t="s">
        <v>104</v>
      </c>
      <c r="B37" s="33">
        <v>133</v>
      </c>
      <c r="C37" s="33">
        <v>0</v>
      </c>
      <c r="D37" s="33">
        <v>0</v>
      </c>
      <c r="E37" s="34">
        <v>133</v>
      </c>
    </row>
    <row r="38" spans="1:5" x14ac:dyDescent="0.25">
      <c r="A38" s="4" t="s">
        <v>105</v>
      </c>
      <c r="B38" s="33">
        <v>52</v>
      </c>
      <c r="C38" s="33">
        <v>0</v>
      </c>
      <c r="D38" s="33">
        <v>0</v>
      </c>
      <c r="E38" s="34">
        <v>52</v>
      </c>
    </row>
    <row r="39" spans="1:5" x14ac:dyDescent="0.25">
      <c r="A39" s="4" t="s">
        <v>106</v>
      </c>
      <c r="B39" s="33">
        <v>6</v>
      </c>
      <c r="C39" s="33">
        <v>0</v>
      </c>
      <c r="D39" s="33">
        <v>0</v>
      </c>
      <c r="E39" s="34">
        <v>6</v>
      </c>
    </row>
    <row r="40" spans="1:5" x14ac:dyDescent="0.25">
      <c r="A40" s="4" t="s">
        <v>246</v>
      </c>
      <c r="B40" s="33">
        <v>1605</v>
      </c>
      <c r="C40" s="33">
        <v>0</v>
      </c>
      <c r="D40" s="33">
        <v>0</v>
      </c>
      <c r="E40" s="34">
        <v>1605</v>
      </c>
    </row>
    <row r="41" spans="1:5" x14ac:dyDescent="0.25">
      <c r="A41" s="4" t="s">
        <v>247</v>
      </c>
      <c r="B41" s="33">
        <v>1879</v>
      </c>
      <c r="C41" s="33">
        <v>0</v>
      </c>
      <c r="D41" s="33">
        <v>0</v>
      </c>
      <c r="E41" s="34">
        <v>1879</v>
      </c>
    </row>
    <row r="42" spans="1:5" x14ac:dyDescent="0.25">
      <c r="A42" s="4" t="s">
        <v>107</v>
      </c>
      <c r="B42" s="33">
        <v>9112</v>
      </c>
      <c r="C42" s="33">
        <v>0</v>
      </c>
      <c r="D42" s="33">
        <v>0</v>
      </c>
      <c r="E42" s="34">
        <v>9112</v>
      </c>
    </row>
    <row r="43" spans="1:5" x14ac:dyDescent="0.25">
      <c r="A43" s="4" t="s">
        <v>108</v>
      </c>
      <c r="B43" s="33">
        <v>486</v>
      </c>
      <c r="C43" s="33">
        <v>0</v>
      </c>
      <c r="D43" s="33">
        <v>0</v>
      </c>
      <c r="E43" s="34">
        <v>486</v>
      </c>
    </row>
    <row r="44" spans="1:5" x14ac:dyDescent="0.25">
      <c r="A44" s="4" t="s">
        <v>109</v>
      </c>
      <c r="B44" s="33">
        <v>164</v>
      </c>
      <c r="C44" s="33">
        <v>0</v>
      </c>
      <c r="D44" s="33">
        <v>0</v>
      </c>
      <c r="E44" s="34">
        <v>164</v>
      </c>
    </row>
    <row r="45" spans="1:5" x14ac:dyDescent="0.25">
      <c r="A45" s="4" t="s">
        <v>110</v>
      </c>
      <c r="B45" s="33">
        <v>21663</v>
      </c>
      <c r="C45" s="33">
        <v>0</v>
      </c>
      <c r="D45" s="33">
        <v>0</v>
      </c>
      <c r="E45" s="34">
        <v>21663</v>
      </c>
    </row>
    <row r="46" spans="1:5" x14ac:dyDescent="0.25">
      <c r="A46" s="4" t="s">
        <v>317</v>
      </c>
      <c r="B46" s="33">
        <v>662</v>
      </c>
      <c r="C46" s="33">
        <v>0</v>
      </c>
      <c r="D46" s="33">
        <v>0</v>
      </c>
      <c r="E46" s="34">
        <v>662</v>
      </c>
    </row>
    <row r="47" spans="1:5" x14ac:dyDescent="0.25">
      <c r="A47" s="4" t="s">
        <v>248</v>
      </c>
      <c r="B47" s="33">
        <v>70</v>
      </c>
      <c r="C47" s="33">
        <v>0</v>
      </c>
      <c r="D47" s="33">
        <v>0</v>
      </c>
      <c r="E47" s="34">
        <v>70</v>
      </c>
    </row>
    <row r="48" spans="1:5" x14ac:dyDescent="0.25">
      <c r="A48" s="4" t="s">
        <v>111</v>
      </c>
      <c r="B48" s="33">
        <v>3873</v>
      </c>
      <c r="C48" s="33">
        <v>0</v>
      </c>
      <c r="D48" s="33">
        <v>0</v>
      </c>
      <c r="E48" s="34">
        <v>3873</v>
      </c>
    </row>
    <row r="49" spans="1:5" x14ac:dyDescent="0.25">
      <c r="A49" s="4" t="s">
        <v>112</v>
      </c>
      <c r="B49" s="33">
        <v>1330</v>
      </c>
      <c r="C49" s="33">
        <v>0</v>
      </c>
      <c r="D49" s="33">
        <v>0</v>
      </c>
      <c r="E49" s="34">
        <v>1330</v>
      </c>
    </row>
    <row r="50" spans="1:5" x14ac:dyDescent="0.25">
      <c r="A50" s="4" t="s">
        <v>113</v>
      </c>
      <c r="B50" s="33">
        <v>167</v>
      </c>
      <c r="C50" s="33">
        <v>0</v>
      </c>
      <c r="D50" s="33">
        <v>0</v>
      </c>
      <c r="E50" s="34">
        <v>167</v>
      </c>
    </row>
    <row r="51" spans="1:5" x14ac:dyDescent="0.25">
      <c r="A51" s="4" t="s">
        <v>114</v>
      </c>
      <c r="B51" s="33">
        <v>2170</v>
      </c>
      <c r="C51" s="33">
        <v>0</v>
      </c>
      <c r="D51" s="33">
        <v>0</v>
      </c>
      <c r="E51" s="34">
        <v>2170</v>
      </c>
    </row>
    <row r="52" spans="1:5" x14ac:dyDescent="0.25">
      <c r="A52" s="4" t="s">
        <v>115</v>
      </c>
      <c r="B52" s="33">
        <v>20628</v>
      </c>
      <c r="C52" s="33">
        <v>0</v>
      </c>
      <c r="D52" s="33">
        <v>0</v>
      </c>
      <c r="E52" s="34">
        <v>20628</v>
      </c>
    </row>
    <row r="53" spans="1:5" x14ac:dyDescent="0.25">
      <c r="A53" s="4" t="s">
        <v>318</v>
      </c>
      <c r="B53" s="33">
        <v>72</v>
      </c>
      <c r="C53" s="33">
        <v>0</v>
      </c>
      <c r="D53" s="33">
        <v>0</v>
      </c>
      <c r="E53" s="34">
        <v>72</v>
      </c>
    </row>
    <row r="54" spans="1:5" x14ac:dyDescent="0.25">
      <c r="A54" s="4" t="s">
        <v>241</v>
      </c>
      <c r="B54" s="33">
        <v>24</v>
      </c>
      <c r="C54" s="33">
        <v>0</v>
      </c>
      <c r="D54" s="33">
        <v>0</v>
      </c>
      <c r="E54" s="34">
        <v>24</v>
      </c>
    </row>
    <row r="55" spans="1:5" x14ac:dyDescent="0.25">
      <c r="A55" s="4" t="s">
        <v>303</v>
      </c>
      <c r="B55" s="33">
        <v>407</v>
      </c>
      <c r="C55" s="33">
        <v>0</v>
      </c>
      <c r="D55" s="33">
        <v>0</v>
      </c>
      <c r="E55" s="34">
        <v>407</v>
      </c>
    </row>
    <row r="56" spans="1:5" x14ac:dyDescent="0.25">
      <c r="A56" s="4" t="s">
        <v>116</v>
      </c>
      <c r="B56" s="33">
        <v>176</v>
      </c>
      <c r="C56" s="33">
        <v>0</v>
      </c>
      <c r="D56" s="33">
        <v>0</v>
      </c>
      <c r="E56" s="34">
        <v>176</v>
      </c>
    </row>
    <row r="57" spans="1:5" x14ac:dyDescent="0.25">
      <c r="A57" s="4" t="s">
        <v>249</v>
      </c>
      <c r="B57" s="33">
        <v>1</v>
      </c>
      <c r="C57" s="33">
        <v>0</v>
      </c>
      <c r="D57" s="33">
        <v>0</v>
      </c>
      <c r="E57" s="34">
        <v>1</v>
      </c>
    </row>
    <row r="58" spans="1:5" x14ac:dyDescent="0.25">
      <c r="A58" s="4" t="s">
        <v>117</v>
      </c>
      <c r="B58" s="33">
        <v>95</v>
      </c>
      <c r="C58" s="33">
        <v>0</v>
      </c>
      <c r="D58" s="33">
        <v>0</v>
      </c>
      <c r="E58" s="34">
        <v>95</v>
      </c>
    </row>
    <row r="59" spans="1:5" x14ac:dyDescent="0.25">
      <c r="A59" s="4" t="s">
        <v>118</v>
      </c>
      <c r="B59" s="33">
        <v>576</v>
      </c>
      <c r="C59" s="33">
        <v>0</v>
      </c>
      <c r="D59" s="33">
        <v>0</v>
      </c>
      <c r="E59" s="34">
        <v>576</v>
      </c>
    </row>
    <row r="60" spans="1:5" x14ac:dyDescent="0.25">
      <c r="A60" s="4" t="s">
        <v>319</v>
      </c>
      <c r="B60" s="33">
        <v>5915</v>
      </c>
      <c r="C60" s="33">
        <v>0</v>
      </c>
      <c r="D60" s="33">
        <v>0</v>
      </c>
      <c r="E60" s="34">
        <v>5915</v>
      </c>
    </row>
    <row r="61" spans="1:5" x14ac:dyDescent="0.25">
      <c r="A61" s="4" t="s">
        <v>119</v>
      </c>
      <c r="B61" s="33">
        <v>8304</v>
      </c>
      <c r="C61" s="33">
        <v>0</v>
      </c>
      <c r="D61" s="33">
        <v>0</v>
      </c>
      <c r="E61" s="34">
        <v>8304</v>
      </c>
    </row>
    <row r="62" spans="1:5" x14ac:dyDescent="0.25">
      <c r="A62" s="4" t="s">
        <v>120</v>
      </c>
      <c r="B62" s="33">
        <v>1127</v>
      </c>
      <c r="C62" s="33">
        <v>0</v>
      </c>
      <c r="D62" s="33">
        <v>0</v>
      </c>
      <c r="E62" s="34">
        <v>1127</v>
      </c>
    </row>
    <row r="63" spans="1:5" x14ac:dyDescent="0.25">
      <c r="A63" s="4" t="s">
        <v>121</v>
      </c>
      <c r="B63" s="33">
        <v>140</v>
      </c>
      <c r="C63" s="33">
        <v>0</v>
      </c>
      <c r="D63" s="33">
        <v>0</v>
      </c>
      <c r="E63" s="34">
        <v>140</v>
      </c>
    </row>
    <row r="64" spans="1:5" x14ac:dyDescent="0.25">
      <c r="A64" s="4" t="s">
        <v>122</v>
      </c>
      <c r="B64" s="33">
        <v>160</v>
      </c>
      <c r="C64" s="33">
        <v>0</v>
      </c>
      <c r="D64" s="33">
        <v>21</v>
      </c>
      <c r="E64" s="34">
        <v>181</v>
      </c>
    </row>
    <row r="65" spans="1:5" x14ac:dyDescent="0.25">
      <c r="A65" s="4" t="s">
        <v>123</v>
      </c>
      <c r="B65" s="33">
        <v>895</v>
      </c>
      <c r="C65" s="33">
        <v>0</v>
      </c>
      <c r="D65" s="33">
        <v>0</v>
      </c>
      <c r="E65" s="34">
        <v>895</v>
      </c>
    </row>
    <row r="66" spans="1:5" x14ac:dyDescent="0.25">
      <c r="A66" s="4" t="s">
        <v>244</v>
      </c>
      <c r="B66" s="33">
        <v>4378</v>
      </c>
      <c r="C66" s="33">
        <v>0</v>
      </c>
      <c r="D66" s="33">
        <v>394</v>
      </c>
      <c r="E66" s="34">
        <v>4772</v>
      </c>
    </row>
    <row r="67" spans="1:5" x14ac:dyDescent="0.25">
      <c r="A67" s="4" t="s">
        <v>124</v>
      </c>
      <c r="B67" s="33">
        <v>94</v>
      </c>
      <c r="C67" s="33">
        <v>0</v>
      </c>
      <c r="D67" s="33">
        <v>0</v>
      </c>
      <c r="E67" s="34">
        <v>94</v>
      </c>
    </row>
    <row r="68" spans="1:5" x14ac:dyDescent="0.25">
      <c r="A68" s="4" t="s">
        <v>125</v>
      </c>
      <c r="B68" s="33">
        <v>1348</v>
      </c>
      <c r="C68" s="33">
        <v>0</v>
      </c>
      <c r="D68" s="33">
        <v>0</v>
      </c>
      <c r="E68" s="34">
        <v>1348</v>
      </c>
    </row>
    <row r="69" spans="1:5" x14ac:dyDescent="0.25">
      <c r="A69" s="4" t="s">
        <v>257</v>
      </c>
      <c r="B69" s="33">
        <v>70</v>
      </c>
      <c r="C69" s="33">
        <v>0</v>
      </c>
      <c r="D69" s="33">
        <v>0</v>
      </c>
      <c r="E69" s="34">
        <v>70</v>
      </c>
    </row>
    <row r="70" spans="1:5" x14ac:dyDescent="0.25">
      <c r="A70" s="4" t="s">
        <v>126</v>
      </c>
      <c r="B70" s="33">
        <v>2618</v>
      </c>
      <c r="C70" s="33">
        <v>0</v>
      </c>
      <c r="D70" s="33">
        <v>0</v>
      </c>
      <c r="E70" s="34">
        <v>2618</v>
      </c>
    </row>
    <row r="71" spans="1:5" x14ac:dyDescent="0.25">
      <c r="A71" s="4" t="s">
        <v>405</v>
      </c>
      <c r="B71" s="33">
        <v>270</v>
      </c>
      <c r="C71" s="33">
        <v>0</v>
      </c>
      <c r="D71" s="33">
        <v>0</v>
      </c>
      <c r="E71" s="34">
        <v>270</v>
      </c>
    </row>
    <row r="72" spans="1:5" x14ac:dyDescent="0.25">
      <c r="A72" s="4" t="s">
        <v>127</v>
      </c>
      <c r="B72" s="33">
        <v>3888</v>
      </c>
      <c r="C72" s="33">
        <v>0</v>
      </c>
      <c r="D72" s="33">
        <v>0</v>
      </c>
      <c r="E72" s="34">
        <v>3888</v>
      </c>
    </row>
    <row r="73" spans="1:5" x14ac:dyDescent="0.25">
      <c r="A73" s="4" t="s">
        <v>128</v>
      </c>
      <c r="B73" s="33">
        <v>3665</v>
      </c>
      <c r="C73" s="33">
        <v>1642</v>
      </c>
      <c r="D73" s="33">
        <v>10037</v>
      </c>
      <c r="E73" s="34">
        <v>15344</v>
      </c>
    </row>
    <row r="74" spans="1:5" x14ac:dyDescent="0.25">
      <c r="A74" s="4" t="s">
        <v>129</v>
      </c>
      <c r="B74" s="33">
        <v>2523</v>
      </c>
      <c r="C74" s="33">
        <v>790</v>
      </c>
      <c r="D74" s="33">
        <v>528</v>
      </c>
      <c r="E74" s="34">
        <v>3841</v>
      </c>
    </row>
    <row r="75" spans="1:5" x14ac:dyDescent="0.25">
      <c r="A75" s="4" t="s">
        <v>130</v>
      </c>
      <c r="B75" s="33">
        <v>867</v>
      </c>
      <c r="C75" s="33">
        <v>34</v>
      </c>
      <c r="D75" s="33">
        <v>0</v>
      </c>
      <c r="E75" s="34">
        <v>901</v>
      </c>
    </row>
    <row r="76" spans="1:5" x14ac:dyDescent="0.25">
      <c r="A76" s="4" t="s">
        <v>131</v>
      </c>
      <c r="B76" s="33">
        <v>1944</v>
      </c>
      <c r="C76" s="33">
        <v>2043</v>
      </c>
      <c r="D76" s="33">
        <v>2914</v>
      </c>
      <c r="E76" s="34">
        <v>6901</v>
      </c>
    </row>
    <row r="77" spans="1:5" x14ac:dyDescent="0.25">
      <c r="A77" s="4" t="s">
        <v>132</v>
      </c>
      <c r="B77" s="33">
        <v>433</v>
      </c>
      <c r="C77" s="33">
        <v>52</v>
      </c>
      <c r="D77" s="33">
        <v>12</v>
      </c>
      <c r="E77" s="34">
        <v>497</v>
      </c>
    </row>
    <row r="78" spans="1:5" x14ac:dyDescent="0.25">
      <c r="A78" s="4" t="s">
        <v>133</v>
      </c>
      <c r="B78" s="33">
        <v>1127</v>
      </c>
      <c r="C78" s="33">
        <v>334</v>
      </c>
      <c r="D78" s="33">
        <v>962</v>
      </c>
      <c r="E78" s="34">
        <v>2423</v>
      </c>
    </row>
    <row r="79" spans="1:5" x14ac:dyDescent="0.25">
      <c r="A79" s="4" t="s">
        <v>134</v>
      </c>
      <c r="B79" s="33">
        <v>8801</v>
      </c>
      <c r="C79" s="33">
        <v>4040</v>
      </c>
      <c r="D79" s="33">
        <v>846</v>
      </c>
      <c r="E79" s="34">
        <v>13687</v>
      </c>
    </row>
    <row r="80" spans="1:5" x14ac:dyDescent="0.25">
      <c r="A80" s="4" t="s">
        <v>135</v>
      </c>
      <c r="B80" s="33">
        <v>1982</v>
      </c>
      <c r="C80" s="33">
        <v>100</v>
      </c>
      <c r="D80" s="33">
        <v>1</v>
      </c>
      <c r="E80" s="34">
        <v>2083</v>
      </c>
    </row>
    <row r="81" spans="1:5" x14ac:dyDescent="0.25">
      <c r="A81" s="4" t="s">
        <v>136</v>
      </c>
      <c r="B81" s="33">
        <v>2679</v>
      </c>
      <c r="C81" s="33">
        <v>221</v>
      </c>
      <c r="D81" s="33">
        <v>80</v>
      </c>
      <c r="E81" s="34">
        <v>2980</v>
      </c>
    </row>
    <row r="82" spans="1:5" x14ac:dyDescent="0.25">
      <c r="A82" s="4" t="s">
        <v>137</v>
      </c>
      <c r="B82" s="33">
        <v>3636</v>
      </c>
      <c r="C82" s="33">
        <v>114</v>
      </c>
      <c r="D82" s="33">
        <v>5766</v>
      </c>
      <c r="E82" s="34">
        <v>9516</v>
      </c>
    </row>
    <row r="83" spans="1:5" x14ac:dyDescent="0.25">
      <c r="A83" s="4" t="s">
        <v>138</v>
      </c>
      <c r="B83" s="33">
        <v>1216</v>
      </c>
      <c r="C83" s="33">
        <v>267</v>
      </c>
      <c r="D83" s="33">
        <v>383</v>
      </c>
      <c r="E83" s="34">
        <v>1866</v>
      </c>
    </row>
    <row r="84" spans="1:5" x14ac:dyDescent="0.25">
      <c r="A84" s="4" t="s">
        <v>139</v>
      </c>
      <c r="B84" s="33">
        <v>323</v>
      </c>
      <c r="C84" s="33">
        <v>1</v>
      </c>
      <c r="D84" s="33">
        <v>3</v>
      </c>
      <c r="E84" s="34">
        <v>327</v>
      </c>
    </row>
    <row r="85" spans="1:5" x14ac:dyDescent="0.25">
      <c r="A85" s="4" t="s">
        <v>245</v>
      </c>
      <c r="B85" s="33">
        <v>1136</v>
      </c>
      <c r="C85" s="33">
        <v>9</v>
      </c>
      <c r="D85" s="33">
        <v>0</v>
      </c>
      <c r="E85" s="34">
        <v>1145</v>
      </c>
    </row>
    <row r="86" spans="1:5" x14ac:dyDescent="0.25">
      <c r="A86" s="4" t="s">
        <v>140</v>
      </c>
      <c r="B86" s="33">
        <v>2623</v>
      </c>
      <c r="C86" s="33">
        <v>162</v>
      </c>
      <c r="D86" s="33">
        <v>816</v>
      </c>
      <c r="E86" s="34">
        <v>3601</v>
      </c>
    </row>
    <row r="87" spans="1:5" x14ac:dyDescent="0.25">
      <c r="A87" s="4" t="s">
        <v>141</v>
      </c>
      <c r="B87" s="33">
        <v>1608</v>
      </c>
      <c r="C87" s="33">
        <v>77</v>
      </c>
      <c r="D87" s="33">
        <v>1165</v>
      </c>
      <c r="E87" s="34">
        <v>2850</v>
      </c>
    </row>
    <row r="88" spans="1:5" x14ac:dyDescent="0.25">
      <c r="A88" s="4" t="s">
        <v>142</v>
      </c>
      <c r="B88" s="33">
        <v>1714</v>
      </c>
      <c r="C88" s="33">
        <v>208</v>
      </c>
      <c r="D88" s="33">
        <v>469</v>
      </c>
      <c r="E88" s="34">
        <v>2391</v>
      </c>
    </row>
    <row r="89" spans="1:5" x14ac:dyDescent="0.25">
      <c r="A89" s="4" t="s">
        <v>143</v>
      </c>
      <c r="B89" s="33">
        <v>1693</v>
      </c>
      <c r="C89" s="33">
        <v>222</v>
      </c>
      <c r="D89" s="33">
        <v>274</v>
      </c>
      <c r="E89" s="34">
        <v>2189</v>
      </c>
    </row>
    <row r="90" spans="1:5" x14ac:dyDescent="0.25">
      <c r="A90" s="4" t="s">
        <v>144</v>
      </c>
      <c r="B90" s="33">
        <v>2293</v>
      </c>
      <c r="C90" s="33">
        <v>669</v>
      </c>
      <c r="D90" s="33">
        <v>3192</v>
      </c>
      <c r="E90" s="34">
        <v>6154</v>
      </c>
    </row>
    <row r="91" spans="1:5" x14ac:dyDescent="0.25">
      <c r="A91" s="4" t="s">
        <v>145</v>
      </c>
      <c r="B91" s="33">
        <v>1101</v>
      </c>
      <c r="C91" s="33">
        <v>24</v>
      </c>
      <c r="D91" s="33">
        <v>0</v>
      </c>
      <c r="E91" s="34">
        <v>1125</v>
      </c>
    </row>
    <row r="92" spans="1:5" x14ac:dyDescent="0.25">
      <c r="A92" s="4" t="s">
        <v>146</v>
      </c>
      <c r="B92" s="33">
        <v>1046</v>
      </c>
      <c r="C92" s="33">
        <v>22</v>
      </c>
      <c r="D92" s="33">
        <v>9</v>
      </c>
      <c r="E92" s="34">
        <v>1077</v>
      </c>
    </row>
    <row r="93" spans="1:5" x14ac:dyDescent="0.25">
      <c r="A93" s="4" t="s">
        <v>406</v>
      </c>
      <c r="B93" s="33">
        <v>1</v>
      </c>
      <c r="C93" s="33">
        <v>55</v>
      </c>
      <c r="D93" s="33">
        <v>0</v>
      </c>
      <c r="E93" s="34">
        <v>56</v>
      </c>
    </row>
    <row r="94" spans="1:5" x14ac:dyDescent="0.25">
      <c r="A94" s="4" t="s">
        <v>147</v>
      </c>
      <c r="B94" s="33">
        <v>860</v>
      </c>
      <c r="C94" s="33">
        <v>272</v>
      </c>
      <c r="D94" s="33">
        <v>0</v>
      </c>
      <c r="E94" s="34">
        <v>1132</v>
      </c>
    </row>
    <row r="95" spans="1:5" x14ac:dyDescent="0.25">
      <c r="A95" s="4" t="s">
        <v>148</v>
      </c>
      <c r="B95" s="33">
        <v>1531</v>
      </c>
      <c r="C95" s="33">
        <v>12</v>
      </c>
      <c r="D95" s="33">
        <v>30</v>
      </c>
      <c r="E95" s="34">
        <v>1573</v>
      </c>
    </row>
    <row r="96" spans="1:5" x14ac:dyDescent="0.25">
      <c r="A96" s="4" t="s">
        <v>294</v>
      </c>
      <c r="B96" s="33">
        <v>77</v>
      </c>
      <c r="C96" s="33">
        <v>0</v>
      </c>
      <c r="D96" s="33">
        <v>0</v>
      </c>
      <c r="E96" s="34">
        <v>77</v>
      </c>
    </row>
    <row r="97" spans="1:5" x14ac:dyDescent="0.25">
      <c r="A97" s="4" t="s">
        <v>149</v>
      </c>
      <c r="B97" s="33">
        <v>5343</v>
      </c>
      <c r="C97" s="33">
        <v>2141</v>
      </c>
      <c r="D97" s="33">
        <v>4489</v>
      </c>
      <c r="E97" s="34">
        <v>11973</v>
      </c>
    </row>
    <row r="98" spans="1:5" x14ac:dyDescent="0.25">
      <c r="A98" s="4" t="s">
        <v>150</v>
      </c>
      <c r="B98" s="33">
        <v>3646</v>
      </c>
      <c r="C98" s="33">
        <v>558</v>
      </c>
      <c r="D98" s="33">
        <v>530</v>
      </c>
      <c r="E98" s="34">
        <v>4734</v>
      </c>
    </row>
    <row r="99" spans="1:5" x14ac:dyDescent="0.25">
      <c r="A99" s="4" t="s">
        <v>151</v>
      </c>
      <c r="B99" s="33">
        <v>1343</v>
      </c>
      <c r="C99" s="33">
        <v>183</v>
      </c>
      <c r="D99" s="33">
        <v>82</v>
      </c>
      <c r="E99" s="34">
        <v>1608</v>
      </c>
    </row>
    <row r="100" spans="1:5" x14ac:dyDescent="0.25">
      <c r="A100" s="4" t="s">
        <v>152</v>
      </c>
      <c r="B100" s="33">
        <v>1412</v>
      </c>
      <c r="C100" s="33">
        <v>39</v>
      </c>
      <c r="D100" s="33">
        <v>10</v>
      </c>
      <c r="E100" s="34">
        <v>1461</v>
      </c>
    </row>
    <row r="101" spans="1:5" x14ac:dyDescent="0.25">
      <c r="A101" s="4" t="s">
        <v>153</v>
      </c>
      <c r="B101" s="33">
        <v>4161</v>
      </c>
      <c r="C101" s="33">
        <v>107</v>
      </c>
      <c r="D101" s="33">
        <v>1895</v>
      </c>
      <c r="E101" s="34">
        <v>6163</v>
      </c>
    </row>
    <row r="102" spans="1:5" x14ac:dyDescent="0.25">
      <c r="A102" s="4" t="s">
        <v>154</v>
      </c>
      <c r="B102" s="33">
        <v>1318</v>
      </c>
      <c r="C102" s="33">
        <v>543</v>
      </c>
      <c r="D102" s="33">
        <v>4364</v>
      </c>
      <c r="E102" s="34">
        <v>6225</v>
      </c>
    </row>
    <row r="103" spans="1:5" x14ac:dyDescent="0.25">
      <c r="A103" s="4" t="s">
        <v>155</v>
      </c>
      <c r="B103" s="33">
        <v>1633</v>
      </c>
      <c r="C103" s="33">
        <v>28</v>
      </c>
      <c r="D103" s="33">
        <v>0</v>
      </c>
      <c r="E103" s="34">
        <v>1661</v>
      </c>
    </row>
    <row r="104" spans="1:5" x14ac:dyDescent="0.25">
      <c r="A104" s="4" t="s">
        <v>156</v>
      </c>
      <c r="B104" s="33">
        <v>459</v>
      </c>
      <c r="C104" s="33">
        <v>0</v>
      </c>
      <c r="D104" s="33">
        <v>0</v>
      </c>
      <c r="E104" s="34">
        <v>459</v>
      </c>
    </row>
    <row r="105" spans="1:5" x14ac:dyDescent="0.25">
      <c r="A105" s="4" t="s">
        <v>295</v>
      </c>
      <c r="B105" s="33">
        <v>579</v>
      </c>
      <c r="C105" s="33">
        <v>11</v>
      </c>
      <c r="D105" s="33">
        <v>0</v>
      </c>
      <c r="E105" s="34">
        <v>590</v>
      </c>
    </row>
    <row r="106" spans="1:5" x14ac:dyDescent="0.25">
      <c r="A106" s="4" t="s">
        <v>157</v>
      </c>
      <c r="B106" s="33">
        <v>1002</v>
      </c>
      <c r="C106" s="33">
        <v>99</v>
      </c>
      <c r="D106" s="33">
        <v>43</v>
      </c>
      <c r="E106" s="34">
        <v>1144</v>
      </c>
    </row>
    <row r="107" spans="1:5" x14ac:dyDescent="0.25">
      <c r="A107" s="4" t="s">
        <v>158</v>
      </c>
      <c r="B107" s="33">
        <v>3459</v>
      </c>
      <c r="C107" s="33">
        <v>554</v>
      </c>
      <c r="D107" s="33">
        <v>2446</v>
      </c>
      <c r="E107" s="34">
        <v>6459</v>
      </c>
    </row>
    <row r="108" spans="1:5" x14ac:dyDescent="0.25">
      <c r="A108" s="4" t="s">
        <v>159</v>
      </c>
      <c r="B108" s="33">
        <v>1509</v>
      </c>
      <c r="C108" s="33">
        <v>205</v>
      </c>
      <c r="D108" s="33">
        <v>202</v>
      </c>
      <c r="E108" s="34">
        <v>1916</v>
      </c>
    </row>
    <row r="109" spans="1:5" x14ac:dyDescent="0.25">
      <c r="A109" s="4" t="s">
        <v>160</v>
      </c>
      <c r="B109" s="33">
        <v>1457</v>
      </c>
      <c r="C109" s="33">
        <v>101</v>
      </c>
      <c r="D109" s="33">
        <v>0</v>
      </c>
      <c r="E109" s="34">
        <v>1558</v>
      </c>
    </row>
    <row r="110" spans="1:5" x14ac:dyDescent="0.25">
      <c r="A110" s="4" t="s">
        <v>161</v>
      </c>
      <c r="B110" s="33">
        <v>2260</v>
      </c>
      <c r="C110" s="33">
        <v>230</v>
      </c>
      <c r="D110" s="33">
        <v>258</v>
      </c>
      <c r="E110" s="34">
        <v>2748</v>
      </c>
    </row>
    <row r="111" spans="1:5" x14ac:dyDescent="0.25">
      <c r="A111" s="4" t="s">
        <v>162</v>
      </c>
      <c r="B111" s="33">
        <v>1355</v>
      </c>
      <c r="C111" s="33">
        <v>172</v>
      </c>
      <c r="D111" s="33">
        <v>48</v>
      </c>
      <c r="E111" s="34">
        <v>1575</v>
      </c>
    </row>
    <row r="112" spans="1:5" x14ac:dyDescent="0.25">
      <c r="A112" s="4" t="s">
        <v>304</v>
      </c>
      <c r="B112" s="33">
        <v>731</v>
      </c>
      <c r="C112" s="33">
        <v>11</v>
      </c>
      <c r="D112" s="33">
        <v>13</v>
      </c>
      <c r="E112" s="34">
        <v>755</v>
      </c>
    </row>
    <row r="113" spans="1:5" x14ac:dyDescent="0.25">
      <c r="A113" s="4" t="s">
        <v>163</v>
      </c>
      <c r="B113" s="33">
        <v>1910</v>
      </c>
      <c r="C113" s="33">
        <v>140</v>
      </c>
      <c r="D113" s="33">
        <v>232</v>
      </c>
      <c r="E113" s="34">
        <v>2282</v>
      </c>
    </row>
    <row r="114" spans="1:5" x14ac:dyDescent="0.25">
      <c r="A114" s="4" t="s">
        <v>164</v>
      </c>
      <c r="B114" s="33">
        <v>2303</v>
      </c>
      <c r="C114" s="33">
        <v>546</v>
      </c>
      <c r="D114" s="33">
        <v>8936</v>
      </c>
      <c r="E114" s="34">
        <v>11785</v>
      </c>
    </row>
    <row r="115" spans="1:5" x14ac:dyDescent="0.25">
      <c r="A115" s="4" t="s">
        <v>165</v>
      </c>
      <c r="B115" s="33">
        <v>2870</v>
      </c>
      <c r="C115" s="33">
        <v>740</v>
      </c>
      <c r="D115" s="33">
        <v>2229</v>
      </c>
      <c r="E115" s="34">
        <v>5839</v>
      </c>
    </row>
    <row r="116" spans="1:5" x14ac:dyDescent="0.25">
      <c r="A116" s="4" t="s">
        <v>166</v>
      </c>
      <c r="B116" s="33">
        <v>1008</v>
      </c>
      <c r="C116" s="33">
        <v>490</v>
      </c>
      <c r="D116" s="33">
        <v>524</v>
      </c>
      <c r="E116" s="34">
        <v>2022</v>
      </c>
    </row>
    <row r="117" spans="1:5" x14ac:dyDescent="0.25">
      <c r="A117" s="4" t="s">
        <v>167</v>
      </c>
      <c r="B117" s="33">
        <v>339</v>
      </c>
      <c r="C117" s="33">
        <v>89</v>
      </c>
      <c r="D117" s="33">
        <v>241</v>
      </c>
      <c r="E117" s="34">
        <v>669</v>
      </c>
    </row>
    <row r="118" spans="1:5" x14ac:dyDescent="0.25">
      <c r="A118" s="4" t="s">
        <v>407</v>
      </c>
      <c r="B118" s="33">
        <v>81</v>
      </c>
      <c r="C118" s="33">
        <v>0</v>
      </c>
      <c r="D118" s="33">
        <v>0</v>
      </c>
      <c r="E118" s="34">
        <v>81</v>
      </c>
    </row>
    <row r="119" spans="1:5" x14ac:dyDescent="0.25">
      <c r="A119" s="4" t="s">
        <v>305</v>
      </c>
      <c r="B119" s="33">
        <v>394</v>
      </c>
      <c r="C119" s="33">
        <v>7</v>
      </c>
      <c r="D119" s="33">
        <v>0</v>
      </c>
      <c r="E119" s="34">
        <v>401</v>
      </c>
    </row>
    <row r="120" spans="1:5" x14ac:dyDescent="0.25">
      <c r="A120" s="4" t="s">
        <v>168</v>
      </c>
      <c r="B120" s="33">
        <v>4</v>
      </c>
      <c r="C120" s="33">
        <v>0</v>
      </c>
      <c r="D120" s="33">
        <v>0</v>
      </c>
      <c r="E120" s="34">
        <v>4</v>
      </c>
    </row>
    <row r="121" spans="1:5" x14ac:dyDescent="0.25">
      <c r="A121" s="4" t="s">
        <v>169</v>
      </c>
      <c r="B121" s="33">
        <v>3419</v>
      </c>
      <c r="C121" s="33">
        <v>695</v>
      </c>
      <c r="D121" s="33">
        <v>595</v>
      </c>
      <c r="E121" s="34">
        <v>4709</v>
      </c>
    </row>
    <row r="122" spans="1:5" x14ac:dyDescent="0.25">
      <c r="A122" s="4" t="s">
        <v>170</v>
      </c>
      <c r="B122" s="33">
        <v>460</v>
      </c>
      <c r="C122" s="33">
        <v>30</v>
      </c>
      <c r="D122" s="33">
        <v>248</v>
      </c>
      <c r="E122" s="34">
        <v>738</v>
      </c>
    </row>
    <row r="123" spans="1:5" x14ac:dyDescent="0.25">
      <c r="A123" s="4" t="s">
        <v>171</v>
      </c>
      <c r="B123" s="33">
        <v>178</v>
      </c>
      <c r="C123" s="33">
        <v>333</v>
      </c>
      <c r="D123" s="33">
        <v>565</v>
      </c>
      <c r="E123" s="34">
        <v>1076</v>
      </c>
    </row>
    <row r="124" spans="1:5" x14ac:dyDescent="0.25">
      <c r="A124" s="4" t="s">
        <v>172</v>
      </c>
      <c r="B124" s="33">
        <v>6029</v>
      </c>
      <c r="C124" s="33">
        <v>942</v>
      </c>
      <c r="D124" s="33">
        <v>653</v>
      </c>
      <c r="E124" s="34">
        <v>7624</v>
      </c>
    </row>
    <row r="125" spans="1:5" x14ac:dyDescent="0.25">
      <c r="A125" s="4" t="s">
        <v>173</v>
      </c>
      <c r="B125" s="33">
        <v>3163</v>
      </c>
      <c r="C125" s="33">
        <v>67</v>
      </c>
      <c r="D125" s="33">
        <v>0</v>
      </c>
      <c r="E125" s="34">
        <v>3230</v>
      </c>
    </row>
    <row r="126" spans="1:5" x14ac:dyDescent="0.25">
      <c r="A126" s="4" t="s">
        <v>174</v>
      </c>
      <c r="B126" s="33">
        <v>661</v>
      </c>
      <c r="C126" s="33">
        <v>70</v>
      </c>
      <c r="D126" s="33">
        <v>0</v>
      </c>
      <c r="E126" s="34">
        <v>731</v>
      </c>
    </row>
    <row r="127" spans="1:5" x14ac:dyDescent="0.25">
      <c r="A127" s="4" t="s">
        <v>175</v>
      </c>
      <c r="B127" s="33">
        <v>2873</v>
      </c>
      <c r="C127" s="33">
        <v>340</v>
      </c>
      <c r="D127" s="33">
        <v>290</v>
      </c>
      <c r="E127" s="34">
        <v>3503</v>
      </c>
    </row>
    <row r="128" spans="1:5" x14ac:dyDescent="0.25">
      <c r="A128" s="4" t="s">
        <v>176</v>
      </c>
      <c r="B128" s="33">
        <v>2571</v>
      </c>
      <c r="C128" s="33">
        <v>1</v>
      </c>
      <c r="D128" s="33">
        <v>2</v>
      </c>
      <c r="E128" s="34">
        <v>2574</v>
      </c>
    </row>
    <row r="129" spans="1:5" x14ac:dyDescent="0.25">
      <c r="A129" s="4" t="s">
        <v>177</v>
      </c>
      <c r="B129" s="33">
        <v>1571</v>
      </c>
      <c r="C129" s="33">
        <v>33</v>
      </c>
      <c r="D129" s="33">
        <v>228</v>
      </c>
      <c r="E129" s="34">
        <v>1832</v>
      </c>
    </row>
    <row r="130" spans="1:5" x14ac:dyDescent="0.25">
      <c r="A130" s="5" t="s">
        <v>4</v>
      </c>
      <c r="B130" s="34">
        <f>SUM(B5:B129)</f>
        <v>224817</v>
      </c>
      <c r="C130" s="34">
        <f t="shared" ref="C130:E130" si="0">SUM(C5:C129)</f>
        <v>20875</v>
      </c>
      <c r="D130" s="34">
        <f t="shared" si="0"/>
        <v>57040</v>
      </c>
      <c r="E130" s="34">
        <f t="shared" si="0"/>
        <v>302732</v>
      </c>
    </row>
    <row r="131" spans="1:5" x14ac:dyDescent="0.25">
      <c r="B131" s="36"/>
      <c r="C131" s="36"/>
      <c r="D131" s="36"/>
      <c r="E131" s="36"/>
    </row>
    <row r="132" spans="1:5" x14ac:dyDescent="0.25">
      <c r="A132" s="57" t="s">
        <v>218</v>
      </c>
      <c r="B132" s="36"/>
      <c r="C132" s="36"/>
      <c r="D132" s="36"/>
      <c r="E132" s="36"/>
    </row>
    <row r="133" spans="1:5" x14ac:dyDescent="0.25">
      <c r="A133" s="31"/>
      <c r="B133" s="36"/>
      <c r="C133" s="36"/>
      <c r="D133" s="36"/>
      <c r="E133" s="36"/>
    </row>
    <row r="134" spans="1:5" x14ac:dyDescent="0.25">
      <c r="A134" s="58" t="s">
        <v>21</v>
      </c>
      <c r="B134" s="36"/>
      <c r="C134" s="36"/>
      <c r="D134" s="36"/>
      <c r="E134" s="36"/>
    </row>
  </sheetData>
  <hyperlinks>
    <hyperlink ref="A134" location="Indice!A5" display="Volver al índice" xr:uid="{00000000-0004-0000-0900-000000000000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Indice</vt:lpstr>
      <vt:lpstr>Titulación Total 2024</vt:lpstr>
      <vt:lpstr>Evolución Titulación Total</vt:lpstr>
      <vt:lpstr>Titulación Pregrado 2024</vt:lpstr>
      <vt:lpstr>Evolución Titulación Pregrado</vt:lpstr>
      <vt:lpstr>Titulación Posgrado 2024</vt:lpstr>
      <vt:lpstr>Evolución Titulación Posgrado</vt:lpstr>
      <vt:lpstr>Titulacion Postitulo 2024</vt:lpstr>
      <vt:lpstr>Evolucion Titulacion Postitulo</vt:lpstr>
      <vt:lpstr>Listado de Instituciones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Salamanca Velazquez</dc:creator>
  <cp:lastModifiedBy>Rodrigo Rolando Meneses</cp:lastModifiedBy>
  <dcterms:created xsi:type="dcterms:W3CDTF">2015-09-10T13:36:10Z</dcterms:created>
  <dcterms:modified xsi:type="dcterms:W3CDTF">2025-05-23T12:25:28Z</dcterms:modified>
</cp:coreProperties>
</file>