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autoCompressPictures="0"/>
  <mc:AlternateContent xmlns:mc="http://schemas.openxmlformats.org/markup-compatibility/2006">
    <mc:Choice Requires="x15">
      <x15ac:absPath xmlns:x15ac="http://schemas.microsoft.com/office/spreadsheetml/2010/11/ac" url="E:\rodrigo.rolando\Desktop\"/>
    </mc:Choice>
  </mc:AlternateContent>
  <xr:revisionPtr revIDLastSave="0" documentId="8_{79F5E97A-DDA4-4B81-9057-55BE1FBFAF0B}" xr6:coauthVersionLast="41" xr6:coauthVersionMax="41" xr10:uidLastSave="{00000000-0000-0000-0000-000000000000}"/>
  <bookViews>
    <workbookView xWindow="-120" yWindow="-120" windowWidth="24240" windowHeight="13140" tabRatio="892" xr2:uid="{00000000-000D-0000-FFFF-FFFF00000000}"/>
  </bookViews>
  <sheets>
    <sheet name="Indice" sheetId="11" r:id="rId1"/>
    <sheet name="Titulación Total 2018" sheetId="2" r:id="rId2"/>
    <sheet name="Evolución Titulación Total" sheetId="3" r:id="rId3"/>
    <sheet name="Titulación Pregrado 2018" sheetId="4" r:id="rId4"/>
    <sheet name="Evolución Titulación Pregrado" sheetId="5" r:id="rId5"/>
    <sheet name="Titulación Posgrado 2018" sheetId="6" r:id="rId6"/>
    <sheet name="Evolución Titulación Posgrado" sheetId="7" r:id="rId7"/>
    <sheet name="Titulacion Postitulo 2018" sheetId="8" r:id="rId8"/>
    <sheet name="Evolucion Titulacion Postitulo" sheetId="9" r:id="rId9"/>
    <sheet name="Listado de Instituciones" sheetId="10" r:id="rId10"/>
  </sheets>
  <definedNames>
    <definedName name="_xlnm._FilterDatabase" localSheetId="4" hidden="1">'Evolución Titulación Pregrado'!$A$98:$N$118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72" i="5" l="1"/>
  <c r="D72" i="5"/>
  <c r="E72" i="5"/>
  <c r="F72" i="5"/>
  <c r="G72" i="5"/>
  <c r="H72" i="5"/>
  <c r="I72" i="5"/>
  <c r="J72" i="5"/>
  <c r="K72" i="5"/>
  <c r="L72" i="5"/>
  <c r="B72" i="5"/>
  <c r="C48" i="5"/>
  <c r="D48" i="5"/>
  <c r="E48" i="5"/>
  <c r="F48" i="5"/>
  <c r="G48" i="5"/>
  <c r="H48" i="5"/>
  <c r="I48" i="5"/>
  <c r="J48" i="5"/>
  <c r="K48" i="5"/>
  <c r="L48" i="5"/>
  <c r="B48" i="5"/>
  <c r="O34" i="9" l="1"/>
  <c r="O35" i="9"/>
  <c r="O36" i="9"/>
  <c r="O37" i="9"/>
  <c r="O38" i="9"/>
  <c r="O39" i="9"/>
  <c r="O40" i="9"/>
  <c r="O193" i="5"/>
  <c r="O194" i="5"/>
  <c r="O195" i="5"/>
  <c r="O196" i="5"/>
  <c r="O197" i="5"/>
  <c r="O198" i="5"/>
  <c r="O192" i="5"/>
  <c r="O187" i="5"/>
  <c r="O188" i="5"/>
  <c r="O186" i="5"/>
  <c r="O181" i="5"/>
  <c r="O182" i="5"/>
  <c r="O180" i="5"/>
  <c r="O175" i="5"/>
  <c r="O176" i="5"/>
  <c r="O174" i="5"/>
  <c r="O169" i="5"/>
  <c r="O170" i="5"/>
  <c r="O168" i="5"/>
  <c r="O86" i="5"/>
  <c r="O87" i="5"/>
  <c r="O88" i="5"/>
  <c r="O89" i="5"/>
  <c r="O90" i="5"/>
  <c r="O91" i="5"/>
  <c r="O92" i="5"/>
  <c r="O93" i="5"/>
  <c r="O94" i="5"/>
  <c r="O95" i="5"/>
  <c r="O85" i="5"/>
  <c r="O77" i="5"/>
  <c r="O78" i="5"/>
  <c r="O79" i="5"/>
  <c r="O80" i="5"/>
  <c r="O81" i="5"/>
  <c r="O76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52" i="5"/>
  <c r="O9" i="5"/>
  <c r="O18" i="5"/>
  <c r="O26" i="5"/>
  <c r="O32" i="5"/>
  <c r="O48" i="5"/>
  <c r="O39" i="5"/>
  <c r="O40" i="5"/>
  <c r="O41" i="5"/>
  <c r="O42" i="5"/>
  <c r="O43" i="5"/>
  <c r="O44" i="5"/>
  <c r="O45" i="5"/>
  <c r="O46" i="5"/>
  <c r="O47" i="5"/>
  <c r="O38" i="5"/>
  <c r="O31" i="5"/>
  <c r="O30" i="5"/>
  <c r="O23" i="5"/>
  <c r="O24" i="5"/>
  <c r="O25" i="5"/>
  <c r="O22" i="5"/>
  <c r="O14" i="5"/>
  <c r="O15" i="5"/>
  <c r="O16" i="5"/>
  <c r="O17" i="5"/>
  <c r="O13" i="5"/>
  <c r="O7" i="5"/>
  <c r="O8" i="5"/>
  <c r="O6" i="5"/>
  <c r="M198" i="5"/>
  <c r="N198" i="5"/>
  <c r="N193" i="5"/>
  <c r="N194" i="5"/>
  <c r="N195" i="5"/>
  <c r="N196" i="5"/>
  <c r="N197" i="5"/>
  <c r="N192" i="5"/>
  <c r="N187" i="5"/>
  <c r="N188" i="5"/>
  <c r="N186" i="5"/>
  <c r="N181" i="5"/>
  <c r="N182" i="5"/>
  <c r="N180" i="5"/>
  <c r="N175" i="5"/>
  <c r="N176" i="5"/>
  <c r="N174" i="5"/>
  <c r="N169" i="5"/>
  <c r="N170" i="5"/>
  <c r="N168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45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22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99" i="5"/>
  <c r="N86" i="5"/>
  <c r="N87" i="5"/>
  <c r="N88" i="5"/>
  <c r="N89" i="5"/>
  <c r="N90" i="5"/>
  <c r="N91" i="5"/>
  <c r="N92" i="5"/>
  <c r="N93" i="5"/>
  <c r="N94" i="5"/>
  <c r="N95" i="5"/>
  <c r="N85" i="5"/>
  <c r="N77" i="5"/>
  <c r="N78" i="5"/>
  <c r="N79" i="5"/>
  <c r="N80" i="5"/>
  <c r="N81" i="5"/>
  <c r="N76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52" i="5"/>
  <c r="N39" i="5"/>
  <c r="N40" i="5"/>
  <c r="N41" i="5"/>
  <c r="N42" i="5"/>
  <c r="N43" i="5"/>
  <c r="N44" i="5"/>
  <c r="N45" i="5"/>
  <c r="N46" i="5"/>
  <c r="N47" i="5"/>
  <c r="N48" i="5"/>
  <c r="N38" i="5"/>
  <c r="N31" i="5"/>
  <c r="N32" i="5"/>
  <c r="N30" i="5"/>
  <c r="N23" i="5"/>
  <c r="N24" i="5"/>
  <c r="N25" i="5"/>
  <c r="N26" i="5"/>
  <c r="N22" i="5"/>
  <c r="N14" i="5"/>
  <c r="N15" i="5"/>
  <c r="N16" i="5"/>
  <c r="N17" i="5"/>
  <c r="N18" i="5"/>
  <c r="N13" i="5"/>
  <c r="N7" i="5"/>
  <c r="N8" i="5"/>
  <c r="N9" i="5"/>
  <c r="N6" i="5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83" i="3"/>
  <c r="N72" i="3"/>
  <c r="N73" i="3"/>
  <c r="N74" i="3"/>
  <c r="N75" i="3"/>
  <c r="N76" i="3"/>
  <c r="N77" i="3"/>
  <c r="N71" i="3"/>
  <c r="N66" i="3"/>
  <c r="N67" i="3"/>
  <c r="N65" i="3"/>
  <c r="O66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39" i="3"/>
  <c r="N38" i="3"/>
  <c r="N37" i="3"/>
  <c r="N36" i="3"/>
  <c r="N35" i="3"/>
  <c r="N34" i="3"/>
  <c r="N30" i="3"/>
  <c r="N29" i="3"/>
  <c r="N28" i="3"/>
  <c r="N27" i="3"/>
  <c r="N26" i="3"/>
  <c r="N25" i="3"/>
  <c r="N24" i="3"/>
  <c r="N23" i="3"/>
  <c r="N22" i="3"/>
  <c r="N21" i="3"/>
  <c r="N20" i="3"/>
  <c r="N16" i="3"/>
  <c r="N15" i="3"/>
  <c r="N14" i="3"/>
  <c r="N13" i="3"/>
  <c r="N9" i="3"/>
  <c r="N8" i="3"/>
  <c r="N7" i="3"/>
  <c r="N6" i="3"/>
  <c r="O6" i="3" l="1"/>
  <c r="O33" i="9"/>
  <c r="N33" i="9"/>
  <c r="M33" i="9"/>
  <c r="N20" i="9"/>
  <c r="M25" i="9"/>
  <c r="O6" i="9"/>
  <c r="N6" i="9"/>
  <c r="M8" i="9"/>
  <c r="M32" i="7"/>
  <c r="O6" i="7"/>
  <c r="N6" i="7"/>
  <c r="M8" i="7"/>
  <c r="M7" i="7"/>
  <c r="M6" i="7"/>
  <c r="M99" i="5"/>
  <c r="M186" i="5"/>
  <c r="M193" i="5"/>
  <c r="M194" i="5"/>
  <c r="M195" i="5"/>
  <c r="M196" i="5"/>
  <c r="M197" i="5"/>
  <c r="M192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45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6" i="5"/>
  <c r="M6" i="3" l="1"/>
  <c r="O65" i="3"/>
  <c r="M9" i="5"/>
  <c r="E139" i="10" l="1"/>
  <c r="D97" i="8"/>
  <c r="D96" i="6"/>
  <c r="D20" i="6"/>
  <c r="D21" i="6"/>
  <c r="D22" i="6"/>
  <c r="D23" i="6"/>
  <c r="D24" i="6"/>
  <c r="D19" i="6"/>
  <c r="D103" i="4"/>
  <c r="D52" i="2" l="1"/>
  <c r="C41" i="9" l="1"/>
  <c r="D41" i="9"/>
  <c r="E41" i="9"/>
  <c r="F41" i="9"/>
  <c r="G41" i="9"/>
  <c r="H41" i="9"/>
  <c r="I41" i="9"/>
  <c r="J41" i="9"/>
  <c r="K41" i="9"/>
  <c r="L41" i="9"/>
  <c r="O41" i="9" s="1"/>
  <c r="B41" i="9"/>
  <c r="O21" i="9" l="1"/>
  <c r="O22" i="9"/>
  <c r="O23" i="9"/>
  <c r="O24" i="9"/>
  <c r="O25" i="9"/>
  <c r="O26" i="9"/>
  <c r="O27" i="9"/>
  <c r="O28" i="9"/>
  <c r="O29" i="9"/>
  <c r="O20" i="9"/>
  <c r="O14" i="9"/>
  <c r="O15" i="9"/>
  <c r="O16" i="9"/>
  <c r="O13" i="9"/>
  <c r="O7" i="9"/>
  <c r="O8" i="9"/>
  <c r="O9" i="9"/>
  <c r="N41" i="9"/>
  <c r="N40" i="9"/>
  <c r="N39" i="9"/>
  <c r="N38" i="9"/>
  <c r="N37" i="9"/>
  <c r="N36" i="9"/>
  <c r="N35" i="9"/>
  <c r="N34" i="9"/>
  <c r="N29" i="9"/>
  <c r="N28" i="9"/>
  <c r="N27" i="9"/>
  <c r="N26" i="9"/>
  <c r="N25" i="9"/>
  <c r="N24" i="9"/>
  <c r="N23" i="9"/>
  <c r="N22" i="9"/>
  <c r="N21" i="9"/>
  <c r="N16" i="9"/>
  <c r="N15" i="9"/>
  <c r="N14" i="9"/>
  <c r="N13" i="9"/>
  <c r="N9" i="9"/>
  <c r="N8" i="9"/>
  <c r="N7" i="9"/>
  <c r="M34" i="9"/>
  <c r="M35" i="9"/>
  <c r="M36" i="9"/>
  <c r="M37" i="9"/>
  <c r="M38" i="9"/>
  <c r="M39" i="9"/>
  <c r="M40" i="9"/>
  <c r="M41" i="9"/>
  <c r="M26" i="9"/>
  <c r="M27" i="9"/>
  <c r="M28" i="9"/>
  <c r="M29" i="9"/>
  <c r="M14" i="9"/>
  <c r="M15" i="9"/>
  <c r="M16" i="9"/>
  <c r="M13" i="9"/>
  <c r="M9" i="9"/>
  <c r="L38" i="7"/>
  <c r="O33" i="7" l="1"/>
  <c r="O34" i="7"/>
  <c r="O35" i="7"/>
  <c r="O36" i="7"/>
  <c r="O37" i="7"/>
  <c r="O38" i="7"/>
  <c r="O32" i="7"/>
  <c r="O20" i="7"/>
  <c r="O21" i="7"/>
  <c r="O22" i="7"/>
  <c r="O23" i="7"/>
  <c r="O24" i="7"/>
  <c r="O25" i="7"/>
  <c r="O26" i="7"/>
  <c r="O27" i="7"/>
  <c r="O28" i="7"/>
  <c r="O19" i="7"/>
  <c r="O14" i="7"/>
  <c r="O15" i="7"/>
  <c r="O13" i="7"/>
  <c r="O7" i="7"/>
  <c r="O8" i="7"/>
  <c r="O9" i="7"/>
  <c r="N33" i="7"/>
  <c r="N34" i="7"/>
  <c r="N35" i="7"/>
  <c r="N36" i="7"/>
  <c r="N37" i="7"/>
  <c r="N32" i="7"/>
  <c r="N20" i="7"/>
  <c r="N21" i="7"/>
  <c r="N22" i="7"/>
  <c r="N23" i="7"/>
  <c r="N24" i="7"/>
  <c r="N25" i="7"/>
  <c r="N26" i="7"/>
  <c r="N27" i="7"/>
  <c r="N28" i="7"/>
  <c r="N19" i="7"/>
  <c r="N14" i="7"/>
  <c r="N15" i="7"/>
  <c r="N13" i="7"/>
  <c r="N7" i="7"/>
  <c r="N8" i="7"/>
  <c r="N9" i="7"/>
  <c r="M33" i="7"/>
  <c r="M34" i="7"/>
  <c r="M35" i="7"/>
  <c r="M36" i="7"/>
  <c r="M37" i="7"/>
  <c r="M20" i="7"/>
  <c r="M21" i="7"/>
  <c r="M22" i="7"/>
  <c r="M23" i="7"/>
  <c r="M24" i="7"/>
  <c r="M25" i="7"/>
  <c r="M26" i="7"/>
  <c r="M27" i="7"/>
  <c r="M28" i="7"/>
  <c r="M19" i="7"/>
  <c r="M14" i="7"/>
  <c r="M15" i="7"/>
  <c r="M13" i="7"/>
  <c r="M9" i="7"/>
  <c r="O199" i="5" l="1"/>
  <c r="N78" i="3" l="1"/>
  <c r="M187" i="5"/>
  <c r="M181" i="5"/>
  <c r="M180" i="5"/>
  <c r="M175" i="5"/>
  <c r="M174" i="5"/>
  <c r="M169" i="5"/>
  <c r="M168" i="5"/>
  <c r="M122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5" i="5"/>
  <c r="M94" i="5"/>
  <c r="M93" i="5"/>
  <c r="M92" i="5"/>
  <c r="M91" i="5"/>
  <c r="M90" i="5"/>
  <c r="M89" i="5"/>
  <c r="M88" i="5"/>
  <c r="M87" i="5"/>
  <c r="M86" i="5"/>
  <c r="M85" i="5"/>
  <c r="M81" i="5"/>
  <c r="M80" i="5"/>
  <c r="M79" i="5"/>
  <c r="M78" i="5"/>
  <c r="M77" i="5"/>
  <c r="M76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48" i="5"/>
  <c r="M47" i="5"/>
  <c r="M46" i="5"/>
  <c r="M45" i="5"/>
  <c r="M44" i="5"/>
  <c r="M43" i="5"/>
  <c r="M42" i="5"/>
  <c r="M41" i="5"/>
  <c r="M40" i="5"/>
  <c r="M39" i="5"/>
  <c r="M38" i="5"/>
  <c r="M26" i="5"/>
  <c r="M25" i="5"/>
  <c r="M24" i="5"/>
  <c r="M23" i="5"/>
  <c r="M22" i="5"/>
  <c r="M18" i="5"/>
  <c r="M17" i="5"/>
  <c r="M16" i="5"/>
  <c r="M15" i="5"/>
  <c r="M14" i="5"/>
  <c r="M13" i="5"/>
  <c r="M8" i="5"/>
  <c r="M7" i="5"/>
  <c r="O98" i="3"/>
  <c r="M98" i="3"/>
  <c r="M44" i="3" l="1"/>
  <c r="M46" i="3"/>
  <c r="M47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43" i="3"/>
  <c r="O44" i="3" l="1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21" i="3"/>
  <c r="O22" i="3"/>
  <c r="O23" i="3"/>
  <c r="O24" i="3"/>
  <c r="O25" i="3"/>
  <c r="O26" i="3"/>
  <c r="O27" i="3"/>
  <c r="O28" i="3"/>
  <c r="O29" i="3"/>
  <c r="O30" i="3"/>
  <c r="O35" i="3"/>
  <c r="O36" i="3"/>
  <c r="O37" i="3"/>
  <c r="O38" i="3"/>
  <c r="O39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9" i="3"/>
  <c r="O72" i="3"/>
  <c r="O73" i="3"/>
  <c r="O74" i="3"/>
  <c r="O75" i="3"/>
  <c r="O76" i="3"/>
  <c r="O77" i="3"/>
  <c r="O78" i="3"/>
  <c r="O83" i="3"/>
  <c r="O71" i="3"/>
  <c r="O43" i="3"/>
  <c r="O34" i="3"/>
  <c r="O20" i="3"/>
  <c r="O14" i="3"/>
  <c r="O15" i="3"/>
  <c r="O16" i="3"/>
  <c r="O1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9" i="3"/>
  <c r="M72" i="3"/>
  <c r="M73" i="3"/>
  <c r="M74" i="3"/>
  <c r="M75" i="3"/>
  <c r="M76" i="3"/>
  <c r="M77" i="3"/>
  <c r="M66" i="3"/>
  <c r="M35" i="3"/>
  <c r="M36" i="3"/>
  <c r="M37" i="3"/>
  <c r="M38" i="3"/>
  <c r="M39" i="3"/>
  <c r="M21" i="3"/>
  <c r="M23" i="3"/>
  <c r="M24" i="3"/>
  <c r="M26" i="3"/>
  <c r="M27" i="3"/>
  <c r="M28" i="3"/>
  <c r="M29" i="3"/>
  <c r="M30" i="3"/>
  <c r="M83" i="3"/>
  <c r="M71" i="3"/>
  <c r="M65" i="3"/>
  <c r="M34" i="3"/>
  <c r="M20" i="3"/>
  <c r="M14" i="3"/>
  <c r="M15" i="3"/>
  <c r="M16" i="3"/>
  <c r="M13" i="3"/>
  <c r="O7" i="3"/>
  <c r="O8" i="3"/>
  <c r="O9" i="3"/>
  <c r="M7" i="3"/>
  <c r="M8" i="3"/>
  <c r="M9" i="3"/>
  <c r="D75" i="8" l="1"/>
  <c r="D76" i="8"/>
  <c r="D77" i="8"/>
  <c r="D78" i="8"/>
  <c r="D79" i="8"/>
  <c r="D80" i="8"/>
  <c r="D81" i="8"/>
  <c r="D82" i="8"/>
  <c r="D83" i="8"/>
  <c r="D84" i="8"/>
  <c r="D74" i="8"/>
  <c r="C104" i="8"/>
  <c r="B104" i="8"/>
  <c r="D89" i="8"/>
  <c r="D90" i="8"/>
  <c r="D91" i="8"/>
  <c r="D92" i="8"/>
  <c r="D93" i="8"/>
  <c r="D94" i="8"/>
  <c r="D96" i="8"/>
  <c r="D98" i="8"/>
  <c r="D99" i="8"/>
  <c r="D100" i="8"/>
  <c r="D101" i="8"/>
  <c r="D102" i="8"/>
  <c r="D103" i="8"/>
  <c r="D88" i="8"/>
  <c r="C70" i="8"/>
  <c r="D70" i="8"/>
  <c r="E70" i="8"/>
  <c r="B70" i="8"/>
  <c r="C15" i="8"/>
  <c r="D15" i="8"/>
  <c r="E15" i="8"/>
  <c r="B15" i="8"/>
  <c r="E19" i="8"/>
  <c r="D26" i="8"/>
  <c r="C26" i="8"/>
  <c r="B26" i="8"/>
  <c r="C25" i="6"/>
  <c r="D25" i="6"/>
  <c r="B25" i="6"/>
  <c r="B15" i="6"/>
  <c r="C15" i="6"/>
  <c r="D15" i="6"/>
  <c r="C69" i="6"/>
  <c r="D69" i="6"/>
  <c r="B69" i="6"/>
  <c r="D74" i="6"/>
  <c r="D75" i="6"/>
  <c r="D76" i="6"/>
  <c r="D77" i="6"/>
  <c r="D78" i="6"/>
  <c r="D79" i="6"/>
  <c r="D80" i="6"/>
  <c r="D81" i="6"/>
  <c r="D82" i="6"/>
  <c r="D83" i="6"/>
  <c r="D73" i="6"/>
  <c r="D88" i="6"/>
  <c r="D89" i="6"/>
  <c r="D90" i="6"/>
  <c r="D91" i="6"/>
  <c r="D92" i="6"/>
  <c r="D93" i="6"/>
  <c r="D94" i="6"/>
  <c r="D95" i="6"/>
  <c r="D97" i="6"/>
  <c r="D98" i="6"/>
  <c r="D99" i="6"/>
  <c r="D100" i="6"/>
  <c r="D101" i="6"/>
  <c r="D102" i="6"/>
  <c r="D87" i="6"/>
  <c r="C103" i="6"/>
  <c r="B103" i="6"/>
  <c r="D105" i="4"/>
  <c r="D104" i="4"/>
  <c r="D102" i="4"/>
  <c r="D101" i="4"/>
  <c r="D100" i="4"/>
  <c r="D99" i="4"/>
  <c r="D95" i="4"/>
  <c r="D96" i="4"/>
  <c r="D97" i="4"/>
  <c r="D98" i="4"/>
  <c r="D92" i="4"/>
  <c r="D93" i="4"/>
  <c r="D94" i="4"/>
  <c r="D90" i="4"/>
  <c r="D91" i="4"/>
  <c r="D89" i="4"/>
  <c r="C19" i="4"/>
  <c r="D19" i="4"/>
  <c r="B19" i="4"/>
  <c r="C38" i="7"/>
  <c r="D38" i="7"/>
  <c r="E38" i="7"/>
  <c r="F38" i="7"/>
  <c r="G38" i="7"/>
  <c r="H38" i="7"/>
  <c r="I38" i="7"/>
  <c r="J38" i="7"/>
  <c r="K38" i="7"/>
  <c r="N38" i="7" s="1"/>
  <c r="B38" i="7"/>
  <c r="M38" i="7" s="1"/>
  <c r="M188" i="5"/>
  <c r="M182" i="5"/>
  <c r="M176" i="5"/>
  <c r="M170" i="5"/>
  <c r="M30" i="5"/>
  <c r="M31" i="5"/>
  <c r="M199" i="5"/>
  <c r="N199" i="5"/>
  <c r="M78" i="3"/>
  <c r="M67" i="3"/>
  <c r="D59" i="2"/>
  <c r="D60" i="2"/>
  <c r="D61" i="2"/>
  <c r="D62" i="2"/>
  <c r="D63" i="2"/>
  <c r="D64" i="2"/>
  <c r="D65" i="2"/>
  <c r="D66" i="2"/>
  <c r="D67" i="2"/>
  <c r="D68" i="2"/>
  <c r="D5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3" i="2"/>
  <c r="D54" i="2"/>
  <c r="D38" i="2"/>
  <c r="D14" i="2"/>
  <c r="D15" i="2"/>
  <c r="D16" i="2"/>
  <c r="D13" i="2"/>
  <c r="D30" i="2"/>
  <c r="D31" i="2"/>
  <c r="D32" i="2"/>
  <c r="D33" i="2"/>
  <c r="D34" i="2"/>
  <c r="D29" i="2"/>
  <c r="D104" i="8" l="1"/>
  <c r="E26" i="8"/>
  <c r="D103" i="6"/>
  <c r="E19" i="4"/>
  <c r="M32" i="5"/>
  <c r="O6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B18E6C-18D9-4632-8C17-67B4F6F3CE6E}" sourceFile="C:\Users\andres.leal\Desktop\Titulados\Copia de TIT_WEB_2019(TITULADOS 2007 - 2018)_03-06-2019.xlsx" keepAlive="1" name="Copia de TIT_WEB_2019(TITULADOS 2007 - 2018)_03-06-2019" type="5" refreshedVersion="6" background="1">
    <dbPr connection="Provider=Microsoft.ACE.OLEDB.12.0;User ID=Admin;Data Source=C:\Users\andres.leal\Desktop\Titulados\Copia de TIT_WEB_2019(TITULADOS 2007 - 2018)_03-06-2019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IT_WEB_2019$" commandType="3"/>
  </connection>
  <connection id="2" xr16:uid="{6C7EF3CB-B8C0-454E-9335-1F1B146CE601}" sourceFile="C:\Users\andres.leal\Desktop\Titulados\TIT_2019_TITULADOS 2007-2018_21-06-2019.xlsx" keepAlive="1" name="TIT_2019_TITULADOS 2007-2018_21-06-2019" type="5" refreshedVersion="6" background="1">
    <dbPr connection="Provider=Microsoft.ACE.OLEDB.12.0;User ID=Admin;Data Source=C:\Users\andres.leal\Desktop\Titulados\TIT_2019_TITULADOS 2007-2018_21-06-2019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IT_WEB" commandType="3"/>
  </connection>
  <connection id="3" xr16:uid="{9E2F030A-D124-482A-81D6-C8231C50FA4B}" sourceFile="C:\Users\andres.leal\Desktop\Titulados\TIT_2019_TITULADOS 2007-2018_21-06-2019.xlsx" keepAlive="1" name="TIT_2019_TITULADOS 2007-2018_21-06-20191" type="5" refreshedVersion="6" background="1">
    <dbPr connection="Provider=Microsoft.ACE.OLEDB.12.0;User ID=Admin;Data Source=C:\Users\andres.leal\Desktop\Titulados\TIT_2019_TITULADOS 2007-2018_21-06-2019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IT_WEB$" commandType="3"/>
  </connection>
  <connection id="4" xr16:uid="{0D72E51C-2E0B-4F88-A120-444792A5BF72}" sourceFile="C:\Users\andres.leal\Desktop\Titulados\TIT_WEB_2019 (TITULADOS 2007 - 2018)_04-06-2019_2020.xlsx" keepAlive="1" name="TIT_WEB_2019 (TITULADOS 2007 - 2018)_04-06-2019_2020" type="5" refreshedVersion="6" background="1">
    <dbPr connection="Provider=Microsoft.ACE.OLEDB.12.0;User ID=Admin;Data Source=C:\Users\andres.leal\Desktop\Titulados\TIT_WEB_2019 (TITULADOS 2007 - 2018)_04-06-2019_2020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Titulados Web 2009$'" commandType="3"/>
  </connection>
  <connection id="5" xr16:uid="{1D2FA6C5-8C5A-403D-BFC2-0B195E5C4DCA}" sourceFile="C:\Users\andres.leal\Desktop\Titulados\TIT_WEB_2019(TITULADOS 2007 - 2018)_03-06-2019.xlsx" keepAlive="1" name="TIT_WEB_2019(TITULADOS 2007 - 2018)_03-06-2019" type="5" refreshedVersion="6" background="1">
    <dbPr connection="Provider=Microsoft.ACE.OLEDB.12.0;User ID=Admin;Data Source=C:\Users\andres.leal\Desktop\Titulados\TIT_WEB_2019(TITULADOS 2007 - 2018)_03-06-2019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IT_WEB_2019_TITULADOS_2007___2018_" commandType="3"/>
  </connection>
  <connection id="6" xr16:uid="{96D2B7B8-3479-4EAE-9881-CFFD32A3F4DB}" sourceFile="C:\Users\andres.leal\Desktop\Titulados\TIT_WEB_2019(TITULADOS 2007 - 2018)_03-06-2019_final.xlsx" keepAlive="1" name="TIT_WEB_2019(TITULADOS 2007 - 2018)_03-06-2019_final" type="5" refreshedVersion="6" background="1">
    <dbPr connection="Provider=Microsoft.ACE.OLEDB.12.0;User ID=Admin;Data Source=C:\Users\andres.leal\Desktop\Titulados\TIT_WEB_2019(TITULADOS 2007 - 2018)_03-06-2019_final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IT_WEB_2019$" commandType="3"/>
  </connection>
  <connection id="7" xr16:uid="{1F1E7518-549A-4D5E-B948-74CFCE2A3D44}" sourceFile="C:\Users\andres.leal\Desktop\Titulados\TIT_WEB_2019(TITULADOS 2007- 2018).xlsx" keepAlive="1" name="TIT_WEB_2019(TITULADOS 2007- 2018)" type="5" refreshedVersion="6" background="1">
    <dbPr connection="Provider=Microsoft.ACE.OLEDB.12.0;User ID=Admin;Data Source=C:\Users\andres.leal\Desktop\Titulados\TIT_WEB_2019(TITULADOS 2007- 2018)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ituladosweb$" commandType="3"/>
  </connection>
</connections>
</file>

<file path=xl/sharedStrings.xml><?xml version="1.0" encoding="utf-8"?>
<sst xmlns="http://schemas.openxmlformats.org/spreadsheetml/2006/main" count="1152" uniqueCount="397">
  <si>
    <t>Tipo de institución</t>
  </si>
  <si>
    <t>Pregrado</t>
  </si>
  <si>
    <t>Posgrado</t>
  </si>
  <si>
    <t>Postítulo</t>
  </si>
  <si>
    <t>Total general</t>
  </si>
  <si>
    <t>Centros de Formación Técnica</t>
  </si>
  <si>
    <t>Institutos Profesionales</t>
  </si>
  <si>
    <t>Universidades</t>
  </si>
  <si>
    <t>Titulación Total</t>
  </si>
  <si>
    <t>Región</t>
  </si>
  <si>
    <t>Área</t>
  </si>
  <si>
    <t>Administración y Comercio</t>
  </si>
  <si>
    <t>Agropecuaria</t>
  </si>
  <si>
    <t>Arte y Arquitectura</t>
  </si>
  <si>
    <t>Ciencias Básicas</t>
  </si>
  <si>
    <t>Ciencias Sociales</t>
  </si>
  <si>
    <t>Derecho</t>
  </si>
  <si>
    <t>Educación</t>
  </si>
  <si>
    <t>Humanidades</t>
  </si>
  <si>
    <t>Salud</t>
  </si>
  <si>
    <t>Tecnología</t>
  </si>
  <si>
    <t>Volver al índice</t>
  </si>
  <si>
    <t xml:space="preserve">Evolución de Titulación Total por tipo de institución </t>
  </si>
  <si>
    <t>Tipo de institución y grado</t>
  </si>
  <si>
    <t>n/a</t>
  </si>
  <si>
    <t>Evolución de Titulación Total por rango de edad y/o promedio de edad</t>
  </si>
  <si>
    <t>Rango de edad</t>
  </si>
  <si>
    <t>15 a 19 años</t>
  </si>
  <si>
    <t>20 a 24 años</t>
  </si>
  <si>
    <t>25 a 29 años</t>
  </si>
  <si>
    <t>30 a 34 años</t>
  </si>
  <si>
    <t>35 a 39 años</t>
  </si>
  <si>
    <t>40 y más años</t>
  </si>
  <si>
    <t>Sin información</t>
  </si>
  <si>
    <t>Promedio de edad</t>
  </si>
  <si>
    <t>Evolución de Titulación Total por región</t>
  </si>
  <si>
    <t>Promedio de Edad</t>
  </si>
  <si>
    <t>Tipo de carrera</t>
  </si>
  <si>
    <t>Técnico de Nivel Superior</t>
  </si>
  <si>
    <t>Profesional sin licenciatura previa</t>
  </si>
  <si>
    <t>Licenciatura no conducente a título</t>
  </si>
  <si>
    <t>Profesional con licenciatura previa</t>
  </si>
  <si>
    <t>Jornada</t>
  </si>
  <si>
    <t>Diurno</t>
  </si>
  <si>
    <t>Vespertino</t>
  </si>
  <si>
    <t>Otro</t>
  </si>
  <si>
    <t>Evolución de Titulación Total de Pregrado por tipo de institución</t>
  </si>
  <si>
    <t>Evolución de Titulación Total de Pregrado por tipo de carrera</t>
  </si>
  <si>
    <t>Carreras Técnico - Profesionales*</t>
  </si>
  <si>
    <t>Carreras Profesionales Universitarias**</t>
  </si>
  <si>
    <t>Tipo de institución y carrera</t>
  </si>
  <si>
    <t>Evolución de Titulación Total de Pregrado por jornada</t>
  </si>
  <si>
    <t>Evolución de Titulación Total de Pregrado por área</t>
  </si>
  <si>
    <t>Carreras</t>
  </si>
  <si>
    <t>Técnico en Enfermería</t>
  </si>
  <si>
    <t>Técnico en Prevención de Riesgos</t>
  </si>
  <si>
    <t>Técnico en Administración de Empresas</t>
  </si>
  <si>
    <t>Técnico Asistente del Educador de Párvulos</t>
  </si>
  <si>
    <t>Técnico en Gastronomía y Cocina</t>
  </si>
  <si>
    <t>Técnico en Mecánica Automotriz</t>
  </si>
  <si>
    <t>Técnico en Turismo y Hotelería</t>
  </si>
  <si>
    <t>Técnico Asistente del Educador Diferencial</t>
  </si>
  <si>
    <t>Técnico en Mantenimiento Industrial</t>
  </si>
  <si>
    <t>Técnico Dental y Asistente de Odontología</t>
  </si>
  <si>
    <t>Técnico en Electricidad y Electricidad Industrial</t>
  </si>
  <si>
    <t>Técnico en Deporte, Recreación y Preparación Física</t>
  </si>
  <si>
    <t>Técnico Agropecuario</t>
  </si>
  <si>
    <t>Técnico en Construcción y Obras Civiles</t>
  </si>
  <si>
    <t>Técnico en Administración de Recursos Humanos y Personal</t>
  </si>
  <si>
    <t>Técnico en Contabilidad General</t>
  </si>
  <si>
    <t>Técnico en Instrumentación, Automatización y Control Industrial</t>
  </si>
  <si>
    <t>Evolución de Titulación Total de Pregrado en carreras con mayor titulación - IP</t>
  </si>
  <si>
    <t>Ingeniería en Prevención de Riesgos</t>
  </si>
  <si>
    <t>Administración de Empresas e Ing. Asociadas</t>
  </si>
  <si>
    <t>Trabajo Social</t>
  </si>
  <si>
    <t>Contador Auditor</t>
  </si>
  <si>
    <t>Psicopedagogía</t>
  </si>
  <si>
    <t>Ingeniería en Computación e Informática</t>
  </si>
  <si>
    <t>Ingeniería en Mecánica Automotriz</t>
  </si>
  <si>
    <t>Pedagogía en Educación de Párvulos</t>
  </si>
  <si>
    <t>Técnico en Servicio Social</t>
  </si>
  <si>
    <t>Construcción Civil</t>
  </si>
  <si>
    <t>Evolución de Titulación Total de Pregrado en carreras con mayor titulación - Universidades</t>
  </si>
  <si>
    <t>Ingeniería Comercial</t>
  </si>
  <si>
    <t>Ingeniería Civil Industrial</t>
  </si>
  <si>
    <t>Enfermería</t>
  </si>
  <si>
    <t>Psicología</t>
  </si>
  <si>
    <t>Pedagogía en Educación Básica</t>
  </si>
  <si>
    <t>Pedagogía en Educación Física</t>
  </si>
  <si>
    <t>Kinesiología</t>
  </si>
  <si>
    <t>Medicina</t>
  </si>
  <si>
    <t>Pedagogía en Educación Diferencial</t>
  </si>
  <si>
    <t>Odontología</t>
  </si>
  <si>
    <t>Nutrición y Dietética</t>
  </si>
  <si>
    <t>Evolución de Titulación Total de Pregrado por rango de edad</t>
  </si>
  <si>
    <t xml:space="preserve">Promedio de edad </t>
  </si>
  <si>
    <t>Doctorado</t>
  </si>
  <si>
    <t>Magíster</t>
  </si>
  <si>
    <t>Tipo de programa</t>
  </si>
  <si>
    <t>Tipo de institución y programa</t>
  </si>
  <si>
    <t>Especialidad médica u odontológica</t>
  </si>
  <si>
    <t>Diplomado (superior a un semestre)</t>
  </si>
  <si>
    <t xml:space="preserve">Sin información </t>
  </si>
  <si>
    <t xml:space="preserve">Administración y Comercio </t>
  </si>
  <si>
    <t>Evolución de Titulación Total de Postítulo por tipo de institución</t>
  </si>
  <si>
    <t>Evolución de Titulación Total de Postítulo por tipo de programa</t>
  </si>
  <si>
    <t>Evolución de Titulación Total de Postítulo por tipo de institución y programa</t>
  </si>
  <si>
    <t>Nombre de la institución</t>
  </si>
  <si>
    <t>CFT ALPES</t>
  </si>
  <si>
    <t>CFT ANDRES BELLO</t>
  </si>
  <si>
    <t>CFT CAMARA DE COMERCIO DE SANTIAGO</t>
  </si>
  <si>
    <t>CFT CEDUC - UCN</t>
  </si>
  <si>
    <t>CFT CEITEC</t>
  </si>
  <si>
    <t>CFT CENCO</t>
  </si>
  <si>
    <t>CFT CENTRO TECNOLOGICO SUPERIOR INFOMED</t>
  </si>
  <si>
    <t>CFT DE ENAC</t>
  </si>
  <si>
    <t>CFT DE TARAPACA</t>
  </si>
  <si>
    <t>CFT DEL MEDIO AMBIENTE</t>
  </si>
  <si>
    <t>CFT DUOC UC</t>
  </si>
  <si>
    <t>CFT EDUCAP</t>
  </si>
  <si>
    <t>CFT ESTUDIO PROFESOR VALERO</t>
  </si>
  <si>
    <t>CFT ICEL</t>
  </si>
  <si>
    <t>CFT INACAP</t>
  </si>
  <si>
    <t>CFT INSTITUTO CENTRAL DE CAPACITACION EDUCACIONAL ICCE</t>
  </si>
  <si>
    <t>CFT INSTITUTO SUPERIOR DE ESTUDIOS JURIDICOS CANON</t>
  </si>
  <si>
    <t>CFT INSTITUTO TECNOLOGICO DE CHILE - I.T.C.</t>
  </si>
  <si>
    <t>CFT IPROSEC</t>
  </si>
  <si>
    <t>CFT JUAN BOHON</t>
  </si>
  <si>
    <t>CFT LAPLACE</t>
  </si>
  <si>
    <t>CFT LOS LAGOS</t>
  </si>
  <si>
    <t>CFT LOTA-ARAUCO</t>
  </si>
  <si>
    <t>CFT MANPOWER</t>
  </si>
  <si>
    <t>CFT MASSACHUSETTS</t>
  </si>
  <si>
    <t>CFT PROANDES</t>
  </si>
  <si>
    <t>CFT PRODATA</t>
  </si>
  <si>
    <t>CFT PROFASOC</t>
  </si>
  <si>
    <t>CFT SANTO TOMAS</t>
  </si>
  <si>
    <t>CFT TEODORO WICKEL KLUWEN</t>
  </si>
  <si>
    <t>IP AGRARIO ADOLFO MATTHEI</t>
  </si>
  <si>
    <t>IP AIEP</t>
  </si>
  <si>
    <t>IP CARLOS CASANUEVA</t>
  </si>
  <si>
    <t>IP CIISA</t>
  </si>
  <si>
    <t>IP DE ARTE Y COMUNICACION ARCOS</t>
  </si>
  <si>
    <t>IP DE CHILE</t>
  </si>
  <si>
    <t>IP DE CIENCIAS DE LA COMPUTACION ACUARIO DATA</t>
  </si>
  <si>
    <t>IP DE CIENCIAS Y EDUCACION HELEN KELLER</t>
  </si>
  <si>
    <t>IP DE LOS ANGELES</t>
  </si>
  <si>
    <t>IP DEL COMERCIO</t>
  </si>
  <si>
    <t>IP DEL VALLE CENTRAL</t>
  </si>
  <si>
    <t>IP DIEGO PORTALES</t>
  </si>
  <si>
    <t>IP DR. VIRGINIO GOMEZ G.</t>
  </si>
  <si>
    <t>IP DUOC UC</t>
  </si>
  <si>
    <t>IP EATRI INSTITUTO PROFESIONAL</t>
  </si>
  <si>
    <t>IP ESCUELA DE CONTADORES AUDITORES DE SANTIAGO</t>
  </si>
  <si>
    <t>IP ESCUELA MODERNA DE MUSICA</t>
  </si>
  <si>
    <t>IP ESUCOMEX</t>
  </si>
  <si>
    <t>IP HOGAR CATEQUISTICO</t>
  </si>
  <si>
    <t>IP INACAP</t>
  </si>
  <si>
    <t>IP INSTITUTO DE ESTUDIOS BANCARIOS GUILLERMO SUBERCASEAUX</t>
  </si>
  <si>
    <t>IP INSTITUTO INTERNACIONAL DE ARTES CULINARIAS Y SERVICIOS</t>
  </si>
  <si>
    <t>IP INSTITUTO NACIONAL DEL FUTBOL</t>
  </si>
  <si>
    <t>IP INSTITUTO SUPERIOR DE ARTES Y CIENCIAS DE LA COMUNICACION</t>
  </si>
  <si>
    <t>IP IPG</t>
  </si>
  <si>
    <t>IP LA ARAUCANA</t>
  </si>
  <si>
    <t>IP LIBERTADOR DE LOS ANDES</t>
  </si>
  <si>
    <t>IP LOS LAGOS</t>
  </si>
  <si>
    <t>IP LOS LEONES</t>
  </si>
  <si>
    <t>IP PROJAZZ</t>
  </si>
  <si>
    <t>IP PROVIDENCIA</t>
  </si>
  <si>
    <t>IP SANTO TOMAS</t>
  </si>
  <si>
    <t>IP VERTICAL</t>
  </si>
  <si>
    <t>PONTIFICIA UNIVERSIDAD CATOLICA DE CHILE</t>
  </si>
  <si>
    <t>PONTIFICIA UNIVERSIDAD CATOLICA DE VALPARAISO</t>
  </si>
  <si>
    <t>UNIVERSIDAD ACADEMIA DE HUMANISMO CRISTIANO</t>
  </si>
  <si>
    <t>UNIVERSIDAD ADOLFO IBAÑEZ</t>
  </si>
  <si>
    <t>UNIVERSIDAD ADVENTISTA DE CHILE</t>
  </si>
  <si>
    <t>UNIVERSIDAD ALBERTO HURTADO</t>
  </si>
  <si>
    <t>UNIVERSIDAD ANDRES BELLO</t>
  </si>
  <si>
    <t>UNIVERSIDAD ARTURO PRAT</t>
  </si>
  <si>
    <t>UNIVERSIDAD AUSTRAL DE CHILE</t>
  </si>
  <si>
    <t>UNIVERSIDAD AUTONOMA DE CHILE</t>
  </si>
  <si>
    <t>UNIVERSIDAD BERNARDO O'HIGGINS</t>
  </si>
  <si>
    <t>UNIVERSIDAD BOLIVARIANA</t>
  </si>
  <si>
    <t>UNIVERSIDAD CATOLICA DE LA SANTISIMA CONCEPCION</t>
  </si>
  <si>
    <t>UNIVERSIDAD CATOLICA DE TEMUCO</t>
  </si>
  <si>
    <t>UNIVERSIDAD CATOLICA DEL MAULE</t>
  </si>
  <si>
    <t>UNIVERSIDAD CATOLICA DEL NORTE</t>
  </si>
  <si>
    <t>UNIVERSIDAD CENTRAL DE CHILE</t>
  </si>
  <si>
    <t>UNIVERSIDAD CHILENO BRITANICA DE CULTURA</t>
  </si>
  <si>
    <t>UNIVERSIDAD DE ACONCAGUA</t>
  </si>
  <si>
    <t>UNIVERSIDAD DE ANTOFAGASTA</t>
  </si>
  <si>
    <t>UNIVERSIDAD DE ARTES, CIENCIAS Y COMUNICACION - UNIACC</t>
  </si>
  <si>
    <t>UNIVERSIDAD DE ATACAMA</t>
  </si>
  <si>
    <t>UNIVERSIDAD DE CHILE</t>
  </si>
  <si>
    <t>UNIVERSIDAD DE CONCEPCION</t>
  </si>
  <si>
    <t>UNIVERSIDAD DE LA FRONTERA</t>
  </si>
  <si>
    <t>UNIVERSIDAD DE LA SERENA</t>
  </si>
  <si>
    <t>UNIVERSIDAD DE LAS AMERICAS</t>
  </si>
  <si>
    <t>UNIVERSIDAD DE LOS ANDES</t>
  </si>
  <si>
    <t>UNIVERSIDAD DE LOS LAGOS</t>
  </si>
  <si>
    <t>UNIVERSIDAD DE MAGALLANES</t>
  </si>
  <si>
    <t>UNIVERSIDAD DE PLAYA ANCHA DE CIENCIAS DE LA EDUCACION</t>
  </si>
  <si>
    <t>UNIVERSIDAD DE SANTIAGO DE CHILE</t>
  </si>
  <si>
    <t>UNIVERSIDAD DE TALCA</t>
  </si>
  <si>
    <t>UNIVERSIDAD DE TARAPACA</t>
  </si>
  <si>
    <t>UNIVERSIDAD DE VALPARAISO</t>
  </si>
  <si>
    <t>UNIVERSIDAD DE VIÑA DEL MAR</t>
  </si>
  <si>
    <t>UNIVERSIDAD DEL BIO-BIO</t>
  </si>
  <si>
    <t>UNIVERSIDAD DEL DESARROLLO</t>
  </si>
  <si>
    <t>UNIVERSIDAD DIEGO PORTALES</t>
  </si>
  <si>
    <t>UNIVERSIDAD FINIS TERRAE</t>
  </si>
  <si>
    <t>UNIVERSIDAD GABRIELA MISTRAL</t>
  </si>
  <si>
    <t>UNIVERSIDAD LA REPUBLICA</t>
  </si>
  <si>
    <t>UNIVERSIDAD LOS LEONES</t>
  </si>
  <si>
    <t>UNIVERSIDAD MAYOR</t>
  </si>
  <si>
    <t>UNIVERSIDAD METROPOLITANA DE CIENCIAS DE LA EDUCACION</t>
  </si>
  <si>
    <t>UNIVERSIDAD MIGUEL DE CERVANTES</t>
  </si>
  <si>
    <t>UNIVERSIDAD PEDRO DE VALDIVIA</t>
  </si>
  <si>
    <t>UNIVERSIDAD SAN SEBASTIAN</t>
  </si>
  <si>
    <t>UNIVERSIDAD SANTO TOMAS</t>
  </si>
  <si>
    <t>UNIVERSIDAD SEK</t>
  </si>
  <si>
    <t>UNIVERSIDAD TECNICA FEDERICO SANTA MARIA</t>
  </si>
  <si>
    <t>UNIVERSIDAD TECNOLOGICA DE CHILE INACAP</t>
  </si>
  <si>
    <t>UNIVERSIDAD TECNOLOGICA METROPOLITANA</t>
  </si>
  <si>
    <t>UNIVERSIDAD UCINF</t>
  </si>
  <si>
    <t xml:space="preserve">Hoja </t>
  </si>
  <si>
    <t>Tabla</t>
  </si>
  <si>
    <t>Contenido</t>
  </si>
  <si>
    <t>Indice de Tablas</t>
  </si>
  <si>
    <t>Evolución de Titulación Total de Pregrado por tipo de institución 2</t>
  </si>
  <si>
    <t>Evolución de Titulación Total de Pregrado por tipo de carrera (técnico y profesional)</t>
  </si>
  <si>
    <t>Evolución de Titulación Total de Pregrado en carreras de mayor titulación - CFT</t>
  </si>
  <si>
    <t>Evolución de Titulación Total de Pregrado en carreras de mayor titulación - IP</t>
  </si>
  <si>
    <t>Evolución de Titulación Total de Pregrado en carreras de mayor titulación - Universidades</t>
  </si>
  <si>
    <t xml:space="preserve">Evolución de Titulación Total de Posgrado por tipo de programa </t>
  </si>
  <si>
    <t>Mujeres</t>
  </si>
  <si>
    <t>Hombres</t>
  </si>
  <si>
    <t>Evolución de Titulación Total por sexo</t>
  </si>
  <si>
    <t>Evolución de Titulación Total por tipo de institución 2</t>
  </si>
  <si>
    <t xml:space="preserve">Evolución de Titulación Total por tipo de institución 2 </t>
  </si>
  <si>
    <t>Profesional sin licenciatura</t>
  </si>
  <si>
    <t>Profesional con licenciatura</t>
  </si>
  <si>
    <t>Evolución de Titulación Total de Pregrado por tipo de institución y tipo de carrera</t>
  </si>
  <si>
    <t>Evolución de Titulación Total de Pregrado por tipo de institución 2 y tipo de carrera</t>
  </si>
  <si>
    <t>Evolución de Titulación Total por nivel de formación</t>
  </si>
  <si>
    <t>Evolución de Titulación Total por tipo de institución y nivel de formación</t>
  </si>
  <si>
    <t>Evolución de Titulación Total por tipo de institución 2 y nivel de formación</t>
  </si>
  <si>
    <t>Evolución de Titulación Total de Posgrado por tipo de universidad</t>
  </si>
  <si>
    <t xml:space="preserve">Evolución de Titulación Total de Posgrado por tipo de universidad y tipo de programa </t>
  </si>
  <si>
    <t>Evolución de Titulación Total de Postítulo por tipo de institución y tipo de programa</t>
  </si>
  <si>
    <t>Evolución de Titulación Total de Pregrado por sexo</t>
  </si>
  <si>
    <t>Evolución de Titulación Total de Pregrado por sexo - CFT</t>
  </si>
  <si>
    <t>Evolución de Titulación Total de Pregrado por sexo - IP</t>
  </si>
  <si>
    <t>Evolución de Titulación Total de Pregrado por sexo - Universidades</t>
  </si>
  <si>
    <t>Sexo</t>
  </si>
  <si>
    <t>*Incluye programas de pregrado, posgrado y postítulo</t>
  </si>
  <si>
    <t>Nivel de formación</t>
  </si>
  <si>
    <t>Semipresencial</t>
  </si>
  <si>
    <t>A Distancia</t>
  </si>
  <si>
    <t>Evolución de Titulación Total de Pregrado en carreras con mayor titulación - CFT</t>
  </si>
  <si>
    <t>Técnico en Computación e Informática</t>
  </si>
  <si>
    <t>Fonoaudiología</t>
  </si>
  <si>
    <t>A distancia</t>
  </si>
  <si>
    <t>Evolución de Titulación Total de Pregrado por sexo y tipo de programa</t>
  </si>
  <si>
    <t>Evolución de Titulación Total de Postítulo por sexo y tipo de programa</t>
  </si>
  <si>
    <t>Tipo de Institución</t>
  </si>
  <si>
    <t>Postgrado</t>
  </si>
  <si>
    <t>Ingeniería en Recursos Humanos</t>
  </si>
  <si>
    <t>CFT BARROS ARANA</t>
  </si>
  <si>
    <t>U. Cruch Estatal</t>
  </si>
  <si>
    <t>U. Cruch Privada</t>
  </si>
  <si>
    <t>U. Privada</t>
  </si>
  <si>
    <t>Fuente: Servicio de Información de Educación Superior (SIES), de Mineduc.</t>
  </si>
  <si>
    <t xml:space="preserve">U. Cruch Estatal </t>
  </si>
  <si>
    <t>* Incluye Carreras Técnicas y Profesionales sin licenciatura.</t>
  </si>
  <si>
    <t>** Incluye solo Carreras Profesionales con licenciatura y Licenciaturas no conducentes a título.</t>
  </si>
  <si>
    <t>Tipo de universidad</t>
  </si>
  <si>
    <t>Sexo y tipo de programa</t>
  </si>
  <si>
    <t>Tipo de universidad y programa</t>
  </si>
  <si>
    <r>
      <t xml:space="preserve">Diplomado 
</t>
    </r>
    <r>
      <rPr>
        <sz val="10"/>
        <color theme="1"/>
        <rFont val="Calibri"/>
        <family val="2"/>
        <scheme val="minor"/>
      </rPr>
      <t>(superior a un semestre)</t>
    </r>
  </si>
  <si>
    <t>NOTA: En caso de utilizar datos de esta base para notas periodísticas o estudios, se debe citar como fuente de los datos al Servicio de Información de Educación Superior (SIES), de Mineduc</t>
  </si>
  <si>
    <t>Arica y Parinacota</t>
  </si>
  <si>
    <t>Tarapacá</t>
  </si>
  <si>
    <t>Antofagasta</t>
  </si>
  <si>
    <t>Atacama</t>
  </si>
  <si>
    <t>Coquimbo</t>
  </si>
  <si>
    <t>Valparaíso</t>
  </si>
  <si>
    <t>Lib. Gral B. O'Higgins</t>
  </si>
  <si>
    <t>Maule</t>
  </si>
  <si>
    <t>Biobío</t>
  </si>
  <si>
    <t>La Araucanía</t>
  </si>
  <si>
    <t>Los Ríos</t>
  </si>
  <si>
    <t>Los Lagos</t>
  </si>
  <si>
    <t>Aysén</t>
  </si>
  <si>
    <t>Magallanes</t>
  </si>
  <si>
    <t xml:space="preserve">Magallanes </t>
  </si>
  <si>
    <t xml:space="preserve">Agropecuaria </t>
  </si>
  <si>
    <t xml:space="preserve">Arte y Arquitectura </t>
  </si>
  <si>
    <t xml:space="preserve">Ciencias Básicas </t>
  </si>
  <si>
    <t xml:space="preserve">Ciencias Sociales </t>
  </si>
  <si>
    <t xml:space="preserve">Derecho </t>
  </si>
  <si>
    <t xml:space="preserve">Educación </t>
  </si>
  <si>
    <t xml:space="preserve">Humanidades </t>
  </si>
  <si>
    <t xml:space="preserve">Salud </t>
  </si>
  <si>
    <t xml:space="preserve">Tecnología </t>
  </si>
  <si>
    <t xml:space="preserve">Total general </t>
  </si>
  <si>
    <t>Diplomado 
(superior a un semestre)</t>
  </si>
  <si>
    <t>Metropolitana</t>
  </si>
  <si>
    <t>Técnico en Logística</t>
  </si>
  <si>
    <t>EVOLUCIÓN TITULACIÓN DE POSTÍTULO 2008 - 2017</t>
  </si>
  <si>
    <t>CFT LUIS ALBERTO VERA</t>
  </si>
  <si>
    <t>IP DE ARTES ESCENICAS KAREN CONNOLLY</t>
  </si>
  <si>
    <t>IP ESCUELA DE CINE DE CHILE</t>
  </si>
  <si>
    <t>% distribución Titulación 2018</t>
  </si>
  <si>
    <t>Total general Informe anterior</t>
  </si>
  <si>
    <t>Ñuble</t>
  </si>
  <si>
    <t>Técnico en Laboratorio Clínico</t>
  </si>
  <si>
    <t>Ingeniería Industrial</t>
  </si>
  <si>
    <t>-</t>
  </si>
  <si>
    <t>IP LATINOAMERICANO DE COMERCIO EXTERIOR - IPLACEX</t>
  </si>
  <si>
    <t>UNIVERSIDAD CATOLICA CARDENAL RAUL SILVA HENRIQUEZ</t>
  </si>
  <si>
    <t>CFT ACCIOMA</t>
  </si>
  <si>
    <t>CFT ALFA</t>
  </si>
  <si>
    <t>CFT CENTRO DE ENSEÑANZA DE ALTA COSTURA PAULINA DIARD</t>
  </si>
  <si>
    <t>CFT DE LA INDUSTRIA GRAFICA</t>
  </si>
  <si>
    <t>CFT ESCUELA CULINARIA FRANCESA</t>
  </si>
  <si>
    <t>CFT ESCUELA SUPERIOR DE ADMINISTRACION DE NEGOCIOS DEL NORTE - ESANE DEL NORTE</t>
  </si>
  <si>
    <t>CFT PUCV</t>
  </si>
  <si>
    <t>CFT SAN AGUSTIN</t>
  </si>
  <si>
    <t>CFT UV</t>
  </si>
  <si>
    <t>IP ADVENTISTA</t>
  </si>
  <si>
    <t>IP CHILENO BRITANICO DE CULTURA</t>
  </si>
  <si>
    <t>Titulación Total 2018 por tipo de institución y nivel de formación</t>
  </si>
  <si>
    <t>INFORME TITULACIÓN 2018</t>
  </si>
  <si>
    <t>1. TITULACIÓN TOTAL 2018</t>
  </si>
  <si>
    <t>Titulación Total 2018 por tipo de institución y sexo</t>
  </si>
  <si>
    <t>Titulación Total 2018 por tipo de institución 2 y nivel de formación</t>
  </si>
  <si>
    <t>Titulación Total 2018 por tipo de institución 2 y sexo</t>
  </si>
  <si>
    <t>Titulación Total 2018 por región y sexo</t>
  </si>
  <si>
    <t>Titulación Total 2018  por área y sexo</t>
  </si>
  <si>
    <t>2. EVOLUCIÓN TITULACIÓN TOTAL 2008 - 2018</t>
  </si>
  <si>
    <t>3. TITULACIÓN DE PREGRADO 2018</t>
  </si>
  <si>
    <t>Titulación Total 2018 de Pregrado por sexo y tipo de institución</t>
  </si>
  <si>
    <t xml:space="preserve">Titulación Total 2018 de Pregrado por rango de edad y tipo de institución </t>
  </si>
  <si>
    <t>Titulación Total 2018 de Pregrado por tipo de carrera y tipo de institución</t>
  </si>
  <si>
    <t>Titulación Total 2018 de Pregrado por área y tipo de institución</t>
  </si>
  <si>
    <t>Titulación Total 2018 de Pregrado por área y sexo</t>
  </si>
  <si>
    <t>Titulación Total 2018 de Pregrado por jornada y tipo de institución</t>
  </si>
  <si>
    <t>Titulación Total 2018 de Pregrado por región y tipo de institución</t>
  </si>
  <si>
    <t>Titulación Total 2018 de Pregrado por región y sexo</t>
  </si>
  <si>
    <t>4. EVOLUCIÓN TITULACIÓN DE PREGRADO 2008 - 2018</t>
  </si>
  <si>
    <t>5. TITULACIÓN DE POSGRADO 2018</t>
  </si>
  <si>
    <t>Titulación Total 2018 de Posgrado por tipo de universidad y tipo de programa</t>
  </si>
  <si>
    <t>Titulación Total 2018 de Posgrado por sexo y tipo de programa</t>
  </si>
  <si>
    <t>Titulación Total 2018 de Posgrado por rango de edad y tipo de programa</t>
  </si>
  <si>
    <t>Titulación Total 2018 de Posgrado por área y tipo de programa</t>
  </si>
  <si>
    <t>Titulación Total 2018 de Posgrado por jornada y tipo de programa</t>
  </si>
  <si>
    <t>Titulación Total 2018 de Posgrado por región y tipo de programa</t>
  </si>
  <si>
    <t>Titulación Total 2018 de Posgrado por área y sexo</t>
  </si>
  <si>
    <t>Titulación Total 2018 de Posgrado por región y sexo</t>
  </si>
  <si>
    <t>6. EVOLUCIÓN TITULACIÓN DE POSGRADO 2008 - 2018</t>
  </si>
  <si>
    <t>7. TITULACIÓN DE POSTÍTULO 2018</t>
  </si>
  <si>
    <t>Titulación Total 2018 de Postítulo por tipo de universidad y tipo de programa</t>
  </si>
  <si>
    <t>Titulación Total 2018 de Postítulo por sexo y tipo de programa</t>
  </si>
  <si>
    <t>Titulación Total 2018 de Postítulo por rango de edad y tipo de programa</t>
  </si>
  <si>
    <t>Titulación Total 2018 de Postítulo por área y tipo de programa</t>
  </si>
  <si>
    <t>Titulación Total 2018 de Postítulo por jornada y tipo de programa</t>
  </si>
  <si>
    <t>Titulación Total 2018 de Postítulo por región y tipo de programa</t>
  </si>
  <si>
    <t>Titulación Total 2018 de Postítulo por área y sexo</t>
  </si>
  <si>
    <t>Titulación Total 2018 de Postítulo por región y sexo</t>
  </si>
  <si>
    <t>8. EVOLUCIÓN TITULACIÓN DE POSTÍTULO 2008 - 2018</t>
  </si>
  <si>
    <t>Listado de instituciones participantes 2018</t>
  </si>
  <si>
    <t>TITULACIÓN TOTAL 2018</t>
  </si>
  <si>
    <t>EVOLUCIÓN TITULACIÓN TOTAL 2008 - 2018</t>
  </si>
  <si>
    <t>TITULACIÓN DE PREGRADO 2018</t>
  </si>
  <si>
    <t>Titulación 2018 de Pregrado Mujeres</t>
  </si>
  <si>
    <t>Titulación 2018 de Pregrado Hombres</t>
  </si>
  <si>
    <t>Titulación Total 2018 de Pregrado</t>
  </si>
  <si>
    <t>EVOLUCIÓN TITULACIÓN DE PREGRADO 2008-2018</t>
  </si>
  <si>
    <t>TITULACIÓN DE POSGRADO 2018</t>
  </si>
  <si>
    <t>Titulación 2018 de Posgrado Mujeres</t>
  </si>
  <si>
    <t>Titulación 2018 de Posgrado Hombres</t>
  </si>
  <si>
    <t>Titulación Total 2018 de Posgrado</t>
  </si>
  <si>
    <t>EVOLUCIÓN TITULACIÓN DE POSGRADO 2008 - 2018</t>
  </si>
  <si>
    <t>TITULACIÓN DE POSTÍTULO 2018</t>
  </si>
  <si>
    <t>Titulación Total 2018 de Postítulo por tipo de institución y tipo de programa</t>
  </si>
  <si>
    <t>Titulación 2018 de Postìtulo Mujeres</t>
  </si>
  <si>
    <t>Titulación 2018 de Postítulo Hombres</t>
  </si>
  <si>
    <t>Titulación Total 2018 de Postítulo</t>
  </si>
  <si>
    <t>Instituciones participantes en proceso Titulación 2018</t>
  </si>
  <si>
    <t>Titulados de Pregrado 2018</t>
  </si>
  <si>
    <t>Titulados de Posgrado 2018</t>
  </si>
  <si>
    <t>Titulados de Postítulo 2018</t>
  </si>
  <si>
    <t>Total Titulados y/o graduados 2018</t>
  </si>
  <si>
    <t>% de variación 2017 - 2018</t>
  </si>
  <si>
    <t>% de variación 2008 - 2018</t>
  </si>
  <si>
    <t>Titulación Total 2018  por área del conocimiento y sexo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</si>
</sst>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\ _€_-;\-* #,##0.00\ _€_-;_-* &quot;-&quot;??\ _€_-;_-@_-"/>
    <numFmt numFmtId="164" formatCode="_-* #,##0.00_-;\-* #,##0.00_-;_-* &quot;-&quot;??_-;_-@_-"/>
    <numFmt numFmtId="165" formatCode="_-* #,##0_-;\-* #,##0_-;_-* &quot;-&quot;??_-;_-@_-"/>
    <numFmt numFmtId="166" formatCode="0.0%"/>
    <numFmt numFmtId="167" formatCode="_-* #,##0.0_-;\-* #,##0.0_-;_-* &quot;-&quot;??_-;_-@_-"/>
    <numFmt numFmtId="168" formatCode="_-* #,##0\ _€_-;\-* #,##0\ _€_-;_-* &quot;-&quot;??\ _€_-;_-@_-"/>
    <numFmt numFmtId="169" formatCode="_-* #,##0.0\ _€_-;\-* #,##0.0\ _€_-;_-* &quot;-&quot;??\ _€_-;_-@_-"/>
  </numFmts>
  <fonts count="21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26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4">
    <xf numFmtId="0" fontId="0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6" fillId="0" borderId="0"/>
    <xf numFmtId="9" fontId="17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23">
    <xf numFmtId="0" fontId="0" fillId="0" borderId="0" xfId="0"/>
    <xf numFmtId="0" fontId="4" fillId="0" borderId="0" xfId="1" applyAlignment="1">
      <alignment vertical="center"/>
    </xf>
    <xf numFmtId="0" fontId="4" fillId="0" borderId="0" xfId="1"/>
    <xf numFmtId="0" fontId="3" fillId="2" borderId="1" xfId="1" applyFont="1" applyFill="1" applyBorder="1" applyAlignment="1">
      <alignment horizontal="center" vertical="center"/>
    </xf>
    <xf numFmtId="165" fontId="2" fillId="3" borderId="1" xfId="2" applyNumberFormat="1" applyFont="1" applyFill="1" applyBorder="1" applyAlignment="1">
      <alignment horizontal="left" vertical="center"/>
    </xf>
    <xf numFmtId="165" fontId="3" fillId="3" borderId="1" xfId="2" applyNumberFormat="1" applyFont="1" applyFill="1" applyBorder="1" applyAlignment="1">
      <alignment horizontal="left" vertical="center"/>
    </xf>
    <xf numFmtId="166" fontId="0" fillId="0" borderId="0" xfId="3" applyNumberFormat="1" applyFont="1" applyAlignment="1">
      <alignment vertical="center"/>
    </xf>
    <xf numFmtId="0" fontId="3" fillId="4" borderId="1" xfId="1" applyFont="1" applyFill="1" applyBorder="1" applyAlignment="1">
      <alignment horizontal="center" vertical="center" wrapText="1"/>
    </xf>
    <xf numFmtId="165" fontId="2" fillId="3" borderId="1" xfId="4" applyNumberFormat="1" applyFont="1" applyFill="1" applyBorder="1" applyAlignment="1">
      <alignment horizontal="left" vertical="center"/>
    </xf>
    <xf numFmtId="165" fontId="2" fillId="0" borderId="1" xfId="4" applyNumberFormat="1" applyFont="1" applyBorder="1" applyAlignment="1">
      <alignment horizontal="center" vertical="center"/>
    </xf>
    <xf numFmtId="165" fontId="3" fillId="3" borderId="1" xfId="4" applyNumberFormat="1" applyFont="1" applyFill="1" applyBorder="1" applyAlignment="1">
      <alignment horizontal="left" vertical="center"/>
    </xf>
    <xf numFmtId="165" fontId="3" fillId="0" borderId="1" xfId="4" applyNumberFormat="1" applyFont="1" applyBorder="1" applyAlignment="1">
      <alignment horizontal="center" vertical="center"/>
    </xf>
    <xf numFmtId="0" fontId="9" fillId="0" borderId="0" xfId="1" applyFont="1" applyAlignment="1">
      <alignment vertical="center"/>
    </xf>
    <xf numFmtId="0" fontId="3" fillId="2" borderId="1" xfId="1" applyFont="1" applyFill="1" applyBorder="1" applyAlignment="1">
      <alignment horizontal="center" vertical="center" wrapText="1"/>
    </xf>
    <xf numFmtId="166" fontId="2" fillId="3" borderId="1" xfId="3" applyNumberFormat="1" applyFont="1" applyFill="1" applyBorder="1" applyAlignment="1">
      <alignment horizontal="center" vertical="center"/>
    </xf>
    <xf numFmtId="166" fontId="0" fillId="0" borderId="0" xfId="3" applyNumberFormat="1" applyFont="1"/>
    <xf numFmtId="166" fontId="3" fillId="3" borderId="1" xfId="3" applyNumberFormat="1" applyFont="1" applyFill="1" applyBorder="1" applyAlignment="1">
      <alignment horizontal="center" vertical="center"/>
    </xf>
    <xf numFmtId="165" fontId="3" fillId="0" borderId="1" xfId="1" applyNumberFormat="1" applyFont="1" applyBorder="1" applyAlignment="1">
      <alignment vertical="center"/>
    </xf>
    <xf numFmtId="165" fontId="2" fillId="0" borderId="1" xfId="1" applyNumberFormat="1" applyFont="1" applyBorder="1" applyAlignment="1">
      <alignment vertical="center"/>
    </xf>
    <xf numFmtId="165" fontId="2" fillId="0" borderId="1" xfId="4" applyNumberFormat="1" applyFont="1" applyFill="1" applyBorder="1" applyAlignment="1">
      <alignment horizontal="left" vertical="center"/>
    </xf>
    <xf numFmtId="165" fontId="3" fillId="0" borderId="1" xfId="4" applyNumberFormat="1" applyFont="1" applyFill="1" applyBorder="1" applyAlignment="1">
      <alignment horizontal="left" vertical="center"/>
    </xf>
    <xf numFmtId="165" fontId="2" fillId="3" borderId="1" xfId="2" applyNumberFormat="1" applyFont="1" applyFill="1" applyBorder="1" applyAlignment="1">
      <alignment horizontal="center" vertical="center"/>
    </xf>
    <xf numFmtId="165" fontId="3" fillId="3" borderId="1" xfId="2" applyNumberFormat="1" applyFont="1" applyFill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0" fontId="6" fillId="3" borderId="0" xfId="1" applyFont="1" applyFill="1" applyAlignment="1">
      <alignment vertical="center"/>
    </xf>
    <xf numFmtId="0" fontId="14" fillId="0" borderId="0" xfId="1" applyFont="1" applyFill="1" applyBorder="1" applyAlignment="1">
      <alignment vertical="center"/>
    </xf>
    <xf numFmtId="0" fontId="9" fillId="0" borderId="0" xfId="1" applyFont="1" applyAlignment="1">
      <alignment horizontal="center" vertical="center"/>
    </xf>
    <xf numFmtId="0" fontId="9" fillId="0" borderId="0" xfId="1" applyFont="1" applyFill="1" applyAlignment="1">
      <alignment vertical="center"/>
    </xf>
    <xf numFmtId="0" fontId="4" fillId="0" borderId="0" xfId="1" applyFont="1" applyAlignment="1">
      <alignment horizontal="center" vertical="center"/>
    </xf>
    <xf numFmtId="0" fontId="4" fillId="0" borderId="0" xfId="1" applyFill="1" applyAlignment="1">
      <alignment vertical="center"/>
    </xf>
    <xf numFmtId="0" fontId="5" fillId="0" borderId="0" xfId="1" applyFont="1" applyFill="1" applyAlignment="1">
      <alignment vertical="center"/>
    </xf>
    <xf numFmtId="165" fontId="0" fillId="3" borderId="1" xfId="2" applyNumberFormat="1" applyFont="1" applyFill="1" applyBorder="1" applyAlignment="1">
      <alignment horizontal="left" vertical="center"/>
    </xf>
    <xf numFmtId="165" fontId="3" fillId="3" borderId="0" xfId="2" applyNumberFormat="1" applyFont="1" applyFill="1" applyBorder="1" applyAlignment="1">
      <alignment horizontal="left" vertical="center"/>
    </xf>
    <xf numFmtId="0" fontId="4" fillId="0" borderId="0" xfId="1" applyAlignment="1">
      <alignment horizontal="left" vertical="center"/>
    </xf>
    <xf numFmtId="165" fontId="2" fillId="3" borderId="1" xfId="7" applyNumberFormat="1" applyFont="1" applyFill="1" applyBorder="1" applyAlignment="1">
      <alignment horizontal="left" vertical="center"/>
    </xf>
    <xf numFmtId="0" fontId="8" fillId="0" borderId="0" xfId="5"/>
    <xf numFmtId="0" fontId="8" fillId="0" borderId="0" xfId="5" applyAlignment="1">
      <alignment vertical="center"/>
    </xf>
    <xf numFmtId="0" fontId="5" fillId="3" borderId="0" xfId="1" applyFont="1" applyFill="1" applyAlignment="1">
      <alignment vertical="center"/>
    </xf>
    <xf numFmtId="0" fontId="7" fillId="3" borderId="0" xfId="0" applyFont="1" applyFill="1"/>
    <xf numFmtId="0" fontId="4" fillId="3" borderId="0" xfId="1" applyFill="1" applyAlignment="1">
      <alignment vertical="center"/>
    </xf>
    <xf numFmtId="0" fontId="6" fillId="3" borderId="0" xfId="1" applyFont="1" applyFill="1" applyAlignment="1">
      <alignment horizontal="left" vertical="center"/>
    </xf>
    <xf numFmtId="0" fontId="19" fillId="2" borderId="1" xfId="0" applyFont="1" applyFill="1" applyBorder="1" applyAlignment="1">
      <alignment horizontal="left" vertical="center" wrapText="1"/>
    </xf>
    <xf numFmtId="168" fontId="2" fillId="0" borderId="1" xfId="22" applyNumberFormat="1" applyFont="1" applyBorder="1" applyAlignment="1">
      <alignment horizontal="center" vertical="center"/>
    </xf>
    <xf numFmtId="168" fontId="3" fillId="0" borderId="1" xfId="22" applyNumberFormat="1" applyFont="1" applyBorder="1" applyAlignment="1">
      <alignment horizontal="center" vertical="center"/>
    </xf>
    <xf numFmtId="168" fontId="4" fillId="0" borderId="0" xfId="22" applyNumberFormat="1" applyFont="1" applyAlignment="1">
      <alignment vertical="center"/>
    </xf>
    <xf numFmtId="168" fontId="4" fillId="3" borderId="0" xfId="22" applyNumberFormat="1" applyFont="1" applyFill="1" applyAlignment="1">
      <alignment vertical="center"/>
    </xf>
    <xf numFmtId="168" fontId="3" fillId="4" borderId="1" xfId="22" applyNumberFormat="1" applyFont="1" applyFill="1" applyBorder="1" applyAlignment="1">
      <alignment horizontal="center" vertical="center" wrapText="1"/>
    </xf>
    <xf numFmtId="168" fontId="11" fillId="0" borderId="1" xfId="22" applyNumberFormat="1" applyFont="1" applyFill="1" applyBorder="1" applyAlignment="1">
      <alignment horizontal="right" vertical="center"/>
    </xf>
    <xf numFmtId="168" fontId="12" fillId="0" borderId="1" xfId="22" applyNumberFormat="1" applyFont="1" applyFill="1" applyBorder="1" applyAlignment="1">
      <alignment horizontal="right" vertical="center"/>
    </xf>
    <xf numFmtId="168" fontId="13" fillId="0" borderId="1" xfId="22" applyNumberFormat="1" applyFont="1" applyFill="1" applyBorder="1" applyAlignment="1">
      <alignment horizontal="right" vertical="center"/>
    </xf>
    <xf numFmtId="168" fontId="4" fillId="0" borderId="0" xfId="22" applyNumberFormat="1" applyFont="1"/>
    <xf numFmtId="168" fontId="19" fillId="2" borderId="1" xfId="22" applyNumberFormat="1" applyFont="1" applyFill="1" applyBorder="1" applyAlignment="1">
      <alignment horizontal="center" vertical="center" wrapText="1"/>
    </xf>
    <xf numFmtId="168" fontId="6" fillId="3" borderId="0" xfId="22" applyNumberFormat="1" applyFont="1" applyFill="1" applyAlignment="1">
      <alignment vertical="center"/>
    </xf>
    <xf numFmtId="168" fontId="3" fillId="4" borderId="1" xfId="22" applyNumberFormat="1" applyFont="1" applyFill="1" applyBorder="1" applyAlignment="1">
      <alignment vertical="center"/>
    </xf>
    <xf numFmtId="168" fontId="0" fillId="0" borderId="1" xfId="22" applyNumberFormat="1" applyFont="1" applyBorder="1" applyAlignment="1">
      <alignment vertical="center"/>
    </xf>
    <xf numFmtId="168" fontId="3" fillId="0" borderId="1" xfId="22" applyNumberFormat="1" applyFont="1" applyBorder="1" applyAlignment="1">
      <alignment vertical="center"/>
    </xf>
    <xf numFmtId="168" fontId="3" fillId="2" borderId="1" xfId="22" applyNumberFormat="1" applyFont="1" applyFill="1" applyBorder="1" applyAlignment="1">
      <alignment horizontal="left" vertical="center"/>
    </xf>
    <xf numFmtId="168" fontId="2" fillId="3" borderId="1" xfId="22" applyNumberFormat="1" applyFont="1" applyFill="1" applyBorder="1" applyAlignment="1">
      <alignment horizontal="left" vertical="center"/>
    </xf>
    <xf numFmtId="168" fontId="3" fillId="3" borderId="1" xfId="22" applyNumberFormat="1" applyFont="1" applyFill="1" applyBorder="1" applyAlignment="1">
      <alignment horizontal="left" vertical="center"/>
    </xf>
    <xf numFmtId="168" fontId="3" fillId="4" borderId="1" xfId="22" applyNumberFormat="1" applyFont="1" applyFill="1" applyBorder="1" applyAlignment="1">
      <alignment horizontal="left" vertical="center"/>
    </xf>
    <xf numFmtId="168" fontId="3" fillId="3" borderId="0" xfId="22" applyNumberFormat="1" applyFont="1" applyFill="1" applyBorder="1" applyAlignment="1">
      <alignment vertical="center"/>
    </xf>
    <xf numFmtId="168" fontId="3" fillId="3" borderId="0" xfId="22" applyNumberFormat="1" applyFont="1" applyFill="1" applyBorder="1" applyAlignment="1">
      <alignment horizontal="center" vertical="center"/>
    </xf>
    <xf numFmtId="168" fontId="5" fillId="3" borderId="0" xfId="22" applyNumberFormat="1" applyFont="1" applyFill="1" applyAlignment="1">
      <alignment vertical="center"/>
    </xf>
    <xf numFmtId="168" fontId="2" fillId="0" borderId="1" xfId="22" applyNumberFormat="1" applyFont="1" applyFill="1" applyBorder="1" applyAlignment="1">
      <alignment horizontal="center" vertical="center"/>
    </xf>
    <xf numFmtId="168" fontId="3" fillId="0" borderId="1" xfId="22" applyNumberFormat="1" applyFont="1" applyFill="1" applyBorder="1" applyAlignment="1">
      <alignment horizontal="center" vertical="center"/>
    </xf>
    <xf numFmtId="0" fontId="20" fillId="3" borderId="0" xfId="1" applyFont="1" applyFill="1" applyAlignment="1">
      <alignment vertical="center"/>
    </xf>
    <xf numFmtId="0" fontId="1" fillId="3" borderId="0" xfId="6" applyFont="1" applyFill="1" applyAlignment="1">
      <alignment vertical="center"/>
    </xf>
    <xf numFmtId="166" fontId="0" fillId="3" borderId="0" xfId="3" applyNumberFormat="1" applyFont="1" applyFill="1" applyAlignment="1">
      <alignment vertical="center"/>
    </xf>
    <xf numFmtId="9" fontId="0" fillId="3" borderId="0" xfId="3" applyFont="1" applyFill="1" applyAlignment="1">
      <alignment vertical="center"/>
    </xf>
    <xf numFmtId="0" fontId="7" fillId="3" borderId="0" xfId="1" applyFont="1" applyFill="1" applyAlignment="1">
      <alignment horizontal="left" vertical="center"/>
    </xf>
    <xf numFmtId="0" fontId="8" fillId="3" borderId="0" xfId="5" applyFill="1" applyAlignment="1">
      <alignment vertical="center"/>
    </xf>
    <xf numFmtId="0" fontId="9" fillId="3" borderId="0" xfId="1" applyFont="1" applyFill="1" applyAlignment="1">
      <alignment vertical="center"/>
    </xf>
    <xf numFmtId="168" fontId="4" fillId="3" borderId="0" xfId="22" applyNumberFormat="1" applyFont="1" applyFill="1"/>
    <xf numFmtId="168" fontId="8" fillId="3" borderId="0" xfId="22" applyNumberFormat="1" applyFont="1" applyFill="1"/>
    <xf numFmtId="0" fontId="10" fillId="3" borderId="0" xfId="1" applyFont="1" applyFill="1" applyAlignment="1">
      <alignment horizontal="left" vertical="center"/>
    </xf>
    <xf numFmtId="0" fontId="4" fillId="3" borderId="0" xfId="1" applyFill="1" applyAlignment="1">
      <alignment horizontal="left" vertical="center"/>
    </xf>
    <xf numFmtId="0" fontId="5" fillId="3" borderId="0" xfId="1" applyFont="1" applyFill="1" applyAlignment="1">
      <alignment horizontal="left" vertical="center"/>
    </xf>
    <xf numFmtId="0" fontId="8" fillId="3" borderId="0" xfId="5" applyFill="1" applyAlignment="1">
      <alignment horizontal="left" vertical="center"/>
    </xf>
    <xf numFmtId="165" fontId="3" fillId="0" borderId="1" xfId="2" applyNumberFormat="1" applyFont="1" applyFill="1" applyBorder="1" applyAlignment="1">
      <alignment horizontal="left" vertical="center"/>
    </xf>
    <xf numFmtId="165" fontId="3" fillId="0" borderId="1" xfId="2" applyNumberFormat="1" applyFont="1" applyFill="1" applyBorder="1" applyAlignment="1">
      <alignment horizontal="center" vertical="center"/>
    </xf>
    <xf numFmtId="168" fontId="3" fillId="0" borderId="1" xfId="22" applyNumberFormat="1" applyFont="1" applyFill="1" applyBorder="1" applyAlignment="1">
      <alignment horizontal="left" vertical="center"/>
    </xf>
    <xf numFmtId="166" fontId="0" fillId="3" borderId="1" xfId="23" applyNumberFormat="1" applyFont="1" applyFill="1" applyBorder="1" applyAlignment="1">
      <alignment horizontal="center" vertical="center"/>
    </xf>
    <xf numFmtId="166" fontId="3" fillId="3" borderId="1" xfId="23" applyNumberFormat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165" fontId="2" fillId="3" borderId="1" xfId="2" applyNumberFormat="1" applyFont="1" applyFill="1" applyBorder="1" applyAlignment="1">
      <alignment horizontal="left" vertical="center" indent="1"/>
    </xf>
    <xf numFmtId="0" fontId="20" fillId="3" borderId="0" xfId="1" applyFont="1" applyFill="1" applyAlignment="1">
      <alignment horizontal="left" vertical="center"/>
    </xf>
    <xf numFmtId="168" fontId="20" fillId="3" borderId="0" xfId="22" applyNumberFormat="1" applyFont="1" applyFill="1" applyAlignment="1">
      <alignment vertical="center"/>
    </xf>
    <xf numFmtId="165" fontId="3" fillId="4" borderId="1" xfId="2" applyNumberFormat="1" applyFont="1" applyFill="1" applyBorder="1" applyAlignment="1">
      <alignment horizontal="left" vertical="center"/>
    </xf>
    <xf numFmtId="168" fontId="3" fillId="4" borderId="1" xfId="22" applyNumberFormat="1" applyFont="1" applyFill="1" applyBorder="1" applyAlignment="1">
      <alignment horizontal="left" vertical="center" wrapText="1"/>
    </xf>
    <xf numFmtId="165" fontId="0" fillId="3" borderId="1" xfId="4" applyNumberFormat="1" applyFont="1" applyFill="1" applyBorder="1" applyAlignment="1">
      <alignment horizontal="left" vertical="center"/>
    </xf>
    <xf numFmtId="0" fontId="6" fillId="0" borderId="0" xfId="1" applyFont="1" applyAlignment="1">
      <alignment vertical="center"/>
    </xf>
    <xf numFmtId="168" fontId="0" fillId="3" borderId="1" xfId="22" applyNumberFormat="1" applyFont="1" applyFill="1" applyBorder="1" applyAlignment="1">
      <alignment horizontal="left" vertical="center"/>
    </xf>
    <xf numFmtId="166" fontId="2" fillId="4" borderId="1" xfId="3" applyNumberFormat="1" applyFont="1" applyFill="1" applyBorder="1" applyAlignment="1">
      <alignment horizontal="center" vertical="center"/>
    </xf>
    <xf numFmtId="167" fontId="3" fillId="4" borderId="1" xfId="2" applyNumberFormat="1" applyFont="1" applyFill="1" applyBorder="1" applyAlignment="1">
      <alignment horizontal="left" vertical="center"/>
    </xf>
    <xf numFmtId="169" fontId="3" fillId="4" borderId="1" xfId="22" applyNumberFormat="1" applyFont="1" applyFill="1" applyBorder="1" applyAlignment="1">
      <alignment horizontal="center" vertical="center"/>
    </xf>
    <xf numFmtId="165" fontId="0" fillId="0" borderId="1" xfId="4" applyNumberFormat="1" applyFont="1" applyFill="1" applyBorder="1" applyAlignment="1">
      <alignment horizontal="left" vertical="center"/>
    </xf>
    <xf numFmtId="168" fontId="0" fillId="0" borderId="1" xfId="22" applyNumberFormat="1" applyFont="1" applyFill="1" applyBorder="1" applyAlignment="1">
      <alignment horizontal="left" vertical="center"/>
    </xf>
    <xf numFmtId="165" fontId="2" fillId="3" borderId="1" xfId="4" applyNumberFormat="1" applyFont="1" applyFill="1" applyBorder="1" applyAlignment="1">
      <alignment horizontal="center" vertical="center"/>
    </xf>
    <xf numFmtId="165" fontId="3" fillId="3" borderId="1" xfId="4" applyNumberFormat="1" applyFont="1" applyFill="1" applyBorder="1" applyAlignment="1">
      <alignment horizontal="center" vertical="center"/>
    </xf>
    <xf numFmtId="166" fontId="2" fillId="3" borderId="1" xfId="23" applyNumberFormat="1" applyFont="1" applyFill="1" applyBorder="1" applyAlignment="1">
      <alignment horizontal="center" vertical="center"/>
    </xf>
    <xf numFmtId="169" fontId="3" fillId="4" borderId="1" xfId="22" applyNumberFormat="1" applyFont="1" applyFill="1" applyBorder="1" applyAlignment="1">
      <alignment horizontal="left" vertical="center"/>
    </xf>
    <xf numFmtId="0" fontId="8" fillId="0" borderId="0" xfId="5" applyFill="1"/>
    <xf numFmtId="165" fontId="3" fillId="3" borderId="1" xfId="1" applyNumberFormat="1" applyFont="1" applyFill="1" applyBorder="1" applyAlignment="1">
      <alignment horizontal="center" vertical="center"/>
    </xf>
    <xf numFmtId="166" fontId="2" fillId="3" borderId="0" xfId="23" applyNumberFormat="1" applyFont="1" applyFill="1" applyBorder="1" applyAlignment="1">
      <alignment horizontal="center" vertical="center"/>
    </xf>
    <xf numFmtId="166" fontId="2" fillId="3" borderId="0" xfId="3" applyNumberFormat="1" applyFont="1" applyFill="1" applyBorder="1" applyAlignment="1">
      <alignment horizontal="center" vertical="center"/>
    </xf>
    <xf numFmtId="9" fontId="2" fillId="3" borderId="1" xfId="23" applyFont="1" applyFill="1" applyBorder="1" applyAlignment="1">
      <alignment horizontal="center" vertical="center"/>
    </xf>
    <xf numFmtId="9" fontId="3" fillId="3" borderId="1" xfId="23" applyFont="1" applyFill="1" applyBorder="1" applyAlignment="1">
      <alignment horizontal="center" vertical="center"/>
    </xf>
    <xf numFmtId="166" fontId="4" fillId="0" borderId="0" xfId="23" applyNumberFormat="1" applyFont="1" applyAlignment="1">
      <alignment horizontal="right" vertical="center"/>
    </xf>
    <xf numFmtId="166" fontId="4" fillId="0" borderId="0" xfId="23" applyNumberFormat="1" applyFont="1" applyAlignment="1">
      <alignment vertical="center"/>
    </xf>
    <xf numFmtId="166" fontId="2" fillId="0" borderId="1" xfId="23" applyNumberFormat="1" applyFont="1" applyFill="1" applyBorder="1" applyAlignment="1">
      <alignment horizontal="center" vertical="center"/>
    </xf>
    <xf numFmtId="166" fontId="3" fillId="0" borderId="1" xfId="23" applyNumberFormat="1" applyFont="1" applyFill="1" applyBorder="1" applyAlignment="1">
      <alignment horizontal="center" vertical="center"/>
    </xf>
    <xf numFmtId="166" fontId="2" fillId="0" borderId="1" xfId="3" applyNumberFormat="1" applyFont="1" applyFill="1" applyBorder="1" applyAlignment="1">
      <alignment horizontal="center" vertical="center"/>
    </xf>
    <xf numFmtId="166" fontId="3" fillId="0" borderId="1" xfId="3" applyNumberFormat="1" applyFont="1" applyFill="1" applyBorder="1" applyAlignment="1">
      <alignment horizontal="center" vertical="center"/>
    </xf>
    <xf numFmtId="165" fontId="2" fillId="0" borderId="1" xfId="2" applyNumberFormat="1" applyFont="1" applyFill="1" applyBorder="1" applyAlignment="1">
      <alignment horizontal="left" vertical="center"/>
    </xf>
    <xf numFmtId="165" fontId="2" fillId="0" borderId="1" xfId="2" applyNumberFormat="1" applyFont="1" applyFill="1" applyBorder="1" applyAlignment="1">
      <alignment horizontal="center" vertical="center"/>
    </xf>
    <xf numFmtId="165" fontId="3" fillId="0" borderId="1" xfId="1" applyNumberFormat="1" applyFont="1" applyFill="1" applyBorder="1" applyAlignment="1">
      <alignment horizontal="center" vertical="center"/>
    </xf>
    <xf numFmtId="165" fontId="2" fillId="0" borderId="1" xfId="2" applyNumberFormat="1" applyFont="1" applyFill="1" applyBorder="1" applyAlignment="1">
      <alignment horizontal="left" vertical="center" indent="1"/>
    </xf>
    <xf numFmtId="165" fontId="2" fillId="0" borderId="1" xfId="1" applyNumberFormat="1" applyFont="1" applyFill="1" applyBorder="1" applyAlignment="1">
      <alignment horizontal="center" vertical="center"/>
    </xf>
    <xf numFmtId="169" fontId="3" fillId="0" borderId="1" xfId="22" applyNumberFormat="1" applyFont="1" applyFill="1" applyBorder="1" applyAlignment="1">
      <alignment horizontal="left" vertical="center"/>
    </xf>
    <xf numFmtId="166" fontId="4" fillId="3" borderId="0" xfId="23" applyNumberFormat="1" applyFont="1" applyFill="1" applyAlignment="1">
      <alignment horizontal="right" vertical="center"/>
    </xf>
    <xf numFmtId="166" fontId="4" fillId="3" borderId="0" xfId="23" applyNumberFormat="1" applyFont="1" applyFill="1" applyAlignment="1">
      <alignment horizontal="center" vertical="center"/>
    </xf>
    <xf numFmtId="166" fontId="4" fillId="3" borderId="0" xfId="1" applyNumberFormat="1" applyFill="1" applyAlignment="1">
      <alignment horizontal="center" vertical="center"/>
    </xf>
  </cellXfs>
  <cellStyles count="24">
    <cellStyle name="Hipervínculo" xfId="5" builtinId="8"/>
    <cellStyle name="Millares" xfId="22" builtinId="3"/>
    <cellStyle name="Millares 2" xfId="2" xr:uid="{00000000-0005-0000-0000-000002000000}"/>
    <cellStyle name="Millares 2 2" xfId="8" xr:uid="{00000000-0005-0000-0000-000003000000}"/>
    <cellStyle name="Millares 3" xfId="13" xr:uid="{00000000-0005-0000-0000-000004000000}"/>
    <cellStyle name="Millares 4" xfId="4" xr:uid="{00000000-0005-0000-0000-000005000000}"/>
    <cellStyle name="Millares 4 2" xfId="21" xr:uid="{00000000-0005-0000-0000-000006000000}"/>
    <cellStyle name="Millares 5" xfId="7" xr:uid="{00000000-0005-0000-0000-000007000000}"/>
    <cellStyle name="Normal" xfId="0" builtinId="0"/>
    <cellStyle name="Normal 2" xfId="1" xr:uid="{00000000-0005-0000-0000-000009000000}"/>
    <cellStyle name="Normal 2 2" xfId="14" xr:uid="{00000000-0005-0000-0000-00000A000000}"/>
    <cellStyle name="Normal 2 3" xfId="10" xr:uid="{00000000-0005-0000-0000-00000B000000}"/>
    <cellStyle name="Normal 3" xfId="12" xr:uid="{00000000-0005-0000-0000-00000C000000}"/>
    <cellStyle name="Normal 3 2" xfId="15" xr:uid="{00000000-0005-0000-0000-00000D000000}"/>
    <cellStyle name="Normal 3 3" xfId="16" xr:uid="{00000000-0005-0000-0000-00000E000000}"/>
    <cellStyle name="Normal 3 4" xfId="17" xr:uid="{00000000-0005-0000-0000-00000F000000}"/>
    <cellStyle name="Normal 4" xfId="18" xr:uid="{00000000-0005-0000-0000-000010000000}"/>
    <cellStyle name="Normal 5" xfId="6" xr:uid="{00000000-0005-0000-0000-000011000000}"/>
    <cellStyle name="Normal 5 2" xfId="19" xr:uid="{00000000-0005-0000-0000-000012000000}"/>
    <cellStyle name="Porcentaje" xfId="23" builtinId="5"/>
    <cellStyle name="Porcentaje 2" xfId="3" xr:uid="{00000000-0005-0000-0000-000013000000}"/>
    <cellStyle name="Porcentaje 2 2" xfId="9" xr:uid="{00000000-0005-0000-0000-000014000000}"/>
    <cellStyle name="Porcentaje 3" xfId="20" xr:uid="{00000000-0005-0000-0000-000015000000}"/>
    <cellStyle name="Porcentual 2" xfId="11" xr:uid="{00000000-0005-0000-0000-00001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4629149</xdr:colOff>
      <xdr:row>0</xdr:row>
      <xdr:rowOff>132792</xdr:rowOff>
    </xdr:from>
    <xdr:to>
      <xdr:col>3</xdr:col>
      <xdr:colOff>447675</xdr:colOff>
      <xdr:row>2</xdr:row>
      <xdr:rowOff>41350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3149" y="132792"/>
          <a:ext cx="1590676" cy="527683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495303</xdr:colOff>
      <xdr:row>0</xdr:row>
      <xdr:rowOff>9525</xdr:rowOff>
    </xdr:from>
    <xdr:to>
      <xdr:col>5</xdr:col>
      <xdr:colOff>318064</xdr:colOff>
      <xdr:row>2</xdr:row>
      <xdr:rowOff>42656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9653" y="9525"/>
          <a:ext cx="1622986" cy="49033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447675</xdr:colOff>
      <xdr:row>0</xdr:row>
      <xdr:rowOff>0</xdr:rowOff>
    </xdr:from>
    <xdr:to>
      <xdr:col>14</xdr:col>
      <xdr:colOff>934011</xdr:colOff>
      <xdr:row>2</xdr:row>
      <xdr:rowOff>33131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1825" y="0"/>
          <a:ext cx="1457886" cy="49033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495300</xdr:colOff>
      <xdr:row>0</xdr:row>
      <xdr:rowOff>9525</xdr:rowOff>
    </xdr:from>
    <xdr:to>
      <xdr:col>5</xdr:col>
      <xdr:colOff>83111</xdr:colOff>
      <xdr:row>2</xdr:row>
      <xdr:rowOff>42656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825" y="9525"/>
          <a:ext cx="1616636" cy="49033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409575</xdr:colOff>
      <xdr:row>0</xdr:row>
      <xdr:rowOff>19050</xdr:rowOff>
    </xdr:from>
    <xdr:to>
      <xdr:col>15</xdr:col>
      <xdr:colOff>73586</xdr:colOff>
      <xdr:row>2</xdr:row>
      <xdr:rowOff>4556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325" y="19050"/>
          <a:ext cx="1616636" cy="49033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438150</xdr:colOff>
      <xdr:row>0</xdr:row>
      <xdr:rowOff>9525</xdr:rowOff>
    </xdr:from>
    <xdr:to>
      <xdr:col>4</xdr:col>
      <xdr:colOff>73586</xdr:colOff>
      <xdr:row>2</xdr:row>
      <xdr:rowOff>42656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1425" y="9525"/>
          <a:ext cx="1616636" cy="49033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647700</xdr:colOff>
      <xdr:row>0</xdr:row>
      <xdr:rowOff>9525</xdr:rowOff>
    </xdr:from>
    <xdr:to>
      <xdr:col>15</xdr:col>
      <xdr:colOff>324411</xdr:colOff>
      <xdr:row>1</xdr:row>
      <xdr:rowOff>233156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0" y="9525"/>
          <a:ext cx="1619811" cy="49033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849314</xdr:colOff>
      <xdr:row>0</xdr:row>
      <xdr:rowOff>7938</xdr:rowOff>
    </xdr:from>
    <xdr:to>
      <xdr:col>4</xdr:col>
      <xdr:colOff>1102288</xdr:colOff>
      <xdr:row>1</xdr:row>
      <xdr:rowOff>231569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59414" y="7938"/>
          <a:ext cx="1624574" cy="49033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500064</xdr:colOff>
      <xdr:row>0</xdr:row>
      <xdr:rowOff>7938</xdr:rowOff>
    </xdr:from>
    <xdr:to>
      <xdr:col>15</xdr:col>
      <xdr:colOff>176775</xdr:colOff>
      <xdr:row>1</xdr:row>
      <xdr:rowOff>231569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7939" y="7938"/>
          <a:ext cx="1616636" cy="493506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571500</xdr:colOff>
      <xdr:row>0</xdr:row>
      <xdr:rowOff>19050</xdr:rowOff>
    </xdr:from>
    <xdr:to>
      <xdr:col>4</xdr:col>
      <xdr:colOff>1067361</xdr:colOff>
      <xdr:row>2</xdr:row>
      <xdr:rowOff>4556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8875" y="19050"/>
          <a:ext cx="1619811" cy="49033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96"/>
  <sheetViews>
    <sheetView showGridLines="0" tabSelected="1" workbookViewId="0">
      <pane ySplit="2" topLeftCell="A3" activePane="bottomLeft" state="frozen"/>
      <selection pane="bottomLeft" activeCell="D10" sqref="D10"/>
    </sheetView>
  </sheetViews>
  <sheetFormatPr baseColWidth="10" defaultColWidth="10.85546875" defaultRowHeight="15" x14ac:dyDescent="0.2"/>
  <cols>
    <col min="1" max="2" width="10.85546875" style="1"/>
    <col min="3" max="3" width="86.42578125" style="1" customWidth="1"/>
    <col min="4" max="16384" width="10.85546875" style="1"/>
  </cols>
  <sheetData>
    <row r="2" spans="1:3" ht="33.75" x14ac:dyDescent="0.2">
      <c r="B2" s="26" t="s">
        <v>333</v>
      </c>
    </row>
    <row r="5" spans="1:3" x14ac:dyDescent="0.2">
      <c r="A5" s="27" t="s">
        <v>225</v>
      </c>
      <c r="B5" s="27" t="s">
        <v>226</v>
      </c>
      <c r="C5" s="28" t="s">
        <v>227</v>
      </c>
    </row>
    <row r="6" spans="1:3" x14ac:dyDescent="0.2">
      <c r="A6" s="29">
        <v>1</v>
      </c>
      <c r="B6" s="29">
        <v>1</v>
      </c>
      <c r="C6" s="30" t="s">
        <v>228</v>
      </c>
    </row>
    <row r="7" spans="1:3" x14ac:dyDescent="0.2">
      <c r="A7" s="29"/>
      <c r="B7" s="29"/>
    </row>
    <row r="8" spans="1:3" ht="18.75" x14ac:dyDescent="0.2">
      <c r="A8" s="27" t="s">
        <v>225</v>
      </c>
      <c r="B8" s="27" t="s">
        <v>226</v>
      </c>
      <c r="C8" s="31" t="s">
        <v>334</v>
      </c>
    </row>
    <row r="9" spans="1:3" x14ac:dyDescent="0.25">
      <c r="A9" s="29">
        <v>2</v>
      </c>
      <c r="B9" s="29">
        <v>1</v>
      </c>
      <c r="C9" s="102" t="s">
        <v>332</v>
      </c>
    </row>
    <row r="10" spans="1:3" x14ac:dyDescent="0.25">
      <c r="A10" s="29">
        <v>2</v>
      </c>
      <c r="B10" s="29">
        <v>2</v>
      </c>
      <c r="C10" s="102" t="s">
        <v>335</v>
      </c>
    </row>
    <row r="11" spans="1:3" x14ac:dyDescent="0.25">
      <c r="A11" s="29">
        <v>2</v>
      </c>
      <c r="B11" s="29">
        <v>3</v>
      </c>
      <c r="C11" s="102" t="s">
        <v>336</v>
      </c>
    </row>
    <row r="12" spans="1:3" x14ac:dyDescent="0.25">
      <c r="A12" s="29">
        <v>2</v>
      </c>
      <c r="B12" s="29">
        <v>4</v>
      </c>
      <c r="C12" s="102" t="s">
        <v>337</v>
      </c>
    </row>
    <row r="13" spans="1:3" x14ac:dyDescent="0.25">
      <c r="A13" s="29">
        <v>2</v>
      </c>
      <c r="B13" s="29">
        <v>5</v>
      </c>
      <c r="C13" s="102" t="s">
        <v>338</v>
      </c>
    </row>
    <row r="14" spans="1:3" x14ac:dyDescent="0.25">
      <c r="A14" s="29">
        <v>2</v>
      </c>
      <c r="B14" s="29">
        <v>6</v>
      </c>
      <c r="C14" s="102" t="s">
        <v>339</v>
      </c>
    </row>
    <row r="16" spans="1:3" ht="18.75" x14ac:dyDescent="0.2">
      <c r="A16" s="27" t="s">
        <v>225</v>
      </c>
      <c r="B16" s="27" t="s">
        <v>226</v>
      </c>
      <c r="C16" s="31" t="s">
        <v>340</v>
      </c>
    </row>
    <row r="17" spans="1:3" x14ac:dyDescent="0.25">
      <c r="A17" s="29">
        <v>3</v>
      </c>
      <c r="B17" s="29">
        <v>1</v>
      </c>
      <c r="C17" s="102" t="s">
        <v>244</v>
      </c>
    </row>
    <row r="18" spans="1:3" x14ac:dyDescent="0.25">
      <c r="A18" s="29">
        <v>3</v>
      </c>
      <c r="B18" s="29">
        <v>2</v>
      </c>
      <c r="C18" s="102" t="s">
        <v>22</v>
      </c>
    </row>
    <row r="19" spans="1:3" x14ac:dyDescent="0.25">
      <c r="A19" s="29">
        <v>3</v>
      </c>
      <c r="B19" s="29">
        <v>3</v>
      </c>
      <c r="C19" s="102" t="s">
        <v>245</v>
      </c>
    </row>
    <row r="20" spans="1:3" x14ac:dyDescent="0.25">
      <c r="A20" s="29">
        <v>3</v>
      </c>
      <c r="B20" s="29">
        <v>4</v>
      </c>
      <c r="C20" s="102" t="s">
        <v>239</v>
      </c>
    </row>
    <row r="21" spans="1:3" x14ac:dyDescent="0.25">
      <c r="A21" s="29">
        <v>3</v>
      </c>
      <c r="B21" s="29">
        <v>5</v>
      </c>
      <c r="C21" s="102" t="s">
        <v>246</v>
      </c>
    </row>
    <row r="22" spans="1:3" x14ac:dyDescent="0.25">
      <c r="A22" s="29">
        <v>3</v>
      </c>
      <c r="B22" s="29">
        <v>6</v>
      </c>
      <c r="C22" s="102" t="s">
        <v>237</v>
      </c>
    </row>
    <row r="23" spans="1:3" x14ac:dyDescent="0.25">
      <c r="A23" s="29">
        <v>3</v>
      </c>
      <c r="B23" s="29">
        <v>7</v>
      </c>
      <c r="C23" s="102" t="s">
        <v>25</v>
      </c>
    </row>
    <row r="24" spans="1:3" x14ac:dyDescent="0.25">
      <c r="A24" s="29">
        <v>3</v>
      </c>
      <c r="B24" s="29">
        <v>8</v>
      </c>
      <c r="C24" s="102" t="s">
        <v>35</v>
      </c>
    </row>
    <row r="27" spans="1:3" ht="18.75" x14ac:dyDescent="0.2">
      <c r="A27" s="27" t="s">
        <v>225</v>
      </c>
      <c r="B27" s="27" t="s">
        <v>226</v>
      </c>
      <c r="C27" s="38" t="s">
        <v>341</v>
      </c>
    </row>
    <row r="28" spans="1:3" x14ac:dyDescent="0.25">
      <c r="A28" s="29">
        <v>4</v>
      </c>
      <c r="B28" s="29">
        <v>1</v>
      </c>
      <c r="C28" s="102" t="s">
        <v>342</v>
      </c>
    </row>
    <row r="29" spans="1:3" x14ac:dyDescent="0.25">
      <c r="A29" s="29">
        <v>4</v>
      </c>
      <c r="B29" s="29">
        <v>2</v>
      </c>
      <c r="C29" s="102" t="s">
        <v>343</v>
      </c>
    </row>
    <row r="30" spans="1:3" x14ac:dyDescent="0.25">
      <c r="A30" s="29">
        <v>4</v>
      </c>
      <c r="B30" s="29">
        <v>3</v>
      </c>
      <c r="C30" s="102" t="s">
        <v>344</v>
      </c>
    </row>
    <row r="31" spans="1:3" x14ac:dyDescent="0.25">
      <c r="A31" s="29">
        <v>4</v>
      </c>
      <c r="B31" s="29">
        <v>4</v>
      </c>
      <c r="C31" s="102" t="s">
        <v>345</v>
      </c>
    </row>
    <row r="32" spans="1:3" x14ac:dyDescent="0.25">
      <c r="A32" s="29">
        <v>4</v>
      </c>
      <c r="B32" s="29">
        <v>5</v>
      </c>
      <c r="C32" s="102" t="s">
        <v>346</v>
      </c>
    </row>
    <row r="33" spans="1:3" x14ac:dyDescent="0.25">
      <c r="A33" s="29">
        <v>4</v>
      </c>
      <c r="B33" s="29">
        <v>6</v>
      </c>
      <c r="C33" s="102" t="s">
        <v>347</v>
      </c>
    </row>
    <row r="34" spans="1:3" x14ac:dyDescent="0.25">
      <c r="A34" s="29">
        <v>4</v>
      </c>
      <c r="B34" s="29">
        <v>7</v>
      </c>
      <c r="C34" s="102" t="s">
        <v>348</v>
      </c>
    </row>
    <row r="35" spans="1:3" x14ac:dyDescent="0.25">
      <c r="A35" s="29">
        <v>4</v>
      </c>
      <c r="B35" s="29">
        <v>8</v>
      </c>
      <c r="C35" s="102" t="s">
        <v>349</v>
      </c>
    </row>
    <row r="38" spans="1:3" ht="18.75" x14ac:dyDescent="0.2">
      <c r="A38" s="27" t="s">
        <v>225</v>
      </c>
      <c r="B38" s="27" t="s">
        <v>226</v>
      </c>
      <c r="C38" s="31" t="s">
        <v>350</v>
      </c>
    </row>
    <row r="39" spans="1:3" x14ac:dyDescent="0.25">
      <c r="A39" s="29">
        <v>5</v>
      </c>
      <c r="B39" s="29">
        <v>1</v>
      </c>
      <c r="C39" s="36" t="s">
        <v>46</v>
      </c>
    </row>
    <row r="40" spans="1:3" x14ac:dyDescent="0.25">
      <c r="A40" s="29">
        <v>5</v>
      </c>
      <c r="B40" s="29">
        <v>2</v>
      </c>
      <c r="C40" s="36" t="s">
        <v>229</v>
      </c>
    </row>
    <row r="41" spans="1:3" x14ac:dyDescent="0.25">
      <c r="A41" s="29">
        <v>5</v>
      </c>
      <c r="B41" s="29">
        <v>3</v>
      </c>
      <c r="C41" s="36" t="s">
        <v>47</v>
      </c>
    </row>
    <row r="42" spans="1:3" x14ac:dyDescent="0.25">
      <c r="A42" s="29">
        <v>5</v>
      </c>
      <c r="B42" s="29">
        <v>4</v>
      </c>
      <c r="C42" s="36" t="s">
        <v>230</v>
      </c>
    </row>
    <row r="43" spans="1:3" x14ac:dyDescent="0.25">
      <c r="A43" s="29">
        <v>5</v>
      </c>
      <c r="B43" s="29">
        <v>5</v>
      </c>
      <c r="C43" s="36" t="s">
        <v>242</v>
      </c>
    </row>
    <row r="44" spans="1:3" x14ac:dyDescent="0.25">
      <c r="A44" s="29">
        <v>5</v>
      </c>
      <c r="B44" s="29">
        <v>6</v>
      </c>
      <c r="C44" s="36" t="s">
        <v>243</v>
      </c>
    </row>
    <row r="45" spans="1:3" x14ac:dyDescent="0.25">
      <c r="A45" s="29">
        <v>5</v>
      </c>
      <c r="B45" s="29">
        <v>7</v>
      </c>
      <c r="C45" s="36" t="s">
        <v>51</v>
      </c>
    </row>
    <row r="46" spans="1:3" x14ac:dyDescent="0.25">
      <c r="A46" s="29">
        <v>5</v>
      </c>
      <c r="B46" s="29">
        <v>8</v>
      </c>
      <c r="C46" s="36" t="s">
        <v>52</v>
      </c>
    </row>
    <row r="47" spans="1:3" x14ac:dyDescent="0.25">
      <c r="A47" s="29">
        <v>5</v>
      </c>
      <c r="B47" s="29">
        <v>9</v>
      </c>
      <c r="C47" s="36" t="s">
        <v>231</v>
      </c>
    </row>
    <row r="48" spans="1:3" x14ac:dyDescent="0.25">
      <c r="A48" s="29">
        <v>5</v>
      </c>
      <c r="B48" s="29">
        <v>10</v>
      </c>
      <c r="C48" s="36" t="s">
        <v>232</v>
      </c>
    </row>
    <row r="49" spans="1:3" x14ac:dyDescent="0.25">
      <c r="A49" s="29">
        <v>5</v>
      </c>
      <c r="B49" s="29">
        <v>11</v>
      </c>
      <c r="C49" s="36" t="s">
        <v>233</v>
      </c>
    </row>
    <row r="50" spans="1:3" x14ac:dyDescent="0.25">
      <c r="A50" s="29">
        <v>5</v>
      </c>
      <c r="B50" s="29">
        <v>12</v>
      </c>
      <c r="C50" s="36" t="s">
        <v>250</v>
      </c>
    </row>
    <row r="51" spans="1:3" x14ac:dyDescent="0.25">
      <c r="A51" s="29">
        <v>5</v>
      </c>
      <c r="B51" s="29">
        <v>13</v>
      </c>
      <c r="C51" s="36" t="s">
        <v>251</v>
      </c>
    </row>
    <row r="52" spans="1:3" x14ac:dyDescent="0.25">
      <c r="A52" s="29">
        <v>5</v>
      </c>
      <c r="B52" s="29">
        <v>14</v>
      </c>
      <c r="C52" s="36" t="s">
        <v>252</v>
      </c>
    </row>
    <row r="53" spans="1:3" x14ac:dyDescent="0.25">
      <c r="A53" s="29">
        <v>5</v>
      </c>
      <c r="B53" s="29">
        <v>15</v>
      </c>
      <c r="C53" s="36" t="s">
        <v>253</v>
      </c>
    </row>
    <row r="54" spans="1:3" x14ac:dyDescent="0.25">
      <c r="A54" s="29">
        <v>5</v>
      </c>
      <c r="B54" s="29">
        <v>16</v>
      </c>
      <c r="C54" s="36" t="s">
        <v>94</v>
      </c>
    </row>
    <row r="57" spans="1:3" ht="18.75" x14ac:dyDescent="0.2">
      <c r="A57" s="27" t="s">
        <v>225</v>
      </c>
      <c r="B57" s="27" t="s">
        <v>226</v>
      </c>
      <c r="C57" s="38" t="s">
        <v>351</v>
      </c>
    </row>
    <row r="58" spans="1:3" x14ac:dyDescent="0.25">
      <c r="A58" s="29">
        <v>6</v>
      </c>
      <c r="B58" s="29">
        <v>1</v>
      </c>
      <c r="C58" s="102" t="s">
        <v>352</v>
      </c>
    </row>
    <row r="59" spans="1:3" x14ac:dyDescent="0.25">
      <c r="A59" s="29">
        <v>6</v>
      </c>
      <c r="B59" s="29">
        <v>2</v>
      </c>
      <c r="C59" s="102" t="s">
        <v>353</v>
      </c>
    </row>
    <row r="60" spans="1:3" x14ac:dyDescent="0.25">
      <c r="A60" s="29">
        <v>6</v>
      </c>
      <c r="B60" s="29">
        <v>3</v>
      </c>
      <c r="C60" s="102" t="s">
        <v>354</v>
      </c>
    </row>
    <row r="61" spans="1:3" x14ac:dyDescent="0.25">
      <c r="A61" s="29">
        <v>6</v>
      </c>
      <c r="B61" s="29">
        <v>4</v>
      </c>
      <c r="C61" s="102" t="s">
        <v>355</v>
      </c>
    </row>
    <row r="62" spans="1:3" x14ac:dyDescent="0.25">
      <c r="A62" s="29">
        <v>6</v>
      </c>
      <c r="B62" s="29">
        <v>5</v>
      </c>
      <c r="C62" s="102" t="s">
        <v>356</v>
      </c>
    </row>
    <row r="63" spans="1:3" x14ac:dyDescent="0.25">
      <c r="A63" s="29">
        <v>6</v>
      </c>
      <c r="B63" s="29">
        <v>6</v>
      </c>
      <c r="C63" s="102" t="s">
        <v>357</v>
      </c>
    </row>
    <row r="64" spans="1:3" x14ac:dyDescent="0.25">
      <c r="A64" s="29">
        <v>6</v>
      </c>
      <c r="B64" s="29">
        <v>7</v>
      </c>
      <c r="C64" s="102" t="s">
        <v>358</v>
      </c>
    </row>
    <row r="65" spans="1:3" x14ac:dyDescent="0.25">
      <c r="A65" s="29">
        <v>6</v>
      </c>
      <c r="B65" s="29">
        <v>8</v>
      </c>
      <c r="C65" s="102" t="s">
        <v>359</v>
      </c>
    </row>
    <row r="68" spans="1:3" ht="18.75" x14ac:dyDescent="0.2">
      <c r="A68" s="27" t="s">
        <v>225</v>
      </c>
      <c r="B68" s="27" t="s">
        <v>226</v>
      </c>
      <c r="C68" s="38" t="s">
        <v>360</v>
      </c>
    </row>
    <row r="69" spans="1:3" x14ac:dyDescent="0.25">
      <c r="A69" s="29">
        <v>7</v>
      </c>
      <c r="B69" s="29">
        <v>1</v>
      </c>
      <c r="C69" s="36" t="s">
        <v>247</v>
      </c>
    </row>
    <row r="70" spans="1:3" x14ac:dyDescent="0.25">
      <c r="A70" s="29">
        <v>7</v>
      </c>
      <c r="B70" s="29">
        <v>2</v>
      </c>
      <c r="C70" s="36" t="s">
        <v>234</v>
      </c>
    </row>
    <row r="71" spans="1:3" x14ac:dyDescent="0.25">
      <c r="A71" s="29">
        <v>7</v>
      </c>
      <c r="B71" s="29">
        <v>3</v>
      </c>
      <c r="C71" s="36" t="s">
        <v>248</v>
      </c>
    </row>
    <row r="72" spans="1:3" x14ac:dyDescent="0.25">
      <c r="A72" s="29">
        <v>7</v>
      </c>
      <c r="B72" s="29">
        <v>4</v>
      </c>
      <c r="C72" s="36" t="s">
        <v>263</v>
      </c>
    </row>
    <row r="75" spans="1:3" ht="18.75" x14ac:dyDescent="0.2">
      <c r="A75" s="27" t="s">
        <v>225</v>
      </c>
      <c r="B75" s="27" t="s">
        <v>226</v>
      </c>
      <c r="C75" s="38" t="s">
        <v>361</v>
      </c>
    </row>
    <row r="76" spans="1:3" x14ac:dyDescent="0.25">
      <c r="A76" s="29">
        <v>8</v>
      </c>
      <c r="B76" s="29">
        <v>1</v>
      </c>
      <c r="C76" s="102" t="s">
        <v>362</v>
      </c>
    </row>
    <row r="77" spans="1:3" x14ac:dyDescent="0.25">
      <c r="A77" s="29">
        <v>8</v>
      </c>
      <c r="B77" s="29">
        <v>2</v>
      </c>
      <c r="C77" s="102" t="s">
        <v>363</v>
      </c>
    </row>
    <row r="78" spans="1:3" x14ac:dyDescent="0.25">
      <c r="A78" s="29">
        <v>8</v>
      </c>
      <c r="B78" s="29">
        <v>3</v>
      </c>
      <c r="C78" s="102" t="s">
        <v>364</v>
      </c>
    </row>
    <row r="79" spans="1:3" x14ac:dyDescent="0.25">
      <c r="A79" s="29">
        <v>8</v>
      </c>
      <c r="B79" s="29">
        <v>4</v>
      </c>
      <c r="C79" s="102" t="s">
        <v>365</v>
      </c>
    </row>
    <row r="80" spans="1:3" x14ac:dyDescent="0.25">
      <c r="A80" s="29">
        <v>8</v>
      </c>
      <c r="B80" s="29">
        <v>5</v>
      </c>
      <c r="C80" s="102" t="s">
        <v>366</v>
      </c>
    </row>
    <row r="81" spans="1:3" x14ac:dyDescent="0.25">
      <c r="A81" s="29">
        <v>8</v>
      </c>
      <c r="B81" s="29">
        <v>6</v>
      </c>
      <c r="C81" s="102" t="s">
        <v>367</v>
      </c>
    </row>
    <row r="82" spans="1:3" x14ac:dyDescent="0.25">
      <c r="A82" s="29">
        <v>8</v>
      </c>
      <c r="B82" s="29">
        <v>7</v>
      </c>
      <c r="C82" s="102" t="s">
        <v>368</v>
      </c>
    </row>
    <row r="83" spans="1:3" x14ac:dyDescent="0.25">
      <c r="A83" s="29">
        <v>8</v>
      </c>
      <c r="B83" s="29">
        <v>8</v>
      </c>
      <c r="C83" s="102" t="s">
        <v>369</v>
      </c>
    </row>
    <row r="86" spans="1:3" ht="18.75" x14ac:dyDescent="0.2">
      <c r="A86" s="27" t="s">
        <v>225</v>
      </c>
      <c r="B86" s="27" t="s">
        <v>226</v>
      </c>
      <c r="C86" s="38" t="s">
        <v>370</v>
      </c>
    </row>
    <row r="87" spans="1:3" x14ac:dyDescent="0.25">
      <c r="A87" s="29">
        <v>9</v>
      </c>
      <c r="B87" s="29">
        <v>1</v>
      </c>
      <c r="C87" s="36" t="s">
        <v>104</v>
      </c>
    </row>
    <row r="88" spans="1:3" x14ac:dyDescent="0.25">
      <c r="A88" s="29">
        <v>9</v>
      </c>
      <c r="B88" s="29">
        <v>2</v>
      </c>
      <c r="C88" s="36" t="s">
        <v>105</v>
      </c>
    </row>
    <row r="89" spans="1:3" x14ac:dyDescent="0.25">
      <c r="A89" s="29">
        <v>9</v>
      </c>
      <c r="B89" s="29">
        <v>3</v>
      </c>
      <c r="C89" s="36" t="s">
        <v>249</v>
      </c>
    </row>
    <row r="90" spans="1:3" x14ac:dyDescent="0.25">
      <c r="A90" s="29">
        <v>9</v>
      </c>
      <c r="B90" s="29">
        <v>4</v>
      </c>
      <c r="C90" s="36" t="s">
        <v>264</v>
      </c>
    </row>
    <row r="92" spans="1:3" x14ac:dyDescent="0.2">
      <c r="A92" s="27" t="s">
        <v>225</v>
      </c>
      <c r="B92" s="27" t="s">
        <v>226</v>
      </c>
      <c r="C92" s="28" t="s">
        <v>227</v>
      </c>
    </row>
    <row r="93" spans="1:3" x14ac:dyDescent="0.2">
      <c r="A93" s="29">
        <v>10</v>
      </c>
      <c r="B93" s="29">
        <v>1</v>
      </c>
      <c r="C93" s="37" t="s">
        <v>371</v>
      </c>
    </row>
    <row r="96" spans="1:3" x14ac:dyDescent="0.25">
      <c r="B96" s="39" t="s">
        <v>280</v>
      </c>
    </row>
  </sheetData>
  <hyperlinks>
    <hyperlink ref="C38" location="'Evolución Tituación Pregrado'!A1" display="Evolución titulación Pregrado 2008-2012" xr:uid="{00000000-0004-0000-0000-000000000000}"/>
    <hyperlink ref="C68" location="'Evolución Titulados Posgrado'!A1" display="Evolución titulación Posgrado 2008-2012" xr:uid="{00000000-0004-0000-0000-000001000000}"/>
    <hyperlink ref="C86" location="'Evolución Titulados Postítulo'!A1" display="Evolución titulación Postítulo 2008-2012" xr:uid="{00000000-0004-0000-0000-000002000000}"/>
    <hyperlink ref="C93" location="'Listado de Instituciones'!A1" display="Listado de instituciones participantes 2016" xr:uid="{00000000-0004-0000-0000-000003000000}"/>
    <hyperlink ref="C39:C54" location="'Evolución titulación pregrado'!A1" display="Evolución de Titulación Total de Pregrado por tipo de institución" xr:uid="{00000000-0004-0000-0000-000004000000}"/>
    <hyperlink ref="C39" location="'Evolución titulación pregrado'!A4" display="Evolución de Titulación Total de Pregrado por tipo de institución" xr:uid="{00000000-0004-0000-0000-000005000000}"/>
    <hyperlink ref="C40" location="'Evolución titulación pregrado'!A11" display="Evolución de Titulación Total de Pregrado por tipo de institución 2" xr:uid="{00000000-0004-0000-0000-000006000000}"/>
    <hyperlink ref="C41" location="'Evolución titulación pregrado'!A20" display="Evolución de Titulación Total de Pregrado por tipo de carrera" xr:uid="{00000000-0004-0000-0000-000007000000}"/>
    <hyperlink ref="C42" location="'Evolución titulación pregrado'!A28" display="Evolución de Titulación Total de Pregrado por tipo de carrera (técnico y profesional)" xr:uid="{00000000-0004-0000-0000-000008000000}"/>
    <hyperlink ref="C43" location="'Evolución titulación pregrado'!A36" display="Evolución de Titulación Total de Pregrado por tipo de institución y tipo de carrera" xr:uid="{00000000-0004-0000-0000-000009000000}"/>
    <hyperlink ref="C44" location="'Evolución titulación pregrado'!A50" display="Evolución de Titulación Total de Pregrado por tipo de institución 2 y tipo de carrera" xr:uid="{00000000-0004-0000-0000-00000A000000}"/>
    <hyperlink ref="C45" location="'Evolución titulación pregrado'!A74" display="Evolución de Titulación Total de Pregrado por jornada" xr:uid="{00000000-0004-0000-0000-00000B000000}"/>
    <hyperlink ref="C46" location="'Evolución titulación pregrado'!A83" display="Evolución de Titulación Total de Pregrado por área" xr:uid="{00000000-0004-0000-0000-00000C000000}"/>
    <hyperlink ref="C47" location="'Evolución titulación pregrado'!A97" display="Evolución de Titulación Total de Pregrado en carreras de mayor titulación - CFT" xr:uid="{00000000-0004-0000-0000-00000D000000}"/>
    <hyperlink ref="C48" location="'Evolución titulación pregrado'!A120" display="Evolución de Titulación Total de Pregrado en carreras de mayor titulación - IP" xr:uid="{00000000-0004-0000-0000-00000E000000}"/>
    <hyperlink ref="C49" location="'Evolución titulación pregrado'!A143" display="Evolución de Titulación Total de Pregrado en carreras de mayor titulación - Universidades" xr:uid="{00000000-0004-0000-0000-00000F000000}"/>
    <hyperlink ref="C50" location="'Evolución titulación pregrado'!A166" display="Evolución de Titulación Total de Pregrado por sexo" xr:uid="{00000000-0004-0000-0000-000010000000}"/>
    <hyperlink ref="C51" location="'Evolución titulación pregrado'!A172" display="Evolución de Titulación Total de Pregrado por sexo - CFT" xr:uid="{00000000-0004-0000-0000-000011000000}"/>
    <hyperlink ref="C52" location="'Evolución titulación pregrado'!A178" display="Evolución de Titulación Total de Pregrado por sexo - IP" xr:uid="{00000000-0004-0000-0000-000012000000}"/>
    <hyperlink ref="C53" location="'Evolución titulación pregrado'!A184" display="Evolución de Titulación Total de Pregrado por sexo - Universidades" xr:uid="{00000000-0004-0000-0000-000013000000}"/>
    <hyperlink ref="C54" location="'Evolución titulación pregrado'!A190" display="Evolución de Titulación Total de Pregrado por rango de edad" xr:uid="{00000000-0004-0000-0000-000014000000}"/>
    <hyperlink ref="C69:C71" location="'Evolución Titulación Posgrado'!A1" display="Evolución de Titulación Total de Posgrado por tipo de universidad" xr:uid="{00000000-0004-0000-0000-000015000000}"/>
    <hyperlink ref="C69" location="'Evolución Titulación Posgrado'!A4" display="Evolución de Titulación Total de Posgrado por tipo de universidad" xr:uid="{00000000-0004-0000-0000-000016000000}"/>
    <hyperlink ref="C70" location="'Evolución Titulación Posgrado'!A11" display="Evolución de Titulación Total de Posgrado por tipo de programa " xr:uid="{00000000-0004-0000-0000-000017000000}"/>
    <hyperlink ref="C71" location="'Evolución Titulación Posgrado'!A17" display="Evolución de Titulación Total de Posgrado por tipo de universidad y tipo de programa " xr:uid="{00000000-0004-0000-0000-000018000000}"/>
    <hyperlink ref="C87:C89" location="'Evolucion Titulacion postitulo'!A1" display="Evolución de Titulación Total de Postítulo por tipo de institución" xr:uid="{00000000-0004-0000-0000-000019000000}"/>
    <hyperlink ref="C87" location="'Evolucion Titulacion postitulo'!A4" display="Evolución de Titulación Total de Postítulo por tipo de institución" xr:uid="{00000000-0004-0000-0000-00001A000000}"/>
    <hyperlink ref="C88" location="'Evolucion Titulacion postitulo'!A11" display="Evolución de Titulación Total de Postítulo por tipo de programa" xr:uid="{00000000-0004-0000-0000-00001B000000}"/>
    <hyperlink ref="C89" location="'Evolucion Titulacion postitulo'!A18" display="Evolución de Titulación Total de Postítulo por tipo de institución y tipo de programa" xr:uid="{00000000-0004-0000-0000-00001C000000}"/>
    <hyperlink ref="C72" location="'Evolución Titulación Posgrado'!A30" display="Evolución de Titulación Total de Pregrado por sexo y tipo de programa" xr:uid="{00000000-0004-0000-0000-00001D000000}"/>
    <hyperlink ref="C90" location="'Evolucion Titulacion postitulo'!A31" display="Evolución de Titulación Total de Postítulo por sexo y tipo de programa" xr:uid="{00000000-0004-0000-0000-00001E000000}"/>
    <hyperlink ref="C76:C83" location="'Titulacion Postitulo 2017'!A1" display="Titulación Total 2017 de Postítulo por tipo de universidad y tipo de programa" xr:uid="{00000000-0004-0000-0000-00001F000000}"/>
    <hyperlink ref="C9:C14" location="'Titulación Total 2017'!A1" display="Titulación Total 2017 por tipo de institución y nivel de formación" xr:uid="{00000000-0004-0000-0000-000020000000}"/>
    <hyperlink ref="C9" location="'Titulación Total 2018'!A4" display="Titulación Total 2018 por tipo de institución y nivel de formación" xr:uid="{00000000-0004-0000-0000-000021000000}"/>
    <hyperlink ref="C10" location="'Titulación Total 2018'!A11" display="Titulación Total 2018 por tipo de institución y sexo" xr:uid="{00000000-0004-0000-0000-000022000000}"/>
    <hyperlink ref="C11" location="'Titulación Total 2018'!A18" display="Titulación Total 2018 por tipo de institución 2 y nivel de formación" xr:uid="{00000000-0004-0000-0000-000023000000}"/>
    <hyperlink ref="C12" location="'Titulación Total 2018'!A27" display="Titulación Total 2018 por tipo de institución 2 y sexo" xr:uid="{00000000-0004-0000-0000-000024000000}"/>
    <hyperlink ref="C13" location="'Titulación Total 2018'!A36" display="Titulación Total 2018 por región y sexo" xr:uid="{00000000-0004-0000-0000-000025000000}"/>
    <hyperlink ref="C14" location="'Titulación Total 2018'!A56" display="Titulación Total 2018  por área y sexo" xr:uid="{00000000-0004-0000-0000-000026000000}"/>
    <hyperlink ref="C17:C24" location="'Evolución Titulación Total'!A1" display="Evolución de Titulación Total por nivel de formación" xr:uid="{00000000-0004-0000-0000-000027000000}"/>
    <hyperlink ref="C17" location="'Evolución Titulación Total'!A4" display="Evolución de Titulación Total por nivel de formación" xr:uid="{00000000-0004-0000-0000-000028000000}"/>
    <hyperlink ref="C18" location="'Evolución Titulación Total'!A11" display="Evolución de Titulación Total por tipo de institución " xr:uid="{00000000-0004-0000-0000-000029000000}"/>
    <hyperlink ref="C19" location="'Evolución Titulación Total'!A18" display="Evolución de Titulación Total por tipo de institución y nivel de formación" xr:uid="{00000000-0004-0000-0000-00002A000000}"/>
    <hyperlink ref="C20" location="'Evolución Titulación Total'!A32" display="Evolución de Titulación Total por tipo de institución 2 " xr:uid="{00000000-0004-0000-0000-00002B000000}"/>
    <hyperlink ref="C21" location="'Evolución Titulación Total'!A41" display="Evolución de Titulación Total por tipo de institución 2 y nivel de formación" xr:uid="{00000000-0004-0000-0000-00002C000000}"/>
    <hyperlink ref="C22" location="'Evolución Titulación Total'!A63" display="Evolución de Titulación Total por sexo" xr:uid="{00000000-0004-0000-0000-00002D000000}"/>
    <hyperlink ref="C23" location="'Evolución Titulación Total'!A69" display="Evolución de Titulación Total por rango de edad y/o promedio de edad" xr:uid="{00000000-0004-0000-0000-00002E000000}"/>
    <hyperlink ref="C24" location="'Evolución Titulación Total'!A81" display="Evolución de Titulación Total por región" xr:uid="{00000000-0004-0000-0000-00002F000000}"/>
    <hyperlink ref="C28:C35" location="'Titulación Pregrado 2017'!A1" display="Titulación Total 2017 de Pregrado por sexo y tipo de institución" xr:uid="{00000000-0004-0000-0000-000030000000}"/>
    <hyperlink ref="C28" location="'Titulación Pregrado 2018'!A4" display="Titulación Total 2018 de Pregrado por sexo y tipo de institución" xr:uid="{00000000-0004-0000-0000-000031000000}"/>
    <hyperlink ref="C29" location="'Titulación Pregrado 2018'!A10" display="Titulación Total 2018 de Pregrado por rango de edad y tipo de institución " xr:uid="{00000000-0004-0000-0000-000032000000}"/>
    <hyperlink ref="C30" location="'Titulación Pregrado 2018'!A22" display="Titulación Total 2018 de Pregrado por tipo de carrera y tipo de institución" xr:uid="{00000000-0004-0000-0000-000033000000}"/>
    <hyperlink ref="C31" location="'Titulación Pregrado 2018'!A30" display="Titulación Total 2018 de Pregrado por área y tipo de institución" xr:uid="{00000000-0004-0000-0000-000034000000}"/>
    <hyperlink ref="C32" location="'Titulación Pregrado 2018'!A44" display="Titulación Total 2018 de Pregrado por área y sexo" xr:uid="{00000000-0004-0000-0000-000035000000}"/>
    <hyperlink ref="C33" location="'Titulación Pregrado 2018'!A58" display="Titulación Total 2018 de Pregrado por jornada y tipo de institución" xr:uid="{00000000-0004-0000-0000-000036000000}"/>
    <hyperlink ref="C34" location="'Titulación Pregrado 2018'!A67" display="Titulación Total 2018 de Pregrado por región y tipo de institución" xr:uid="{00000000-0004-0000-0000-000037000000}"/>
    <hyperlink ref="C35" location="'Titulación Pregrado 2018'!A87" display="Titulación Total 2018 de Pregrado por región y sexo" xr:uid="{00000000-0004-0000-0000-000038000000}"/>
    <hyperlink ref="C58:C65" location="'Titulación Posgrado 2017'!A1" display="Titulación Total 2017 de Posgrado por tipo de universidad y tipo de programa" xr:uid="{00000000-0004-0000-0000-000039000000}"/>
    <hyperlink ref="C58" location="'Titulación Posgrado 2018'!A4" display="Titulación Total 2018 de Posgrado por tipo de universidad y tipo de programa" xr:uid="{00000000-0004-0000-0000-00003A000000}"/>
    <hyperlink ref="C59" location="'Titulación Posgrado 2018'!A11" display="Titulación Total 2018 de Posgrado por sexo y tipo de programa" xr:uid="{00000000-0004-0000-0000-00003B000000}"/>
    <hyperlink ref="C60" location="'Titulación Posgrado 2018'!A17" display="Titulación Total 2018 de Posgrado por rango de edad y tipo de programa" xr:uid="{00000000-0004-0000-0000-00003C000000}"/>
    <hyperlink ref="C61" location="'Titulación Posgrado 2018'!A28" display="Titulación Total 2018 de Posgrado por área y tipo de programa" xr:uid="{00000000-0004-0000-0000-00003D000000}"/>
    <hyperlink ref="C62" location="'Titulación Posgrado 2018'!A42" display="Titulación Total 2018 de Posgrado por jornada y tipo de programa" xr:uid="{00000000-0004-0000-0000-00003E000000}"/>
    <hyperlink ref="C63" location="'Titulación Posgrado 2018'!A51" display="Titulación Total 2018 de Posgrado por región y tipo de programa" xr:uid="{00000000-0004-0000-0000-00003F000000}"/>
    <hyperlink ref="C64" location="'Titulación Posgrado 2018'!A71" display="Titulación Total 2018 de Posgrado por área y sexo" xr:uid="{00000000-0004-0000-0000-000040000000}"/>
    <hyperlink ref="C65" location="'Titulación Posgrado 2018'!A85" display="Titulación Total 2018 de Posgrado por región y sexo" xr:uid="{00000000-0004-0000-0000-000041000000}"/>
    <hyperlink ref="C76" location="'Titulacion Postitulo 2018'!A4" display="Titulación Total 2018 de Postítulo por tipo de universidad y tipo de programa" xr:uid="{00000000-0004-0000-0000-000042000000}"/>
    <hyperlink ref="C77" location="'Titulacion Postitulo 2018'!A11" display="Titulación Total 2018 de Postítulo por sexo y tipo de programa" xr:uid="{00000000-0004-0000-0000-000043000000}"/>
    <hyperlink ref="C78" location="'Titulacion Postitulo 2018'!A17" display="Titulación Total 2018 de Postítulo por rango de edad y tipo de programa" xr:uid="{00000000-0004-0000-0000-000044000000}"/>
    <hyperlink ref="C79" location="'Titulacion Postitulo 2018'!A29" display="Titulación Total 2018 de Postítulo por área y tipo de programa" xr:uid="{00000000-0004-0000-0000-000045000000}"/>
    <hyperlink ref="C80" location="'Titulacion Postitulo 2018'!A43" display="Titulación Total 2018 de Postítulo por jornada y tipo de programa" xr:uid="{00000000-0004-0000-0000-000046000000}"/>
    <hyperlink ref="C81" location="'Titulacion Postitulo 2018'!A52" display="Titulación Total 2018 de Postítulo por región y tipo de programa" xr:uid="{00000000-0004-0000-0000-000047000000}"/>
    <hyperlink ref="C82" location="'Titulacion Postitulo 2018'!A72" display="Titulación Total 2018 de Postítulo por área y sexo" xr:uid="{00000000-0004-0000-0000-000048000000}"/>
    <hyperlink ref="C83" location="'Titulacion Postitulo 2018'!A86" display="Titulación Total 2018 de Postítulo por región y sexo" xr:uid="{00000000-0004-0000-0000-000049000000}"/>
  </hyperlink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4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10" defaultColWidth="10.85546875" defaultRowHeight="15" x14ac:dyDescent="0.2"/>
  <cols>
    <col min="1" max="1" width="40.140625" style="1" customWidth="1"/>
    <col min="2" max="2" width="12.28515625" style="1" customWidth="1"/>
    <col min="3" max="3" width="12.42578125" style="1" customWidth="1"/>
    <col min="4" max="4" width="12.7109375" style="1" bestFit="1" customWidth="1"/>
    <col min="5" max="5" width="14.28515625" style="1" customWidth="1"/>
    <col min="6" max="16384" width="10.85546875" style="1"/>
  </cols>
  <sheetData>
    <row r="1" spans="1:5" ht="21" x14ac:dyDescent="0.2">
      <c r="A1" s="66" t="s">
        <v>372</v>
      </c>
      <c r="B1" s="40"/>
      <c r="C1" s="40"/>
      <c r="D1" s="40"/>
      <c r="E1" s="40"/>
    </row>
    <row r="2" spans="1:5" ht="15" customHeight="1" x14ac:dyDescent="0.2">
      <c r="A2" s="67" t="s">
        <v>255</v>
      </c>
      <c r="B2" s="40"/>
      <c r="C2" s="40"/>
      <c r="D2" s="40"/>
      <c r="E2" s="40"/>
    </row>
    <row r="3" spans="1:5" ht="15" customHeight="1" x14ac:dyDescent="0.2">
      <c r="A3" s="38"/>
      <c r="B3" s="40"/>
      <c r="C3" s="40"/>
      <c r="D3" s="40"/>
      <c r="E3" s="40"/>
    </row>
    <row r="4" spans="1:5" ht="15.75" x14ac:dyDescent="0.2">
      <c r="A4" s="25" t="s">
        <v>332</v>
      </c>
      <c r="B4" s="40"/>
      <c r="C4" s="40"/>
      <c r="D4" s="40"/>
      <c r="E4" s="40"/>
    </row>
    <row r="5" spans="1:5" x14ac:dyDescent="0.2">
      <c r="A5" s="88" t="s">
        <v>0</v>
      </c>
      <c r="B5" s="3" t="s">
        <v>1</v>
      </c>
      <c r="C5" s="3" t="s">
        <v>2</v>
      </c>
      <c r="D5" s="3" t="s">
        <v>3</v>
      </c>
      <c r="E5" s="84" t="s">
        <v>8</v>
      </c>
    </row>
    <row r="6" spans="1:5" x14ac:dyDescent="0.2">
      <c r="A6" s="4" t="s">
        <v>5</v>
      </c>
      <c r="B6" s="4">
        <v>34429</v>
      </c>
      <c r="C6" s="4"/>
      <c r="D6" s="4">
        <v>5</v>
      </c>
      <c r="E6" s="4">
        <v>34434</v>
      </c>
    </row>
    <row r="7" spans="1:5" x14ac:dyDescent="0.2">
      <c r="A7" s="4" t="s">
        <v>6</v>
      </c>
      <c r="B7" s="4">
        <v>78734</v>
      </c>
      <c r="C7" s="4"/>
      <c r="D7" s="4">
        <v>871</v>
      </c>
      <c r="E7" s="4">
        <v>79605</v>
      </c>
    </row>
    <row r="8" spans="1:5" x14ac:dyDescent="0.2">
      <c r="A8" s="4" t="s">
        <v>7</v>
      </c>
      <c r="B8" s="4">
        <v>91520</v>
      </c>
      <c r="C8" s="4">
        <v>15953</v>
      </c>
      <c r="D8" s="4">
        <v>22873</v>
      </c>
      <c r="E8" s="4">
        <v>130346</v>
      </c>
    </row>
    <row r="9" spans="1:5" x14ac:dyDescent="0.2">
      <c r="A9" s="5" t="s">
        <v>4</v>
      </c>
      <c r="B9" s="5">
        <v>204683</v>
      </c>
      <c r="C9" s="5">
        <v>15953</v>
      </c>
      <c r="D9" s="5">
        <v>23749</v>
      </c>
      <c r="E9" s="5">
        <v>244385</v>
      </c>
    </row>
    <row r="10" spans="1:5" x14ac:dyDescent="0.2">
      <c r="A10" s="40"/>
      <c r="B10" s="68"/>
      <c r="C10" s="68"/>
      <c r="D10" s="68"/>
      <c r="E10" s="68"/>
    </row>
    <row r="11" spans="1:5" ht="15.75" x14ac:dyDescent="0.2">
      <c r="A11" s="25" t="s">
        <v>335</v>
      </c>
      <c r="B11" s="40"/>
      <c r="C11" s="40"/>
      <c r="D11" s="40"/>
      <c r="E11" s="40"/>
    </row>
    <row r="12" spans="1:5" x14ac:dyDescent="0.2">
      <c r="A12" s="88" t="s">
        <v>0</v>
      </c>
      <c r="B12" s="7" t="s">
        <v>235</v>
      </c>
      <c r="C12" s="7" t="s">
        <v>236</v>
      </c>
      <c r="D12" s="84" t="s">
        <v>8</v>
      </c>
      <c r="E12" s="40"/>
    </row>
    <row r="13" spans="1:5" x14ac:dyDescent="0.2">
      <c r="A13" s="4" t="s">
        <v>5</v>
      </c>
      <c r="B13" s="4">
        <v>19534</v>
      </c>
      <c r="C13" s="4">
        <v>14900</v>
      </c>
      <c r="D13" s="4">
        <f>SUM(B13:C13)</f>
        <v>34434</v>
      </c>
      <c r="E13" s="40"/>
    </row>
    <row r="14" spans="1:5" x14ac:dyDescent="0.2">
      <c r="A14" s="4" t="s">
        <v>6</v>
      </c>
      <c r="B14" s="4">
        <v>44718</v>
      </c>
      <c r="C14" s="4">
        <v>34887</v>
      </c>
      <c r="D14" s="4">
        <f t="shared" ref="D14:D16" si="0">SUM(B14:C14)</f>
        <v>79605</v>
      </c>
      <c r="E14" s="40"/>
    </row>
    <row r="15" spans="1:5" x14ac:dyDescent="0.2">
      <c r="A15" s="4" t="s">
        <v>7</v>
      </c>
      <c r="B15" s="4">
        <v>74134</v>
      </c>
      <c r="C15" s="4">
        <v>56212</v>
      </c>
      <c r="D15" s="4">
        <f t="shared" si="0"/>
        <v>130346</v>
      </c>
      <c r="E15" s="40"/>
    </row>
    <row r="16" spans="1:5" x14ac:dyDescent="0.2">
      <c r="A16" s="5" t="s">
        <v>4</v>
      </c>
      <c r="B16" s="5">
        <v>138386</v>
      </c>
      <c r="C16" s="5">
        <v>105999</v>
      </c>
      <c r="D16" s="5">
        <f t="shared" si="0"/>
        <v>244385</v>
      </c>
      <c r="E16" s="40"/>
    </row>
    <row r="17" spans="1:5" x14ac:dyDescent="0.2">
      <c r="A17" s="40"/>
      <c r="B17" s="68"/>
      <c r="C17" s="68"/>
      <c r="D17" s="68"/>
      <c r="E17" s="40"/>
    </row>
    <row r="18" spans="1:5" ht="15.75" x14ac:dyDescent="0.2">
      <c r="A18" s="25" t="s">
        <v>336</v>
      </c>
      <c r="B18" s="40"/>
      <c r="C18" s="40"/>
      <c r="D18" s="40"/>
      <c r="E18" s="40"/>
    </row>
    <row r="19" spans="1:5" x14ac:dyDescent="0.2">
      <c r="A19" s="88" t="s">
        <v>0</v>
      </c>
      <c r="B19" s="3" t="s">
        <v>1</v>
      </c>
      <c r="C19" s="3" t="s">
        <v>2</v>
      </c>
      <c r="D19" s="3" t="s">
        <v>3</v>
      </c>
      <c r="E19" s="7" t="s">
        <v>8</v>
      </c>
    </row>
    <row r="20" spans="1:5" x14ac:dyDescent="0.2">
      <c r="A20" s="4" t="s">
        <v>5</v>
      </c>
      <c r="B20" s="4">
        <v>34429</v>
      </c>
      <c r="C20" s="4"/>
      <c r="D20" s="4">
        <v>5</v>
      </c>
      <c r="E20" s="4">
        <v>34434</v>
      </c>
    </row>
    <row r="21" spans="1:5" x14ac:dyDescent="0.2">
      <c r="A21" s="4" t="s">
        <v>6</v>
      </c>
      <c r="B21" s="4">
        <v>78734</v>
      </c>
      <c r="C21" s="4"/>
      <c r="D21" s="4">
        <v>871</v>
      </c>
      <c r="E21" s="4">
        <v>79605</v>
      </c>
    </row>
    <row r="22" spans="1:5" x14ac:dyDescent="0.2">
      <c r="A22" s="32" t="s">
        <v>269</v>
      </c>
      <c r="B22" s="4">
        <v>22787</v>
      </c>
      <c r="C22" s="4">
        <v>4099</v>
      </c>
      <c r="D22" s="4">
        <v>2043</v>
      </c>
      <c r="E22" s="4">
        <v>28929</v>
      </c>
    </row>
    <row r="23" spans="1:5" x14ac:dyDescent="0.2">
      <c r="A23" s="32" t="s">
        <v>270</v>
      </c>
      <c r="B23" s="4">
        <v>17019</v>
      </c>
      <c r="C23" s="4">
        <v>3493</v>
      </c>
      <c r="D23" s="4">
        <v>8745</v>
      </c>
      <c r="E23" s="4">
        <v>29257</v>
      </c>
    </row>
    <row r="24" spans="1:5" x14ac:dyDescent="0.2">
      <c r="A24" s="32" t="s">
        <v>271</v>
      </c>
      <c r="B24" s="4">
        <v>51714</v>
      </c>
      <c r="C24" s="4">
        <v>8361</v>
      </c>
      <c r="D24" s="4">
        <v>12085</v>
      </c>
      <c r="E24" s="4">
        <v>72160</v>
      </c>
    </row>
    <row r="25" spans="1:5" x14ac:dyDescent="0.2">
      <c r="A25" s="5" t="s">
        <v>4</v>
      </c>
      <c r="B25" s="5">
        <v>204683</v>
      </c>
      <c r="C25" s="5">
        <v>15953</v>
      </c>
      <c r="D25" s="5">
        <v>23749</v>
      </c>
      <c r="E25" s="5">
        <v>244385</v>
      </c>
    </row>
    <row r="26" spans="1:5" x14ac:dyDescent="0.2">
      <c r="A26" s="40"/>
      <c r="B26" s="68"/>
      <c r="C26" s="68"/>
      <c r="D26" s="68"/>
      <c r="E26" s="68"/>
    </row>
    <row r="27" spans="1:5" ht="15.75" x14ac:dyDescent="0.2">
      <c r="A27" s="25" t="s">
        <v>337</v>
      </c>
      <c r="B27" s="40"/>
      <c r="C27" s="40"/>
      <c r="D27" s="40"/>
      <c r="E27" s="40"/>
    </row>
    <row r="28" spans="1:5" x14ac:dyDescent="0.2">
      <c r="A28" s="88" t="s">
        <v>0</v>
      </c>
      <c r="B28" s="7" t="s">
        <v>235</v>
      </c>
      <c r="C28" s="7" t="s">
        <v>236</v>
      </c>
      <c r="D28" s="7" t="s">
        <v>8</v>
      </c>
      <c r="E28" s="40"/>
    </row>
    <row r="29" spans="1:5" x14ac:dyDescent="0.2">
      <c r="A29" s="4" t="s">
        <v>5</v>
      </c>
      <c r="B29" s="4">
        <v>19534</v>
      </c>
      <c r="C29" s="4">
        <v>14900</v>
      </c>
      <c r="D29" s="4">
        <f>SUM(B29:C29)</f>
        <v>34434</v>
      </c>
      <c r="E29" s="40"/>
    </row>
    <row r="30" spans="1:5" x14ac:dyDescent="0.2">
      <c r="A30" s="4" t="s">
        <v>6</v>
      </c>
      <c r="B30" s="4">
        <v>44718</v>
      </c>
      <c r="C30" s="4">
        <v>34887</v>
      </c>
      <c r="D30" s="4">
        <f t="shared" ref="D30:D34" si="1">SUM(B30:C30)</f>
        <v>79605</v>
      </c>
      <c r="E30" s="40"/>
    </row>
    <row r="31" spans="1:5" x14ac:dyDescent="0.2">
      <c r="A31" s="32" t="s">
        <v>269</v>
      </c>
      <c r="B31" s="4">
        <v>14825</v>
      </c>
      <c r="C31" s="4">
        <v>14104</v>
      </c>
      <c r="D31" s="4">
        <f t="shared" si="1"/>
        <v>28929</v>
      </c>
      <c r="E31" s="40"/>
    </row>
    <row r="32" spans="1:5" x14ac:dyDescent="0.2">
      <c r="A32" s="32" t="s">
        <v>270</v>
      </c>
      <c r="B32" s="4">
        <v>15221</v>
      </c>
      <c r="C32" s="4">
        <v>14036</v>
      </c>
      <c r="D32" s="4">
        <f t="shared" si="1"/>
        <v>29257</v>
      </c>
      <c r="E32" s="40"/>
    </row>
    <row r="33" spans="1:6" x14ac:dyDescent="0.2">
      <c r="A33" s="32" t="s">
        <v>271</v>
      </c>
      <c r="B33" s="4">
        <v>44088</v>
      </c>
      <c r="C33" s="4">
        <v>28072</v>
      </c>
      <c r="D33" s="4">
        <f t="shared" si="1"/>
        <v>72160</v>
      </c>
      <c r="E33" s="40"/>
    </row>
    <row r="34" spans="1:6" x14ac:dyDescent="0.2">
      <c r="A34" s="5" t="s">
        <v>4</v>
      </c>
      <c r="B34" s="5">
        <v>138386</v>
      </c>
      <c r="C34" s="5">
        <v>105999</v>
      </c>
      <c r="D34" s="5">
        <f t="shared" si="1"/>
        <v>244385</v>
      </c>
      <c r="E34" s="40"/>
    </row>
    <row r="35" spans="1:6" x14ac:dyDescent="0.2">
      <c r="A35" s="40"/>
      <c r="B35" s="68"/>
      <c r="C35" s="68"/>
      <c r="D35" s="68"/>
      <c r="E35" s="40"/>
    </row>
    <row r="36" spans="1:6" ht="15.75" x14ac:dyDescent="0.2">
      <c r="A36" s="25" t="s">
        <v>338</v>
      </c>
      <c r="B36" s="40"/>
      <c r="C36" s="40"/>
      <c r="D36" s="40"/>
      <c r="E36" s="40"/>
    </row>
    <row r="37" spans="1:6" ht="15" customHeight="1" x14ac:dyDescent="0.2">
      <c r="A37" s="88" t="s">
        <v>9</v>
      </c>
      <c r="B37" s="7" t="s">
        <v>235</v>
      </c>
      <c r="C37" s="7" t="s">
        <v>236</v>
      </c>
      <c r="D37" s="7" t="s">
        <v>8</v>
      </c>
      <c r="E37" s="40"/>
    </row>
    <row r="38" spans="1:6" x14ac:dyDescent="0.2">
      <c r="A38" s="8" t="s">
        <v>281</v>
      </c>
      <c r="B38" s="9">
        <v>1814</v>
      </c>
      <c r="C38" s="9">
        <v>1288</v>
      </c>
      <c r="D38" s="9">
        <f>SUM(B38:C38)</f>
        <v>3102</v>
      </c>
      <c r="E38" s="40"/>
      <c r="F38"/>
    </row>
    <row r="39" spans="1:6" x14ac:dyDescent="0.2">
      <c r="A39" s="8" t="s">
        <v>282</v>
      </c>
      <c r="B39" s="9">
        <v>1867</v>
      </c>
      <c r="C39" s="9">
        <v>1446</v>
      </c>
      <c r="D39" s="9">
        <f t="shared" ref="D39:D54" si="2">SUM(B39:C39)</f>
        <v>3313</v>
      </c>
      <c r="E39" s="40"/>
      <c r="F39"/>
    </row>
    <row r="40" spans="1:6" x14ac:dyDescent="0.2">
      <c r="A40" s="8" t="s">
        <v>283</v>
      </c>
      <c r="B40" s="9">
        <v>3869</v>
      </c>
      <c r="C40" s="9">
        <v>3568</v>
      </c>
      <c r="D40" s="9">
        <f t="shared" si="2"/>
        <v>7437</v>
      </c>
      <c r="E40" s="40"/>
      <c r="F40"/>
    </row>
    <row r="41" spans="1:6" x14ac:dyDescent="0.2">
      <c r="A41" s="8" t="s">
        <v>284</v>
      </c>
      <c r="B41" s="9">
        <v>1024</v>
      </c>
      <c r="C41" s="9">
        <v>824</v>
      </c>
      <c r="D41" s="9">
        <f t="shared" si="2"/>
        <v>1848</v>
      </c>
      <c r="E41" s="40"/>
      <c r="F41"/>
    </row>
    <row r="42" spans="1:6" x14ac:dyDescent="0.2">
      <c r="A42" s="8" t="s">
        <v>285</v>
      </c>
      <c r="B42" s="9">
        <v>4751</v>
      </c>
      <c r="C42" s="9">
        <v>3447</v>
      </c>
      <c r="D42" s="9">
        <f t="shared" si="2"/>
        <v>8198</v>
      </c>
      <c r="E42" s="40"/>
      <c r="F42"/>
    </row>
    <row r="43" spans="1:6" x14ac:dyDescent="0.2">
      <c r="A43" s="90" t="s">
        <v>286</v>
      </c>
      <c r="B43" s="9">
        <v>13292</v>
      </c>
      <c r="C43" s="9">
        <v>10350</v>
      </c>
      <c r="D43" s="9">
        <f t="shared" si="2"/>
        <v>23642</v>
      </c>
      <c r="E43" s="40"/>
      <c r="F43"/>
    </row>
    <row r="44" spans="1:6" x14ac:dyDescent="0.2">
      <c r="A44" s="90" t="s">
        <v>307</v>
      </c>
      <c r="B44" s="9">
        <v>66827</v>
      </c>
      <c r="C44" s="9">
        <v>55380</v>
      </c>
      <c r="D44" s="9">
        <f t="shared" si="2"/>
        <v>122207</v>
      </c>
      <c r="E44" s="40"/>
      <c r="F44"/>
    </row>
    <row r="45" spans="1:6" x14ac:dyDescent="0.2">
      <c r="A45" s="90" t="s">
        <v>287</v>
      </c>
      <c r="B45" s="9">
        <v>3775</v>
      </c>
      <c r="C45" s="9">
        <v>2722</v>
      </c>
      <c r="D45" s="9">
        <f t="shared" si="2"/>
        <v>6497</v>
      </c>
      <c r="E45" s="40"/>
      <c r="F45"/>
    </row>
    <row r="46" spans="1:6" x14ac:dyDescent="0.2">
      <c r="A46" s="8" t="s">
        <v>288</v>
      </c>
      <c r="B46" s="9">
        <v>6371</v>
      </c>
      <c r="C46" s="9">
        <v>4006</v>
      </c>
      <c r="D46" s="9">
        <f t="shared" si="2"/>
        <v>10377</v>
      </c>
      <c r="E46" s="40"/>
      <c r="F46"/>
    </row>
    <row r="47" spans="1:6" x14ac:dyDescent="0.2">
      <c r="A47" s="8" t="s">
        <v>315</v>
      </c>
      <c r="B47" s="9">
        <v>3645</v>
      </c>
      <c r="C47" s="9">
        <v>2004</v>
      </c>
      <c r="D47" s="9">
        <f t="shared" si="2"/>
        <v>5649</v>
      </c>
      <c r="E47" s="40"/>
      <c r="F47"/>
    </row>
    <row r="48" spans="1:6" x14ac:dyDescent="0.2">
      <c r="A48" s="8" t="s">
        <v>289</v>
      </c>
      <c r="B48" s="9">
        <v>15376</v>
      </c>
      <c r="C48" s="9">
        <v>11334</v>
      </c>
      <c r="D48" s="9">
        <f t="shared" si="2"/>
        <v>26710</v>
      </c>
      <c r="E48" s="40"/>
      <c r="F48"/>
    </row>
    <row r="49" spans="1:6" x14ac:dyDescent="0.2">
      <c r="A49" s="8" t="s">
        <v>290</v>
      </c>
      <c r="B49" s="9">
        <v>6993</v>
      </c>
      <c r="C49" s="9">
        <v>4120</v>
      </c>
      <c r="D49" s="9">
        <f t="shared" si="2"/>
        <v>11113</v>
      </c>
      <c r="E49" s="40"/>
      <c r="F49"/>
    </row>
    <row r="50" spans="1:6" x14ac:dyDescent="0.2">
      <c r="A50" s="8" t="s">
        <v>291</v>
      </c>
      <c r="B50" s="9">
        <v>2236</v>
      </c>
      <c r="C50" s="9">
        <v>1513</v>
      </c>
      <c r="D50" s="9">
        <f t="shared" si="2"/>
        <v>3749</v>
      </c>
      <c r="E50" s="40"/>
      <c r="F50"/>
    </row>
    <row r="51" spans="1:6" x14ac:dyDescent="0.2">
      <c r="A51" s="90" t="s">
        <v>292</v>
      </c>
      <c r="B51" s="9">
        <v>5418</v>
      </c>
      <c r="C51" s="9">
        <v>3209</v>
      </c>
      <c r="D51" s="9">
        <f t="shared" si="2"/>
        <v>8627</v>
      </c>
      <c r="E51" s="40"/>
      <c r="F51"/>
    </row>
    <row r="52" spans="1:6" x14ac:dyDescent="0.2">
      <c r="A52" s="90" t="s">
        <v>293</v>
      </c>
      <c r="B52" s="9">
        <v>371</v>
      </c>
      <c r="C52" s="9">
        <v>180</v>
      </c>
      <c r="D52" s="9">
        <f t="shared" si="2"/>
        <v>551</v>
      </c>
      <c r="E52" s="40"/>
      <c r="F52"/>
    </row>
    <row r="53" spans="1:6" x14ac:dyDescent="0.2">
      <c r="A53" s="90" t="s">
        <v>294</v>
      </c>
      <c r="B53" s="9">
        <v>757</v>
      </c>
      <c r="C53" s="9">
        <v>608</v>
      </c>
      <c r="D53" s="9">
        <f t="shared" si="2"/>
        <v>1365</v>
      </c>
      <c r="E53" s="40"/>
      <c r="F53"/>
    </row>
    <row r="54" spans="1:6" x14ac:dyDescent="0.2">
      <c r="A54" s="10" t="s">
        <v>4</v>
      </c>
      <c r="B54" s="11">
        <v>138386</v>
      </c>
      <c r="C54" s="11">
        <v>105999</v>
      </c>
      <c r="D54" s="11">
        <f t="shared" si="2"/>
        <v>244385</v>
      </c>
      <c r="E54" s="40"/>
    </row>
    <row r="55" spans="1:6" x14ac:dyDescent="0.2">
      <c r="A55" s="40"/>
      <c r="B55" s="40"/>
      <c r="C55" s="40"/>
      <c r="D55" s="40"/>
      <c r="E55" s="69"/>
    </row>
    <row r="56" spans="1:6" ht="15.75" x14ac:dyDescent="0.2">
      <c r="A56" s="25" t="s">
        <v>396</v>
      </c>
      <c r="B56" s="40"/>
      <c r="C56" s="40"/>
      <c r="D56" s="40"/>
      <c r="E56" s="40"/>
    </row>
    <row r="57" spans="1:6" x14ac:dyDescent="0.2">
      <c r="A57" s="88" t="s">
        <v>10</v>
      </c>
      <c r="B57" s="7" t="s">
        <v>235</v>
      </c>
      <c r="C57" s="7" t="s">
        <v>236</v>
      </c>
      <c r="D57" s="7" t="s">
        <v>8</v>
      </c>
      <c r="E57" s="40"/>
    </row>
    <row r="58" spans="1:6" x14ac:dyDescent="0.2">
      <c r="A58" s="8" t="s">
        <v>11</v>
      </c>
      <c r="B58" s="98">
        <v>32088</v>
      </c>
      <c r="C58" s="98">
        <v>24223</v>
      </c>
      <c r="D58" s="98">
        <f>SUM(B58:C58)</f>
        <v>56311</v>
      </c>
      <c r="E58" s="68"/>
    </row>
    <row r="59" spans="1:6" x14ac:dyDescent="0.2">
      <c r="A59" s="8" t="s">
        <v>12</v>
      </c>
      <c r="B59" s="98">
        <v>1950</v>
      </c>
      <c r="C59" s="98">
        <v>2116</v>
      </c>
      <c r="D59" s="98">
        <f t="shared" ref="D59:D68" si="3">SUM(B59:C59)</f>
        <v>4066</v>
      </c>
      <c r="E59" s="68"/>
    </row>
    <row r="60" spans="1:6" x14ac:dyDescent="0.2">
      <c r="A60" s="8" t="s">
        <v>13</v>
      </c>
      <c r="B60" s="98">
        <v>4532</v>
      </c>
      <c r="C60" s="98">
        <v>3460</v>
      </c>
      <c r="D60" s="98">
        <f t="shared" si="3"/>
        <v>7992</v>
      </c>
      <c r="E60" s="68"/>
    </row>
    <row r="61" spans="1:6" x14ac:dyDescent="0.2">
      <c r="A61" s="8" t="s">
        <v>14</v>
      </c>
      <c r="B61" s="98">
        <v>1039</v>
      </c>
      <c r="C61" s="98">
        <v>1244</v>
      </c>
      <c r="D61" s="98">
        <f t="shared" si="3"/>
        <v>2283</v>
      </c>
      <c r="E61" s="68"/>
    </row>
    <row r="62" spans="1:6" x14ac:dyDescent="0.2">
      <c r="A62" s="8" t="s">
        <v>15</v>
      </c>
      <c r="B62" s="98">
        <v>16248</v>
      </c>
      <c r="C62" s="98">
        <v>6731</v>
      </c>
      <c r="D62" s="98">
        <f t="shared" si="3"/>
        <v>22979</v>
      </c>
      <c r="E62" s="68"/>
    </row>
    <row r="63" spans="1:6" x14ac:dyDescent="0.2">
      <c r="A63" s="8" t="s">
        <v>16</v>
      </c>
      <c r="B63" s="98">
        <v>3444</v>
      </c>
      <c r="C63" s="98">
        <v>3076</v>
      </c>
      <c r="D63" s="98">
        <f t="shared" si="3"/>
        <v>6520</v>
      </c>
      <c r="E63" s="68"/>
    </row>
    <row r="64" spans="1:6" x14ac:dyDescent="0.2">
      <c r="A64" s="8" t="s">
        <v>17</v>
      </c>
      <c r="B64" s="98">
        <v>29228</v>
      </c>
      <c r="C64" s="98">
        <v>7774</v>
      </c>
      <c r="D64" s="98">
        <f t="shared" si="3"/>
        <v>37002</v>
      </c>
      <c r="E64" s="68"/>
    </row>
    <row r="65" spans="1:5" x14ac:dyDescent="0.2">
      <c r="A65" s="8" t="s">
        <v>18</v>
      </c>
      <c r="B65" s="98">
        <v>1060</v>
      </c>
      <c r="C65" s="98">
        <v>668</v>
      </c>
      <c r="D65" s="98">
        <f t="shared" si="3"/>
        <v>1728</v>
      </c>
      <c r="E65" s="68"/>
    </row>
    <row r="66" spans="1:5" x14ac:dyDescent="0.2">
      <c r="A66" s="8" t="s">
        <v>19</v>
      </c>
      <c r="B66" s="98">
        <v>34886</v>
      </c>
      <c r="C66" s="98">
        <v>10590</v>
      </c>
      <c r="D66" s="98">
        <f t="shared" si="3"/>
        <v>45476</v>
      </c>
      <c r="E66" s="68"/>
    </row>
    <row r="67" spans="1:5" x14ac:dyDescent="0.2">
      <c r="A67" s="8" t="s">
        <v>20</v>
      </c>
      <c r="B67" s="98">
        <v>13911</v>
      </c>
      <c r="C67" s="98">
        <v>46117</v>
      </c>
      <c r="D67" s="98">
        <f t="shared" si="3"/>
        <v>60028</v>
      </c>
      <c r="E67" s="68"/>
    </row>
    <row r="68" spans="1:5" x14ac:dyDescent="0.2">
      <c r="A68" s="10" t="s">
        <v>4</v>
      </c>
      <c r="B68" s="99">
        <v>138386</v>
      </c>
      <c r="C68" s="99">
        <v>105999</v>
      </c>
      <c r="D68" s="99">
        <f t="shared" si="3"/>
        <v>244385</v>
      </c>
      <c r="E68" s="68"/>
    </row>
    <row r="69" spans="1:5" x14ac:dyDescent="0.2">
      <c r="A69" s="40"/>
      <c r="B69" s="40"/>
      <c r="C69" s="40"/>
      <c r="D69" s="40"/>
      <c r="E69" s="40"/>
    </row>
    <row r="70" spans="1:5" x14ac:dyDescent="0.2">
      <c r="A70" s="40"/>
      <c r="B70" s="40"/>
      <c r="C70" s="40"/>
      <c r="D70" s="40"/>
      <c r="E70" s="40"/>
    </row>
    <row r="71" spans="1:5" x14ac:dyDescent="0.2">
      <c r="A71" s="70" t="s">
        <v>272</v>
      </c>
      <c r="B71" s="40"/>
      <c r="C71" s="40"/>
      <c r="D71" s="40"/>
      <c r="E71" s="40"/>
    </row>
    <row r="72" spans="1:5" x14ac:dyDescent="0.2">
      <c r="A72" s="40"/>
      <c r="B72" s="40"/>
      <c r="C72" s="40"/>
      <c r="D72" s="40"/>
      <c r="E72" s="40"/>
    </row>
    <row r="73" spans="1:5" x14ac:dyDescent="0.2">
      <c r="A73" s="71" t="s">
        <v>21</v>
      </c>
      <c r="B73" s="40"/>
      <c r="C73" s="40"/>
      <c r="D73" s="40"/>
      <c r="E73" s="40"/>
    </row>
    <row r="74" spans="1:5" x14ac:dyDescent="0.2">
      <c r="A74" s="40"/>
      <c r="B74" s="40"/>
      <c r="C74" s="40"/>
      <c r="D74" s="40"/>
      <c r="E74" s="40"/>
    </row>
  </sheetData>
  <conditionalFormatting sqref="E58:E67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{3752770A-D42D-4B5B-969E-ABBA84E8E5A5}</x14:id>
        </ext>
      </extLst>
    </cfRule>
  </conditionalFormatting>
  <hyperlinks>
    <hyperlink ref="A73" location="Indice!A5" display="Volver al índice" xr:uid="{00000000-0004-0000-0100-000000000000}"/>
  </hyperlink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52770A-D42D-4B5B-969E-ABBA84E8E5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E58:E67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5"/>
  <sheetViews>
    <sheetView showGridLines="0" workbookViewId="0">
      <pane ySplit="2" topLeftCell="A3" activePane="bottomLeft" state="frozen"/>
      <selection pane="bottomLeft"/>
    </sheetView>
  </sheetViews>
  <sheetFormatPr baseColWidth="10" defaultColWidth="10.85546875" defaultRowHeight="15" x14ac:dyDescent="0.2"/>
  <cols>
    <col min="1" max="1" width="26.42578125" style="1" customWidth="1"/>
    <col min="2" max="12" width="10.85546875" style="1" customWidth="1"/>
    <col min="13" max="15" width="14.5703125" style="1" customWidth="1"/>
    <col min="16" max="16" width="20.42578125" style="1" customWidth="1"/>
    <col min="17" max="16384" width="10.85546875" style="1"/>
  </cols>
  <sheetData>
    <row r="1" spans="1:15" ht="21" x14ac:dyDescent="0.2">
      <c r="A1" s="66" t="s">
        <v>373</v>
      </c>
      <c r="B1" s="66"/>
      <c r="C1" s="66"/>
      <c r="D1" s="66"/>
      <c r="E1" s="66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x14ac:dyDescent="0.2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x14ac:dyDescent="0.2">
      <c r="A3" s="72"/>
      <c r="B3" s="72"/>
      <c r="C3" s="72"/>
      <c r="D3" s="72"/>
      <c r="E3" s="72"/>
      <c r="F3" s="40"/>
      <c r="G3" s="40"/>
      <c r="H3" s="40"/>
      <c r="I3" s="40"/>
      <c r="J3" s="40"/>
      <c r="K3" s="40"/>
      <c r="L3" s="40"/>
      <c r="M3" s="40"/>
      <c r="N3" s="40"/>
      <c r="O3" s="40"/>
    </row>
    <row r="4" spans="1:15" ht="15.75" x14ac:dyDescent="0.2">
      <c r="A4" s="25" t="s">
        <v>244</v>
      </c>
      <c r="B4" s="25"/>
      <c r="C4" s="25"/>
      <c r="D4" s="25"/>
      <c r="E4" s="25"/>
      <c r="F4" s="40"/>
      <c r="G4" s="40"/>
      <c r="H4" s="40"/>
      <c r="I4" s="40"/>
      <c r="J4" s="40"/>
      <c r="K4" s="40"/>
      <c r="L4" s="40"/>
      <c r="M4" s="40"/>
      <c r="N4" s="40"/>
      <c r="O4" s="40"/>
    </row>
    <row r="5" spans="1:15" ht="25.5" x14ac:dyDescent="0.2">
      <c r="A5" s="88" t="s">
        <v>256</v>
      </c>
      <c r="B5" s="3">
        <v>2008</v>
      </c>
      <c r="C5" s="3">
        <v>2009</v>
      </c>
      <c r="D5" s="3">
        <v>2010</v>
      </c>
      <c r="E5" s="3">
        <v>2011</v>
      </c>
      <c r="F5" s="3">
        <v>2012</v>
      </c>
      <c r="G5" s="3">
        <v>2013</v>
      </c>
      <c r="H5" s="3">
        <v>2014</v>
      </c>
      <c r="I5" s="3">
        <v>2015</v>
      </c>
      <c r="J5" s="3">
        <v>2016</v>
      </c>
      <c r="K5" s="3">
        <v>2017</v>
      </c>
      <c r="L5" s="3">
        <v>2018</v>
      </c>
      <c r="M5" s="13" t="s">
        <v>395</v>
      </c>
      <c r="N5" s="13" t="s">
        <v>394</v>
      </c>
      <c r="O5" s="13" t="s">
        <v>313</v>
      </c>
    </row>
    <row r="6" spans="1:15" x14ac:dyDescent="0.2">
      <c r="A6" s="4" t="s">
        <v>1</v>
      </c>
      <c r="B6" s="4">
        <v>97670</v>
      </c>
      <c r="C6" s="4">
        <v>108782</v>
      </c>
      <c r="D6" s="4">
        <v>102202</v>
      </c>
      <c r="E6" s="4">
        <v>120174</v>
      </c>
      <c r="F6" s="4">
        <v>135223</v>
      </c>
      <c r="G6" s="4">
        <v>156841</v>
      </c>
      <c r="H6" s="4">
        <v>170671</v>
      </c>
      <c r="I6" s="4">
        <v>187574</v>
      </c>
      <c r="J6" s="4">
        <v>196019</v>
      </c>
      <c r="K6" s="4">
        <v>204318</v>
      </c>
      <c r="L6" s="4">
        <v>204683</v>
      </c>
      <c r="M6" s="100">
        <f>(L6-B6)/B6</f>
        <v>1.0956588512337462</v>
      </c>
      <c r="N6" s="110">
        <f>(L6-K6)/K6</f>
        <v>1.7864309556671462E-3</v>
      </c>
      <c r="O6" s="14">
        <f>L6/L$9</f>
        <v>0.83754322073777032</v>
      </c>
    </row>
    <row r="7" spans="1:15" x14ac:dyDescent="0.2">
      <c r="A7" s="4" t="s">
        <v>2</v>
      </c>
      <c r="B7" s="4">
        <v>6255</v>
      </c>
      <c r="C7" s="4">
        <v>8671</v>
      </c>
      <c r="D7" s="4">
        <v>8135</v>
      </c>
      <c r="E7" s="4">
        <v>10034</v>
      </c>
      <c r="F7" s="4">
        <v>10711</v>
      </c>
      <c r="G7" s="4">
        <v>12642</v>
      </c>
      <c r="H7" s="4">
        <v>12960</v>
      </c>
      <c r="I7" s="4">
        <v>13926</v>
      </c>
      <c r="J7" s="4">
        <v>13892</v>
      </c>
      <c r="K7" s="4">
        <v>14686</v>
      </c>
      <c r="L7" s="4">
        <v>15953</v>
      </c>
      <c r="M7" s="100">
        <f t="shared" ref="M7:M9" si="0">(L7-B7)/B7</f>
        <v>1.5504396482813749</v>
      </c>
      <c r="N7" s="110">
        <f t="shared" ref="N7:N9" si="1">(L7-K7)/K7</f>
        <v>8.6272640610104867E-2</v>
      </c>
      <c r="O7" s="14">
        <f t="shared" ref="O7:O9" si="2">L7/L$9</f>
        <v>6.5278147185792904E-2</v>
      </c>
    </row>
    <row r="8" spans="1:15" x14ac:dyDescent="0.2">
      <c r="A8" s="4" t="s">
        <v>3</v>
      </c>
      <c r="B8" s="4">
        <v>7669</v>
      </c>
      <c r="C8" s="4">
        <v>8805</v>
      </c>
      <c r="D8" s="4">
        <v>8856</v>
      </c>
      <c r="E8" s="4">
        <v>8732</v>
      </c>
      <c r="F8" s="4">
        <v>9694</v>
      </c>
      <c r="G8" s="4">
        <v>12588</v>
      </c>
      <c r="H8" s="4">
        <v>12926</v>
      </c>
      <c r="I8" s="4">
        <v>13529</v>
      </c>
      <c r="J8" s="4">
        <v>18953</v>
      </c>
      <c r="K8" s="4">
        <v>22653</v>
      </c>
      <c r="L8" s="4">
        <v>23749</v>
      </c>
      <c r="M8" s="100">
        <f t="shared" si="0"/>
        <v>2.096753162081106</v>
      </c>
      <c r="N8" s="110">
        <f t="shared" si="1"/>
        <v>4.8382112744448862E-2</v>
      </c>
      <c r="O8" s="14">
        <f t="shared" si="2"/>
        <v>9.7178632076436774E-2</v>
      </c>
    </row>
    <row r="9" spans="1:15" x14ac:dyDescent="0.2">
      <c r="A9" s="5" t="s">
        <v>314</v>
      </c>
      <c r="B9" s="5">
        <v>111594</v>
      </c>
      <c r="C9" s="5">
        <v>126258</v>
      </c>
      <c r="D9" s="5">
        <v>119193</v>
      </c>
      <c r="E9" s="5">
        <v>138940</v>
      </c>
      <c r="F9" s="5">
        <v>155628</v>
      </c>
      <c r="G9" s="5">
        <v>182071</v>
      </c>
      <c r="H9" s="5">
        <v>196557</v>
      </c>
      <c r="I9" s="5">
        <v>215029</v>
      </c>
      <c r="J9" s="5">
        <v>228864</v>
      </c>
      <c r="K9" s="5">
        <v>241657</v>
      </c>
      <c r="L9" s="5">
        <v>244385</v>
      </c>
      <c r="M9" s="83">
        <f t="shared" si="0"/>
        <v>1.1899474882162124</v>
      </c>
      <c r="N9" s="111">
        <f t="shared" si="1"/>
        <v>1.1288727411165413E-2</v>
      </c>
      <c r="O9" s="16">
        <f t="shared" si="2"/>
        <v>1</v>
      </c>
    </row>
    <row r="10" spans="1:15" x14ac:dyDescent="0.2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104"/>
      <c r="N10" s="104"/>
      <c r="O10" s="105"/>
    </row>
    <row r="11" spans="1:15" ht="15.75" x14ac:dyDescent="0.2">
      <c r="A11" s="25" t="s">
        <v>22</v>
      </c>
      <c r="B11" s="25"/>
      <c r="C11" s="25"/>
      <c r="D11" s="25"/>
      <c r="E11" s="25"/>
      <c r="F11" s="40"/>
      <c r="G11" s="40"/>
      <c r="H11" s="40"/>
      <c r="I11" s="40"/>
      <c r="J11" s="40"/>
      <c r="K11" s="40"/>
      <c r="L11" s="40"/>
      <c r="M11" s="40"/>
      <c r="N11" s="40"/>
      <c r="O11" s="40"/>
    </row>
    <row r="12" spans="1:15" ht="25.5" x14ac:dyDescent="0.2">
      <c r="A12" s="88" t="s">
        <v>0</v>
      </c>
      <c r="B12" s="3">
        <v>2008</v>
      </c>
      <c r="C12" s="3">
        <v>2009</v>
      </c>
      <c r="D12" s="3">
        <v>2010</v>
      </c>
      <c r="E12" s="3">
        <v>2011</v>
      </c>
      <c r="F12" s="3">
        <v>2012</v>
      </c>
      <c r="G12" s="3">
        <v>2013</v>
      </c>
      <c r="H12" s="3">
        <v>2014</v>
      </c>
      <c r="I12" s="3">
        <v>2015</v>
      </c>
      <c r="J12" s="3">
        <v>2016</v>
      </c>
      <c r="K12" s="3">
        <v>2017</v>
      </c>
      <c r="L12" s="3">
        <v>2018</v>
      </c>
      <c r="M12" s="13" t="s">
        <v>395</v>
      </c>
      <c r="N12" s="13" t="s">
        <v>394</v>
      </c>
      <c r="O12" s="13" t="s">
        <v>313</v>
      </c>
    </row>
    <row r="13" spans="1:15" x14ac:dyDescent="0.2">
      <c r="A13" s="4" t="s">
        <v>5</v>
      </c>
      <c r="B13" s="4">
        <v>19222</v>
      </c>
      <c r="C13" s="4">
        <v>16619</v>
      </c>
      <c r="D13" s="4">
        <v>13995</v>
      </c>
      <c r="E13" s="4">
        <v>22320</v>
      </c>
      <c r="F13" s="4">
        <v>25498</v>
      </c>
      <c r="G13" s="4">
        <v>28381</v>
      </c>
      <c r="H13" s="4">
        <v>27853</v>
      </c>
      <c r="I13" s="4">
        <v>30544</v>
      </c>
      <c r="J13" s="4">
        <v>33755</v>
      </c>
      <c r="K13" s="4">
        <v>32641</v>
      </c>
      <c r="L13" s="4">
        <v>34434</v>
      </c>
      <c r="M13" s="100">
        <f>(L13-B13)/B13</f>
        <v>0.79138487150140469</v>
      </c>
      <c r="N13" s="110">
        <f t="shared" ref="N13:N16" si="3">(L13-K13)/K13</f>
        <v>5.4930915106767564E-2</v>
      </c>
      <c r="O13" s="14">
        <f t="shared" ref="O13:O16" si="4">L13/L$9</f>
        <v>0.14090062810728973</v>
      </c>
    </row>
    <row r="14" spans="1:15" x14ac:dyDescent="0.2">
      <c r="A14" s="4" t="s">
        <v>6</v>
      </c>
      <c r="B14" s="4">
        <v>18685</v>
      </c>
      <c r="C14" s="4">
        <v>23668</v>
      </c>
      <c r="D14" s="4">
        <v>23670</v>
      </c>
      <c r="E14" s="4">
        <v>30684</v>
      </c>
      <c r="F14" s="4">
        <v>38136</v>
      </c>
      <c r="G14" s="4">
        <v>47167</v>
      </c>
      <c r="H14" s="4">
        <v>55842</v>
      </c>
      <c r="I14" s="4">
        <v>67548</v>
      </c>
      <c r="J14" s="4">
        <v>75657</v>
      </c>
      <c r="K14" s="4">
        <v>79282</v>
      </c>
      <c r="L14" s="4">
        <v>79605</v>
      </c>
      <c r="M14" s="100">
        <f t="shared" ref="M14:M16" si="5">(L14-B14)/B14</f>
        <v>3.2603692801712603</v>
      </c>
      <c r="N14" s="110">
        <f t="shared" si="3"/>
        <v>4.0740647309603691E-3</v>
      </c>
      <c r="O14" s="14">
        <f t="shared" si="4"/>
        <v>0.32573603126214784</v>
      </c>
    </row>
    <row r="15" spans="1:15" x14ac:dyDescent="0.2">
      <c r="A15" s="4" t="s">
        <v>7</v>
      </c>
      <c r="B15" s="4">
        <v>73687</v>
      </c>
      <c r="C15" s="4">
        <v>85971</v>
      </c>
      <c r="D15" s="4">
        <v>81528</v>
      </c>
      <c r="E15" s="4">
        <v>85936</v>
      </c>
      <c r="F15" s="4">
        <v>91994</v>
      </c>
      <c r="G15" s="4">
        <v>106523</v>
      </c>
      <c r="H15" s="4">
        <v>112862</v>
      </c>
      <c r="I15" s="4">
        <v>116937</v>
      </c>
      <c r="J15" s="4">
        <v>119452</v>
      </c>
      <c r="K15" s="4">
        <v>129734</v>
      </c>
      <c r="L15" s="4">
        <v>130346</v>
      </c>
      <c r="M15" s="100">
        <f t="shared" si="5"/>
        <v>0.76891446252391871</v>
      </c>
      <c r="N15" s="110">
        <f t="shared" si="3"/>
        <v>4.7173447207362754E-3</v>
      </c>
      <c r="O15" s="14">
        <f t="shared" si="4"/>
        <v>0.53336334063056245</v>
      </c>
    </row>
    <row r="16" spans="1:15" x14ac:dyDescent="0.2">
      <c r="A16" s="5" t="s">
        <v>4</v>
      </c>
      <c r="B16" s="5">
        <v>111594</v>
      </c>
      <c r="C16" s="5">
        <v>126258</v>
      </c>
      <c r="D16" s="5">
        <v>119193</v>
      </c>
      <c r="E16" s="5">
        <v>138940</v>
      </c>
      <c r="F16" s="5">
        <v>155628</v>
      </c>
      <c r="G16" s="5">
        <v>182071</v>
      </c>
      <c r="H16" s="5">
        <v>196557</v>
      </c>
      <c r="I16" s="5">
        <v>215029</v>
      </c>
      <c r="J16" s="5">
        <v>228864</v>
      </c>
      <c r="K16" s="5">
        <v>241657</v>
      </c>
      <c r="L16" s="5">
        <v>244385</v>
      </c>
      <c r="M16" s="83">
        <f t="shared" si="5"/>
        <v>1.1899474882162124</v>
      </c>
      <c r="N16" s="111">
        <f t="shared" si="3"/>
        <v>1.1288727411165413E-2</v>
      </c>
      <c r="O16" s="16">
        <f t="shared" si="4"/>
        <v>1</v>
      </c>
    </row>
    <row r="17" spans="1:15" x14ac:dyDescent="0.2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</row>
    <row r="18" spans="1:15" ht="15.75" x14ac:dyDescent="0.2">
      <c r="A18" s="25" t="s">
        <v>245</v>
      </c>
      <c r="B18" s="25"/>
      <c r="C18" s="25"/>
      <c r="D18" s="25"/>
      <c r="E18" s="25"/>
      <c r="F18" s="40"/>
      <c r="G18" s="40"/>
      <c r="H18" s="40"/>
      <c r="I18" s="40"/>
      <c r="J18" s="40"/>
      <c r="K18" s="40"/>
      <c r="L18" s="40"/>
      <c r="M18" s="40"/>
      <c r="N18" s="40"/>
      <c r="O18" s="40"/>
    </row>
    <row r="19" spans="1:15" ht="25.5" x14ac:dyDescent="0.2">
      <c r="A19" s="88" t="s">
        <v>23</v>
      </c>
      <c r="B19" s="3">
        <v>2008</v>
      </c>
      <c r="C19" s="3">
        <v>2009</v>
      </c>
      <c r="D19" s="3">
        <v>2010</v>
      </c>
      <c r="E19" s="3">
        <v>2011</v>
      </c>
      <c r="F19" s="3">
        <v>2012</v>
      </c>
      <c r="G19" s="3">
        <v>2013</v>
      </c>
      <c r="H19" s="3">
        <v>2014</v>
      </c>
      <c r="I19" s="3">
        <v>2015</v>
      </c>
      <c r="J19" s="3">
        <v>2016</v>
      </c>
      <c r="K19" s="3">
        <v>2017</v>
      </c>
      <c r="L19" s="3">
        <v>2018</v>
      </c>
      <c r="M19" s="13" t="s">
        <v>395</v>
      </c>
      <c r="N19" s="13" t="s">
        <v>394</v>
      </c>
      <c r="O19" s="13" t="s">
        <v>313</v>
      </c>
    </row>
    <row r="20" spans="1:15" x14ac:dyDescent="0.2">
      <c r="A20" s="5" t="s">
        <v>5</v>
      </c>
      <c r="B20" s="5">
        <v>19222</v>
      </c>
      <c r="C20" s="5">
        <v>16619</v>
      </c>
      <c r="D20" s="5">
        <v>13995</v>
      </c>
      <c r="E20" s="5">
        <v>22320</v>
      </c>
      <c r="F20" s="23">
        <v>25498</v>
      </c>
      <c r="G20" s="23">
        <v>28381</v>
      </c>
      <c r="H20" s="23">
        <v>27853</v>
      </c>
      <c r="I20" s="23">
        <v>30544</v>
      </c>
      <c r="J20" s="23">
        <v>33755</v>
      </c>
      <c r="K20" s="23">
        <v>32641</v>
      </c>
      <c r="L20" s="23">
        <v>34434</v>
      </c>
      <c r="M20" s="83">
        <f>(L20-B20)/B20</f>
        <v>0.79138487150140469</v>
      </c>
      <c r="N20" s="111">
        <f t="shared" ref="N20:N30" si="6">(L20-K20)/K20</f>
        <v>5.4930915106767564E-2</v>
      </c>
      <c r="O20" s="16">
        <f t="shared" ref="O20:O30" si="7">L20/L$9</f>
        <v>0.14090062810728973</v>
      </c>
    </row>
    <row r="21" spans="1:15" x14ac:dyDescent="0.2">
      <c r="A21" s="85" t="s">
        <v>1</v>
      </c>
      <c r="B21" s="85">
        <v>19222</v>
      </c>
      <c r="C21" s="85">
        <v>16609</v>
      </c>
      <c r="D21" s="85">
        <v>13984</v>
      </c>
      <c r="E21" s="85">
        <v>22307</v>
      </c>
      <c r="F21" s="4">
        <v>25490</v>
      </c>
      <c r="G21" s="4">
        <v>28371</v>
      </c>
      <c r="H21" s="4">
        <v>27853</v>
      </c>
      <c r="I21" s="4">
        <v>30544</v>
      </c>
      <c r="J21" s="4">
        <v>33746</v>
      </c>
      <c r="K21" s="4">
        <v>32631</v>
      </c>
      <c r="L21" s="4">
        <v>34429</v>
      </c>
      <c r="M21" s="100">
        <f t="shared" ref="M21:M30" si="8">(L21-B21)/B21</f>
        <v>0.79112475288731665</v>
      </c>
      <c r="N21" s="110">
        <f t="shared" si="6"/>
        <v>5.5100977597989639E-2</v>
      </c>
      <c r="O21" s="14">
        <f t="shared" si="7"/>
        <v>0.14088016858645169</v>
      </c>
    </row>
    <row r="22" spans="1:15" x14ac:dyDescent="0.2">
      <c r="A22" s="85" t="s">
        <v>3</v>
      </c>
      <c r="B22" s="85"/>
      <c r="C22" s="85">
        <v>10</v>
      </c>
      <c r="D22" s="85">
        <v>11</v>
      </c>
      <c r="E22" s="85">
        <v>13</v>
      </c>
      <c r="F22" s="4">
        <v>8</v>
      </c>
      <c r="G22" s="4">
        <v>10</v>
      </c>
      <c r="H22" s="4"/>
      <c r="I22" s="4"/>
      <c r="J22" s="4">
        <v>9</v>
      </c>
      <c r="K22" s="4">
        <v>10</v>
      </c>
      <c r="L22" s="4">
        <v>5</v>
      </c>
      <c r="M22" s="100"/>
      <c r="N22" s="110">
        <f t="shared" si="6"/>
        <v>-0.5</v>
      </c>
      <c r="O22" s="14">
        <f t="shared" si="7"/>
        <v>2.0459520838021975E-5</v>
      </c>
    </row>
    <row r="23" spans="1:15" x14ac:dyDescent="0.2">
      <c r="A23" s="5" t="s">
        <v>6</v>
      </c>
      <c r="B23" s="5">
        <v>18685</v>
      </c>
      <c r="C23" s="5">
        <v>23668</v>
      </c>
      <c r="D23" s="5">
        <v>23670</v>
      </c>
      <c r="E23" s="5">
        <v>30684</v>
      </c>
      <c r="F23" s="23">
        <v>38136</v>
      </c>
      <c r="G23" s="23">
        <v>47167</v>
      </c>
      <c r="H23" s="23">
        <v>55842</v>
      </c>
      <c r="I23" s="23">
        <v>67548</v>
      </c>
      <c r="J23" s="23">
        <v>75657</v>
      </c>
      <c r="K23" s="23">
        <v>79282</v>
      </c>
      <c r="L23" s="23">
        <v>79605</v>
      </c>
      <c r="M23" s="83">
        <f t="shared" si="8"/>
        <v>3.2603692801712603</v>
      </c>
      <c r="N23" s="111">
        <f t="shared" si="6"/>
        <v>4.0740647309603691E-3</v>
      </c>
      <c r="O23" s="16">
        <f t="shared" si="7"/>
        <v>0.32573603126214784</v>
      </c>
    </row>
    <row r="24" spans="1:15" x14ac:dyDescent="0.2">
      <c r="A24" s="85" t="s">
        <v>1</v>
      </c>
      <c r="B24" s="85">
        <v>18685</v>
      </c>
      <c r="C24" s="85">
        <v>23640</v>
      </c>
      <c r="D24" s="85">
        <v>23670</v>
      </c>
      <c r="E24" s="85">
        <v>30684</v>
      </c>
      <c r="F24" s="4">
        <v>38136</v>
      </c>
      <c r="G24" s="4">
        <v>47162</v>
      </c>
      <c r="H24" s="4">
        <v>55821</v>
      </c>
      <c r="I24" s="4">
        <v>67292</v>
      </c>
      <c r="J24" s="4">
        <v>73016</v>
      </c>
      <c r="K24" s="4">
        <v>78118</v>
      </c>
      <c r="L24" s="4">
        <v>78734</v>
      </c>
      <c r="M24" s="100">
        <f t="shared" si="8"/>
        <v>3.2137543484078139</v>
      </c>
      <c r="N24" s="110">
        <f t="shared" si="6"/>
        <v>7.8855065413861083E-3</v>
      </c>
      <c r="O24" s="14">
        <f t="shared" si="7"/>
        <v>0.32217198273216441</v>
      </c>
    </row>
    <row r="25" spans="1:15" x14ac:dyDescent="0.2">
      <c r="A25" s="85" t="s">
        <v>3</v>
      </c>
      <c r="B25" s="85"/>
      <c r="C25" s="85">
        <v>28</v>
      </c>
      <c r="D25" s="85"/>
      <c r="E25" s="85"/>
      <c r="F25" s="4"/>
      <c r="G25" s="4">
        <v>5</v>
      </c>
      <c r="H25" s="4">
        <v>21</v>
      </c>
      <c r="I25" s="4">
        <v>256</v>
      </c>
      <c r="J25" s="4">
        <v>2641</v>
      </c>
      <c r="K25" s="4">
        <v>1164</v>
      </c>
      <c r="L25" s="4">
        <v>871</v>
      </c>
      <c r="M25" s="100"/>
      <c r="N25" s="110">
        <f t="shared" si="6"/>
        <v>-0.25171821305841924</v>
      </c>
      <c r="O25" s="14">
        <f t="shared" si="7"/>
        <v>3.5640485299834276E-3</v>
      </c>
    </row>
    <row r="26" spans="1:15" x14ac:dyDescent="0.2">
      <c r="A26" s="5" t="s">
        <v>7</v>
      </c>
      <c r="B26" s="5">
        <v>73687</v>
      </c>
      <c r="C26" s="5">
        <v>85971</v>
      </c>
      <c r="D26" s="5">
        <v>81528</v>
      </c>
      <c r="E26" s="5">
        <v>85936</v>
      </c>
      <c r="F26" s="23">
        <v>91994</v>
      </c>
      <c r="G26" s="23">
        <v>106523</v>
      </c>
      <c r="H26" s="23">
        <v>112862</v>
      </c>
      <c r="I26" s="23">
        <v>116937</v>
      </c>
      <c r="J26" s="23">
        <v>119452</v>
      </c>
      <c r="K26" s="23">
        <v>129734</v>
      </c>
      <c r="L26" s="23">
        <v>130346</v>
      </c>
      <c r="M26" s="83">
        <f t="shared" si="8"/>
        <v>0.76891446252391871</v>
      </c>
      <c r="N26" s="111">
        <f t="shared" si="6"/>
        <v>4.7173447207362754E-3</v>
      </c>
      <c r="O26" s="16">
        <f t="shared" si="7"/>
        <v>0.53336334063056245</v>
      </c>
    </row>
    <row r="27" spans="1:15" x14ac:dyDescent="0.2">
      <c r="A27" s="85" t="s">
        <v>1</v>
      </c>
      <c r="B27" s="85">
        <v>59763</v>
      </c>
      <c r="C27" s="85">
        <v>68533</v>
      </c>
      <c r="D27" s="85">
        <v>64548</v>
      </c>
      <c r="E27" s="85">
        <v>67183</v>
      </c>
      <c r="F27" s="4">
        <v>71597</v>
      </c>
      <c r="G27" s="4">
        <v>81308</v>
      </c>
      <c r="H27" s="4">
        <v>86997</v>
      </c>
      <c r="I27" s="4">
        <v>89738</v>
      </c>
      <c r="J27" s="4">
        <v>89257</v>
      </c>
      <c r="K27" s="4">
        <v>93569</v>
      </c>
      <c r="L27" s="4">
        <v>91520</v>
      </c>
      <c r="M27" s="100">
        <f t="shared" si="8"/>
        <v>0.53138229339223264</v>
      </c>
      <c r="N27" s="110">
        <f t="shared" si="6"/>
        <v>-2.1898278275924717E-2</v>
      </c>
      <c r="O27" s="14">
        <f t="shared" si="7"/>
        <v>0.37449106941915422</v>
      </c>
    </row>
    <row r="28" spans="1:15" x14ac:dyDescent="0.2">
      <c r="A28" s="85" t="s">
        <v>266</v>
      </c>
      <c r="B28" s="85">
        <v>6255</v>
      </c>
      <c r="C28" s="85">
        <v>8671</v>
      </c>
      <c r="D28" s="85">
        <v>8135</v>
      </c>
      <c r="E28" s="85">
        <v>10034</v>
      </c>
      <c r="F28" s="4">
        <v>10711</v>
      </c>
      <c r="G28" s="4">
        <v>12642</v>
      </c>
      <c r="H28" s="4">
        <v>12960</v>
      </c>
      <c r="I28" s="4">
        <v>13926</v>
      </c>
      <c r="J28" s="4">
        <v>13892</v>
      </c>
      <c r="K28" s="4">
        <v>14686</v>
      </c>
      <c r="L28" s="4">
        <v>15953</v>
      </c>
      <c r="M28" s="100">
        <f t="shared" si="8"/>
        <v>1.5504396482813749</v>
      </c>
      <c r="N28" s="110">
        <f t="shared" si="6"/>
        <v>8.6272640610104867E-2</v>
      </c>
      <c r="O28" s="14">
        <f t="shared" si="7"/>
        <v>6.5278147185792904E-2</v>
      </c>
    </row>
    <row r="29" spans="1:15" x14ac:dyDescent="0.2">
      <c r="A29" s="85" t="s">
        <v>3</v>
      </c>
      <c r="B29" s="85">
        <v>7669</v>
      </c>
      <c r="C29" s="85">
        <v>8767</v>
      </c>
      <c r="D29" s="85">
        <v>8845</v>
      </c>
      <c r="E29" s="85">
        <v>8719</v>
      </c>
      <c r="F29" s="4">
        <v>9686</v>
      </c>
      <c r="G29" s="4">
        <v>12573</v>
      </c>
      <c r="H29" s="4">
        <v>12905</v>
      </c>
      <c r="I29" s="4">
        <v>13273</v>
      </c>
      <c r="J29" s="4">
        <v>16303</v>
      </c>
      <c r="K29" s="4">
        <v>21479</v>
      </c>
      <c r="L29" s="4">
        <v>22873</v>
      </c>
      <c r="M29" s="100">
        <f t="shared" si="8"/>
        <v>1.9825270569826574</v>
      </c>
      <c r="N29" s="110">
        <f t="shared" si="6"/>
        <v>6.4900600586619492E-2</v>
      </c>
      <c r="O29" s="14">
        <f t="shared" si="7"/>
        <v>9.3594124025615316E-2</v>
      </c>
    </row>
    <row r="30" spans="1:15" x14ac:dyDescent="0.2">
      <c r="A30" s="5" t="s">
        <v>4</v>
      </c>
      <c r="B30" s="5">
        <v>111594</v>
      </c>
      <c r="C30" s="5">
        <v>126258</v>
      </c>
      <c r="D30" s="5">
        <v>119193</v>
      </c>
      <c r="E30" s="5">
        <v>138940</v>
      </c>
      <c r="F30" s="5">
        <v>155628</v>
      </c>
      <c r="G30" s="5">
        <v>182071</v>
      </c>
      <c r="H30" s="5">
        <v>196557</v>
      </c>
      <c r="I30" s="5">
        <v>215029</v>
      </c>
      <c r="J30" s="5">
        <v>228864</v>
      </c>
      <c r="K30" s="5">
        <v>241657</v>
      </c>
      <c r="L30" s="5">
        <v>244385</v>
      </c>
      <c r="M30" s="83">
        <f t="shared" si="8"/>
        <v>1.1899474882162124</v>
      </c>
      <c r="N30" s="111">
        <f t="shared" si="6"/>
        <v>1.1288727411165413E-2</v>
      </c>
      <c r="O30" s="16">
        <f t="shared" si="7"/>
        <v>1</v>
      </c>
    </row>
    <row r="31" spans="1:15" x14ac:dyDescent="0.2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</row>
    <row r="32" spans="1:15" ht="15.75" x14ac:dyDescent="0.2">
      <c r="A32" s="25" t="s">
        <v>238</v>
      </c>
      <c r="B32" s="25"/>
      <c r="C32" s="25"/>
      <c r="D32" s="25"/>
      <c r="E32" s="25"/>
      <c r="F32" s="40"/>
      <c r="G32" s="40"/>
      <c r="H32" s="40"/>
      <c r="I32" s="40"/>
      <c r="J32" s="40"/>
      <c r="K32" s="40"/>
      <c r="L32" s="40"/>
      <c r="M32" s="40"/>
      <c r="N32" s="40"/>
      <c r="O32" s="40"/>
    </row>
    <row r="33" spans="1:15" ht="25.5" x14ac:dyDescent="0.2">
      <c r="A33" s="88" t="s">
        <v>0</v>
      </c>
      <c r="B33" s="3">
        <v>2008</v>
      </c>
      <c r="C33" s="3">
        <v>2009</v>
      </c>
      <c r="D33" s="3">
        <v>2010</v>
      </c>
      <c r="E33" s="3">
        <v>2011</v>
      </c>
      <c r="F33" s="3">
        <v>2012</v>
      </c>
      <c r="G33" s="3">
        <v>2013</v>
      </c>
      <c r="H33" s="3">
        <v>2014</v>
      </c>
      <c r="I33" s="3">
        <v>2015</v>
      </c>
      <c r="J33" s="3">
        <v>2016</v>
      </c>
      <c r="K33" s="3">
        <v>2017</v>
      </c>
      <c r="L33" s="3">
        <v>2018</v>
      </c>
      <c r="M33" s="13" t="s">
        <v>395</v>
      </c>
      <c r="N33" s="13" t="s">
        <v>394</v>
      </c>
      <c r="O33" s="13" t="s">
        <v>313</v>
      </c>
    </row>
    <row r="34" spans="1:15" x14ac:dyDescent="0.2">
      <c r="A34" s="4" t="s">
        <v>5</v>
      </c>
      <c r="B34" s="4">
        <v>19222</v>
      </c>
      <c r="C34" s="4">
        <v>16619</v>
      </c>
      <c r="D34" s="4">
        <v>13995</v>
      </c>
      <c r="E34" s="4">
        <v>22320</v>
      </c>
      <c r="F34" s="4">
        <v>25498</v>
      </c>
      <c r="G34" s="4">
        <v>28381</v>
      </c>
      <c r="H34" s="4">
        <v>27853</v>
      </c>
      <c r="I34" s="4">
        <v>30544</v>
      </c>
      <c r="J34" s="4">
        <v>33755</v>
      </c>
      <c r="K34" s="4">
        <v>32641</v>
      </c>
      <c r="L34" s="4">
        <v>34434</v>
      </c>
      <c r="M34" s="100">
        <f>(L34-B34)/B34</f>
        <v>0.79138487150140469</v>
      </c>
      <c r="N34" s="110">
        <f t="shared" ref="N34:N39" si="9">(L34-K34)/K34</f>
        <v>5.4930915106767564E-2</v>
      </c>
      <c r="O34" s="100">
        <f t="shared" ref="O34:O39" si="10">L34/L$9</f>
        <v>0.14090062810728973</v>
      </c>
    </row>
    <row r="35" spans="1:15" x14ac:dyDescent="0.2">
      <c r="A35" s="4" t="s">
        <v>6</v>
      </c>
      <c r="B35" s="4">
        <v>18685</v>
      </c>
      <c r="C35" s="4">
        <v>23668</v>
      </c>
      <c r="D35" s="4">
        <v>23670</v>
      </c>
      <c r="E35" s="4">
        <v>30684</v>
      </c>
      <c r="F35" s="4">
        <v>38136</v>
      </c>
      <c r="G35" s="4">
        <v>47167</v>
      </c>
      <c r="H35" s="4">
        <v>55842</v>
      </c>
      <c r="I35" s="4">
        <v>67548</v>
      </c>
      <c r="J35" s="4">
        <v>75657</v>
      </c>
      <c r="K35" s="4">
        <v>79282</v>
      </c>
      <c r="L35" s="4">
        <v>79605</v>
      </c>
      <c r="M35" s="100">
        <f t="shared" ref="M35:M39" si="11">(L35-B35)/B35</f>
        <v>3.2603692801712603</v>
      </c>
      <c r="N35" s="110">
        <f t="shared" si="9"/>
        <v>4.0740647309603691E-3</v>
      </c>
      <c r="O35" s="100">
        <f t="shared" si="10"/>
        <v>0.32573603126214784</v>
      </c>
    </row>
    <row r="36" spans="1:15" x14ac:dyDescent="0.2">
      <c r="A36" s="32" t="s">
        <v>269</v>
      </c>
      <c r="B36" s="32">
        <v>24560</v>
      </c>
      <c r="C36" s="32">
        <v>29386</v>
      </c>
      <c r="D36" s="32">
        <v>27549</v>
      </c>
      <c r="E36" s="32">
        <v>26887</v>
      </c>
      <c r="F36" s="4">
        <v>26597</v>
      </c>
      <c r="G36" s="4">
        <v>27722</v>
      </c>
      <c r="H36" s="4">
        <v>28277</v>
      </c>
      <c r="I36" s="4">
        <v>29213</v>
      </c>
      <c r="J36" s="4">
        <v>28449</v>
      </c>
      <c r="K36" s="4">
        <v>30217</v>
      </c>
      <c r="L36" s="4">
        <v>28929</v>
      </c>
      <c r="M36" s="82">
        <f t="shared" si="11"/>
        <v>0.17789087947882737</v>
      </c>
      <c r="N36" s="110">
        <f t="shared" si="9"/>
        <v>-4.262501241023265E-2</v>
      </c>
      <c r="O36" s="82">
        <f t="shared" si="10"/>
        <v>0.11837469566462754</v>
      </c>
    </row>
    <row r="37" spans="1:15" x14ac:dyDescent="0.2">
      <c r="A37" s="32" t="s">
        <v>270</v>
      </c>
      <c r="B37" s="32">
        <v>15147</v>
      </c>
      <c r="C37" s="32">
        <v>17556</v>
      </c>
      <c r="D37" s="32">
        <v>17375</v>
      </c>
      <c r="E37" s="32">
        <v>17434</v>
      </c>
      <c r="F37" s="4">
        <v>18940</v>
      </c>
      <c r="G37" s="4">
        <v>20608</v>
      </c>
      <c r="H37" s="4">
        <v>21734</v>
      </c>
      <c r="I37" s="4">
        <v>22655</v>
      </c>
      <c r="J37" s="4">
        <v>22392</v>
      </c>
      <c r="K37" s="4">
        <v>30269</v>
      </c>
      <c r="L37" s="4">
        <v>29257</v>
      </c>
      <c r="M37" s="82">
        <f t="shared" si="11"/>
        <v>0.93153759820426485</v>
      </c>
      <c r="N37" s="110">
        <f t="shared" si="9"/>
        <v>-3.3433545872014275E-2</v>
      </c>
      <c r="O37" s="82">
        <f t="shared" si="10"/>
        <v>0.11971684023160177</v>
      </c>
    </row>
    <row r="38" spans="1:15" x14ac:dyDescent="0.2">
      <c r="A38" s="32" t="s">
        <v>271</v>
      </c>
      <c r="B38" s="32">
        <v>33980</v>
      </c>
      <c r="C38" s="32">
        <v>39029</v>
      </c>
      <c r="D38" s="32">
        <v>36604</v>
      </c>
      <c r="E38" s="32">
        <v>41615</v>
      </c>
      <c r="F38" s="4">
        <v>46457</v>
      </c>
      <c r="G38" s="4">
        <v>58193</v>
      </c>
      <c r="H38" s="4">
        <v>62851</v>
      </c>
      <c r="I38" s="4">
        <v>65069</v>
      </c>
      <c r="J38" s="4">
        <v>68611</v>
      </c>
      <c r="K38" s="4">
        <v>69248</v>
      </c>
      <c r="L38" s="4">
        <v>72160</v>
      </c>
      <c r="M38" s="82">
        <f t="shared" si="11"/>
        <v>1.1236021188934668</v>
      </c>
      <c r="N38" s="110">
        <f t="shared" si="9"/>
        <v>4.2051756007393713E-2</v>
      </c>
      <c r="O38" s="82">
        <f t="shared" si="10"/>
        <v>0.29527180473433312</v>
      </c>
    </row>
    <row r="39" spans="1:15" x14ac:dyDescent="0.2">
      <c r="A39" s="5" t="s">
        <v>4</v>
      </c>
      <c r="B39" s="5">
        <v>111594</v>
      </c>
      <c r="C39" s="5">
        <v>126258</v>
      </c>
      <c r="D39" s="5">
        <v>119193</v>
      </c>
      <c r="E39" s="5">
        <v>138940</v>
      </c>
      <c r="F39" s="5">
        <v>155628</v>
      </c>
      <c r="G39" s="5">
        <v>182071</v>
      </c>
      <c r="H39" s="5">
        <v>196557</v>
      </c>
      <c r="I39" s="5">
        <v>215029</v>
      </c>
      <c r="J39" s="5">
        <v>228864</v>
      </c>
      <c r="K39" s="5">
        <v>241657</v>
      </c>
      <c r="L39" s="5">
        <v>244385</v>
      </c>
      <c r="M39" s="83">
        <f t="shared" si="11"/>
        <v>1.1899474882162124</v>
      </c>
      <c r="N39" s="111">
        <f t="shared" si="9"/>
        <v>1.1288727411165413E-2</v>
      </c>
      <c r="O39" s="83">
        <f t="shared" si="10"/>
        <v>1</v>
      </c>
    </row>
    <row r="40" spans="1:15" x14ac:dyDescent="0.2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</row>
    <row r="41" spans="1:15" ht="15.75" x14ac:dyDescent="0.2">
      <c r="A41" s="25" t="s">
        <v>246</v>
      </c>
      <c r="B41" s="25"/>
      <c r="C41" s="25"/>
      <c r="D41" s="25"/>
      <c r="E41" s="25"/>
      <c r="F41" s="40"/>
      <c r="G41" s="40"/>
      <c r="H41" s="40"/>
      <c r="I41" s="40"/>
      <c r="J41" s="40"/>
      <c r="K41" s="40"/>
      <c r="L41" s="40"/>
      <c r="M41" s="40"/>
      <c r="N41" s="40"/>
      <c r="O41" s="40"/>
    </row>
    <row r="42" spans="1:15" ht="25.5" x14ac:dyDescent="0.2">
      <c r="A42" s="88" t="s">
        <v>23</v>
      </c>
      <c r="B42" s="3">
        <v>2008</v>
      </c>
      <c r="C42" s="3">
        <v>2009</v>
      </c>
      <c r="D42" s="3">
        <v>2010</v>
      </c>
      <c r="E42" s="3">
        <v>2011</v>
      </c>
      <c r="F42" s="3">
        <v>2012</v>
      </c>
      <c r="G42" s="3">
        <v>2013</v>
      </c>
      <c r="H42" s="3">
        <v>2014</v>
      </c>
      <c r="I42" s="3">
        <v>2015</v>
      </c>
      <c r="J42" s="3">
        <v>2016</v>
      </c>
      <c r="K42" s="3">
        <v>2017</v>
      </c>
      <c r="L42" s="3">
        <v>2018</v>
      </c>
      <c r="M42" s="13" t="s">
        <v>395</v>
      </c>
      <c r="N42" s="13" t="s">
        <v>394</v>
      </c>
      <c r="O42" s="13" t="s">
        <v>313</v>
      </c>
    </row>
    <row r="43" spans="1:15" x14ac:dyDescent="0.2">
      <c r="A43" s="5" t="s">
        <v>5</v>
      </c>
      <c r="B43" s="5">
        <v>19222</v>
      </c>
      <c r="C43" s="5">
        <v>16619</v>
      </c>
      <c r="D43" s="5">
        <v>13995</v>
      </c>
      <c r="E43" s="5">
        <v>22320</v>
      </c>
      <c r="F43" s="23">
        <v>25498</v>
      </c>
      <c r="G43" s="23">
        <v>28381</v>
      </c>
      <c r="H43" s="23">
        <v>27853</v>
      </c>
      <c r="I43" s="23">
        <v>30544</v>
      </c>
      <c r="J43" s="23">
        <v>33755</v>
      </c>
      <c r="K43" s="23">
        <v>32641</v>
      </c>
      <c r="L43" s="23">
        <v>34434</v>
      </c>
      <c r="M43" s="83">
        <f>(L43-B43)/B43</f>
        <v>0.79138487150140469</v>
      </c>
      <c r="N43" s="111">
        <f t="shared" ref="N43:N61" si="12">(L43-K43)/K43</f>
        <v>5.4930915106767564E-2</v>
      </c>
      <c r="O43" s="16">
        <f t="shared" ref="O43:O61" si="13">L43/L$9</f>
        <v>0.14090062810728973</v>
      </c>
    </row>
    <row r="44" spans="1:15" x14ac:dyDescent="0.2">
      <c r="A44" s="85" t="s">
        <v>1</v>
      </c>
      <c r="B44" s="85">
        <v>19222</v>
      </c>
      <c r="C44" s="85">
        <v>16609</v>
      </c>
      <c r="D44" s="85">
        <v>13984</v>
      </c>
      <c r="E44" s="85">
        <v>22307</v>
      </c>
      <c r="F44" s="4">
        <v>25490</v>
      </c>
      <c r="G44" s="4">
        <v>28371</v>
      </c>
      <c r="H44" s="4">
        <v>27853</v>
      </c>
      <c r="I44" s="4">
        <v>30544</v>
      </c>
      <c r="J44" s="4">
        <v>33746</v>
      </c>
      <c r="K44" s="4">
        <v>32631</v>
      </c>
      <c r="L44" s="4">
        <v>34429</v>
      </c>
      <c r="M44" s="100">
        <f t="shared" ref="M44:M61" si="14">(L44-B44)/B44</f>
        <v>0.79112475288731665</v>
      </c>
      <c r="N44" s="110">
        <f t="shared" si="12"/>
        <v>5.5100977597989639E-2</v>
      </c>
      <c r="O44" s="14">
        <f t="shared" si="13"/>
        <v>0.14088016858645169</v>
      </c>
    </row>
    <row r="45" spans="1:15" x14ac:dyDescent="0.2">
      <c r="A45" s="85" t="s">
        <v>3</v>
      </c>
      <c r="B45" s="85"/>
      <c r="C45" s="85">
        <v>10</v>
      </c>
      <c r="D45" s="85">
        <v>11</v>
      </c>
      <c r="E45" s="85">
        <v>13</v>
      </c>
      <c r="F45" s="4">
        <v>8</v>
      </c>
      <c r="G45" s="4">
        <v>10</v>
      </c>
      <c r="H45" s="4"/>
      <c r="I45" s="4"/>
      <c r="J45" s="4">
        <v>9</v>
      </c>
      <c r="K45" s="4">
        <v>10</v>
      </c>
      <c r="L45" s="4">
        <v>5</v>
      </c>
      <c r="M45" s="100"/>
      <c r="N45" s="110">
        <f t="shared" si="12"/>
        <v>-0.5</v>
      </c>
      <c r="O45" s="14">
        <f t="shared" si="13"/>
        <v>2.0459520838021975E-5</v>
      </c>
    </row>
    <row r="46" spans="1:15" x14ac:dyDescent="0.2">
      <c r="A46" s="5" t="s">
        <v>6</v>
      </c>
      <c r="B46" s="5">
        <v>18685</v>
      </c>
      <c r="C46" s="5">
        <v>23668</v>
      </c>
      <c r="D46" s="5">
        <v>23670</v>
      </c>
      <c r="E46" s="5">
        <v>30684</v>
      </c>
      <c r="F46" s="23">
        <v>38136</v>
      </c>
      <c r="G46" s="23">
        <v>47167</v>
      </c>
      <c r="H46" s="23">
        <v>55842</v>
      </c>
      <c r="I46" s="23">
        <v>67548</v>
      </c>
      <c r="J46" s="23">
        <v>75657</v>
      </c>
      <c r="K46" s="23">
        <v>79282</v>
      </c>
      <c r="L46" s="23">
        <v>79605</v>
      </c>
      <c r="M46" s="83">
        <f t="shared" si="14"/>
        <v>3.2603692801712603</v>
      </c>
      <c r="N46" s="111">
        <f t="shared" si="12"/>
        <v>4.0740647309603691E-3</v>
      </c>
      <c r="O46" s="16">
        <f t="shared" si="13"/>
        <v>0.32573603126214784</v>
      </c>
    </row>
    <row r="47" spans="1:15" x14ac:dyDescent="0.2">
      <c r="A47" s="85" t="s">
        <v>1</v>
      </c>
      <c r="B47" s="85">
        <v>18685</v>
      </c>
      <c r="C47" s="85">
        <v>23640</v>
      </c>
      <c r="D47" s="85">
        <v>23670</v>
      </c>
      <c r="E47" s="85">
        <v>30684</v>
      </c>
      <c r="F47" s="4">
        <v>38136</v>
      </c>
      <c r="G47" s="4">
        <v>47162</v>
      </c>
      <c r="H47" s="4">
        <v>55821</v>
      </c>
      <c r="I47" s="4">
        <v>67292</v>
      </c>
      <c r="J47" s="4">
        <v>73016</v>
      </c>
      <c r="K47" s="4">
        <v>78118</v>
      </c>
      <c r="L47" s="4">
        <v>78734</v>
      </c>
      <c r="M47" s="100">
        <f t="shared" si="14"/>
        <v>3.2137543484078139</v>
      </c>
      <c r="N47" s="110">
        <f t="shared" si="12"/>
        <v>7.8855065413861083E-3</v>
      </c>
      <c r="O47" s="14">
        <f t="shared" si="13"/>
        <v>0.32217198273216441</v>
      </c>
    </row>
    <row r="48" spans="1:15" x14ac:dyDescent="0.2">
      <c r="A48" s="85" t="s">
        <v>3</v>
      </c>
      <c r="B48" s="85"/>
      <c r="C48" s="85">
        <v>28</v>
      </c>
      <c r="D48" s="85"/>
      <c r="E48" s="85"/>
      <c r="F48" s="4"/>
      <c r="G48" s="4">
        <v>5</v>
      </c>
      <c r="H48" s="4">
        <v>21</v>
      </c>
      <c r="I48" s="4">
        <v>256</v>
      </c>
      <c r="J48" s="4">
        <v>2641</v>
      </c>
      <c r="K48" s="4">
        <v>1164</v>
      </c>
      <c r="L48" s="4">
        <v>871</v>
      </c>
      <c r="M48" s="100"/>
      <c r="N48" s="110">
        <f t="shared" si="12"/>
        <v>-0.25171821305841924</v>
      </c>
      <c r="O48" s="14">
        <f t="shared" si="13"/>
        <v>3.5640485299834276E-3</v>
      </c>
    </row>
    <row r="49" spans="1:15" x14ac:dyDescent="0.2">
      <c r="A49" s="5" t="s">
        <v>273</v>
      </c>
      <c r="B49" s="5">
        <v>24560</v>
      </c>
      <c r="C49" s="5">
        <v>29386</v>
      </c>
      <c r="D49" s="5">
        <v>27549</v>
      </c>
      <c r="E49" s="5">
        <v>26887</v>
      </c>
      <c r="F49" s="23">
        <v>26597</v>
      </c>
      <c r="G49" s="23">
        <v>27722</v>
      </c>
      <c r="H49" s="23">
        <v>28277</v>
      </c>
      <c r="I49" s="23">
        <v>29213</v>
      </c>
      <c r="J49" s="23">
        <v>28449</v>
      </c>
      <c r="K49" s="23">
        <v>30217</v>
      </c>
      <c r="L49" s="23">
        <v>28929</v>
      </c>
      <c r="M49" s="83">
        <f t="shared" si="14"/>
        <v>0.17789087947882737</v>
      </c>
      <c r="N49" s="111">
        <f t="shared" si="12"/>
        <v>-4.262501241023265E-2</v>
      </c>
      <c r="O49" s="16">
        <f t="shared" si="13"/>
        <v>0.11837469566462754</v>
      </c>
    </row>
    <row r="50" spans="1:15" x14ac:dyDescent="0.2">
      <c r="A50" s="85" t="s">
        <v>1</v>
      </c>
      <c r="B50" s="85">
        <v>21058</v>
      </c>
      <c r="C50" s="85">
        <v>25523</v>
      </c>
      <c r="D50" s="85">
        <v>23288</v>
      </c>
      <c r="E50" s="85">
        <v>22549</v>
      </c>
      <c r="F50" s="4">
        <v>21629</v>
      </c>
      <c r="G50" s="4">
        <v>21920</v>
      </c>
      <c r="H50" s="4">
        <v>22324</v>
      </c>
      <c r="I50" s="4">
        <v>23269</v>
      </c>
      <c r="J50" s="4">
        <v>22458</v>
      </c>
      <c r="K50" s="4">
        <v>24274</v>
      </c>
      <c r="L50" s="4">
        <v>22787</v>
      </c>
      <c r="M50" s="100">
        <f t="shared" si="14"/>
        <v>8.2106562826479254E-2</v>
      </c>
      <c r="N50" s="110">
        <f t="shared" si="12"/>
        <v>-6.1258960204333857E-2</v>
      </c>
      <c r="O50" s="14">
        <f t="shared" si="13"/>
        <v>9.3242220267201345E-2</v>
      </c>
    </row>
    <row r="51" spans="1:15" x14ac:dyDescent="0.2">
      <c r="A51" s="85" t="s">
        <v>266</v>
      </c>
      <c r="B51" s="85">
        <v>1921</v>
      </c>
      <c r="C51" s="85">
        <v>2356</v>
      </c>
      <c r="D51" s="85">
        <v>2426</v>
      </c>
      <c r="E51" s="85">
        <v>2699</v>
      </c>
      <c r="F51" s="4">
        <v>2991</v>
      </c>
      <c r="G51" s="4">
        <v>3336</v>
      </c>
      <c r="H51" s="4">
        <v>3552</v>
      </c>
      <c r="I51" s="4">
        <v>3715</v>
      </c>
      <c r="J51" s="4">
        <v>3544</v>
      </c>
      <c r="K51" s="4">
        <v>4036</v>
      </c>
      <c r="L51" s="4">
        <v>4099</v>
      </c>
      <c r="M51" s="100">
        <f t="shared" si="14"/>
        <v>1.1337844872462259</v>
      </c>
      <c r="N51" s="110">
        <f t="shared" si="12"/>
        <v>1.5609514370664023E-2</v>
      </c>
      <c r="O51" s="14">
        <f t="shared" si="13"/>
        <v>1.6772715183010413E-2</v>
      </c>
    </row>
    <row r="52" spans="1:15" x14ac:dyDescent="0.2">
      <c r="A52" s="85" t="s">
        <v>3</v>
      </c>
      <c r="B52" s="85">
        <v>1581</v>
      </c>
      <c r="C52" s="85">
        <v>1507</v>
      </c>
      <c r="D52" s="85">
        <v>1835</v>
      </c>
      <c r="E52" s="85">
        <v>1639</v>
      </c>
      <c r="F52" s="4">
        <v>1977</v>
      </c>
      <c r="G52" s="4">
        <v>2466</v>
      </c>
      <c r="H52" s="4">
        <v>2401</v>
      </c>
      <c r="I52" s="4">
        <v>2229</v>
      </c>
      <c r="J52" s="4">
        <v>2447</v>
      </c>
      <c r="K52" s="4">
        <v>1907</v>
      </c>
      <c r="L52" s="4">
        <v>2043</v>
      </c>
      <c r="M52" s="100">
        <f t="shared" si="14"/>
        <v>0.29222011385199242</v>
      </c>
      <c r="N52" s="110">
        <f t="shared" si="12"/>
        <v>7.1316203460933397E-2</v>
      </c>
      <c r="O52" s="14">
        <f t="shared" si="13"/>
        <v>8.3597602144157776E-3</v>
      </c>
    </row>
    <row r="53" spans="1:15" x14ac:dyDescent="0.2">
      <c r="A53" s="5" t="s">
        <v>270</v>
      </c>
      <c r="B53" s="5">
        <v>15147</v>
      </c>
      <c r="C53" s="5">
        <v>17556</v>
      </c>
      <c r="D53" s="5">
        <v>17375</v>
      </c>
      <c r="E53" s="5">
        <v>17434</v>
      </c>
      <c r="F53" s="23">
        <v>18940</v>
      </c>
      <c r="G53" s="23">
        <v>20608</v>
      </c>
      <c r="H53" s="23">
        <v>21734</v>
      </c>
      <c r="I53" s="23">
        <v>22655</v>
      </c>
      <c r="J53" s="103">
        <v>22392</v>
      </c>
      <c r="K53" s="103">
        <v>30269</v>
      </c>
      <c r="L53" s="103">
        <v>29257</v>
      </c>
      <c r="M53" s="83">
        <f t="shared" si="14"/>
        <v>0.93153759820426485</v>
      </c>
      <c r="N53" s="111">
        <f t="shared" si="12"/>
        <v>-3.3433545872014275E-2</v>
      </c>
      <c r="O53" s="16">
        <f t="shared" si="13"/>
        <v>0.11971684023160177</v>
      </c>
    </row>
    <row r="54" spans="1:15" x14ac:dyDescent="0.2">
      <c r="A54" s="85" t="s">
        <v>1</v>
      </c>
      <c r="B54" s="85">
        <v>11876</v>
      </c>
      <c r="C54" s="85">
        <v>13556</v>
      </c>
      <c r="D54" s="85">
        <v>13199</v>
      </c>
      <c r="E54" s="85">
        <v>13022</v>
      </c>
      <c r="F54" s="4">
        <v>14603</v>
      </c>
      <c r="G54" s="4">
        <v>15842</v>
      </c>
      <c r="H54" s="4">
        <v>16358</v>
      </c>
      <c r="I54" s="4">
        <v>16897</v>
      </c>
      <c r="J54" s="4">
        <v>16295</v>
      </c>
      <c r="K54" s="4">
        <v>18300</v>
      </c>
      <c r="L54" s="4">
        <v>17019</v>
      </c>
      <c r="M54" s="100">
        <f t="shared" si="14"/>
        <v>0.43305826877736614</v>
      </c>
      <c r="N54" s="110">
        <f t="shared" si="12"/>
        <v>-7.0000000000000007E-2</v>
      </c>
      <c r="O54" s="14">
        <f t="shared" si="13"/>
        <v>6.9640117028459195E-2</v>
      </c>
    </row>
    <row r="55" spans="1:15" x14ac:dyDescent="0.2">
      <c r="A55" s="85" t="s">
        <v>266</v>
      </c>
      <c r="B55" s="85">
        <v>1479</v>
      </c>
      <c r="C55" s="85">
        <v>1909</v>
      </c>
      <c r="D55" s="85">
        <v>1894</v>
      </c>
      <c r="E55" s="85">
        <v>2099</v>
      </c>
      <c r="F55" s="4">
        <v>2086</v>
      </c>
      <c r="G55" s="4">
        <v>2821</v>
      </c>
      <c r="H55" s="4">
        <v>3029</v>
      </c>
      <c r="I55" s="4">
        <v>2931</v>
      </c>
      <c r="J55" s="4">
        <v>3106</v>
      </c>
      <c r="K55" s="4">
        <v>3418</v>
      </c>
      <c r="L55" s="4">
        <v>3493</v>
      </c>
      <c r="M55" s="100">
        <f t="shared" si="14"/>
        <v>1.3617308992562542</v>
      </c>
      <c r="N55" s="110">
        <f t="shared" si="12"/>
        <v>2.1942656524283205E-2</v>
      </c>
      <c r="O55" s="14">
        <f t="shared" si="13"/>
        <v>1.429302125744215E-2</v>
      </c>
    </row>
    <row r="56" spans="1:15" x14ac:dyDescent="0.2">
      <c r="A56" s="85" t="s">
        <v>3</v>
      </c>
      <c r="B56" s="85">
        <v>1792</v>
      </c>
      <c r="C56" s="85">
        <v>2091</v>
      </c>
      <c r="D56" s="85">
        <v>2282</v>
      </c>
      <c r="E56" s="85">
        <v>2313</v>
      </c>
      <c r="F56" s="4">
        <v>2251</v>
      </c>
      <c r="G56" s="4">
        <v>1945</v>
      </c>
      <c r="H56" s="4">
        <v>2347</v>
      </c>
      <c r="I56" s="4">
        <v>2827</v>
      </c>
      <c r="J56" s="4">
        <v>2991</v>
      </c>
      <c r="K56" s="4">
        <v>8551</v>
      </c>
      <c r="L56" s="4">
        <v>8745</v>
      </c>
      <c r="M56" s="100">
        <f t="shared" si="14"/>
        <v>3.8800223214285716</v>
      </c>
      <c r="N56" s="110">
        <f t="shared" si="12"/>
        <v>2.2687404981873466E-2</v>
      </c>
      <c r="O56" s="14">
        <f t="shared" si="13"/>
        <v>3.5783701945700429E-2</v>
      </c>
    </row>
    <row r="57" spans="1:15" x14ac:dyDescent="0.2">
      <c r="A57" s="5" t="s">
        <v>271</v>
      </c>
      <c r="B57" s="5">
        <v>33980</v>
      </c>
      <c r="C57" s="5">
        <v>39029</v>
      </c>
      <c r="D57" s="5">
        <v>36604</v>
      </c>
      <c r="E57" s="5">
        <v>41615</v>
      </c>
      <c r="F57" s="23">
        <v>46457</v>
      </c>
      <c r="G57" s="23">
        <v>58193</v>
      </c>
      <c r="H57" s="23">
        <v>62851</v>
      </c>
      <c r="I57" s="23">
        <v>65069</v>
      </c>
      <c r="J57" s="23">
        <v>68611</v>
      </c>
      <c r="K57" s="23">
        <v>69248</v>
      </c>
      <c r="L57" s="23">
        <v>72160</v>
      </c>
      <c r="M57" s="83">
        <f t="shared" si="14"/>
        <v>1.1236021188934668</v>
      </c>
      <c r="N57" s="111">
        <f t="shared" si="12"/>
        <v>4.2051756007393713E-2</v>
      </c>
      <c r="O57" s="16">
        <f t="shared" si="13"/>
        <v>0.29527180473433312</v>
      </c>
    </row>
    <row r="58" spans="1:15" x14ac:dyDescent="0.2">
      <c r="A58" s="85" t="s">
        <v>1</v>
      </c>
      <c r="B58" s="85">
        <v>26829</v>
      </c>
      <c r="C58" s="85">
        <v>29454</v>
      </c>
      <c r="D58" s="85">
        <v>28061</v>
      </c>
      <c r="E58" s="85">
        <v>31612</v>
      </c>
      <c r="F58" s="4">
        <v>35365</v>
      </c>
      <c r="G58" s="4">
        <v>43546</v>
      </c>
      <c r="H58" s="4">
        <v>48315</v>
      </c>
      <c r="I58" s="4">
        <v>49572</v>
      </c>
      <c r="J58" s="4">
        <v>50504</v>
      </c>
      <c r="K58" s="4">
        <v>50995</v>
      </c>
      <c r="L58" s="4">
        <v>51714</v>
      </c>
      <c r="M58" s="100">
        <f t="shared" si="14"/>
        <v>0.92754109359275416</v>
      </c>
      <c r="N58" s="110">
        <f t="shared" si="12"/>
        <v>1.4099421511912933E-2</v>
      </c>
      <c r="O58" s="14">
        <f t="shared" si="13"/>
        <v>0.21160873212349368</v>
      </c>
    </row>
    <row r="59" spans="1:15" x14ac:dyDescent="0.2">
      <c r="A59" s="85" t="s">
        <v>266</v>
      </c>
      <c r="B59" s="85">
        <v>2855</v>
      </c>
      <c r="C59" s="85">
        <v>4406</v>
      </c>
      <c r="D59" s="85">
        <v>3815</v>
      </c>
      <c r="E59" s="85">
        <v>5236</v>
      </c>
      <c r="F59" s="4">
        <v>5634</v>
      </c>
      <c r="G59" s="4">
        <v>6485</v>
      </c>
      <c r="H59" s="4">
        <v>6379</v>
      </c>
      <c r="I59" s="4">
        <v>7280</v>
      </c>
      <c r="J59" s="4">
        <v>7242</v>
      </c>
      <c r="K59" s="4">
        <v>7232</v>
      </c>
      <c r="L59" s="4">
        <v>8361</v>
      </c>
      <c r="M59" s="100">
        <f t="shared" si="14"/>
        <v>1.9285464098073555</v>
      </c>
      <c r="N59" s="110">
        <f t="shared" si="12"/>
        <v>0.15611172566371681</v>
      </c>
      <c r="O59" s="14">
        <f t="shared" si="13"/>
        <v>3.4212410745340344E-2</v>
      </c>
    </row>
    <row r="60" spans="1:15" x14ac:dyDescent="0.2">
      <c r="A60" s="85" t="s">
        <v>3</v>
      </c>
      <c r="B60" s="85">
        <v>4296</v>
      </c>
      <c r="C60" s="85">
        <v>5169</v>
      </c>
      <c r="D60" s="85">
        <v>4728</v>
      </c>
      <c r="E60" s="85">
        <v>4767</v>
      </c>
      <c r="F60" s="4">
        <v>5458</v>
      </c>
      <c r="G60" s="4">
        <v>8162</v>
      </c>
      <c r="H60" s="4">
        <v>8157</v>
      </c>
      <c r="I60" s="4">
        <v>8217</v>
      </c>
      <c r="J60" s="4">
        <v>10865</v>
      </c>
      <c r="K60" s="4">
        <v>11021</v>
      </c>
      <c r="L60" s="4">
        <v>12085</v>
      </c>
      <c r="M60" s="100">
        <f t="shared" si="14"/>
        <v>1.8130819366852886</v>
      </c>
      <c r="N60" s="110">
        <f t="shared" si="12"/>
        <v>9.6542963433445247E-2</v>
      </c>
      <c r="O60" s="14">
        <f t="shared" si="13"/>
        <v>4.945066186549911E-2</v>
      </c>
    </row>
    <row r="61" spans="1:15" x14ac:dyDescent="0.2">
      <c r="A61" s="5" t="s">
        <v>4</v>
      </c>
      <c r="B61" s="5">
        <v>111594</v>
      </c>
      <c r="C61" s="5">
        <v>126258</v>
      </c>
      <c r="D61" s="5">
        <v>119193</v>
      </c>
      <c r="E61" s="5">
        <v>138940</v>
      </c>
      <c r="F61" s="5">
        <v>155628</v>
      </c>
      <c r="G61" s="5">
        <v>182071</v>
      </c>
      <c r="H61" s="5">
        <v>196557</v>
      </c>
      <c r="I61" s="5">
        <v>215029</v>
      </c>
      <c r="J61" s="5">
        <v>228864</v>
      </c>
      <c r="K61" s="5">
        <v>241657</v>
      </c>
      <c r="L61" s="5">
        <v>244385</v>
      </c>
      <c r="M61" s="83">
        <f t="shared" si="14"/>
        <v>1.1899474882162124</v>
      </c>
      <c r="N61" s="111">
        <f t="shared" si="12"/>
        <v>1.1288727411165413E-2</v>
      </c>
      <c r="O61" s="16">
        <f t="shared" si="13"/>
        <v>1</v>
      </c>
    </row>
    <row r="62" spans="1:15" x14ac:dyDescent="0.2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</row>
    <row r="63" spans="1:15" ht="15.75" x14ac:dyDescent="0.2">
      <c r="A63" s="25" t="s">
        <v>237</v>
      </c>
      <c r="B63" s="25"/>
      <c r="C63" s="25"/>
      <c r="D63" s="25"/>
      <c r="E63" s="25"/>
      <c r="F63" s="40"/>
      <c r="G63" s="40"/>
      <c r="H63" s="40"/>
      <c r="I63" s="40"/>
      <c r="J63" s="40"/>
      <c r="K63" s="40"/>
      <c r="L63" s="40"/>
      <c r="M63" s="40"/>
      <c r="N63" s="40"/>
      <c r="O63" s="40"/>
    </row>
    <row r="64" spans="1:15" ht="25.5" x14ac:dyDescent="0.2">
      <c r="A64" s="88" t="s">
        <v>254</v>
      </c>
      <c r="B64" s="3">
        <v>2008</v>
      </c>
      <c r="C64" s="3">
        <v>2009</v>
      </c>
      <c r="D64" s="3">
        <v>2010</v>
      </c>
      <c r="E64" s="3">
        <v>2011</v>
      </c>
      <c r="F64" s="3">
        <v>2012</v>
      </c>
      <c r="G64" s="3">
        <v>2013</v>
      </c>
      <c r="H64" s="3">
        <v>2014</v>
      </c>
      <c r="I64" s="3">
        <v>2015</v>
      </c>
      <c r="J64" s="3">
        <v>2016</v>
      </c>
      <c r="K64" s="3">
        <v>2017</v>
      </c>
      <c r="L64" s="3">
        <v>2018</v>
      </c>
      <c r="M64" s="13" t="s">
        <v>395</v>
      </c>
      <c r="N64" s="13" t="s">
        <v>394</v>
      </c>
      <c r="O64" s="13" t="s">
        <v>313</v>
      </c>
    </row>
    <row r="65" spans="1:15" x14ac:dyDescent="0.2">
      <c r="A65" s="32" t="s">
        <v>235</v>
      </c>
      <c r="B65" s="32">
        <v>62618</v>
      </c>
      <c r="C65" s="32">
        <v>69320</v>
      </c>
      <c r="D65" s="32">
        <v>64812</v>
      </c>
      <c r="E65" s="32">
        <v>77365</v>
      </c>
      <c r="F65" s="4">
        <v>87492</v>
      </c>
      <c r="G65" s="4">
        <v>102873</v>
      </c>
      <c r="H65" s="4">
        <v>109833</v>
      </c>
      <c r="I65" s="4">
        <v>119629</v>
      </c>
      <c r="J65" s="4">
        <v>129583</v>
      </c>
      <c r="K65" s="4">
        <v>137236</v>
      </c>
      <c r="L65" s="4">
        <v>138386</v>
      </c>
      <c r="M65" s="100">
        <f>(L65-B65)/B65</f>
        <v>1.2100035133667635</v>
      </c>
      <c r="N65" s="110">
        <f t="shared" ref="N65:N67" si="15">(L65-K65)/K65</f>
        <v>8.3797254364743941E-3</v>
      </c>
      <c r="O65" s="14">
        <f>L65/L$9</f>
        <v>0.56626225013810172</v>
      </c>
    </row>
    <row r="66" spans="1:15" x14ac:dyDescent="0.2">
      <c r="A66" s="32" t="s">
        <v>236</v>
      </c>
      <c r="B66" s="32">
        <v>48976</v>
      </c>
      <c r="C66" s="32">
        <v>56938</v>
      </c>
      <c r="D66" s="32">
        <v>54381</v>
      </c>
      <c r="E66" s="32">
        <v>61575</v>
      </c>
      <c r="F66" s="4">
        <v>68136</v>
      </c>
      <c r="G66" s="4">
        <v>79198</v>
      </c>
      <c r="H66" s="4">
        <v>86724</v>
      </c>
      <c r="I66" s="4">
        <v>95400</v>
      </c>
      <c r="J66" s="4">
        <v>99281</v>
      </c>
      <c r="K66" s="4">
        <v>104421</v>
      </c>
      <c r="L66" s="4">
        <v>105999</v>
      </c>
      <c r="M66" s="100">
        <f t="shared" ref="M66:M67" si="16">(L66-B66)/B66</f>
        <v>1.1643049656974844</v>
      </c>
      <c r="N66" s="110">
        <f t="shared" si="15"/>
        <v>1.5111902778176804E-2</v>
      </c>
      <c r="O66" s="14">
        <f>L66/L$9</f>
        <v>0.43373774986189823</v>
      </c>
    </row>
    <row r="67" spans="1:15" x14ac:dyDescent="0.2">
      <c r="A67" s="5" t="s">
        <v>4</v>
      </c>
      <c r="B67" s="5">
        <v>111594</v>
      </c>
      <c r="C67" s="5">
        <v>126258</v>
      </c>
      <c r="D67" s="5">
        <v>119193</v>
      </c>
      <c r="E67" s="5">
        <v>138940</v>
      </c>
      <c r="F67" s="5">
        <v>155628</v>
      </c>
      <c r="G67" s="5">
        <v>182071</v>
      </c>
      <c r="H67" s="5">
        <v>196557</v>
      </c>
      <c r="I67" s="5">
        <v>215029</v>
      </c>
      <c r="J67" s="5">
        <v>228864</v>
      </c>
      <c r="K67" s="5">
        <v>241657</v>
      </c>
      <c r="L67" s="5">
        <v>244385</v>
      </c>
      <c r="M67" s="83">
        <f t="shared" si="16"/>
        <v>1.1899474882162124</v>
      </c>
      <c r="N67" s="111">
        <f t="shared" si="15"/>
        <v>1.1288727411165413E-2</v>
      </c>
      <c r="O67" s="16">
        <f t="shared" ref="O67" si="17">K67/K$9</f>
        <v>1</v>
      </c>
    </row>
    <row r="68" spans="1:15" x14ac:dyDescent="0.2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</row>
    <row r="69" spans="1:15" ht="15.75" x14ac:dyDescent="0.2">
      <c r="A69" s="25" t="s">
        <v>25</v>
      </c>
      <c r="B69" s="25"/>
      <c r="C69" s="25"/>
      <c r="D69" s="25"/>
      <c r="E69" s="25"/>
      <c r="F69" s="40"/>
    </row>
    <row r="70" spans="1:15" ht="25.5" x14ac:dyDescent="0.2">
      <c r="A70" s="88" t="s">
        <v>26</v>
      </c>
      <c r="B70" s="3">
        <v>2008</v>
      </c>
      <c r="C70" s="3">
        <v>2009</v>
      </c>
      <c r="D70" s="3">
        <v>2010</v>
      </c>
      <c r="E70" s="3">
        <v>2011</v>
      </c>
      <c r="F70" s="3">
        <v>2012</v>
      </c>
      <c r="G70" s="3">
        <v>2013</v>
      </c>
      <c r="H70" s="3">
        <v>2014</v>
      </c>
      <c r="I70" s="3">
        <v>2015</v>
      </c>
      <c r="J70" s="3">
        <v>2016</v>
      </c>
      <c r="K70" s="3">
        <v>2017</v>
      </c>
      <c r="L70" s="3">
        <v>2018</v>
      </c>
      <c r="M70" s="13" t="s">
        <v>395</v>
      </c>
      <c r="N70" s="13" t="s">
        <v>394</v>
      </c>
      <c r="O70" s="13" t="s">
        <v>313</v>
      </c>
    </row>
    <row r="71" spans="1:15" x14ac:dyDescent="0.2">
      <c r="A71" s="4" t="s">
        <v>27</v>
      </c>
      <c r="B71" s="4">
        <v>822</v>
      </c>
      <c r="C71" s="4">
        <v>679</v>
      </c>
      <c r="D71" s="4">
        <v>81</v>
      </c>
      <c r="E71" s="4">
        <v>137</v>
      </c>
      <c r="F71" s="4">
        <v>171</v>
      </c>
      <c r="G71" s="4">
        <v>226</v>
      </c>
      <c r="H71" s="4">
        <v>320</v>
      </c>
      <c r="I71" s="4">
        <v>425</v>
      </c>
      <c r="J71" s="4">
        <v>500</v>
      </c>
      <c r="K71" s="4">
        <v>616</v>
      </c>
      <c r="L71" s="4">
        <v>481</v>
      </c>
      <c r="M71" s="100">
        <f>(L71-B71)/B71</f>
        <v>-0.41484184914841848</v>
      </c>
      <c r="N71" s="110">
        <f t="shared" ref="N71:N78" si="18">(L71-K71)/K71</f>
        <v>-0.21915584415584416</v>
      </c>
      <c r="O71" s="14">
        <f t="shared" ref="O71:O78" si="19">L71/L$9</f>
        <v>1.9682059046177139E-3</v>
      </c>
    </row>
    <row r="72" spans="1:15" x14ac:dyDescent="0.2">
      <c r="A72" s="4" t="s">
        <v>28</v>
      </c>
      <c r="B72" s="4">
        <v>42112</v>
      </c>
      <c r="C72" s="4">
        <v>45898</v>
      </c>
      <c r="D72" s="4">
        <v>43884</v>
      </c>
      <c r="E72" s="4">
        <v>55139</v>
      </c>
      <c r="F72" s="4">
        <v>62782</v>
      </c>
      <c r="G72" s="4">
        <v>71742</v>
      </c>
      <c r="H72" s="4">
        <v>76041</v>
      </c>
      <c r="I72" s="4">
        <v>82283</v>
      </c>
      <c r="J72" s="4">
        <v>85215</v>
      </c>
      <c r="K72" s="4">
        <v>89299</v>
      </c>
      <c r="L72" s="4">
        <v>87247</v>
      </c>
      <c r="M72" s="100">
        <f t="shared" ref="M72:M78" si="20">(L72-B72)/B72</f>
        <v>1.0717847644376899</v>
      </c>
      <c r="N72" s="110">
        <f t="shared" si="18"/>
        <v>-2.2978980727667724E-2</v>
      </c>
      <c r="O72" s="14">
        <f t="shared" si="19"/>
        <v>0.35700636291098065</v>
      </c>
    </row>
    <row r="73" spans="1:15" x14ac:dyDescent="0.2">
      <c r="A73" s="4" t="s">
        <v>29</v>
      </c>
      <c r="B73" s="4">
        <v>37852</v>
      </c>
      <c r="C73" s="4">
        <v>42739</v>
      </c>
      <c r="D73" s="4">
        <v>40840</v>
      </c>
      <c r="E73" s="4">
        <v>44951</v>
      </c>
      <c r="F73" s="4">
        <v>49340</v>
      </c>
      <c r="G73" s="4">
        <v>58176</v>
      </c>
      <c r="H73" s="4">
        <v>63652</v>
      </c>
      <c r="I73" s="4">
        <v>69101</v>
      </c>
      <c r="J73" s="4">
        <v>72521</v>
      </c>
      <c r="K73" s="4">
        <v>76868</v>
      </c>
      <c r="L73" s="4">
        <v>76809</v>
      </c>
      <c r="M73" s="100">
        <f t="shared" si="20"/>
        <v>1.0291926450385713</v>
      </c>
      <c r="N73" s="110">
        <f t="shared" si="18"/>
        <v>-7.6754956548889005E-4</v>
      </c>
      <c r="O73" s="14">
        <f t="shared" si="19"/>
        <v>0.31429506720952594</v>
      </c>
    </row>
    <row r="74" spans="1:15" x14ac:dyDescent="0.2">
      <c r="A74" s="4" t="s">
        <v>30</v>
      </c>
      <c r="B74" s="4">
        <v>13315</v>
      </c>
      <c r="C74" s="4">
        <v>15524</v>
      </c>
      <c r="D74" s="4">
        <v>14713</v>
      </c>
      <c r="E74" s="4">
        <v>16852</v>
      </c>
      <c r="F74" s="4">
        <v>19160</v>
      </c>
      <c r="G74" s="4">
        <v>23557</v>
      </c>
      <c r="H74" s="4">
        <v>26107</v>
      </c>
      <c r="I74" s="4">
        <v>28689</v>
      </c>
      <c r="J74" s="4">
        <v>31716</v>
      </c>
      <c r="K74" s="4">
        <v>33172</v>
      </c>
      <c r="L74" s="4">
        <v>35397</v>
      </c>
      <c r="M74" s="100">
        <f t="shared" si="20"/>
        <v>1.6584303417198649</v>
      </c>
      <c r="N74" s="110">
        <f t="shared" si="18"/>
        <v>6.7074641263716386E-2</v>
      </c>
      <c r="O74" s="14">
        <f t="shared" si="19"/>
        <v>0.14484113182069275</v>
      </c>
    </row>
    <row r="75" spans="1:15" x14ac:dyDescent="0.2">
      <c r="A75" s="4" t="s">
        <v>31</v>
      </c>
      <c r="B75" s="4">
        <v>7094</v>
      </c>
      <c r="C75" s="4">
        <v>8854</v>
      </c>
      <c r="D75" s="4">
        <v>8405</v>
      </c>
      <c r="E75" s="4">
        <v>9381</v>
      </c>
      <c r="F75" s="4">
        <v>10536</v>
      </c>
      <c r="G75" s="4">
        <v>12486</v>
      </c>
      <c r="H75" s="4">
        <v>13621</v>
      </c>
      <c r="I75" s="4">
        <v>15184</v>
      </c>
      <c r="J75" s="4">
        <v>17209</v>
      </c>
      <c r="K75" s="4">
        <v>18787</v>
      </c>
      <c r="L75" s="4">
        <v>20387</v>
      </c>
      <c r="M75" s="100">
        <f t="shared" si="20"/>
        <v>1.8738370453904709</v>
      </c>
      <c r="N75" s="110">
        <f t="shared" si="18"/>
        <v>8.5165273859583751E-2</v>
      </c>
      <c r="O75" s="14">
        <f t="shared" si="19"/>
        <v>8.3421650264950797E-2</v>
      </c>
    </row>
    <row r="76" spans="1:15" x14ac:dyDescent="0.2">
      <c r="A76" s="4" t="s">
        <v>32</v>
      </c>
      <c r="B76" s="4">
        <v>10171</v>
      </c>
      <c r="C76" s="4">
        <v>12506</v>
      </c>
      <c r="D76" s="4">
        <v>11188</v>
      </c>
      <c r="E76" s="4">
        <v>12395</v>
      </c>
      <c r="F76" s="4">
        <v>13524</v>
      </c>
      <c r="G76" s="4">
        <v>15762</v>
      </c>
      <c r="H76" s="4">
        <v>16427</v>
      </c>
      <c r="I76" s="4">
        <v>19208</v>
      </c>
      <c r="J76" s="4">
        <v>21698</v>
      </c>
      <c r="K76" s="4">
        <v>22905</v>
      </c>
      <c r="L76" s="4">
        <v>24056</v>
      </c>
      <c r="M76" s="100">
        <f t="shared" si="20"/>
        <v>1.3651558352177759</v>
      </c>
      <c r="N76" s="110">
        <f t="shared" si="18"/>
        <v>5.0251036891508408E-2</v>
      </c>
      <c r="O76" s="14">
        <f t="shared" si="19"/>
        <v>9.843484665589132E-2</v>
      </c>
    </row>
    <row r="77" spans="1:15" x14ac:dyDescent="0.2">
      <c r="A77" s="4" t="s">
        <v>33</v>
      </c>
      <c r="B77" s="4">
        <v>228</v>
      </c>
      <c r="C77" s="4">
        <v>58</v>
      </c>
      <c r="D77" s="4">
        <v>82</v>
      </c>
      <c r="E77" s="4">
        <v>85</v>
      </c>
      <c r="F77" s="4">
        <v>115</v>
      </c>
      <c r="G77" s="4">
        <v>122</v>
      </c>
      <c r="H77" s="4">
        <v>389</v>
      </c>
      <c r="I77" s="4">
        <v>139</v>
      </c>
      <c r="J77" s="4">
        <v>5</v>
      </c>
      <c r="K77" s="4">
        <v>10</v>
      </c>
      <c r="L77" s="4">
        <v>8</v>
      </c>
      <c r="M77" s="100">
        <f t="shared" si="20"/>
        <v>-0.96491228070175439</v>
      </c>
      <c r="N77" s="110">
        <f t="shared" si="18"/>
        <v>-0.2</v>
      </c>
      <c r="O77" s="14">
        <f t="shared" si="19"/>
        <v>3.2735233340835157E-5</v>
      </c>
    </row>
    <row r="78" spans="1:15" x14ac:dyDescent="0.2">
      <c r="A78" s="5" t="s">
        <v>4</v>
      </c>
      <c r="B78" s="5">
        <v>111594</v>
      </c>
      <c r="C78" s="5">
        <v>126258</v>
      </c>
      <c r="D78" s="5">
        <v>119193</v>
      </c>
      <c r="E78" s="5">
        <v>138940</v>
      </c>
      <c r="F78" s="5">
        <v>155628</v>
      </c>
      <c r="G78" s="5">
        <v>182071</v>
      </c>
      <c r="H78" s="5">
        <v>196557</v>
      </c>
      <c r="I78" s="5">
        <v>215029</v>
      </c>
      <c r="J78" s="5">
        <v>228864</v>
      </c>
      <c r="K78" s="5">
        <v>241657</v>
      </c>
      <c r="L78" s="5">
        <v>244385</v>
      </c>
      <c r="M78" s="83">
        <f t="shared" si="20"/>
        <v>1.1899474882162124</v>
      </c>
      <c r="N78" s="111">
        <f t="shared" si="18"/>
        <v>1.1288727411165413E-2</v>
      </c>
      <c r="O78" s="16">
        <f t="shared" si="19"/>
        <v>1</v>
      </c>
    </row>
    <row r="79" spans="1:15" s="30" customFormat="1" x14ac:dyDescent="0.2">
      <c r="A79" s="79" t="s">
        <v>34</v>
      </c>
      <c r="B79" s="119">
        <v>28.126079773000736</v>
      </c>
      <c r="C79" s="119">
        <v>28.474672968585889</v>
      </c>
      <c r="D79" s="119">
        <v>28.376535916824196</v>
      </c>
      <c r="E79" s="119">
        <v>28.064780374846226</v>
      </c>
      <c r="F79" s="119">
        <v>28.039443647797935</v>
      </c>
      <c r="G79" s="119">
        <v>28.110322123232333</v>
      </c>
      <c r="H79" s="119">
        <v>28.071209371559071</v>
      </c>
      <c r="I79" s="119">
        <v>28.199506724370607</v>
      </c>
      <c r="J79" s="119">
        <v>28.423033396108522</v>
      </c>
      <c r="K79" s="119">
        <v>28.459724308598908</v>
      </c>
      <c r="L79" s="119">
        <v>28.697082786023234</v>
      </c>
      <c r="M79" s="113"/>
      <c r="N79" s="113"/>
      <c r="O79" s="112"/>
    </row>
    <row r="80" spans="1:15" x14ac:dyDescent="0.2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</row>
    <row r="81" spans="1:16" ht="15.75" x14ac:dyDescent="0.2">
      <c r="A81" s="25" t="s">
        <v>35</v>
      </c>
      <c r="B81" s="25"/>
      <c r="C81" s="25"/>
      <c r="D81" s="25"/>
      <c r="E81" s="25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91"/>
    </row>
    <row r="82" spans="1:16" ht="25.5" x14ac:dyDescent="0.2">
      <c r="A82" s="88" t="s">
        <v>9</v>
      </c>
      <c r="B82" s="3">
        <v>2008</v>
      </c>
      <c r="C82" s="3">
        <v>2009</v>
      </c>
      <c r="D82" s="3">
        <v>2010</v>
      </c>
      <c r="E82" s="3">
        <v>2011</v>
      </c>
      <c r="F82" s="3">
        <v>2012</v>
      </c>
      <c r="G82" s="3">
        <v>2013</v>
      </c>
      <c r="H82" s="3">
        <v>2014</v>
      </c>
      <c r="I82" s="3">
        <v>2015</v>
      </c>
      <c r="J82" s="3">
        <v>2016</v>
      </c>
      <c r="K82" s="3">
        <v>2017</v>
      </c>
      <c r="L82" s="3">
        <v>2018</v>
      </c>
      <c r="M82" s="13" t="s">
        <v>395</v>
      </c>
      <c r="N82" s="13" t="s">
        <v>394</v>
      </c>
      <c r="O82" s="13" t="s">
        <v>313</v>
      </c>
    </row>
    <row r="83" spans="1:16" x14ac:dyDescent="0.2">
      <c r="A83" s="4" t="s">
        <v>281</v>
      </c>
      <c r="B83" s="4">
        <v>1815</v>
      </c>
      <c r="C83" s="4">
        <v>1955</v>
      </c>
      <c r="D83" s="4">
        <v>1876</v>
      </c>
      <c r="E83" s="4">
        <v>2083</v>
      </c>
      <c r="F83" s="18">
        <v>2082</v>
      </c>
      <c r="G83" s="18">
        <v>2370</v>
      </c>
      <c r="H83" s="18">
        <v>2776</v>
      </c>
      <c r="I83" s="18">
        <v>2576</v>
      </c>
      <c r="J83" s="18">
        <v>2516</v>
      </c>
      <c r="K83" s="18">
        <v>2756</v>
      </c>
      <c r="L83" s="4">
        <v>3102</v>
      </c>
      <c r="M83" s="100">
        <f>(L83-B83)/B83</f>
        <v>0.70909090909090911</v>
      </c>
      <c r="N83" s="110">
        <f t="shared" ref="N83:N99" si="21">(L83-K83)/K83</f>
        <v>0.125544267053701</v>
      </c>
      <c r="O83" s="14">
        <f t="shared" ref="O83:O99" si="22">L83/L$9</f>
        <v>1.2693086727908833E-2</v>
      </c>
    </row>
    <row r="84" spans="1:16" x14ac:dyDescent="0.2">
      <c r="A84" s="4" t="s">
        <v>282</v>
      </c>
      <c r="B84" s="4">
        <v>1475</v>
      </c>
      <c r="C84" s="4">
        <v>1409</v>
      </c>
      <c r="D84" s="4">
        <v>1311</v>
      </c>
      <c r="E84" s="4">
        <v>1531</v>
      </c>
      <c r="F84" s="18">
        <v>1592</v>
      </c>
      <c r="G84" s="18">
        <v>1908</v>
      </c>
      <c r="H84" s="18">
        <v>2205</v>
      </c>
      <c r="I84" s="18">
        <v>2553</v>
      </c>
      <c r="J84" s="18">
        <v>2551</v>
      </c>
      <c r="K84" s="18">
        <v>2877</v>
      </c>
      <c r="L84" s="4">
        <v>3313</v>
      </c>
      <c r="M84" s="100">
        <f t="shared" ref="M84:M99" si="23">(L84-B84)/B84</f>
        <v>1.2461016949152541</v>
      </c>
      <c r="N84" s="110">
        <f t="shared" si="21"/>
        <v>0.15154675008689608</v>
      </c>
      <c r="O84" s="14">
        <f t="shared" si="22"/>
        <v>1.3556478507273359E-2</v>
      </c>
    </row>
    <row r="85" spans="1:16" x14ac:dyDescent="0.2">
      <c r="A85" s="4" t="s">
        <v>283</v>
      </c>
      <c r="B85" s="4">
        <v>3543</v>
      </c>
      <c r="C85" s="4">
        <v>4221</v>
      </c>
      <c r="D85" s="4">
        <v>4048</v>
      </c>
      <c r="E85" s="4">
        <v>4368</v>
      </c>
      <c r="F85" s="18">
        <v>5181</v>
      </c>
      <c r="G85" s="18">
        <v>6102</v>
      </c>
      <c r="H85" s="18">
        <v>6595</v>
      </c>
      <c r="I85" s="18">
        <v>8260</v>
      </c>
      <c r="J85" s="18">
        <v>7596</v>
      </c>
      <c r="K85" s="18">
        <v>7134</v>
      </c>
      <c r="L85" s="4">
        <v>7437</v>
      </c>
      <c r="M85" s="100">
        <f t="shared" si="23"/>
        <v>1.0990685859441152</v>
      </c>
      <c r="N85" s="110">
        <f t="shared" si="21"/>
        <v>4.2472666105971404E-2</v>
      </c>
      <c r="O85" s="14">
        <f t="shared" si="22"/>
        <v>3.0431491294473884E-2</v>
      </c>
    </row>
    <row r="86" spans="1:16" x14ac:dyDescent="0.2">
      <c r="A86" s="4" t="s">
        <v>284</v>
      </c>
      <c r="B86" s="4">
        <v>739</v>
      </c>
      <c r="C86" s="4">
        <v>950</v>
      </c>
      <c r="D86" s="4">
        <v>1074</v>
      </c>
      <c r="E86" s="4">
        <v>831</v>
      </c>
      <c r="F86" s="18">
        <v>1062</v>
      </c>
      <c r="G86" s="18">
        <v>1177</v>
      </c>
      <c r="H86" s="18">
        <v>1370</v>
      </c>
      <c r="I86" s="18">
        <v>1587</v>
      </c>
      <c r="J86" s="18">
        <v>1924</v>
      </c>
      <c r="K86" s="18">
        <v>2029</v>
      </c>
      <c r="L86" s="4">
        <v>1848</v>
      </c>
      <c r="M86" s="100">
        <f t="shared" si="23"/>
        <v>1.5006765899864682</v>
      </c>
      <c r="N86" s="110">
        <f t="shared" si="21"/>
        <v>-8.9206505667816655E-2</v>
      </c>
      <c r="O86" s="14">
        <f t="shared" si="22"/>
        <v>7.5618389017329214E-3</v>
      </c>
    </row>
    <row r="87" spans="1:16" x14ac:dyDescent="0.2">
      <c r="A87" s="4" t="s">
        <v>285</v>
      </c>
      <c r="B87" s="4">
        <v>4111</v>
      </c>
      <c r="C87" s="4">
        <v>3734</v>
      </c>
      <c r="D87" s="4">
        <v>3374</v>
      </c>
      <c r="E87" s="4">
        <v>3634</v>
      </c>
      <c r="F87" s="18">
        <v>4449</v>
      </c>
      <c r="G87" s="18">
        <v>6011</v>
      </c>
      <c r="H87" s="18">
        <v>5968</v>
      </c>
      <c r="I87" s="18">
        <v>6368</v>
      </c>
      <c r="J87" s="18">
        <v>7093</v>
      </c>
      <c r="K87" s="18">
        <v>7499</v>
      </c>
      <c r="L87" s="4">
        <v>8198</v>
      </c>
      <c r="M87" s="100">
        <f t="shared" si="23"/>
        <v>0.99416200437849667</v>
      </c>
      <c r="N87" s="110">
        <f t="shared" si="21"/>
        <v>9.3212428323776506E-2</v>
      </c>
      <c r="O87" s="14">
        <f t="shared" si="22"/>
        <v>3.3545430366020826E-2</v>
      </c>
    </row>
    <row r="88" spans="1:16" x14ac:dyDescent="0.2">
      <c r="A88" s="4" t="s">
        <v>286</v>
      </c>
      <c r="B88" s="4">
        <v>12416</v>
      </c>
      <c r="C88" s="4">
        <v>14170</v>
      </c>
      <c r="D88" s="4">
        <v>12514</v>
      </c>
      <c r="E88" s="4">
        <v>14220</v>
      </c>
      <c r="F88" s="18">
        <v>17596</v>
      </c>
      <c r="G88" s="18">
        <v>19125</v>
      </c>
      <c r="H88" s="18">
        <v>21099</v>
      </c>
      <c r="I88" s="18">
        <v>22730</v>
      </c>
      <c r="J88" s="18">
        <v>23596</v>
      </c>
      <c r="K88" s="18">
        <v>24899</v>
      </c>
      <c r="L88" s="4">
        <v>23642</v>
      </c>
      <c r="M88" s="100">
        <f t="shared" si="23"/>
        <v>0.9041559278350515</v>
      </c>
      <c r="N88" s="110">
        <f t="shared" si="21"/>
        <v>-5.0483955178922846E-2</v>
      </c>
      <c r="O88" s="14">
        <f t="shared" si="22"/>
        <v>9.67407983305031E-2</v>
      </c>
    </row>
    <row r="89" spans="1:16" x14ac:dyDescent="0.2">
      <c r="A89" s="32" t="s">
        <v>307</v>
      </c>
      <c r="B89" s="32">
        <v>54299</v>
      </c>
      <c r="C89" s="32">
        <v>62095</v>
      </c>
      <c r="D89" s="32">
        <v>61191</v>
      </c>
      <c r="E89" s="32">
        <v>71619</v>
      </c>
      <c r="F89" s="18">
        <v>77915</v>
      </c>
      <c r="G89" s="18">
        <v>91406</v>
      </c>
      <c r="H89" s="18">
        <v>96764</v>
      </c>
      <c r="I89" s="18">
        <v>104325</v>
      </c>
      <c r="J89" s="18">
        <v>111944</v>
      </c>
      <c r="K89" s="18">
        <v>121052</v>
      </c>
      <c r="L89" s="32">
        <v>122207</v>
      </c>
      <c r="M89" s="100">
        <f t="shared" si="23"/>
        <v>1.2506307666807861</v>
      </c>
      <c r="N89" s="110">
        <f t="shared" si="21"/>
        <v>9.5413541288041498E-3</v>
      </c>
      <c r="O89" s="14">
        <f t="shared" si="22"/>
        <v>0.50005933261043023</v>
      </c>
    </row>
    <row r="90" spans="1:16" x14ac:dyDescent="0.2">
      <c r="A90" s="4" t="s">
        <v>287</v>
      </c>
      <c r="B90" s="4">
        <v>2255</v>
      </c>
      <c r="C90" s="4">
        <v>2396</v>
      </c>
      <c r="D90" s="4">
        <v>2332</v>
      </c>
      <c r="E90" s="4">
        <v>3384</v>
      </c>
      <c r="F90" s="18">
        <v>3821</v>
      </c>
      <c r="G90" s="18">
        <v>4638</v>
      </c>
      <c r="H90" s="18">
        <v>5228</v>
      </c>
      <c r="I90" s="18">
        <v>6353</v>
      </c>
      <c r="J90" s="18">
        <v>7106</v>
      </c>
      <c r="K90" s="18">
        <v>6711</v>
      </c>
      <c r="L90" s="4">
        <v>6497</v>
      </c>
      <c r="M90" s="100">
        <f t="shared" si="23"/>
        <v>1.8811529933481153</v>
      </c>
      <c r="N90" s="110">
        <f t="shared" si="21"/>
        <v>-3.1887945164655047E-2</v>
      </c>
      <c r="O90" s="14">
        <f t="shared" si="22"/>
        <v>2.6585101376925751E-2</v>
      </c>
    </row>
    <row r="91" spans="1:16" x14ac:dyDescent="0.2">
      <c r="A91" s="4" t="s">
        <v>288</v>
      </c>
      <c r="B91" s="4">
        <v>4433</v>
      </c>
      <c r="C91" s="4">
        <v>6241</v>
      </c>
      <c r="D91" s="4">
        <v>4355</v>
      </c>
      <c r="E91" s="4">
        <v>5147</v>
      </c>
      <c r="F91" s="18">
        <v>6666</v>
      </c>
      <c r="G91" s="18">
        <v>7547</v>
      </c>
      <c r="H91" s="18">
        <v>8307</v>
      </c>
      <c r="I91" s="18">
        <v>9211</v>
      </c>
      <c r="J91" s="18">
        <v>9950</v>
      </c>
      <c r="K91" s="18">
        <v>10086</v>
      </c>
      <c r="L91" s="4">
        <v>10377</v>
      </c>
      <c r="M91" s="100">
        <f t="shared" si="23"/>
        <v>1.3408526956914053</v>
      </c>
      <c r="N91" s="110">
        <f t="shared" si="21"/>
        <v>2.8851873884592504E-2</v>
      </c>
      <c r="O91" s="14">
        <f t="shared" si="22"/>
        <v>4.2461689547230806E-2</v>
      </c>
    </row>
    <row r="92" spans="1:16" x14ac:dyDescent="0.2">
      <c r="A92" s="4" t="s">
        <v>315</v>
      </c>
      <c r="B92" s="4">
        <v>2101</v>
      </c>
      <c r="C92" s="4">
        <v>2895</v>
      </c>
      <c r="D92" s="4">
        <v>2147</v>
      </c>
      <c r="E92" s="4">
        <v>3619</v>
      </c>
      <c r="F92" s="18">
        <v>3369</v>
      </c>
      <c r="G92" s="18">
        <v>4214</v>
      </c>
      <c r="H92" s="18">
        <v>4399</v>
      </c>
      <c r="I92" s="18">
        <v>4850</v>
      </c>
      <c r="J92" s="18">
        <v>5106</v>
      </c>
      <c r="K92" s="18">
        <v>5247</v>
      </c>
      <c r="L92" s="4">
        <v>5649</v>
      </c>
      <c r="M92" s="100">
        <f t="shared" si="23"/>
        <v>1.6887196573060448</v>
      </c>
      <c r="N92" s="110">
        <f t="shared" si="21"/>
        <v>7.6615208690680392E-2</v>
      </c>
      <c r="O92" s="14">
        <f t="shared" si="22"/>
        <v>2.3115166642797225E-2</v>
      </c>
    </row>
    <row r="93" spans="1:16" x14ac:dyDescent="0.2">
      <c r="A93" s="4" t="s">
        <v>289</v>
      </c>
      <c r="B93" s="4">
        <v>13134</v>
      </c>
      <c r="C93" s="4">
        <v>13291</v>
      </c>
      <c r="D93" s="4">
        <v>12586</v>
      </c>
      <c r="E93" s="4">
        <v>14710</v>
      </c>
      <c r="F93" s="18">
        <v>16806</v>
      </c>
      <c r="G93" s="18">
        <v>20512</v>
      </c>
      <c r="H93" s="18">
        <v>22169</v>
      </c>
      <c r="I93" s="18">
        <v>24412</v>
      </c>
      <c r="J93" s="18">
        <v>25123</v>
      </c>
      <c r="K93" s="18">
        <v>26088</v>
      </c>
      <c r="L93" s="4">
        <v>26710</v>
      </c>
      <c r="M93" s="100">
        <f t="shared" si="23"/>
        <v>1.0336531140551242</v>
      </c>
      <c r="N93" s="110">
        <f t="shared" si="21"/>
        <v>2.3842379638147806E-2</v>
      </c>
      <c r="O93" s="14">
        <f t="shared" si="22"/>
        <v>0.10929476031671338</v>
      </c>
    </row>
    <row r="94" spans="1:16" x14ac:dyDescent="0.2">
      <c r="A94" s="4" t="s">
        <v>290</v>
      </c>
      <c r="B94" s="4">
        <v>5806</v>
      </c>
      <c r="C94" s="4">
        <v>5890</v>
      </c>
      <c r="D94" s="4">
        <v>5911</v>
      </c>
      <c r="E94" s="4">
        <v>6356</v>
      </c>
      <c r="F94" s="18">
        <v>6812</v>
      </c>
      <c r="G94" s="18">
        <v>7750</v>
      </c>
      <c r="H94" s="18">
        <v>9359</v>
      </c>
      <c r="I94" s="18">
        <v>10211</v>
      </c>
      <c r="J94" s="18">
        <v>11369</v>
      </c>
      <c r="K94" s="18">
        <v>10866</v>
      </c>
      <c r="L94" s="4">
        <v>11113</v>
      </c>
      <c r="M94" s="100">
        <f t="shared" si="23"/>
        <v>0.91405442645539092</v>
      </c>
      <c r="N94" s="110">
        <f t="shared" si="21"/>
        <v>2.2731455917540954E-2</v>
      </c>
      <c r="O94" s="14">
        <f t="shared" si="22"/>
        <v>4.5473331014587635E-2</v>
      </c>
    </row>
    <row r="95" spans="1:16" x14ac:dyDescent="0.2">
      <c r="A95" s="4" t="s">
        <v>291</v>
      </c>
      <c r="B95" s="4">
        <v>1789</v>
      </c>
      <c r="C95" s="4">
        <v>2312</v>
      </c>
      <c r="D95" s="4">
        <v>1965</v>
      </c>
      <c r="E95" s="4">
        <v>2299</v>
      </c>
      <c r="F95" s="18">
        <v>2263</v>
      </c>
      <c r="G95" s="18">
        <v>2768</v>
      </c>
      <c r="H95" s="18">
        <v>3066</v>
      </c>
      <c r="I95" s="18">
        <v>3313</v>
      </c>
      <c r="J95" s="18">
        <v>3496</v>
      </c>
      <c r="K95" s="18">
        <v>3835</v>
      </c>
      <c r="L95" s="4">
        <v>3749</v>
      </c>
      <c r="M95" s="100">
        <f t="shared" si="23"/>
        <v>1.0955841252096143</v>
      </c>
      <c r="N95" s="110">
        <f t="shared" si="21"/>
        <v>-2.2425032594524118E-2</v>
      </c>
      <c r="O95" s="14">
        <f t="shared" si="22"/>
        <v>1.5340548724348875E-2</v>
      </c>
    </row>
    <row r="96" spans="1:16" x14ac:dyDescent="0.2">
      <c r="A96" s="4" t="s">
        <v>292</v>
      </c>
      <c r="B96" s="4">
        <v>2772</v>
      </c>
      <c r="C96" s="4">
        <v>3470</v>
      </c>
      <c r="D96" s="4">
        <v>3492</v>
      </c>
      <c r="E96" s="4">
        <v>3831</v>
      </c>
      <c r="F96" s="18">
        <v>4839</v>
      </c>
      <c r="G96" s="18">
        <v>5118</v>
      </c>
      <c r="H96" s="18">
        <v>5606</v>
      </c>
      <c r="I96" s="18">
        <v>6470</v>
      </c>
      <c r="J96" s="18">
        <v>7848</v>
      </c>
      <c r="K96" s="18">
        <v>8522</v>
      </c>
      <c r="L96" s="4">
        <v>8627</v>
      </c>
      <c r="M96" s="100">
        <f t="shared" si="23"/>
        <v>2.1121933621933624</v>
      </c>
      <c r="N96" s="110">
        <f t="shared" si="21"/>
        <v>1.2321051396385825E-2</v>
      </c>
      <c r="O96" s="14">
        <f t="shared" si="22"/>
        <v>3.530085725392311E-2</v>
      </c>
    </row>
    <row r="97" spans="1:15" x14ac:dyDescent="0.2">
      <c r="A97" s="4" t="s">
        <v>293</v>
      </c>
      <c r="B97" s="4">
        <v>133</v>
      </c>
      <c r="C97" s="4">
        <v>199</v>
      </c>
      <c r="D97" s="4">
        <v>265</v>
      </c>
      <c r="E97" s="4">
        <v>223</v>
      </c>
      <c r="F97" s="18">
        <v>173</v>
      </c>
      <c r="G97" s="18">
        <v>211</v>
      </c>
      <c r="H97" s="18">
        <v>408</v>
      </c>
      <c r="I97" s="18">
        <v>402</v>
      </c>
      <c r="J97" s="18">
        <v>446</v>
      </c>
      <c r="K97" s="18">
        <v>553</v>
      </c>
      <c r="L97" s="4">
        <v>551</v>
      </c>
      <c r="M97" s="100">
        <f t="shared" si="23"/>
        <v>3.1428571428571428</v>
      </c>
      <c r="N97" s="110">
        <f t="shared" si="21"/>
        <v>-3.616636528028933E-3</v>
      </c>
      <c r="O97" s="14">
        <f t="shared" si="22"/>
        <v>2.2546391963500214E-3</v>
      </c>
    </row>
    <row r="98" spans="1:15" x14ac:dyDescent="0.2">
      <c r="A98" s="4" t="s">
        <v>294</v>
      </c>
      <c r="B98" s="4">
        <v>773</v>
      </c>
      <c r="C98" s="4">
        <v>1030</v>
      </c>
      <c r="D98" s="4">
        <v>752</v>
      </c>
      <c r="E98" s="4">
        <v>1085</v>
      </c>
      <c r="F98" s="18">
        <v>1002</v>
      </c>
      <c r="G98" s="18">
        <v>1214</v>
      </c>
      <c r="H98" s="18">
        <v>1238</v>
      </c>
      <c r="I98" s="18">
        <v>1408</v>
      </c>
      <c r="J98" s="18">
        <v>1200</v>
      </c>
      <c r="K98" s="18">
        <v>1503</v>
      </c>
      <c r="L98" s="4">
        <v>1365</v>
      </c>
      <c r="M98" s="100">
        <f t="shared" si="23"/>
        <v>0.76584734799482534</v>
      </c>
      <c r="N98" s="110">
        <f t="shared" si="21"/>
        <v>-9.1816367265469059E-2</v>
      </c>
      <c r="O98" s="14">
        <f t="shared" si="22"/>
        <v>5.5854491887799987E-3</v>
      </c>
    </row>
    <row r="99" spans="1:15" x14ac:dyDescent="0.2">
      <c r="A99" s="5" t="s">
        <v>4</v>
      </c>
      <c r="B99" s="5">
        <v>111594</v>
      </c>
      <c r="C99" s="5">
        <v>126258</v>
      </c>
      <c r="D99" s="5">
        <v>119193</v>
      </c>
      <c r="E99" s="5">
        <v>138940</v>
      </c>
      <c r="F99" s="5">
        <v>155628</v>
      </c>
      <c r="G99" s="5">
        <v>182071</v>
      </c>
      <c r="H99" s="5">
        <v>196557</v>
      </c>
      <c r="I99" s="5">
        <v>215029</v>
      </c>
      <c r="J99" s="5">
        <v>228864</v>
      </c>
      <c r="K99" s="5">
        <v>241657</v>
      </c>
      <c r="L99" s="5">
        <v>244385</v>
      </c>
      <c r="M99" s="83">
        <f t="shared" si="23"/>
        <v>1.1899474882162124</v>
      </c>
      <c r="N99" s="111">
        <f t="shared" si="21"/>
        <v>1.1288727411165413E-2</v>
      </c>
      <c r="O99" s="16">
        <f t="shared" si="22"/>
        <v>1</v>
      </c>
    </row>
    <row r="100" spans="1:15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</row>
    <row r="101" spans="1:15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</row>
    <row r="102" spans="1:15" x14ac:dyDescent="0.2">
      <c r="A102" s="70" t="s">
        <v>272</v>
      </c>
      <c r="B102" s="70"/>
      <c r="C102" s="70"/>
      <c r="D102" s="70"/>
      <c r="E102" s="70"/>
      <c r="F102" s="40"/>
      <c r="G102" s="40"/>
      <c r="H102" s="40"/>
      <c r="I102" s="40"/>
      <c r="J102" s="40"/>
      <c r="K102" s="40"/>
      <c r="L102" s="40"/>
      <c r="M102" s="40"/>
      <c r="N102" s="40"/>
      <c r="O102" s="40"/>
    </row>
    <row r="103" spans="1:15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</row>
    <row r="104" spans="1:15" x14ac:dyDescent="0.2">
      <c r="A104" s="71" t="s">
        <v>21</v>
      </c>
      <c r="B104" s="71"/>
      <c r="C104" s="71"/>
      <c r="D104" s="71"/>
      <c r="E104" s="71"/>
      <c r="F104" s="40"/>
      <c r="G104" s="40"/>
      <c r="H104" s="40"/>
      <c r="I104" s="40"/>
      <c r="J104" s="40"/>
      <c r="K104" s="40"/>
      <c r="L104" s="40"/>
      <c r="M104" s="40"/>
      <c r="N104" s="40"/>
      <c r="O104" s="40"/>
    </row>
    <row r="105" spans="1:15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</row>
  </sheetData>
  <hyperlinks>
    <hyperlink ref="A104" location="Indice!A5" display="Volver al índice" xr:uid="{00000000-0004-0000-0200-000000000000}"/>
  </hyperlinks>
  <pageMargins left="0.7" right="0.7" top="0.75" bottom="0.75" header="0.3" footer="0.3"/>
  <pageSetup orientation="portrait" verticalDpi="0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1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10" defaultColWidth="10.85546875" defaultRowHeight="15" x14ac:dyDescent="0.2"/>
  <cols>
    <col min="1" max="1" width="31.28515625" style="1" customWidth="1"/>
    <col min="2" max="2" width="17.28515625" style="45" customWidth="1"/>
    <col min="3" max="3" width="14.42578125" style="45" customWidth="1"/>
    <col min="4" max="4" width="15.28515625" style="45" customWidth="1"/>
    <col min="5" max="5" width="15.140625" style="45" customWidth="1"/>
    <col min="6" max="6" width="10.85546875" style="1"/>
    <col min="7" max="7" width="28.85546875" style="1" customWidth="1"/>
    <col min="8" max="16384" width="10.85546875" style="1"/>
  </cols>
  <sheetData>
    <row r="1" spans="1:6" ht="21" x14ac:dyDescent="0.2">
      <c r="A1" s="66" t="s">
        <v>374</v>
      </c>
      <c r="B1" s="46"/>
      <c r="C1" s="46"/>
      <c r="D1" s="46"/>
      <c r="E1" s="46"/>
    </row>
    <row r="2" spans="1:6" x14ac:dyDescent="0.2">
      <c r="A2" s="40"/>
      <c r="B2" s="46"/>
      <c r="C2" s="46"/>
      <c r="D2" s="46"/>
      <c r="E2" s="46"/>
    </row>
    <row r="3" spans="1:6" x14ac:dyDescent="0.2">
      <c r="A3" s="40"/>
      <c r="B3" s="46"/>
      <c r="C3" s="46"/>
      <c r="D3" s="46"/>
      <c r="E3" s="46"/>
    </row>
    <row r="4" spans="1:6" ht="15.75" x14ac:dyDescent="0.2">
      <c r="A4" s="25" t="s">
        <v>342</v>
      </c>
      <c r="B4" s="46"/>
      <c r="C4" s="46"/>
      <c r="D4" s="46"/>
      <c r="E4" s="46"/>
    </row>
    <row r="5" spans="1:6" ht="25.5" x14ac:dyDescent="0.2">
      <c r="A5" s="89" t="s">
        <v>254</v>
      </c>
      <c r="B5" s="47" t="s">
        <v>5</v>
      </c>
      <c r="C5" s="47" t="s">
        <v>6</v>
      </c>
      <c r="D5" s="47" t="s">
        <v>7</v>
      </c>
      <c r="E5" s="47" t="s">
        <v>8</v>
      </c>
    </row>
    <row r="6" spans="1:6" x14ac:dyDescent="0.2">
      <c r="A6" s="4" t="s">
        <v>375</v>
      </c>
      <c r="B6" s="43">
        <v>19529</v>
      </c>
      <c r="C6" s="43">
        <v>44040</v>
      </c>
      <c r="D6" s="43">
        <v>52599</v>
      </c>
      <c r="E6" s="43">
        <v>116168</v>
      </c>
    </row>
    <row r="7" spans="1:6" x14ac:dyDescent="0.2">
      <c r="A7" s="4" t="s">
        <v>376</v>
      </c>
      <c r="B7" s="43">
        <v>14900</v>
      </c>
      <c r="C7" s="43">
        <v>34694</v>
      </c>
      <c r="D7" s="43">
        <v>38921</v>
      </c>
      <c r="E7" s="43">
        <v>88515</v>
      </c>
    </row>
    <row r="8" spans="1:6" x14ac:dyDescent="0.2">
      <c r="A8" s="5" t="s">
        <v>377</v>
      </c>
      <c r="B8" s="44">
        <v>34429</v>
      </c>
      <c r="C8" s="44">
        <v>78734</v>
      </c>
      <c r="D8" s="44">
        <v>91520</v>
      </c>
      <c r="E8" s="44">
        <v>204683</v>
      </c>
    </row>
    <row r="9" spans="1:6" x14ac:dyDescent="0.2">
      <c r="A9" s="40"/>
      <c r="B9" s="46"/>
      <c r="C9" s="46"/>
      <c r="D9" s="46"/>
      <c r="E9" s="46"/>
    </row>
    <row r="10" spans="1:6" ht="15.75" x14ac:dyDescent="0.2">
      <c r="A10" s="25" t="s">
        <v>343</v>
      </c>
      <c r="B10" s="46"/>
      <c r="C10" s="46"/>
      <c r="D10" s="46"/>
      <c r="E10" s="46"/>
    </row>
    <row r="11" spans="1:6" ht="25.5" x14ac:dyDescent="0.2">
      <c r="A11" s="89" t="s">
        <v>26</v>
      </c>
      <c r="B11" s="47" t="s">
        <v>5</v>
      </c>
      <c r="C11" s="47" t="s">
        <v>6</v>
      </c>
      <c r="D11" s="47" t="s">
        <v>7</v>
      </c>
      <c r="E11" s="47" t="s">
        <v>8</v>
      </c>
    </row>
    <row r="12" spans="1:6" x14ac:dyDescent="0.2">
      <c r="A12" s="4" t="s">
        <v>27</v>
      </c>
      <c r="B12" s="43">
        <v>200</v>
      </c>
      <c r="C12" s="43">
        <v>140</v>
      </c>
      <c r="D12" s="43">
        <v>141</v>
      </c>
      <c r="E12" s="43">
        <v>481</v>
      </c>
      <c r="F12" s="6"/>
    </row>
    <row r="13" spans="1:6" x14ac:dyDescent="0.2">
      <c r="A13" s="4" t="s">
        <v>28</v>
      </c>
      <c r="B13" s="43">
        <v>17480</v>
      </c>
      <c r="C13" s="43">
        <v>32742</v>
      </c>
      <c r="D13" s="43">
        <v>35320</v>
      </c>
      <c r="E13" s="43">
        <v>85542</v>
      </c>
      <c r="F13" s="6"/>
    </row>
    <row r="14" spans="1:6" x14ac:dyDescent="0.2">
      <c r="A14" s="4" t="s">
        <v>29</v>
      </c>
      <c r="B14" s="43">
        <v>8183</v>
      </c>
      <c r="C14" s="43">
        <v>21548</v>
      </c>
      <c r="D14" s="43">
        <v>36457</v>
      </c>
      <c r="E14" s="43">
        <v>66188</v>
      </c>
      <c r="F14" s="6"/>
    </row>
    <row r="15" spans="1:6" x14ac:dyDescent="0.2">
      <c r="A15" s="4" t="s">
        <v>30</v>
      </c>
      <c r="B15" s="43">
        <v>3849</v>
      </c>
      <c r="C15" s="43">
        <v>11112</v>
      </c>
      <c r="D15" s="43">
        <v>9833</v>
      </c>
      <c r="E15" s="43">
        <v>24794</v>
      </c>
      <c r="F15" s="6"/>
    </row>
    <row r="16" spans="1:6" x14ac:dyDescent="0.2">
      <c r="A16" s="4" t="s">
        <v>31</v>
      </c>
      <c r="B16" s="43">
        <v>2167</v>
      </c>
      <c r="C16" s="43">
        <v>6499</v>
      </c>
      <c r="D16" s="43">
        <v>4776</v>
      </c>
      <c r="E16" s="43">
        <v>13442</v>
      </c>
      <c r="F16" s="6"/>
    </row>
    <row r="17" spans="1:6" x14ac:dyDescent="0.2">
      <c r="A17" s="4" t="s">
        <v>32</v>
      </c>
      <c r="B17" s="43">
        <v>2549</v>
      </c>
      <c r="C17" s="43">
        <v>6693</v>
      </c>
      <c r="D17" s="43">
        <v>4991</v>
      </c>
      <c r="E17" s="43">
        <v>14233</v>
      </c>
      <c r="F17" s="6"/>
    </row>
    <row r="18" spans="1:6" x14ac:dyDescent="0.2">
      <c r="A18" s="4" t="s">
        <v>33</v>
      </c>
      <c r="B18" s="43">
        <v>1</v>
      </c>
      <c r="C18" s="43"/>
      <c r="D18" s="43">
        <v>2</v>
      </c>
      <c r="E18" s="43">
        <v>3</v>
      </c>
      <c r="F18" s="6"/>
    </row>
    <row r="19" spans="1:6" x14ac:dyDescent="0.2">
      <c r="A19" s="5" t="s">
        <v>4</v>
      </c>
      <c r="B19" s="44">
        <f>SUM(B12:B18)</f>
        <v>34429</v>
      </c>
      <c r="C19" s="44">
        <f t="shared" ref="C19:D19" si="0">SUM(C12:C18)</f>
        <v>78734</v>
      </c>
      <c r="D19" s="44">
        <f t="shared" si="0"/>
        <v>91520</v>
      </c>
      <c r="E19" s="44">
        <f t="shared" ref="E19" si="1">SUM(B19:D19)</f>
        <v>204683</v>
      </c>
      <c r="F19" s="6"/>
    </row>
    <row r="20" spans="1:6" x14ac:dyDescent="0.2">
      <c r="A20" s="94" t="s">
        <v>36</v>
      </c>
      <c r="B20" s="95">
        <v>26.837690252120368</v>
      </c>
      <c r="C20" s="95">
        <v>27.992912845784542</v>
      </c>
      <c r="D20" s="95">
        <v>27.280589610786951</v>
      </c>
      <c r="E20" s="95">
        <v>27.480100644909101</v>
      </c>
    </row>
    <row r="21" spans="1:6" x14ac:dyDescent="0.2">
      <c r="A21" s="40"/>
      <c r="B21" s="40"/>
      <c r="C21" s="40"/>
      <c r="D21" s="40"/>
      <c r="E21" s="40"/>
      <c r="F21" s="40"/>
    </row>
    <row r="22" spans="1:6" ht="15.75" x14ac:dyDescent="0.2">
      <c r="A22" s="25" t="s">
        <v>344</v>
      </c>
      <c r="B22" s="46"/>
      <c r="C22" s="46"/>
      <c r="D22" s="46"/>
      <c r="E22" s="46"/>
    </row>
    <row r="23" spans="1:6" ht="25.5" x14ac:dyDescent="0.2">
      <c r="A23" s="89" t="s">
        <v>37</v>
      </c>
      <c r="B23" s="47" t="s">
        <v>5</v>
      </c>
      <c r="C23" s="47" t="s">
        <v>6</v>
      </c>
      <c r="D23" s="47" t="s">
        <v>7</v>
      </c>
      <c r="E23" s="47" t="s">
        <v>8</v>
      </c>
    </row>
    <row r="24" spans="1:6" x14ac:dyDescent="0.2">
      <c r="A24" s="4" t="s">
        <v>38</v>
      </c>
      <c r="B24" s="43">
        <v>34429</v>
      </c>
      <c r="C24" s="43">
        <v>42979</v>
      </c>
      <c r="D24" s="43">
        <v>6853</v>
      </c>
      <c r="E24" s="43">
        <v>84261</v>
      </c>
    </row>
    <row r="25" spans="1:6" x14ac:dyDescent="0.2">
      <c r="A25" s="4" t="s">
        <v>39</v>
      </c>
      <c r="B25" s="43"/>
      <c r="C25" s="43">
        <v>35755</v>
      </c>
      <c r="D25" s="43">
        <v>7647</v>
      </c>
      <c r="E25" s="43">
        <v>43402</v>
      </c>
    </row>
    <row r="26" spans="1:6" x14ac:dyDescent="0.2">
      <c r="A26" s="4" t="s">
        <v>40</v>
      </c>
      <c r="B26" s="43"/>
      <c r="C26" s="43"/>
      <c r="D26" s="43">
        <v>2642</v>
      </c>
      <c r="E26" s="43">
        <v>2642</v>
      </c>
    </row>
    <row r="27" spans="1:6" x14ac:dyDescent="0.2">
      <c r="A27" s="4" t="s">
        <v>41</v>
      </c>
      <c r="B27" s="44"/>
      <c r="C27" s="44"/>
      <c r="D27" s="43">
        <v>74378</v>
      </c>
      <c r="E27" s="43">
        <v>74378</v>
      </c>
    </row>
    <row r="28" spans="1:6" x14ac:dyDescent="0.2">
      <c r="A28" s="5" t="s">
        <v>4</v>
      </c>
      <c r="B28" s="65">
        <v>34429</v>
      </c>
      <c r="C28" s="65">
        <v>78734</v>
      </c>
      <c r="D28" s="65">
        <v>91520</v>
      </c>
      <c r="E28" s="65">
        <v>204683</v>
      </c>
    </row>
    <row r="29" spans="1:6" x14ac:dyDescent="0.2">
      <c r="A29" s="40"/>
      <c r="B29" s="46"/>
      <c r="C29" s="46"/>
      <c r="D29" s="46"/>
      <c r="E29" s="46"/>
    </row>
    <row r="30" spans="1:6" ht="15.75" x14ac:dyDescent="0.2">
      <c r="A30" s="25" t="s">
        <v>345</v>
      </c>
      <c r="B30" s="46"/>
      <c r="C30" s="46"/>
      <c r="D30" s="46"/>
      <c r="E30" s="46"/>
    </row>
    <row r="31" spans="1:6" ht="25.5" x14ac:dyDescent="0.2">
      <c r="A31" s="89" t="s">
        <v>10</v>
      </c>
      <c r="B31" s="47" t="s">
        <v>5</v>
      </c>
      <c r="C31" s="47" t="s">
        <v>6</v>
      </c>
      <c r="D31" s="47" t="s">
        <v>7</v>
      </c>
      <c r="E31" s="47" t="s">
        <v>8</v>
      </c>
    </row>
    <row r="32" spans="1:6" x14ac:dyDescent="0.2">
      <c r="A32" s="4" t="s">
        <v>11</v>
      </c>
      <c r="B32" s="43">
        <v>8864</v>
      </c>
      <c r="C32" s="43">
        <v>22069</v>
      </c>
      <c r="D32" s="43">
        <v>15024</v>
      </c>
      <c r="E32" s="43">
        <v>45957</v>
      </c>
    </row>
    <row r="33" spans="1:5" x14ac:dyDescent="0.2">
      <c r="A33" s="4" t="s">
        <v>12</v>
      </c>
      <c r="B33" s="43">
        <v>1172</v>
      </c>
      <c r="C33" s="43">
        <v>904</v>
      </c>
      <c r="D33" s="43">
        <v>1701</v>
      </c>
      <c r="E33" s="43">
        <v>3777</v>
      </c>
    </row>
    <row r="34" spans="1:5" x14ac:dyDescent="0.2">
      <c r="A34" s="4" t="s">
        <v>13</v>
      </c>
      <c r="B34" s="43">
        <v>358</v>
      </c>
      <c r="C34" s="43">
        <v>4163</v>
      </c>
      <c r="D34" s="43">
        <v>2578</v>
      </c>
      <c r="E34" s="43">
        <v>7099</v>
      </c>
    </row>
    <row r="35" spans="1:5" x14ac:dyDescent="0.2">
      <c r="A35" s="4" t="s">
        <v>14</v>
      </c>
      <c r="B35" s="43">
        <v>206</v>
      </c>
      <c r="C35" s="43">
        <v>127</v>
      </c>
      <c r="D35" s="43">
        <v>1224</v>
      </c>
      <c r="E35" s="43">
        <v>1557</v>
      </c>
    </row>
    <row r="36" spans="1:5" x14ac:dyDescent="0.2">
      <c r="A36" s="4" t="s">
        <v>15</v>
      </c>
      <c r="B36" s="43">
        <v>802</v>
      </c>
      <c r="C36" s="43">
        <v>7044</v>
      </c>
      <c r="D36" s="43">
        <v>10031</v>
      </c>
      <c r="E36" s="43">
        <v>17877</v>
      </c>
    </row>
    <row r="37" spans="1:5" x14ac:dyDescent="0.2">
      <c r="A37" s="4" t="s">
        <v>16</v>
      </c>
      <c r="B37" s="43">
        <v>284</v>
      </c>
      <c r="C37" s="43">
        <v>285</v>
      </c>
      <c r="D37" s="43">
        <v>3805</v>
      </c>
      <c r="E37" s="43">
        <v>4374</v>
      </c>
    </row>
    <row r="38" spans="1:5" x14ac:dyDescent="0.2">
      <c r="A38" s="4" t="s">
        <v>17</v>
      </c>
      <c r="B38" s="43">
        <v>4626</v>
      </c>
      <c r="C38" s="43">
        <v>8146</v>
      </c>
      <c r="D38" s="43">
        <v>15716</v>
      </c>
      <c r="E38" s="43">
        <v>28488</v>
      </c>
    </row>
    <row r="39" spans="1:5" x14ac:dyDescent="0.2">
      <c r="A39" s="4" t="s">
        <v>18</v>
      </c>
      <c r="B39" s="43">
        <v>11</v>
      </c>
      <c r="C39" s="43">
        <v>240</v>
      </c>
      <c r="D39" s="43">
        <v>949</v>
      </c>
      <c r="E39" s="43">
        <v>1200</v>
      </c>
    </row>
    <row r="40" spans="1:5" x14ac:dyDescent="0.2">
      <c r="A40" s="4" t="s">
        <v>19</v>
      </c>
      <c r="B40" s="43">
        <v>7307</v>
      </c>
      <c r="C40" s="43">
        <v>9661</v>
      </c>
      <c r="D40" s="43">
        <v>20105</v>
      </c>
      <c r="E40" s="43">
        <v>37073</v>
      </c>
    </row>
    <row r="41" spans="1:5" x14ac:dyDescent="0.2">
      <c r="A41" s="4" t="s">
        <v>20</v>
      </c>
      <c r="B41" s="43">
        <v>10799</v>
      </c>
      <c r="C41" s="43">
        <v>26095</v>
      </c>
      <c r="D41" s="43">
        <v>20387</v>
      </c>
      <c r="E41" s="43">
        <v>57281</v>
      </c>
    </row>
    <row r="42" spans="1:5" x14ac:dyDescent="0.2">
      <c r="A42" s="5" t="s">
        <v>4</v>
      </c>
      <c r="B42" s="44">
        <v>34429</v>
      </c>
      <c r="C42" s="44">
        <v>78734</v>
      </c>
      <c r="D42" s="44">
        <v>91520</v>
      </c>
      <c r="E42" s="44">
        <v>204683</v>
      </c>
    </row>
    <row r="43" spans="1:5" x14ac:dyDescent="0.2">
      <c r="A43" s="40"/>
      <c r="B43" s="46"/>
      <c r="C43" s="46"/>
      <c r="D43" s="46"/>
      <c r="E43" s="46"/>
    </row>
    <row r="44" spans="1:5" ht="15.75" x14ac:dyDescent="0.2">
      <c r="A44" s="25" t="s">
        <v>346</v>
      </c>
      <c r="B44" s="46"/>
      <c r="C44" s="46"/>
      <c r="D44" s="46"/>
      <c r="E44" s="46"/>
    </row>
    <row r="45" spans="1:5" x14ac:dyDescent="0.2">
      <c r="A45" s="89" t="s">
        <v>10</v>
      </c>
      <c r="B45" s="47" t="s">
        <v>235</v>
      </c>
      <c r="C45" s="47" t="s">
        <v>236</v>
      </c>
      <c r="D45" s="47" t="s">
        <v>8</v>
      </c>
      <c r="E45" s="46"/>
    </row>
    <row r="46" spans="1:5" x14ac:dyDescent="0.2">
      <c r="A46" s="4" t="s">
        <v>11</v>
      </c>
      <c r="B46" s="43">
        <v>27563</v>
      </c>
      <c r="C46" s="43">
        <v>18394</v>
      </c>
      <c r="D46" s="43">
        <v>45957</v>
      </c>
      <c r="E46" s="46"/>
    </row>
    <row r="47" spans="1:5" x14ac:dyDescent="0.2">
      <c r="A47" s="4" t="s">
        <v>12</v>
      </c>
      <c r="B47" s="43">
        <v>1817</v>
      </c>
      <c r="C47" s="43">
        <v>1960</v>
      </c>
      <c r="D47" s="43">
        <v>3777</v>
      </c>
      <c r="E47" s="46"/>
    </row>
    <row r="48" spans="1:5" x14ac:dyDescent="0.2">
      <c r="A48" s="4" t="s">
        <v>13</v>
      </c>
      <c r="B48" s="43">
        <v>4041</v>
      </c>
      <c r="C48" s="43">
        <v>3058</v>
      </c>
      <c r="D48" s="43">
        <v>7099</v>
      </c>
      <c r="E48" s="46"/>
    </row>
    <row r="49" spans="1:5" x14ac:dyDescent="0.2">
      <c r="A49" s="4" t="s">
        <v>14</v>
      </c>
      <c r="B49" s="43">
        <v>746</v>
      </c>
      <c r="C49" s="43">
        <v>811</v>
      </c>
      <c r="D49" s="43">
        <v>1557</v>
      </c>
      <c r="E49" s="46"/>
    </row>
    <row r="50" spans="1:5" x14ac:dyDescent="0.2">
      <c r="A50" s="4" t="s">
        <v>15</v>
      </c>
      <c r="B50" s="43">
        <v>13083</v>
      </c>
      <c r="C50" s="43">
        <v>4794</v>
      </c>
      <c r="D50" s="43">
        <v>17877</v>
      </c>
      <c r="E50" s="46"/>
    </row>
    <row r="51" spans="1:5" x14ac:dyDescent="0.2">
      <c r="A51" s="4" t="s">
        <v>16</v>
      </c>
      <c r="B51" s="43">
        <v>2415</v>
      </c>
      <c r="C51" s="43">
        <v>1959</v>
      </c>
      <c r="D51" s="43">
        <v>4374</v>
      </c>
      <c r="E51" s="46"/>
    </row>
    <row r="52" spans="1:5" x14ac:dyDescent="0.2">
      <c r="A52" s="4" t="s">
        <v>17</v>
      </c>
      <c r="B52" s="43">
        <v>23171</v>
      </c>
      <c r="C52" s="43">
        <v>5317</v>
      </c>
      <c r="D52" s="43">
        <v>28488</v>
      </c>
      <c r="E52" s="46"/>
    </row>
    <row r="53" spans="1:5" x14ac:dyDescent="0.2">
      <c r="A53" s="4" t="s">
        <v>18</v>
      </c>
      <c r="B53" s="43">
        <v>776</v>
      </c>
      <c r="C53" s="43">
        <v>424</v>
      </c>
      <c r="D53" s="43">
        <v>1200</v>
      </c>
      <c r="E53" s="46"/>
    </row>
    <row r="54" spans="1:5" x14ac:dyDescent="0.2">
      <c r="A54" s="4" t="s">
        <v>19</v>
      </c>
      <c r="B54" s="43">
        <v>29511</v>
      </c>
      <c r="C54" s="43">
        <v>7562</v>
      </c>
      <c r="D54" s="43">
        <v>37073</v>
      </c>
      <c r="E54" s="46"/>
    </row>
    <row r="55" spans="1:5" x14ac:dyDescent="0.2">
      <c r="A55" s="4" t="s">
        <v>20</v>
      </c>
      <c r="B55" s="43">
        <v>13045</v>
      </c>
      <c r="C55" s="43">
        <v>44236</v>
      </c>
      <c r="D55" s="43">
        <v>57281</v>
      </c>
      <c r="E55" s="46"/>
    </row>
    <row r="56" spans="1:5" x14ac:dyDescent="0.2">
      <c r="A56" s="5" t="s">
        <v>4</v>
      </c>
      <c r="B56" s="44">
        <v>116168</v>
      </c>
      <c r="C56" s="44">
        <v>88515</v>
      </c>
      <c r="D56" s="44">
        <v>204683</v>
      </c>
      <c r="E56" s="46"/>
    </row>
    <row r="57" spans="1:5" x14ac:dyDescent="0.2">
      <c r="A57" s="40"/>
      <c r="B57" s="46"/>
      <c r="C57" s="46"/>
      <c r="D57" s="46"/>
      <c r="E57" s="46"/>
    </row>
    <row r="58" spans="1:5" ht="15.75" x14ac:dyDescent="0.2">
      <c r="A58" s="25" t="s">
        <v>347</v>
      </c>
      <c r="B58" s="46"/>
      <c r="C58" s="46"/>
      <c r="D58" s="46"/>
      <c r="E58" s="46"/>
    </row>
    <row r="59" spans="1:5" ht="25.5" x14ac:dyDescent="0.2">
      <c r="A59" s="89" t="s">
        <v>42</v>
      </c>
      <c r="B59" s="47" t="s">
        <v>5</v>
      </c>
      <c r="C59" s="47" t="s">
        <v>6</v>
      </c>
      <c r="D59" s="47" t="s">
        <v>7</v>
      </c>
      <c r="E59" s="47" t="s">
        <v>8</v>
      </c>
    </row>
    <row r="60" spans="1:5" x14ac:dyDescent="0.2">
      <c r="A60" s="4" t="s">
        <v>43</v>
      </c>
      <c r="B60" s="43">
        <v>20496</v>
      </c>
      <c r="C60" s="43">
        <v>36402</v>
      </c>
      <c r="D60" s="43">
        <v>69771</v>
      </c>
      <c r="E60" s="43">
        <v>126669</v>
      </c>
    </row>
    <row r="61" spans="1:5" x14ac:dyDescent="0.2">
      <c r="A61" s="4" t="s">
        <v>44</v>
      </c>
      <c r="B61" s="43">
        <v>12913</v>
      </c>
      <c r="C61" s="43">
        <v>36902</v>
      </c>
      <c r="D61" s="43">
        <v>18876</v>
      </c>
      <c r="E61" s="43">
        <v>68691</v>
      </c>
    </row>
    <row r="62" spans="1:5" x14ac:dyDescent="0.2">
      <c r="A62" s="32" t="s">
        <v>257</v>
      </c>
      <c r="B62" s="43">
        <v>288</v>
      </c>
      <c r="C62" s="43">
        <v>1568</v>
      </c>
      <c r="D62" s="43">
        <v>559</v>
      </c>
      <c r="E62" s="43">
        <v>2415</v>
      </c>
    </row>
    <row r="63" spans="1:5" x14ac:dyDescent="0.2">
      <c r="A63" s="32" t="s">
        <v>258</v>
      </c>
      <c r="B63" s="43">
        <v>419</v>
      </c>
      <c r="C63" s="43">
        <v>3760</v>
      </c>
      <c r="D63" s="43">
        <v>513</v>
      </c>
      <c r="E63" s="43">
        <v>4692</v>
      </c>
    </row>
    <row r="64" spans="1:5" x14ac:dyDescent="0.2">
      <c r="A64" s="4" t="s">
        <v>45</v>
      </c>
      <c r="B64" s="43">
        <v>313</v>
      </c>
      <c r="C64" s="43">
        <v>102</v>
      </c>
      <c r="D64" s="43">
        <v>1801</v>
      </c>
      <c r="E64" s="43">
        <v>2216</v>
      </c>
    </row>
    <row r="65" spans="1:5" x14ac:dyDescent="0.2">
      <c r="A65" s="5" t="s">
        <v>4</v>
      </c>
      <c r="B65" s="44">
        <v>34429</v>
      </c>
      <c r="C65" s="44">
        <v>78734</v>
      </c>
      <c r="D65" s="44">
        <v>91520</v>
      </c>
      <c r="E65" s="44">
        <v>204683</v>
      </c>
    </row>
    <row r="66" spans="1:5" x14ac:dyDescent="0.2">
      <c r="A66" s="40"/>
      <c r="B66" s="46"/>
      <c r="C66" s="46"/>
      <c r="D66" s="46"/>
      <c r="E66" s="46"/>
    </row>
    <row r="67" spans="1:5" ht="15.75" x14ac:dyDescent="0.2">
      <c r="A67" s="25" t="s">
        <v>348</v>
      </c>
      <c r="B67" s="46"/>
      <c r="C67" s="46"/>
      <c r="D67" s="46"/>
      <c r="E67" s="46"/>
    </row>
    <row r="68" spans="1:5" ht="25.5" x14ac:dyDescent="0.2">
      <c r="A68" s="89" t="s">
        <v>9</v>
      </c>
      <c r="B68" s="47" t="s">
        <v>5</v>
      </c>
      <c r="C68" s="47" t="s">
        <v>6</v>
      </c>
      <c r="D68" s="47" t="s">
        <v>7</v>
      </c>
      <c r="E68" s="47" t="s">
        <v>8</v>
      </c>
    </row>
    <row r="69" spans="1:5" x14ac:dyDescent="0.2">
      <c r="A69" s="4" t="s">
        <v>281</v>
      </c>
      <c r="B69" s="43">
        <v>1260</v>
      </c>
      <c r="C69" s="43">
        <v>282</v>
      </c>
      <c r="D69" s="43">
        <v>1447</v>
      </c>
      <c r="E69" s="43">
        <v>2989</v>
      </c>
    </row>
    <row r="70" spans="1:5" x14ac:dyDescent="0.2">
      <c r="A70" s="4" t="s">
        <v>282</v>
      </c>
      <c r="B70" s="43">
        <v>667</v>
      </c>
      <c r="C70" s="43">
        <v>487</v>
      </c>
      <c r="D70" s="43">
        <v>1967</v>
      </c>
      <c r="E70" s="43">
        <v>3121</v>
      </c>
    </row>
    <row r="71" spans="1:5" x14ac:dyDescent="0.2">
      <c r="A71" s="4" t="s">
        <v>283</v>
      </c>
      <c r="B71" s="43">
        <v>1458</v>
      </c>
      <c r="C71" s="43">
        <v>2247</v>
      </c>
      <c r="D71" s="43">
        <v>3405</v>
      </c>
      <c r="E71" s="43">
        <v>7110</v>
      </c>
    </row>
    <row r="72" spans="1:5" x14ac:dyDescent="0.2">
      <c r="A72" s="4" t="s">
        <v>284</v>
      </c>
      <c r="B72" s="43">
        <v>489</v>
      </c>
      <c r="C72" s="43">
        <v>325</v>
      </c>
      <c r="D72" s="43">
        <v>1016</v>
      </c>
      <c r="E72" s="43">
        <v>1830</v>
      </c>
    </row>
    <row r="73" spans="1:5" x14ac:dyDescent="0.2">
      <c r="A73" s="4" t="s">
        <v>285</v>
      </c>
      <c r="B73" s="43">
        <v>2057</v>
      </c>
      <c r="C73" s="43">
        <v>2964</v>
      </c>
      <c r="D73" s="43">
        <v>2797</v>
      </c>
      <c r="E73" s="43">
        <v>7818</v>
      </c>
    </row>
    <row r="74" spans="1:5" x14ac:dyDescent="0.2">
      <c r="A74" s="4" t="s">
        <v>286</v>
      </c>
      <c r="B74" s="43">
        <v>3353</v>
      </c>
      <c r="C74" s="43">
        <v>7801</v>
      </c>
      <c r="D74" s="43">
        <v>10294</v>
      </c>
      <c r="E74" s="43">
        <v>21448</v>
      </c>
    </row>
    <row r="75" spans="1:5" x14ac:dyDescent="0.2">
      <c r="A75" s="32" t="s">
        <v>307</v>
      </c>
      <c r="B75" s="43">
        <v>11168</v>
      </c>
      <c r="C75" s="43">
        <v>39125</v>
      </c>
      <c r="D75" s="43">
        <v>41939</v>
      </c>
      <c r="E75" s="43">
        <v>92232</v>
      </c>
    </row>
    <row r="76" spans="1:5" x14ac:dyDescent="0.2">
      <c r="A76" s="4" t="s">
        <v>287</v>
      </c>
      <c r="B76" s="43">
        <v>1220</v>
      </c>
      <c r="C76" s="43">
        <v>4478</v>
      </c>
      <c r="D76" s="43">
        <v>799</v>
      </c>
      <c r="E76" s="43">
        <v>6497</v>
      </c>
    </row>
    <row r="77" spans="1:5" x14ac:dyDescent="0.2">
      <c r="A77" s="4" t="s">
        <v>288</v>
      </c>
      <c r="B77" s="43">
        <v>2843</v>
      </c>
      <c r="C77" s="43">
        <v>3174</v>
      </c>
      <c r="D77" s="43">
        <v>3471</v>
      </c>
      <c r="E77" s="43">
        <v>9488</v>
      </c>
    </row>
    <row r="78" spans="1:5" x14ac:dyDescent="0.2">
      <c r="A78" s="4" t="s">
        <v>315</v>
      </c>
      <c r="B78" s="43">
        <v>1084</v>
      </c>
      <c r="C78" s="43">
        <v>1806</v>
      </c>
      <c r="D78" s="43">
        <v>2495</v>
      </c>
      <c r="E78" s="43">
        <v>5385</v>
      </c>
    </row>
    <row r="79" spans="1:5" x14ac:dyDescent="0.2">
      <c r="A79" s="4" t="s">
        <v>289</v>
      </c>
      <c r="B79" s="43">
        <v>3228</v>
      </c>
      <c r="C79" s="43">
        <v>8992</v>
      </c>
      <c r="D79" s="43">
        <v>11416</v>
      </c>
      <c r="E79" s="43">
        <v>23636</v>
      </c>
    </row>
    <row r="80" spans="1:5" x14ac:dyDescent="0.2">
      <c r="A80" s="4" t="s">
        <v>290</v>
      </c>
      <c r="B80" s="43">
        <v>2156</v>
      </c>
      <c r="C80" s="43">
        <v>2793</v>
      </c>
      <c r="D80" s="43">
        <v>4680</v>
      </c>
      <c r="E80" s="43">
        <v>9629</v>
      </c>
    </row>
    <row r="81" spans="1:5" x14ac:dyDescent="0.2">
      <c r="A81" s="4" t="s">
        <v>291</v>
      </c>
      <c r="B81" s="43">
        <v>826</v>
      </c>
      <c r="C81" s="43">
        <v>602</v>
      </c>
      <c r="D81" s="43">
        <v>1846</v>
      </c>
      <c r="E81" s="43">
        <v>3274</v>
      </c>
    </row>
    <row r="82" spans="1:5" x14ac:dyDescent="0.2">
      <c r="A82" s="4" t="s">
        <v>292</v>
      </c>
      <c r="B82" s="43">
        <v>1725</v>
      </c>
      <c r="C82" s="43">
        <v>3342</v>
      </c>
      <c r="D82" s="43">
        <v>3243</v>
      </c>
      <c r="E82" s="43">
        <v>8310</v>
      </c>
    </row>
    <row r="83" spans="1:5" x14ac:dyDescent="0.2">
      <c r="A83" s="4" t="s">
        <v>293</v>
      </c>
      <c r="B83" s="43">
        <v>324</v>
      </c>
      <c r="C83" s="43">
        <v>54</v>
      </c>
      <c r="D83" s="43">
        <v>173</v>
      </c>
      <c r="E83" s="43">
        <v>551</v>
      </c>
    </row>
    <row r="84" spans="1:5" x14ac:dyDescent="0.2">
      <c r="A84" s="4" t="s">
        <v>294</v>
      </c>
      <c r="B84" s="43">
        <v>571</v>
      </c>
      <c r="C84" s="43">
        <v>262</v>
      </c>
      <c r="D84" s="43">
        <v>532</v>
      </c>
      <c r="E84" s="43">
        <v>1365</v>
      </c>
    </row>
    <row r="85" spans="1:5" x14ac:dyDescent="0.2">
      <c r="A85" s="5" t="s">
        <v>4</v>
      </c>
      <c r="B85" s="44">
        <v>34429</v>
      </c>
      <c r="C85" s="44">
        <v>78734</v>
      </c>
      <c r="D85" s="44">
        <v>91520</v>
      </c>
      <c r="E85" s="44">
        <v>204683</v>
      </c>
    </row>
    <row r="86" spans="1:5" x14ac:dyDescent="0.2">
      <c r="A86" s="40"/>
      <c r="B86" s="46"/>
      <c r="C86" s="46"/>
      <c r="D86" s="46"/>
      <c r="E86" s="46"/>
    </row>
    <row r="87" spans="1:5" ht="15.75" x14ac:dyDescent="0.2">
      <c r="A87" s="25" t="s">
        <v>349</v>
      </c>
      <c r="B87" s="46"/>
      <c r="C87" s="46"/>
      <c r="D87" s="46"/>
      <c r="E87" s="46"/>
    </row>
    <row r="88" spans="1:5" x14ac:dyDescent="0.2">
      <c r="A88" s="89" t="s">
        <v>9</v>
      </c>
      <c r="B88" s="47" t="s">
        <v>235</v>
      </c>
      <c r="C88" s="47" t="s">
        <v>236</v>
      </c>
      <c r="D88" s="47" t="s">
        <v>8</v>
      </c>
    </row>
    <row r="89" spans="1:5" x14ac:dyDescent="0.2">
      <c r="A89" s="4" t="s">
        <v>281</v>
      </c>
      <c r="B89" s="43">
        <v>1761</v>
      </c>
      <c r="C89" s="43">
        <v>1228</v>
      </c>
      <c r="D89" s="43">
        <f>SUM(B89:C89)</f>
        <v>2989</v>
      </c>
    </row>
    <row r="90" spans="1:5" x14ac:dyDescent="0.2">
      <c r="A90" s="4" t="s">
        <v>282</v>
      </c>
      <c r="B90" s="43">
        <v>1756</v>
      </c>
      <c r="C90" s="43">
        <v>1365</v>
      </c>
      <c r="D90" s="43">
        <f t="shared" ref="D90:D97" si="2">SUM(B90:C90)</f>
        <v>3121</v>
      </c>
    </row>
    <row r="91" spans="1:5" x14ac:dyDescent="0.2">
      <c r="A91" s="4" t="s">
        <v>283</v>
      </c>
      <c r="B91" s="43">
        <v>3699</v>
      </c>
      <c r="C91" s="43">
        <v>3411</v>
      </c>
      <c r="D91" s="43">
        <f t="shared" si="2"/>
        <v>7110</v>
      </c>
    </row>
    <row r="92" spans="1:5" x14ac:dyDescent="0.2">
      <c r="A92" s="4" t="s">
        <v>284</v>
      </c>
      <c r="B92" s="43">
        <v>1019</v>
      </c>
      <c r="C92" s="43">
        <v>811</v>
      </c>
      <c r="D92" s="43">
        <f>SUM(B92:C92)</f>
        <v>1830</v>
      </c>
    </row>
    <row r="93" spans="1:5" x14ac:dyDescent="0.2">
      <c r="A93" s="4" t="s">
        <v>285</v>
      </c>
      <c r="B93" s="43">
        <v>4554</v>
      </c>
      <c r="C93" s="43">
        <v>3264</v>
      </c>
      <c r="D93" s="43">
        <f t="shared" si="2"/>
        <v>7818</v>
      </c>
    </row>
    <row r="94" spans="1:5" x14ac:dyDescent="0.2">
      <c r="A94" s="4" t="s">
        <v>286</v>
      </c>
      <c r="B94" s="43">
        <v>12141</v>
      </c>
      <c r="C94" s="43">
        <v>9307</v>
      </c>
      <c r="D94" s="43">
        <f t="shared" si="2"/>
        <v>21448</v>
      </c>
    </row>
    <row r="95" spans="1:5" x14ac:dyDescent="0.2">
      <c r="A95" s="32" t="s">
        <v>307</v>
      </c>
      <c r="B95" s="43">
        <v>50224</v>
      </c>
      <c r="C95" s="43">
        <v>42008</v>
      </c>
      <c r="D95" s="43">
        <f>SUM(B95:C95)</f>
        <v>92232</v>
      </c>
    </row>
    <row r="96" spans="1:5" x14ac:dyDescent="0.2">
      <c r="A96" s="4" t="s">
        <v>287</v>
      </c>
      <c r="B96" s="43">
        <v>3775</v>
      </c>
      <c r="C96" s="43">
        <v>2722</v>
      </c>
      <c r="D96" s="43">
        <f t="shared" si="2"/>
        <v>6497</v>
      </c>
    </row>
    <row r="97" spans="1:5" x14ac:dyDescent="0.2">
      <c r="A97" s="4" t="s">
        <v>288</v>
      </c>
      <c r="B97" s="43">
        <v>5860</v>
      </c>
      <c r="C97" s="43">
        <v>3628</v>
      </c>
      <c r="D97" s="43">
        <f t="shared" si="2"/>
        <v>9488</v>
      </c>
    </row>
    <row r="98" spans="1:5" x14ac:dyDescent="0.2">
      <c r="A98" s="4" t="s">
        <v>315</v>
      </c>
      <c r="B98" s="43">
        <v>3470</v>
      </c>
      <c r="C98" s="43">
        <v>1915</v>
      </c>
      <c r="D98" s="43">
        <f>SUM(B98:C98)</f>
        <v>5385</v>
      </c>
    </row>
    <row r="99" spans="1:5" x14ac:dyDescent="0.2">
      <c r="A99" s="4" t="s">
        <v>289</v>
      </c>
      <c r="B99" s="43">
        <v>13543</v>
      </c>
      <c r="C99" s="43">
        <v>10093</v>
      </c>
      <c r="D99" s="43">
        <f>SUM(B99:C99)</f>
        <v>23636</v>
      </c>
    </row>
    <row r="100" spans="1:5" x14ac:dyDescent="0.2">
      <c r="A100" s="4" t="s">
        <v>290</v>
      </c>
      <c r="B100" s="43">
        <v>6003</v>
      </c>
      <c r="C100" s="43">
        <v>3626</v>
      </c>
      <c r="D100" s="43">
        <f t="shared" ref="D100:D105" si="3">SUM(B100:C100)</f>
        <v>9629</v>
      </c>
    </row>
    <row r="101" spans="1:5" x14ac:dyDescent="0.2">
      <c r="A101" s="4" t="s">
        <v>291</v>
      </c>
      <c r="B101" s="43">
        <v>1989</v>
      </c>
      <c r="C101" s="43">
        <v>1285</v>
      </c>
      <c r="D101" s="43">
        <f t="shared" si="3"/>
        <v>3274</v>
      </c>
    </row>
    <row r="102" spans="1:5" x14ac:dyDescent="0.2">
      <c r="A102" s="4" t="s">
        <v>292</v>
      </c>
      <c r="B102" s="43">
        <v>5246</v>
      </c>
      <c r="C102" s="43">
        <v>3064</v>
      </c>
      <c r="D102" s="43">
        <f>SUM(B102:C102)</f>
        <v>8310</v>
      </c>
    </row>
    <row r="103" spans="1:5" x14ac:dyDescent="0.2">
      <c r="A103" s="4" t="s">
        <v>293</v>
      </c>
      <c r="B103" s="43">
        <v>371</v>
      </c>
      <c r="C103" s="43">
        <v>180</v>
      </c>
      <c r="D103" s="43">
        <f>SUM(B103:C103)</f>
        <v>551</v>
      </c>
    </row>
    <row r="104" spans="1:5" x14ac:dyDescent="0.2">
      <c r="A104" s="4" t="s">
        <v>294</v>
      </c>
      <c r="B104" s="43">
        <v>757</v>
      </c>
      <c r="C104" s="43">
        <v>608</v>
      </c>
      <c r="D104" s="43">
        <f t="shared" si="3"/>
        <v>1365</v>
      </c>
    </row>
    <row r="105" spans="1:5" x14ac:dyDescent="0.2">
      <c r="A105" s="5" t="s">
        <v>4</v>
      </c>
      <c r="B105" s="44">
        <v>116168</v>
      </c>
      <c r="C105" s="44">
        <v>88515</v>
      </c>
      <c r="D105" s="44">
        <f t="shared" si="3"/>
        <v>204683</v>
      </c>
      <c r="E105" s="46"/>
    </row>
    <row r="106" spans="1:5" x14ac:dyDescent="0.2">
      <c r="A106" s="40"/>
      <c r="B106" s="46"/>
      <c r="C106" s="46"/>
      <c r="D106" s="46"/>
      <c r="E106" s="46"/>
    </row>
    <row r="107" spans="1:5" x14ac:dyDescent="0.2">
      <c r="A107" s="40"/>
      <c r="B107" s="46"/>
      <c r="C107" s="46"/>
      <c r="D107" s="46"/>
      <c r="E107" s="46"/>
    </row>
    <row r="108" spans="1:5" x14ac:dyDescent="0.2">
      <c r="A108" s="70" t="s">
        <v>272</v>
      </c>
      <c r="B108" s="46"/>
      <c r="C108" s="46"/>
      <c r="D108" s="46"/>
      <c r="E108" s="46"/>
    </row>
    <row r="109" spans="1:5" x14ac:dyDescent="0.2">
      <c r="A109" s="40"/>
      <c r="B109" s="46"/>
      <c r="C109" s="46"/>
      <c r="D109" s="46"/>
      <c r="E109" s="46"/>
    </row>
    <row r="110" spans="1:5" x14ac:dyDescent="0.2">
      <c r="A110" s="71" t="s">
        <v>21</v>
      </c>
      <c r="B110" s="46"/>
      <c r="C110" s="46"/>
      <c r="D110" s="46"/>
      <c r="E110" s="46"/>
    </row>
    <row r="111" spans="1:5" x14ac:dyDescent="0.2">
      <c r="A111" s="40"/>
      <c r="B111" s="46"/>
      <c r="C111" s="46"/>
      <c r="D111" s="46"/>
      <c r="E111" s="46"/>
    </row>
  </sheetData>
  <hyperlinks>
    <hyperlink ref="A110" location="Indice!A5" display="Volver al índice" xr:uid="{00000000-0004-0000-0300-000000000000}"/>
  </hyperlinks>
  <pageMargins left="0.7" right="0.7" top="0.75" bottom="0.75" header="0.3" footer="0.3"/>
  <pageSetup paperSize="3" orientation="portrait" verticalDpi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06"/>
  <sheetViews>
    <sheetView showGridLines="0" topLeftCell="B1" workbookViewId="0">
      <pane ySplit="2" topLeftCell="A3" activePane="bottomLeft" state="frozen"/>
      <selection pane="bottomLeft" activeCell="A3" sqref="A3"/>
    </sheetView>
  </sheetViews>
  <sheetFormatPr baseColWidth="10" defaultColWidth="10.85546875" defaultRowHeight="15" x14ac:dyDescent="0.2"/>
  <cols>
    <col min="1" max="1" width="37" style="34" customWidth="1"/>
    <col min="2" max="5" width="10.85546875" style="34" customWidth="1"/>
    <col min="6" max="12" width="10.85546875" style="1" customWidth="1"/>
    <col min="13" max="15" width="14.5703125" style="1" customWidth="1"/>
    <col min="16" max="16384" width="10.85546875" style="1"/>
  </cols>
  <sheetData>
    <row r="1" spans="1:15" ht="21" x14ac:dyDescent="0.2">
      <c r="A1" s="86" t="s">
        <v>378</v>
      </c>
      <c r="B1" s="86"/>
      <c r="C1" s="86"/>
      <c r="D1" s="86"/>
      <c r="E1" s="86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ht="18.75" x14ac:dyDescent="0.2">
      <c r="A2" s="77"/>
      <c r="B2" s="77"/>
      <c r="C2" s="77"/>
      <c r="D2" s="77"/>
      <c r="E2" s="77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x14ac:dyDescent="0.2">
      <c r="A3" s="76"/>
      <c r="B3" s="76"/>
      <c r="C3" s="76"/>
      <c r="D3" s="76"/>
      <c r="E3" s="76"/>
      <c r="F3" s="40"/>
      <c r="G3" s="40"/>
      <c r="H3" s="40"/>
      <c r="I3" s="40"/>
      <c r="J3" s="40"/>
      <c r="K3" s="40"/>
      <c r="L3" s="40"/>
      <c r="M3" s="40"/>
      <c r="N3" s="40"/>
      <c r="O3" s="40"/>
    </row>
    <row r="4" spans="1:15" ht="15.75" x14ac:dyDescent="0.2">
      <c r="A4" s="41" t="s">
        <v>46</v>
      </c>
      <c r="B4" s="41"/>
      <c r="C4" s="41"/>
      <c r="D4" s="41"/>
      <c r="E4" s="41"/>
      <c r="F4" s="40"/>
      <c r="G4" s="40"/>
      <c r="H4" s="40"/>
      <c r="I4" s="40"/>
      <c r="J4" s="40"/>
      <c r="K4" s="40"/>
      <c r="L4" s="40"/>
      <c r="M4" s="40"/>
      <c r="N4" s="40"/>
      <c r="O4" s="40"/>
    </row>
    <row r="5" spans="1:15" ht="25.5" x14ac:dyDescent="0.2">
      <c r="A5" s="88" t="s">
        <v>0</v>
      </c>
      <c r="B5" s="3">
        <v>2008</v>
      </c>
      <c r="C5" s="3">
        <v>2009</v>
      </c>
      <c r="D5" s="3">
        <v>2010</v>
      </c>
      <c r="E5" s="3">
        <v>2011</v>
      </c>
      <c r="F5" s="3">
        <v>2012</v>
      </c>
      <c r="G5" s="3">
        <v>2013</v>
      </c>
      <c r="H5" s="3">
        <v>2014</v>
      </c>
      <c r="I5" s="3">
        <v>2015</v>
      </c>
      <c r="J5" s="3">
        <v>2016</v>
      </c>
      <c r="K5" s="3">
        <v>2017</v>
      </c>
      <c r="L5" s="3">
        <v>2018</v>
      </c>
      <c r="M5" s="13" t="s">
        <v>395</v>
      </c>
      <c r="N5" s="13" t="s">
        <v>394</v>
      </c>
      <c r="O5" s="13" t="s">
        <v>313</v>
      </c>
    </row>
    <row r="6" spans="1:15" x14ac:dyDescent="0.2">
      <c r="A6" s="4" t="s">
        <v>5</v>
      </c>
      <c r="B6" s="4">
        <v>19222</v>
      </c>
      <c r="C6" s="4">
        <v>16609</v>
      </c>
      <c r="D6" s="4">
        <v>13984</v>
      </c>
      <c r="E6" s="4">
        <v>22307</v>
      </c>
      <c r="F6" s="4">
        <v>25490</v>
      </c>
      <c r="G6" s="4">
        <v>28371</v>
      </c>
      <c r="H6" s="4">
        <v>27853</v>
      </c>
      <c r="I6" s="4">
        <v>30544</v>
      </c>
      <c r="J6" s="4">
        <v>33746</v>
      </c>
      <c r="K6" s="4">
        <v>32631</v>
      </c>
      <c r="L6" s="4">
        <v>34429</v>
      </c>
      <c r="M6" s="100">
        <f>(L6-B6)/B6</f>
        <v>0.79112475288731665</v>
      </c>
      <c r="N6" s="110">
        <f>(L6-K6)/K6</f>
        <v>5.5100977597989639E-2</v>
      </c>
      <c r="O6" s="112">
        <f>L6/$L$9</f>
        <v>0.16820644606537916</v>
      </c>
    </row>
    <row r="7" spans="1:15" x14ac:dyDescent="0.2">
      <c r="A7" s="4" t="s">
        <v>6</v>
      </c>
      <c r="B7" s="4">
        <v>18685</v>
      </c>
      <c r="C7" s="4">
        <v>23640</v>
      </c>
      <c r="D7" s="4">
        <v>23670</v>
      </c>
      <c r="E7" s="4">
        <v>30684</v>
      </c>
      <c r="F7" s="4">
        <v>38136</v>
      </c>
      <c r="G7" s="4">
        <v>47162</v>
      </c>
      <c r="H7" s="4">
        <v>55821</v>
      </c>
      <c r="I7" s="4">
        <v>67292</v>
      </c>
      <c r="J7" s="4">
        <v>73016</v>
      </c>
      <c r="K7" s="4">
        <v>78118</v>
      </c>
      <c r="L7" s="4">
        <v>78734</v>
      </c>
      <c r="M7" s="100">
        <f t="shared" ref="M7:M8" si="0">(L7-B7)/B7</f>
        <v>3.2137543484078139</v>
      </c>
      <c r="N7" s="110">
        <f t="shared" ref="N7:N9" si="1">(L7-K7)/K7</f>
        <v>7.8855065413861083E-3</v>
      </c>
      <c r="O7" s="112">
        <f t="shared" ref="O7:O9" si="2">L7/$L$9</f>
        <v>0.38466311320432084</v>
      </c>
    </row>
    <row r="8" spans="1:15" x14ac:dyDescent="0.2">
      <c r="A8" s="4" t="s">
        <v>7</v>
      </c>
      <c r="B8" s="4">
        <v>59763</v>
      </c>
      <c r="C8" s="4">
        <v>68533</v>
      </c>
      <c r="D8" s="4">
        <v>64548</v>
      </c>
      <c r="E8" s="4">
        <v>67183</v>
      </c>
      <c r="F8" s="4">
        <v>71597</v>
      </c>
      <c r="G8" s="4">
        <v>81308</v>
      </c>
      <c r="H8" s="4">
        <v>86997</v>
      </c>
      <c r="I8" s="4">
        <v>89738</v>
      </c>
      <c r="J8" s="4">
        <v>89257</v>
      </c>
      <c r="K8" s="4">
        <v>93569</v>
      </c>
      <c r="L8" s="4">
        <v>91520</v>
      </c>
      <c r="M8" s="100">
        <f t="shared" si="0"/>
        <v>0.53138229339223264</v>
      </c>
      <c r="N8" s="110">
        <f t="shared" si="1"/>
        <v>-2.1898278275924717E-2</v>
      </c>
      <c r="O8" s="112">
        <f t="shared" si="2"/>
        <v>0.44713044073030001</v>
      </c>
    </row>
    <row r="9" spans="1:15" x14ac:dyDescent="0.2">
      <c r="A9" s="5" t="s">
        <v>4</v>
      </c>
      <c r="B9" s="5">
        <v>97670</v>
      </c>
      <c r="C9" s="5">
        <v>108782</v>
      </c>
      <c r="D9" s="5">
        <v>102202</v>
      </c>
      <c r="E9" s="5">
        <v>120174</v>
      </c>
      <c r="F9" s="5">
        <v>135223</v>
      </c>
      <c r="G9" s="5">
        <v>156841</v>
      </c>
      <c r="H9" s="5">
        <v>170671</v>
      </c>
      <c r="I9" s="5">
        <v>187574</v>
      </c>
      <c r="J9" s="5">
        <v>196019</v>
      </c>
      <c r="K9" s="5">
        <v>204318</v>
      </c>
      <c r="L9" s="5">
        <v>204683</v>
      </c>
      <c r="M9" s="83">
        <f>(L9-B9)/B9</f>
        <v>1.0956588512337462</v>
      </c>
      <c r="N9" s="111">
        <f t="shared" si="1"/>
        <v>1.7864309556671462E-3</v>
      </c>
      <c r="O9" s="113">
        <f t="shared" si="2"/>
        <v>1</v>
      </c>
    </row>
    <row r="10" spans="1:15" x14ac:dyDescent="0.2">
      <c r="C10" s="108"/>
      <c r="D10" s="108"/>
      <c r="E10" s="108"/>
      <c r="F10" s="108"/>
      <c r="G10" s="108"/>
      <c r="H10" s="108"/>
      <c r="I10" s="108"/>
      <c r="J10" s="108"/>
      <c r="K10" s="108"/>
      <c r="L10" s="108"/>
    </row>
    <row r="11" spans="1:15" ht="15.75" x14ac:dyDescent="0.2">
      <c r="A11" s="41" t="s">
        <v>229</v>
      </c>
      <c r="B11" s="41"/>
      <c r="C11" s="41"/>
      <c r="D11" s="41"/>
      <c r="E11" s="41"/>
      <c r="F11" s="40"/>
      <c r="G11" s="40"/>
      <c r="H11" s="40"/>
      <c r="I11" s="40"/>
      <c r="J11" s="40"/>
      <c r="K11" s="40"/>
      <c r="L11" s="40"/>
      <c r="M11" s="40"/>
      <c r="N11" s="40"/>
      <c r="O11" s="40"/>
    </row>
    <row r="12" spans="1:15" ht="25.5" x14ac:dyDescent="0.2">
      <c r="A12" s="88" t="s">
        <v>0</v>
      </c>
      <c r="B12" s="3">
        <v>2008</v>
      </c>
      <c r="C12" s="3">
        <v>2009</v>
      </c>
      <c r="D12" s="3">
        <v>2010</v>
      </c>
      <c r="E12" s="3">
        <v>2011</v>
      </c>
      <c r="F12" s="3">
        <v>2012</v>
      </c>
      <c r="G12" s="3">
        <v>2013</v>
      </c>
      <c r="H12" s="3">
        <v>2014</v>
      </c>
      <c r="I12" s="3">
        <v>2015</v>
      </c>
      <c r="J12" s="3">
        <v>2016</v>
      </c>
      <c r="K12" s="3">
        <v>2017</v>
      </c>
      <c r="L12" s="3">
        <v>2018</v>
      </c>
      <c r="M12" s="13" t="s">
        <v>395</v>
      </c>
      <c r="N12" s="13" t="s">
        <v>394</v>
      </c>
      <c r="O12" s="13" t="s">
        <v>313</v>
      </c>
    </row>
    <row r="13" spans="1:15" x14ac:dyDescent="0.2">
      <c r="A13" s="4" t="s">
        <v>5</v>
      </c>
      <c r="B13" s="4">
        <v>19222</v>
      </c>
      <c r="C13" s="4">
        <v>16609</v>
      </c>
      <c r="D13" s="4">
        <v>13984</v>
      </c>
      <c r="E13" s="4">
        <v>22307</v>
      </c>
      <c r="F13" s="4">
        <v>25490</v>
      </c>
      <c r="G13" s="4">
        <v>28371</v>
      </c>
      <c r="H13" s="4">
        <v>27853</v>
      </c>
      <c r="I13" s="4">
        <v>30544</v>
      </c>
      <c r="J13" s="4">
        <v>33746</v>
      </c>
      <c r="K13" s="4">
        <v>32631</v>
      </c>
      <c r="L13" s="4">
        <v>34429</v>
      </c>
      <c r="M13" s="100">
        <f t="shared" ref="M13:M18" si="3">(L13-B13)/B13</f>
        <v>0.79112475288731665</v>
      </c>
      <c r="N13" s="110">
        <f t="shared" ref="N13:N18" si="4">(L13-K13)/K13</f>
        <v>5.5100977597989639E-2</v>
      </c>
      <c r="O13" s="112">
        <f t="shared" ref="O13:O18" si="5">L13/$L$9</f>
        <v>0.16820644606537916</v>
      </c>
    </row>
    <row r="14" spans="1:15" x14ac:dyDescent="0.2">
      <c r="A14" s="4" t="s">
        <v>6</v>
      </c>
      <c r="B14" s="4">
        <v>18685</v>
      </c>
      <c r="C14" s="4">
        <v>23640</v>
      </c>
      <c r="D14" s="4">
        <v>23670</v>
      </c>
      <c r="E14" s="4">
        <v>30684</v>
      </c>
      <c r="F14" s="4">
        <v>38136</v>
      </c>
      <c r="G14" s="4">
        <v>47162</v>
      </c>
      <c r="H14" s="4">
        <v>55821</v>
      </c>
      <c r="I14" s="4">
        <v>67292</v>
      </c>
      <c r="J14" s="4">
        <v>73016</v>
      </c>
      <c r="K14" s="4">
        <v>78118</v>
      </c>
      <c r="L14" s="4">
        <v>78734</v>
      </c>
      <c r="M14" s="100">
        <f t="shared" si="3"/>
        <v>3.2137543484078139</v>
      </c>
      <c r="N14" s="110">
        <f t="shared" si="4"/>
        <v>7.8855065413861083E-3</v>
      </c>
      <c r="O14" s="112">
        <f t="shared" si="5"/>
        <v>0.38466311320432084</v>
      </c>
    </row>
    <row r="15" spans="1:15" x14ac:dyDescent="0.2">
      <c r="A15" s="32" t="s">
        <v>269</v>
      </c>
      <c r="B15" s="32">
        <v>21058</v>
      </c>
      <c r="C15" s="32">
        <v>25523</v>
      </c>
      <c r="D15" s="32">
        <v>23288</v>
      </c>
      <c r="E15" s="32">
        <v>22549</v>
      </c>
      <c r="F15" s="4">
        <v>21629</v>
      </c>
      <c r="G15" s="4">
        <v>21920</v>
      </c>
      <c r="H15" s="4">
        <v>22324</v>
      </c>
      <c r="I15" s="4">
        <v>23269</v>
      </c>
      <c r="J15" s="4">
        <v>22458</v>
      </c>
      <c r="K15" s="4">
        <v>24274</v>
      </c>
      <c r="L15" s="32">
        <v>22787</v>
      </c>
      <c r="M15" s="100">
        <f t="shared" si="3"/>
        <v>8.2106562826479254E-2</v>
      </c>
      <c r="N15" s="110">
        <f t="shared" si="4"/>
        <v>-6.1258960204333857E-2</v>
      </c>
      <c r="O15" s="112">
        <f t="shared" si="5"/>
        <v>0.1113282490485287</v>
      </c>
    </row>
    <row r="16" spans="1:15" x14ac:dyDescent="0.2">
      <c r="A16" s="32" t="s">
        <v>270</v>
      </c>
      <c r="B16" s="32">
        <v>11876</v>
      </c>
      <c r="C16" s="32">
        <v>13556</v>
      </c>
      <c r="D16" s="32">
        <v>13199</v>
      </c>
      <c r="E16" s="32">
        <v>13022</v>
      </c>
      <c r="F16" s="4">
        <v>14603</v>
      </c>
      <c r="G16" s="4">
        <v>15842</v>
      </c>
      <c r="H16" s="4">
        <v>16358</v>
      </c>
      <c r="I16" s="4">
        <v>16897</v>
      </c>
      <c r="J16" s="4">
        <v>16295</v>
      </c>
      <c r="K16" s="4">
        <v>18300</v>
      </c>
      <c r="L16" s="32">
        <v>17019</v>
      </c>
      <c r="M16" s="100">
        <f t="shared" si="3"/>
        <v>0.43305826877736614</v>
      </c>
      <c r="N16" s="110">
        <f t="shared" si="4"/>
        <v>-7.0000000000000007E-2</v>
      </c>
      <c r="O16" s="112">
        <f t="shared" si="5"/>
        <v>8.3148087530473952E-2</v>
      </c>
    </row>
    <row r="17" spans="1:16" x14ac:dyDescent="0.2">
      <c r="A17" s="32" t="s">
        <v>271</v>
      </c>
      <c r="B17" s="32">
        <v>26829</v>
      </c>
      <c r="C17" s="32">
        <v>29454</v>
      </c>
      <c r="D17" s="32">
        <v>28061</v>
      </c>
      <c r="E17" s="32">
        <v>31612</v>
      </c>
      <c r="F17" s="4">
        <v>35365</v>
      </c>
      <c r="G17" s="4">
        <v>43546</v>
      </c>
      <c r="H17" s="4">
        <v>48315</v>
      </c>
      <c r="I17" s="4">
        <v>49572</v>
      </c>
      <c r="J17" s="4">
        <v>50504</v>
      </c>
      <c r="K17" s="4">
        <v>50995</v>
      </c>
      <c r="L17" s="32">
        <v>51714</v>
      </c>
      <c r="M17" s="100">
        <f t="shared" si="3"/>
        <v>0.92754109359275416</v>
      </c>
      <c r="N17" s="110">
        <f t="shared" si="4"/>
        <v>1.4099421511912933E-2</v>
      </c>
      <c r="O17" s="112">
        <f t="shared" si="5"/>
        <v>0.25265410415129735</v>
      </c>
    </row>
    <row r="18" spans="1:16" x14ac:dyDescent="0.2">
      <c r="A18" s="5" t="s">
        <v>4</v>
      </c>
      <c r="B18" s="5">
        <v>97670</v>
      </c>
      <c r="C18" s="5">
        <v>108782</v>
      </c>
      <c r="D18" s="5">
        <v>102202</v>
      </c>
      <c r="E18" s="5">
        <v>120174</v>
      </c>
      <c r="F18" s="5">
        <v>135223</v>
      </c>
      <c r="G18" s="5">
        <v>156841</v>
      </c>
      <c r="H18" s="5">
        <v>170671</v>
      </c>
      <c r="I18" s="5">
        <v>187574</v>
      </c>
      <c r="J18" s="5">
        <v>196019</v>
      </c>
      <c r="K18" s="5">
        <v>204318</v>
      </c>
      <c r="L18" s="5">
        <v>204683</v>
      </c>
      <c r="M18" s="83">
        <f t="shared" si="3"/>
        <v>1.0956588512337462</v>
      </c>
      <c r="N18" s="111">
        <f t="shared" si="4"/>
        <v>1.7864309556671462E-3</v>
      </c>
      <c r="O18" s="113">
        <f t="shared" si="5"/>
        <v>1</v>
      </c>
    </row>
    <row r="19" spans="1:16" x14ac:dyDescent="0.2"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</row>
    <row r="20" spans="1:16" ht="15.75" x14ac:dyDescent="0.2">
      <c r="A20" s="41" t="s">
        <v>47</v>
      </c>
      <c r="B20" s="41"/>
      <c r="C20" s="41"/>
      <c r="D20" s="41"/>
      <c r="E20" s="41"/>
      <c r="F20" s="40"/>
      <c r="G20" s="40"/>
      <c r="H20" s="40"/>
      <c r="I20" s="40"/>
      <c r="J20" s="40"/>
      <c r="K20" s="40"/>
      <c r="L20" s="40"/>
      <c r="M20" s="40"/>
      <c r="N20" s="40"/>
      <c r="O20" s="40"/>
    </row>
    <row r="21" spans="1:16" ht="25.5" x14ac:dyDescent="0.2">
      <c r="A21" s="88" t="s">
        <v>37</v>
      </c>
      <c r="B21" s="3">
        <v>2008</v>
      </c>
      <c r="C21" s="3">
        <v>2009</v>
      </c>
      <c r="D21" s="3">
        <v>2010</v>
      </c>
      <c r="E21" s="3">
        <v>2011</v>
      </c>
      <c r="F21" s="3">
        <v>2012</v>
      </c>
      <c r="G21" s="3">
        <v>2013</v>
      </c>
      <c r="H21" s="3">
        <v>2014</v>
      </c>
      <c r="I21" s="3">
        <v>2015</v>
      </c>
      <c r="J21" s="3">
        <v>2016</v>
      </c>
      <c r="K21" s="3">
        <v>2017</v>
      </c>
      <c r="L21" s="3">
        <v>2018</v>
      </c>
      <c r="M21" s="13" t="s">
        <v>395</v>
      </c>
      <c r="N21" s="13" t="s">
        <v>394</v>
      </c>
      <c r="O21" s="13" t="s">
        <v>313</v>
      </c>
    </row>
    <row r="22" spans="1:16" x14ac:dyDescent="0.2">
      <c r="A22" s="4" t="s">
        <v>38</v>
      </c>
      <c r="B22" s="4">
        <v>31736</v>
      </c>
      <c r="C22" s="4">
        <v>33037</v>
      </c>
      <c r="D22" s="4">
        <v>30460</v>
      </c>
      <c r="E22" s="4">
        <v>42916</v>
      </c>
      <c r="F22" s="4">
        <v>51059</v>
      </c>
      <c r="G22" s="4">
        <v>58589</v>
      </c>
      <c r="H22" s="4">
        <v>63712</v>
      </c>
      <c r="I22" s="4">
        <v>74334</v>
      </c>
      <c r="J22" s="4">
        <v>81550</v>
      </c>
      <c r="K22" s="4">
        <v>82760</v>
      </c>
      <c r="L22" s="4">
        <v>84261</v>
      </c>
      <c r="M22" s="100">
        <f t="shared" ref="M22:M26" si="6">(L22-B22)/B22</f>
        <v>1.6550604991177211</v>
      </c>
      <c r="N22" s="110">
        <f t="shared" ref="N22:N26" si="7">(L22-K22)/K22</f>
        <v>1.8136781053649107E-2</v>
      </c>
      <c r="O22" s="112">
        <f t="shared" ref="O22:O26" si="8">L22/$L$9</f>
        <v>0.4116658442567287</v>
      </c>
    </row>
    <row r="23" spans="1:16" x14ac:dyDescent="0.2">
      <c r="A23" s="32" t="s">
        <v>240</v>
      </c>
      <c r="B23" s="32">
        <v>16223</v>
      </c>
      <c r="C23" s="32">
        <v>18418</v>
      </c>
      <c r="D23" s="32">
        <v>16783</v>
      </c>
      <c r="E23" s="32">
        <v>20216</v>
      </c>
      <c r="F23" s="4">
        <v>23759</v>
      </c>
      <c r="G23" s="4">
        <v>29688</v>
      </c>
      <c r="H23" s="4">
        <v>33517</v>
      </c>
      <c r="I23" s="4">
        <v>38609</v>
      </c>
      <c r="J23" s="4">
        <v>39876</v>
      </c>
      <c r="K23" s="4">
        <v>42696</v>
      </c>
      <c r="L23" s="4">
        <v>43402</v>
      </c>
      <c r="M23" s="100">
        <f t="shared" si="6"/>
        <v>1.6753374838192689</v>
      </c>
      <c r="N23" s="110">
        <f t="shared" si="7"/>
        <v>1.6535506839048156E-2</v>
      </c>
      <c r="O23" s="112">
        <f t="shared" si="8"/>
        <v>0.21204496709545981</v>
      </c>
    </row>
    <row r="24" spans="1:16" x14ac:dyDescent="0.2">
      <c r="A24" s="4" t="s">
        <v>40</v>
      </c>
      <c r="B24" s="4">
        <v>1123</v>
      </c>
      <c r="C24" s="4">
        <v>1159</v>
      </c>
      <c r="D24" s="4">
        <v>1300</v>
      </c>
      <c r="E24" s="4">
        <v>1285</v>
      </c>
      <c r="F24" s="4">
        <v>1367</v>
      </c>
      <c r="G24" s="4">
        <v>1364</v>
      </c>
      <c r="H24" s="4">
        <v>1417</v>
      </c>
      <c r="I24" s="4">
        <v>1522</v>
      </c>
      <c r="J24" s="4">
        <v>1851</v>
      </c>
      <c r="K24" s="4">
        <v>2337</v>
      </c>
      <c r="L24" s="4">
        <v>2642</v>
      </c>
      <c r="M24" s="100">
        <f t="shared" si="6"/>
        <v>1.3526268922528941</v>
      </c>
      <c r="N24" s="110">
        <f t="shared" si="7"/>
        <v>0.13050919982884041</v>
      </c>
      <c r="O24" s="112">
        <f t="shared" si="8"/>
        <v>1.29077646897886E-2</v>
      </c>
    </row>
    <row r="25" spans="1:16" x14ac:dyDescent="0.2">
      <c r="A25" s="32" t="s">
        <v>241</v>
      </c>
      <c r="B25" s="32">
        <v>48588</v>
      </c>
      <c r="C25" s="32">
        <v>56168</v>
      </c>
      <c r="D25" s="32">
        <v>53659</v>
      </c>
      <c r="E25" s="32">
        <v>55757</v>
      </c>
      <c r="F25" s="4">
        <v>59038</v>
      </c>
      <c r="G25" s="4">
        <v>67200</v>
      </c>
      <c r="H25" s="4">
        <v>72025</v>
      </c>
      <c r="I25" s="4">
        <v>73109</v>
      </c>
      <c r="J25" s="4">
        <v>72742</v>
      </c>
      <c r="K25" s="4">
        <v>76525</v>
      </c>
      <c r="L25" s="4">
        <v>74378</v>
      </c>
      <c r="M25" s="100">
        <f t="shared" si="6"/>
        <v>0.53078949534864572</v>
      </c>
      <c r="N25" s="110">
        <f t="shared" si="7"/>
        <v>-2.8056190787324405E-2</v>
      </c>
      <c r="O25" s="112">
        <f t="shared" si="8"/>
        <v>0.36338142395802292</v>
      </c>
    </row>
    <row r="26" spans="1:16" x14ac:dyDescent="0.2">
      <c r="A26" s="5" t="s">
        <v>4</v>
      </c>
      <c r="B26" s="5">
        <v>97670</v>
      </c>
      <c r="C26" s="5">
        <v>108782</v>
      </c>
      <c r="D26" s="5">
        <v>102202</v>
      </c>
      <c r="E26" s="5">
        <v>120174</v>
      </c>
      <c r="F26" s="5">
        <v>135223</v>
      </c>
      <c r="G26" s="5">
        <v>156841</v>
      </c>
      <c r="H26" s="5">
        <v>170671</v>
      </c>
      <c r="I26" s="5">
        <v>187574</v>
      </c>
      <c r="J26" s="5">
        <v>196019</v>
      </c>
      <c r="K26" s="5">
        <v>204318</v>
      </c>
      <c r="L26" s="5">
        <v>204683</v>
      </c>
      <c r="M26" s="83">
        <f t="shared" si="6"/>
        <v>1.0956588512337462</v>
      </c>
      <c r="N26" s="111">
        <f t="shared" si="7"/>
        <v>1.7864309556671462E-3</v>
      </c>
      <c r="O26" s="113">
        <f t="shared" si="8"/>
        <v>1</v>
      </c>
    </row>
    <row r="27" spans="1:16" x14ac:dyDescent="0.2">
      <c r="A27" s="76"/>
      <c r="B27" s="76"/>
      <c r="C27" s="76"/>
      <c r="D27" s="76"/>
      <c r="E27" s="76"/>
      <c r="F27" s="40"/>
      <c r="G27" s="40"/>
      <c r="H27" s="40"/>
      <c r="I27" s="40"/>
      <c r="J27" s="40"/>
      <c r="K27" s="40"/>
      <c r="L27" s="40"/>
      <c r="M27" s="40"/>
      <c r="N27" s="40"/>
      <c r="O27" s="40"/>
    </row>
    <row r="28" spans="1:16" ht="15.75" x14ac:dyDescent="0.2">
      <c r="A28" s="41" t="s">
        <v>230</v>
      </c>
      <c r="B28" s="41"/>
      <c r="C28" s="41"/>
      <c r="D28" s="41"/>
      <c r="E28" s="41"/>
      <c r="F28" s="40"/>
      <c r="G28" s="40"/>
      <c r="H28" s="40"/>
      <c r="I28" s="40"/>
      <c r="J28" s="40"/>
      <c r="K28" s="40"/>
      <c r="L28" s="40"/>
      <c r="M28" s="40"/>
      <c r="N28" s="40"/>
      <c r="O28" s="40"/>
    </row>
    <row r="29" spans="1:16" ht="25.5" x14ac:dyDescent="0.2">
      <c r="A29" s="88" t="s">
        <v>37</v>
      </c>
      <c r="B29" s="3">
        <v>2008</v>
      </c>
      <c r="C29" s="3">
        <v>2009</v>
      </c>
      <c r="D29" s="3">
        <v>2010</v>
      </c>
      <c r="E29" s="3">
        <v>2011</v>
      </c>
      <c r="F29" s="3">
        <v>2012</v>
      </c>
      <c r="G29" s="3">
        <v>2013</v>
      </c>
      <c r="H29" s="3">
        <v>2014</v>
      </c>
      <c r="I29" s="3">
        <v>2015</v>
      </c>
      <c r="J29" s="3">
        <v>2016</v>
      </c>
      <c r="K29" s="3">
        <v>2017</v>
      </c>
      <c r="L29" s="3">
        <v>2018</v>
      </c>
      <c r="M29" s="13" t="s">
        <v>395</v>
      </c>
      <c r="N29" s="13" t="s">
        <v>394</v>
      </c>
      <c r="O29" s="13" t="s">
        <v>313</v>
      </c>
    </row>
    <row r="30" spans="1:16" x14ac:dyDescent="0.2">
      <c r="A30" s="4" t="s">
        <v>48</v>
      </c>
      <c r="B30" s="4">
        <v>47959</v>
      </c>
      <c r="C30" s="4">
        <v>51455</v>
      </c>
      <c r="D30" s="4">
        <v>47243</v>
      </c>
      <c r="E30" s="4">
        <v>63132</v>
      </c>
      <c r="F30" s="4">
        <v>74818</v>
      </c>
      <c r="G30" s="4">
        <v>88277</v>
      </c>
      <c r="H30" s="4">
        <v>97229</v>
      </c>
      <c r="I30" s="4">
        <v>112943</v>
      </c>
      <c r="J30" s="4">
        <v>121426</v>
      </c>
      <c r="K30" s="4">
        <v>125456</v>
      </c>
      <c r="L30" s="4">
        <v>127663</v>
      </c>
      <c r="M30" s="100">
        <f t="shared" ref="M30:M32" si="9">(L30-B30)/B30</f>
        <v>1.6619195562876623</v>
      </c>
      <c r="N30" s="110">
        <f t="shared" ref="N30:N32" si="10">(L30-K30)/K30</f>
        <v>1.7591825022318583E-2</v>
      </c>
      <c r="O30" s="112">
        <f t="shared" ref="O30:O32" si="11">L30/$L$9</f>
        <v>0.62371081135218853</v>
      </c>
    </row>
    <row r="31" spans="1:16" x14ac:dyDescent="0.2">
      <c r="A31" s="4" t="s">
        <v>49</v>
      </c>
      <c r="B31" s="4">
        <v>49711</v>
      </c>
      <c r="C31" s="4">
        <v>57327</v>
      </c>
      <c r="D31" s="4">
        <v>54959</v>
      </c>
      <c r="E31" s="4">
        <v>57042</v>
      </c>
      <c r="F31" s="4">
        <v>60405</v>
      </c>
      <c r="G31" s="4">
        <v>68564</v>
      </c>
      <c r="H31" s="4">
        <v>73442</v>
      </c>
      <c r="I31" s="4">
        <v>74631</v>
      </c>
      <c r="J31" s="4">
        <v>74593</v>
      </c>
      <c r="K31" s="4">
        <v>78862</v>
      </c>
      <c r="L31" s="4">
        <v>77020</v>
      </c>
      <c r="M31" s="100">
        <f t="shared" si="9"/>
        <v>0.54935527348071855</v>
      </c>
      <c r="N31" s="110">
        <f t="shared" si="10"/>
        <v>-2.3357256980548299E-2</v>
      </c>
      <c r="O31" s="112">
        <f t="shared" si="11"/>
        <v>0.37628918864781147</v>
      </c>
    </row>
    <row r="32" spans="1:16" x14ac:dyDescent="0.2">
      <c r="A32" s="5" t="s">
        <v>4</v>
      </c>
      <c r="B32" s="5">
        <v>97670</v>
      </c>
      <c r="C32" s="5">
        <v>108782</v>
      </c>
      <c r="D32" s="5">
        <v>102202</v>
      </c>
      <c r="E32" s="5">
        <v>120174</v>
      </c>
      <c r="F32" s="5">
        <v>135223</v>
      </c>
      <c r="G32" s="5">
        <v>156841</v>
      </c>
      <c r="H32" s="5">
        <v>170671</v>
      </c>
      <c r="I32" s="5">
        <v>187574</v>
      </c>
      <c r="J32" s="5">
        <v>196019</v>
      </c>
      <c r="K32" s="5">
        <v>204318</v>
      </c>
      <c r="L32" s="5">
        <v>204683</v>
      </c>
      <c r="M32" s="83">
        <f t="shared" si="9"/>
        <v>1.0956588512337462</v>
      </c>
      <c r="N32" s="111">
        <f t="shared" si="10"/>
        <v>1.7864309556671462E-3</v>
      </c>
      <c r="O32" s="113">
        <f t="shared" si="11"/>
        <v>1</v>
      </c>
    </row>
    <row r="33" spans="1:15" x14ac:dyDescent="0.2">
      <c r="A33" s="75" t="s">
        <v>274</v>
      </c>
      <c r="B33" s="75"/>
      <c r="C33" s="75"/>
      <c r="D33" s="75"/>
      <c r="E33" s="75"/>
      <c r="F33" s="40"/>
      <c r="G33" s="40"/>
      <c r="H33" s="40"/>
      <c r="I33" s="40"/>
      <c r="J33" s="40"/>
      <c r="K33" s="40"/>
      <c r="L33" s="40"/>
      <c r="M33" s="40"/>
      <c r="N33" s="40"/>
      <c r="O33" s="40"/>
    </row>
    <row r="34" spans="1:15" x14ac:dyDescent="0.2">
      <c r="A34" s="75" t="s">
        <v>275</v>
      </c>
      <c r="B34" s="75"/>
      <c r="C34" s="75"/>
      <c r="D34" s="75"/>
      <c r="E34" s="75"/>
      <c r="F34" s="40"/>
      <c r="G34" s="40"/>
      <c r="H34" s="40"/>
      <c r="I34" s="40"/>
      <c r="J34" s="40"/>
      <c r="K34" s="40"/>
      <c r="L34" s="40"/>
      <c r="M34" s="40"/>
      <c r="N34" s="40"/>
      <c r="O34" s="40"/>
    </row>
    <row r="35" spans="1:15" x14ac:dyDescent="0.2">
      <c r="A35" s="76"/>
      <c r="B35" s="76"/>
      <c r="C35" s="76"/>
      <c r="D35" s="76"/>
      <c r="E35" s="76"/>
      <c r="F35" s="40"/>
      <c r="G35" s="40"/>
      <c r="H35" s="40"/>
      <c r="I35" s="40"/>
      <c r="J35" s="40"/>
      <c r="K35" s="40"/>
      <c r="L35" s="40"/>
      <c r="M35" s="40"/>
      <c r="N35" s="40"/>
      <c r="O35" s="40"/>
    </row>
    <row r="36" spans="1:15" ht="15.75" x14ac:dyDescent="0.2">
      <c r="A36" s="41" t="s">
        <v>242</v>
      </c>
      <c r="B36" s="41"/>
      <c r="C36" s="41"/>
      <c r="D36" s="41"/>
      <c r="E36" s="41"/>
      <c r="F36" s="40"/>
      <c r="G36" s="40"/>
      <c r="H36" s="40"/>
      <c r="I36" s="40"/>
      <c r="J36" s="40"/>
      <c r="K36" s="40"/>
      <c r="L36" s="40"/>
      <c r="M36" s="40"/>
      <c r="N36" s="40"/>
      <c r="O36" s="40"/>
    </row>
    <row r="37" spans="1:15" ht="25.5" x14ac:dyDescent="0.2">
      <c r="A37" s="88" t="s">
        <v>50</v>
      </c>
      <c r="B37" s="3">
        <v>2008</v>
      </c>
      <c r="C37" s="3">
        <v>2009</v>
      </c>
      <c r="D37" s="3">
        <v>2010</v>
      </c>
      <c r="E37" s="3">
        <v>2011</v>
      </c>
      <c r="F37" s="3">
        <v>2012</v>
      </c>
      <c r="G37" s="3">
        <v>2013</v>
      </c>
      <c r="H37" s="3">
        <v>2014</v>
      </c>
      <c r="I37" s="3">
        <v>2015</v>
      </c>
      <c r="J37" s="3">
        <v>2016</v>
      </c>
      <c r="K37" s="3">
        <v>2017</v>
      </c>
      <c r="L37" s="3">
        <v>2018</v>
      </c>
      <c r="M37" s="13" t="s">
        <v>395</v>
      </c>
      <c r="N37" s="13" t="s">
        <v>394</v>
      </c>
      <c r="O37" s="13" t="s">
        <v>313</v>
      </c>
    </row>
    <row r="38" spans="1:15" s="12" customFormat="1" x14ac:dyDescent="0.2">
      <c r="A38" s="5" t="s">
        <v>5</v>
      </c>
      <c r="B38" s="5">
        <v>19222</v>
      </c>
      <c r="C38" s="5">
        <v>16609</v>
      </c>
      <c r="D38" s="5">
        <v>13984</v>
      </c>
      <c r="E38" s="5">
        <v>22307</v>
      </c>
      <c r="F38" s="23">
        <v>25490</v>
      </c>
      <c r="G38" s="23">
        <v>28371</v>
      </c>
      <c r="H38" s="23">
        <v>27853</v>
      </c>
      <c r="I38" s="23">
        <v>30544</v>
      </c>
      <c r="J38" s="23">
        <v>33746</v>
      </c>
      <c r="K38" s="23">
        <v>32631</v>
      </c>
      <c r="L38" s="23">
        <v>34429</v>
      </c>
      <c r="M38" s="83">
        <f t="shared" ref="M38:M48" si="12">(L38-B38)/B38</f>
        <v>0.79112475288731665</v>
      </c>
      <c r="N38" s="111">
        <f t="shared" ref="N38:N48" si="13">(L38-K38)/K38</f>
        <v>5.5100977597989639E-2</v>
      </c>
      <c r="O38" s="113">
        <f t="shared" ref="O38:O48" si="14">L38/$L$9</f>
        <v>0.16820644606537916</v>
      </c>
    </row>
    <row r="39" spans="1:15" x14ac:dyDescent="0.2">
      <c r="A39" s="85" t="s">
        <v>38</v>
      </c>
      <c r="B39" s="85">
        <v>19222</v>
      </c>
      <c r="C39" s="85">
        <v>16609</v>
      </c>
      <c r="D39" s="85">
        <v>13984</v>
      </c>
      <c r="E39" s="85">
        <v>22307</v>
      </c>
      <c r="F39" s="4">
        <v>25490</v>
      </c>
      <c r="G39" s="4">
        <v>28371</v>
      </c>
      <c r="H39" s="4">
        <v>27853</v>
      </c>
      <c r="I39" s="4">
        <v>30544</v>
      </c>
      <c r="J39" s="4">
        <v>33746</v>
      </c>
      <c r="K39" s="4">
        <v>32631</v>
      </c>
      <c r="L39" s="4">
        <v>34429</v>
      </c>
      <c r="M39" s="100">
        <f t="shared" si="12"/>
        <v>0.79112475288731665</v>
      </c>
      <c r="N39" s="110">
        <f t="shared" si="13"/>
        <v>5.5100977597989639E-2</v>
      </c>
      <c r="O39" s="112">
        <f t="shared" si="14"/>
        <v>0.16820644606537916</v>
      </c>
    </row>
    <row r="40" spans="1:15" s="12" customFormat="1" x14ac:dyDescent="0.2">
      <c r="A40" s="5" t="s">
        <v>6</v>
      </c>
      <c r="B40" s="5">
        <v>18685</v>
      </c>
      <c r="C40" s="5">
        <v>23640</v>
      </c>
      <c r="D40" s="5">
        <v>23670</v>
      </c>
      <c r="E40" s="5">
        <v>30684</v>
      </c>
      <c r="F40" s="23">
        <v>38136</v>
      </c>
      <c r="G40" s="23">
        <v>47162</v>
      </c>
      <c r="H40" s="23">
        <v>55821</v>
      </c>
      <c r="I40" s="23">
        <v>67292</v>
      </c>
      <c r="J40" s="23">
        <v>73016</v>
      </c>
      <c r="K40" s="23">
        <v>78118</v>
      </c>
      <c r="L40" s="23">
        <v>78734</v>
      </c>
      <c r="M40" s="83">
        <f t="shared" si="12"/>
        <v>3.2137543484078139</v>
      </c>
      <c r="N40" s="111">
        <f t="shared" si="13"/>
        <v>7.8855065413861083E-3</v>
      </c>
      <c r="O40" s="113">
        <f t="shared" si="14"/>
        <v>0.38466311320432084</v>
      </c>
    </row>
    <row r="41" spans="1:15" x14ac:dyDescent="0.2">
      <c r="A41" s="85" t="s">
        <v>38</v>
      </c>
      <c r="B41" s="85">
        <v>9187</v>
      </c>
      <c r="C41" s="85">
        <v>12115</v>
      </c>
      <c r="D41" s="85">
        <v>12506</v>
      </c>
      <c r="E41" s="85">
        <v>16757</v>
      </c>
      <c r="F41" s="18">
        <v>21106</v>
      </c>
      <c r="G41" s="18">
        <v>24978</v>
      </c>
      <c r="H41" s="18">
        <v>30431</v>
      </c>
      <c r="I41" s="18">
        <v>37472</v>
      </c>
      <c r="J41" s="18">
        <v>40870</v>
      </c>
      <c r="K41" s="18">
        <v>43214</v>
      </c>
      <c r="L41" s="18">
        <v>42979</v>
      </c>
      <c r="M41" s="100">
        <f t="shared" si="12"/>
        <v>3.678240992707086</v>
      </c>
      <c r="N41" s="110">
        <f t="shared" si="13"/>
        <v>-5.4380524829916229E-3</v>
      </c>
      <c r="O41" s="112">
        <f t="shared" si="14"/>
        <v>0.20997835677608789</v>
      </c>
    </row>
    <row r="42" spans="1:15" x14ac:dyDescent="0.2">
      <c r="A42" s="85" t="s">
        <v>39</v>
      </c>
      <c r="B42" s="85">
        <v>9498</v>
      </c>
      <c r="C42" s="85">
        <v>11525</v>
      </c>
      <c r="D42" s="85">
        <v>11164</v>
      </c>
      <c r="E42" s="85">
        <v>13927</v>
      </c>
      <c r="F42" s="18">
        <v>17030</v>
      </c>
      <c r="G42" s="18">
        <v>22184</v>
      </c>
      <c r="H42" s="18">
        <v>25390</v>
      </c>
      <c r="I42" s="18">
        <v>29820</v>
      </c>
      <c r="J42" s="18">
        <v>32146</v>
      </c>
      <c r="K42" s="18">
        <v>34904</v>
      </c>
      <c r="L42" s="18">
        <v>35755</v>
      </c>
      <c r="M42" s="100">
        <f t="shared" si="12"/>
        <v>2.7644767319435672</v>
      </c>
      <c r="N42" s="110">
        <f t="shared" si="13"/>
        <v>2.43811597524639E-2</v>
      </c>
      <c r="O42" s="112">
        <f t="shared" si="14"/>
        <v>0.17468475642823292</v>
      </c>
    </row>
    <row r="43" spans="1:15" s="12" customFormat="1" x14ac:dyDescent="0.2">
      <c r="A43" s="5" t="s">
        <v>7</v>
      </c>
      <c r="B43" s="5">
        <v>59763</v>
      </c>
      <c r="C43" s="5">
        <v>68533</v>
      </c>
      <c r="D43" s="5">
        <v>64548</v>
      </c>
      <c r="E43" s="5">
        <v>67183</v>
      </c>
      <c r="F43" s="23">
        <v>71597</v>
      </c>
      <c r="G43" s="23">
        <v>81308</v>
      </c>
      <c r="H43" s="23">
        <v>86997</v>
      </c>
      <c r="I43" s="23">
        <v>89738</v>
      </c>
      <c r="J43" s="23">
        <v>89257</v>
      </c>
      <c r="K43" s="23">
        <v>93569</v>
      </c>
      <c r="L43" s="23">
        <v>91520</v>
      </c>
      <c r="M43" s="83">
        <f t="shared" si="12"/>
        <v>0.53138229339223264</v>
      </c>
      <c r="N43" s="111">
        <f t="shared" si="13"/>
        <v>-2.1898278275924717E-2</v>
      </c>
      <c r="O43" s="112">
        <f t="shared" si="14"/>
        <v>0.44713044073030001</v>
      </c>
    </row>
    <row r="44" spans="1:15" x14ac:dyDescent="0.2">
      <c r="A44" s="85" t="s">
        <v>38</v>
      </c>
      <c r="B44" s="85">
        <v>3327</v>
      </c>
      <c r="C44" s="85">
        <v>4313</v>
      </c>
      <c r="D44" s="85">
        <v>3970</v>
      </c>
      <c r="E44" s="85">
        <v>3852</v>
      </c>
      <c r="F44" s="18">
        <v>4463</v>
      </c>
      <c r="G44" s="18">
        <v>5240</v>
      </c>
      <c r="H44" s="18">
        <v>5428</v>
      </c>
      <c r="I44" s="18">
        <v>6318</v>
      </c>
      <c r="J44" s="18">
        <v>6934</v>
      </c>
      <c r="K44" s="18">
        <v>6915</v>
      </c>
      <c r="L44" s="18">
        <v>6853</v>
      </c>
      <c r="M44" s="100">
        <f t="shared" si="12"/>
        <v>1.0598136459272618</v>
      </c>
      <c r="N44" s="110">
        <f t="shared" si="13"/>
        <v>-8.9660159074475779E-3</v>
      </c>
      <c r="O44" s="112">
        <f t="shared" si="14"/>
        <v>3.3481041415261648E-2</v>
      </c>
    </row>
    <row r="45" spans="1:15" x14ac:dyDescent="0.2">
      <c r="A45" s="85" t="s">
        <v>39</v>
      </c>
      <c r="B45" s="85">
        <v>6725</v>
      </c>
      <c r="C45" s="85">
        <v>6893</v>
      </c>
      <c r="D45" s="85">
        <v>5619</v>
      </c>
      <c r="E45" s="85">
        <v>6289</v>
      </c>
      <c r="F45" s="18">
        <v>6729</v>
      </c>
      <c r="G45" s="18">
        <v>7504</v>
      </c>
      <c r="H45" s="18">
        <v>8127</v>
      </c>
      <c r="I45" s="18">
        <v>8789</v>
      </c>
      <c r="J45" s="18">
        <v>7730</v>
      </c>
      <c r="K45" s="18">
        <v>7792</v>
      </c>
      <c r="L45" s="18">
        <v>7647</v>
      </c>
      <c r="M45" s="100">
        <f t="shared" si="12"/>
        <v>0.1371003717472119</v>
      </c>
      <c r="N45" s="110">
        <f t="shared" si="13"/>
        <v>-1.8608829568788503E-2</v>
      </c>
      <c r="O45" s="112">
        <f t="shared" si="14"/>
        <v>3.7360210667226883E-2</v>
      </c>
    </row>
    <row r="46" spans="1:15" x14ac:dyDescent="0.2">
      <c r="A46" s="85" t="s">
        <v>40</v>
      </c>
      <c r="B46" s="85">
        <v>1123</v>
      </c>
      <c r="C46" s="85">
        <v>1159</v>
      </c>
      <c r="D46" s="85">
        <v>1300</v>
      </c>
      <c r="E46" s="85">
        <v>1285</v>
      </c>
      <c r="F46" s="18">
        <v>1367</v>
      </c>
      <c r="G46" s="18">
        <v>1364</v>
      </c>
      <c r="H46" s="18">
        <v>1417</v>
      </c>
      <c r="I46" s="18">
        <v>1522</v>
      </c>
      <c r="J46" s="18">
        <v>1851</v>
      </c>
      <c r="K46" s="18">
        <v>2337</v>
      </c>
      <c r="L46" s="18">
        <v>2642</v>
      </c>
      <c r="M46" s="100">
        <f t="shared" si="12"/>
        <v>1.3526268922528941</v>
      </c>
      <c r="N46" s="110">
        <f t="shared" si="13"/>
        <v>0.13050919982884041</v>
      </c>
      <c r="O46" s="112">
        <f t="shared" si="14"/>
        <v>1.29077646897886E-2</v>
      </c>
    </row>
    <row r="47" spans="1:15" x14ac:dyDescent="0.2">
      <c r="A47" s="85" t="s">
        <v>41</v>
      </c>
      <c r="B47" s="85">
        <v>48588</v>
      </c>
      <c r="C47" s="85">
        <v>56168</v>
      </c>
      <c r="D47" s="85">
        <v>53659</v>
      </c>
      <c r="E47" s="85">
        <v>55757</v>
      </c>
      <c r="F47" s="18">
        <v>59038</v>
      </c>
      <c r="G47" s="18">
        <v>67200</v>
      </c>
      <c r="H47" s="18">
        <v>72025</v>
      </c>
      <c r="I47" s="18">
        <v>73109</v>
      </c>
      <c r="J47" s="18">
        <v>72742</v>
      </c>
      <c r="K47" s="18">
        <v>76525</v>
      </c>
      <c r="L47" s="18">
        <v>74378</v>
      </c>
      <c r="M47" s="100">
        <f t="shared" si="12"/>
        <v>0.53078949534864572</v>
      </c>
      <c r="N47" s="110">
        <f t="shared" si="13"/>
        <v>-2.8056190787324405E-2</v>
      </c>
      <c r="O47" s="112">
        <f t="shared" si="14"/>
        <v>0.36338142395802292</v>
      </c>
    </row>
    <row r="48" spans="1:15" x14ac:dyDescent="0.2">
      <c r="A48" s="5" t="s">
        <v>4</v>
      </c>
      <c r="B48" s="5">
        <f>SUM(B38,B40,B43)</f>
        <v>97670</v>
      </c>
      <c r="C48" s="5">
        <f t="shared" ref="C48:L48" si="15">SUM(C38,C40,C43)</f>
        <v>108782</v>
      </c>
      <c r="D48" s="5">
        <f t="shared" si="15"/>
        <v>102202</v>
      </c>
      <c r="E48" s="5">
        <f t="shared" si="15"/>
        <v>120174</v>
      </c>
      <c r="F48" s="5">
        <f t="shared" si="15"/>
        <v>135223</v>
      </c>
      <c r="G48" s="5">
        <f t="shared" si="15"/>
        <v>156841</v>
      </c>
      <c r="H48" s="5">
        <f t="shared" si="15"/>
        <v>170671</v>
      </c>
      <c r="I48" s="5">
        <f t="shared" si="15"/>
        <v>187574</v>
      </c>
      <c r="J48" s="5">
        <f t="shared" si="15"/>
        <v>196019</v>
      </c>
      <c r="K48" s="5">
        <f t="shared" si="15"/>
        <v>204318</v>
      </c>
      <c r="L48" s="5">
        <f t="shared" si="15"/>
        <v>204683</v>
      </c>
      <c r="M48" s="83">
        <f t="shared" si="12"/>
        <v>1.0956588512337462</v>
      </c>
      <c r="N48" s="111">
        <f t="shared" si="13"/>
        <v>1.7864309556671462E-3</v>
      </c>
      <c r="O48" s="113">
        <f t="shared" si="14"/>
        <v>1</v>
      </c>
    </row>
    <row r="49" spans="1:15" x14ac:dyDescent="0.2">
      <c r="A49" s="76"/>
      <c r="B49" s="76"/>
      <c r="C49" s="76"/>
      <c r="D49" s="76"/>
      <c r="E49" s="76"/>
      <c r="F49" s="40"/>
      <c r="G49" s="40"/>
      <c r="H49" s="40"/>
      <c r="I49" s="40"/>
      <c r="J49" s="40"/>
      <c r="K49" s="40"/>
      <c r="L49" s="40"/>
      <c r="M49" s="40"/>
      <c r="N49" s="40"/>
      <c r="O49" s="40"/>
    </row>
    <row r="50" spans="1:15" ht="15.75" x14ac:dyDescent="0.2">
      <c r="A50" s="41" t="s">
        <v>243</v>
      </c>
      <c r="B50" s="41"/>
      <c r="C50" s="41"/>
      <c r="D50" s="41"/>
      <c r="E50" s="41"/>
      <c r="F50" s="40"/>
      <c r="G50" s="40"/>
      <c r="H50" s="40"/>
      <c r="I50" s="40"/>
      <c r="J50" s="40"/>
      <c r="K50" s="40"/>
      <c r="L50" s="40"/>
      <c r="M50" s="40"/>
      <c r="N50" s="40"/>
      <c r="O50" s="40"/>
    </row>
    <row r="51" spans="1:15" ht="25.5" x14ac:dyDescent="0.2">
      <c r="A51" s="88" t="s">
        <v>50</v>
      </c>
      <c r="B51" s="3">
        <v>2008</v>
      </c>
      <c r="C51" s="3">
        <v>2009</v>
      </c>
      <c r="D51" s="3">
        <v>2010</v>
      </c>
      <c r="E51" s="3">
        <v>2011</v>
      </c>
      <c r="F51" s="3">
        <v>2012</v>
      </c>
      <c r="G51" s="3">
        <v>2013</v>
      </c>
      <c r="H51" s="3">
        <v>2014</v>
      </c>
      <c r="I51" s="3">
        <v>2015</v>
      </c>
      <c r="J51" s="3">
        <v>2016</v>
      </c>
      <c r="K51" s="3">
        <v>2017</v>
      </c>
      <c r="L51" s="3">
        <v>2018</v>
      </c>
      <c r="M51" s="13" t="s">
        <v>395</v>
      </c>
      <c r="N51" s="13" t="s">
        <v>394</v>
      </c>
      <c r="O51" s="13" t="s">
        <v>313</v>
      </c>
    </row>
    <row r="52" spans="1:15" s="12" customFormat="1" x14ac:dyDescent="0.2">
      <c r="A52" s="5" t="s">
        <v>5</v>
      </c>
      <c r="B52" s="5">
        <v>19222</v>
      </c>
      <c r="C52" s="5">
        <v>16609</v>
      </c>
      <c r="D52" s="5">
        <v>13984</v>
      </c>
      <c r="E52" s="5">
        <v>22307</v>
      </c>
      <c r="F52" s="23">
        <v>25490</v>
      </c>
      <c r="G52" s="23">
        <v>28371</v>
      </c>
      <c r="H52" s="23">
        <v>27853</v>
      </c>
      <c r="I52" s="23">
        <v>30544</v>
      </c>
      <c r="J52" s="23">
        <v>33746</v>
      </c>
      <c r="K52" s="23">
        <v>32631</v>
      </c>
      <c r="L52" s="23">
        <v>34429</v>
      </c>
      <c r="M52" s="83">
        <f t="shared" ref="M52:M72" si="16">(L52-B52)/B52</f>
        <v>0.79112475288731665</v>
      </c>
      <c r="N52" s="111">
        <f t="shared" ref="N52:N72" si="17">(L52-K52)/K52</f>
        <v>5.5100977597989639E-2</v>
      </c>
      <c r="O52" s="113">
        <f t="shared" ref="O52:O72" si="18">L52/$L$9</f>
        <v>0.16820644606537916</v>
      </c>
    </row>
    <row r="53" spans="1:15" x14ac:dyDescent="0.2">
      <c r="A53" s="85" t="s">
        <v>38</v>
      </c>
      <c r="B53" s="85">
        <v>19222</v>
      </c>
      <c r="C53" s="85">
        <v>16609</v>
      </c>
      <c r="D53" s="85">
        <v>13984</v>
      </c>
      <c r="E53" s="85">
        <v>22307</v>
      </c>
      <c r="F53" s="4">
        <v>25490</v>
      </c>
      <c r="G53" s="4">
        <v>28371</v>
      </c>
      <c r="H53" s="4">
        <v>27853</v>
      </c>
      <c r="I53" s="4">
        <v>30544</v>
      </c>
      <c r="J53" s="4">
        <v>33746</v>
      </c>
      <c r="K53" s="4">
        <v>32631</v>
      </c>
      <c r="L53" s="4">
        <v>34429</v>
      </c>
      <c r="M53" s="100">
        <f t="shared" si="16"/>
        <v>0.79112475288731665</v>
      </c>
      <c r="N53" s="110">
        <f t="shared" si="17"/>
        <v>5.5100977597989639E-2</v>
      </c>
      <c r="O53" s="112">
        <f t="shared" si="18"/>
        <v>0.16820644606537916</v>
      </c>
    </row>
    <row r="54" spans="1:15" s="12" customFormat="1" x14ac:dyDescent="0.2">
      <c r="A54" s="5" t="s">
        <v>6</v>
      </c>
      <c r="B54" s="5">
        <v>18685</v>
      </c>
      <c r="C54" s="5">
        <v>23640</v>
      </c>
      <c r="D54" s="5">
        <v>23670</v>
      </c>
      <c r="E54" s="5">
        <v>30684</v>
      </c>
      <c r="F54" s="23">
        <v>38136</v>
      </c>
      <c r="G54" s="23">
        <v>47162</v>
      </c>
      <c r="H54" s="23">
        <v>55821</v>
      </c>
      <c r="I54" s="23">
        <v>67292</v>
      </c>
      <c r="J54" s="23">
        <v>73016</v>
      </c>
      <c r="K54" s="23">
        <v>78118</v>
      </c>
      <c r="L54" s="23">
        <v>78734</v>
      </c>
      <c r="M54" s="83">
        <f t="shared" si="16"/>
        <v>3.2137543484078139</v>
      </c>
      <c r="N54" s="111">
        <f t="shared" si="17"/>
        <v>7.8855065413861083E-3</v>
      </c>
      <c r="O54" s="113">
        <f t="shared" si="18"/>
        <v>0.38466311320432084</v>
      </c>
    </row>
    <row r="55" spans="1:15" x14ac:dyDescent="0.2">
      <c r="A55" s="85" t="s">
        <v>38</v>
      </c>
      <c r="B55" s="85">
        <v>9187</v>
      </c>
      <c r="C55" s="85">
        <v>12115</v>
      </c>
      <c r="D55" s="85">
        <v>12506</v>
      </c>
      <c r="E55" s="85">
        <v>16757</v>
      </c>
      <c r="F55" s="18">
        <v>21106</v>
      </c>
      <c r="G55" s="18">
        <v>24978</v>
      </c>
      <c r="H55" s="18">
        <v>30431</v>
      </c>
      <c r="I55" s="18">
        <v>37472</v>
      </c>
      <c r="J55" s="18">
        <v>40870</v>
      </c>
      <c r="K55" s="18">
        <v>43214</v>
      </c>
      <c r="L55" s="18">
        <v>42979</v>
      </c>
      <c r="M55" s="100">
        <f t="shared" si="16"/>
        <v>3.678240992707086</v>
      </c>
      <c r="N55" s="110">
        <f t="shared" si="17"/>
        <v>-5.4380524829916229E-3</v>
      </c>
      <c r="O55" s="112">
        <f t="shared" si="18"/>
        <v>0.20997835677608789</v>
      </c>
    </row>
    <row r="56" spans="1:15" x14ac:dyDescent="0.2">
      <c r="A56" s="85" t="s">
        <v>39</v>
      </c>
      <c r="B56" s="85">
        <v>9498</v>
      </c>
      <c r="C56" s="85">
        <v>11525</v>
      </c>
      <c r="D56" s="85">
        <v>11164</v>
      </c>
      <c r="E56" s="85">
        <v>13927</v>
      </c>
      <c r="F56" s="18">
        <v>17030</v>
      </c>
      <c r="G56" s="18">
        <v>22184</v>
      </c>
      <c r="H56" s="18">
        <v>25390</v>
      </c>
      <c r="I56" s="18">
        <v>29820</v>
      </c>
      <c r="J56" s="18">
        <v>32146</v>
      </c>
      <c r="K56" s="18">
        <v>34904</v>
      </c>
      <c r="L56" s="18">
        <v>35755</v>
      </c>
      <c r="M56" s="100">
        <f t="shared" si="16"/>
        <v>2.7644767319435672</v>
      </c>
      <c r="N56" s="110">
        <f t="shared" si="17"/>
        <v>2.43811597524639E-2</v>
      </c>
      <c r="O56" s="112">
        <f t="shared" si="18"/>
        <v>0.17468475642823292</v>
      </c>
    </row>
    <row r="57" spans="1:15" s="12" customFormat="1" x14ac:dyDescent="0.2">
      <c r="A57" s="5" t="s">
        <v>273</v>
      </c>
      <c r="B57" s="5">
        <v>21058</v>
      </c>
      <c r="C57" s="5">
        <v>25523</v>
      </c>
      <c r="D57" s="5">
        <v>23288</v>
      </c>
      <c r="E57" s="5">
        <v>22549</v>
      </c>
      <c r="F57" s="23">
        <v>21629</v>
      </c>
      <c r="G57" s="23">
        <v>21920</v>
      </c>
      <c r="H57" s="23">
        <v>22324</v>
      </c>
      <c r="I57" s="23">
        <v>23269</v>
      </c>
      <c r="J57" s="23">
        <v>22458</v>
      </c>
      <c r="K57" s="23">
        <v>24274</v>
      </c>
      <c r="L57" s="23">
        <v>22787</v>
      </c>
      <c r="M57" s="83">
        <f t="shared" si="16"/>
        <v>8.2106562826479254E-2</v>
      </c>
      <c r="N57" s="111">
        <f t="shared" si="17"/>
        <v>-6.1258960204333857E-2</v>
      </c>
      <c r="O57" s="113">
        <f t="shared" si="18"/>
        <v>0.1113282490485287</v>
      </c>
    </row>
    <row r="58" spans="1:15" x14ac:dyDescent="0.2">
      <c r="A58" s="85" t="s">
        <v>38</v>
      </c>
      <c r="B58" s="85">
        <v>922</v>
      </c>
      <c r="C58" s="85">
        <v>1329</v>
      </c>
      <c r="D58" s="85">
        <v>1488</v>
      </c>
      <c r="E58" s="85">
        <v>1266</v>
      </c>
      <c r="F58" s="18">
        <v>1045</v>
      </c>
      <c r="G58" s="18">
        <v>1163</v>
      </c>
      <c r="H58" s="18">
        <v>1660</v>
      </c>
      <c r="I58" s="18">
        <v>2293</v>
      </c>
      <c r="J58" s="18">
        <v>2727</v>
      </c>
      <c r="K58" s="18">
        <v>2871</v>
      </c>
      <c r="L58" s="18">
        <v>3156</v>
      </c>
      <c r="M58" s="100">
        <f t="shared" si="16"/>
        <v>2.4229934924078091</v>
      </c>
      <c r="N58" s="110">
        <f t="shared" si="17"/>
        <v>9.9268547544409613E-2</v>
      </c>
      <c r="O58" s="112">
        <f t="shared" si="18"/>
        <v>1.5418964936023022E-2</v>
      </c>
    </row>
    <row r="59" spans="1:15" x14ac:dyDescent="0.2">
      <c r="A59" s="85" t="s">
        <v>39</v>
      </c>
      <c r="B59" s="85">
        <v>3421</v>
      </c>
      <c r="C59" s="85">
        <v>3852</v>
      </c>
      <c r="D59" s="85">
        <v>2562</v>
      </c>
      <c r="E59" s="85">
        <v>2703</v>
      </c>
      <c r="F59" s="18">
        <v>2205</v>
      </c>
      <c r="G59" s="18">
        <v>2308</v>
      </c>
      <c r="H59" s="18">
        <v>2386</v>
      </c>
      <c r="I59" s="18">
        <v>3142</v>
      </c>
      <c r="J59" s="18">
        <v>2472</v>
      </c>
      <c r="K59" s="18">
        <v>2558</v>
      </c>
      <c r="L59" s="18">
        <v>2589</v>
      </c>
      <c r="M59" s="100">
        <f t="shared" si="16"/>
        <v>-0.24320374159602456</v>
      </c>
      <c r="N59" s="110">
        <f t="shared" si="17"/>
        <v>1.2118842845973418E-2</v>
      </c>
      <c r="O59" s="112">
        <f t="shared" si="18"/>
        <v>1.2648827699418124E-2</v>
      </c>
    </row>
    <row r="60" spans="1:15" x14ac:dyDescent="0.2">
      <c r="A60" s="85" t="s">
        <v>40</v>
      </c>
      <c r="B60" s="85">
        <v>488</v>
      </c>
      <c r="C60" s="85">
        <v>424</v>
      </c>
      <c r="D60" s="85">
        <v>436</v>
      </c>
      <c r="E60" s="85">
        <v>397</v>
      </c>
      <c r="F60" s="18">
        <v>524</v>
      </c>
      <c r="G60" s="18">
        <v>379</v>
      </c>
      <c r="H60" s="18">
        <v>396</v>
      </c>
      <c r="I60" s="18">
        <v>335</v>
      </c>
      <c r="J60" s="18">
        <v>359</v>
      </c>
      <c r="K60" s="18">
        <v>426</v>
      </c>
      <c r="L60" s="18">
        <v>325</v>
      </c>
      <c r="M60" s="100">
        <f t="shared" si="16"/>
        <v>-0.33401639344262296</v>
      </c>
      <c r="N60" s="110">
        <f t="shared" si="17"/>
        <v>-0.23708920187793428</v>
      </c>
      <c r="O60" s="112">
        <f t="shared" si="18"/>
        <v>1.5878211673661222E-3</v>
      </c>
    </row>
    <row r="61" spans="1:15" x14ac:dyDescent="0.2">
      <c r="A61" s="85" t="s">
        <v>41</v>
      </c>
      <c r="B61" s="85">
        <v>16227</v>
      </c>
      <c r="C61" s="85">
        <v>19918</v>
      </c>
      <c r="D61" s="85">
        <v>18802</v>
      </c>
      <c r="E61" s="85">
        <v>18183</v>
      </c>
      <c r="F61" s="18">
        <v>17855</v>
      </c>
      <c r="G61" s="18">
        <v>18070</v>
      </c>
      <c r="H61" s="18">
        <v>17882</v>
      </c>
      <c r="I61" s="18">
        <v>17499</v>
      </c>
      <c r="J61" s="18">
        <v>16900</v>
      </c>
      <c r="K61" s="18">
        <v>18419</v>
      </c>
      <c r="L61" s="18">
        <v>16717</v>
      </c>
      <c r="M61" s="100">
        <f t="shared" si="16"/>
        <v>3.0196585937018551E-2</v>
      </c>
      <c r="N61" s="110">
        <f t="shared" si="17"/>
        <v>-9.2404582224876491E-2</v>
      </c>
      <c r="O61" s="112">
        <f t="shared" si="18"/>
        <v>8.1672635245721437E-2</v>
      </c>
    </row>
    <row r="62" spans="1:15" s="12" customFormat="1" x14ac:dyDescent="0.2">
      <c r="A62" s="5" t="s">
        <v>270</v>
      </c>
      <c r="B62" s="5">
        <v>11876</v>
      </c>
      <c r="C62" s="5">
        <v>13556</v>
      </c>
      <c r="D62" s="5">
        <v>13199</v>
      </c>
      <c r="E62" s="5">
        <v>13022</v>
      </c>
      <c r="F62" s="23">
        <v>14603</v>
      </c>
      <c r="G62" s="23">
        <v>15842</v>
      </c>
      <c r="H62" s="23">
        <v>16358</v>
      </c>
      <c r="I62" s="23">
        <v>16897</v>
      </c>
      <c r="J62" s="23">
        <v>16295</v>
      </c>
      <c r="K62" s="23">
        <v>18300</v>
      </c>
      <c r="L62" s="23">
        <v>17019</v>
      </c>
      <c r="M62" s="83">
        <f t="shared" si="16"/>
        <v>0.43305826877736614</v>
      </c>
      <c r="N62" s="111">
        <f t="shared" si="17"/>
        <v>-7.0000000000000007E-2</v>
      </c>
      <c r="O62" s="113">
        <f t="shared" si="18"/>
        <v>8.3148087530473952E-2</v>
      </c>
    </row>
    <row r="63" spans="1:15" x14ac:dyDescent="0.2">
      <c r="A63" s="85" t="s">
        <v>38</v>
      </c>
      <c r="B63" s="85">
        <v>685</v>
      </c>
      <c r="C63" s="85">
        <v>814</v>
      </c>
      <c r="D63" s="85">
        <v>704</v>
      </c>
      <c r="E63" s="85">
        <v>730</v>
      </c>
      <c r="F63" s="18">
        <v>932</v>
      </c>
      <c r="G63" s="18">
        <v>1308</v>
      </c>
      <c r="H63" s="18">
        <v>1168</v>
      </c>
      <c r="I63" s="18">
        <v>1611</v>
      </c>
      <c r="J63" s="18">
        <v>2016</v>
      </c>
      <c r="K63" s="18">
        <v>2325</v>
      </c>
      <c r="L63" s="18">
        <v>2151</v>
      </c>
      <c r="M63" s="100">
        <f t="shared" si="16"/>
        <v>2.1401459854014599</v>
      </c>
      <c r="N63" s="110">
        <f t="shared" si="17"/>
        <v>-7.483870967741936E-2</v>
      </c>
      <c r="O63" s="112">
        <f t="shared" si="18"/>
        <v>1.0508933326167782E-2</v>
      </c>
    </row>
    <row r="64" spans="1:15" x14ac:dyDescent="0.2">
      <c r="A64" s="85" t="s">
        <v>39</v>
      </c>
      <c r="B64" s="85">
        <v>1058</v>
      </c>
      <c r="C64" s="85">
        <v>840</v>
      </c>
      <c r="D64" s="85">
        <v>703</v>
      </c>
      <c r="E64" s="85">
        <v>775</v>
      </c>
      <c r="F64" s="18">
        <v>1059</v>
      </c>
      <c r="G64" s="18">
        <v>1053</v>
      </c>
      <c r="H64" s="18">
        <v>1196</v>
      </c>
      <c r="I64" s="18">
        <v>1353</v>
      </c>
      <c r="J64" s="18">
        <v>1102</v>
      </c>
      <c r="K64" s="18">
        <v>1020</v>
      </c>
      <c r="L64" s="18">
        <v>1118</v>
      </c>
      <c r="M64" s="100">
        <f t="shared" si="16"/>
        <v>5.6710775047258979E-2</v>
      </c>
      <c r="N64" s="110">
        <f t="shared" si="17"/>
        <v>9.6078431372549025E-2</v>
      </c>
      <c r="O64" s="112">
        <f t="shared" si="18"/>
        <v>5.4621048157394601E-3</v>
      </c>
    </row>
    <row r="65" spans="1:15" x14ac:dyDescent="0.2">
      <c r="A65" s="85" t="s">
        <v>40</v>
      </c>
      <c r="B65" s="85">
        <v>313</v>
      </c>
      <c r="C65" s="85">
        <v>414</v>
      </c>
      <c r="D65" s="85">
        <v>465</v>
      </c>
      <c r="E65" s="85">
        <v>478</v>
      </c>
      <c r="F65" s="18">
        <v>455</v>
      </c>
      <c r="G65" s="18">
        <v>359</v>
      </c>
      <c r="H65" s="18">
        <v>394</v>
      </c>
      <c r="I65" s="18">
        <v>386</v>
      </c>
      <c r="J65" s="18">
        <v>469</v>
      </c>
      <c r="K65" s="18">
        <v>519</v>
      </c>
      <c r="L65" s="18">
        <v>392</v>
      </c>
      <c r="M65" s="100">
        <f t="shared" si="16"/>
        <v>0.25239616613418531</v>
      </c>
      <c r="N65" s="110">
        <f t="shared" si="17"/>
        <v>-0.24470134874759153</v>
      </c>
      <c r="O65" s="112">
        <f t="shared" si="18"/>
        <v>1.9151566080231382E-3</v>
      </c>
    </row>
    <row r="66" spans="1:15" x14ac:dyDescent="0.2">
      <c r="A66" s="85" t="s">
        <v>41</v>
      </c>
      <c r="B66" s="85">
        <v>9820</v>
      </c>
      <c r="C66" s="85">
        <v>11488</v>
      </c>
      <c r="D66" s="85">
        <v>11327</v>
      </c>
      <c r="E66" s="85">
        <v>11039</v>
      </c>
      <c r="F66" s="18">
        <v>12157</v>
      </c>
      <c r="G66" s="18">
        <v>13122</v>
      </c>
      <c r="H66" s="18">
        <v>13600</v>
      </c>
      <c r="I66" s="18">
        <v>13547</v>
      </c>
      <c r="J66" s="18">
        <v>12708</v>
      </c>
      <c r="K66" s="18">
        <v>14436</v>
      </c>
      <c r="L66" s="18">
        <v>13358</v>
      </c>
      <c r="M66" s="100">
        <f t="shared" si="16"/>
        <v>0.36028513238289206</v>
      </c>
      <c r="N66" s="110">
        <f t="shared" si="17"/>
        <v>-7.4674425048489881E-2</v>
      </c>
      <c r="O66" s="112">
        <f t="shared" si="18"/>
        <v>6.5261892780543576E-2</v>
      </c>
    </row>
    <row r="67" spans="1:15" s="12" customFormat="1" x14ac:dyDescent="0.2">
      <c r="A67" s="5" t="s">
        <v>271</v>
      </c>
      <c r="B67" s="5">
        <v>26829</v>
      </c>
      <c r="C67" s="5">
        <v>29454</v>
      </c>
      <c r="D67" s="5">
        <v>28061</v>
      </c>
      <c r="E67" s="5">
        <v>31612</v>
      </c>
      <c r="F67" s="23">
        <v>35365</v>
      </c>
      <c r="G67" s="23">
        <v>43546</v>
      </c>
      <c r="H67" s="23">
        <v>48315</v>
      </c>
      <c r="I67" s="23">
        <v>49572</v>
      </c>
      <c r="J67" s="23">
        <v>50504</v>
      </c>
      <c r="K67" s="23">
        <v>50995</v>
      </c>
      <c r="L67" s="23">
        <v>51714</v>
      </c>
      <c r="M67" s="83">
        <f t="shared" si="16"/>
        <v>0.92754109359275416</v>
      </c>
      <c r="N67" s="111">
        <f t="shared" si="17"/>
        <v>1.4099421511912933E-2</v>
      </c>
      <c r="O67" s="113">
        <f t="shared" si="18"/>
        <v>0.25265410415129735</v>
      </c>
    </row>
    <row r="68" spans="1:15" x14ac:dyDescent="0.2">
      <c r="A68" s="85" t="s">
        <v>38</v>
      </c>
      <c r="B68" s="85">
        <v>1720</v>
      </c>
      <c r="C68" s="85">
        <v>2170</v>
      </c>
      <c r="D68" s="85">
        <v>1778</v>
      </c>
      <c r="E68" s="85">
        <v>1856</v>
      </c>
      <c r="F68" s="18">
        <v>2486</v>
      </c>
      <c r="G68" s="18">
        <v>2769</v>
      </c>
      <c r="H68" s="18">
        <v>2600</v>
      </c>
      <c r="I68" s="18">
        <v>2414</v>
      </c>
      <c r="J68" s="18">
        <v>2191</v>
      </c>
      <c r="K68" s="18">
        <v>1719</v>
      </c>
      <c r="L68" s="18">
        <v>1546</v>
      </c>
      <c r="M68" s="100">
        <f t="shared" si="16"/>
        <v>-0.10116279069767442</v>
      </c>
      <c r="N68" s="110">
        <f t="shared" si="17"/>
        <v>-0.10063990692262943</v>
      </c>
      <c r="O68" s="112">
        <f t="shared" si="18"/>
        <v>7.5531431530708459E-3</v>
      </c>
    </row>
    <row r="69" spans="1:15" x14ac:dyDescent="0.2">
      <c r="A69" s="85" t="s">
        <v>39</v>
      </c>
      <c r="B69" s="85">
        <v>2246</v>
      </c>
      <c r="C69" s="85">
        <v>2201</v>
      </c>
      <c r="D69" s="85">
        <v>2354</v>
      </c>
      <c r="E69" s="85">
        <v>2811</v>
      </c>
      <c r="F69" s="18">
        <v>3465</v>
      </c>
      <c r="G69" s="18">
        <v>4143</v>
      </c>
      <c r="H69" s="18">
        <v>4545</v>
      </c>
      <c r="I69" s="18">
        <v>4294</v>
      </c>
      <c r="J69" s="18">
        <v>4156</v>
      </c>
      <c r="K69" s="18">
        <v>4214</v>
      </c>
      <c r="L69" s="18">
        <v>3940</v>
      </c>
      <c r="M69" s="100">
        <f t="shared" si="16"/>
        <v>0.75422974176313451</v>
      </c>
      <c r="N69" s="110">
        <f t="shared" si="17"/>
        <v>-6.5021357380161363E-2</v>
      </c>
      <c r="O69" s="112">
        <f t="shared" si="18"/>
        <v>1.9249278152069296E-2</v>
      </c>
    </row>
    <row r="70" spans="1:15" x14ac:dyDescent="0.2">
      <c r="A70" s="85" t="s">
        <v>40</v>
      </c>
      <c r="B70" s="85">
        <v>322</v>
      </c>
      <c r="C70" s="85">
        <v>321</v>
      </c>
      <c r="D70" s="85">
        <v>399</v>
      </c>
      <c r="E70" s="85">
        <v>410</v>
      </c>
      <c r="F70" s="18">
        <v>388</v>
      </c>
      <c r="G70" s="18">
        <v>626</v>
      </c>
      <c r="H70" s="18">
        <v>627</v>
      </c>
      <c r="I70" s="18">
        <v>801</v>
      </c>
      <c r="J70" s="18">
        <v>1023</v>
      </c>
      <c r="K70" s="18">
        <v>1392</v>
      </c>
      <c r="L70" s="18">
        <v>1925</v>
      </c>
      <c r="M70" s="100">
        <f t="shared" si="16"/>
        <v>4.9782608695652177</v>
      </c>
      <c r="N70" s="110">
        <f t="shared" si="17"/>
        <v>0.3829022988505747</v>
      </c>
      <c r="O70" s="112">
        <f t="shared" si="18"/>
        <v>9.4047869143993393E-3</v>
      </c>
    </row>
    <row r="71" spans="1:15" x14ac:dyDescent="0.2">
      <c r="A71" s="85" t="s">
        <v>41</v>
      </c>
      <c r="B71" s="85">
        <v>22541</v>
      </c>
      <c r="C71" s="85">
        <v>24762</v>
      </c>
      <c r="D71" s="85">
        <v>23530</v>
      </c>
      <c r="E71" s="85">
        <v>26535</v>
      </c>
      <c r="F71" s="18">
        <v>29026</v>
      </c>
      <c r="G71" s="18">
        <v>36008</v>
      </c>
      <c r="H71" s="18">
        <v>40543</v>
      </c>
      <c r="I71" s="18">
        <v>42063</v>
      </c>
      <c r="J71" s="18">
        <v>43134</v>
      </c>
      <c r="K71" s="18">
        <v>43670</v>
      </c>
      <c r="L71" s="18">
        <v>44303</v>
      </c>
      <c r="M71" s="100">
        <f t="shared" si="16"/>
        <v>0.96544075240672556</v>
      </c>
      <c r="N71" s="110">
        <f t="shared" si="17"/>
        <v>1.4495076711701397E-2</v>
      </c>
      <c r="O71" s="112">
        <f t="shared" si="18"/>
        <v>0.21644689593175789</v>
      </c>
    </row>
    <row r="72" spans="1:15" x14ac:dyDescent="0.2">
      <c r="A72" s="5" t="s">
        <v>4</v>
      </c>
      <c r="B72" s="5">
        <f>SUM(B52,B54,B57,B62,B67)</f>
        <v>97670</v>
      </c>
      <c r="C72" s="5">
        <f t="shared" ref="C72:L72" si="19">SUM(C52,C54,C57,C62,C67)</f>
        <v>108782</v>
      </c>
      <c r="D72" s="5">
        <f t="shared" si="19"/>
        <v>102202</v>
      </c>
      <c r="E72" s="5">
        <f t="shared" si="19"/>
        <v>120174</v>
      </c>
      <c r="F72" s="5">
        <f t="shared" si="19"/>
        <v>135223</v>
      </c>
      <c r="G72" s="5">
        <f t="shared" si="19"/>
        <v>156841</v>
      </c>
      <c r="H72" s="5">
        <f t="shared" si="19"/>
        <v>170671</v>
      </c>
      <c r="I72" s="5">
        <f t="shared" si="19"/>
        <v>187574</v>
      </c>
      <c r="J72" s="5">
        <f t="shared" si="19"/>
        <v>196019</v>
      </c>
      <c r="K72" s="5">
        <f t="shared" si="19"/>
        <v>204318</v>
      </c>
      <c r="L72" s="5">
        <f t="shared" si="19"/>
        <v>204683</v>
      </c>
      <c r="M72" s="83">
        <f t="shared" si="16"/>
        <v>1.0956588512337462</v>
      </c>
      <c r="N72" s="111">
        <f t="shared" si="17"/>
        <v>1.7864309556671462E-3</v>
      </c>
      <c r="O72" s="113">
        <f t="shared" si="18"/>
        <v>1</v>
      </c>
    </row>
    <row r="73" spans="1:15" x14ac:dyDescent="0.2">
      <c r="A73" s="76"/>
      <c r="B73" s="76"/>
      <c r="C73" s="76"/>
      <c r="D73" s="76"/>
      <c r="E73" s="76"/>
      <c r="F73" s="40"/>
      <c r="G73" s="40"/>
      <c r="H73" s="40"/>
      <c r="I73" s="40"/>
      <c r="J73" s="40"/>
      <c r="K73" s="40"/>
      <c r="L73" s="40"/>
      <c r="M73" s="40"/>
      <c r="N73" s="40"/>
      <c r="O73" s="40"/>
    </row>
    <row r="74" spans="1:15" ht="15.75" x14ac:dyDescent="0.2">
      <c r="A74" s="41" t="s">
        <v>51</v>
      </c>
      <c r="B74" s="41"/>
      <c r="C74" s="41"/>
      <c r="D74" s="41"/>
      <c r="E74" s="41"/>
      <c r="F74" s="40"/>
      <c r="G74" s="40"/>
      <c r="H74" s="40"/>
      <c r="I74" s="40"/>
      <c r="J74" s="40"/>
      <c r="K74" s="40"/>
      <c r="L74" s="40"/>
      <c r="M74" s="40"/>
      <c r="N74" s="40"/>
      <c r="O74" s="40"/>
    </row>
    <row r="75" spans="1:15" ht="25.5" x14ac:dyDescent="0.2">
      <c r="A75" s="88" t="s">
        <v>42</v>
      </c>
      <c r="B75" s="3">
        <v>2008</v>
      </c>
      <c r="C75" s="3">
        <v>2009</v>
      </c>
      <c r="D75" s="3">
        <v>2010</v>
      </c>
      <c r="E75" s="3">
        <v>2011</v>
      </c>
      <c r="F75" s="3">
        <v>2012</v>
      </c>
      <c r="G75" s="3">
        <v>2013</v>
      </c>
      <c r="H75" s="3">
        <v>2014</v>
      </c>
      <c r="I75" s="3">
        <v>2015</v>
      </c>
      <c r="J75" s="3">
        <v>2016</v>
      </c>
      <c r="K75" s="3">
        <v>2017</v>
      </c>
      <c r="L75" s="3">
        <v>2018</v>
      </c>
      <c r="M75" s="13" t="s">
        <v>395</v>
      </c>
      <c r="N75" s="13" t="s">
        <v>394</v>
      </c>
      <c r="O75" s="13" t="s">
        <v>313</v>
      </c>
    </row>
    <row r="76" spans="1:15" x14ac:dyDescent="0.2">
      <c r="A76" s="4" t="s">
        <v>43</v>
      </c>
      <c r="B76" s="4">
        <v>75213</v>
      </c>
      <c r="C76" s="4">
        <v>78781</v>
      </c>
      <c r="D76" s="4">
        <v>73672</v>
      </c>
      <c r="E76" s="4">
        <v>84062</v>
      </c>
      <c r="F76" s="18">
        <v>93616</v>
      </c>
      <c r="G76" s="18">
        <v>104969</v>
      </c>
      <c r="H76" s="18">
        <v>111126</v>
      </c>
      <c r="I76" s="18">
        <v>118127</v>
      </c>
      <c r="J76" s="18">
        <v>123561</v>
      </c>
      <c r="K76" s="18">
        <v>128559</v>
      </c>
      <c r="L76" s="18">
        <v>126669</v>
      </c>
      <c r="M76" s="100">
        <f t="shared" ref="M76:M81" si="20">(L76-B76)/B76</f>
        <v>0.68413705077579678</v>
      </c>
      <c r="N76" s="110">
        <f t="shared" ref="N76:N81" si="21">(L76-K76)/K76</f>
        <v>-1.4701421137376613E-2</v>
      </c>
      <c r="O76" s="112">
        <f t="shared" ref="O76:O81" si="22">L76/$L$9</f>
        <v>0.61885452138184416</v>
      </c>
    </row>
    <row r="77" spans="1:15" x14ac:dyDescent="0.2">
      <c r="A77" s="4" t="s">
        <v>44</v>
      </c>
      <c r="B77" s="4">
        <v>21049</v>
      </c>
      <c r="C77" s="4">
        <v>28075</v>
      </c>
      <c r="D77" s="4">
        <v>26744</v>
      </c>
      <c r="E77" s="4">
        <v>33381</v>
      </c>
      <c r="F77" s="18">
        <v>39579</v>
      </c>
      <c r="G77" s="18">
        <v>48411</v>
      </c>
      <c r="H77" s="18">
        <v>55069</v>
      </c>
      <c r="I77" s="18">
        <v>61872</v>
      </c>
      <c r="J77" s="18">
        <v>64558</v>
      </c>
      <c r="K77" s="18">
        <v>68019</v>
      </c>
      <c r="L77" s="18">
        <v>68691</v>
      </c>
      <c r="M77" s="100">
        <f t="shared" si="20"/>
        <v>2.2633854339873629</v>
      </c>
      <c r="N77" s="110">
        <f t="shared" si="21"/>
        <v>9.8795924668107441E-3</v>
      </c>
      <c r="O77" s="112">
        <f t="shared" si="22"/>
        <v>0.33559699633091172</v>
      </c>
    </row>
    <row r="78" spans="1:15" x14ac:dyDescent="0.2">
      <c r="A78" s="4" t="s">
        <v>257</v>
      </c>
      <c r="B78" s="4">
        <v>3</v>
      </c>
      <c r="C78" s="4">
        <v>43</v>
      </c>
      <c r="D78" s="4">
        <v>95</v>
      </c>
      <c r="E78" s="4">
        <v>914</v>
      </c>
      <c r="F78" s="18">
        <v>391</v>
      </c>
      <c r="G78" s="18">
        <v>612</v>
      </c>
      <c r="H78" s="18">
        <v>716</v>
      </c>
      <c r="I78" s="18">
        <v>1419</v>
      </c>
      <c r="J78" s="18">
        <v>1596</v>
      </c>
      <c r="K78" s="18">
        <v>1967</v>
      </c>
      <c r="L78" s="18">
        <v>2415</v>
      </c>
      <c r="M78" s="100">
        <f t="shared" si="20"/>
        <v>804</v>
      </c>
      <c r="N78" s="110">
        <f t="shared" si="21"/>
        <v>0.22775800711743771</v>
      </c>
      <c r="O78" s="112">
        <f t="shared" si="22"/>
        <v>1.1798732674428263E-2</v>
      </c>
    </row>
    <row r="79" spans="1:15" x14ac:dyDescent="0.2">
      <c r="A79" s="4" t="s">
        <v>258</v>
      </c>
      <c r="B79" s="4">
        <v>663</v>
      </c>
      <c r="C79" s="4">
        <v>722</v>
      </c>
      <c r="D79" s="4">
        <v>710</v>
      </c>
      <c r="E79" s="4">
        <v>731</v>
      </c>
      <c r="F79" s="18">
        <v>993</v>
      </c>
      <c r="G79" s="18">
        <v>1724</v>
      </c>
      <c r="H79" s="18">
        <v>1721</v>
      </c>
      <c r="I79" s="18">
        <v>3211</v>
      </c>
      <c r="J79" s="18">
        <v>3770</v>
      </c>
      <c r="K79" s="18">
        <v>3552</v>
      </c>
      <c r="L79" s="18">
        <v>4692</v>
      </c>
      <c r="M79" s="100">
        <f t="shared" si="20"/>
        <v>6.0769230769230766</v>
      </c>
      <c r="N79" s="110">
        <f t="shared" si="21"/>
        <v>0.32094594594594594</v>
      </c>
      <c r="O79" s="112">
        <f t="shared" si="22"/>
        <v>2.2923252053174911E-2</v>
      </c>
    </row>
    <row r="80" spans="1:15" x14ac:dyDescent="0.2">
      <c r="A80" s="4" t="s">
        <v>45</v>
      </c>
      <c r="B80" s="4">
        <v>742</v>
      </c>
      <c r="C80" s="4">
        <v>1161</v>
      </c>
      <c r="D80" s="4">
        <v>981</v>
      </c>
      <c r="E80" s="4">
        <v>1086</v>
      </c>
      <c r="F80" s="18">
        <v>644</v>
      </c>
      <c r="G80" s="18">
        <v>1125</v>
      </c>
      <c r="H80" s="18">
        <v>2039</v>
      </c>
      <c r="I80" s="18">
        <v>2945</v>
      </c>
      <c r="J80" s="18">
        <v>2534</v>
      </c>
      <c r="K80" s="18">
        <v>2221</v>
      </c>
      <c r="L80" s="18">
        <v>2216</v>
      </c>
      <c r="M80" s="100">
        <f t="shared" si="20"/>
        <v>1.986522911051213</v>
      </c>
      <c r="N80" s="110">
        <f t="shared" si="21"/>
        <v>-2.2512381809995496E-3</v>
      </c>
      <c r="O80" s="112">
        <f t="shared" si="22"/>
        <v>1.0826497559641006E-2</v>
      </c>
    </row>
    <row r="81" spans="1:15" x14ac:dyDescent="0.2">
      <c r="A81" s="5" t="s">
        <v>4</v>
      </c>
      <c r="B81" s="5">
        <v>97670</v>
      </c>
      <c r="C81" s="5">
        <v>108782</v>
      </c>
      <c r="D81" s="5">
        <v>102202</v>
      </c>
      <c r="E81" s="5">
        <v>120174</v>
      </c>
      <c r="F81" s="5">
        <v>135223</v>
      </c>
      <c r="G81" s="5">
        <v>156841</v>
      </c>
      <c r="H81" s="5">
        <v>170671</v>
      </c>
      <c r="I81" s="5">
        <v>187574</v>
      </c>
      <c r="J81" s="5">
        <v>196019</v>
      </c>
      <c r="K81" s="5">
        <v>204318</v>
      </c>
      <c r="L81" s="5">
        <v>204683</v>
      </c>
      <c r="M81" s="83">
        <f t="shared" si="20"/>
        <v>1.0956588512337462</v>
      </c>
      <c r="N81" s="111">
        <f t="shared" si="21"/>
        <v>1.7864309556671462E-3</v>
      </c>
      <c r="O81" s="113">
        <f t="shared" si="22"/>
        <v>1</v>
      </c>
    </row>
    <row r="82" spans="1:15" x14ac:dyDescent="0.2">
      <c r="A82" s="76"/>
      <c r="B82" s="76"/>
      <c r="C82" s="76"/>
      <c r="D82" s="76"/>
      <c r="E82" s="76"/>
      <c r="F82" s="40"/>
      <c r="G82" s="40"/>
      <c r="H82" s="40"/>
      <c r="I82" s="40"/>
      <c r="J82" s="40"/>
      <c r="K82" s="40"/>
      <c r="L82" s="40"/>
      <c r="M82" s="40"/>
      <c r="N82" s="40"/>
      <c r="O82" s="40"/>
    </row>
    <row r="83" spans="1:15" ht="15.75" x14ac:dyDescent="0.2">
      <c r="A83" s="41" t="s">
        <v>52</v>
      </c>
      <c r="B83" s="41"/>
      <c r="C83" s="41"/>
      <c r="D83" s="41"/>
      <c r="E83" s="41"/>
      <c r="F83" s="40"/>
      <c r="G83" s="40"/>
      <c r="H83" s="40"/>
      <c r="I83" s="40"/>
      <c r="J83" s="40"/>
      <c r="K83" s="40"/>
      <c r="L83" s="40"/>
      <c r="M83" s="40"/>
      <c r="N83" s="40"/>
      <c r="O83" s="40"/>
    </row>
    <row r="84" spans="1:15" ht="25.5" x14ac:dyDescent="0.2">
      <c r="A84" s="88" t="s">
        <v>10</v>
      </c>
      <c r="B84" s="3">
        <v>2008</v>
      </c>
      <c r="C84" s="3">
        <v>2009</v>
      </c>
      <c r="D84" s="3">
        <v>2010</v>
      </c>
      <c r="E84" s="3">
        <v>2011</v>
      </c>
      <c r="F84" s="3">
        <v>2012</v>
      </c>
      <c r="G84" s="3">
        <v>2013</v>
      </c>
      <c r="H84" s="3">
        <v>2014</v>
      </c>
      <c r="I84" s="3">
        <v>2015</v>
      </c>
      <c r="J84" s="3">
        <v>2016</v>
      </c>
      <c r="K84" s="3">
        <v>2017</v>
      </c>
      <c r="L84" s="3">
        <v>2018</v>
      </c>
      <c r="M84" s="13" t="s">
        <v>395</v>
      </c>
      <c r="N84" s="13" t="s">
        <v>394</v>
      </c>
      <c r="O84" s="13" t="s">
        <v>313</v>
      </c>
    </row>
    <row r="85" spans="1:15" x14ac:dyDescent="0.2">
      <c r="A85" s="4" t="s">
        <v>11</v>
      </c>
      <c r="B85" s="4">
        <v>15679</v>
      </c>
      <c r="C85" s="4">
        <v>18097</v>
      </c>
      <c r="D85" s="4">
        <v>17941</v>
      </c>
      <c r="E85" s="4">
        <v>22283</v>
      </c>
      <c r="F85" s="18">
        <v>25679</v>
      </c>
      <c r="G85" s="18">
        <v>30116</v>
      </c>
      <c r="H85" s="18">
        <v>33737</v>
      </c>
      <c r="I85" s="18">
        <v>37246</v>
      </c>
      <c r="J85" s="18">
        <v>41501</v>
      </c>
      <c r="K85" s="18">
        <v>43629</v>
      </c>
      <c r="L85" s="18">
        <v>45957</v>
      </c>
      <c r="M85" s="100">
        <f t="shared" ref="M85:M95" si="23">(L85-B85)/B85</f>
        <v>1.9311180559984693</v>
      </c>
      <c r="N85" s="110">
        <f t="shared" ref="N85:N95" si="24">(L85-K85)/K85</f>
        <v>5.3359004331981021E-2</v>
      </c>
      <c r="O85" s="112">
        <f t="shared" ref="O85:O95" si="25">L85/$L$9</f>
        <v>0.22452768427275346</v>
      </c>
    </row>
    <row r="86" spans="1:15" x14ac:dyDescent="0.2">
      <c r="A86" s="4" t="s">
        <v>12</v>
      </c>
      <c r="B86" s="4">
        <v>3342</v>
      </c>
      <c r="C86" s="4">
        <v>3241</v>
      </c>
      <c r="D86" s="4">
        <v>3020</v>
      </c>
      <c r="E86" s="4">
        <v>3262</v>
      </c>
      <c r="F86" s="18">
        <v>3535</v>
      </c>
      <c r="G86" s="18">
        <v>3715</v>
      </c>
      <c r="H86" s="18">
        <v>4008</v>
      </c>
      <c r="I86" s="18">
        <v>4031</v>
      </c>
      <c r="J86" s="18">
        <v>4006</v>
      </c>
      <c r="K86" s="18">
        <v>3913</v>
      </c>
      <c r="L86" s="18">
        <v>3777</v>
      </c>
      <c r="M86" s="100">
        <f t="shared" si="23"/>
        <v>0.13016157989228008</v>
      </c>
      <c r="N86" s="110">
        <f t="shared" si="24"/>
        <v>-3.4755941732685917E-2</v>
      </c>
      <c r="O86" s="112">
        <f t="shared" si="25"/>
        <v>1.8452924766590287E-2</v>
      </c>
    </row>
    <row r="87" spans="1:15" x14ac:dyDescent="0.2">
      <c r="A87" s="4" t="s">
        <v>13</v>
      </c>
      <c r="B87" s="4">
        <v>5036</v>
      </c>
      <c r="C87" s="4">
        <v>5798</v>
      </c>
      <c r="D87" s="4">
        <v>5237</v>
      </c>
      <c r="E87" s="4">
        <v>6014</v>
      </c>
      <c r="F87" s="18">
        <v>6419</v>
      </c>
      <c r="G87" s="18">
        <v>7496</v>
      </c>
      <c r="H87" s="18">
        <v>7245</v>
      </c>
      <c r="I87" s="18">
        <v>7348</v>
      </c>
      <c r="J87" s="18">
        <v>6755</v>
      </c>
      <c r="K87" s="18">
        <v>7386</v>
      </c>
      <c r="L87" s="18">
        <v>7099</v>
      </c>
      <c r="M87" s="100">
        <f t="shared" si="23"/>
        <v>0.40965051628276411</v>
      </c>
      <c r="N87" s="110">
        <f t="shared" si="24"/>
        <v>-3.88572975900352E-2</v>
      </c>
      <c r="O87" s="112">
        <f t="shared" si="25"/>
        <v>3.4682899898868004E-2</v>
      </c>
    </row>
    <row r="88" spans="1:15" x14ac:dyDescent="0.2">
      <c r="A88" s="4" t="s">
        <v>14</v>
      </c>
      <c r="B88" s="4">
        <v>1155</v>
      </c>
      <c r="C88" s="4">
        <v>1133</v>
      </c>
      <c r="D88" s="4">
        <v>1126</v>
      </c>
      <c r="E88" s="4">
        <v>1233</v>
      </c>
      <c r="F88" s="18">
        <v>1401</v>
      </c>
      <c r="G88" s="18">
        <v>1313</v>
      </c>
      <c r="H88" s="18">
        <v>1448</v>
      </c>
      <c r="I88" s="18">
        <v>1662</v>
      </c>
      <c r="J88" s="18">
        <v>1586</v>
      </c>
      <c r="K88" s="18">
        <v>1672</v>
      </c>
      <c r="L88" s="18">
        <v>1557</v>
      </c>
      <c r="M88" s="100">
        <f t="shared" si="23"/>
        <v>0.34805194805194806</v>
      </c>
      <c r="N88" s="110">
        <f t="shared" si="24"/>
        <v>-6.8779904306220094E-2</v>
      </c>
      <c r="O88" s="112">
        <f t="shared" si="25"/>
        <v>7.6068847925816994E-3</v>
      </c>
    </row>
    <row r="89" spans="1:15" x14ac:dyDescent="0.2">
      <c r="A89" s="4" t="s">
        <v>15</v>
      </c>
      <c r="B89" s="4">
        <v>10403</v>
      </c>
      <c r="C89" s="4">
        <v>11174</v>
      </c>
      <c r="D89" s="4">
        <v>9845</v>
      </c>
      <c r="E89" s="4">
        <v>11723</v>
      </c>
      <c r="F89" s="18">
        <v>13017</v>
      </c>
      <c r="G89" s="18">
        <v>14476</v>
      </c>
      <c r="H89" s="18">
        <v>15637</v>
      </c>
      <c r="I89" s="18">
        <v>16645</v>
      </c>
      <c r="J89" s="18">
        <v>16730</v>
      </c>
      <c r="K89" s="18">
        <v>17889</v>
      </c>
      <c r="L89" s="18">
        <v>17877</v>
      </c>
      <c r="M89" s="100">
        <f t="shared" si="23"/>
        <v>0.71844660194174759</v>
      </c>
      <c r="N89" s="110">
        <f t="shared" si="24"/>
        <v>-6.7080328693610593E-4</v>
      </c>
      <c r="O89" s="112">
        <f t="shared" si="25"/>
        <v>8.7339935412320518E-2</v>
      </c>
    </row>
    <row r="90" spans="1:15" x14ac:dyDescent="0.2">
      <c r="A90" s="4" t="s">
        <v>16</v>
      </c>
      <c r="B90" s="4">
        <v>5592</v>
      </c>
      <c r="C90" s="4">
        <v>5846</v>
      </c>
      <c r="D90" s="4">
        <v>4526</v>
      </c>
      <c r="E90" s="4">
        <v>4584</v>
      </c>
      <c r="F90" s="18">
        <v>4299</v>
      </c>
      <c r="G90" s="18">
        <v>4185</v>
      </c>
      <c r="H90" s="18">
        <v>4413</v>
      </c>
      <c r="I90" s="18">
        <v>4303</v>
      </c>
      <c r="J90" s="18">
        <v>4473</v>
      </c>
      <c r="K90" s="18">
        <v>4918</v>
      </c>
      <c r="L90" s="18">
        <v>4374</v>
      </c>
      <c r="M90" s="100">
        <f t="shared" si="23"/>
        <v>-0.21781115879828325</v>
      </c>
      <c r="N90" s="110">
        <f t="shared" si="24"/>
        <v>-0.11061407076047174</v>
      </c>
      <c r="O90" s="112">
        <f t="shared" si="25"/>
        <v>2.1369630110952057E-2</v>
      </c>
    </row>
    <row r="91" spans="1:15" x14ac:dyDescent="0.2">
      <c r="A91" s="4" t="s">
        <v>17</v>
      </c>
      <c r="B91" s="4">
        <v>17983</v>
      </c>
      <c r="C91" s="4">
        <v>20857</v>
      </c>
      <c r="D91" s="4">
        <v>19870</v>
      </c>
      <c r="E91" s="4">
        <v>20874</v>
      </c>
      <c r="F91" s="18">
        <v>22366</v>
      </c>
      <c r="G91" s="18">
        <v>25926</v>
      </c>
      <c r="H91" s="18">
        <v>26360</v>
      </c>
      <c r="I91" s="18">
        <v>27788</v>
      </c>
      <c r="J91" s="18">
        <v>28148</v>
      </c>
      <c r="K91" s="18">
        <v>30117</v>
      </c>
      <c r="L91" s="18">
        <v>28488</v>
      </c>
      <c r="M91" s="100">
        <f t="shared" si="23"/>
        <v>0.58416282044152812</v>
      </c>
      <c r="N91" s="110">
        <f t="shared" si="24"/>
        <v>-5.4089052694491484E-2</v>
      </c>
      <c r="O91" s="112">
        <f t="shared" si="25"/>
        <v>0.13918107512592642</v>
      </c>
    </row>
    <row r="92" spans="1:15" x14ac:dyDescent="0.2">
      <c r="A92" s="4" t="s">
        <v>18</v>
      </c>
      <c r="B92" s="4">
        <v>993</v>
      </c>
      <c r="C92" s="4">
        <v>1065</v>
      </c>
      <c r="D92" s="4">
        <v>1021</v>
      </c>
      <c r="E92" s="4">
        <v>1130</v>
      </c>
      <c r="F92" s="18">
        <v>1184</v>
      </c>
      <c r="G92" s="18">
        <v>1094</v>
      </c>
      <c r="H92" s="18">
        <v>1188</v>
      </c>
      <c r="I92" s="18">
        <v>1347</v>
      </c>
      <c r="J92" s="18">
        <v>1188</v>
      </c>
      <c r="K92" s="18">
        <v>1338</v>
      </c>
      <c r="L92" s="18">
        <v>1200</v>
      </c>
      <c r="M92" s="100">
        <f t="shared" si="23"/>
        <v>0.20845921450151059</v>
      </c>
      <c r="N92" s="110">
        <f t="shared" si="24"/>
        <v>-0.1031390134529148</v>
      </c>
      <c r="O92" s="112">
        <f t="shared" si="25"/>
        <v>5.8627243102749131E-3</v>
      </c>
    </row>
    <row r="93" spans="1:15" x14ac:dyDescent="0.2">
      <c r="A93" s="4" t="s">
        <v>19</v>
      </c>
      <c r="B93" s="4">
        <v>16679</v>
      </c>
      <c r="C93" s="4">
        <v>16776</v>
      </c>
      <c r="D93" s="4">
        <v>16089</v>
      </c>
      <c r="E93" s="4">
        <v>21936</v>
      </c>
      <c r="F93" s="18">
        <v>25977</v>
      </c>
      <c r="G93" s="18">
        <v>30206</v>
      </c>
      <c r="H93" s="18">
        <v>32378</v>
      </c>
      <c r="I93" s="18">
        <v>34708</v>
      </c>
      <c r="J93" s="18">
        <v>36166</v>
      </c>
      <c r="K93" s="18">
        <v>36155</v>
      </c>
      <c r="L93" s="18">
        <v>37073</v>
      </c>
      <c r="M93" s="100">
        <f t="shared" si="23"/>
        <v>1.2227351759697824</v>
      </c>
      <c r="N93" s="110">
        <f t="shared" si="24"/>
        <v>2.5390679020882313E-2</v>
      </c>
      <c r="O93" s="112">
        <f t="shared" si="25"/>
        <v>0.18112398196235155</v>
      </c>
    </row>
    <row r="94" spans="1:15" x14ac:dyDescent="0.2">
      <c r="A94" s="4" t="s">
        <v>20</v>
      </c>
      <c r="B94" s="4">
        <v>20808</v>
      </c>
      <c r="C94" s="4">
        <v>24795</v>
      </c>
      <c r="D94" s="4">
        <v>23527</v>
      </c>
      <c r="E94" s="4">
        <v>27135</v>
      </c>
      <c r="F94" s="18">
        <v>31346</v>
      </c>
      <c r="G94" s="18">
        <v>38314</v>
      </c>
      <c r="H94" s="18">
        <v>44257</v>
      </c>
      <c r="I94" s="18">
        <v>52496</v>
      </c>
      <c r="J94" s="18">
        <v>55466</v>
      </c>
      <c r="K94" s="18">
        <v>57301</v>
      </c>
      <c r="L94" s="18">
        <v>57281</v>
      </c>
      <c r="M94" s="100">
        <f t="shared" si="23"/>
        <v>1.752835447904652</v>
      </c>
      <c r="N94" s="110">
        <f t="shared" si="24"/>
        <v>-3.4903404827140886E-4</v>
      </c>
      <c r="O94" s="112">
        <f t="shared" si="25"/>
        <v>0.27985225934738106</v>
      </c>
    </row>
    <row r="95" spans="1:15" x14ac:dyDescent="0.2">
      <c r="A95" s="5" t="s">
        <v>4</v>
      </c>
      <c r="B95" s="5">
        <v>97670</v>
      </c>
      <c r="C95" s="5">
        <v>108782</v>
      </c>
      <c r="D95" s="5">
        <v>102202</v>
      </c>
      <c r="E95" s="5">
        <v>120174</v>
      </c>
      <c r="F95" s="5">
        <v>135223</v>
      </c>
      <c r="G95" s="5">
        <v>156841</v>
      </c>
      <c r="H95" s="5">
        <v>170671</v>
      </c>
      <c r="I95" s="5">
        <v>187574</v>
      </c>
      <c r="J95" s="5">
        <v>196019</v>
      </c>
      <c r="K95" s="5">
        <v>204318</v>
      </c>
      <c r="L95" s="5">
        <v>204683</v>
      </c>
      <c r="M95" s="83">
        <f t="shared" si="23"/>
        <v>1.0956588512337462</v>
      </c>
      <c r="N95" s="111">
        <f t="shared" si="24"/>
        <v>1.7864309556671462E-3</v>
      </c>
      <c r="O95" s="113">
        <f t="shared" si="25"/>
        <v>1</v>
      </c>
    </row>
    <row r="96" spans="1:15" x14ac:dyDescent="0.2">
      <c r="A96" s="76"/>
      <c r="B96" s="76"/>
      <c r="C96" s="76"/>
      <c r="D96" s="76"/>
      <c r="E96" s="76"/>
      <c r="F96" s="40"/>
      <c r="G96" s="40"/>
      <c r="H96" s="40"/>
      <c r="I96" s="40"/>
      <c r="J96" s="40"/>
      <c r="K96" s="40"/>
      <c r="L96" s="40"/>
      <c r="M96" s="40"/>
      <c r="N96" s="40"/>
      <c r="O96" s="40"/>
    </row>
    <row r="97" spans="1:15" ht="15.75" x14ac:dyDescent="0.2">
      <c r="A97" s="41" t="s">
        <v>259</v>
      </c>
      <c r="B97" s="41"/>
      <c r="C97" s="41"/>
      <c r="D97" s="41"/>
      <c r="E97" s="41"/>
      <c r="F97" s="40"/>
      <c r="G97" s="40"/>
      <c r="H97" s="40"/>
      <c r="I97" s="40"/>
      <c r="J97" s="40"/>
      <c r="K97" s="40"/>
      <c r="L97" s="40"/>
      <c r="M97" s="40"/>
      <c r="N97" s="40"/>
      <c r="O97" s="40"/>
    </row>
    <row r="98" spans="1:15" ht="25.5" x14ac:dyDescent="0.2">
      <c r="A98" s="88" t="s">
        <v>53</v>
      </c>
      <c r="B98" s="3">
        <v>2008</v>
      </c>
      <c r="C98" s="3">
        <v>2009</v>
      </c>
      <c r="D98" s="3">
        <v>2010</v>
      </c>
      <c r="E98" s="3">
        <v>2011</v>
      </c>
      <c r="F98" s="3">
        <v>2012</v>
      </c>
      <c r="G98" s="3">
        <v>2013</v>
      </c>
      <c r="H98" s="3">
        <v>2014</v>
      </c>
      <c r="I98" s="3">
        <v>2015</v>
      </c>
      <c r="J98" s="3">
        <v>2016</v>
      </c>
      <c r="K98" s="3">
        <v>2017</v>
      </c>
      <c r="L98" s="3">
        <v>2018</v>
      </c>
      <c r="M98" s="13" t="s">
        <v>395</v>
      </c>
      <c r="N98" s="13" t="s">
        <v>394</v>
      </c>
      <c r="O98" s="40"/>
    </row>
    <row r="99" spans="1:15" x14ac:dyDescent="0.2">
      <c r="A99" s="4" t="s">
        <v>54</v>
      </c>
      <c r="B99" s="4">
        <v>4770</v>
      </c>
      <c r="C99" s="4">
        <v>3889</v>
      </c>
      <c r="D99" s="4">
        <v>2343</v>
      </c>
      <c r="E99" s="4">
        <v>5296</v>
      </c>
      <c r="F99" s="4">
        <v>6493</v>
      </c>
      <c r="G99" s="4">
        <v>6793</v>
      </c>
      <c r="H99" s="4">
        <v>6117</v>
      </c>
      <c r="I99" s="4">
        <v>5948</v>
      </c>
      <c r="J99" s="4">
        <v>5851</v>
      </c>
      <c r="K99" s="4">
        <v>4622</v>
      </c>
      <c r="L99" s="4">
        <v>5257</v>
      </c>
      <c r="M99" s="100">
        <f>(L99-B99)/B99</f>
        <v>0.10209643605870021</v>
      </c>
      <c r="N99" s="110">
        <f t="shared" ref="N99:N118" si="26">(L99-K99)/K99</f>
        <v>0.1373864128083081</v>
      </c>
      <c r="O99" s="40"/>
    </row>
    <row r="100" spans="1:15" x14ac:dyDescent="0.2">
      <c r="A100" s="4" t="s">
        <v>56</v>
      </c>
      <c r="B100" s="4">
        <v>764</v>
      </c>
      <c r="C100" s="4">
        <v>815</v>
      </c>
      <c r="D100" s="4">
        <v>972</v>
      </c>
      <c r="E100" s="4">
        <v>1464</v>
      </c>
      <c r="F100" s="4">
        <v>1601</v>
      </c>
      <c r="G100" s="4">
        <v>1947</v>
      </c>
      <c r="H100" s="4">
        <v>1840</v>
      </c>
      <c r="I100" s="4">
        <v>2351</v>
      </c>
      <c r="J100" s="4">
        <v>3750</v>
      </c>
      <c r="K100" s="4">
        <v>3220</v>
      </c>
      <c r="L100" s="4">
        <v>3341</v>
      </c>
      <c r="M100" s="100">
        <f t="shared" ref="M100:M118" si="27">(L100-B100)/B100</f>
        <v>3.3730366492146597</v>
      </c>
      <c r="N100" s="110">
        <f t="shared" si="26"/>
        <v>3.7577639751552795E-2</v>
      </c>
      <c r="O100" s="40"/>
    </row>
    <row r="101" spans="1:15" x14ac:dyDescent="0.2">
      <c r="A101" s="4" t="s">
        <v>57</v>
      </c>
      <c r="B101" s="4">
        <v>356</v>
      </c>
      <c r="C101" s="4">
        <v>342</v>
      </c>
      <c r="D101" s="4">
        <v>401</v>
      </c>
      <c r="E101" s="4">
        <v>831</v>
      </c>
      <c r="F101" s="4">
        <v>1140</v>
      </c>
      <c r="G101" s="4">
        <v>1684</v>
      </c>
      <c r="H101" s="4">
        <v>1709</v>
      </c>
      <c r="I101" s="4">
        <v>1734</v>
      </c>
      <c r="J101" s="4">
        <v>1911</v>
      </c>
      <c r="K101" s="4">
        <v>1949</v>
      </c>
      <c r="L101" s="4">
        <v>2779</v>
      </c>
      <c r="M101" s="100">
        <f t="shared" si="27"/>
        <v>6.8061797752808992</v>
      </c>
      <c r="N101" s="110">
        <f t="shared" si="26"/>
        <v>0.4258594150846588</v>
      </c>
      <c r="O101" s="40"/>
    </row>
    <row r="102" spans="1:15" x14ac:dyDescent="0.2">
      <c r="A102" s="4" t="s">
        <v>58</v>
      </c>
      <c r="B102" s="4">
        <v>1065</v>
      </c>
      <c r="C102" s="4">
        <v>870</v>
      </c>
      <c r="D102" s="4">
        <v>712</v>
      </c>
      <c r="E102" s="4">
        <v>982</v>
      </c>
      <c r="F102" s="4">
        <v>1283</v>
      </c>
      <c r="G102" s="4">
        <v>1455</v>
      </c>
      <c r="H102" s="4">
        <v>1340</v>
      </c>
      <c r="I102" s="4">
        <v>1349</v>
      </c>
      <c r="J102" s="4">
        <v>1607</v>
      </c>
      <c r="K102" s="4">
        <v>2188</v>
      </c>
      <c r="L102" s="4">
        <v>2167</v>
      </c>
      <c r="M102" s="100">
        <f t="shared" si="27"/>
        <v>1.0347417840375588</v>
      </c>
      <c r="N102" s="110">
        <f t="shared" si="26"/>
        <v>-9.5978062157221211E-3</v>
      </c>
      <c r="O102" s="40"/>
    </row>
    <row r="103" spans="1:15" x14ac:dyDescent="0.2">
      <c r="A103" s="32" t="s">
        <v>55</v>
      </c>
      <c r="B103" s="4">
        <v>661</v>
      </c>
      <c r="C103" s="4">
        <v>709</v>
      </c>
      <c r="D103" s="4">
        <v>666</v>
      </c>
      <c r="E103" s="4">
        <v>1048</v>
      </c>
      <c r="F103" s="4">
        <v>1502</v>
      </c>
      <c r="G103" s="4">
        <v>2007</v>
      </c>
      <c r="H103" s="4">
        <v>2297</v>
      </c>
      <c r="I103" s="4">
        <v>3620</v>
      </c>
      <c r="J103" s="4">
        <v>3636</v>
      </c>
      <c r="K103" s="4">
        <v>2862</v>
      </c>
      <c r="L103" s="4">
        <v>2164</v>
      </c>
      <c r="M103" s="100">
        <f t="shared" si="27"/>
        <v>2.2738275340393344</v>
      </c>
      <c r="N103" s="110">
        <f t="shared" si="26"/>
        <v>-0.24388539482879107</v>
      </c>
      <c r="O103" s="40"/>
    </row>
    <row r="104" spans="1:15" x14ac:dyDescent="0.2">
      <c r="A104" s="32" t="s">
        <v>59</v>
      </c>
      <c r="B104" s="4">
        <v>710</v>
      </c>
      <c r="C104" s="4">
        <v>688</v>
      </c>
      <c r="D104" s="4">
        <v>696</v>
      </c>
      <c r="E104" s="4">
        <v>908</v>
      </c>
      <c r="F104" s="4">
        <v>1071</v>
      </c>
      <c r="G104" s="4">
        <v>1147</v>
      </c>
      <c r="H104" s="4">
        <v>1405</v>
      </c>
      <c r="I104" s="4">
        <v>1755</v>
      </c>
      <c r="J104" s="4">
        <v>1912</v>
      </c>
      <c r="K104" s="4">
        <v>2011</v>
      </c>
      <c r="L104" s="4">
        <v>1940</v>
      </c>
      <c r="M104" s="100">
        <f t="shared" si="27"/>
        <v>1.732394366197183</v>
      </c>
      <c r="N104" s="110">
        <f t="shared" si="26"/>
        <v>-3.5305818000994534E-2</v>
      </c>
      <c r="O104" s="40"/>
    </row>
    <row r="105" spans="1:15" x14ac:dyDescent="0.2">
      <c r="A105" s="4" t="s">
        <v>62</v>
      </c>
      <c r="B105" s="4">
        <v>229</v>
      </c>
      <c r="C105" s="4">
        <v>312</v>
      </c>
      <c r="D105" s="4">
        <v>359</v>
      </c>
      <c r="E105" s="4">
        <v>537</v>
      </c>
      <c r="F105" s="4">
        <v>450</v>
      </c>
      <c r="G105" s="4">
        <v>598</v>
      </c>
      <c r="H105" s="4">
        <v>725</v>
      </c>
      <c r="I105" s="4">
        <v>793</v>
      </c>
      <c r="J105" s="4">
        <v>1183</v>
      </c>
      <c r="K105" s="4">
        <v>1439</v>
      </c>
      <c r="L105" s="4">
        <v>1381</v>
      </c>
      <c r="M105" s="100">
        <f t="shared" si="27"/>
        <v>5.0305676855895198</v>
      </c>
      <c r="N105" s="110">
        <f t="shared" si="26"/>
        <v>-4.030576789437109E-2</v>
      </c>
      <c r="O105" s="40"/>
    </row>
    <row r="106" spans="1:15" x14ac:dyDescent="0.2">
      <c r="A106" s="4" t="s">
        <v>61</v>
      </c>
      <c r="B106" s="4">
        <v>680</v>
      </c>
      <c r="C106" s="4">
        <v>374</v>
      </c>
      <c r="D106" s="4">
        <v>31</v>
      </c>
      <c r="E106" s="4">
        <v>495</v>
      </c>
      <c r="F106" s="4">
        <v>577</v>
      </c>
      <c r="G106" s="4">
        <v>688</v>
      </c>
      <c r="H106" s="4">
        <v>802</v>
      </c>
      <c r="I106" s="4">
        <v>811</v>
      </c>
      <c r="J106" s="4">
        <v>829</v>
      </c>
      <c r="K106" s="4">
        <v>899</v>
      </c>
      <c r="L106" s="4">
        <v>1098</v>
      </c>
      <c r="M106" s="100">
        <f t="shared" si="27"/>
        <v>0.61470588235294121</v>
      </c>
      <c r="N106" s="110">
        <f t="shared" si="26"/>
        <v>0.22135706340378197</v>
      </c>
      <c r="O106" s="40"/>
    </row>
    <row r="107" spans="1:15" x14ac:dyDescent="0.2">
      <c r="A107" s="4" t="s">
        <v>67</v>
      </c>
      <c r="B107" s="4">
        <v>240</v>
      </c>
      <c r="C107" s="4">
        <v>206</v>
      </c>
      <c r="D107" s="4">
        <v>211</v>
      </c>
      <c r="E107" s="4">
        <v>408</v>
      </c>
      <c r="F107" s="4">
        <v>371</v>
      </c>
      <c r="G107" s="4">
        <v>477</v>
      </c>
      <c r="H107" s="4">
        <v>516</v>
      </c>
      <c r="I107" s="4">
        <v>608</v>
      </c>
      <c r="J107" s="4">
        <v>701</v>
      </c>
      <c r="K107" s="4">
        <v>758</v>
      </c>
      <c r="L107" s="4">
        <v>1009</v>
      </c>
      <c r="M107" s="100">
        <f t="shared" si="27"/>
        <v>3.2041666666666666</v>
      </c>
      <c r="N107" s="110">
        <f t="shared" si="26"/>
        <v>0.33113456464379948</v>
      </c>
      <c r="O107" s="40"/>
    </row>
    <row r="108" spans="1:15" x14ac:dyDescent="0.2">
      <c r="A108" s="4" t="s">
        <v>64</v>
      </c>
      <c r="B108" s="4">
        <v>234</v>
      </c>
      <c r="C108" s="4">
        <v>217</v>
      </c>
      <c r="D108" s="4">
        <v>280</v>
      </c>
      <c r="E108" s="4">
        <v>407</v>
      </c>
      <c r="F108" s="4">
        <v>403</v>
      </c>
      <c r="G108" s="4">
        <v>465</v>
      </c>
      <c r="H108" s="4">
        <v>594</v>
      </c>
      <c r="I108" s="4">
        <v>598</v>
      </c>
      <c r="J108" s="4">
        <v>820</v>
      </c>
      <c r="K108" s="4">
        <v>849</v>
      </c>
      <c r="L108" s="4">
        <v>949</v>
      </c>
      <c r="M108" s="100">
        <f t="shared" si="27"/>
        <v>3.0555555555555554</v>
      </c>
      <c r="N108" s="110">
        <f t="shared" si="26"/>
        <v>0.11778563015312132</v>
      </c>
      <c r="O108" s="40"/>
    </row>
    <row r="109" spans="1:15" x14ac:dyDescent="0.2">
      <c r="A109" s="4" t="s">
        <v>66</v>
      </c>
      <c r="B109" s="4">
        <v>541</v>
      </c>
      <c r="C109" s="4">
        <v>345</v>
      </c>
      <c r="D109" s="4">
        <v>167</v>
      </c>
      <c r="E109" s="4">
        <v>409</v>
      </c>
      <c r="F109" s="4">
        <v>487</v>
      </c>
      <c r="G109" s="4">
        <v>523</v>
      </c>
      <c r="H109" s="4">
        <v>513</v>
      </c>
      <c r="I109" s="4">
        <v>609</v>
      </c>
      <c r="J109" s="4">
        <v>726</v>
      </c>
      <c r="K109" s="4">
        <v>704</v>
      </c>
      <c r="L109" s="4">
        <v>864</v>
      </c>
      <c r="M109" s="100">
        <f t="shared" si="27"/>
        <v>0.59704251386321627</v>
      </c>
      <c r="N109" s="110">
        <f t="shared" si="26"/>
        <v>0.22727272727272727</v>
      </c>
      <c r="O109" s="40"/>
    </row>
    <row r="110" spans="1:15" x14ac:dyDescent="0.2">
      <c r="A110" s="4" t="s">
        <v>69</v>
      </c>
      <c r="B110" s="4">
        <v>387</v>
      </c>
      <c r="C110" s="4">
        <v>344</v>
      </c>
      <c r="D110" s="4">
        <v>330</v>
      </c>
      <c r="E110" s="4">
        <v>396</v>
      </c>
      <c r="F110" s="4">
        <v>346</v>
      </c>
      <c r="G110" s="4">
        <v>407</v>
      </c>
      <c r="H110" s="4">
        <v>367</v>
      </c>
      <c r="I110" s="4">
        <v>433</v>
      </c>
      <c r="J110" s="4">
        <v>572</v>
      </c>
      <c r="K110" s="4">
        <v>591</v>
      </c>
      <c r="L110" s="4">
        <v>786</v>
      </c>
      <c r="M110" s="100">
        <f t="shared" si="27"/>
        <v>1.0310077519379846</v>
      </c>
      <c r="N110" s="110">
        <f t="shared" si="26"/>
        <v>0.32994923857868019</v>
      </c>
      <c r="O110" s="40"/>
    </row>
    <row r="111" spans="1:15" x14ac:dyDescent="0.2">
      <c r="A111" s="4" t="s">
        <v>308</v>
      </c>
      <c r="B111" s="4">
        <v>140</v>
      </c>
      <c r="C111" s="4">
        <v>213</v>
      </c>
      <c r="D111" s="4">
        <v>101</v>
      </c>
      <c r="E111" s="4">
        <v>141</v>
      </c>
      <c r="F111" s="4">
        <v>275</v>
      </c>
      <c r="G111" s="4">
        <v>271</v>
      </c>
      <c r="H111" s="4">
        <v>284</v>
      </c>
      <c r="I111" s="4">
        <v>360</v>
      </c>
      <c r="J111" s="4">
        <v>337</v>
      </c>
      <c r="K111" s="4">
        <v>479</v>
      </c>
      <c r="L111" s="4">
        <v>706</v>
      </c>
      <c r="M111" s="100">
        <f t="shared" si="27"/>
        <v>4.0428571428571427</v>
      </c>
      <c r="N111" s="110">
        <f t="shared" si="26"/>
        <v>0.47390396659707723</v>
      </c>
      <c r="O111" s="40"/>
    </row>
    <row r="112" spans="1:15" x14ac:dyDescent="0.2">
      <c r="A112" s="4" t="s">
        <v>65</v>
      </c>
      <c r="B112" s="4">
        <v>298</v>
      </c>
      <c r="C112" s="4">
        <v>277</v>
      </c>
      <c r="D112" s="4">
        <v>154</v>
      </c>
      <c r="E112" s="4">
        <v>362</v>
      </c>
      <c r="F112" s="4">
        <v>519</v>
      </c>
      <c r="G112" s="4">
        <v>580</v>
      </c>
      <c r="H112" s="4">
        <v>537</v>
      </c>
      <c r="I112" s="4">
        <v>556</v>
      </c>
      <c r="J112" s="4">
        <v>582</v>
      </c>
      <c r="K112" s="4">
        <v>541</v>
      </c>
      <c r="L112" s="4">
        <v>700</v>
      </c>
      <c r="M112" s="100">
        <f t="shared" si="27"/>
        <v>1.348993288590604</v>
      </c>
      <c r="N112" s="110">
        <f t="shared" si="26"/>
        <v>0.29390018484288355</v>
      </c>
      <c r="O112" s="40"/>
    </row>
    <row r="113" spans="1:15" x14ac:dyDescent="0.2">
      <c r="A113" s="4" t="s">
        <v>70</v>
      </c>
      <c r="B113" s="4">
        <v>173</v>
      </c>
      <c r="C113" s="4">
        <v>208</v>
      </c>
      <c r="D113" s="4">
        <v>227</v>
      </c>
      <c r="E113" s="4">
        <v>352</v>
      </c>
      <c r="F113" s="4">
        <v>382</v>
      </c>
      <c r="G113" s="4">
        <v>388</v>
      </c>
      <c r="H113" s="4">
        <v>369</v>
      </c>
      <c r="I113" s="4">
        <v>483</v>
      </c>
      <c r="J113" s="4">
        <v>480</v>
      </c>
      <c r="K113" s="4">
        <v>608</v>
      </c>
      <c r="L113" s="4">
        <v>696</v>
      </c>
      <c r="M113" s="100">
        <f t="shared" si="27"/>
        <v>3.0231213872832372</v>
      </c>
      <c r="N113" s="110">
        <f t="shared" si="26"/>
        <v>0.14473684210526316</v>
      </c>
      <c r="O113" s="40"/>
    </row>
    <row r="114" spans="1:15" x14ac:dyDescent="0.2">
      <c r="A114" s="4" t="s">
        <v>63</v>
      </c>
      <c r="B114" s="4">
        <v>253</v>
      </c>
      <c r="C114" s="4">
        <v>228</v>
      </c>
      <c r="D114" s="4">
        <v>224</v>
      </c>
      <c r="E114" s="4">
        <v>763</v>
      </c>
      <c r="F114" s="4">
        <v>702</v>
      </c>
      <c r="G114" s="4">
        <v>719</v>
      </c>
      <c r="H114" s="4">
        <v>662</v>
      </c>
      <c r="I114" s="4">
        <v>608</v>
      </c>
      <c r="J114" s="4">
        <v>644</v>
      </c>
      <c r="K114" s="4">
        <v>643</v>
      </c>
      <c r="L114" s="4">
        <v>642</v>
      </c>
      <c r="M114" s="100">
        <f t="shared" si="27"/>
        <v>1.5375494071146245</v>
      </c>
      <c r="N114" s="110">
        <f t="shared" si="26"/>
        <v>-1.5552099533437014E-3</v>
      </c>
      <c r="O114" s="40"/>
    </row>
    <row r="115" spans="1:15" x14ac:dyDescent="0.2">
      <c r="A115" s="32" t="s">
        <v>260</v>
      </c>
      <c r="B115" s="4">
        <v>217</v>
      </c>
      <c r="C115" s="4">
        <v>201</v>
      </c>
      <c r="D115" s="4">
        <v>264</v>
      </c>
      <c r="E115" s="4">
        <v>314</v>
      </c>
      <c r="F115" s="4">
        <v>353</v>
      </c>
      <c r="G115" s="4">
        <v>345</v>
      </c>
      <c r="H115" s="4">
        <v>400</v>
      </c>
      <c r="I115" s="4">
        <v>510</v>
      </c>
      <c r="J115" s="4">
        <v>460</v>
      </c>
      <c r="K115" s="4">
        <v>531</v>
      </c>
      <c r="L115" s="4">
        <v>598</v>
      </c>
      <c r="M115" s="100">
        <f t="shared" si="27"/>
        <v>1.7557603686635945</v>
      </c>
      <c r="N115" s="110">
        <f t="shared" si="26"/>
        <v>0.12617702448210924</v>
      </c>
      <c r="O115" s="40"/>
    </row>
    <row r="116" spans="1:15" x14ac:dyDescent="0.2">
      <c r="A116" s="32" t="s">
        <v>60</v>
      </c>
      <c r="B116" s="4">
        <v>455</v>
      </c>
      <c r="C116" s="4">
        <v>538</v>
      </c>
      <c r="D116" s="4">
        <v>732</v>
      </c>
      <c r="E116" s="4">
        <v>655</v>
      </c>
      <c r="F116" s="4">
        <v>713</v>
      </c>
      <c r="G116" s="4">
        <v>798</v>
      </c>
      <c r="H116" s="4">
        <v>782</v>
      </c>
      <c r="I116" s="4">
        <v>782</v>
      </c>
      <c r="J116" s="4">
        <v>811</v>
      </c>
      <c r="K116" s="4">
        <v>821</v>
      </c>
      <c r="L116" s="4">
        <v>562</v>
      </c>
      <c r="M116" s="100">
        <f t="shared" si="27"/>
        <v>0.23516483516483516</v>
      </c>
      <c r="N116" s="110">
        <f t="shared" si="26"/>
        <v>-0.31546894031668699</v>
      </c>
      <c r="O116" s="40"/>
    </row>
    <row r="117" spans="1:15" x14ac:dyDescent="0.2">
      <c r="A117" s="4" t="s">
        <v>68</v>
      </c>
      <c r="B117" s="4">
        <v>24</v>
      </c>
      <c r="C117" s="4">
        <v>10</v>
      </c>
      <c r="D117" s="4">
        <v>86</v>
      </c>
      <c r="E117" s="4">
        <v>166</v>
      </c>
      <c r="F117" s="4">
        <v>217</v>
      </c>
      <c r="G117" s="4">
        <v>338</v>
      </c>
      <c r="H117" s="4">
        <v>373</v>
      </c>
      <c r="I117" s="4">
        <v>527</v>
      </c>
      <c r="J117" s="4">
        <v>604</v>
      </c>
      <c r="K117" s="4">
        <v>622</v>
      </c>
      <c r="L117" s="4">
        <v>553</v>
      </c>
      <c r="M117" s="100">
        <f t="shared" si="27"/>
        <v>22.041666666666668</v>
      </c>
      <c r="N117" s="110">
        <f t="shared" si="26"/>
        <v>-0.11093247588424437</v>
      </c>
      <c r="O117" s="40"/>
    </row>
    <row r="118" spans="1:15" x14ac:dyDescent="0.2">
      <c r="A118" s="4" t="s">
        <v>316</v>
      </c>
      <c r="B118" s="4">
        <v>108</v>
      </c>
      <c r="C118" s="4">
        <v>135</v>
      </c>
      <c r="D118" s="4">
        <v>145</v>
      </c>
      <c r="E118" s="4">
        <v>332</v>
      </c>
      <c r="F118" s="4">
        <v>286</v>
      </c>
      <c r="G118" s="4">
        <v>379</v>
      </c>
      <c r="H118" s="4">
        <v>343</v>
      </c>
      <c r="I118" s="4">
        <v>384</v>
      </c>
      <c r="J118" s="4">
        <v>395</v>
      </c>
      <c r="K118" s="4">
        <v>417</v>
      </c>
      <c r="L118" s="4">
        <v>427</v>
      </c>
      <c r="M118" s="100">
        <f t="shared" si="27"/>
        <v>2.9537037037037037</v>
      </c>
      <c r="N118" s="110">
        <f t="shared" si="26"/>
        <v>2.3980815347721823E-2</v>
      </c>
      <c r="O118" s="40"/>
    </row>
    <row r="119" spans="1:15" x14ac:dyDescent="0.2">
      <c r="O119" s="40"/>
    </row>
    <row r="120" spans="1:15" ht="15.75" x14ac:dyDescent="0.2">
      <c r="A120" s="41" t="s">
        <v>71</v>
      </c>
      <c r="B120" s="41"/>
      <c r="C120" s="41"/>
      <c r="D120" s="41"/>
      <c r="E120" s="41"/>
      <c r="F120" s="40"/>
      <c r="G120" s="40"/>
      <c r="H120" s="40"/>
      <c r="I120" s="40"/>
      <c r="J120" s="40"/>
      <c r="K120" s="40"/>
      <c r="L120" s="40"/>
      <c r="M120" s="40"/>
      <c r="N120" s="40"/>
      <c r="O120" s="40"/>
    </row>
    <row r="121" spans="1:15" ht="25.5" x14ac:dyDescent="0.2">
      <c r="A121" s="88" t="s">
        <v>53</v>
      </c>
      <c r="B121" s="3">
        <v>2008</v>
      </c>
      <c r="C121" s="3">
        <v>2009</v>
      </c>
      <c r="D121" s="3">
        <v>2010</v>
      </c>
      <c r="E121" s="3">
        <v>2011</v>
      </c>
      <c r="F121" s="3">
        <v>2012</v>
      </c>
      <c r="G121" s="3">
        <v>2013</v>
      </c>
      <c r="H121" s="3">
        <v>2014</v>
      </c>
      <c r="I121" s="3">
        <v>2015</v>
      </c>
      <c r="J121" s="3">
        <v>2016</v>
      </c>
      <c r="K121" s="3">
        <v>2017</v>
      </c>
      <c r="L121" s="3">
        <v>2018</v>
      </c>
      <c r="M121" s="13" t="s">
        <v>395</v>
      </c>
      <c r="N121" s="13" t="s">
        <v>394</v>
      </c>
      <c r="O121" s="40"/>
    </row>
    <row r="122" spans="1:15" x14ac:dyDescent="0.2">
      <c r="A122" s="4" t="s">
        <v>54</v>
      </c>
      <c r="B122" s="4">
        <v>2391</v>
      </c>
      <c r="C122" s="4">
        <v>3064</v>
      </c>
      <c r="D122" s="4">
        <v>3445</v>
      </c>
      <c r="E122" s="4">
        <v>3751</v>
      </c>
      <c r="F122" s="4">
        <v>4629</v>
      </c>
      <c r="G122" s="4">
        <v>5507</v>
      </c>
      <c r="H122" s="4">
        <v>6143</v>
      </c>
      <c r="I122" s="4">
        <v>6742</v>
      </c>
      <c r="J122" s="4">
        <v>6882</v>
      </c>
      <c r="K122" s="4">
        <v>6660</v>
      </c>
      <c r="L122" s="4">
        <v>6389</v>
      </c>
      <c r="M122" s="100">
        <f t="shared" ref="M122:M141" si="28">(L122-B122)/B122</f>
        <v>1.6721037222919282</v>
      </c>
      <c r="N122" s="110">
        <f t="shared" ref="N122:N141" si="29">(L122-K122)/K122</f>
        <v>-4.0690690690690694E-2</v>
      </c>
      <c r="O122" s="40"/>
    </row>
    <row r="123" spans="1:15" x14ac:dyDescent="0.2">
      <c r="A123" s="4" t="s">
        <v>72</v>
      </c>
      <c r="B123" s="4">
        <v>748</v>
      </c>
      <c r="C123" s="4">
        <v>846</v>
      </c>
      <c r="D123" s="4">
        <v>948</v>
      </c>
      <c r="E123" s="4">
        <v>1423</v>
      </c>
      <c r="F123" s="4">
        <v>1865</v>
      </c>
      <c r="G123" s="4">
        <v>2990</v>
      </c>
      <c r="H123" s="4">
        <v>3464</v>
      </c>
      <c r="I123" s="4">
        <v>4465</v>
      </c>
      <c r="J123" s="4">
        <v>5383</v>
      </c>
      <c r="K123" s="4">
        <v>5940</v>
      </c>
      <c r="L123" s="4">
        <v>6209</v>
      </c>
      <c r="M123" s="100">
        <f t="shared" si="28"/>
        <v>7.3008021390374331</v>
      </c>
      <c r="N123" s="110">
        <f t="shared" si="29"/>
        <v>4.5286195286195284E-2</v>
      </c>
      <c r="O123" s="40"/>
    </row>
    <row r="124" spans="1:15" x14ac:dyDescent="0.2">
      <c r="A124" s="4" t="s">
        <v>56</v>
      </c>
      <c r="B124" s="4">
        <v>437</v>
      </c>
      <c r="C124" s="4">
        <v>756</v>
      </c>
      <c r="D124" s="4">
        <v>987</v>
      </c>
      <c r="E124" s="4">
        <v>1493</v>
      </c>
      <c r="F124" s="4">
        <v>2189</v>
      </c>
      <c r="G124" s="4">
        <v>2684</v>
      </c>
      <c r="H124" s="4">
        <v>3766</v>
      </c>
      <c r="I124" s="4">
        <v>4490</v>
      </c>
      <c r="J124" s="4">
        <v>5734</v>
      </c>
      <c r="K124" s="4">
        <v>5411</v>
      </c>
      <c r="L124" s="4">
        <v>5504</v>
      </c>
      <c r="M124" s="100">
        <f t="shared" si="28"/>
        <v>11.594965675057209</v>
      </c>
      <c r="N124" s="110">
        <f t="shared" si="29"/>
        <v>1.7187211236370358E-2</v>
      </c>
      <c r="O124" s="40"/>
    </row>
    <row r="125" spans="1:15" x14ac:dyDescent="0.2">
      <c r="A125" s="4" t="s">
        <v>73</v>
      </c>
      <c r="B125" s="4">
        <v>445</v>
      </c>
      <c r="C125" s="4">
        <v>404</v>
      </c>
      <c r="D125" s="4">
        <v>505</v>
      </c>
      <c r="E125" s="4">
        <v>878</v>
      </c>
      <c r="F125" s="4">
        <v>1402</v>
      </c>
      <c r="G125" s="4">
        <v>1618</v>
      </c>
      <c r="H125" s="4">
        <v>2117</v>
      </c>
      <c r="I125" s="4">
        <v>2759</v>
      </c>
      <c r="J125" s="4">
        <v>3032</v>
      </c>
      <c r="K125" s="4">
        <v>3249</v>
      </c>
      <c r="L125" s="4">
        <v>3901</v>
      </c>
      <c r="M125" s="100">
        <f t="shared" si="28"/>
        <v>7.7662921348314606</v>
      </c>
      <c r="N125" s="110">
        <f t="shared" si="29"/>
        <v>0.20067713142505386</v>
      </c>
      <c r="O125" s="40"/>
    </row>
    <row r="126" spans="1:15" x14ac:dyDescent="0.2">
      <c r="A126" s="32" t="s">
        <v>57</v>
      </c>
      <c r="B126" s="4">
        <v>123</v>
      </c>
      <c r="C126" s="4">
        <v>158</v>
      </c>
      <c r="D126" s="4">
        <v>305</v>
      </c>
      <c r="E126" s="4">
        <v>771</v>
      </c>
      <c r="F126" s="4">
        <v>1004</v>
      </c>
      <c r="G126" s="4">
        <v>1396</v>
      </c>
      <c r="H126" s="4">
        <v>1601</v>
      </c>
      <c r="I126" s="4">
        <v>1968</v>
      </c>
      <c r="J126" s="4">
        <v>2161</v>
      </c>
      <c r="K126" s="4">
        <v>3320</v>
      </c>
      <c r="L126" s="4">
        <v>3652</v>
      </c>
      <c r="M126" s="100">
        <f t="shared" si="28"/>
        <v>28.691056910569106</v>
      </c>
      <c r="N126" s="110">
        <f t="shared" si="29"/>
        <v>0.1</v>
      </c>
      <c r="O126" s="40"/>
    </row>
    <row r="127" spans="1:15" x14ac:dyDescent="0.2">
      <c r="A127" s="32" t="s">
        <v>74</v>
      </c>
      <c r="B127" s="4">
        <v>390</v>
      </c>
      <c r="C127" s="4">
        <v>605</v>
      </c>
      <c r="D127" s="4">
        <v>550</v>
      </c>
      <c r="E127" s="4">
        <v>769</v>
      </c>
      <c r="F127" s="4">
        <v>1251</v>
      </c>
      <c r="G127" s="4">
        <v>1746</v>
      </c>
      <c r="H127" s="4">
        <v>2048</v>
      </c>
      <c r="I127" s="4">
        <v>2380</v>
      </c>
      <c r="J127" s="4">
        <v>2546</v>
      </c>
      <c r="K127" s="4">
        <v>2734</v>
      </c>
      <c r="L127" s="4">
        <v>3060</v>
      </c>
      <c r="M127" s="100">
        <f t="shared" si="28"/>
        <v>6.8461538461538458</v>
      </c>
      <c r="N127" s="110">
        <f t="shared" si="29"/>
        <v>0.11923920994879297</v>
      </c>
      <c r="O127" s="40"/>
    </row>
    <row r="128" spans="1:15" x14ac:dyDescent="0.2">
      <c r="A128" s="4" t="s">
        <v>55</v>
      </c>
      <c r="B128" s="4">
        <v>249</v>
      </c>
      <c r="C128" s="4">
        <v>351</v>
      </c>
      <c r="D128" s="4">
        <v>527</v>
      </c>
      <c r="E128" s="4">
        <v>1002</v>
      </c>
      <c r="F128" s="4">
        <v>1569</v>
      </c>
      <c r="G128" s="4">
        <v>2330</v>
      </c>
      <c r="H128" s="4">
        <v>3753</v>
      </c>
      <c r="I128" s="4">
        <v>5057</v>
      </c>
      <c r="J128" s="4">
        <v>4666</v>
      </c>
      <c r="K128" s="4">
        <v>3472</v>
      </c>
      <c r="L128" s="4">
        <v>2471</v>
      </c>
      <c r="M128" s="100">
        <f t="shared" si="28"/>
        <v>8.9236947791164667</v>
      </c>
      <c r="N128" s="110">
        <f t="shared" si="29"/>
        <v>-0.28830645161290325</v>
      </c>
      <c r="O128" s="40"/>
    </row>
    <row r="129" spans="1:15" x14ac:dyDescent="0.2">
      <c r="A129" s="4" t="s">
        <v>80</v>
      </c>
      <c r="B129" s="4">
        <v>254</v>
      </c>
      <c r="C129" s="4">
        <v>325</v>
      </c>
      <c r="D129" s="4">
        <v>256</v>
      </c>
      <c r="E129" s="4">
        <v>504</v>
      </c>
      <c r="F129" s="4">
        <v>811</v>
      </c>
      <c r="G129" s="4">
        <v>925</v>
      </c>
      <c r="H129" s="4">
        <v>1079</v>
      </c>
      <c r="I129" s="4">
        <v>1309</v>
      </c>
      <c r="J129" s="4">
        <v>1680</v>
      </c>
      <c r="K129" s="4">
        <v>2082</v>
      </c>
      <c r="L129" s="4">
        <v>2318</v>
      </c>
      <c r="M129" s="100">
        <f t="shared" si="28"/>
        <v>8.1259842519685037</v>
      </c>
      <c r="N129" s="110">
        <f t="shared" si="29"/>
        <v>0.11335254562920269</v>
      </c>
      <c r="O129" s="40"/>
    </row>
    <row r="130" spans="1:15" x14ac:dyDescent="0.2">
      <c r="A130" s="4" t="s">
        <v>75</v>
      </c>
      <c r="B130" s="4">
        <v>777</v>
      </c>
      <c r="C130" s="4">
        <v>762</v>
      </c>
      <c r="D130" s="4">
        <v>810</v>
      </c>
      <c r="E130" s="4">
        <v>1013</v>
      </c>
      <c r="F130" s="4">
        <v>1292</v>
      </c>
      <c r="G130" s="4">
        <v>1336</v>
      </c>
      <c r="H130" s="4">
        <v>1539</v>
      </c>
      <c r="I130" s="4">
        <v>1837</v>
      </c>
      <c r="J130" s="4">
        <v>1670</v>
      </c>
      <c r="K130" s="4">
        <v>1802</v>
      </c>
      <c r="L130" s="4">
        <v>2069</v>
      </c>
      <c r="M130" s="100">
        <f t="shared" si="28"/>
        <v>1.6628056628056629</v>
      </c>
      <c r="N130" s="110">
        <f t="shared" si="29"/>
        <v>0.14816870144284128</v>
      </c>
      <c r="O130" s="40"/>
    </row>
    <row r="131" spans="1:15" x14ac:dyDescent="0.2">
      <c r="A131" s="4" t="s">
        <v>78</v>
      </c>
      <c r="B131" s="4">
        <v>519</v>
      </c>
      <c r="C131" s="4">
        <v>867</v>
      </c>
      <c r="D131" s="4">
        <v>864</v>
      </c>
      <c r="E131" s="4">
        <v>906</v>
      </c>
      <c r="F131" s="4">
        <v>921</v>
      </c>
      <c r="G131" s="4">
        <v>1099</v>
      </c>
      <c r="H131" s="4">
        <v>1266</v>
      </c>
      <c r="I131" s="4">
        <v>1393</v>
      </c>
      <c r="J131" s="4">
        <v>1517</v>
      </c>
      <c r="K131" s="4">
        <v>1759</v>
      </c>
      <c r="L131" s="4">
        <v>1962</v>
      </c>
      <c r="M131" s="100">
        <f t="shared" si="28"/>
        <v>2.7803468208092488</v>
      </c>
      <c r="N131" s="110">
        <f t="shared" si="29"/>
        <v>0.11540648095508811</v>
      </c>
      <c r="O131" s="40"/>
    </row>
    <row r="132" spans="1:15" x14ac:dyDescent="0.2">
      <c r="A132" s="4" t="s">
        <v>67</v>
      </c>
      <c r="B132" s="4">
        <v>260</v>
      </c>
      <c r="C132" s="4">
        <v>342</v>
      </c>
      <c r="D132" s="4">
        <v>541</v>
      </c>
      <c r="E132" s="4">
        <v>603</v>
      </c>
      <c r="F132" s="4">
        <v>768</v>
      </c>
      <c r="G132" s="4">
        <v>933</v>
      </c>
      <c r="H132" s="4">
        <v>1249</v>
      </c>
      <c r="I132" s="4">
        <v>1517</v>
      </c>
      <c r="J132" s="4">
        <v>1667</v>
      </c>
      <c r="K132" s="4">
        <v>1780</v>
      </c>
      <c r="L132" s="4">
        <v>1614</v>
      </c>
      <c r="M132" s="100">
        <f t="shared" si="28"/>
        <v>5.2076923076923078</v>
      </c>
      <c r="N132" s="110">
        <f t="shared" si="29"/>
        <v>-9.3258426966292135E-2</v>
      </c>
      <c r="O132" s="40"/>
    </row>
    <row r="133" spans="1:15" x14ac:dyDescent="0.2">
      <c r="A133" s="4" t="s">
        <v>81</v>
      </c>
      <c r="B133" s="4">
        <v>240</v>
      </c>
      <c r="C133" s="4">
        <v>293</v>
      </c>
      <c r="D133" s="4">
        <v>267</v>
      </c>
      <c r="E133" s="4">
        <v>395</v>
      </c>
      <c r="F133" s="4">
        <v>479</v>
      </c>
      <c r="G133" s="4">
        <v>682</v>
      </c>
      <c r="H133" s="4">
        <v>778</v>
      </c>
      <c r="I133" s="4">
        <v>1011</v>
      </c>
      <c r="J133" s="4">
        <v>1069</v>
      </c>
      <c r="K133" s="4">
        <v>1379</v>
      </c>
      <c r="L133" s="4">
        <v>1604</v>
      </c>
      <c r="M133" s="100">
        <f t="shared" si="28"/>
        <v>5.6833333333333336</v>
      </c>
      <c r="N133" s="110">
        <f t="shared" si="29"/>
        <v>0.16316171138506164</v>
      </c>
      <c r="O133" s="40"/>
    </row>
    <row r="134" spans="1:15" x14ac:dyDescent="0.2">
      <c r="A134" s="4" t="s">
        <v>76</v>
      </c>
      <c r="B134" s="4">
        <v>292</v>
      </c>
      <c r="C134" s="4">
        <v>388</v>
      </c>
      <c r="D134" s="4">
        <v>549</v>
      </c>
      <c r="E134" s="4">
        <v>570</v>
      </c>
      <c r="F134" s="4">
        <v>589</v>
      </c>
      <c r="G134" s="4">
        <v>1043</v>
      </c>
      <c r="H134" s="4">
        <v>1329</v>
      </c>
      <c r="I134" s="4">
        <v>1450</v>
      </c>
      <c r="J134" s="4">
        <v>1633</v>
      </c>
      <c r="K134" s="4">
        <v>2164</v>
      </c>
      <c r="L134" s="4">
        <v>1557</v>
      </c>
      <c r="M134" s="100">
        <f t="shared" si="28"/>
        <v>4.3321917808219181</v>
      </c>
      <c r="N134" s="110">
        <f t="shared" si="29"/>
        <v>-0.28049907578558225</v>
      </c>
      <c r="O134" s="40"/>
    </row>
    <row r="135" spans="1:15" x14ac:dyDescent="0.2">
      <c r="A135" s="4" t="s">
        <v>267</v>
      </c>
      <c r="B135" s="4">
        <v>79</v>
      </c>
      <c r="C135" s="4">
        <v>106</v>
      </c>
      <c r="D135" s="4">
        <v>175</v>
      </c>
      <c r="E135" s="4">
        <v>200</v>
      </c>
      <c r="F135" s="4">
        <v>316</v>
      </c>
      <c r="G135" s="4">
        <v>384</v>
      </c>
      <c r="H135" s="4">
        <v>499</v>
      </c>
      <c r="I135" s="4">
        <v>598</v>
      </c>
      <c r="J135" s="4">
        <v>1251</v>
      </c>
      <c r="K135" s="4">
        <v>1109</v>
      </c>
      <c r="L135" s="4">
        <v>1546</v>
      </c>
      <c r="M135" s="100">
        <f t="shared" si="28"/>
        <v>18.569620253164558</v>
      </c>
      <c r="N135" s="110">
        <f t="shared" si="29"/>
        <v>0.39404869251578001</v>
      </c>
      <c r="O135" s="40"/>
    </row>
    <row r="136" spans="1:15" x14ac:dyDescent="0.2">
      <c r="A136" s="4" t="s">
        <v>77</v>
      </c>
      <c r="B136" s="4">
        <v>616</v>
      </c>
      <c r="C136" s="4">
        <v>637</v>
      </c>
      <c r="D136" s="4">
        <v>563</v>
      </c>
      <c r="E136" s="4">
        <v>649</v>
      </c>
      <c r="F136" s="4">
        <v>827</v>
      </c>
      <c r="G136" s="4">
        <v>947</v>
      </c>
      <c r="H136" s="4">
        <v>1175</v>
      </c>
      <c r="I136" s="4">
        <v>1325</v>
      </c>
      <c r="J136" s="4">
        <v>1502</v>
      </c>
      <c r="K136" s="4">
        <v>1498</v>
      </c>
      <c r="L136" s="4">
        <v>1451</v>
      </c>
      <c r="M136" s="100">
        <f t="shared" si="28"/>
        <v>1.3555194805194806</v>
      </c>
      <c r="N136" s="110">
        <f t="shared" si="29"/>
        <v>-3.1375166889185582E-2</v>
      </c>
      <c r="O136" s="40"/>
    </row>
    <row r="137" spans="1:15" x14ac:dyDescent="0.2">
      <c r="A137" s="4" t="s">
        <v>69</v>
      </c>
      <c r="B137" s="4">
        <v>200</v>
      </c>
      <c r="C137" s="4">
        <v>365</v>
      </c>
      <c r="D137" s="4">
        <v>405</v>
      </c>
      <c r="E137" s="4">
        <v>512</v>
      </c>
      <c r="F137" s="4">
        <v>595</v>
      </c>
      <c r="G137" s="4">
        <v>817</v>
      </c>
      <c r="H137" s="4">
        <v>896</v>
      </c>
      <c r="I137" s="4">
        <v>931</v>
      </c>
      <c r="J137" s="4">
        <v>995</v>
      </c>
      <c r="K137" s="4">
        <v>1231</v>
      </c>
      <c r="L137" s="4">
        <v>1243</v>
      </c>
      <c r="M137" s="100">
        <f t="shared" si="28"/>
        <v>5.2149999999999999</v>
      </c>
      <c r="N137" s="110">
        <f t="shared" si="29"/>
        <v>9.7481722177091799E-3</v>
      </c>
      <c r="O137" s="40"/>
    </row>
    <row r="138" spans="1:15" x14ac:dyDescent="0.2">
      <c r="A138" s="32" t="s">
        <v>59</v>
      </c>
      <c r="B138" s="4">
        <v>97</v>
      </c>
      <c r="C138" s="4">
        <v>178</v>
      </c>
      <c r="D138" s="4">
        <v>273</v>
      </c>
      <c r="E138" s="4">
        <v>314</v>
      </c>
      <c r="F138" s="4">
        <v>376</v>
      </c>
      <c r="G138" s="4">
        <v>426</v>
      </c>
      <c r="H138" s="4">
        <v>677</v>
      </c>
      <c r="I138" s="4">
        <v>789</v>
      </c>
      <c r="J138" s="4">
        <v>1040</v>
      </c>
      <c r="K138" s="4">
        <v>1109</v>
      </c>
      <c r="L138" s="4">
        <v>1198</v>
      </c>
      <c r="M138" s="100">
        <f t="shared" si="28"/>
        <v>11.350515463917526</v>
      </c>
      <c r="N138" s="110">
        <f t="shared" si="29"/>
        <v>8.025247971145176E-2</v>
      </c>
      <c r="O138" s="40"/>
    </row>
    <row r="139" spans="1:15" x14ac:dyDescent="0.2">
      <c r="A139" s="32" t="s">
        <v>65</v>
      </c>
      <c r="B139" s="4">
        <v>274</v>
      </c>
      <c r="C139" s="4">
        <v>364</v>
      </c>
      <c r="D139" s="4">
        <v>391</v>
      </c>
      <c r="E139" s="4">
        <v>588</v>
      </c>
      <c r="F139" s="4">
        <v>849</v>
      </c>
      <c r="G139" s="4">
        <v>841</v>
      </c>
      <c r="H139" s="4">
        <v>913</v>
      </c>
      <c r="I139" s="4">
        <v>1051</v>
      </c>
      <c r="J139" s="4">
        <v>1235</v>
      </c>
      <c r="K139" s="4">
        <v>1279</v>
      </c>
      <c r="L139" s="4">
        <v>1152</v>
      </c>
      <c r="M139" s="100">
        <f t="shared" si="28"/>
        <v>3.2043795620437958</v>
      </c>
      <c r="N139" s="110">
        <f t="shared" si="29"/>
        <v>-9.929632525410477E-2</v>
      </c>
      <c r="O139" s="40"/>
    </row>
    <row r="140" spans="1:15" x14ac:dyDescent="0.2">
      <c r="A140" s="4" t="s">
        <v>68</v>
      </c>
      <c r="B140" s="4">
        <v>109</v>
      </c>
      <c r="C140" s="4">
        <v>203</v>
      </c>
      <c r="D140" s="4">
        <v>102</v>
      </c>
      <c r="E140" s="4">
        <v>167</v>
      </c>
      <c r="F140" s="4">
        <v>199</v>
      </c>
      <c r="G140" s="4">
        <v>272</v>
      </c>
      <c r="H140" s="4">
        <v>499</v>
      </c>
      <c r="I140" s="4">
        <v>671</v>
      </c>
      <c r="J140" s="4">
        <v>748</v>
      </c>
      <c r="K140" s="4">
        <v>911</v>
      </c>
      <c r="L140" s="4">
        <v>1146</v>
      </c>
      <c r="M140" s="100">
        <f t="shared" si="28"/>
        <v>9.5137614678899087</v>
      </c>
      <c r="N140" s="110">
        <f t="shared" si="29"/>
        <v>0.25795828759604827</v>
      </c>
      <c r="O140" s="40"/>
    </row>
    <row r="141" spans="1:15" x14ac:dyDescent="0.2">
      <c r="A141" s="4" t="s">
        <v>61</v>
      </c>
      <c r="B141" s="4">
        <v>25</v>
      </c>
      <c r="C141" s="4">
        <v>63</v>
      </c>
      <c r="D141" s="4">
        <v>162</v>
      </c>
      <c r="E141" s="4">
        <v>232</v>
      </c>
      <c r="F141" s="4">
        <v>433</v>
      </c>
      <c r="G141" s="4">
        <v>523</v>
      </c>
      <c r="H141" s="4">
        <v>682</v>
      </c>
      <c r="I141" s="4">
        <v>914</v>
      </c>
      <c r="J141" s="4">
        <v>1002</v>
      </c>
      <c r="K141" s="4">
        <v>1083</v>
      </c>
      <c r="L141" s="4">
        <v>1059</v>
      </c>
      <c r="M141" s="100">
        <f t="shared" si="28"/>
        <v>41.36</v>
      </c>
      <c r="N141" s="110">
        <f t="shared" si="29"/>
        <v>-2.2160664819944598E-2</v>
      </c>
      <c r="O141" s="40"/>
    </row>
    <row r="142" spans="1:15" x14ac:dyDescent="0.2">
      <c r="O142" s="40"/>
    </row>
    <row r="143" spans="1:15" ht="15.75" x14ac:dyDescent="0.2">
      <c r="A143" s="41" t="s">
        <v>82</v>
      </c>
      <c r="B143" s="41"/>
      <c r="C143" s="41"/>
      <c r="D143" s="41"/>
      <c r="E143" s="41"/>
      <c r="F143" s="40"/>
      <c r="G143" s="40"/>
      <c r="H143" s="40"/>
      <c r="I143" s="40"/>
      <c r="J143" s="40"/>
      <c r="K143" s="40"/>
      <c r="L143" s="40"/>
      <c r="M143" s="40"/>
      <c r="N143" s="40"/>
      <c r="O143" s="40"/>
    </row>
    <row r="144" spans="1:15" ht="25.5" x14ac:dyDescent="0.2">
      <c r="A144" s="88" t="s">
        <v>53</v>
      </c>
      <c r="B144" s="3">
        <v>2008</v>
      </c>
      <c r="C144" s="3">
        <v>2009</v>
      </c>
      <c r="D144" s="3">
        <v>2010</v>
      </c>
      <c r="E144" s="3">
        <v>2011</v>
      </c>
      <c r="F144" s="3">
        <v>2012</v>
      </c>
      <c r="G144" s="3">
        <v>2013</v>
      </c>
      <c r="H144" s="3">
        <v>2014</v>
      </c>
      <c r="I144" s="3">
        <v>2015</v>
      </c>
      <c r="J144" s="3">
        <v>2016</v>
      </c>
      <c r="K144" s="3">
        <v>2017</v>
      </c>
      <c r="L144" s="3">
        <v>2018</v>
      </c>
      <c r="M144" s="13" t="s">
        <v>395</v>
      </c>
      <c r="N144" s="13" t="s">
        <v>394</v>
      </c>
      <c r="O144" s="40"/>
    </row>
    <row r="145" spans="1:15" x14ac:dyDescent="0.2">
      <c r="A145" s="4" t="s">
        <v>83</v>
      </c>
      <c r="B145" s="4">
        <v>3714</v>
      </c>
      <c r="C145" s="4">
        <v>4156</v>
      </c>
      <c r="D145" s="4">
        <v>3673</v>
      </c>
      <c r="E145" s="4">
        <v>4237</v>
      </c>
      <c r="F145" s="4">
        <v>4599</v>
      </c>
      <c r="G145" s="4">
        <v>5515</v>
      </c>
      <c r="H145" s="4">
        <v>6069</v>
      </c>
      <c r="I145" s="4">
        <v>6667</v>
      </c>
      <c r="J145" s="4">
        <v>6726</v>
      </c>
      <c r="K145" s="4">
        <v>7266</v>
      </c>
      <c r="L145" s="4">
        <v>6979</v>
      </c>
      <c r="M145" s="100">
        <f>(L145-B145)/B145</f>
        <v>0.87910608508346799</v>
      </c>
      <c r="N145" s="110">
        <f t="shared" ref="N145:N164" si="30">(L145-K145)/K145</f>
        <v>-3.9499036608863197E-2</v>
      </c>
      <c r="O145" s="40"/>
    </row>
    <row r="146" spans="1:15" x14ac:dyDescent="0.2">
      <c r="A146" s="4" t="s">
        <v>85</v>
      </c>
      <c r="B146" s="4">
        <v>1616</v>
      </c>
      <c r="C146" s="4">
        <v>1808</v>
      </c>
      <c r="D146" s="4">
        <v>1826</v>
      </c>
      <c r="E146" s="4">
        <v>2162</v>
      </c>
      <c r="F146" s="4">
        <v>2623</v>
      </c>
      <c r="G146" s="4">
        <v>3449</v>
      </c>
      <c r="H146" s="4">
        <v>4385</v>
      </c>
      <c r="I146" s="4">
        <v>4805</v>
      </c>
      <c r="J146" s="4">
        <v>5315</v>
      </c>
      <c r="K146" s="4">
        <v>5604</v>
      </c>
      <c r="L146" s="4">
        <v>5768</v>
      </c>
      <c r="M146" s="100">
        <f t="shared" ref="M146:M164" si="31">(L146-B146)/B146</f>
        <v>2.5693069306930694</v>
      </c>
      <c r="N146" s="110">
        <f t="shared" si="30"/>
        <v>2.9264810849393291E-2</v>
      </c>
      <c r="O146" s="40"/>
    </row>
    <row r="147" spans="1:15" x14ac:dyDescent="0.2">
      <c r="A147" s="4" t="s">
        <v>84</v>
      </c>
      <c r="B147" s="4">
        <v>1590</v>
      </c>
      <c r="C147" s="4">
        <v>2265</v>
      </c>
      <c r="D147" s="4">
        <v>2068</v>
      </c>
      <c r="E147" s="4">
        <v>2064</v>
      </c>
      <c r="F147" s="4">
        <v>2620</v>
      </c>
      <c r="G147" s="4">
        <v>3555</v>
      </c>
      <c r="H147" s="4">
        <v>3772</v>
      </c>
      <c r="I147" s="4">
        <v>4325</v>
      </c>
      <c r="J147" s="4">
        <v>4360</v>
      </c>
      <c r="K147" s="4">
        <v>4477</v>
      </c>
      <c r="L147" s="4">
        <v>4462</v>
      </c>
      <c r="M147" s="100">
        <f t="shared" si="31"/>
        <v>1.8062893081761007</v>
      </c>
      <c r="N147" s="110">
        <f t="shared" si="30"/>
        <v>-3.3504578959124413E-3</v>
      </c>
      <c r="O147" s="40"/>
    </row>
    <row r="148" spans="1:15" x14ac:dyDescent="0.2">
      <c r="A148" s="4" t="s">
        <v>86</v>
      </c>
      <c r="B148" s="4">
        <v>3267</v>
      </c>
      <c r="C148" s="4">
        <v>3310</v>
      </c>
      <c r="D148" s="4">
        <v>2842</v>
      </c>
      <c r="E148" s="4">
        <v>3149</v>
      </c>
      <c r="F148" s="4">
        <v>3059</v>
      </c>
      <c r="G148" s="4">
        <v>3457</v>
      </c>
      <c r="H148" s="4">
        <v>3718</v>
      </c>
      <c r="I148" s="4">
        <v>4060</v>
      </c>
      <c r="J148" s="4">
        <v>3953</v>
      </c>
      <c r="K148" s="4">
        <v>4065</v>
      </c>
      <c r="L148" s="4">
        <v>4319</v>
      </c>
      <c r="M148" s="100">
        <f t="shared" si="31"/>
        <v>0.32200795837159474</v>
      </c>
      <c r="N148" s="110">
        <f t="shared" si="30"/>
        <v>6.2484624846248463E-2</v>
      </c>
      <c r="O148" s="40"/>
    </row>
    <row r="149" spans="1:15" x14ac:dyDescent="0.2">
      <c r="A149" s="4" t="s">
        <v>91</v>
      </c>
      <c r="B149" s="4">
        <v>1340</v>
      </c>
      <c r="C149" s="4">
        <v>1144</v>
      </c>
      <c r="D149" s="4">
        <v>1168</v>
      </c>
      <c r="E149" s="4">
        <v>1191</v>
      </c>
      <c r="F149" s="4">
        <v>1281</v>
      </c>
      <c r="G149" s="4">
        <v>1922</v>
      </c>
      <c r="H149" s="4">
        <v>1864</v>
      </c>
      <c r="I149" s="4">
        <v>2843</v>
      </c>
      <c r="J149" s="4">
        <v>2664</v>
      </c>
      <c r="K149" s="4">
        <v>2921</v>
      </c>
      <c r="L149" s="4">
        <v>3847</v>
      </c>
      <c r="M149" s="100">
        <f t="shared" si="31"/>
        <v>1.8708955223880597</v>
      </c>
      <c r="N149" s="110">
        <f t="shared" si="30"/>
        <v>0.31701472098596373</v>
      </c>
      <c r="O149" s="40"/>
    </row>
    <row r="150" spans="1:15" x14ac:dyDescent="0.2">
      <c r="A150" s="4" t="s">
        <v>16</v>
      </c>
      <c r="B150" s="4">
        <v>2095</v>
      </c>
      <c r="C150" s="4">
        <v>2409</v>
      </c>
      <c r="D150" s="4">
        <v>2371</v>
      </c>
      <c r="E150" s="4">
        <v>2503</v>
      </c>
      <c r="F150" s="4">
        <v>2604</v>
      </c>
      <c r="G150" s="4">
        <v>2846</v>
      </c>
      <c r="H150" s="4">
        <v>3493</v>
      </c>
      <c r="I150" s="4">
        <v>3495</v>
      </c>
      <c r="J150" s="4">
        <v>3726</v>
      </c>
      <c r="K150" s="4">
        <v>4293</v>
      </c>
      <c r="L150" s="4">
        <v>3787</v>
      </c>
      <c r="M150" s="100">
        <f t="shared" si="31"/>
        <v>0.80763723150357991</v>
      </c>
      <c r="N150" s="110">
        <f t="shared" si="30"/>
        <v>-0.1178662939669229</v>
      </c>
      <c r="O150" s="40"/>
    </row>
    <row r="151" spans="1:15" x14ac:dyDescent="0.2">
      <c r="A151" s="4" t="s">
        <v>73</v>
      </c>
      <c r="B151" s="4">
        <v>1463</v>
      </c>
      <c r="C151" s="4">
        <v>1823</v>
      </c>
      <c r="D151" s="4">
        <v>1792</v>
      </c>
      <c r="E151" s="4">
        <v>2462</v>
      </c>
      <c r="F151" s="4">
        <v>2350</v>
      </c>
      <c r="G151" s="4">
        <v>3072</v>
      </c>
      <c r="H151" s="4">
        <v>3413</v>
      </c>
      <c r="I151" s="4">
        <v>3359</v>
      </c>
      <c r="J151" s="4">
        <v>3361</v>
      </c>
      <c r="K151" s="4">
        <v>3411</v>
      </c>
      <c r="L151" s="4">
        <v>3545</v>
      </c>
      <c r="M151" s="100">
        <f t="shared" si="31"/>
        <v>1.4231032125768968</v>
      </c>
      <c r="N151" s="110">
        <f t="shared" si="30"/>
        <v>3.9284667253004987E-2</v>
      </c>
      <c r="O151" s="40"/>
    </row>
    <row r="152" spans="1:15" x14ac:dyDescent="0.2">
      <c r="A152" s="4" t="s">
        <v>89</v>
      </c>
      <c r="B152" s="4">
        <v>987</v>
      </c>
      <c r="C152" s="4">
        <v>1012</v>
      </c>
      <c r="D152" s="4">
        <v>1114</v>
      </c>
      <c r="E152" s="4">
        <v>1638</v>
      </c>
      <c r="F152" s="4">
        <v>1807</v>
      </c>
      <c r="G152" s="4">
        <v>2437</v>
      </c>
      <c r="H152" s="4">
        <v>2801</v>
      </c>
      <c r="I152" s="4">
        <v>2963</v>
      </c>
      <c r="J152" s="4">
        <v>2846</v>
      </c>
      <c r="K152" s="4">
        <v>3092</v>
      </c>
      <c r="L152" s="4">
        <v>2812</v>
      </c>
      <c r="M152" s="100">
        <f t="shared" si="31"/>
        <v>1.8490374873353597</v>
      </c>
      <c r="N152" s="110">
        <f t="shared" si="30"/>
        <v>-9.0556274256144889E-2</v>
      </c>
      <c r="O152" s="40"/>
    </row>
    <row r="153" spans="1:15" x14ac:dyDescent="0.2">
      <c r="A153" s="4" t="s">
        <v>74</v>
      </c>
      <c r="B153" s="4">
        <v>1712</v>
      </c>
      <c r="C153" s="4">
        <v>1708</v>
      </c>
      <c r="D153" s="4">
        <v>1580</v>
      </c>
      <c r="E153" s="4">
        <v>1927</v>
      </c>
      <c r="F153" s="4">
        <v>1952</v>
      </c>
      <c r="G153" s="4">
        <v>1965</v>
      </c>
      <c r="H153" s="4">
        <v>2385</v>
      </c>
      <c r="I153" s="4">
        <v>2153</v>
      </c>
      <c r="J153" s="4">
        <v>2165</v>
      </c>
      <c r="K153" s="4">
        <v>2363</v>
      </c>
      <c r="L153" s="4">
        <v>2251</v>
      </c>
      <c r="M153" s="100">
        <f t="shared" si="31"/>
        <v>0.31483644859813081</v>
      </c>
      <c r="N153" s="110">
        <f t="shared" si="30"/>
        <v>-4.7397376216673719E-2</v>
      </c>
      <c r="O153" s="40"/>
    </row>
    <row r="154" spans="1:15" x14ac:dyDescent="0.2">
      <c r="A154" s="4" t="s">
        <v>93</v>
      </c>
      <c r="B154" s="4">
        <v>454</v>
      </c>
      <c r="C154" s="4">
        <v>530</v>
      </c>
      <c r="D154" s="4">
        <v>617</v>
      </c>
      <c r="E154" s="4">
        <v>785</v>
      </c>
      <c r="F154" s="4">
        <v>786</v>
      </c>
      <c r="G154" s="4">
        <v>1166</v>
      </c>
      <c r="H154" s="4">
        <v>1407</v>
      </c>
      <c r="I154" s="4">
        <v>1419</v>
      </c>
      <c r="J154" s="4">
        <v>1625</v>
      </c>
      <c r="K154" s="4">
        <v>1851</v>
      </c>
      <c r="L154" s="4">
        <v>1967</v>
      </c>
      <c r="M154" s="100">
        <f t="shared" si="31"/>
        <v>3.3325991189427313</v>
      </c>
      <c r="N154" s="110">
        <f t="shared" si="30"/>
        <v>6.266882766072393E-2</v>
      </c>
      <c r="O154" s="40"/>
    </row>
    <row r="155" spans="1:15" x14ac:dyDescent="0.2">
      <c r="A155" s="4" t="s">
        <v>88</v>
      </c>
      <c r="B155" s="4">
        <v>1644</v>
      </c>
      <c r="C155" s="4">
        <v>2146</v>
      </c>
      <c r="D155" s="4">
        <v>2165</v>
      </c>
      <c r="E155" s="4">
        <v>2404</v>
      </c>
      <c r="F155" s="4">
        <v>2610</v>
      </c>
      <c r="G155" s="4">
        <v>2775</v>
      </c>
      <c r="H155" s="4">
        <v>3004</v>
      </c>
      <c r="I155" s="4">
        <v>2915</v>
      </c>
      <c r="J155" s="4">
        <v>2718</v>
      </c>
      <c r="K155" s="4">
        <v>2379</v>
      </c>
      <c r="L155" s="4">
        <v>1945</v>
      </c>
      <c r="M155" s="100">
        <f t="shared" si="31"/>
        <v>0.18309002433090024</v>
      </c>
      <c r="N155" s="110">
        <f t="shared" si="30"/>
        <v>-0.18242959226565783</v>
      </c>
      <c r="O155" s="40"/>
    </row>
    <row r="156" spans="1:15" x14ac:dyDescent="0.2">
      <c r="A156" s="4" t="s">
        <v>79</v>
      </c>
      <c r="B156" s="4">
        <v>1899</v>
      </c>
      <c r="C156" s="4">
        <v>2034</v>
      </c>
      <c r="D156" s="4">
        <v>2053</v>
      </c>
      <c r="E156" s="4">
        <v>1648</v>
      </c>
      <c r="F156" s="4">
        <v>1523</v>
      </c>
      <c r="G156" s="4">
        <v>1644</v>
      </c>
      <c r="H156" s="4">
        <v>1774</v>
      </c>
      <c r="I156" s="4">
        <v>1549</v>
      </c>
      <c r="J156" s="4">
        <v>1445</v>
      </c>
      <c r="K156" s="4">
        <v>1640</v>
      </c>
      <c r="L156" s="4">
        <v>1877</v>
      </c>
      <c r="M156" s="100">
        <f t="shared" si="31"/>
        <v>-1.1585044760400211E-2</v>
      </c>
      <c r="N156" s="110">
        <f t="shared" si="30"/>
        <v>0.14451219512195121</v>
      </c>
      <c r="O156" s="40"/>
    </row>
    <row r="157" spans="1:15" x14ac:dyDescent="0.2">
      <c r="A157" s="4" t="s">
        <v>90</v>
      </c>
      <c r="B157" s="4">
        <v>1110</v>
      </c>
      <c r="C157" s="4">
        <v>1226</v>
      </c>
      <c r="D157" s="4">
        <v>1421</v>
      </c>
      <c r="E157" s="4">
        <v>1296</v>
      </c>
      <c r="F157" s="4">
        <v>1320</v>
      </c>
      <c r="G157" s="4">
        <v>1502</v>
      </c>
      <c r="H157" s="4">
        <v>1563</v>
      </c>
      <c r="I157" s="4">
        <v>1632</v>
      </c>
      <c r="J157" s="4">
        <v>1598</v>
      </c>
      <c r="K157" s="4">
        <v>1639</v>
      </c>
      <c r="L157" s="4">
        <v>1801</v>
      </c>
      <c r="M157" s="100">
        <f t="shared" si="31"/>
        <v>0.62252252252252249</v>
      </c>
      <c r="N157" s="110">
        <f t="shared" si="30"/>
        <v>9.8840756558877363E-2</v>
      </c>
      <c r="O157" s="40"/>
    </row>
    <row r="158" spans="1:15" x14ac:dyDescent="0.2">
      <c r="A158" s="4" t="s">
        <v>75</v>
      </c>
      <c r="B158" s="4">
        <v>1564</v>
      </c>
      <c r="C158" s="4">
        <v>1559</v>
      </c>
      <c r="D158" s="4">
        <v>1449</v>
      </c>
      <c r="E158" s="4">
        <v>1649</v>
      </c>
      <c r="F158" s="4">
        <v>1846</v>
      </c>
      <c r="G158" s="4">
        <v>2035</v>
      </c>
      <c r="H158" s="4">
        <v>2140</v>
      </c>
      <c r="I158" s="4">
        <v>2222</v>
      </c>
      <c r="J158" s="4">
        <v>1958</v>
      </c>
      <c r="K158" s="4">
        <v>1899</v>
      </c>
      <c r="L158" s="4">
        <v>1704</v>
      </c>
      <c r="M158" s="100">
        <f t="shared" si="31"/>
        <v>8.9514066496163683E-2</v>
      </c>
      <c r="N158" s="110">
        <f t="shared" si="30"/>
        <v>-0.10268562401263823</v>
      </c>
      <c r="O158" s="40"/>
    </row>
    <row r="159" spans="1:15" x14ac:dyDescent="0.2">
      <c r="A159" s="4" t="s">
        <v>261</v>
      </c>
      <c r="B159" s="4">
        <v>404</v>
      </c>
      <c r="C159" s="4">
        <v>490</v>
      </c>
      <c r="D159" s="4">
        <v>571</v>
      </c>
      <c r="E159" s="4">
        <v>587</v>
      </c>
      <c r="F159" s="4">
        <v>915</v>
      </c>
      <c r="G159" s="4">
        <v>934</v>
      </c>
      <c r="H159" s="4">
        <v>1278</v>
      </c>
      <c r="I159" s="4">
        <v>1379</v>
      </c>
      <c r="J159" s="4">
        <v>1624</v>
      </c>
      <c r="K159" s="4">
        <v>1647</v>
      </c>
      <c r="L159" s="4">
        <v>1654</v>
      </c>
      <c r="M159" s="100">
        <f t="shared" si="31"/>
        <v>3.0940594059405941</v>
      </c>
      <c r="N159" s="110">
        <f t="shared" si="30"/>
        <v>4.2501517911353974E-3</v>
      </c>
      <c r="O159" s="40"/>
    </row>
    <row r="160" spans="1:15" x14ac:dyDescent="0.2">
      <c r="A160" s="4" t="s">
        <v>92</v>
      </c>
      <c r="B160" s="4">
        <v>729</v>
      </c>
      <c r="C160" s="4">
        <v>800</v>
      </c>
      <c r="D160" s="4">
        <v>844</v>
      </c>
      <c r="E160" s="4">
        <v>856</v>
      </c>
      <c r="F160" s="4">
        <v>1119</v>
      </c>
      <c r="G160" s="4">
        <v>1235</v>
      </c>
      <c r="H160" s="4">
        <v>1248</v>
      </c>
      <c r="I160" s="4">
        <v>1407</v>
      </c>
      <c r="J160" s="4">
        <v>1525</v>
      </c>
      <c r="K160" s="4">
        <v>1649</v>
      </c>
      <c r="L160" s="4">
        <v>1598</v>
      </c>
      <c r="M160" s="100">
        <f t="shared" si="31"/>
        <v>1.1920438957475994</v>
      </c>
      <c r="N160" s="110">
        <f t="shared" si="30"/>
        <v>-3.0927835051546393E-2</v>
      </c>
      <c r="O160" s="40"/>
    </row>
    <row r="161" spans="1:15" x14ac:dyDescent="0.2">
      <c r="A161" s="4" t="s">
        <v>77</v>
      </c>
      <c r="B161" s="4">
        <v>1401</v>
      </c>
      <c r="C161" s="4">
        <v>1626</v>
      </c>
      <c r="D161" s="4">
        <v>1591</v>
      </c>
      <c r="E161" s="4">
        <v>1585</v>
      </c>
      <c r="F161" s="4">
        <v>1623</v>
      </c>
      <c r="G161" s="4">
        <v>1776</v>
      </c>
      <c r="H161" s="4">
        <v>1928</v>
      </c>
      <c r="I161" s="4">
        <v>1777</v>
      </c>
      <c r="J161" s="4">
        <v>1588</v>
      </c>
      <c r="K161" s="4">
        <v>1435</v>
      </c>
      <c r="L161" s="4">
        <v>1479</v>
      </c>
      <c r="M161" s="100">
        <f t="shared" si="31"/>
        <v>5.5674518201284794E-2</v>
      </c>
      <c r="N161" s="110">
        <f t="shared" si="30"/>
        <v>3.0662020905923345E-2</v>
      </c>
      <c r="O161" s="40"/>
    </row>
    <row r="162" spans="1:15" x14ac:dyDescent="0.2">
      <c r="A162" s="4" t="s">
        <v>317</v>
      </c>
      <c r="B162" s="4">
        <v>602</v>
      </c>
      <c r="C162" s="4">
        <v>812</v>
      </c>
      <c r="D162" s="4">
        <v>660</v>
      </c>
      <c r="E162" s="4">
        <v>745</v>
      </c>
      <c r="F162" s="4">
        <v>768</v>
      </c>
      <c r="G162" s="4">
        <v>990</v>
      </c>
      <c r="H162" s="4">
        <v>1184</v>
      </c>
      <c r="I162" s="4">
        <v>1200</v>
      </c>
      <c r="J162" s="4">
        <v>1073</v>
      </c>
      <c r="K162" s="4">
        <v>1132</v>
      </c>
      <c r="L162" s="4">
        <v>1387</v>
      </c>
      <c r="M162" s="100">
        <f t="shared" si="31"/>
        <v>1.3039867109634551</v>
      </c>
      <c r="N162" s="110">
        <f t="shared" si="30"/>
        <v>0.22526501766784451</v>
      </c>
      <c r="O162" s="40"/>
    </row>
    <row r="163" spans="1:15" x14ac:dyDescent="0.2">
      <c r="A163" s="4" t="s">
        <v>87</v>
      </c>
      <c r="B163" s="4">
        <v>5386</v>
      </c>
      <c r="C163" s="4">
        <v>5812</v>
      </c>
      <c r="D163" s="4">
        <v>5278</v>
      </c>
      <c r="E163" s="4">
        <v>4380</v>
      </c>
      <c r="F163" s="4">
        <v>3108</v>
      </c>
      <c r="G163" s="4">
        <v>2860</v>
      </c>
      <c r="H163" s="4">
        <v>2679</v>
      </c>
      <c r="I163" s="4">
        <v>2423</v>
      </c>
      <c r="J163" s="4">
        <v>2077</v>
      </c>
      <c r="K163" s="4">
        <v>2019</v>
      </c>
      <c r="L163" s="4">
        <v>1387</v>
      </c>
      <c r="M163" s="100">
        <f t="shared" si="31"/>
        <v>-0.74248050501299667</v>
      </c>
      <c r="N163" s="110">
        <f t="shared" si="30"/>
        <v>-0.31302625061911837</v>
      </c>
      <c r="O163" s="40"/>
    </row>
    <row r="164" spans="1:15" x14ac:dyDescent="0.2">
      <c r="A164" s="4" t="s">
        <v>56</v>
      </c>
      <c r="B164" s="4">
        <v>394</v>
      </c>
      <c r="C164" s="4">
        <v>548</v>
      </c>
      <c r="D164" s="4">
        <v>529</v>
      </c>
      <c r="E164" s="4">
        <v>563</v>
      </c>
      <c r="F164" s="4">
        <v>731</v>
      </c>
      <c r="G164" s="4">
        <v>815</v>
      </c>
      <c r="H164" s="4">
        <v>991</v>
      </c>
      <c r="I164" s="4">
        <v>928</v>
      </c>
      <c r="J164" s="4">
        <v>1150</v>
      </c>
      <c r="K164" s="4">
        <v>1164</v>
      </c>
      <c r="L164" s="4">
        <v>1374</v>
      </c>
      <c r="M164" s="100">
        <f t="shared" si="31"/>
        <v>2.4873096446700509</v>
      </c>
      <c r="N164" s="110">
        <f t="shared" si="30"/>
        <v>0.18041237113402062</v>
      </c>
      <c r="O164" s="40"/>
    </row>
    <row r="165" spans="1:15" x14ac:dyDescent="0.2">
      <c r="O165" s="40"/>
    </row>
    <row r="166" spans="1:15" ht="15.75" x14ac:dyDescent="0.2">
      <c r="A166" s="41" t="s">
        <v>250</v>
      </c>
      <c r="B166" s="41"/>
      <c r="C166" s="41"/>
      <c r="D166" s="41"/>
      <c r="E166" s="41"/>
      <c r="F166" s="40"/>
      <c r="G166" s="40"/>
      <c r="H166" s="40"/>
      <c r="I166" s="40"/>
      <c r="J166" s="40"/>
      <c r="K166" s="40"/>
      <c r="L166" s="40"/>
      <c r="M166" s="40"/>
      <c r="N166" s="40"/>
      <c r="O166" s="40"/>
    </row>
    <row r="167" spans="1:15" ht="25.5" x14ac:dyDescent="0.2">
      <c r="A167" s="88" t="s">
        <v>254</v>
      </c>
      <c r="B167" s="3">
        <v>2008</v>
      </c>
      <c r="C167" s="3">
        <v>2009</v>
      </c>
      <c r="D167" s="3">
        <v>2010</v>
      </c>
      <c r="E167" s="3">
        <v>2011</v>
      </c>
      <c r="F167" s="3">
        <v>2012</v>
      </c>
      <c r="G167" s="3">
        <v>2013</v>
      </c>
      <c r="H167" s="3">
        <v>2014</v>
      </c>
      <c r="I167" s="3">
        <v>2015</v>
      </c>
      <c r="J167" s="3">
        <v>2016</v>
      </c>
      <c r="K167" s="3">
        <v>2017</v>
      </c>
      <c r="L167" s="3">
        <v>2018</v>
      </c>
      <c r="M167" s="13" t="s">
        <v>395</v>
      </c>
      <c r="N167" s="13" t="s">
        <v>394</v>
      </c>
      <c r="O167" s="13" t="s">
        <v>313</v>
      </c>
    </row>
    <row r="168" spans="1:15" x14ac:dyDescent="0.2">
      <c r="A168" s="4" t="s">
        <v>235</v>
      </c>
      <c r="B168" s="4">
        <v>54963</v>
      </c>
      <c r="C168" s="4">
        <v>59995</v>
      </c>
      <c r="D168" s="4">
        <v>55827</v>
      </c>
      <c r="E168" s="4">
        <v>66968</v>
      </c>
      <c r="F168" s="4">
        <v>76476</v>
      </c>
      <c r="G168" s="4">
        <v>88935</v>
      </c>
      <c r="H168" s="4">
        <v>95492</v>
      </c>
      <c r="I168" s="4">
        <v>104586</v>
      </c>
      <c r="J168" s="4">
        <v>111131</v>
      </c>
      <c r="K168" s="4">
        <v>115598</v>
      </c>
      <c r="L168" s="4">
        <v>116168</v>
      </c>
      <c r="M168" s="100">
        <f t="shared" ref="M168:M170" si="32">(L168-B168)/B168</f>
        <v>1.1135673089169078</v>
      </c>
      <c r="N168" s="110">
        <f t="shared" ref="N168:N170" si="33">(L168-K168)/K168</f>
        <v>4.9308811571134445E-3</v>
      </c>
      <c r="O168" s="112">
        <f>L168/L$9</f>
        <v>0.56755079806334674</v>
      </c>
    </row>
    <row r="169" spans="1:15" x14ac:dyDescent="0.2">
      <c r="A169" s="4" t="s">
        <v>236</v>
      </c>
      <c r="B169" s="4">
        <v>42707</v>
      </c>
      <c r="C169" s="4">
        <v>48787</v>
      </c>
      <c r="D169" s="4">
        <v>46375</v>
      </c>
      <c r="E169" s="4">
        <v>53206</v>
      </c>
      <c r="F169" s="4">
        <v>58747</v>
      </c>
      <c r="G169" s="4">
        <v>67906</v>
      </c>
      <c r="H169" s="4">
        <v>75179</v>
      </c>
      <c r="I169" s="4">
        <v>82988</v>
      </c>
      <c r="J169" s="4">
        <v>84888</v>
      </c>
      <c r="K169" s="4">
        <v>88720</v>
      </c>
      <c r="L169" s="4">
        <v>88515</v>
      </c>
      <c r="M169" s="100">
        <f t="shared" si="32"/>
        <v>1.0726110473692838</v>
      </c>
      <c r="N169" s="110">
        <f t="shared" si="33"/>
        <v>-2.3106402164111812E-3</v>
      </c>
      <c r="O169" s="112">
        <f t="shared" ref="O169:O170" si="34">L169/L$9</f>
        <v>0.43244920193665326</v>
      </c>
    </row>
    <row r="170" spans="1:15" x14ac:dyDescent="0.2">
      <c r="A170" s="5" t="s">
        <v>4</v>
      </c>
      <c r="B170" s="5">
        <v>97670</v>
      </c>
      <c r="C170" s="5">
        <v>108782</v>
      </c>
      <c r="D170" s="5">
        <v>102202</v>
      </c>
      <c r="E170" s="5">
        <v>120174</v>
      </c>
      <c r="F170" s="5">
        <v>135223</v>
      </c>
      <c r="G170" s="5">
        <v>156841</v>
      </c>
      <c r="H170" s="5">
        <v>170671</v>
      </c>
      <c r="I170" s="5">
        <v>187574</v>
      </c>
      <c r="J170" s="5">
        <v>196019</v>
      </c>
      <c r="K170" s="5">
        <v>204318</v>
      </c>
      <c r="L170" s="5">
        <v>204683</v>
      </c>
      <c r="M170" s="83">
        <f t="shared" si="32"/>
        <v>1.0956588512337462</v>
      </c>
      <c r="N170" s="111">
        <f t="shared" si="33"/>
        <v>1.7864309556671462E-3</v>
      </c>
      <c r="O170" s="113">
        <f t="shared" si="34"/>
        <v>1</v>
      </c>
    </row>
    <row r="172" spans="1:15" ht="15.75" x14ac:dyDescent="0.2">
      <c r="A172" s="41" t="s">
        <v>251</v>
      </c>
      <c r="B172" s="41"/>
      <c r="C172" s="41"/>
      <c r="D172" s="41"/>
      <c r="E172" s="41"/>
      <c r="F172" s="40"/>
      <c r="G172" s="40"/>
      <c r="H172" s="40"/>
      <c r="I172" s="40"/>
      <c r="J172" s="40"/>
      <c r="K172" s="40"/>
      <c r="L172" s="40"/>
      <c r="M172" s="40"/>
      <c r="N172" s="40"/>
      <c r="O172" s="40"/>
    </row>
    <row r="173" spans="1:15" ht="25.5" x14ac:dyDescent="0.2">
      <c r="A173" s="88" t="s">
        <v>254</v>
      </c>
      <c r="B173" s="3">
        <v>2008</v>
      </c>
      <c r="C173" s="3">
        <v>2009</v>
      </c>
      <c r="D173" s="3">
        <v>2010</v>
      </c>
      <c r="E173" s="3">
        <v>2011</v>
      </c>
      <c r="F173" s="3">
        <v>2012</v>
      </c>
      <c r="G173" s="3">
        <v>2013</v>
      </c>
      <c r="H173" s="3">
        <v>2014</v>
      </c>
      <c r="I173" s="3">
        <v>2015</v>
      </c>
      <c r="J173" s="3">
        <v>2016</v>
      </c>
      <c r="K173" s="3">
        <v>2017</v>
      </c>
      <c r="L173" s="3">
        <v>2018</v>
      </c>
      <c r="M173" s="13" t="s">
        <v>395</v>
      </c>
      <c r="N173" s="13" t="s">
        <v>394</v>
      </c>
      <c r="O173" s="13" t="s">
        <v>313</v>
      </c>
    </row>
    <row r="174" spans="1:15" x14ac:dyDescent="0.2">
      <c r="A174" s="35" t="s">
        <v>235</v>
      </c>
      <c r="B174" s="35">
        <v>11857</v>
      </c>
      <c r="C174" s="35">
        <v>9837</v>
      </c>
      <c r="D174" s="35">
        <v>7903</v>
      </c>
      <c r="E174" s="35">
        <v>13668</v>
      </c>
      <c r="F174" s="4">
        <v>15762</v>
      </c>
      <c r="G174" s="4">
        <v>17390</v>
      </c>
      <c r="H174" s="4">
        <v>16705</v>
      </c>
      <c r="I174" s="4">
        <v>17673</v>
      </c>
      <c r="J174" s="4">
        <v>19561</v>
      </c>
      <c r="K174" s="4">
        <v>18167</v>
      </c>
      <c r="L174" s="4">
        <v>19529</v>
      </c>
      <c r="M174" s="100">
        <f t="shared" ref="M174:M176" si="35">(L174-B174)/B174</f>
        <v>0.64704394028843726</v>
      </c>
      <c r="N174" s="110">
        <f t="shared" ref="N174:N176" si="36">(L174-K174)/K174</f>
        <v>7.4971101447679864E-2</v>
      </c>
      <c r="O174" s="112">
        <f>L174/$L$176</f>
        <v>0.56722530424932471</v>
      </c>
    </row>
    <row r="175" spans="1:15" x14ac:dyDescent="0.2">
      <c r="A175" s="35" t="s">
        <v>236</v>
      </c>
      <c r="B175" s="35">
        <v>7365</v>
      </c>
      <c r="C175" s="35">
        <v>6772</v>
      </c>
      <c r="D175" s="35">
        <v>6081</v>
      </c>
      <c r="E175" s="35">
        <v>8639</v>
      </c>
      <c r="F175" s="4">
        <v>9728</v>
      </c>
      <c r="G175" s="4">
        <v>10981</v>
      </c>
      <c r="H175" s="4">
        <v>11148</v>
      </c>
      <c r="I175" s="4">
        <v>12871</v>
      </c>
      <c r="J175" s="4">
        <v>14185</v>
      </c>
      <c r="K175" s="4">
        <v>14464</v>
      </c>
      <c r="L175" s="4">
        <v>14900</v>
      </c>
      <c r="M175" s="100">
        <f t="shared" si="35"/>
        <v>1.023082145281738</v>
      </c>
      <c r="N175" s="110">
        <f t="shared" si="36"/>
        <v>3.0143805309734512E-2</v>
      </c>
      <c r="O175" s="112">
        <f t="shared" ref="O175:O176" si="37">L175/$L$176</f>
        <v>0.43277469575067529</v>
      </c>
    </row>
    <row r="176" spans="1:15" x14ac:dyDescent="0.2">
      <c r="A176" s="5" t="s">
        <v>4</v>
      </c>
      <c r="B176" s="5">
        <v>19222</v>
      </c>
      <c r="C176" s="5">
        <v>16609</v>
      </c>
      <c r="D176" s="5">
        <v>13984</v>
      </c>
      <c r="E176" s="5">
        <v>22307</v>
      </c>
      <c r="F176" s="5">
        <v>25490</v>
      </c>
      <c r="G176" s="5">
        <v>28371</v>
      </c>
      <c r="H176" s="5">
        <v>27853</v>
      </c>
      <c r="I176" s="5">
        <v>30544</v>
      </c>
      <c r="J176" s="5">
        <v>33746</v>
      </c>
      <c r="K176" s="5">
        <v>32631</v>
      </c>
      <c r="L176" s="5">
        <v>34429</v>
      </c>
      <c r="M176" s="83">
        <f t="shared" si="35"/>
        <v>0.79112475288731665</v>
      </c>
      <c r="N176" s="111">
        <f t="shared" si="36"/>
        <v>5.5100977597989639E-2</v>
      </c>
      <c r="O176" s="113">
        <f t="shared" si="37"/>
        <v>1</v>
      </c>
    </row>
    <row r="178" spans="1:16" ht="15.75" x14ac:dyDescent="0.2">
      <c r="A178" s="41" t="s">
        <v>252</v>
      </c>
      <c r="B178" s="41"/>
      <c r="C178" s="41"/>
      <c r="D178" s="41"/>
      <c r="E178" s="41"/>
      <c r="F178" s="40"/>
      <c r="G178" s="40"/>
      <c r="H178" s="40"/>
      <c r="I178" s="40"/>
      <c r="J178" s="40"/>
      <c r="K178" s="40"/>
      <c r="L178" s="40"/>
      <c r="M178" s="40"/>
      <c r="N178" s="40"/>
      <c r="O178" s="40"/>
    </row>
    <row r="179" spans="1:16" ht="25.5" x14ac:dyDescent="0.2">
      <c r="A179" s="88" t="s">
        <v>254</v>
      </c>
      <c r="B179" s="3">
        <v>2008</v>
      </c>
      <c r="C179" s="3">
        <v>2009</v>
      </c>
      <c r="D179" s="3">
        <v>2010</v>
      </c>
      <c r="E179" s="3">
        <v>2011</v>
      </c>
      <c r="F179" s="3">
        <v>2012</v>
      </c>
      <c r="G179" s="3">
        <v>2013</v>
      </c>
      <c r="H179" s="3">
        <v>2014</v>
      </c>
      <c r="I179" s="3">
        <v>2015</v>
      </c>
      <c r="J179" s="3">
        <v>2016</v>
      </c>
      <c r="K179" s="3">
        <v>2017</v>
      </c>
      <c r="L179" s="3">
        <v>2018</v>
      </c>
      <c r="M179" s="13" t="s">
        <v>395</v>
      </c>
      <c r="N179" s="13" t="s">
        <v>394</v>
      </c>
      <c r="O179" s="13" t="s">
        <v>313</v>
      </c>
    </row>
    <row r="180" spans="1:16" x14ac:dyDescent="0.2">
      <c r="A180" s="35" t="s">
        <v>235</v>
      </c>
      <c r="B180" s="35">
        <v>9361</v>
      </c>
      <c r="C180" s="35">
        <v>12194</v>
      </c>
      <c r="D180" s="35">
        <v>12583</v>
      </c>
      <c r="E180" s="35">
        <v>16567</v>
      </c>
      <c r="F180" s="4">
        <v>21342</v>
      </c>
      <c r="G180" s="4">
        <v>26880</v>
      </c>
      <c r="H180" s="4">
        <v>31367</v>
      </c>
      <c r="I180" s="4">
        <v>37901</v>
      </c>
      <c r="J180" s="4">
        <v>41523</v>
      </c>
      <c r="K180" s="4">
        <v>44559</v>
      </c>
      <c r="L180" s="4">
        <v>44040</v>
      </c>
      <c r="M180" s="100">
        <f t="shared" ref="M180:M182" si="38">(L180-B180)/B180</f>
        <v>3.7046255741907914</v>
      </c>
      <c r="N180" s="110">
        <f t="shared" ref="N180:N182" si="39">(L180-K180)/K180</f>
        <v>-1.1647478623847034E-2</v>
      </c>
      <c r="O180" s="112">
        <f>L180/$L$182</f>
        <v>0.55935174130617016</v>
      </c>
    </row>
    <row r="181" spans="1:16" x14ac:dyDescent="0.2">
      <c r="A181" s="35" t="s">
        <v>236</v>
      </c>
      <c r="B181" s="35">
        <v>9324</v>
      </c>
      <c r="C181" s="35">
        <v>11446</v>
      </c>
      <c r="D181" s="35">
        <v>11087</v>
      </c>
      <c r="E181" s="35">
        <v>14117</v>
      </c>
      <c r="F181" s="4">
        <v>16794</v>
      </c>
      <c r="G181" s="4">
        <v>20282</v>
      </c>
      <c r="H181" s="4">
        <v>24454</v>
      </c>
      <c r="I181" s="4">
        <v>29391</v>
      </c>
      <c r="J181" s="4">
        <v>31493</v>
      </c>
      <c r="K181" s="4">
        <v>33559</v>
      </c>
      <c r="L181" s="4">
        <v>34694</v>
      </c>
      <c r="M181" s="100">
        <f t="shared" si="38"/>
        <v>2.7209352209352211</v>
      </c>
      <c r="N181" s="110">
        <f t="shared" si="39"/>
        <v>3.3821031615959951E-2</v>
      </c>
      <c r="O181" s="112">
        <f t="shared" ref="O181:O182" si="40">L181/$L$182</f>
        <v>0.44064825869382984</v>
      </c>
    </row>
    <row r="182" spans="1:16" x14ac:dyDescent="0.2">
      <c r="A182" s="5" t="s">
        <v>4</v>
      </c>
      <c r="B182" s="5">
        <v>18685</v>
      </c>
      <c r="C182" s="5">
        <v>23640</v>
      </c>
      <c r="D182" s="5">
        <v>23670</v>
      </c>
      <c r="E182" s="5">
        <v>30684</v>
      </c>
      <c r="F182" s="5">
        <v>38136</v>
      </c>
      <c r="G182" s="5">
        <v>47162</v>
      </c>
      <c r="H182" s="5">
        <v>55821</v>
      </c>
      <c r="I182" s="5">
        <v>67292</v>
      </c>
      <c r="J182" s="5">
        <v>73016</v>
      </c>
      <c r="K182" s="5">
        <v>78118</v>
      </c>
      <c r="L182" s="5">
        <v>78734</v>
      </c>
      <c r="M182" s="83">
        <f t="shared" si="38"/>
        <v>3.2137543484078139</v>
      </c>
      <c r="N182" s="111">
        <f t="shared" si="39"/>
        <v>7.8855065413861083E-3</v>
      </c>
      <c r="O182" s="113">
        <f t="shared" si="40"/>
        <v>1</v>
      </c>
    </row>
    <row r="184" spans="1:16" ht="15.75" x14ac:dyDescent="0.2">
      <c r="A184" s="41" t="s">
        <v>253</v>
      </c>
      <c r="B184" s="41"/>
      <c r="C184" s="41"/>
      <c r="D184" s="41"/>
      <c r="E184" s="41"/>
      <c r="F184" s="40"/>
      <c r="G184" s="40"/>
      <c r="H184" s="40"/>
      <c r="I184" s="40"/>
      <c r="J184" s="40"/>
      <c r="K184" s="40"/>
      <c r="L184" s="40"/>
      <c r="M184" s="40"/>
      <c r="N184" s="40"/>
      <c r="O184" s="40"/>
    </row>
    <row r="185" spans="1:16" ht="25.5" x14ac:dyDescent="0.2">
      <c r="A185" s="88" t="s">
        <v>254</v>
      </c>
      <c r="B185" s="3">
        <v>2008</v>
      </c>
      <c r="C185" s="3">
        <v>2009</v>
      </c>
      <c r="D185" s="3">
        <v>2010</v>
      </c>
      <c r="E185" s="3">
        <v>2011</v>
      </c>
      <c r="F185" s="3">
        <v>2012</v>
      </c>
      <c r="G185" s="3">
        <v>2013</v>
      </c>
      <c r="H185" s="3">
        <v>2014</v>
      </c>
      <c r="I185" s="3">
        <v>2015</v>
      </c>
      <c r="J185" s="3">
        <v>2016</v>
      </c>
      <c r="K185" s="3">
        <v>2017</v>
      </c>
      <c r="L185" s="3">
        <v>2018</v>
      </c>
      <c r="M185" s="13" t="s">
        <v>395</v>
      </c>
      <c r="N185" s="13" t="s">
        <v>394</v>
      </c>
      <c r="O185" s="13" t="s">
        <v>313</v>
      </c>
    </row>
    <row r="186" spans="1:16" x14ac:dyDescent="0.2">
      <c r="A186" s="35" t="s">
        <v>235</v>
      </c>
      <c r="B186" s="35">
        <v>33745</v>
      </c>
      <c r="C186" s="35">
        <v>37964</v>
      </c>
      <c r="D186" s="35">
        <v>35341</v>
      </c>
      <c r="E186" s="35">
        <v>36733</v>
      </c>
      <c r="F186" s="4">
        <v>39372</v>
      </c>
      <c r="G186" s="4">
        <v>44665</v>
      </c>
      <c r="H186" s="4">
        <v>47420</v>
      </c>
      <c r="I186" s="4">
        <v>49012</v>
      </c>
      <c r="J186" s="4">
        <v>50047</v>
      </c>
      <c r="K186" s="4">
        <v>52872</v>
      </c>
      <c r="L186" s="4">
        <v>52599</v>
      </c>
      <c r="M186" s="100">
        <f>(L186-B186)/B186</f>
        <v>0.55871981034227292</v>
      </c>
      <c r="N186" s="110">
        <f t="shared" ref="N186:N188" si="41">(L186-K186)/K186</f>
        <v>-5.1634135270086246E-3</v>
      </c>
      <c r="O186" s="112">
        <f>L186/L$188</f>
        <v>0.57472683566433569</v>
      </c>
    </row>
    <row r="187" spans="1:16" x14ac:dyDescent="0.2">
      <c r="A187" s="35" t="s">
        <v>236</v>
      </c>
      <c r="B187" s="35">
        <v>26018</v>
      </c>
      <c r="C187" s="35">
        <v>30569</v>
      </c>
      <c r="D187" s="35">
        <v>29207</v>
      </c>
      <c r="E187" s="35">
        <v>30450</v>
      </c>
      <c r="F187" s="4">
        <v>32225</v>
      </c>
      <c r="G187" s="4">
        <v>36643</v>
      </c>
      <c r="H187" s="4">
        <v>39577</v>
      </c>
      <c r="I187" s="4">
        <v>40726</v>
      </c>
      <c r="J187" s="4">
        <v>39210</v>
      </c>
      <c r="K187" s="4">
        <v>40697</v>
      </c>
      <c r="L187" s="4">
        <v>38921</v>
      </c>
      <c r="M187" s="100">
        <f t="shared" ref="M187:M188" si="42">(L187-B187)/B187</f>
        <v>0.49592589745560767</v>
      </c>
      <c r="N187" s="110">
        <f t="shared" si="41"/>
        <v>-4.3639580313045184E-2</v>
      </c>
      <c r="O187" s="112">
        <f t="shared" ref="O187:O188" si="43">L187/L$188</f>
        <v>0.42527316433566431</v>
      </c>
    </row>
    <row r="188" spans="1:16" x14ac:dyDescent="0.2">
      <c r="A188" s="5" t="s">
        <v>4</v>
      </c>
      <c r="B188" s="5">
        <v>59763</v>
      </c>
      <c r="C188" s="5">
        <v>68533</v>
      </c>
      <c r="D188" s="5">
        <v>64548</v>
      </c>
      <c r="E188" s="5">
        <v>67183</v>
      </c>
      <c r="F188" s="5">
        <v>71597</v>
      </c>
      <c r="G188" s="5">
        <v>81308</v>
      </c>
      <c r="H188" s="5">
        <v>86997</v>
      </c>
      <c r="I188" s="5">
        <v>89738</v>
      </c>
      <c r="J188" s="5">
        <v>89257</v>
      </c>
      <c r="K188" s="5">
        <v>93569</v>
      </c>
      <c r="L188" s="5">
        <v>91520</v>
      </c>
      <c r="M188" s="83">
        <f t="shared" si="42"/>
        <v>0.53138229339223264</v>
      </c>
      <c r="N188" s="111">
        <f t="shared" si="41"/>
        <v>-2.1898278275924717E-2</v>
      </c>
      <c r="O188" s="113">
        <f t="shared" si="43"/>
        <v>1</v>
      </c>
    </row>
    <row r="189" spans="1:16" x14ac:dyDescent="0.2">
      <c r="A189" s="76"/>
      <c r="B189" s="76"/>
      <c r="C189" s="76"/>
      <c r="D189" s="76"/>
      <c r="E189" s="76"/>
      <c r="F189" s="40"/>
      <c r="G189" s="40"/>
      <c r="H189" s="40"/>
      <c r="I189" s="40"/>
      <c r="J189" s="40"/>
      <c r="K189" s="40"/>
      <c r="L189" s="40"/>
      <c r="M189" s="40"/>
      <c r="N189" s="40"/>
      <c r="O189" s="40"/>
    </row>
    <row r="190" spans="1:16" ht="15.75" x14ac:dyDescent="0.2">
      <c r="A190" s="41" t="s">
        <v>94</v>
      </c>
      <c r="B190" s="41"/>
      <c r="C190" s="41"/>
      <c r="D190" s="41"/>
      <c r="E190" s="41"/>
      <c r="F190" s="40"/>
      <c r="G190" s="40"/>
      <c r="H190" s="40"/>
      <c r="I190" s="40"/>
      <c r="J190" s="40"/>
      <c r="K190" s="40"/>
      <c r="L190" s="40"/>
      <c r="M190" s="40"/>
      <c r="N190" s="40"/>
      <c r="O190" s="40"/>
    </row>
    <row r="191" spans="1:16" ht="25.5" x14ac:dyDescent="0.2">
      <c r="A191" s="88" t="s">
        <v>26</v>
      </c>
      <c r="B191" s="3">
        <v>2008</v>
      </c>
      <c r="C191" s="3">
        <v>2009</v>
      </c>
      <c r="D191" s="3">
        <v>2010</v>
      </c>
      <c r="E191" s="3">
        <v>2011</v>
      </c>
      <c r="F191" s="3">
        <v>2012</v>
      </c>
      <c r="G191" s="3">
        <v>2013</v>
      </c>
      <c r="H191" s="3">
        <v>2014</v>
      </c>
      <c r="I191" s="3">
        <v>2015</v>
      </c>
      <c r="J191" s="3">
        <v>2016</v>
      </c>
      <c r="K191" s="3">
        <v>2017</v>
      </c>
      <c r="L191" s="3">
        <v>2018</v>
      </c>
      <c r="M191" s="13" t="s">
        <v>395</v>
      </c>
      <c r="N191" s="13" t="s">
        <v>394</v>
      </c>
      <c r="O191" s="13" t="s">
        <v>313</v>
      </c>
    </row>
    <row r="192" spans="1:16" x14ac:dyDescent="0.2">
      <c r="A192" s="4" t="s">
        <v>27</v>
      </c>
      <c r="B192" s="4">
        <v>818</v>
      </c>
      <c r="C192" s="4">
        <v>678</v>
      </c>
      <c r="D192" s="4">
        <v>74</v>
      </c>
      <c r="E192" s="4">
        <v>124</v>
      </c>
      <c r="F192" s="4">
        <v>170</v>
      </c>
      <c r="G192" s="4">
        <v>224</v>
      </c>
      <c r="H192" s="4">
        <v>315</v>
      </c>
      <c r="I192" s="4">
        <v>416</v>
      </c>
      <c r="J192" s="4">
        <v>492</v>
      </c>
      <c r="K192" s="4">
        <v>590</v>
      </c>
      <c r="L192" s="4">
        <v>481</v>
      </c>
      <c r="M192" s="100">
        <f>(L192-B192)/B192</f>
        <v>-0.41198044009779949</v>
      </c>
      <c r="N192" s="110">
        <f t="shared" ref="N192:N199" si="44">(L192-K192)/K192</f>
        <v>-0.18474576271186441</v>
      </c>
      <c r="O192" s="112">
        <f>L192/L$9</f>
        <v>2.3499753277018611E-3</v>
      </c>
      <c r="P192" s="109"/>
    </row>
    <row r="193" spans="1:16" x14ac:dyDescent="0.2">
      <c r="A193" s="4" t="s">
        <v>28</v>
      </c>
      <c r="B193" s="4">
        <v>41358</v>
      </c>
      <c r="C193" s="4">
        <v>44979</v>
      </c>
      <c r="D193" s="4">
        <v>42964</v>
      </c>
      <c r="E193" s="4">
        <v>54258</v>
      </c>
      <c r="F193" s="4">
        <v>61757</v>
      </c>
      <c r="G193" s="4">
        <v>70298</v>
      </c>
      <c r="H193" s="4">
        <v>74561</v>
      </c>
      <c r="I193" s="4">
        <v>80870</v>
      </c>
      <c r="J193" s="4">
        <v>83719</v>
      </c>
      <c r="K193" s="4">
        <v>87461</v>
      </c>
      <c r="L193" s="4">
        <v>85542</v>
      </c>
      <c r="M193" s="100">
        <f t="shared" ref="M193:M198" si="45">(L193-B193)/B193</f>
        <v>1.0683301900478746</v>
      </c>
      <c r="N193" s="110">
        <f t="shared" si="44"/>
        <v>-2.1941208081316242E-2</v>
      </c>
      <c r="O193" s="112">
        <f t="shared" ref="O193:O199" si="46">L193/L$9</f>
        <v>0.41792430245794715</v>
      </c>
      <c r="P193" s="109"/>
    </row>
    <row r="194" spans="1:16" x14ac:dyDescent="0.2">
      <c r="A194" s="4" t="s">
        <v>29</v>
      </c>
      <c r="B194" s="4">
        <v>34227</v>
      </c>
      <c r="C194" s="4">
        <v>38382</v>
      </c>
      <c r="D194" s="4">
        <v>36169</v>
      </c>
      <c r="E194" s="4">
        <v>39707</v>
      </c>
      <c r="F194" s="4">
        <v>43918</v>
      </c>
      <c r="G194" s="4">
        <v>51601</v>
      </c>
      <c r="H194" s="4">
        <v>56616</v>
      </c>
      <c r="I194" s="4">
        <v>61724</v>
      </c>
      <c r="J194" s="4">
        <v>63751</v>
      </c>
      <c r="K194" s="4">
        <v>66290</v>
      </c>
      <c r="L194" s="4">
        <v>66188</v>
      </c>
      <c r="M194" s="100">
        <f t="shared" si="45"/>
        <v>0.93379495719753414</v>
      </c>
      <c r="N194" s="110">
        <f t="shared" si="44"/>
        <v>-1.5386936189470508E-3</v>
      </c>
      <c r="O194" s="112">
        <f t="shared" si="46"/>
        <v>0.3233683305403966</v>
      </c>
      <c r="P194" s="109"/>
    </row>
    <row r="195" spans="1:16" x14ac:dyDescent="0.2">
      <c r="A195" s="4" t="s">
        <v>30</v>
      </c>
      <c r="B195" s="4">
        <v>10139</v>
      </c>
      <c r="C195" s="4">
        <v>11641</v>
      </c>
      <c r="D195" s="4">
        <v>10906</v>
      </c>
      <c r="E195" s="4">
        <v>12555</v>
      </c>
      <c r="F195" s="4">
        <v>14360</v>
      </c>
      <c r="G195" s="4">
        <v>17439</v>
      </c>
      <c r="H195" s="4">
        <v>19501</v>
      </c>
      <c r="I195" s="4">
        <v>21505</v>
      </c>
      <c r="J195" s="4">
        <v>22821</v>
      </c>
      <c r="K195" s="4">
        <v>23690</v>
      </c>
      <c r="L195" s="4">
        <v>24794</v>
      </c>
      <c r="M195" s="100">
        <f t="shared" si="45"/>
        <v>1.4454088174376172</v>
      </c>
      <c r="N195" s="110">
        <f t="shared" si="44"/>
        <v>4.6601941747572817E-2</v>
      </c>
      <c r="O195" s="112">
        <f t="shared" si="46"/>
        <v>0.12113365545746349</v>
      </c>
      <c r="P195" s="109"/>
    </row>
    <row r="196" spans="1:16" x14ac:dyDescent="0.2">
      <c r="A196" s="4" t="s">
        <v>31</v>
      </c>
      <c r="B196" s="4">
        <v>4958</v>
      </c>
      <c r="C196" s="4">
        <v>6095</v>
      </c>
      <c r="D196" s="4">
        <v>5779</v>
      </c>
      <c r="E196" s="4">
        <v>6494</v>
      </c>
      <c r="F196" s="4">
        <v>7198</v>
      </c>
      <c r="G196" s="4">
        <v>8423</v>
      </c>
      <c r="H196" s="4">
        <v>9604</v>
      </c>
      <c r="I196" s="4">
        <v>10889</v>
      </c>
      <c r="J196" s="4">
        <v>11846</v>
      </c>
      <c r="K196" s="4">
        <v>12762</v>
      </c>
      <c r="L196" s="4">
        <v>13442</v>
      </c>
      <c r="M196" s="100">
        <f t="shared" si="45"/>
        <v>1.7111738604275917</v>
      </c>
      <c r="N196" s="110">
        <f t="shared" si="44"/>
        <v>5.328318445384736E-2</v>
      </c>
      <c r="O196" s="112">
        <f t="shared" si="46"/>
        <v>6.5672283482262811E-2</v>
      </c>
      <c r="P196" s="109"/>
    </row>
    <row r="197" spans="1:16" x14ac:dyDescent="0.2">
      <c r="A197" s="4" t="s">
        <v>32</v>
      </c>
      <c r="B197" s="4">
        <v>6038</v>
      </c>
      <c r="C197" s="4">
        <v>6982</v>
      </c>
      <c r="D197" s="4">
        <v>6292</v>
      </c>
      <c r="E197" s="4">
        <v>7017</v>
      </c>
      <c r="F197" s="4">
        <v>7803</v>
      </c>
      <c r="G197" s="4">
        <v>8846</v>
      </c>
      <c r="H197" s="4">
        <v>9999</v>
      </c>
      <c r="I197" s="4">
        <v>12149</v>
      </c>
      <c r="J197" s="4">
        <v>13387</v>
      </c>
      <c r="K197" s="4">
        <v>13523</v>
      </c>
      <c r="L197" s="4">
        <v>14233</v>
      </c>
      <c r="M197" s="100">
        <f t="shared" si="45"/>
        <v>1.3572374958595561</v>
      </c>
      <c r="N197" s="110">
        <f t="shared" si="44"/>
        <v>5.2503142793758784E-2</v>
      </c>
      <c r="O197" s="112">
        <f t="shared" si="46"/>
        <v>6.9536795923452369E-2</v>
      </c>
      <c r="P197" s="109"/>
    </row>
    <row r="198" spans="1:16" x14ac:dyDescent="0.2">
      <c r="A198" s="4" t="s">
        <v>33</v>
      </c>
      <c r="B198" s="4">
        <v>132</v>
      </c>
      <c r="C198" s="4">
        <v>25</v>
      </c>
      <c r="D198" s="4">
        <v>18</v>
      </c>
      <c r="E198" s="4">
        <v>19</v>
      </c>
      <c r="F198" s="4">
        <v>17</v>
      </c>
      <c r="G198" s="4">
        <v>10</v>
      </c>
      <c r="H198" s="4">
        <v>75</v>
      </c>
      <c r="I198" s="4">
        <v>21</v>
      </c>
      <c r="J198" s="4">
        <v>3</v>
      </c>
      <c r="K198" s="4">
        <v>2</v>
      </c>
      <c r="L198" s="4">
        <v>3</v>
      </c>
      <c r="M198" s="100">
        <f t="shared" si="45"/>
        <v>-0.97727272727272729</v>
      </c>
      <c r="N198" s="110">
        <f t="shared" si="44"/>
        <v>0.5</v>
      </c>
      <c r="O198" s="112">
        <f t="shared" si="46"/>
        <v>1.4656810775687281E-5</v>
      </c>
      <c r="P198" s="109"/>
    </row>
    <row r="199" spans="1:16" x14ac:dyDescent="0.2">
      <c r="A199" s="5" t="s">
        <v>4</v>
      </c>
      <c r="B199" s="5">
        <v>97670</v>
      </c>
      <c r="C199" s="5">
        <v>108782</v>
      </c>
      <c r="D199" s="5">
        <v>102202</v>
      </c>
      <c r="E199" s="5">
        <v>120174</v>
      </c>
      <c r="F199" s="5">
        <v>135223</v>
      </c>
      <c r="G199" s="5">
        <v>156841</v>
      </c>
      <c r="H199" s="5">
        <v>170671</v>
      </c>
      <c r="I199" s="5">
        <v>187574</v>
      </c>
      <c r="J199" s="5">
        <v>196019</v>
      </c>
      <c r="K199" s="5">
        <v>204318</v>
      </c>
      <c r="L199" s="5">
        <v>204683</v>
      </c>
      <c r="M199" s="83">
        <f t="shared" ref="M199" si="47">(L199-B199)/B199</f>
        <v>1.0956588512337462</v>
      </c>
      <c r="N199" s="111">
        <f t="shared" si="44"/>
        <v>1.7864309556671462E-3</v>
      </c>
      <c r="O199" s="113">
        <f t="shared" si="46"/>
        <v>1</v>
      </c>
    </row>
    <row r="200" spans="1:16" x14ac:dyDescent="0.2">
      <c r="A200" s="94" t="s">
        <v>95</v>
      </c>
      <c r="B200" s="101">
        <v>27.04460825524411</v>
      </c>
      <c r="C200" s="101">
        <v>27.232263544705837</v>
      </c>
      <c r="D200" s="101">
        <v>27.202826570152837</v>
      </c>
      <c r="E200" s="101">
        <v>26.912276154965138</v>
      </c>
      <c r="F200" s="101">
        <v>26.909774714139903</v>
      </c>
      <c r="G200" s="101">
        <v>26.952222456019538</v>
      </c>
      <c r="H200" s="101">
        <v>27.061584093413678</v>
      </c>
      <c r="I200" s="101">
        <v>27.201713648941897</v>
      </c>
      <c r="J200" s="101">
        <v>27.319882050444861</v>
      </c>
      <c r="K200" s="101">
        <v>27.293657863309775</v>
      </c>
      <c r="L200" s="101">
        <v>27.480100644909125</v>
      </c>
      <c r="M200" s="101"/>
      <c r="N200" s="101"/>
      <c r="O200" s="93"/>
    </row>
    <row r="201" spans="1:16" x14ac:dyDescent="0.2">
      <c r="A201" s="76"/>
      <c r="B201" s="120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2"/>
      <c r="N201" s="76"/>
      <c r="O201" s="76"/>
    </row>
    <row r="202" spans="1:16" x14ac:dyDescent="0.2">
      <c r="A202" s="76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2"/>
      <c r="N202" s="40"/>
      <c r="O202" s="40"/>
    </row>
    <row r="203" spans="1:16" x14ac:dyDescent="0.2">
      <c r="A203" s="70" t="s">
        <v>272</v>
      </c>
      <c r="B203" s="70"/>
      <c r="C203" s="70"/>
      <c r="D203" s="70"/>
      <c r="E203" s="70"/>
      <c r="F203" s="40"/>
      <c r="G203" s="40"/>
      <c r="H203" s="40"/>
      <c r="I203" s="40"/>
      <c r="J203" s="40"/>
      <c r="K203" s="40"/>
      <c r="L203" s="40"/>
      <c r="M203" s="40"/>
      <c r="N203" s="40"/>
      <c r="O203" s="40"/>
    </row>
    <row r="204" spans="1:16" x14ac:dyDescent="0.2">
      <c r="A204" s="76"/>
      <c r="B204" s="76"/>
      <c r="C204" s="76"/>
      <c r="D204" s="76"/>
      <c r="E204" s="76"/>
      <c r="F204" s="40"/>
      <c r="G204" s="40"/>
      <c r="H204" s="40"/>
      <c r="I204" s="40"/>
      <c r="J204" s="40"/>
      <c r="K204" s="40"/>
      <c r="L204" s="40"/>
      <c r="M204" s="40"/>
      <c r="N204" s="40"/>
      <c r="O204" s="40"/>
    </row>
    <row r="205" spans="1:16" x14ac:dyDescent="0.2">
      <c r="A205" s="78" t="s">
        <v>21</v>
      </c>
      <c r="B205" s="78"/>
      <c r="C205" s="78"/>
      <c r="D205" s="78"/>
      <c r="E205" s="78"/>
      <c r="F205" s="40"/>
      <c r="G205" s="40"/>
      <c r="H205" s="40"/>
      <c r="I205" s="40"/>
      <c r="J205" s="40"/>
      <c r="K205" s="40"/>
      <c r="L205" s="40"/>
      <c r="M205" s="40"/>
      <c r="N205" s="40"/>
      <c r="O205" s="40"/>
    </row>
    <row r="206" spans="1:16" x14ac:dyDescent="0.2">
      <c r="A206" s="76"/>
      <c r="B206" s="76"/>
      <c r="C206" s="76"/>
      <c r="D206" s="76"/>
      <c r="E206" s="76"/>
      <c r="F206" s="40"/>
      <c r="G206" s="40"/>
      <c r="H206" s="40"/>
      <c r="I206" s="40"/>
      <c r="J206" s="40"/>
      <c r="K206" s="40"/>
      <c r="L206" s="40"/>
      <c r="M206" s="40"/>
      <c r="N206" s="40"/>
      <c r="O206" s="40"/>
    </row>
  </sheetData>
  <hyperlinks>
    <hyperlink ref="A205" location="Indice!A5" display="Volver al índice" xr:uid="{00000000-0004-0000-0400-000000000000}"/>
  </hyperlinks>
  <pageMargins left="0.7" right="0.7" top="0.75" bottom="0.75" header="0.3" footer="0.3"/>
  <pageSetup orientation="portrait" verticalDpi="0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9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10" defaultColWidth="10.85546875" defaultRowHeight="15" x14ac:dyDescent="0.25"/>
  <cols>
    <col min="1" max="1" width="35.85546875" style="1" customWidth="1"/>
    <col min="2" max="3" width="14.28515625" style="45" customWidth="1"/>
    <col min="4" max="4" width="15.42578125" style="45" customWidth="1"/>
    <col min="5" max="16384" width="10.85546875" style="2"/>
  </cols>
  <sheetData>
    <row r="1" spans="1:6" ht="21" x14ac:dyDescent="0.25">
      <c r="A1" s="66" t="s">
        <v>379</v>
      </c>
      <c r="B1" s="46"/>
      <c r="C1" s="46"/>
      <c r="D1" s="46"/>
      <c r="E1" s="1"/>
      <c r="F1" s="1"/>
    </row>
    <row r="2" spans="1:6" x14ac:dyDescent="0.25">
      <c r="A2" s="40"/>
      <c r="B2" s="46"/>
      <c r="C2" s="46"/>
      <c r="D2" s="46"/>
      <c r="E2" s="1"/>
      <c r="F2" s="1"/>
    </row>
    <row r="3" spans="1:6" x14ac:dyDescent="0.25">
      <c r="A3" s="40"/>
      <c r="B3" s="46"/>
      <c r="C3" s="46"/>
      <c r="D3" s="46"/>
      <c r="E3" s="1"/>
      <c r="F3" s="1"/>
    </row>
    <row r="4" spans="1:6" ht="15.75" x14ac:dyDescent="0.25">
      <c r="A4" s="25" t="s">
        <v>352</v>
      </c>
      <c r="B4" s="46"/>
      <c r="C4" s="46"/>
      <c r="D4" s="46"/>
      <c r="E4" s="1"/>
      <c r="F4" s="1"/>
    </row>
    <row r="5" spans="1:6" x14ac:dyDescent="0.25">
      <c r="A5" s="88" t="s">
        <v>276</v>
      </c>
      <c r="B5" s="47" t="s">
        <v>96</v>
      </c>
      <c r="C5" s="47" t="s">
        <v>97</v>
      </c>
      <c r="D5" s="47" t="s">
        <v>8</v>
      </c>
      <c r="E5" s="1"/>
      <c r="F5" s="1"/>
    </row>
    <row r="6" spans="1:6" x14ac:dyDescent="0.25">
      <c r="A6" s="32" t="s">
        <v>269</v>
      </c>
      <c r="B6" s="43">
        <v>398</v>
      </c>
      <c r="C6" s="43">
        <v>3701</v>
      </c>
      <c r="D6" s="43">
        <v>4099</v>
      </c>
      <c r="E6" s="1"/>
      <c r="F6" s="1"/>
    </row>
    <row r="7" spans="1:6" x14ac:dyDescent="0.25">
      <c r="A7" s="32" t="s">
        <v>270</v>
      </c>
      <c r="B7" s="43">
        <v>339</v>
      </c>
      <c r="C7" s="43">
        <v>3154</v>
      </c>
      <c r="D7" s="43">
        <v>3493</v>
      </c>
      <c r="E7" s="1"/>
      <c r="F7" s="1"/>
    </row>
    <row r="8" spans="1:6" x14ac:dyDescent="0.25">
      <c r="A8" s="32" t="s">
        <v>271</v>
      </c>
      <c r="B8" s="43">
        <v>85</v>
      </c>
      <c r="C8" s="43">
        <v>8276</v>
      </c>
      <c r="D8" s="43">
        <v>8361</v>
      </c>
      <c r="E8" s="1"/>
      <c r="F8" s="1"/>
    </row>
    <row r="9" spans="1:6" x14ac:dyDescent="0.25">
      <c r="A9" s="5" t="s">
        <v>4</v>
      </c>
      <c r="B9" s="44">
        <v>822</v>
      </c>
      <c r="C9" s="44">
        <v>15131</v>
      </c>
      <c r="D9" s="44">
        <v>15953</v>
      </c>
      <c r="E9" s="1"/>
      <c r="F9" s="1"/>
    </row>
    <row r="10" spans="1:6" x14ac:dyDescent="0.25">
      <c r="A10" s="40"/>
      <c r="B10" s="46"/>
      <c r="C10" s="46"/>
      <c r="D10" s="46"/>
      <c r="E10" s="1"/>
      <c r="F10" s="1"/>
    </row>
    <row r="11" spans="1:6" ht="15.75" x14ac:dyDescent="0.25">
      <c r="A11" s="25" t="s">
        <v>353</v>
      </c>
      <c r="B11" s="46"/>
      <c r="C11" s="46"/>
      <c r="D11" s="46"/>
      <c r="E11" s="1"/>
      <c r="F11" s="1"/>
    </row>
    <row r="12" spans="1:6" x14ac:dyDescent="0.25">
      <c r="A12" s="88" t="s">
        <v>254</v>
      </c>
      <c r="B12" s="47" t="s">
        <v>96</v>
      </c>
      <c r="C12" s="47" t="s">
        <v>97</v>
      </c>
      <c r="D12" s="47" t="s">
        <v>8</v>
      </c>
      <c r="E12" s="1"/>
      <c r="F12" s="1"/>
    </row>
    <row r="13" spans="1:6" x14ac:dyDescent="0.25">
      <c r="A13" s="4" t="s">
        <v>380</v>
      </c>
      <c r="B13" s="43">
        <v>354</v>
      </c>
      <c r="C13" s="43">
        <v>7531</v>
      </c>
      <c r="D13" s="43">
        <v>7885</v>
      </c>
      <c r="E13" s="1"/>
      <c r="F13" s="1"/>
    </row>
    <row r="14" spans="1:6" x14ac:dyDescent="0.25">
      <c r="A14" s="4" t="s">
        <v>381</v>
      </c>
      <c r="B14" s="43">
        <v>468</v>
      </c>
      <c r="C14" s="43">
        <v>7600</v>
      </c>
      <c r="D14" s="43">
        <v>8068</v>
      </c>
      <c r="E14" s="1"/>
      <c r="F14" s="1"/>
    </row>
    <row r="15" spans="1:6" x14ac:dyDescent="0.25">
      <c r="A15" s="5" t="s">
        <v>382</v>
      </c>
      <c r="B15" s="44">
        <f t="shared" ref="B15:C15" si="0">SUM(B13:B14)</f>
        <v>822</v>
      </c>
      <c r="C15" s="44">
        <f t="shared" si="0"/>
        <v>15131</v>
      </c>
      <c r="D15" s="44">
        <f>SUM(D13:D14)</f>
        <v>15953</v>
      </c>
      <c r="E15" s="1"/>
      <c r="F15" s="1"/>
    </row>
    <row r="16" spans="1:6" x14ac:dyDescent="0.25">
      <c r="E16" s="1"/>
      <c r="F16" s="1"/>
    </row>
    <row r="17" spans="1:6" ht="15.75" x14ac:dyDescent="0.25">
      <c r="A17" s="25" t="s">
        <v>354</v>
      </c>
      <c r="B17" s="46"/>
      <c r="C17" s="46"/>
      <c r="D17" s="46"/>
      <c r="E17" s="1"/>
      <c r="F17" s="1"/>
    </row>
    <row r="18" spans="1:6" x14ac:dyDescent="0.25">
      <c r="A18" s="88" t="s">
        <v>26</v>
      </c>
      <c r="B18" s="47" t="s">
        <v>96</v>
      </c>
      <c r="C18" s="47" t="s">
        <v>97</v>
      </c>
      <c r="D18" s="47" t="s">
        <v>8</v>
      </c>
      <c r="E18" s="1"/>
      <c r="F18" s="1"/>
    </row>
    <row r="19" spans="1:6" x14ac:dyDescent="0.25">
      <c r="A19" s="4" t="s">
        <v>28</v>
      </c>
      <c r="B19" s="43">
        <v>0</v>
      </c>
      <c r="C19" s="43">
        <v>790</v>
      </c>
      <c r="D19" s="43">
        <f>SUM(B19:C19)</f>
        <v>790</v>
      </c>
      <c r="E19" s="1"/>
      <c r="F19" s="1"/>
    </row>
    <row r="20" spans="1:6" x14ac:dyDescent="0.25">
      <c r="A20" s="4" t="s">
        <v>29</v>
      </c>
      <c r="B20" s="43">
        <v>96</v>
      </c>
      <c r="C20" s="43">
        <v>3711</v>
      </c>
      <c r="D20" s="43">
        <f t="shared" ref="D20:D24" si="1">SUM(B20:C20)</f>
        <v>3807</v>
      </c>
      <c r="E20" s="1"/>
      <c r="F20" s="1"/>
    </row>
    <row r="21" spans="1:6" x14ac:dyDescent="0.25">
      <c r="A21" s="4" t="s">
        <v>30</v>
      </c>
      <c r="B21" s="43">
        <v>324</v>
      </c>
      <c r="C21" s="43">
        <v>3942</v>
      </c>
      <c r="D21" s="43">
        <f t="shared" si="1"/>
        <v>4266</v>
      </c>
      <c r="E21" s="1"/>
      <c r="F21" s="1"/>
    </row>
    <row r="22" spans="1:6" x14ac:dyDescent="0.25">
      <c r="A22" s="4" t="s">
        <v>31</v>
      </c>
      <c r="B22" s="43">
        <v>168</v>
      </c>
      <c r="C22" s="43">
        <v>2846</v>
      </c>
      <c r="D22" s="43">
        <f t="shared" si="1"/>
        <v>3014</v>
      </c>
      <c r="E22" s="1"/>
      <c r="F22" s="1"/>
    </row>
    <row r="23" spans="1:6" x14ac:dyDescent="0.25">
      <c r="A23" s="4" t="s">
        <v>32</v>
      </c>
      <c r="B23" s="43">
        <v>234</v>
      </c>
      <c r="C23" s="43">
        <v>3839</v>
      </c>
      <c r="D23" s="43">
        <f t="shared" si="1"/>
        <v>4073</v>
      </c>
      <c r="E23" s="1"/>
      <c r="F23" s="1"/>
    </row>
    <row r="24" spans="1:6" x14ac:dyDescent="0.25">
      <c r="A24" s="4" t="s">
        <v>33</v>
      </c>
      <c r="B24" s="43">
        <v>0</v>
      </c>
      <c r="C24" s="43">
        <v>3</v>
      </c>
      <c r="D24" s="43">
        <f t="shared" si="1"/>
        <v>3</v>
      </c>
      <c r="E24" s="1"/>
      <c r="F24" s="1"/>
    </row>
    <row r="25" spans="1:6" x14ac:dyDescent="0.25">
      <c r="A25" s="5" t="s">
        <v>4</v>
      </c>
      <c r="B25" s="44">
        <f>SUM(B19:B24)</f>
        <v>822</v>
      </c>
      <c r="C25" s="44">
        <f t="shared" ref="C25:D25" si="2">SUM(C19:C24)</f>
        <v>15131</v>
      </c>
      <c r="D25" s="44">
        <f t="shared" si="2"/>
        <v>15953</v>
      </c>
      <c r="E25" s="1"/>
      <c r="F25" s="1"/>
    </row>
    <row r="26" spans="1:6" x14ac:dyDescent="0.25">
      <c r="A26" s="94" t="s">
        <v>34</v>
      </c>
      <c r="B26" s="95">
        <v>36.84184914841849</v>
      </c>
      <c r="C26" s="95">
        <v>35.053609201480697</v>
      </c>
      <c r="D26" s="95">
        <v>35.145768025078368</v>
      </c>
      <c r="E26" s="1"/>
      <c r="F26" s="1"/>
    </row>
    <row r="27" spans="1:6" x14ac:dyDescent="0.25">
      <c r="B27" s="1"/>
      <c r="C27" s="1"/>
      <c r="D27" s="1"/>
      <c r="E27" s="1"/>
      <c r="F27" s="1"/>
    </row>
    <row r="28" spans="1:6" ht="15.75" x14ac:dyDescent="0.25">
      <c r="A28" s="25" t="s">
        <v>355</v>
      </c>
      <c r="B28" s="46"/>
      <c r="C28" s="46"/>
      <c r="D28" s="46"/>
    </row>
    <row r="29" spans="1:6" x14ac:dyDescent="0.25">
      <c r="A29" s="88" t="s">
        <v>10</v>
      </c>
      <c r="B29" s="47" t="s">
        <v>96</v>
      </c>
      <c r="C29" s="47" t="s">
        <v>97</v>
      </c>
      <c r="D29" s="47" t="s">
        <v>8</v>
      </c>
    </row>
    <row r="30" spans="1:6" x14ac:dyDescent="0.25">
      <c r="A30" s="4" t="s">
        <v>11</v>
      </c>
      <c r="B30" s="43">
        <v>9</v>
      </c>
      <c r="C30" s="43">
        <v>4892</v>
      </c>
      <c r="D30" s="43">
        <v>4901</v>
      </c>
    </row>
    <row r="31" spans="1:6" x14ac:dyDescent="0.25">
      <c r="A31" s="4" t="s">
        <v>12</v>
      </c>
      <c r="B31" s="43">
        <v>68</v>
      </c>
      <c r="C31" s="43">
        <v>176</v>
      </c>
      <c r="D31" s="43">
        <v>244</v>
      </c>
    </row>
    <row r="32" spans="1:6" x14ac:dyDescent="0.25">
      <c r="A32" s="4" t="s">
        <v>13</v>
      </c>
      <c r="B32" s="43">
        <v>13</v>
      </c>
      <c r="C32" s="43">
        <v>428</v>
      </c>
      <c r="D32" s="43">
        <v>441</v>
      </c>
    </row>
    <row r="33" spans="1:6" x14ac:dyDescent="0.25">
      <c r="A33" s="4" t="s">
        <v>14</v>
      </c>
      <c r="B33" s="43">
        <v>274</v>
      </c>
      <c r="C33" s="43">
        <v>394</v>
      </c>
      <c r="D33" s="43">
        <v>668</v>
      </c>
    </row>
    <row r="34" spans="1:6" x14ac:dyDescent="0.25">
      <c r="A34" s="4" t="s">
        <v>15</v>
      </c>
      <c r="B34" s="43">
        <v>122</v>
      </c>
      <c r="C34" s="43">
        <v>1997</v>
      </c>
      <c r="D34" s="43">
        <v>2119</v>
      </c>
    </row>
    <row r="35" spans="1:6" x14ac:dyDescent="0.25">
      <c r="A35" s="4" t="s">
        <v>16</v>
      </c>
      <c r="B35" s="43">
        <v>24</v>
      </c>
      <c r="C35" s="43">
        <v>860</v>
      </c>
      <c r="D35" s="43">
        <v>884</v>
      </c>
    </row>
    <row r="36" spans="1:6" x14ac:dyDescent="0.25">
      <c r="A36" s="4" t="s">
        <v>17</v>
      </c>
      <c r="B36" s="43">
        <v>37</v>
      </c>
      <c r="C36" s="43">
        <v>3658</v>
      </c>
      <c r="D36" s="43">
        <v>3695</v>
      </c>
    </row>
    <row r="37" spans="1:6" x14ac:dyDescent="0.25">
      <c r="A37" s="4" t="s">
        <v>18</v>
      </c>
      <c r="B37" s="43">
        <v>88</v>
      </c>
      <c r="C37" s="43">
        <v>214</v>
      </c>
      <c r="D37" s="43">
        <v>302</v>
      </c>
    </row>
    <row r="38" spans="1:6" x14ac:dyDescent="0.25">
      <c r="A38" s="4" t="s">
        <v>19</v>
      </c>
      <c r="B38" s="43">
        <v>64</v>
      </c>
      <c r="C38" s="43">
        <v>1106</v>
      </c>
      <c r="D38" s="43">
        <v>1170</v>
      </c>
    </row>
    <row r="39" spans="1:6" x14ac:dyDescent="0.25">
      <c r="A39" s="4" t="s">
        <v>20</v>
      </c>
      <c r="B39" s="43">
        <v>123</v>
      </c>
      <c r="C39" s="43">
        <v>1406</v>
      </c>
      <c r="D39" s="43">
        <v>1529</v>
      </c>
    </row>
    <row r="40" spans="1:6" x14ac:dyDescent="0.25">
      <c r="A40" s="5" t="s">
        <v>4</v>
      </c>
      <c r="B40" s="44">
        <v>822</v>
      </c>
      <c r="C40" s="44">
        <v>15131</v>
      </c>
      <c r="D40" s="44">
        <v>15953</v>
      </c>
    </row>
    <row r="41" spans="1:6" x14ac:dyDescent="0.25">
      <c r="A41" s="40"/>
      <c r="B41" s="46"/>
      <c r="C41" s="46"/>
      <c r="D41" s="46"/>
    </row>
    <row r="42" spans="1:6" ht="15.75" x14ac:dyDescent="0.25">
      <c r="A42" s="25" t="s">
        <v>356</v>
      </c>
      <c r="B42" s="46"/>
      <c r="C42" s="46"/>
      <c r="D42" s="46"/>
    </row>
    <row r="43" spans="1:6" x14ac:dyDescent="0.25">
      <c r="A43" s="88" t="s">
        <v>42</v>
      </c>
      <c r="B43" s="47" t="s">
        <v>96</v>
      </c>
      <c r="C43" s="47" t="s">
        <v>97</v>
      </c>
      <c r="D43" s="47" t="s">
        <v>8</v>
      </c>
      <c r="E43" s="1"/>
      <c r="F43" s="1"/>
    </row>
    <row r="44" spans="1:6" x14ac:dyDescent="0.25">
      <c r="A44" s="4" t="s">
        <v>43</v>
      </c>
      <c r="B44" s="43">
        <v>700</v>
      </c>
      <c r="C44" s="43">
        <v>5591</v>
      </c>
      <c r="D44" s="44">
        <v>6291</v>
      </c>
      <c r="E44" s="1"/>
    </row>
    <row r="45" spans="1:6" x14ac:dyDescent="0.25">
      <c r="A45" s="4" t="s">
        <v>44</v>
      </c>
      <c r="B45" s="43">
        <v>103</v>
      </c>
      <c r="C45" s="43">
        <v>5804</v>
      </c>
      <c r="D45" s="44">
        <v>5907</v>
      </c>
      <c r="E45" s="1"/>
    </row>
    <row r="46" spans="1:6" x14ac:dyDescent="0.25">
      <c r="A46" s="32" t="s">
        <v>257</v>
      </c>
      <c r="B46" s="43">
        <v>2</v>
      </c>
      <c r="C46" s="43">
        <v>404</v>
      </c>
      <c r="D46" s="44">
        <v>406</v>
      </c>
      <c r="E46" s="1"/>
    </row>
    <row r="47" spans="1:6" x14ac:dyDescent="0.25">
      <c r="A47" s="32" t="s">
        <v>262</v>
      </c>
      <c r="B47" s="43">
        <v>9</v>
      </c>
      <c r="C47" s="43">
        <v>1475</v>
      </c>
      <c r="D47" s="44">
        <v>1484</v>
      </c>
      <c r="E47" s="1"/>
    </row>
    <row r="48" spans="1:6" x14ac:dyDescent="0.25">
      <c r="A48" s="4" t="s">
        <v>45</v>
      </c>
      <c r="B48" s="43">
        <v>8</v>
      </c>
      <c r="C48" s="43">
        <v>1857</v>
      </c>
      <c r="D48" s="44">
        <v>1865</v>
      </c>
      <c r="E48" s="1"/>
    </row>
    <row r="49" spans="1:6" x14ac:dyDescent="0.25">
      <c r="A49" s="5" t="s">
        <v>4</v>
      </c>
      <c r="B49" s="44">
        <v>822</v>
      </c>
      <c r="C49" s="44">
        <v>15131</v>
      </c>
      <c r="D49" s="44">
        <v>15953</v>
      </c>
      <c r="E49" s="1"/>
    </row>
    <row r="50" spans="1:6" x14ac:dyDescent="0.25">
      <c r="A50" s="40"/>
      <c r="B50" s="46"/>
      <c r="C50" s="46"/>
      <c r="D50" s="46"/>
      <c r="E50" s="1"/>
      <c r="F50" s="33"/>
    </row>
    <row r="51" spans="1:6" ht="15.75" x14ac:dyDescent="0.25">
      <c r="A51" s="25" t="s">
        <v>357</v>
      </c>
      <c r="B51" s="46"/>
      <c r="C51" s="46"/>
      <c r="D51" s="46"/>
      <c r="E51" s="1"/>
    </row>
    <row r="52" spans="1:6" x14ac:dyDescent="0.25">
      <c r="A52" s="88" t="s">
        <v>9</v>
      </c>
      <c r="B52" s="47" t="s">
        <v>96</v>
      </c>
      <c r="C52" s="47" t="s">
        <v>97</v>
      </c>
      <c r="D52" s="47" t="s">
        <v>8</v>
      </c>
      <c r="F52" s="33"/>
    </row>
    <row r="53" spans="1:6" x14ac:dyDescent="0.25">
      <c r="A53" s="4" t="s">
        <v>281</v>
      </c>
      <c r="B53" s="43">
        <v>3</v>
      </c>
      <c r="C53" s="43">
        <v>105</v>
      </c>
      <c r="D53" s="43">
        <v>108</v>
      </c>
    </row>
    <row r="54" spans="1:6" x14ac:dyDescent="0.25">
      <c r="A54" s="4" t="s">
        <v>282</v>
      </c>
      <c r="B54" s="43">
        <v>0</v>
      </c>
      <c r="C54" s="43">
        <v>192</v>
      </c>
      <c r="D54" s="43">
        <v>192</v>
      </c>
      <c r="F54" s="33"/>
    </row>
    <row r="55" spans="1:6" x14ac:dyDescent="0.25">
      <c r="A55" s="4" t="s">
        <v>283</v>
      </c>
      <c r="B55" s="43">
        <v>19</v>
      </c>
      <c r="C55" s="43">
        <v>263</v>
      </c>
      <c r="D55" s="43">
        <v>282</v>
      </c>
    </row>
    <row r="56" spans="1:6" x14ac:dyDescent="0.25">
      <c r="A56" s="4" t="s">
        <v>284</v>
      </c>
      <c r="B56" s="43">
        <v>0</v>
      </c>
      <c r="C56" s="43">
        <v>18</v>
      </c>
      <c r="D56" s="43">
        <v>18</v>
      </c>
      <c r="F56" s="33"/>
    </row>
    <row r="57" spans="1:6" x14ac:dyDescent="0.25">
      <c r="A57" s="4" t="s">
        <v>285</v>
      </c>
      <c r="B57" s="43">
        <v>8</v>
      </c>
      <c r="C57" s="43">
        <v>108</v>
      </c>
      <c r="D57" s="43">
        <v>116</v>
      </c>
    </row>
    <row r="58" spans="1:6" x14ac:dyDescent="0.25">
      <c r="A58" s="4" t="s">
        <v>286</v>
      </c>
      <c r="B58" s="43">
        <v>95</v>
      </c>
      <c r="C58" s="43">
        <v>971</v>
      </c>
      <c r="D58" s="43">
        <v>1066</v>
      </c>
      <c r="F58" s="33"/>
    </row>
    <row r="59" spans="1:6" x14ac:dyDescent="0.25">
      <c r="A59" s="32" t="s">
        <v>307</v>
      </c>
      <c r="B59" s="43">
        <v>527</v>
      </c>
      <c r="C59" s="43">
        <v>10488</v>
      </c>
      <c r="D59" s="43">
        <v>11015</v>
      </c>
    </row>
    <row r="60" spans="1:6" x14ac:dyDescent="0.25">
      <c r="A60" s="4" t="s">
        <v>287</v>
      </c>
      <c r="B60" s="43">
        <v>0</v>
      </c>
      <c r="C60" s="43">
        <v>0</v>
      </c>
      <c r="D60" s="43">
        <v>0</v>
      </c>
      <c r="F60" s="33"/>
    </row>
    <row r="61" spans="1:6" x14ac:dyDescent="0.25">
      <c r="A61" s="4" t="s">
        <v>288</v>
      </c>
      <c r="B61" s="43">
        <v>25</v>
      </c>
      <c r="C61" s="43">
        <v>326</v>
      </c>
      <c r="D61" s="43">
        <v>351</v>
      </c>
    </row>
    <row r="62" spans="1:6" x14ac:dyDescent="0.25">
      <c r="A62" s="4" t="s">
        <v>315</v>
      </c>
      <c r="B62" s="43">
        <v>7</v>
      </c>
      <c r="C62" s="43">
        <v>135</v>
      </c>
      <c r="D62" s="43">
        <v>142</v>
      </c>
    </row>
    <row r="63" spans="1:6" x14ac:dyDescent="0.25">
      <c r="A63" s="4" t="s">
        <v>289</v>
      </c>
      <c r="B63" s="43">
        <v>83</v>
      </c>
      <c r="C63" s="43">
        <v>1374</v>
      </c>
      <c r="D63" s="43">
        <v>1457</v>
      </c>
      <c r="F63" s="33"/>
    </row>
    <row r="64" spans="1:6" x14ac:dyDescent="0.25">
      <c r="A64" s="4" t="s">
        <v>290</v>
      </c>
      <c r="B64" s="43">
        <v>18</v>
      </c>
      <c r="C64" s="43">
        <v>637</v>
      </c>
      <c r="D64" s="43">
        <v>655</v>
      </c>
    </row>
    <row r="65" spans="1:6" x14ac:dyDescent="0.25">
      <c r="A65" s="4" t="s">
        <v>291</v>
      </c>
      <c r="B65" s="43">
        <v>35</v>
      </c>
      <c r="C65" s="43">
        <v>260</v>
      </c>
      <c r="D65" s="43">
        <v>295</v>
      </c>
      <c r="F65" s="33"/>
    </row>
    <row r="66" spans="1:6" x14ac:dyDescent="0.25">
      <c r="A66" s="4" t="s">
        <v>292</v>
      </c>
      <c r="B66" s="43">
        <v>2</v>
      </c>
      <c r="C66" s="43">
        <v>254</v>
      </c>
      <c r="D66" s="43">
        <v>256</v>
      </c>
    </row>
    <row r="67" spans="1:6" x14ac:dyDescent="0.25">
      <c r="A67" s="4" t="s">
        <v>293</v>
      </c>
      <c r="B67" s="43">
        <v>0</v>
      </c>
      <c r="C67" s="43" t="s">
        <v>318</v>
      </c>
      <c r="D67" s="43" t="s">
        <v>318</v>
      </c>
      <c r="F67" s="33"/>
    </row>
    <row r="68" spans="1:6" x14ac:dyDescent="0.25">
      <c r="A68" s="4" t="s">
        <v>295</v>
      </c>
      <c r="B68" s="43">
        <v>0</v>
      </c>
      <c r="C68" s="43" t="s">
        <v>318</v>
      </c>
      <c r="D68" s="43" t="s">
        <v>318</v>
      </c>
    </row>
    <row r="69" spans="1:6" x14ac:dyDescent="0.25">
      <c r="A69" s="5" t="s">
        <v>4</v>
      </c>
      <c r="B69" s="44">
        <f>SUM(B53:B68)</f>
        <v>822</v>
      </c>
      <c r="C69" s="44">
        <f>SUM(C53:C68)</f>
        <v>15131</v>
      </c>
      <c r="D69" s="44">
        <f>SUM(D53:D68)</f>
        <v>15953</v>
      </c>
    </row>
    <row r="70" spans="1:6" x14ac:dyDescent="0.25">
      <c r="E70" s="1"/>
    </row>
    <row r="71" spans="1:6" ht="15.75" x14ac:dyDescent="0.25">
      <c r="A71" s="25" t="s">
        <v>358</v>
      </c>
      <c r="B71" s="46"/>
      <c r="C71" s="46"/>
      <c r="D71" s="46"/>
      <c r="E71" s="1"/>
    </row>
    <row r="72" spans="1:6" x14ac:dyDescent="0.25">
      <c r="A72" s="88" t="s">
        <v>10</v>
      </c>
      <c r="B72" s="47" t="s">
        <v>235</v>
      </c>
      <c r="C72" s="47" t="s">
        <v>236</v>
      </c>
      <c r="D72" s="47" t="s">
        <v>8</v>
      </c>
      <c r="E72" s="1"/>
    </row>
    <row r="73" spans="1:6" x14ac:dyDescent="0.25">
      <c r="A73" s="19" t="s">
        <v>11</v>
      </c>
      <c r="B73" s="48">
        <v>1873</v>
      </c>
      <c r="C73" s="48">
        <v>3028</v>
      </c>
      <c r="D73" s="48">
        <f>SUM(B73:C73)</f>
        <v>4901</v>
      </c>
      <c r="E73" s="1"/>
    </row>
    <row r="74" spans="1:6" x14ac:dyDescent="0.25">
      <c r="A74" s="19" t="s">
        <v>12</v>
      </c>
      <c r="B74" s="48">
        <v>114</v>
      </c>
      <c r="C74" s="48">
        <v>130</v>
      </c>
      <c r="D74" s="48">
        <f t="shared" ref="D74:D83" si="3">SUM(B74:C74)</f>
        <v>244</v>
      </c>
      <c r="E74" s="1"/>
    </row>
    <row r="75" spans="1:6" x14ac:dyDescent="0.25">
      <c r="A75" s="19" t="s">
        <v>13</v>
      </c>
      <c r="B75" s="48">
        <v>219</v>
      </c>
      <c r="C75" s="48">
        <v>222</v>
      </c>
      <c r="D75" s="48">
        <f t="shared" si="3"/>
        <v>441</v>
      </c>
      <c r="E75" s="1"/>
    </row>
    <row r="76" spans="1:6" x14ac:dyDescent="0.25">
      <c r="A76" s="19" t="s">
        <v>14</v>
      </c>
      <c r="B76" s="48">
        <v>268</v>
      </c>
      <c r="C76" s="48">
        <v>400</v>
      </c>
      <c r="D76" s="48">
        <f t="shared" si="3"/>
        <v>668</v>
      </c>
      <c r="E76" s="1"/>
    </row>
    <row r="77" spans="1:6" x14ac:dyDescent="0.25">
      <c r="A77" s="19" t="s">
        <v>15</v>
      </c>
      <c r="B77" s="48">
        <v>1201</v>
      </c>
      <c r="C77" s="48">
        <v>918</v>
      </c>
      <c r="D77" s="48">
        <f t="shared" si="3"/>
        <v>2119</v>
      </c>
      <c r="E77" s="1"/>
    </row>
    <row r="78" spans="1:6" x14ac:dyDescent="0.25">
      <c r="A78" s="19" t="s">
        <v>16</v>
      </c>
      <c r="B78" s="48">
        <v>420</v>
      </c>
      <c r="C78" s="48">
        <v>464</v>
      </c>
      <c r="D78" s="48">
        <f t="shared" si="3"/>
        <v>884</v>
      </c>
      <c r="E78" s="1"/>
    </row>
    <row r="79" spans="1:6" x14ac:dyDescent="0.25">
      <c r="A79" s="19" t="s">
        <v>17</v>
      </c>
      <c r="B79" s="48">
        <v>2470</v>
      </c>
      <c r="C79" s="48">
        <v>1225</v>
      </c>
      <c r="D79" s="48">
        <f t="shared" si="3"/>
        <v>3695</v>
      </c>
      <c r="E79" s="1"/>
    </row>
    <row r="80" spans="1:6" x14ac:dyDescent="0.25">
      <c r="A80" s="19" t="s">
        <v>18</v>
      </c>
      <c r="B80" s="48">
        <v>139</v>
      </c>
      <c r="C80" s="48">
        <v>163</v>
      </c>
      <c r="D80" s="48">
        <f t="shared" si="3"/>
        <v>302</v>
      </c>
      <c r="E80" s="1"/>
    </row>
    <row r="81" spans="1:5" x14ac:dyDescent="0.25">
      <c r="A81" s="19" t="s">
        <v>19</v>
      </c>
      <c r="B81" s="48">
        <v>766</v>
      </c>
      <c r="C81" s="48">
        <v>404</v>
      </c>
      <c r="D81" s="48">
        <f t="shared" si="3"/>
        <v>1170</v>
      </c>
      <c r="E81" s="1"/>
    </row>
    <row r="82" spans="1:5" x14ac:dyDescent="0.25">
      <c r="A82" s="19" t="s">
        <v>20</v>
      </c>
      <c r="B82" s="48">
        <v>415</v>
      </c>
      <c r="C82" s="48">
        <v>1114</v>
      </c>
      <c r="D82" s="48">
        <f t="shared" si="3"/>
        <v>1529</v>
      </c>
      <c r="E82" s="1"/>
    </row>
    <row r="83" spans="1:5" x14ac:dyDescent="0.25">
      <c r="A83" s="20" t="s">
        <v>4</v>
      </c>
      <c r="B83" s="49">
        <v>7885</v>
      </c>
      <c r="C83" s="49">
        <v>8068</v>
      </c>
      <c r="D83" s="49">
        <f t="shared" si="3"/>
        <v>15953</v>
      </c>
      <c r="E83" s="1"/>
    </row>
    <row r="84" spans="1:5" x14ac:dyDescent="0.25">
      <c r="E84" s="1"/>
    </row>
    <row r="85" spans="1:5" ht="15.75" x14ac:dyDescent="0.25">
      <c r="A85" s="25" t="s">
        <v>359</v>
      </c>
      <c r="B85" s="46"/>
      <c r="C85" s="46"/>
      <c r="D85" s="46"/>
      <c r="E85" s="1"/>
    </row>
    <row r="86" spans="1:5" x14ac:dyDescent="0.25">
      <c r="A86" s="88" t="s">
        <v>9</v>
      </c>
      <c r="B86" s="47" t="s">
        <v>235</v>
      </c>
      <c r="C86" s="47" t="s">
        <v>236</v>
      </c>
      <c r="D86" s="47" t="s">
        <v>8</v>
      </c>
      <c r="E86" s="1"/>
    </row>
    <row r="87" spans="1:5" x14ac:dyDescent="0.25">
      <c r="A87" s="19" t="s">
        <v>281</v>
      </c>
      <c r="B87" s="64">
        <v>48</v>
      </c>
      <c r="C87" s="64">
        <v>60</v>
      </c>
      <c r="D87" s="64">
        <f>SUM(B87:C87)</f>
        <v>108</v>
      </c>
      <c r="E87" s="1"/>
    </row>
    <row r="88" spans="1:5" x14ac:dyDescent="0.25">
      <c r="A88" s="19" t="s">
        <v>282</v>
      </c>
      <c r="B88" s="64">
        <v>111</v>
      </c>
      <c r="C88" s="64">
        <v>81</v>
      </c>
      <c r="D88" s="64">
        <f t="shared" ref="D88:D102" si="4">SUM(B88:C88)</f>
        <v>192</v>
      </c>
      <c r="E88" s="1"/>
    </row>
    <row r="89" spans="1:5" x14ac:dyDescent="0.25">
      <c r="A89" s="19" t="s">
        <v>283</v>
      </c>
      <c r="B89" s="64">
        <v>144</v>
      </c>
      <c r="C89" s="64">
        <v>138</v>
      </c>
      <c r="D89" s="64">
        <f t="shared" si="4"/>
        <v>282</v>
      </c>
      <c r="E89" s="1"/>
    </row>
    <row r="90" spans="1:5" x14ac:dyDescent="0.25">
      <c r="A90" s="19" t="s">
        <v>284</v>
      </c>
      <c r="B90" s="64">
        <v>5</v>
      </c>
      <c r="C90" s="64">
        <v>13</v>
      </c>
      <c r="D90" s="64">
        <f t="shared" si="4"/>
        <v>18</v>
      </c>
      <c r="E90" s="1"/>
    </row>
    <row r="91" spans="1:5" x14ac:dyDescent="0.25">
      <c r="A91" s="19" t="s">
        <v>285</v>
      </c>
      <c r="B91" s="64">
        <v>64</v>
      </c>
      <c r="C91" s="64">
        <v>52</v>
      </c>
      <c r="D91" s="64">
        <f t="shared" si="4"/>
        <v>116</v>
      </c>
      <c r="E91" s="1"/>
    </row>
    <row r="92" spans="1:5" x14ac:dyDescent="0.25">
      <c r="A92" s="19" t="s">
        <v>286</v>
      </c>
      <c r="B92" s="64">
        <v>490</v>
      </c>
      <c r="C92" s="64">
        <v>576</v>
      </c>
      <c r="D92" s="64">
        <f t="shared" si="4"/>
        <v>1066</v>
      </c>
      <c r="E92" s="1"/>
    </row>
    <row r="93" spans="1:5" x14ac:dyDescent="0.25">
      <c r="A93" s="96" t="s">
        <v>307</v>
      </c>
      <c r="B93" s="64">
        <v>5291</v>
      </c>
      <c r="C93" s="64">
        <v>5724</v>
      </c>
      <c r="D93" s="64">
        <f t="shared" si="4"/>
        <v>11015</v>
      </c>
      <c r="E93" s="1"/>
    </row>
    <row r="94" spans="1:5" x14ac:dyDescent="0.25">
      <c r="A94" s="19" t="s">
        <v>287</v>
      </c>
      <c r="B94" s="64">
        <v>0</v>
      </c>
      <c r="C94" s="64">
        <v>0</v>
      </c>
      <c r="D94" s="64">
        <f t="shared" si="4"/>
        <v>0</v>
      </c>
      <c r="E94" s="1"/>
    </row>
    <row r="95" spans="1:5" x14ac:dyDescent="0.25">
      <c r="A95" s="19" t="s">
        <v>288</v>
      </c>
      <c r="B95" s="64">
        <v>193</v>
      </c>
      <c r="C95" s="64">
        <v>158</v>
      </c>
      <c r="D95" s="64">
        <f t="shared" si="4"/>
        <v>351</v>
      </c>
      <c r="E95" s="1"/>
    </row>
    <row r="96" spans="1:5" x14ac:dyDescent="0.25">
      <c r="A96" s="19" t="s">
        <v>315</v>
      </c>
      <c r="B96" s="64">
        <v>80</v>
      </c>
      <c r="C96" s="64">
        <v>62</v>
      </c>
      <c r="D96" s="64">
        <f t="shared" si="4"/>
        <v>142</v>
      </c>
      <c r="E96" s="1"/>
    </row>
    <row r="97" spans="1:6" x14ac:dyDescent="0.25">
      <c r="A97" s="19" t="s">
        <v>289</v>
      </c>
      <c r="B97" s="64">
        <v>792</v>
      </c>
      <c r="C97" s="64">
        <v>665</v>
      </c>
      <c r="D97" s="64">
        <f t="shared" si="4"/>
        <v>1457</v>
      </c>
      <c r="E97" s="1"/>
    </row>
    <row r="98" spans="1:6" x14ac:dyDescent="0.25">
      <c r="A98" s="19" t="s">
        <v>290</v>
      </c>
      <c r="B98" s="64">
        <v>394</v>
      </c>
      <c r="C98" s="64">
        <v>261</v>
      </c>
      <c r="D98" s="64">
        <f t="shared" si="4"/>
        <v>655</v>
      </c>
      <c r="E98" s="1"/>
    </row>
    <row r="99" spans="1:6" x14ac:dyDescent="0.25">
      <c r="A99" s="19" t="s">
        <v>291</v>
      </c>
      <c r="B99" s="64">
        <v>136</v>
      </c>
      <c r="C99" s="64">
        <v>159</v>
      </c>
      <c r="D99" s="64">
        <f t="shared" si="4"/>
        <v>295</v>
      </c>
      <c r="E99" s="1"/>
    </row>
    <row r="100" spans="1:6" x14ac:dyDescent="0.25">
      <c r="A100" s="19" t="s">
        <v>292</v>
      </c>
      <c r="B100" s="64">
        <v>137</v>
      </c>
      <c r="C100" s="64">
        <v>119</v>
      </c>
      <c r="D100" s="64">
        <f t="shared" si="4"/>
        <v>256</v>
      </c>
      <c r="E100" s="1"/>
    </row>
    <row r="101" spans="1:6" x14ac:dyDescent="0.25">
      <c r="A101" s="19" t="s">
        <v>293</v>
      </c>
      <c r="B101" s="64">
        <v>0</v>
      </c>
      <c r="C101" s="64">
        <v>0</v>
      </c>
      <c r="D101" s="64">
        <f t="shared" si="4"/>
        <v>0</v>
      </c>
      <c r="E101" s="1"/>
    </row>
    <row r="102" spans="1:6" x14ac:dyDescent="0.25">
      <c r="A102" s="19" t="s">
        <v>295</v>
      </c>
      <c r="B102" s="64">
        <v>0</v>
      </c>
      <c r="C102" s="64">
        <v>0</v>
      </c>
      <c r="D102" s="64">
        <f t="shared" si="4"/>
        <v>0</v>
      </c>
      <c r="E102" s="1"/>
    </row>
    <row r="103" spans="1:6" x14ac:dyDescent="0.25">
      <c r="A103" s="20" t="s">
        <v>4</v>
      </c>
      <c r="B103" s="65">
        <f>SUM(B87:B102)</f>
        <v>7885</v>
      </c>
      <c r="C103" s="65">
        <f>SUM(C87:C102)</f>
        <v>8068</v>
      </c>
      <c r="D103" s="65">
        <f>SUM(D87:D102)</f>
        <v>15953</v>
      </c>
      <c r="E103" s="1"/>
    </row>
    <row r="104" spans="1:6" x14ac:dyDescent="0.25">
      <c r="A104" s="40"/>
      <c r="B104" s="46"/>
      <c r="C104" s="46"/>
      <c r="D104" s="46"/>
      <c r="E104" s="1"/>
      <c r="F104" s="1"/>
    </row>
    <row r="105" spans="1:6" x14ac:dyDescent="0.25">
      <c r="A105" s="40"/>
      <c r="B105" s="46"/>
      <c r="C105" s="46"/>
      <c r="D105" s="46"/>
      <c r="E105" s="1"/>
      <c r="F105" s="1"/>
    </row>
    <row r="106" spans="1:6" x14ac:dyDescent="0.25">
      <c r="A106" s="70" t="s">
        <v>272</v>
      </c>
      <c r="B106" s="46"/>
      <c r="C106" s="46"/>
      <c r="D106" s="46"/>
      <c r="E106" s="1"/>
      <c r="F106" s="1"/>
    </row>
    <row r="107" spans="1:6" x14ac:dyDescent="0.25">
      <c r="A107" s="40"/>
      <c r="B107" s="46"/>
      <c r="C107" s="46"/>
      <c r="D107" s="46"/>
      <c r="E107" s="1"/>
      <c r="F107" s="1"/>
    </row>
    <row r="108" spans="1:6" x14ac:dyDescent="0.25">
      <c r="A108" s="71" t="s">
        <v>21</v>
      </c>
      <c r="B108" s="46"/>
      <c r="C108" s="46"/>
      <c r="D108" s="46"/>
      <c r="E108" s="1"/>
      <c r="F108" s="1"/>
    </row>
    <row r="109" spans="1:6" x14ac:dyDescent="0.25">
      <c r="A109" s="40"/>
      <c r="B109" s="46"/>
      <c r="C109" s="46"/>
      <c r="D109" s="46"/>
      <c r="E109" s="1"/>
      <c r="F109" s="1"/>
    </row>
  </sheetData>
  <hyperlinks>
    <hyperlink ref="A108" location="Indice!A5" display="Volver al índice" xr:uid="{00000000-0004-0000-0500-000000000000}"/>
  </hyperlink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4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10" defaultColWidth="10.85546875" defaultRowHeight="15" x14ac:dyDescent="0.2"/>
  <cols>
    <col min="1" max="1" width="27.140625" style="1" customWidth="1"/>
    <col min="2" max="12" width="10.85546875" style="1" customWidth="1"/>
    <col min="13" max="15" width="14.5703125" style="1" customWidth="1"/>
    <col min="16" max="16384" width="10.85546875" style="1"/>
  </cols>
  <sheetData>
    <row r="1" spans="1:15" ht="21" x14ac:dyDescent="0.2">
      <c r="A1" s="66" t="s">
        <v>383</v>
      </c>
      <c r="B1" s="66"/>
      <c r="C1" s="66"/>
      <c r="D1" s="66"/>
      <c r="E1" s="66"/>
      <c r="F1" s="66"/>
      <c r="G1" s="40"/>
      <c r="H1" s="40"/>
      <c r="I1" s="40"/>
      <c r="J1" s="40"/>
      <c r="K1" s="40"/>
      <c r="L1" s="40"/>
      <c r="M1" s="40"/>
      <c r="N1" s="40"/>
      <c r="O1" s="40"/>
    </row>
    <row r="2" spans="1:15" ht="18.75" x14ac:dyDescent="0.2">
      <c r="A2" s="38"/>
      <c r="B2" s="38"/>
      <c r="C2" s="38"/>
      <c r="D2" s="38"/>
      <c r="E2" s="38"/>
      <c r="F2" s="38"/>
      <c r="G2" s="40"/>
      <c r="H2" s="40"/>
      <c r="I2" s="40"/>
      <c r="J2" s="40"/>
      <c r="K2" s="40"/>
      <c r="L2" s="40"/>
      <c r="M2" s="40"/>
      <c r="N2" s="40"/>
      <c r="O2" s="40"/>
    </row>
    <row r="3" spans="1:15" x14ac:dyDescent="0.2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</row>
    <row r="4" spans="1:15" ht="15.75" x14ac:dyDescent="0.2">
      <c r="A4" s="41" t="s">
        <v>247</v>
      </c>
      <c r="B4" s="41"/>
      <c r="C4" s="41"/>
      <c r="D4" s="41"/>
      <c r="E4" s="41"/>
      <c r="F4" s="41"/>
      <c r="G4" s="40"/>
      <c r="H4" s="40"/>
      <c r="I4" s="40"/>
      <c r="J4" s="40"/>
      <c r="K4" s="40"/>
      <c r="L4" s="40"/>
      <c r="M4" s="40"/>
      <c r="N4" s="40"/>
      <c r="O4" s="40"/>
    </row>
    <row r="5" spans="1:15" ht="25.5" x14ac:dyDescent="0.2">
      <c r="A5" s="88" t="s">
        <v>276</v>
      </c>
      <c r="B5" s="3">
        <v>2008</v>
      </c>
      <c r="C5" s="3">
        <v>2009</v>
      </c>
      <c r="D5" s="3">
        <v>2010</v>
      </c>
      <c r="E5" s="3">
        <v>2011</v>
      </c>
      <c r="F5" s="3">
        <v>2012</v>
      </c>
      <c r="G5" s="3">
        <v>2013</v>
      </c>
      <c r="H5" s="3">
        <v>2014</v>
      </c>
      <c r="I5" s="3">
        <v>2015</v>
      </c>
      <c r="J5" s="3">
        <v>2016</v>
      </c>
      <c r="K5" s="3">
        <v>2017</v>
      </c>
      <c r="L5" s="3">
        <v>2018</v>
      </c>
      <c r="M5" s="13" t="s">
        <v>395</v>
      </c>
      <c r="N5" s="13" t="s">
        <v>394</v>
      </c>
      <c r="O5" s="13" t="s">
        <v>313</v>
      </c>
    </row>
    <row r="6" spans="1:15" x14ac:dyDescent="0.2">
      <c r="A6" s="32" t="s">
        <v>269</v>
      </c>
      <c r="B6" s="4">
        <v>1921</v>
      </c>
      <c r="C6" s="4">
        <v>2356</v>
      </c>
      <c r="D6" s="4">
        <v>2426</v>
      </c>
      <c r="E6" s="4">
        <v>2699</v>
      </c>
      <c r="F6" s="4">
        <v>2991</v>
      </c>
      <c r="G6" s="4">
        <v>3336</v>
      </c>
      <c r="H6" s="4">
        <v>3552</v>
      </c>
      <c r="I6" s="4">
        <v>3715</v>
      </c>
      <c r="J6" s="4">
        <v>3544</v>
      </c>
      <c r="K6" s="4">
        <v>4036</v>
      </c>
      <c r="L6" s="4">
        <v>4099</v>
      </c>
      <c r="M6" s="100">
        <f>(L6-B6)/B6</f>
        <v>1.1337844872462259</v>
      </c>
      <c r="N6" s="100">
        <f>(L6-K6)/K6</f>
        <v>1.5609514370664023E-2</v>
      </c>
      <c r="O6" s="14">
        <f>L6/$L$9</f>
        <v>0.25694226791199148</v>
      </c>
    </row>
    <row r="7" spans="1:15" x14ac:dyDescent="0.2">
      <c r="A7" s="32" t="s">
        <v>270</v>
      </c>
      <c r="B7" s="32">
        <v>1479</v>
      </c>
      <c r="C7" s="32">
        <v>1909</v>
      </c>
      <c r="D7" s="32">
        <v>1894</v>
      </c>
      <c r="E7" s="32">
        <v>2099</v>
      </c>
      <c r="F7" s="32">
        <v>2086</v>
      </c>
      <c r="G7" s="21">
        <v>2821</v>
      </c>
      <c r="H7" s="21">
        <v>3029</v>
      </c>
      <c r="I7" s="21">
        <v>2931</v>
      </c>
      <c r="J7" s="21">
        <v>3106</v>
      </c>
      <c r="K7" s="21">
        <v>3418</v>
      </c>
      <c r="L7" s="21">
        <v>3493</v>
      </c>
      <c r="M7" s="100">
        <f>(L7-B7)/B7</f>
        <v>1.3617308992562542</v>
      </c>
      <c r="N7" s="100">
        <f t="shared" ref="N7:N9" si="0">(L7-K7)/K7</f>
        <v>2.1942656524283205E-2</v>
      </c>
      <c r="O7" s="14">
        <f t="shared" ref="O7:O9" si="1">L7/$L$9</f>
        <v>0.21895568231680562</v>
      </c>
    </row>
    <row r="8" spans="1:15" x14ac:dyDescent="0.2">
      <c r="A8" s="32" t="s">
        <v>271</v>
      </c>
      <c r="B8" s="32">
        <v>2855</v>
      </c>
      <c r="C8" s="32">
        <v>4406</v>
      </c>
      <c r="D8" s="32">
        <v>3815</v>
      </c>
      <c r="E8" s="32">
        <v>5236</v>
      </c>
      <c r="F8" s="32">
        <v>5634</v>
      </c>
      <c r="G8" s="21">
        <v>6485</v>
      </c>
      <c r="H8" s="21">
        <v>6379</v>
      </c>
      <c r="I8" s="21">
        <v>7280</v>
      </c>
      <c r="J8" s="21">
        <v>7242</v>
      </c>
      <c r="K8" s="21">
        <v>7232</v>
      </c>
      <c r="L8" s="21">
        <v>8361</v>
      </c>
      <c r="M8" s="100">
        <f>(L8-B8)/B8</f>
        <v>1.9285464098073555</v>
      </c>
      <c r="N8" s="100">
        <f t="shared" si="0"/>
        <v>0.15611172566371681</v>
      </c>
      <c r="O8" s="14">
        <f t="shared" si="1"/>
        <v>0.52410204977120289</v>
      </c>
    </row>
    <row r="9" spans="1:15" x14ac:dyDescent="0.2">
      <c r="A9" s="79" t="s">
        <v>4</v>
      </c>
      <c r="B9" s="79">
        <v>6255</v>
      </c>
      <c r="C9" s="79">
        <v>8671</v>
      </c>
      <c r="D9" s="79">
        <v>8135</v>
      </c>
      <c r="E9" s="79">
        <v>10034</v>
      </c>
      <c r="F9" s="79">
        <v>10711</v>
      </c>
      <c r="G9" s="80">
        <v>12642</v>
      </c>
      <c r="H9" s="80">
        <v>12960</v>
      </c>
      <c r="I9" s="80">
        <v>13926</v>
      </c>
      <c r="J9" s="80">
        <v>13892</v>
      </c>
      <c r="K9" s="80">
        <v>14686</v>
      </c>
      <c r="L9" s="80">
        <v>15953</v>
      </c>
      <c r="M9" s="83">
        <f t="shared" ref="M9" si="2">(L9-B9)/B9</f>
        <v>1.5504396482813749</v>
      </c>
      <c r="N9" s="83">
        <f t="shared" si="0"/>
        <v>8.6272640610104867E-2</v>
      </c>
      <c r="O9" s="16">
        <f t="shared" si="1"/>
        <v>1</v>
      </c>
    </row>
    <row r="10" spans="1:15" x14ac:dyDescent="0.2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</row>
    <row r="11" spans="1:15" ht="15.75" x14ac:dyDescent="0.2">
      <c r="A11" s="41" t="s">
        <v>234</v>
      </c>
      <c r="B11" s="41"/>
      <c r="C11" s="41"/>
      <c r="D11" s="41"/>
      <c r="E11" s="41"/>
      <c r="F11" s="41"/>
      <c r="G11" s="40"/>
      <c r="H11" s="40"/>
      <c r="I11" s="40"/>
      <c r="J11" s="40"/>
      <c r="K11" s="40"/>
      <c r="L11" s="40"/>
      <c r="M11" s="40"/>
      <c r="N11" s="40"/>
      <c r="O11" s="40"/>
    </row>
    <row r="12" spans="1:15" ht="25.5" x14ac:dyDescent="0.2">
      <c r="A12" s="88" t="s">
        <v>98</v>
      </c>
      <c r="B12" s="3">
        <v>2008</v>
      </c>
      <c r="C12" s="3">
        <v>2009</v>
      </c>
      <c r="D12" s="3">
        <v>2010</v>
      </c>
      <c r="E12" s="3">
        <v>2011</v>
      </c>
      <c r="F12" s="3">
        <v>2012</v>
      </c>
      <c r="G12" s="3">
        <v>2013</v>
      </c>
      <c r="H12" s="3">
        <v>2014</v>
      </c>
      <c r="I12" s="3">
        <v>2015</v>
      </c>
      <c r="J12" s="3">
        <v>2016</v>
      </c>
      <c r="K12" s="3">
        <v>2017</v>
      </c>
      <c r="L12" s="3">
        <v>2018</v>
      </c>
      <c r="M12" s="13" t="s">
        <v>395</v>
      </c>
      <c r="N12" s="13" t="s">
        <v>394</v>
      </c>
      <c r="O12" s="13" t="s">
        <v>313</v>
      </c>
    </row>
    <row r="13" spans="1:15" x14ac:dyDescent="0.2">
      <c r="A13" s="4" t="s">
        <v>96</v>
      </c>
      <c r="B13" s="114">
        <v>374</v>
      </c>
      <c r="C13" s="114">
        <v>383</v>
      </c>
      <c r="D13" s="114">
        <v>426</v>
      </c>
      <c r="E13" s="114">
        <v>492</v>
      </c>
      <c r="F13" s="114">
        <v>604</v>
      </c>
      <c r="G13" s="115">
        <v>639</v>
      </c>
      <c r="H13" s="115">
        <v>619</v>
      </c>
      <c r="I13" s="115">
        <v>692</v>
      </c>
      <c r="J13" s="115">
        <v>704</v>
      </c>
      <c r="K13" s="115">
        <v>726</v>
      </c>
      <c r="L13" s="115">
        <v>822</v>
      </c>
      <c r="M13" s="100">
        <f t="shared" ref="M13:M15" si="3">(L13-B13)/B13</f>
        <v>1.1978609625668448</v>
      </c>
      <c r="N13" s="100">
        <f t="shared" ref="N13:N15" si="4">(L13-K13)/K13</f>
        <v>0.13223140495867769</v>
      </c>
      <c r="O13" s="14">
        <f t="shared" ref="O13:O15" si="5">L13/$L$9</f>
        <v>5.152635867861844E-2</v>
      </c>
    </row>
    <row r="14" spans="1:15" x14ac:dyDescent="0.2">
      <c r="A14" s="4" t="s">
        <v>97</v>
      </c>
      <c r="B14" s="114">
        <v>5881</v>
      </c>
      <c r="C14" s="114">
        <v>8288</v>
      </c>
      <c r="D14" s="114">
        <v>7709</v>
      </c>
      <c r="E14" s="114">
        <v>9542</v>
      </c>
      <c r="F14" s="114">
        <v>10107</v>
      </c>
      <c r="G14" s="115">
        <v>12003</v>
      </c>
      <c r="H14" s="115">
        <v>12341</v>
      </c>
      <c r="I14" s="115">
        <v>13234</v>
      </c>
      <c r="J14" s="115">
        <v>13188</v>
      </c>
      <c r="K14" s="115">
        <v>13960</v>
      </c>
      <c r="L14" s="115">
        <v>15131</v>
      </c>
      <c r="M14" s="100">
        <f t="shared" si="3"/>
        <v>1.5728617582043871</v>
      </c>
      <c r="N14" s="100">
        <f t="shared" si="4"/>
        <v>8.3882521489971343E-2</v>
      </c>
      <c r="O14" s="14">
        <f t="shared" si="5"/>
        <v>0.94847364132138157</v>
      </c>
    </row>
    <row r="15" spans="1:15" x14ac:dyDescent="0.2">
      <c r="A15" s="5" t="s">
        <v>4</v>
      </c>
      <c r="B15" s="5">
        <v>6255</v>
      </c>
      <c r="C15" s="5">
        <v>8671</v>
      </c>
      <c r="D15" s="5">
        <v>8135</v>
      </c>
      <c r="E15" s="5">
        <v>10034</v>
      </c>
      <c r="F15" s="5">
        <v>10711</v>
      </c>
      <c r="G15" s="22">
        <v>12642</v>
      </c>
      <c r="H15" s="22">
        <v>12960</v>
      </c>
      <c r="I15" s="22">
        <v>13926</v>
      </c>
      <c r="J15" s="22">
        <v>13892</v>
      </c>
      <c r="K15" s="22">
        <v>14686</v>
      </c>
      <c r="L15" s="22">
        <v>15953</v>
      </c>
      <c r="M15" s="83">
        <f t="shared" si="3"/>
        <v>1.5504396482813749</v>
      </c>
      <c r="N15" s="83">
        <f t="shared" si="4"/>
        <v>8.6272640610104867E-2</v>
      </c>
      <c r="O15" s="16">
        <f t="shared" si="5"/>
        <v>1</v>
      </c>
    </row>
    <row r="16" spans="1:15" x14ac:dyDescent="0.2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</row>
    <row r="17" spans="1:16" ht="15.75" x14ac:dyDescent="0.2">
      <c r="A17" s="41" t="s">
        <v>248</v>
      </c>
      <c r="B17" s="41"/>
      <c r="C17" s="41"/>
      <c r="D17" s="41"/>
      <c r="E17" s="41"/>
      <c r="F17" s="41"/>
      <c r="G17" s="40"/>
      <c r="H17" s="40"/>
      <c r="I17" s="40"/>
      <c r="J17" s="40"/>
      <c r="K17" s="40"/>
      <c r="L17" s="40"/>
      <c r="M17" s="40"/>
      <c r="N17" s="40"/>
      <c r="O17" s="40"/>
    </row>
    <row r="18" spans="1:16" ht="25.5" x14ac:dyDescent="0.2">
      <c r="A18" s="88" t="s">
        <v>278</v>
      </c>
      <c r="B18" s="3">
        <v>2008</v>
      </c>
      <c r="C18" s="3">
        <v>2009</v>
      </c>
      <c r="D18" s="3">
        <v>2010</v>
      </c>
      <c r="E18" s="3">
        <v>2011</v>
      </c>
      <c r="F18" s="3">
        <v>2012</v>
      </c>
      <c r="G18" s="3">
        <v>2013</v>
      </c>
      <c r="H18" s="3">
        <v>2014</v>
      </c>
      <c r="I18" s="3">
        <v>2015</v>
      </c>
      <c r="J18" s="3">
        <v>2016</v>
      </c>
      <c r="K18" s="3">
        <v>2017</v>
      </c>
      <c r="L18" s="3">
        <v>2018</v>
      </c>
      <c r="M18" s="13" t="s">
        <v>395</v>
      </c>
      <c r="N18" s="13" t="s">
        <v>394</v>
      </c>
      <c r="O18" s="13" t="s">
        <v>313</v>
      </c>
    </row>
    <row r="19" spans="1:16" s="12" customFormat="1" x14ac:dyDescent="0.2">
      <c r="A19" s="5" t="s">
        <v>273</v>
      </c>
      <c r="B19" s="79">
        <v>1921</v>
      </c>
      <c r="C19" s="79">
        <v>2356</v>
      </c>
      <c r="D19" s="79">
        <v>2426</v>
      </c>
      <c r="E19" s="79">
        <v>2699</v>
      </c>
      <c r="F19" s="79">
        <v>2991</v>
      </c>
      <c r="G19" s="116">
        <v>3336</v>
      </c>
      <c r="H19" s="116">
        <v>3552</v>
      </c>
      <c r="I19" s="116">
        <v>3715</v>
      </c>
      <c r="J19" s="116">
        <v>3544</v>
      </c>
      <c r="K19" s="116">
        <v>4036</v>
      </c>
      <c r="L19" s="116">
        <v>4099</v>
      </c>
      <c r="M19" s="83">
        <f t="shared" ref="M19:M28" si="6">(L19-B19)/B19</f>
        <v>1.1337844872462259</v>
      </c>
      <c r="N19" s="83">
        <f t="shared" ref="N19:N28" si="7">(L19-K19)/K19</f>
        <v>1.5609514370664023E-2</v>
      </c>
      <c r="O19" s="16">
        <f t="shared" ref="O19:O28" si="8">L19/$L$9</f>
        <v>0.25694226791199148</v>
      </c>
      <c r="P19" s="1"/>
    </row>
    <row r="20" spans="1:16" x14ac:dyDescent="0.2">
      <c r="A20" s="85" t="s">
        <v>96</v>
      </c>
      <c r="B20" s="117">
        <v>132</v>
      </c>
      <c r="C20" s="117">
        <v>169</v>
      </c>
      <c r="D20" s="117">
        <v>187</v>
      </c>
      <c r="E20" s="117">
        <v>214</v>
      </c>
      <c r="F20" s="117">
        <v>254</v>
      </c>
      <c r="G20" s="118">
        <v>247</v>
      </c>
      <c r="H20" s="118">
        <v>251</v>
      </c>
      <c r="I20" s="118">
        <v>328</v>
      </c>
      <c r="J20" s="118">
        <v>326</v>
      </c>
      <c r="K20" s="118">
        <v>321</v>
      </c>
      <c r="L20" s="118">
        <v>398</v>
      </c>
      <c r="M20" s="100">
        <f t="shared" si="6"/>
        <v>2.0151515151515151</v>
      </c>
      <c r="N20" s="100">
        <f t="shared" si="7"/>
        <v>0.23987538940809969</v>
      </c>
      <c r="O20" s="14">
        <f t="shared" si="8"/>
        <v>2.4948285588917447E-2</v>
      </c>
    </row>
    <row r="21" spans="1:16" x14ac:dyDescent="0.2">
      <c r="A21" s="85" t="s">
        <v>97</v>
      </c>
      <c r="B21" s="117">
        <v>1789</v>
      </c>
      <c r="C21" s="117">
        <v>2187</v>
      </c>
      <c r="D21" s="117">
        <v>2239</v>
      </c>
      <c r="E21" s="117">
        <v>2485</v>
      </c>
      <c r="F21" s="117">
        <v>2737</v>
      </c>
      <c r="G21" s="118">
        <v>3089</v>
      </c>
      <c r="H21" s="118">
        <v>3301</v>
      </c>
      <c r="I21" s="118">
        <v>3387</v>
      </c>
      <c r="J21" s="118">
        <v>3218</v>
      </c>
      <c r="K21" s="118">
        <v>3715</v>
      </c>
      <c r="L21" s="118">
        <v>3701</v>
      </c>
      <c r="M21" s="100">
        <f t="shared" si="6"/>
        <v>1.0687534935718279</v>
      </c>
      <c r="N21" s="100">
        <f t="shared" si="7"/>
        <v>-3.7685060565275908E-3</v>
      </c>
      <c r="O21" s="14">
        <f t="shared" si="8"/>
        <v>0.23199398232307403</v>
      </c>
    </row>
    <row r="22" spans="1:16" s="12" customFormat="1" x14ac:dyDescent="0.2">
      <c r="A22" s="5" t="s">
        <v>270</v>
      </c>
      <c r="B22" s="79">
        <v>1479</v>
      </c>
      <c r="C22" s="79">
        <v>1909</v>
      </c>
      <c r="D22" s="79">
        <v>1894</v>
      </c>
      <c r="E22" s="79">
        <v>2099</v>
      </c>
      <c r="F22" s="79">
        <v>2086</v>
      </c>
      <c r="G22" s="116">
        <v>2821</v>
      </c>
      <c r="H22" s="116">
        <v>3029</v>
      </c>
      <c r="I22" s="116">
        <v>2931</v>
      </c>
      <c r="J22" s="116">
        <v>3106</v>
      </c>
      <c r="K22" s="116">
        <v>3418</v>
      </c>
      <c r="L22" s="116">
        <v>3493</v>
      </c>
      <c r="M22" s="83">
        <f t="shared" si="6"/>
        <v>1.3617308992562542</v>
      </c>
      <c r="N22" s="83">
        <f t="shared" si="7"/>
        <v>2.1942656524283205E-2</v>
      </c>
      <c r="O22" s="16">
        <f t="shared" si="8"/>
        <v>0.21895568231680562</v>
      </c>
      <c r="P22" s="1"/>
    </row>
    <row r="23" spans="1:16" x14ac:dyDescent="0.2">
      <c r="A23" s="85" t="s">
        <v>96</v>
      </c>
      <c r="B23" s="117">
        <v>235</v>
      </c>
      <c r="C23" s="117">
        <v>202</v>
      </c>
      <c r="D23" s="117">
        <v>223</v>
      </c>
      <c r="E23" s="117">
        <v>240</v>
      </c>
      <c r="F23" s="117">
        <v>253</v>
      </c>
      <c r="G23" s="118">
        <v>293</v>
      </c>
      <c r="H23" s="118">
        <v>309</v>
      </c>
      <c r="I23" s="118">
        <v>307</v>
      </c>
      <c r="J23" s="118">
        <v>318</v>
      </c>
      <c r="K23" s="118">
        <v>342</v>
      </c>
      <c r="L23" s="118">
        <v>339</v>
      </c>
      <c r="M23" s="100">
        <f t="shared" si="6"/>
        <v>0.44255319148936167</v>
      </c>
      <c r="N23" s="100">
        <f t="shared" si="7"/>
        <v>-8.771929824561403E-3</v>
      </c>
      <c r="O23" s="14">
        <f t="shared" si="8"/>
        <v>2.1249921644831693E-2</v>
      </c>
    </row>
    <row r="24" spans="1:16" x14ac:dyDescent="0.2">
      <c r="A24" s="85" t="s">
        <v>97</v>
      </c>
      <c r="B24" s="117">
        <v>1244</v>
      </c>
      <c r="C24" s="117">
        <v>1707</v>
      </c>
      <c r="D24" s="117">
        <v>1671</v>
      </c>
      <c r="E24" s="117">
        <v>1859</v>
      </c>
      <c r="F24" s="117">
        <v>1833</v>
      </c>
      <c r="G24" s="118">
        <v>2528</v>
      </c>
      <c r="H24" s="118">
        <v>2720</v>
      </c>
      <c r="I24" s="118">
        <v>2624</v>
      </c>
      <c r="J24" s="118">
        <v>2788</v>
      </c>
      <c r="K24" s="118">
        <v>3076</v>
      </c>
      <c r="L24" s="118">
        <v>3154</v>
      </c>
      <c r="M24" s="100">
        <f t="shared" si="6"/>
        <v>1.5353697749196142</v>
      </c>
      <c r="N24" s="100">
        <f t="shared" si="7"/>
        <v>2.5357607282184655E-2</v>
      </c>
      <c r="O24" s="14">
        <f t="shared" si="8"/>
        <v>0.19770576067197393</v>
      </c>
    </row>
    <row r="25" spans="1:16" s="12" customFormat="1" x14ac:dyDescent="0.2">
      <c r="A25" s="5" t="s">
        <v>271</v>
      </c>
      <c r="B25" s="79">
        <v>2855</v>
      </c>
      <c r="C25" s="79">
        <v>4406</v>
      </c>
      <c r="D25" s="79">
        <v>3815</v>
      </c>
      <c r="E25" s="79">
        <v>5236</v>
      </c>
      <c r="F25" s="79">
        <v>5634</v>
      </c>
      <c r="G25" s="116">
        <v>6485</v>
      </c>
      <c r="H25" s="116">
        <v>6379</v>
      </c>
      <c r="I25" s="116">
        <v>7280</v>
      </c>
      <c r="J25" s="116">
        <v>7242</v>
      </c>
      <c r="K25" s="116">
        <v>7232</v>
      </c>
      <c r="L25" s="116">
        <v>8361</v>
      </c>
      <c r="M25" s="83">
        <f t="shared" si="6"/>
        <v>1.9285464098073555</v>
      </c>
      <c r="N25" s="83">
        <f t="shared" si="7"/>
        <v>0.15611172566371681</v>
      </c>
      <c r="O25" s="16">
        <f t="shared" si="8"/>
        <v>0.52410204977120289</v>
      </c>
      <c r="P25" s="1"/>
    </row>
    <row r="26" spans="1:16" x14ac:dyDescent="0.2">
      <c r="A26" s="85" t="s">
        <v>96</v>
      </c>
      <c r="B26" s="117">
        <v>7</v>
      </c>
      <c r="C26" s="117">
        <v>12</v>
      </c>
      <c r="D26" s="117">
        <v>16</v>
      </c>
      <c r="E26" s="117">
        <v>38</v>
      </c>
      <c r="F26" s="117">
        <v>97</v>
      </c>
      <c r="G26" s="118">
        <v>99</v>
      </c>
      <c r="H26" s="118">
        <v>59</v>
      </c>
      <c r="I26" s="118">
        <v>57</v>
      </c>
      <c r="J26" s="118">
        <v>60</v>
      </c>
      <c r="K26" s="118">
        <v>63</v>
      </c>
      <c r="L26" s="118">
        <v>85</v>
      </c>
      <c r="M26" s="100">
        <f t="shared" si="6"/>
        <v>11.142857142857142</v>
      </c>
      <c r="N26" s="100">
        <f t="shared" si="7"/>
        <v>0.34920634920634919</v>
      </c>
      <c r="O26" s="14">
        <f t="shared" si="8"/>
        <v>5.3281514448693034E-3</v>
      </c>
    </row>
    <row r="27" spans="1:16" x14ac:dyDescent="0.2">
      <c r="A27" s="85" t="s">
        <v>97</v>
      </c>
      <c r="B27" s="117">
        <v>2848</v>
      </c>
      <c r="C27" s="117">
        <v>4394</v>
      </c>
      <c r="D27" s="117">
        <v>3799</v>
      </c>
      <c r="E27" s="117">
        <v>5198</v>
      </c>
      <c r="F27" s="117">
        <v>5537</v>
      </c>
      <c r="G27" s="118">
        <v>6386</v>
      </c>
      <c r="H27" s="118">
        <v>6320</v>
      </c>
      <c r="I27" s="118">
        <v>7223</v>
      </c>
      <c r="J27" s="118">
        <v>7182</v>
      </c>
      <c r="K27" s="118">
        <v>7169</v>
      </c>
      <c r="L27" s="118">
        <v>8276</v>
      </c>
      <c r="M27" s="100">
        <f t="shared" si="6"/>
        <v>1.9058988764044944</v>
      </c>
      <c r="N27" s="100">
        <f t="shared" si="7"/>
        <v>0.15441484167945321</v>
      </c>
      <c r="O27" s="14">
        <f t="shared" si="8"/>
        <v>0.51877389832633358</v>
      </c>
    </row>
    <row r="28" spans="1:16" s="12" customFormat="1" x14ac:dyDescent="0.2">
      <c r="A28" s="5" t="s">
        <v>4</v>
      </c>
      <c r="B28" s="79">
        <v>6255</v>
      </c>
      <c r="C28" s="79">
        <v>8671</v>
      </c>
      <c r="D28" s="79">
        <v>8135</v>
      </c>
      <c r="E28" s="79">
        <v>10034</v>
      </c>
      <c r="F28" s="79">
        <v>10711</v>
      </c>
      <c r="G28" s="116">
        <v>12642</v>
      </c>
      <c r="H28" s="116">
        <v>12960</v>
      </c>
      <c r="I28" s="116">
        <v>13926</v>
      </c>
      <c r="J28" s="116">
        <v>13892</v>
      </c>
      <c r="K28" s="116">
        <v>14686</v>
      </c>
      <c r="L28" s="116">
        <v>15953</v>
      </c>
      <c r="M28" s="83">
        <f t="shared" si="6"/>
        <v>1.5504396482813749</v>
      </c>
      <c r="N28" s="83">
        <f t="shared" si="7"/>
        <v>8.6272640610104867E-2</v>
      </c>
      <c r="O28" s="16">
        <f t="shared" si="8"/>
        <v>1</v>
      </c>
    </row>
    <row r="29" spans="1:16" x14ac:dyDescent="0.2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</row>
    <row r="30" spans="1:16" ht="15.75" x14ac:dyDescent="0.2">
      <c r="A30" s="41" t="s">
        <v>263</v>
      </c>
      <c r="B30" s="41"/>
      <c r="C30" s="41"/>
      <c r="D30" s="41"/>
      <c r="E30" s="41"/>
      <c r="F30" s="41"/>
      <c r="G30" s="40"/>
      <c r="H30" s="40"/>
      <c r="I30" s="40"/>
      <c r="J30" s="40"/>
      <c r="K30" s="40"/>
      <c r="L30" s="40"/>
      <c r="M30" s="40"/>
      <c r="N30" s="40"/>
      <c r="O30" s="40"/>
    </row>
    <row r="31" spans="1:16" ht="25.5" x14ac:dyDescent="0.2">
      <c r="A31" s="88" t="s">
        <v>277</v>
      </c>
      <c r="B31" s="3">
        <v>2008</v>
      </c>
      <c r="C31" s="3">
        <v>2009</v>
      </c>
      <c r="D31" s="3">
        <v>2010</v>
      </c>
      <c r="E31" s="3">
        <v>2011</v>
      </c>
      <c r="F31" s="3">
        <v>2012</v>
      </c>
      <c r="G31" s="3">
        <v>2013</v>
      </c>
      <c r="H31" s="3">
        <v>2014</v>
      </c>
      <c r="I31" s="3">
        <v>2015</v>
      </c>
      <c r="J31" s="3">
        <v>2016</v>
      </c>
      <c r="K31" s="3">
        <v>2017</v>
      </c>
      <c r="L31" s="3">
        <v>2018</v>
      </c>
      <c r="M31" s="13" t="s">
        <v>395</v>
      </c>
      <c r="N31" s="13" t="s">
        <v>394</v>
      </c>
      <c r="O31" s="13" t="s">
        <v>313</v>
      </c>
    </row>
    <row r="32" spans="1:16" x14ac:dyDescent="0.2">
      <c r="A32" s="5" t="s">
        <v>235</v>
      </c>
      <c r="B32" s="5">
        <v>2630</v>
      </c>
      <c r="C32" s="5">
        <v>3762</v>
      </c>
      <c r="D32" s="5">
        <v>3681</v>
      </c>
      <c r="E32" s="5">
        <v>4821</v>
      </c>
      <c r="F32" s="5">
        <v>5141</v>
      </c>
      <c r="G32" s="23">
        <v>6116</v>
      </c>
      <c r="H32" s="23">
        <v>6190</v>
      </c>
      <c r="I32" s="23">
        <v>6746</v>
      </c>
      <c r="J32" s="23">
        <v>6789</v>
      </c>
      <c r="K32" s="23">
        <v>7298</v>
      </c>
      <c r="L32" s="23">
        <v>7885</v>
      </c>
      <c r="M32" s="100">
        <f>(L32-B32)/B32</f>
        <v>1.9980988593155893</v>
      </c>
      <c r="N32" s="100">
        <f t="shared" ref="N32:N38" si="9">(L32-K32)/K32</f>
        <v>8.0432995341189362E-2</v>
      </c>
      <c r="O32" s="14">
        <f t="shared" ref="O32:O38" si="10">L32/$L$9</f>
        <v>0.4942644016799348</v>
      </c>
    </row>
    <row r="33" spans="1:15" x14ac:dyDescent="0.2">
      <c r="A33" s="85" t="s">
        <v>96</v>
      </c>
      <c r="B33" s="85">
        <v>161</v>
      </c>
      <c r="C33" s="85">
        <v>155</v>
      </c>
      <c r="D33" s="85">
        <v>192</v>
      </c>
      <c r="E33" s="85">
        <v>212</v>
      </c>
      <c r="F33" s="85">
        <v>240</v>
      </c>
      <c r="G33" s="24">
        <v>297</v>
      </c>
      <c r="H33" s="24">
        <v>287</v>
      </c>
      <c r="I33" s="24">
        <v>307</v>
      </c>
      <c r="J33" s="24">
        <v>289</v>
      </c>
      <c r="K33" s="24">
        <v>318</v>
      </c>
      <c r="L33" s="24">
        <v>354</v>
      </c>
      <c r="M33" s="100">
        <f t="shared" ref="M33:M38" si="11">(L33-B33)/B33</f>
        <v>1.1987577639751552</v>
      </c>
      <c r="N33" s="100">
        <f t="shared" si="9"/>
        <v>0.11320754716981132</v>
      </c>
      <c r="O33" s="14">
        <f t="shared" si="10"/>
        <v>2.2190183664514512E-2</v>
      </c>
    </row>
    <row r="34" spans="1:15" x14ac:dyDescent="0.2">
      <c r="A34" s="85" t="s">
        <v>97</v>
      </c>
      <c r="B34" s="85">
        <v>2469</v>
      </c>
      <c r="C34" s="85">
        <v>3607</v>
      </c>
      <c r="D34" s="85">
        <v>3489</v>
      </c>
      <c r="E34" s="85">
        <v>4609</v>
      </c>
      <c r="F34" s="85">
        <v>4901</v>
      </c>
      <c r="G34" s="24">
        <v>5819</v>
      </c>
      <c r="H34" s="24">
        <v>5903</v>
      </c>
      <c r="I34" s="24">
        <v>6439</v>
      </c>
      <c r="J34" s="24">
        <v>6500</v>
      </c>
      <c r="K34" s="24">
        <v>6980</v>
      </c>
      <c r="L34" s="24">
        <v>7531</v>
      </c>
      <c r="M34" s="100">
        <f t="shared" si="11"/>
        <v>2.050222762251924</v>
      </c>
      <c r="N34" s="100">
        <f t="shared" si="9"/>
        <v>7.893982808022923E-2</v>
      </c>
      <c r="O34" s="14">
        <f t="shared" si="10"/>
        <v>0.47207421801542032</v>
      </c>
    </row>
    <row r="35" spans="1:15" x14ac:dyDescent="0.2">
      <c r="A35" s="5" t="s">
        <v>236</v>
      </c>
      <c r="B35" s="5">
        <v>3625</v>
      </c>
      <c r="C35" s="5">
        <v>4909</v>
      </c>
      <c r="D35" s="5">
        <v>4454</v>
      </c>
      <c r="E35" s="5">
        <v>5213</v>
      </c>
      <c r="F35" s="5">
        <v>5570</v>
      </c>
      <c r="G35" s="23">
        <v>6526</v>
      </c>
      <c r="H35" s="23">
        <v>6770</v>
      </c>
      <c r="I35" s="23">
        <v>7180</v>
      </c>
      <c r="J35" s="23">
        <v>7103</v>
      </c>
      <c r="K35" s="23">
        <v>7388</v>
      </c>
      <c r="L35" s="23">
        <v>8068</v>
      </c>
      <c r="M35" s="100">
        <f t="shared" si="11"/>
        <v>1.2256551724137932</v>
      </c>
      <c r="N35" s="100">
        <f t="shared" si="9"/>
        <v>9.2041147807255003E-2</v>
      </c>
      <c r="O35" s="14">
        <f t="shared" si="10"/>
        <v>0.5057355983200652</v>
      </c>
    </row>
    <row r="36" spans="1:15" x14ac:dyDescent="0.2">
      <c r="A36" s="85" t="s">
        <v>96</v>
      </c>
      <c r="B36" s="85">
        <v>213</v>
      </c>
      <c r="C36" s="85">
        <v>228</v>
      </c>
      <c r="D36" s="85">
        <v>234</v>
      </c>
      <c r="E36" s="85">
        <v>280</v>
      </c>
      <c r="F36" s="85">
        <v>364</v>
      </c>
      <c r="G36" s="24">
        <v>342</v>
      </c>
      <c r="H36" s="24">
        <v>332</v>
      </c>
      <c r="I36" s="24">
        <v>385</v>
      </c>
      <c r="J36" s="24">
        <v>415</v>
      </c>
      <c r="K36" s="24">
        <v>408</v>
      </c>
      <c r="L36" s="24">
        <v>468</v>
      </c>
      <c r="M36" s="100">
        <f t="shared" si="11"/>
        <v>1.1971830985915493</v>
      </c>
      <c r="N36" s="100">
        <f t="shared" si="9"/>
        <v>0.14705882352941177</v>
      </c>
      <c r="O36" s="14">
        <f t="shared" si="10"/>
        <v>2.9336175014103929E-2</v>
      </c>
    </row>
    <row r="37" spans="1:15" x14ac:dyDescent="0.2">
      <c r="A37" s="85" t="s">
        <v>97</v>
      </c>
      <c r="B37" s="85">
        <v>3412</v>
      </c>
      <c r="C37" s="85">
        <v>4681</v>
      </c>
      <c r="D37" s="85">
        <v>4220</v>
      </c>
      <c r="E37" s="85">
        <v>4933</v>
      </c>
      <c r="F37" s="85">
        <v>5206</v>
      </c>
      <c r="G37" s="24">
        <v>6184</v>
      </c>
      <c r="H37" s="24">
        <v>6438</v>
      </c>
      <c r="I37" s="24">
        <v>6795</v>
      </c>
      <c r="J37" s="24">
        <v>6688</v>
      </c>
      <c r="K37" s="24">
        <v>6980</v>
      </c>
      <c r="L37" s="24">
        <v>7600</v>
      </c>
      <c r="M37" s="100">
        <f t="shared" si="11"/>
        <v>1.227432590855803</v>
      </c>
      <c r="N37" s="100">
        <f t="shared" si="9"/>
        <v>8.882521489971347E-2</v>
      </c>
      <c r="O37" s="14">
        <f t="shared" si="10"/>
        <v>0.47639942330596124</v>
      </c>
    </row>
    <row r="38" spans="1:15" x14ac:dyDescent="0.2">
      <c r="A38" s="5" t="s">
        <v>4</v>
      </c>
      <c r="B38" s="5">
        <f>B32+B35</f>
        <v>6255</v>
      </c>
      <c r="C38" s="5">
        <f t="shared" ref="C38:L38" si="12">C32+C35</f>
        <v>8671</v>
      </c>
      <c r="D38" s="5">
        <f t="shared" si="12"/>
        <v>8135</v>
      </c>
      <c r="E38" s="5">
        <f t="shared" si="12"/>
        <v>10034</v>
      </c>
      <c r="F38" s="5">
        <f t="shared" si="12"/>
        <v>10711</v>
      </c>
      <c r="G38" s="5">
        <f t="shared" si="12"/>
        <v>12642</v>
      </c>
      <c r="H38" s="5">
        <f t="shared" si="12"/>
        <v>12960</v>
      </c>
      <c r="I38" s="5">
        <f t="shared" si="12"/>
        <v>13926</v>
      </c>
      <c r="J38" s="5">
        <f t="shared" si="12"/>
        <v>13892</v>
      </c>
      <c r="K38" s="5">
        <f t="shared" si="12"/>
        <v>14686</v>
      </c>
      <c r="L38" s="5">
        <f t="shared" si="12"/>
        <v>15953</v>
      </c>
      <c r="M38" s="83">
        <f t="shared" si="11"/>
        <v>1.5504396482813749</v>
      </c>
      <c r="N38" s="83">
        <f t="shared" si="9"/>
        <v>8.6272640610104867E-2</v>
      </c>
      <c r="O38" s="16">
        <f t="shared" si="10"/>
        <v>1</v>
      </c>
    </row>
    <row r="39" spans="1:15" x14ac:dyDescent="0.2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</row>
    <row r="40" spans="1:15" x14ac:dyDescent="0.2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</row>
    <row r="41" spans="1:15" x14ac:dyDescent="0.2">
      <c r="A41" s="70" t="s">
        <v>272</v>
      </c>
      <c r="B41" s="70"/>
      <c r="C41" s="70"/>
      <c r="D41" s="70"/>
      <c r="E41" s="70"/>
      <c r="F41" s="70"/>
      <c r="G41" s="40"/>
      <c r="H41" s="40"/>
      <c r="I41" s="40"/>
      <c r="J41" s="40"/>
      <c r="K41" s="68"/>
      <c r="L41" s="68"/>
      <c r="M41" s="40"/>
      <c r="N41" s="40"/>
      <c r="O41" s="40"/>
    </row>
    <row r="42" spans="1:15" x14ac:dyDescent="0.2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</row>
    <row r="43" spans="1:15" x14ac:dyDescent="0.2">
      <c r="A43" s="71" t="s">
        <v>21</v>
      </c>
      <c r="B43" s="71"/>
      <c r="C43" s="71"/>
      <c r="D43" s="71"/>
      <c r="E43" s="71"/>
      <c r="F43" s="71"/>
      <c r="G43" s="40"/>
      <c r="H43" s="40"/>
      <c r="I43" s="40"/>
      <c r="J43" s="40"/>
      <c r="K43" s="40"/>
      <c r="L43" s="40"/>
      <c r="M43" s="40"/>
      <c r="N43" s="40"/>
      <c r="O43" s="40"/>
    </row>
    <row r="44" spans="1:15" x14ac:dyDescent="0.2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</row>
  </sheetData>
  <hyperlinks>
    <hyperlink ref="A43" location="Indice!A5" display="Volver al índice" xr:uid="{00000000-0004-0000-0600-000000000000}"/>
  </hyperlinks>
  <pageMargins left="0.7" right="0.7" top="0.75" bottom="0.75" header="0.3" footer="0.3"/>
  <pageSetup orientation="portrait" verticalDpi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0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10" defaultColWidth="10.85546875" defaultRowHeight="15" x14ac:dyDescent="0.25"/>
  <cols>
    <col min="1" max="1" width="39.42578125" style="51" customWidth="1"/>
    <col min="2" max="5" width="20.42578125" style="51" customWidth="1"/>
    <col min="6" max="16384" width="10.85546875" style="2"/>
  </cols>
  <sheetData>
    <row r="1" spans="1:6" ht="21" x14ac:dyDescent="0.25">
      <c r="A1" s="87" t="s">
        <v>384</v>
      </c>
      <c r="B1" s="46"/>
      <c r="C1" s="46"/>
      <c r="D1" s="46"/>
      <c r="E1" s="46"/>
    </row>
    <row r="2" spans="1:6" ht="18.75" x14ac:dyDescent="0.25">
      <c r="A2" s="63"/>
      <c r="B2" s="46"/>
      <c r="C2" s="46"/>
      <c r="D2" s="46"/>
      <c r="E2" s="46"/>
    </row>
    <row r="3" spans="1:6" x14ac:dyDescent="0.25">
      <c r="A3" s="46"/>
      <c r="B3" s="46"/>
      <c r="C3" s="46"/>
      <c r="D3" s="46"/>
      <c r="E3" s="46"/>
    </row>
    <row r="4" spans="1:6" ht="15.75" x14ac:dyDescent="0.25">
      <c r="A4" s="53" t="s">
        <v>385</v>
      </c>
      <c r="B4" s="46"/>
      <c r="C4" s="46"/>
      <c r="D4" s="46"/>
      <c r="E4" s="46"/>
    </row>
    <row r="5" spans="1:6" ht="25.5" x14ac:dyDescent="0.25">
      <c r="A5" s="54" t="s">
        <v>265</v>
      </c>
      <c r="B5" s="47" t="s">
        <v>100</v>
      </c>
      <c r="C5" s="47" t="s">
        <v>3</v>
      </c>
      <c r="D5" s="47" t="s">
        <v>306</v>
      </c>
      <c r="E5" s="47" t="s">
        <v>8</v>
      </c>
    </row>
    <row r="6" spans="1:6" x14ac:dyDescent="0.25">
      <c r="A6" s="55" t="s">
        <v>5</v>
      </c>
      <c r="B6" s="43">
        <v>0</v>
      </c>
      <c r="C6" s="43">
        <v>0</v>
      </c>
      <c r="D6" s="43">
        <v>5</v>
      </c>
      <c r="E6" s="43">
        <v>5</v>
      </c>
    </row>
    <row r="7" spans="1:6" x14ac:dyDescent="0.25">
      <c r="A7" s="55" t="s">
        <v>6</v>
      </c>
      <c r="B7" s="43">
        <v>0</v>
      </c>
      <c r="C7" s="43">
        <v>764</v>
      </c>
      <c r="D7" s="43">
        <v>107</v>
      </c>
      <c r="E7" s="43">
        <v>871</v>
      </c>
    </row>
    <row r="8" spans="1:6" x14ac:dyDescent="0.25">
      <c r="A8" s="55" t="s">
        <v>7</v>
      </c>
      <c r="B8" s="43">
        <v>2194</v>
      </c>
      <c r="C8" s="43">
        <v>2738</v>
      </c>
      <c r="D8" s="43">
        <v>17941</v>
      </c>
      <c r="E8" s="43">
        <v>22873</v>
      </c>
    </row>
    <row r="9" spans="1:6" x14ac:dyDescent="0.25">
      <c r="A9" s="56" t="s">
        <v>4</v>
      </c>
      <c r="B9" s="44">
        <v>2194</v>
      </c>
      <c r="C9" s="44">
        <v>3502</v>
      </c>
      <c r="D9" s="44">
        <v>18053</v>
      </c>
      <c r="E9" s="44">
        <v>23749</v>
      </c>
    </row>
    <row r="10" spans="1:6" x14ac:dyDescent="0.25">
      <c r="A10" s="61"/>
      <c r="B10" s="62"/>
      <c r="C10" s="62"/>
      <c r="D10" s="62"/>
      <c r="E10" s="46"/>
    </row>
    <row r="11" spans="1:6" ht="15.75" x14ac:dyDescent="0.25">
      <c r="A11" s="53" t="s">
        <v>363</v>
      </c>
      <c r="B11" s="46"/>
      <c r="C11" s="46"/>
      <c r="D11" s="46"/>
      <c r="E11" s="46"/>
    </row>
    <row r="12" spans="1:6" ht="25.5" x14ac:dyDescent="0.25">
      <c r="A12" s="54" t="s">
        <v>254</v>
      </c>
      <c r="B12" s="47" t="s">
        <v>100</v>
      </c>
      <c r="C12" s="47" t="s">
        <v>3</v>
      </c>
      <c r="D12" s="47" t="s">
        <v>279</v>
      </c>
      <c r="E12" s="47" t="s">
        <v>8</v>
      </c>
    </row>
    <row r="13" spans="1:6" x14ac:dyDescent="0.25">
      <c r="A13" s="55" t="s">
        <v>386</v>
      </c>
      <c r="B13" s="43">
        <v>1088</v>
      </c>
      <c r="C13" s="43">
        <v>2699</v>
      </c>
      <c r="D13" s="43">
        <v>10546</v>
      </c>
      <c r="E13" s="43">
        <v>14333</v>
      </c>
      <c r="F13" s="15"/>
    </row>
    <row r="14" spans="1:6" x14ac:dyDescent="0.25">
      <c r="A14" s="55" t="s">
        <v>387</v>
      </c>
      <c r="B14" s="43">
        <v>1106</v>
      </c>
      <c r="C14" s="43">
        <v>803</v>
      </c>
      <c r="D14" s="43">
        <v>7507</v>
      </c>
      <c r="E14" s="43">
        <v>9416</v>
      </c>
      <c r="F14" s="15"/>
    </row>
    <row r="15" spans="1:6" x14ac:dyDescent="0.25">
      <c r="A15" s="56" t="s">
        <v>388</v>
      </c>
      <c r="B15" s="44">
        <f>SUM(B13:B14)</f>
        <v>2194</v>
      </c>
      <c r="C15" s="44">
        <f t="shared" ref="C15:E15" si="0">SUM(C13:C14)</f>
        <v>3502</v>
      </c>
      <c r="D15" s="44">
        <f t="shared" si="0"/>
        <v>18053</v>
      </c>
      <c r="E15" s="44">
        <f t="shared" si="0"/>
        <v>23749</v>
      </c>
    </row>
    <row r="16" spans="1:6" x14ac:dyDescent="0.25">
      <c r="A16" s="46"/>
      <c r="B16" s="46"/>
      <c r="C16" s="46"/>
      <c r="D16" s="46"/>
      <c r="E16" s="46"/>
    </row>
    <row r="17" spans="1:6" ht="15.75" x14ac:dyDescent="0.25">
      <c r="A17" s="53" t="s">
        <v>364</v>
      </c>
      <c r="B17" s="46"/>
      <c r="C17" s="46"/>
      <c r="D17" s="46"/>
      <c r="E17" s="46"/>
    </row>
    <row r="18" spans="1:6" ht="25.5" x14ac:dyDescent="0.25">
      <c r="A18" s="57" t="s">
        <v>26</v>
      </c>
      <c r="B18" s="47" t="s">
        <v>100</v>
      </c>
      <c r="C18" s="47" t="s">
        <v>3</v>
      </c>
      <c r="D18" s="47" t="s">
        <v>279</v>
      </c>
      <c r="E18" s="47" t="s">
        <v>8</v>
      </c>
    </row>
    <row r="19" spans="1:6" x14ac:dyDescent="0.25">
      <c r="A19" s="58" t="s">
        <v>27</v>
      </c>
      <c r="B19" s="43">
        <v>0</v>
      </c>
      <c r="C19" s="43">
        <v>0</v>
      </c>
      <c r="D19" s="43">
        <v>0</v>
      </c>
      <c r="E19" s="43">
        <f t="shared" ref="E19" si="1">SUM(B19:D19)</f>
        <v>0</v>
      </c>
    </row>
    <row r="20" spans="1:6" x14ac:dyDescent="0.25">
      <c r="A20" s="58" t="s">
        <v>28</v>
      </c>
      <c r="B20" s="43">
        <v>2</v>
      </c>
      <c r="C20" s="43">
        <v>120</v>
      </c>
      <c r="D20" s="43">
        <v>793</v>
      </c>
      <c r="E20" s="43">
        <v>915</v>
      </c>
    </row>
    <row r="21" spans="1:6" x14ac:dyDescent="0.25">
      <c r="A21" s="58" t="s">
        <v>29</v>
      </c>
      <c r="B21" s="43">
        <v>594</v>
      </c>
      <c r="C21" s="43">
        <v>921</v>
      </c>
      <c r="D21" s="43">
        <v>5299</v>
      </c>
      <c r="E21" s="43">
        <v>6814</v>
      </c>
    </row>
    <row r="22" spans="1:6" x14ac:dyDescent="0.25">
      <c r="A22" s="58" t="s">
        <v>30</v>
      </c>
      <c r="B22" s="43">
        <v>1044</v>
      </c>
      <c r="C22" s="43">
        <v>923</v>
      </c>
      <c r="D22" s="43">
        <v>4370</v>
      </c>
      <c r="E22" s="43">
        <v>6337</v>
      </c>
    </row>
    <row r="23" spans="1:6" x14ac:dyDescent="0.25">
      <c r="A23" s="58" t="s">
        <v>31</v>
      </c>
      <c r="B23" s="43">
        <v>423</v>
      </c>
      <c r="C23" s="43">
        <v>619</v>
      </c>
      <c r="D23" s="43">
        <v>2889</v>
      </c>
      <c r="E23" s="43">
        <v>3931</v>
      </c>
    </row>
    <row r="24" spans="1:6" x14ac:dyDescent="0.25">
      <c r="A24" s="58" t="s">
        <v>32</v>
      </c>
      <c r="B24" s="43">
        <v>131</v>
      </c>
      <c r="C24" s="43">
        <v>919</v>
      </c>
      <c r="D24" s="43">
        <v>4702</v>
      </c>
      <c r="E24" s="43">
        <v>5752</v>
      </c>
    </row>
    <row r="25" spans="1:6" x14ac:dyDescent="0.25">
      <c r="A25" s="58" t="s">
        <v>102</v>
      </c>
      <c r="B25" s="43">
        <v>0</v>
      </c>
      <c r="C25" s="43">
        <v>0</v>
      </c>
      <c r="D25" s="43">
        <v>0</v>
      </c>
      <c r="E25" s="43">
        <v>0</v>
      </c>
    </row>
    <row r="26" spans="1:6" x14ac:dyDescent="0.25">
      <c r="A26" s="59" t="s">
        <v>4</v>
      </c>
      <c r="B26" s="44">
        <f>SUM(B19:B25)</f>
        <v>2194</v>
      </c>
      <c r="C26" s="44">
        <f>SUM(C19:C25)</f>
        <v>3502</v>
      </c>
      <c r="D26" s="44">
        <f>SUM(D19:D25)</f>
        <v>18053</v>
      </c>
      <c r="E26" s="44">
        <f>SUM(B26:D26)</f>
        <v>23749</v>
      </c>
    </row>
    <row r="27" spans="1:6" x14ac:dyDescent="0.25">
      <c r="A27" s="60" t="s">
        <v>34</v>
      </c>
      <c r="B27" s="95">
        <v>35.048362971580524</v>
      </c>
      <c r="C27" s="95">
        <v>32.39106654512306</v>
      </c>
      <c r="D27" s="95">
        <v>35.402912621359221</v>
      </c>
      <c r="E27" s="95">
        <v>34.855139596580621</v>
      </c>
    </row>
    <row r="28" spans="1:6" x14ac:dyDescent="0.25">
      <c r="A28" s="46"/>
      <c r="B28" s="2"/>
      <c r="C28" s="2"/>
      <c r="D28" s="2"/>
      <c r="E28" s="2"/>
    </row>
    <row r="29" spans="1:6" ht="15.75" x14ac:dyDescent="0.25">
      <c r="A29" s="53" t="s">
        <v>365</v>
      </c>
      <c r="B29" s="46"/>
      <c r="C29" s="46"/>
      <c r="D29" s="46"/>
      <c r="E29" s="46"/>
    </row>
    <row r="30" spans="1:6" ht="25.5" x14ac:dyDescent="0.25">
      <c r="A30" s="57" t="s">
        <v>10</v>
      </c>
      <c r="B30" s="47" t="s">
        <v>100</v>
      </c>
      <c r="C30" s="47" t="s">
        <v>3</v>
      </c>
      <c r="D30" s="47" t="s">
        <v>279</v>
      </c>
      <c r="E30" s="47" t="s">
        <v>8</v>
      </c>
    </row>
    <row r="31" spans="1:6" x14ac:dyDescent="0.25">
      <c r="A31" s="58" t="s">
        <v>11</v>
      </c>
      <c r="B31" s="43">
        <v>0</v>
      </c>
      <c r="C31" s="43">
        <v>109</v>
      </c>
      <c r="D31" s="43">
        <v>5344</v>
      </c>
      <c r="E31" s="43">
        <v>5453</v>
      </c>
      <c r="F31" s="15"/>
    </row>
    <row r="32" spans="1:6" x14ac:dyDescent="0.25">
      <c r="A32" s="58" t="s">
        <v>12</v>
      </c>
      <c r="B32" s="43">
        <v>0</v>
      </c>
      <c r="C32" s="43">
        <v>15</v>
      </c>
      <c r="D32" s="43">
        <v>30</v>
      </c>
      <c r="E32" s="43">
        <v>45</v>
      </c>
      <c r="F32" s="15"/>
    </row>
    <row r="33" spans="1:6" x14ac:dyDescent="0.25">
      <c r="A33" s="58" t="s">
        <v>13</v>
      </c>
      <c r="B33" s="43">
        <v>0</v>
      </c>
      <c r="C33" s="43">
        <v>5</v>
      </c>
      <c r="D33" s="43">
        <v>447</v>
      </c>
      <c r="E33" s="43">
        <v>452</v>
      </c>
      <c r="F33" s="15"/>
    </row>
    <row r="34" spans="1:6" x14ac:dyDescent="0.25">
      <c r="A34" s="58" t="s">
        <v>14</v>
      </c>
      <c r="B34" s="43">
        <v>0</v>
      </c>
      <c r="C34" s="43">
        <v>2</v>
      </c>
      <c r="D34" s="43">
        <v>56</v>
      </c>
      <c r="E34" s="43">
        <v>58</v>
      </c>
      <c r="F34" s="15"/>
    </row>
    <row r="35" spans="1:6" x14ac:dyDescent="0.25">
      <c r="A35" s="58" t="s">
        <v>15</v>
      </c>
      <c r="B35" s="43">
        <v>0</v>
      </c>
      <c r="C35" s="43">
        <v>426</v>
      </c>
      <c r="D35" s="43">
        <v>2557</v>
      </c>
      <c r="E35" s="43">
        <v>2983</v>
      </c>
      <c r="F35" s="15"/>
    </row>
    <row r="36" spans="1:6" x14ac:dyDescent="0.25">
      <c r="A36" s="58" t="s">
        <v>16</v>
      </c>
      <c r="B36" s="43">
        <v>0</v>
      </c>
      <c r="C36" s="43">
        <v>95</v>
      </c>
      <c r="D36" s="43">
        <v>1167</v>
      </c>
      <c r="E36" s="43">
        <v>1262</v>
      </c>
      <c r="F36" s="15"/>
    </row>
    <row r="37" spans="1:6" x14ac:dyDescent="0.25">
      <c r="A37" s="58" t="s">
        <v>17</v>
      </c>
      <c r="B37" s="43">
        <v>0</v>
      </c>
      <c r="C37" s="43">
        <v>2475</v>
      </c>
      <c r="D37" s="43">
        <v>2344</v>
      </c>
      <c r="E37" s="43">
        <v>4819</v>
      </c>
      <c r="F37" s="15"/>
    </row>
    <row r="38" spans="1:6" x14ac:dyDescent="0.25">
      <c r="A38" s="58" t="s">
        <v>18</v>
      </c>
      <c r="B38" s="43">
        <v>0</v>
      </c>
      <c r="C38" s="43">
        <v>1</v>
      </c>
      <c r="D38" s="43">
        <v>225</v>
      </c>
      <c r="E38" s="43">
        <v>226</v>
      </c>
      <c r="F38" s="15"/>
    </row>
    <row r="39" spans="1:6" x14ac:dyDescent="0.25">
      <c r="A39" s="58" t="s">
        <v>19</v>
      </c>
      <c r="B39" s="43">
        <v>2194</v>
      </c>
      <c r="C39" s="43">
        <v>298</v>
      </c>
      <c r="D39" s="43">
        <v>4741</v>
      </c>
      <c r="E39" s="43">
        <v>7233</v>
      </c>
      <c r="F39" s="15"/>
    </row>
    <row r="40" spans="1:6" x14ac:dyDescent="0.25">
      <c r="A40" s="58" t="s">
        <v>20</v>
      </c>
      <c r="B40" s="43">
        <v>0</v>
      </c>
      <c r="C40" s="43">
        <v>76</v>
      </c>
      <c r="D40" s="43">
        <v>1142</v>
      </c>
      <c r="E40" s="43">
        <v>1218</v>
      </c>
      <c r="F40" s="15"/>
    </row>
    <row r="41" spans="1:6" x14ac:dyDescent="0.25">
      <c r="A41" s="59" t="s">
        <v>4</v>
      </c>
      <c r="B41" s="44">
        <v>2194</v>
      </c>
      <c r="C41" s="44">
        <v>3502</v>
      </c>
      <c r="D41" s="44">
        <v>18053</v>
      </c>
      <c r="E41" s="44">
        <v>23749</v>
      </c>
      <c r="F41" s="15"/>
    </row>
    <row r="42" spans="1:6" x14ac:dyDescent="0.25">
      <c r="A42" s="46"/>
      <c r="B42" s="46"/>
      <c r="C42" s="46"/>
      <c r="D42" s="46"/>
      <c r="E42" s="46"/>
    </row>
    <row r="43" spans="1:6" ht="15.75" x14ac:dyDescent="0.25">
      <c r="A43" s="53" t="s">
        <v>366</v>
      </c>
      <c r="B43" s="46"/>
      <c r="C43" s="46"/>
      <c r="D43" s="46"/>
      <c r="E43" s="46"/>
    </row>
    <row r="44" spans="1:6" ht="25.5" x14ac:dyDescent="0.25">
      <c r="A44" s="57" t="s">
        <v>42</v>
      </c>
      <c r="B44" s="47" t="s">
        <v>100</v>
      </c>
      <c r="C44" s="47" t="s">
        <v>3</v>
      </c>
      <c r="D44" s="47" t="s">
        <v>279</v>
      </c>
      <c r="E44" s="47" t="s">
        <v>8</v>
      </c>
    </row>
    <row r="45" spans="1:6" x14ac:dyDescent="0.25">
      <c r="A45" s="58" t="s">
        <v>43</v>
      </c>
      <c r="B45" s="43">
        <v>1832</v>
      </c>
      <c r="C45" s="43">
        <v>1043</v>
      </c>
      <c r="D45" s="43">
        <v>4500</v>
      </c>
      <c r="E45" s="43">
        <v>7375</v>
      </c>
    </row>
    <row r="46" spans="1:6" x14ac:dyDescent="0.25">
      <c r="A46" s="58" t="s">
        <v>44</v>
      </c>
      <c r="B46" s="43">
        <v>157</v>
      </c>
      <c r="C46" s="43">
        <v>627</v>
      </c>
      <c r="D46" s="43">
        <v>5387</v>
      </c>
      <c r="E46" s="43">
        <v>6171</v>
      </c>
    </row>
    <row r="47" spans="1:6" x14ac:dyDescent="0.25">
      <c r="A47" s="58" t="s">
        <v>257</v>
      </c>
      <c r="B47" s="43">
        <v>14</v>
      </c>
      <c r="C47" s="43">
        <v>76</v>
      </c>
      <c r="D47" s="43">
        <v>4252</v>
      </c>
      <c r="E47" s="43">
        <v>4342</v>
      </c>
    </row>
    <row r="48" spans="1:6" x14ac:dyDescent="0.25">
      <c r="A48" s="58" t="s">
        <v>262</v>
      </c>
      <c r="B48" s="43">
        <v>0</v>
      </c>
      <c r="C48" s="43">
        <v>1718</v>
      </c>
      <c r="D48" s="43">
        <v>2089</v>
      </c>
      <c r="E48" s="43">
        <v>3807</v>
      </c>
    </row>
    <row r="49" spans="1:5" x14ac:dyDescent="0.25">
      <c r="A49" s="58" t="s">
        <v>45</v>
      </c>
      <c r="B49" s="43">
        <v>191</v>
      </c>
      <c r="C49" s="43">
        <v>38</v>
      </c>
      <c r="D49" s="43">
        <v>1825</v>
      </c>
      <c r="E49" s="43">
        <v>2054</v>
      </c>
    </row>
    <row r="50" spans="1:5" x14ac:dyDescent="0.25">
      <c r="A50" s="59" t="s">
        <v>4</v>
      </c>
      <c r="B50" s="44">
        <v>2194</v>
      </c>
      <c r="C50" s="44">
        <v>3502</v>
      </c>
      <c r="D50" s="44">
        <v>18053</v>
      </c>
      <c r="E50" s="44">
        <v>23749</v>
      </c>
    </row>
    <row r="51" spans="1:5" x14ac:dyDescent="0.25">
      <c r="A51" s="46"/>
      <c r="B51" s="46"/>
      <c r="C51" s="46"/>
      <c r="D51" s="46"/>
      <c r="E51" s="46"/>
    </row>
    <row r="52" spans="1:5" ht="15.75" x14ac:dyDescent="0.25">
      <c r="A52" s="53" t="s">
        <v>367</v>
      </c>
      <c r="B52" s="46"/>
      <c r="C52" s="46"/>
      <c r="D52" s="46"/>
      <c r="E52" s="46"/>
    </row>
    <row r="53" spans="1:5" ht="25.5" x14ac:dyDescent="0.25">
      <c r="A53" s="57" t="s">
        <v>9</v>
      </c>
      <c r="B53" s="47" t="s">
        <v>100</v>
      </c>
      <c r="C53" s="47" t="s">
        <v>3</v>
      </c>
      <c r="D53" s="47" t="s">
        <v>279</v>
      </c>
      <c r="E53" s="47" t="s">
        <v>8</v>
      </c>
    </row>
    <row r="54" spans="1:5" x14ac:dyDescent="0.25">
      <c r="A54" s="58" t="s">
        <v>281</v>
      </c>
      <c r="B54" s="43">
        <v>0</v>
      </c>
      <c r="C54" s="43">
        <v>5</v>
      </c>
      <c r="D54" s="43"/>
      <c r="E54" s="43">
        <v>5</v>
      </c>
    </row>
    <row r="55" spans="1:5" x14ac:dyDescent="0.25">
      <c r="A55" s="58" t="s">
        <v>282</v>
      </c>
      <c r="B55" s="43">
        <v>0</v>
      </c>
      <c r="C55" s="43">
        <v>0</v>
      </c>
      <c r="D55" s="43">
        <v>0</v>
      </c>
      <c r="E55" s="43">
        <v>0</v>
      </c>
    </row>
    <row r="56" spans="1:5" x14ac:dyDescent="0.25">
      <c r="A56" s="58" t="s">
        <v>283</v>
      </c>
      <c r="B56" s="43">
        <v>11</v>
      </c>
      <c r="C56" s="43">
        <v>3</v>
      </c>
      <c r="D56" s="43">
        <v>31</v>
      </c>
      <c r="E56" s="43">
        <v>45</v>
      </c>
    </row>
    <row r="57" spans="1:5" x14ac:dyDescent="0.25">
      <c r="A57" s="58" t="s">
        <v>284</v>
      </c>
      <c r="B57" s="43">
        <v>0</v>
      </c>
      <c r="C57" s="43">
        <v>0</v>
      </c>
      <c r="D57" s="43">
        <v>0</v>
      </c>
      <c r="E57" s="43">
        <v>0</v>
      </c>
    </row>
    <row r="58" spans="1:5" x14ac:dyDescent="0.25">
      <c r="A58" s="58" t="s">
        <v>285</v>
      </c>
      <c r="B58" s="43">
        <v>17</v>
      </c>
      <c r="C58" s="43">
        <v>33</v>
      </c>
      <c r="D58" s="43">
        <v>214</v>
      </c>
      <c r="E58" s="43">
        <v>264</v>
      </c>
    </row>
    <row r="59" spans="1:5" x14ac:dyDescent="0.25">
      <c r="A59" s="58" t="s">
        <v>286</v>
      </c>
      <c r="B59" s="43">
        <v>191</v>
      </c>
      <c r="C59" s="43">
        <v>446</v>
      </c>
      <c r="D59" s="43">
        <v>491</v>
      </c>
      <c r="E59" s="43">
        <v>1128</v>
      </c>
    </row>
    <row r="60" spans="1:5" x14ac:dyDescent="0.25">
      <c r="A60" s="92" t="s">
        <v>307</v>
      </c>
      <c r="B60" s="43">
        <v>1518</v>
      </c>
      <c r="C60" s="43">
        <v>2541</v>
      </c>
      <c r="D60" s="43">
        <v>14901</v>
      </c>
      <c r="E60" s="43">
        <v>18960</v>
      </c>
    </row>
    <row r="61" spans="1:5" x14ac:dyDescent="0.25">
      <c r="A61" s="58" t="s">
        <v>287</v>
      </c>
      <c r="B61" s="43">
        <v>0</v>
      </c>
      <c r="C61" s="43">
        <v>0</v>
      </c>
      <c r="D61" s="43">
        <v>0</v>
      </c>
      <c r="E61" s="43">
        <v>0</v>
      </c>
    </row>
    <row r="62" spans="1:5" x14ac:dyDescent="0.25">
      <c r="A62" s="58" t="s">
        <v>288</v>
      </c>
      <c r="B62" s="43">
        <v>30</v>
      </c>
      <c r="C62" s="43">
        <v>211</v>
      </c>
      <c r="D62" s="43">
        <v>297</v>
      </c>
      <c r="E62" s="43">
        <v>538</v>
      </c>
    </row>
    <row r="63" spans="1:5" x14ac:dyDescent="0.25">
      <c r="A63" s="58" t="s">
        <v>315</v>
      </c>
      <c r="B63" s="43">
        <v>3</v>
      </c>
      <c r="C63" s="43">
        <v>3</v>
      </c>
      <c r="D63" s="43">
        <v>116</v>
      </c>
      <c r="E63" s="43">
        <v>122</v>
      </c>
    </row>
    <row r="64" spans="1:5" x14ac:dyDescent="0.25">
      <c r="A64" s="58" t="s">
        <v>289</v>
      </c>
      <c r="B64" s="43">
        <v>274</v>
      </c>
      <c r="C64" s="43">
        <v>65</v>
      </c>
      <c r="D64" s="43">
        <v>1278</v>
      </c>
      <c r="E64" s="43">
        <v>1617</v>
      </c>
    </row>
    <row r="65" spans="1:5" x14ac:dyDescent="0.25">
      <c r="A65" s="58" t="s">
        <v>290</v>
      </c>
      <c r="B65" s="43">
        <v>107</v>
      </c>
      <c r="C65" s="43">
        <v>191</v>
      </c>
      <c r="D65" s="43">
        <v>531</v>
      </c>
      <c r="E65" s="43">
        <v>829</v>
      </c>
    </row>
    <row r="66" spans="1:5" x14ac:dyDescent="0.25">
      <c r="A66" s="58" t="s">
        <v>291</v>
      </c>
      <c r="B66" s="43">
        <v>35</v>
      </c>
      <c r="C66" s="43">
        <v>4</v>
      </c>
      <c r="D66" s="43">
        <v>141</v>
      </c>
      <c r="E66" s="43">
        <v>180</v>
      </c>
    </row>
    <row r="67" spans="1:5" x14ac:dyDescent="0.25">
      <c r="A67" s="58" t="s">
        <v>292</v>
      </c>
      <c r="B67" s="43">
        <v>8</v>
      </c>
      <c r="C67" s="43">
        <v>0</v>
      </c>
      <c r="D67" s="43">
        <v>53</v>
      </c>
      <c r="E67" s="43">
        <v>61</v>
      </c>
    </row>
    <row r="68" spans="1:5" x14ac:dyDescent="0.25">
      <c r="A68" s="58" t="s">
        <v>293</v>
      </c>
      <c r="B68" s="43">
        <v>0</v>
      </c>
      <c r="C68" s="43">
        <v>0</v>
      </c>
      <c r="D68" s="43">
        <v>0</v>
      </c>
      <c r="E68" s="43">
        <v>0</v>
      </c>
    </row>
    <row r="69" spans="1:5" x14ac:dyDescent="0.25">
      <c r="A69" s="58" t="s">
        <v>295</v>
      </c>
      <c r="B69" s="43">
        <v>0</v>
      </c>
      <c r="C69" s="43">
        <v>0</v>
      </c>
      <c r="D69" s="43">
        <v>0</v>
      </c>
      <c r="E69" s="43">
        <v>0</v>
      </c>
    </row>
    <row r="70" spans="1:5" x14ac:dyDescent="0.25">
      <c r="A70" s="59" t="s">
        <v>4</v>
      </c>
      <c r="B70" s="44">
        <f>SUM(B54:B69)</f>
        <v>2194</v>
      </c>
      <c r="C70" s="44">
        <f t="shared" ref="C70:E70" si="2">SUM(C54:C69)</f>
        <v>3502</v>
      </c>
      <c r="D70" s="44">
        <f t="shared" si="2"/>
        <v>18053</v>
      </c>
      <c r="E70" s="44">
        <f t="shared" si="2"/>
        <v>23749</v>
      </c>
    </row>
    <row r="71" spans="1:5" x14ac:dyDescent="0.25">
      <c r="A71" s="45"/>
      <c r="B71" s="45"/>
      <c r="C71" s="45"/>
      <c r="D71" s="45"/>
      <c r="E71" s="46"/>
    </row>
    <row r="72" spans="1:5" ht="15.75" x14ac:dyDescent="0.25">
      <c r="A72" s="53" t="s">
        <v>368</v>
      </c>
      <c r="B72" s="46"/>
      <c r="C72" s="46"/>
      <c r="D72" s="46"/>
      <c r="E72" s="46"/>
    </row>
    <row r="73" spans="1:5" x14ac:dyDescent="0.25">
      <c r="A73" s="60" t="s">
        <v>10</v>
      </c>
      <c r="B73" s="47" t="s">
        <v>235</v>
      </c>
      <c r="C73" s="47" t="s">
        <v>236</v>
      </c>
      <c r="D73" s="47" t="s">
        <v>8</v>
      </c>
      <c r="E73" s="46"/>
    </row>
    <row r="74" spans="1:5" x14ac:dyDescent="0.25">
      <c r="A74" s="58" t="s">
        <v>103</v>
      </c>
      <c r="B74" s="48">
        <v>2652</v>
      </c>
      <c r="C74" s="48">
        <v>2801</v>
      </c>
      <c r="D74" s="48">
        <f>SUM(B74:C74)</f>
        <v>5453</v>
      </c>
      <c r="E74" s="46"/>
    </row>
    <row r="75" spans="1:5" x14ac:dyDescent="0.25">
      <c r="A75" s="92" t="s">
        <v>296</v>
      </c>
      <c r="B75" s="48">
        <v>19</v>
      </c>
      <c r="C75" s="48">
        <v>26</v>
      </c>
      <c r="D75" s="48">
        <f t="shared" ref="D75:D84" si="3">SUM(B75:C75)</f>
        <v>45</v>
      </c>
      <c r="E75" s="46"/>
    </row>
    <row r="76" spans="1:5" x14ac:dyDescent="0.25">
      <c r="A76" s="92" t="s">
        <v>297</v>
      </c>
      <c r="B76" s="48">
        <v>272</v>
      </c>
      <c r="C76" s="48">
        <v>180</v>
      </c>
      <c r="D76" s="48">
        <f t="shared" si="3"/>
        <v>452</v>
      </c>
      <c r="E76" s="46"/>
    </row>
    <row r="77" spans="1:5" x14ac:dyDescent="0.25">
      <c r="A77" s="92" t="s">
        <v>298</v>
      </c>
      <c r="B77" s="48">
        <v>25</v>
      </c>
      <c r="C77" s="48">
        <v>33</v>
      </c>
      <c r="D77" s="48">
        <f t="shared" si="3"/>
        <v>58</v>
      </c>
      <c r="E77" s="46"/>
    </row>
    <row r="78" spans="1:5" x14ac:dyDescent="0.25">
      <c r="A78" s="92" t="s">
        <v>299</v>
      </c>
      <c r="B78" s="48">
        <v>1964</v>
      </c>
      <c r="C78" s="48">
        <v>1019</v>
      </c>
      <c r="D78" s="48">
        <f t="shared" si="3"/>
        <v>2983</v>
      </c>
      <c r="E78" s="46"/>
    </row>
    <row r="79" spans="1:5" x14ac:dyDescent="0.25">
      <c r="A79" s="92" t="s">
        <v>300</v>
      </c>
      <c r="B79" s="48">
        <v>609</v>
      </c>
      <c r="C79" s="48">
        <v>653</v>
      </c>
      <c r="D79" s="48">
        <f t="shared" si="3"/>
        <v>1262</v>
      </c>
      <c r="E79" s="46"/>
    </row>
    <row r="80" spans="1:5" x14ac:dyDescent="0.25">
      <c r="A80" s="92" t="s">
        <v>301</v>
      </c>
      <c r="B80" s="48">
        <v>3587</v>
      </c>
      <c r="C80" s="48">
        <v>1232</v>
      </c>
      <c r="D80" s="48">
        <f t="shared" si="3"/>
        <v>4819</v>
      </c>
      <c r="E80" s="46"/>
    </row>
    <row r="81" spans="1:5" x14ac:dyDescent="0.25">
      <c r="A81" s="92" t="s">
        <v>302</v>
      </c>
      <c r="B81" s="48">
        <v>145</v>
      </c>
      <c r="C81" s="48">
        <v>81</v>
      </c>
      <c r="D81" s="48">
        <f t="shared" si="3"/>
        <v>226</v>
      </c>
      <c r="E81" s="46"/>
    </row>
    <row r="82" spans="1:5" x14ac:dyDescent="0.25">
      <c r="A82" s="92" t="s">
        <v>303</v>
      </c>
      <c r="B82" s="48">
        <v>4609</v>
      </c>
      <c r="C82" s="48">
        <v>2624</v>
      </c>
      <c r="D82" s="48">
        <f t="shared" si="3"/>
        <v>7233</v>
      </c>
      <c r="E82" s="46"/>
    </row>
    <row r="83" spans="1:5" x14ac:dyDescent="0.25">
      <c r="A83" s="92" t="s">
        <v>304</v>
      </c>
      <c r="B83" s="48">
        <v>451</v>
      </c>
      <c r="C83" s="48">
        <v>767</v>
      </c>
      <c r="D83" s="48">
        <f t="shared" si="3"/>
        <v>1218</v>
      </c>
      <c r="E83" s="46"/>
    </row>
    <row r="84" spans="1:5" x14ac:dyDescent="0.25">
      <c r="A84" s="59" t="s">
        <v>305</v>
      </c>
      <c r="B84" s="49">
        <v>14333</v>
      </c>
      <c r="C84" s="49">
        <v>9416</v>
      </c>
      <c r="D84" s="49">
        <f t="shared" si="3"/>
        <v>23749</v>
      </c>
      <c r="E84" s="46"/>
    </row>
    <row r="85" spans="1:5" x14ac:dyDescent="0.25">
      <c r="A85" s="46"/>
      <c r="B85" s="46"/>
      <c r="C85" s="46"/>
      <c r="D85" s="46"/>
      <c r="E85" s="46"/>
    </row>
    <row r="86" spans="1:5" ht="15.75" x14ac:dyDescent="0.25">
      <c r="A86" s="53" t="s">
        <v>369</v>
      </c>
      <c r="B86" s="46"/>
      <c r="C86" s="46"/>
      <c r="D86" s="46"/>
      <c r="E86" s="46"/>
    </row>
    <row r="87" spans="1:5" x14ac:dyDescent="0.25">
      <c r="A87" s="60" t="s">
        <v>9</v>
      </c>
      <c r="B87" s="47" t="s">
        <v>235</v>
      </c>
      <c r="C87" s="47" t="s">
        <v>236</v>
      </c>
      <c r="D87" s="47" t="s">
        <v>8</v>
      </c>
      <c r="E87" s="46"/>
    </row>
    <row r="88" spans="1:5" x14ac:dyDescent="0.25">
      <c r="A88" s="58" t="s">
        <v>281</v>
      </c>
      <c r="B88" s="48">
        <v>5</v>
      </c>
      <c r="C88" s="50">
        <v>0</v>
      </c>
      <c r="D88" s="48">
        <f>SUM(B88:C88)</f>
        <v>5</v>
      </c>
      <c r="E88" s="46"/>
    </row>
    <row r="89" spans="1:5" x14ac:dyDescent="0.25">
      <c r="A89" s="58" t="s">
        <v>282</v>
      </c>
      <c r="B89" s="50">
        <v>0</v>
      </c>
      <c r="C89" s="50">
        <v>0</v>
      </c>
      <c r="D89" s="48">
        <f t="shared" ref="D89:D104" si="4">SUM(B89:C89)</f>
        <v>0</v>
      </c>
      <c r="E89" s="46"/>
    </row>
    <row r="90" spans="1:5" x14ac:dyDescent="0.25">
      <c r="A90" s="58" t="s">
        <v>283</v>
      </c>
      <c r="B90" s="48">
        <v>26</v>
      </c>
      <c r="C90" s="48">
        <v>19</v>
      </c>
      <c r="D90" s="48">
        <f t="shared" si="4"/>
        <v>45</v>
      </c>
      <c r="E90" s="46"/>
    </row>
    <row r="91" spans="1:5" x14ac:dyDescent="0.25">
      <c r="A91" s="58" t="s">
        <v>284</v>
      </c>
      <c r="B91" s="50">
        <v>0</v>
      </c>
      <c r="C91" s="50">
        <v>0</v>
      </c>
      <c r="D91" s="48">
        <f t="shared" si="4"/>
        <v>0</v>
      </c>
      <c r="E91" s="46"/>
    </row>
    <row r="92" spans="1:5" x14ac:dyDescent="0.25">
      <c r="A92" s="58" t="s">
        <v>285</v>
      </c>
      <c r="B92" s="48">
        <v>133</v>
      </c>
      <c r="C92" s="48">
        <v>131</v>
      </c>
      <c r="D92" s="48">
        <f t="shared" si="4"/>
        <v>264</v>
      </c>
      <c r="E92" s="46"/>
    </row>
    <row r="93" spans="1:5" x14ac:dyDescent="0.25">
      <c r="A93" s="58" t="s">
        <v>286</v>
      </c>
      <c r="B93" s="48">
        <v>661</v>
      </c>
      <c r="C93" s="48">
        <v>467</v>
      </c>
      <c r="D93" s="48">
        <f t="shared" si="4"/>
        <v>1128</v>
      </c>
      <c r="E93" s="46"/>
    </row>
    <row r="94" spans="1:5" x14ac:dyDescent="0.25">
      <c r="A94" s="97" t="s">
        <v>307</v>
      </c>
      <c r="B94" s="48">
        <v>11312</v>
      </c>
      <c r="C94" s="48">
        <v>7648</v>
      </c>
      <c r="D94" s="48">
        <f t="shared" si="4"/>
        <v>18960</v>
      </c>
      <c r="E94" s="46"/>
    </row>
    <row r="95" spans="1:5" x14ac:dyDescent="0.25">
      <c r="A95" s="58" t="s">
        <v>287</v>
      </c>
      <c r="B95" s="48">
        <v>0</v>
      </c>
      <c r="C95" s="48">
        <v>0</v>
      </c>
      <c r="D95" s="48">
        <v>0</v>
      </c>
      <c r="E95" s="46"/>
    </row>
    <row r="96" spans="1:5" x14ac:dyDescent="0.25">
      <c r="A96" s="58" t="s">
        <v>288</v>
      </c>
      <c r="B96" s="48">
        <v>318</v>
      </c>
      <c r="C96" s="48">
        <v>220</v>
      </c>
      <c r="D96" s="48">
        <f t="shared" si="4"/>
        <v>538</v>
      </c>
      <c r="E96" s="46"/>
    </row>
    <row r="97" spans="1:5" x14ac:dyDescent="0.25">
      <c r="A97" s="58" t="s">
        <v>315</v>
      </c>
      <c r="B97" s="48">
        <v>95</v>
      </c>
      <c r="C97" s="48">
        <v>27</v>
      </c>
      <c r="D97" s="48">
        <f t="shared" si="4"/>
        <v>122</v>
      </c>
      <c r="E97" s="46"/>
    </row>
    <row r="98" spans="1:5" x14ac:dyDescent="0.25">
      <c r="A98" s="58" t="s">
        <v>289</v>
      </c>
      <c r="B98" s="48">
        <v>1041</v>
      </c>
      <c r="C98" s="48">
        <v>576</v>
      </c>
      <c r="D98" s="48">
        <f t="shared" si="4"/>
        <v>1617</v>
      </c>
      <c r="E98" s="46"/>
    </row>
    <row r="99" spans="1:5" x14ac:dyDescent="0.25">
      <c r="A99" s="58" t="s">
        <v>290</v>
      </c>
      <c r="B99" s="48">
        <v>596</v>
      </c>
      <c r="C99" s="48">
        <v>233</v>
      </c>
      <c r="D99" s="48">
        <f t="shared" si="4"/>
        <v>829</v>
      </c>
      <c r="E99" s="46"/>
    </row>
    <row r="100" spans="1:5" x14ac:dyDescent="0.25">
      <c r="A100" s="58" t="s">
        <v>291</v>
      </c>
      <c r="B100" s="48">
        <v>111</v>
      </c>
      <c r="C100" s="48">
        <v>69</v>
      </c>
      <c r="D100" s="48">
        <f t="shared" si="4"/>
        <v>180</v>
      </c>
      <c r="E100" s="46"/>
    </row>
    <row r="101" spans="1:5" x14ac:dyDescent="0.25">
      <c r="A101" s="58" t="s">
        <v>292</v>
      </c>
      <c r="B101" s="48">
        <v>35</v>
      </c>
      <c r="C101" s="48">
        <v>26</v>
      </c>
      <c r="D101" s="48">
        <f t="shared" si="4"/>
        <v>61</v>
      </c>
      <c r="E101" s="46"/>
    </row>
    <row r="102" spans="1:5" x14ac:dyDescent="0.25">
      <c r="A102" s="58" t="s">
        <v>293</v>
      </c>
      <c r="B102" s="48">
        <v>0</v>
      </c>
      <c r="C102" s="48">
        <v>0</v>
      </c>
      <c r="D102" s="48">
        <f t="shared" si="4"/>
        <v>0</v>
      </c>
      <c r="E102" s="46"/>
    </row>
    <row r="103" spans="1:5" x14ac:dyDescent="0.25">
      <c r="A103" s="58" t="s">
        <v>295</v>
      </c>
      <c r="B103" s="48">
        <v>0</v>
      </c>
      <c r="C103" s="48">
        <v>0</v>
      </c>
      <c r="D103" s="48">
        <f t="shared" si="4"/>
        <v>0</v>
      </c>
      <c r="E103" s="46"/>
    </row>
    <row r="104" spans="1:5" x14ac:dyDescent="0.25">
      <c r="A104" s="81" t="s">
        <v>4</v>
      </c>
      <c r="B104" s="49">
        <f>SUM(B88:B103)</f>
        <v>14333</v>
      </c>
      <c r="C104" s="49">
        <f>SUM(C88:C103)</f>
        <v>9416</v>
      </c>
      <c r="D104" s="49">
        <f t="shared" si="4"/>
        <v>23749</v>
      </c>
      <c r="E104" s="46"/>
    </row>
    <row r="105" spans="1:5" x14ac:dyDescent="0.25">
      <c r="A105" s="46"/>
      <c r="B105" s="46"/>
      <c r="C105" s="46"/>
      <c r="D105" s="46"/>
      <c r="E105" s="46"/>
    </row>
    <row r="106" spans="1:5" x14ac:dyDescent="0.25">
      <c r="A106" s="46"/>
      <c r="B106" s="46"/>
      <c r="C106" s="46"/>
      <c r="D106" s="46"/>
      <c r="E106" s="46"/>
    </row>
    <row r="107" spans="1:5" x14ac:dyDescent="0.25">
      <c r="A107" s="70" t="s">
        <v>272</v>
      </c>
      <c r="B107" s="73"/>
      <c r="C107" s="73"/>
      <c r="D107" s="73"/>
      <c r="E107" s="73"/>
    </row>
    <row r="108" spans="1:5" x14ac:dyDescent="0.25">
      <c r="A108" s="73"/>
      <c r="B108" s="73"/>
      <c r="C108" s="73"/>
      <c r="D108" s="73"/>
      <c r="E108" s="73"/>
    </row>
    <row r="109" spans="1:5" x14ac:dyDescent="0.25">
      <c r="A109" s="74" t="s">
        <v>21</v>
      </c>
      <c r="B109" s="73"/>
      <c r="C109" s="73"/>
      <c r="D109" s="73"/>
      <c r="E109" s="73"/>
    </row>
    <row r="110" spans="1:5" x14ac:dyDescent="0.25">
      <c r="A110" s="73"/>
      <c r="B110" s="73"/>
      <c r="C110" s="73"/>
      <c r="D110" s="73"/>
      <c r="E110" s="73"/>
    </row>
  </sheetData>
  <hyperlinks>
    <hyperlink ref="A109" location="Indice!A5" display="Volver al índice" xr:uid="{00000000-0004-0000-0700-000000000000}"/>
  </hyperlink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52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10" defaultColWidth="10.85546875" defaultRowHeight="15" x14ac:dyDescent="0.25"/>
  <cols>
    <col min="1" max="1" width="40.42578125" style="1" customWidth="1"/>
    <col min="2" max="12" width="10.85546875" style="1" customWidth="1"/>
    <col min="13" max="15" width="14.5703125" style="1" customWidth="1"/>
    <col min="16" max="16384" width="10.85546875" style="2"/>
  </cols>
  <sheetData>
    <row r="1" spans="1:15" ht="21" x14ac:dyDescent="0.25">
      <c r="A1" s="66" t="s">
        <v>309</v>
      </c>
      <c r="B1" s="66"/>
      <c r="C1" s="66"/>
      <c r="D1" s="66"/>
      <c r="E1" s="66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ht="18.75" x14ac:dyDescent="0.25">
      <c r="A2" s="38"/>
      <c r="B2" s="38"/>
      <c r="C2" s="38"/>
      <c r="D2" s="38"/>
      <c r="E2" s="38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x14ac:dyDescent="0.25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</row>
    <row r="4" spans="1:15" ht="15.75" x14ac:dyDescent="0.25">
      <c r="A4" s="25" t="s">
        <v>104</v>
      </c>
      <c r="B4" s="25"/>
      <c r="C4" s="25"/>
      <c r="D4" s="25"/>
      <c r="E4" s="25"/>
      <c r="F4" s="40"/>
      <c r="G4" s="40"/>
      <c r="H4" s="40"/>
      <c r="I4" s="40"/>
      <c r="J4" s="40"/>
      <c r="K4" s="40"/>
      <c r="L4" s="40"/>
      <c r="M4" s="40"/>
      <c r="N4" s="40"/>
      <c r="O4" s="40"/>
    </row>
    <row r="5" spans="1:15" ht="25.5" x14ac:dyDescent="0.25">
      <c r="A5" s="88" t="s">
        <v>0</v>
      </c>
      <c r="B5" s="3">
        <v>2008</v>
      </c>
      <c r="C5" s="3">
        <v>2009</v>
      </c>
      <c r="D5" s="3">
        <v>2010</v>
      </c>
      <c r="E5" s="3">
        <v>2011</v>
      </c>
      <c r="F5" s="3">
        <v>2012</v>
      </c>
      <c r="G5" s="3">
        <v>2013</v>
      </c>
      <c r="H5" s="3">
        <v>2014</v>
      </c>
      <c r="I5" s="3">
        <v>2015</v>
      </c>
      <c r="J5" s="3">
        <v>2016</v>
      </c>
      <c r="K5" s="3">
        <v>2017</v>
      </c>
      <c r="L5" s="3">
        <v>2018</v>
      </c>
      <c r="M5" s="13" t="s">
        <v>395</v>
      </c>
      <c r="N5" s="13" t="s">
        <v>394</v>
      </c>
      <c r="O5" s="13" t="s">
        <v>313</v>
      </c>
    </row>
    <row r="6" spans="1:15" x14ac:dyDescent="0.25">
      <c r="A6" s="4" t="s">
        <v>5</v>
      </c>
      <c r="B6" s="4"/>
      <c r="C6" s="4">
        <v>10</v>
      </c>
      <c r="D6" s="4">
        <v>11</v>
      </c>
      <c r="E6" s="4">
        <v>13</v>
      </c>
      <c r="F6" s="4">
        <v>8</v>
      </c>
      <c r="G6" s="4">
        <v>10</v>
      </c>
      <c r="H6" s="4"/>
      <c r="I6" s="4"/>
      <c r="J6" s="4">
        <v>9</v>
      </c>
      <c r="K6" s="4">
        <v>10</v>
      </c>
      <c r="L6" s="4">
        <v>5</v>
      </c>
      <c r="M6" s="82" t="s">
        <v>24</v>
      </c>
      <c r="N6" s="100">
        <f>(L6-K6)/K6</f>
        <v>-0.5</v>
      </c>
      <c r="O6" s="14">
        <f>L6/$L$9</f>
        <v>2.1053518042864962E-4</v>
      </c>
    </row>
    <row r="7" spans="1:15" x14ac:dyDescent="0.25">
      <c r="A7" s="4" t="s">
        <v>6</v>
      </c>
      <c r="B7" s="4"/>
      <c r="C7" s="4">
        <v>28</v>
      </c>
      <c r="D7" s="4"/>
      <c r="E7" s="4"/>
      <c r="F7" s="4"/>
      <c r="G7" s="4">
        <v>5</v>
      </c>
      <c r="H7" s="4">
        <v>21</v>
      </c>
      <c r="I7" s="4">
        <v>256</v>
      </c>
      <c r="J7" s="4">
        <v>2641</v>
      </c>
      <c r="K7" s="4">
        <v>1164</v>
      </c>
      <c r="L7" s="4">
        <v>871</v>
      </c>
      <c r="M7" s="82" t="s">
        <v>24</v>
      </c>
      <c r="N7" s="100">
        <f t="shared" ref="N7:N9" si="0">(L7-K7)/K7</f>
        <v>-0.25171821305841924</v>
      </c>
      <c r="O7" s="14">
        <f t="shared" ref="O7:O9" si="1">L7/$L$9</f>
        <v>3.6675228430670767E-2</v>
      </c>
    </row>
    <row r="8" spans="1:15" x14ac:dyDescent="0.25">
      <c r="A8" s="4" t="s">
        <v>7</v>
      </c>
      <c r="B8" s="4">
        <v>7669</v>
      </c>
      <c r="C8" s="4">
        <v>8767</v>
      </c>
      <c r="D8" s="4">
        <v>8845</v>
      </c>
      <c r="E8" s="4">
        <v>8719</v>
      </c>
      <c r="F8" s="4">
        <v>9686</v>
      </c>
      <c r="G8" s="4">
        <v>12573</v>
      </c>
      <c r="H8" s="4">
        <v>12905</v>
      </c>
      <c r="I8" s="4">
        <v>13273</v>
      </c>
      <c r="J8" s="4">
        <v>16303</v>
      </c>
      <c r="K8" s="4">
        <v>21479</v>
      </c>
      <c r="L8" s="4">
        <v>22873</v>
      </c>
      <c r="M8" s="100">
        <f>(L8-B8)/B8</f>
        <v>1.9825270569826574</v>
      </c>
      <c r="N8" s="100">
        <f t="shared" si="0"/>
        <v>6.4900600586619492E-2</v>
      </c>
      <c r="O8" s="14">
        <f t="shared" si="1"/>
        <v>0.96311423638890059</v>
      </c>
    </row>
    <row r="9" spans="1:15" x14ac:dyDescent="0.25">
      <c r="A9" s="5" t="s">
        <v>4</v>
      </c>
      <c r="B9" s="5">
        <v>7669</v>
      </c>
      <c r="C9" s="5">
        <v>8805</v>
      </c>
      <c r="D9" s="5">
        <v>8856</v>
      </c>
      <c r="E9" s="5">
        <v>8732</v>
      </c>
      <c r="F9" s="5">
        <v>9694</v>
      </c>
      <c r="G9" s="5">
        <v>12588</v>
      </c>
      <c r="H9" s="5">
        <v>12926</v>
      </c>
      <c r="I9" s="5">
        <v>13529</v>
      </c>
      <c r="J9" s="5">
        <v>18953</v>
      </c>
      <c r="K9" s="5">
        <v>22653</v>
      </c>
      <c r="L9" s="5">
        <v>23749</v>
      </c>
      <c r="M9" s="83">
        <f>(L9-B9)/B9</f>
        <v>2.096753162081106</v>
      </c>
      <c r="N9" s="83">
        <f t="shared" si="0"/>
        <v>4.8382112744448862E-2</v>
      </c>
      <c r="O9" s="16">
        <f t="shared" si="1"/>
        <v>1</v>
      </c>
    </row>
    <row r="10" spans="1:15" x14ac:dyDescent="0.25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</row>
    <row r="11" spans="1:15" ht="15.75" x14ac:dyDescent="0.25">
      <c r="A11" s="25" t="s">
        <v>105</v>
      </c>
      <c r="B11" s="25"/>
      <c r="C11" s="25"/>
      <c r="D11" s="25"/>
      <c r="E11" s="25"/>
      <c r="F11" s="40"/>
      <c r="G11" s="40"/>
      <c r="H11" s="40"/>
      <c r="I11" s="40"/>
      <c r="J11" s="40"/>
      <c r="K11" s="40"/>
      <c r="L11" s="40"/>
      <c r="M11" s="40"/>
      <c r="N11" s="40"/>
      <c r="O11" s="40"/>
    </row>
    <row r="12" spans="1:15" ht="25.5" x14ac:dyDescent="0.25">
      <c r="A12" s="88" t="s">
        <v>98</v>
      </c>
      <c r="B12" s="3">
        <v>2008</v>
      </c>
      <c r="C12" s="3">
        <v>2009</v>
      </c>
      <c r="D12" s="3">
        <v>2010</v>
      </c>
      <c r="E12" s="3">
        <v>2011</v>
      </c>
      <c r="F12" s="3">
        <v>2012</v>
      </c>
      <c r="G12" s="3">
        <v>2013</v>
      </c>
      <c r="H12" s="3">
        <v>2014</v>
      </c>
      <c r="I12" s="3">
        <v>2015</v>
      </c>
      <c r="J12" s="3">
        <v>2016</v>
      </c>
      <c r="K12" s="3">
        <v>2017</v>
      </c>
      <c r="L12" s="3">
        <v>2018</v>
      </c>
      <c r="M12" s="13" t="s">
        <v>395</v>
      </c>
      <c r="N12" s="13" t="s">
        <v>394</v>
      </c>
      <c r="O12" s="13" t="s">
        <v>313</v>
      </c>
    </row>
    <row r="13" spans="1:15" x14ac:dyDescent="0.25">
      <c r="A13" s="4" t="s">
        <v>100</v>
      </c>
      <c r="B13" s="4">
        <v>912</v>
      </c>
      <c r="C13" s="4">
        <v>856</v>
      </c>
      <c r="D13" s="4">
        <v>979</v>
      </c>
      <c r="E13" s="4">
        <v>933</v>
      </c>
      <c r="F13" s="4">
        <v>1077</v>
      </c>
      <c r="G13" s="4">
        <v>1230</v>
      </c>
      <c r="H13" s="4">
        <v>1348</v>
      </c>
      <c r="I13" s="4">
        <v>1509</v>
      </c>
      <c r="J13" s="4">
        <v>1922</v>
      </c>
      <c r="K13" s="4">
        <v>1733</v>
      </c>
      <c r="L13" s="4">
        <v>2194</v>
      </c>
      <c r="M13" s="106">
        <f>(L13-B13)/B13</f>
        <v>1.4057017543859649</v>
      </c>
      <c r="N13" s="106">
        <f t="shared" ref="N13:N15" si="2">(L13-K13)/K13</f>
        <v>0.2660126947489902</v>
      </c>
      <c r="O13" s="106">
        <f t="shared" ref="O13:O16" si="3">L13/$L$9</f>
        <v>9.2382837172091462E-2</v>
      </c>
    </row>
    <row r="14" spans="1:15" x14ac:dyDescent="0.25">
      <c r="A14" s="4" t="s">
        <v>3</v>
      </c>
      <c r="B14" s="4">
        <v>2840</v>
      </c>
      <c r="C14" s="4">
        <v>3082</v>
      </c>
      <c r="D14" s="4">
        <v>2666</v>
      </c>
      <c r="E14" s="4">
        <v>3680</v>
      </c>
      <c r="F14" s="4">
        <v>2572</v>
      </c>
      <c r="G14" s="4">
        <v>4120</v>
      </c>
      <c r="H14" s="4">
        <v>3837</v>
      </c>
      <c r="I14" s="4">
        <v>3195</v>
      </c>
      <c r="J14" s="4">
        <v>5323</v>
      </c>
      <c r="K14" s="4">
        <v>4161</v>
      </c>
      <c r="L14" s="4">
        <v>3502</v>
      </c>
      <c r="M14" s="106">
        <f t="shared" ref="M14:M16" si="4">(L14-B14)/B14</f>
        <v>0.23309859154929577</v>
      </c>
      <c r="N14" s="106">
        <f t="shared" si="2"/>
        <v>-0.15837539053112232</v>
      </c>
      <c r="O14" s="106">
        <f t="shared" si="3"/>
        <v>0.1474588403722262</v>
      </c>
    </row>
    <row r="15" spans="1:15" x14ac:dyDescent="0.25">
      <c r="A15" s="4" t="s">
        <v>101</v>
      </c>
      <c r="B15" s="4">
        <v>3917</v>
      </c>
      <c r="C15" s="4">
        <v>4867</v>
      </c>
      <c r="D15" s="4">
        <v>5211</v>
      </c>
      <c r="E15" s="4">
        <v>4119</v>
      </c>
      <c r="F15" s="4">
        <v>6045</v>
      </c>
      <c r="G15" s="4">
        <v>7238</v>
      </c>
      <c r="H15" s="4">
        <v>7741</v>
      </c>
      <c r="I15" s="4">
        <v>8825</v>
      </c>
      <c r="J15" s="4">
        <v>11708</v>
      </c>
      <c r="K15" s="4">
        <v>16759</v>
      </c>
      <c r="L15" s="4">
        <v>18053</v>
      </c>
      <c r="M15" s="106">
        <f t="shared" si="4"/>
        <v>3.6088843502680623</v>
      </c>
      <c r="N15" s="106">
        <f t="shared" si="2"/>
        <v>7.7212244167313079E-2</v>
      </c>
      <c r="O15" s="106">
        <f t="shared" si="3"/>
        <v>0.76015832245568238</v>
      </c>
    </row>
    <row r="16" spans="1:15" x14ac:dyDescent="0.25">
      <c r="A16" s="5" t="s">
        <v>4</v>
      </c>
      <c r="B16" s="5">
        <v>7669</v>
      </c>
      <c r="C16" s="5">
        <v>8805</v>
      </c>
      <c r="D16" s="5">
        <v>8856</v>
      </c>
      <c r="E16" s="5">
        <v>8732</v>
      </c>
      <c r="F16" s="5">
        <v>9694</v>
      </c>
      <c r="G16" s="5">
        <v>12588</v>
      </c>
      <c r="H16" s="5">
        <v>12926</v>
      </c>
      <c r="I16" s="5">
        <v>13529</v>
      </c>
      <c r="J16" s="5">
        <v>18953</v>
      </c>
      <c r="K16" s="5">
        <v>22653</v>
      </c>
      <c r="L16" s="5">
        <v>23749</v>
      </c>
      <c r="M16" s="107">
        <f t="shared" si="4"/>
        <v>2.096753162081106</v>
      </c>
      <c r="N16" s="107">
        <f>(L16-K16)/K16</f>
        <v>4.8382112744448862E-2</v>
      </c>
      <c r="O16" s="107">
        <f t="shared" si="3"/>
        <v>1</v>
      </c>
    </row>
    <row r="17" spans="1:15" x14ac:dyDescent="0.25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</row>
    <row r="18" spans="1:15" ht="15.75" x14ac:dyDescent="0.25">
      <c r="A18" s="25" t="s">
        <v>106</v>
      </c>
      <c r="B18" s="25"/>
      <c r="C18" s="25"/>
      <c r="D18" s="25"/>
      <c r="E18" s="25"/>
      <c r="F18" s="40"/>
      <c r="G18" s="40"/>
      <c r="H18" s="40"/>
      <c r="I18" s="40"/>
      <c r="J18" s="40"/>
      <c r="K18" s="40"/>
      <c r="L18" s="40"/>
      <c r="M18" s="40"/>
      <c r="N18" s="40"/>
      <c r="O18" s="40"/>
    </row>
    <row r="19" spans="1:15" ht="25.5" x14ac:dyDescent="0.25">
      <c r="A19" s="88" t="s">
        <v>99</v>
      </c>
      <c r="B19" s="3">
        <v>2008</v>
      </c>
      <c r="C19" s="3">
        <v>2009</v>
      </c>
      <c r="D19" s="3">
        <v>2010</v>
      </c>
      <c r="E19" s="3">
        <v>2011</v>
      </c>
      <c r="F19" s="3">
        <v>2012</v>
      </c>
      <c r="G19" s="3">
        <v>2013</v>
      </c>
      <c r="H19" s="3">
        <v>2014</v>
      </c>
      <c r="I19" s="3">
        <v>2015</v>
      </c>
      <c r="J19" s="3">
        <v>2016</v>
      </c>
      <c r="K19" s="3">
        <v>2017</v>
      </c>
      <c r="L19" s="3">
        <v>2018</v>
      </c>
      <c r="M19" s="13" t="s">
        <v>395</v>
      </c>
      <c r="N19" s="13" t="s">
        <v>394</v>
      </c>
      <c r="O19" s="13" t="s">
        <v>313</v>
      </c>
    </row>
    <row r="20" spans="1:15" x14ac:dyDescent="0.25">
      <c r="A20" s="5" t="s">
        <v>5</v>
      </c>
      <c r="B20" s="5"/>
      <c r="C20" s="5">
        <v>10</v>
      </c>
      <c r="D20" s="5">
        <v>11</v>
      </c>
      <c r="E20" s="5">
        <v>13</v>
      </c>
      <c r="F20" s="17">
        <v>8</v>
      </c>
      <c r="G20" s="17">
        <v>10</v>
      </c>
      <c r="H20" s="17"/>
      <c r="I20" s="17"/>
      <c r="J20" s="17">
        <v>9</v>
      </c>
      <c r="K20" s="17">
        <v>10</v>
      </c>
      <c r="L20" s="17">
        <v>5</v>
      </c>
      <c r="M20" s="82" t="s">
        <v>24</v>
      </c>
      <c r="N20" s="100">
        <f>(L20-K20)/K20</f>
        <v>-0.5</v>
      </c>
      <c r="O20" s="14">
        <f t="shared" ref="O20:O29" si="5">L20/$L$9</f>
        <v>2.1053518042864962E-4</v>
      </c>
    </row>
    <row r="21" spans="1:15" x14ac:dyDescent="0.25">
      <c r="A21" s="85" t="s">
        <v>101</v>
      </c>
      <c r="B21" s="85"/>
      <c r="C21" s="85">
        <v>10</v>
      </c>
      <c r="D21" s="85">
        <v>11</v>
      </c>
      <c r="E21" s="85">
        <v>13</v>
      </c>
      <c r="F21" s="18">
        <v>8</v>
      </c>
      <c r="G21" s="18">
        <v>10</v>
      </c>
      <c r="H21" s="18"/>
      <c r="I21" s="18"/>
      <c r="J21" s="18">
        <v>9</v>
      </c>
      <c r="K21" s="18">
        <v>10</v>
      </c>
      <c r="L21" s="18">
        <v>5</v>
      </c>
      <c r="M21" s="82" t="s">
        <v>24</v>
      </c>
      <c r="N21" s="100">
        <f t="shared" ref="N21:N29" si="6">(L21-K21)/K21</f>
        <v>-0.5</v>
      </c>
      <c r="O21" s="14">
        <f t="shared" si="5"/>
        <v>2.1053518042864962E-4</v>
      </c>
    </row>
    <row r="22" spans="1:15" x14ac:dyDescent="0.25">
      <c r="A22" s="5" t="s">
        <v>6</v>
      </c>
      <c r="B22" s="5"/>
      <c r="C22" s="5">
        <v>28</v>
      </c>
      <c r="D22" s="5"/>
      <c r="E22" s="5"/>
      <c r="F22" s="17"/>
      <c r="G22" s="17">
        <v>5</v>
      </c>
      <c r="H22" s="17">
        <v>21</v>
      </c>
      <c r="I22" s="17">
        <v>256</v>
      </c>
      <c r="J22" s="17">
        <v>2641</v>
      </c>
      <c r="K22" s="17">
        <v>1164</v>
      </c>
      <c r="L22" s="17">
        <v>871</v>
      </c>
      <c r="M22" s="83" t="s">
        <v>24</v>
      </c>
      <c r="N22" s="83">
        <f t="shared" si="6"/>
        <v>-0.25171821305841924</v>
      </c>
      <c r="O22" s="16">
        <f t="shared" si="5"/>
        <v>3.6675228430670767E-2</v>
      </c>
    </row>
    <row r="23" spans="1:15" x14ac:dyDescent="0.25">
      <c r="A23" s="85" t="s">
        <v>3</v>
      </c>
      <c r="B23" s="85"/>
      <c r="C23" s="85">
        <v>28</v>
      </c>
      <c r="D23" s="85"/>
      <c r="E23" s="85"/>
      <c r="F23" s="18"/>
      <c r="G23" s="18"/>
      <c r="H23" s="18">
        <v>19</v>
      </c>
      <c r="I23" s="18">
        <v>129</v>
      </c>
      <c r="J23" s="18">
        <v>2267</v>
      </c>
      <c r="K23" s="18">
        <v>934</v>
      </c>
      <c r="L23" s="18">
        <v>764</v>
      </c>
      <c r="M23" s="82" t="s">
        <v>24</v>
      </c>
      <c r="N23" s="100">
        <f t="shared" si="6"/>
        <v>-0.18201284796573874</v>
      </c>
      <c r="O23" s="14">
        <f t="shared" si="5"/>
        <v>3.2169775569497662E-2</v>
      </c>
    </row>
    <row r="24" spans="1:15" x14ac:dyDescent="0.25">
      <c r="A24" s="85" t="s">
        <v>101</v>
      </c>
      <c r="B24" s="85"/>
      <c r="C24" s="85"/>
      <c r="D24" s="85"/>
      <c r="E24" s="85"/>
      <c r="F24" s="18"/>
      <c r="G24" s="18">
        <v>5</v>
      </c>
      <c r="H24" s="18">
        <v>2</v>
      </c>
      <c r="I24" s="18">
        <v>127</v>
      </c>
      <c r="J24" s="18">
        <v>374</v>
      </c>
      <c r="K24" s="18">
        <v>230</v>
      </c>
      <c r="L24" s="18">
        <v>107</v>
      </c>
      <c r="M24" s="82" t="s">
        <v>24</v>
      </c>
      <c r="N24" s="100">
        <f t="shared" si="6"/>
        <v>-0.5347826086956522</v>
      </c>
      <c r="O24" s="14">
        <f t="shared" si="5"/>
        <v>4.5054528611731016E-3</v>
      </c>
    </row>
    <row r="25" spans="1:15" x14ac:dyDescent="0.25">
      <c r="A25" s="5" t="s">
        <v>7</v>
      </c>
      <c r="B25" s="5">
        <v>7669</v>
      </c>
      <c r="C25" s="5">
        <v>8767</v>
      </c>
      <c r="D25" s="5">
        <v>8845</v>
      </c>
      <c r="E25" s="5">
        <v>8719</v>
      </c>
      <c r="F25" s="17">
        <v>9686</v>
      </c>
      <c r="G25" s="17">
        <v>12573</v>
      </c>
      <c r="H25" s="17">
        <v>12905</v>
      </c>
      <c r="I25" s="17">
        <v>13273</v>
      </c>
      <c r="J25" s="17">
        <v>16303</v>
      </c>
      <c r="K25" s="17">
        <v>21479</v>
      </c>
      <c r="L25" s="17">
        <v>22873</v>
      </c>
      <c r="M25" s="83">
        <f>(L25-B25)/B25</f>
        <v>1.9825270569826574</v>
      </c>
      <c r="N25" s="83">
        <f t="shared" si="6"/>
        <v>6.4900600586619492E-2</v>
      </c>
      <c r="O25" s="16">
        <f t="shared" si="5"/>
        <v>0.96311423638890059</v>
      </c>
    </row>
    <row r="26" spans="1:15" x14ac:dyDescent="0.25">
      <c r="A26" s="85" t="s">
        <v>100</v>
      </c>
      <c r="B26" s="85">
        <v>912</v>
      </c>
      <c r="C26" s="85">
        <v>856</v>
      </c>
      <c r="D26" s="85">
        <v>979</v>
      </c>
      <c r="E26" s="85">
        <v>933</v>
      </c>
      <c r="F26" s="18">
        <v>1077</v>
      </c>
      <c r="G26" s="18">
        <v>1230</v>
      </c>
      <c r="H26" s="18">
        <v>1348</v>
      </c>
      <c r="I26" s="18">
        <v>1509</v>
      </c>
      <c r="J26" s="18">
        <v>1922</v>
      </c>
      <c r="K26" s="18">
        <v>1733</v>
      </c>
      <c r="L26" s="18">
        <v>2194</v>
      </c>
      <c r="M26" s="100">
        <f t="shared" ref="M26:M29" si="7">(L26-B26)/B26</f>
        <v>1.4057017543859649</v>
      </c>
      <c r="N26" s="100">
        <f t="shared" si="6"/>
        <v>0.2660126947489902</v>
      </c>
      <c r="O26" s="14">
        <f t="shared" si="5"/>
        <v>9.2382837172091462E-2</v>
      </c>
    </row>
    <row r="27" spans="1:15" x14ac:dyDescent="0.25">
      <c r="A27" s="85" t="s">
        <v>3</v>
      </c>
      <c r="B27" s="85">
        <v>2840</v>
      </c>
      <c r="C27" s="85">
        <v>3054</v>
      </c>
      <c r="D27" s="85">
        <v>2666</v>
      </c>
      <c r="E27" s="85">
        <v>3680</v>
      </c>
      <c r="F27" s="18">
        <v>2572</v>
      </c>
      <c r="G27" s="18">
        <v>4120</v>
      </c>
      <c r="H27" s="18">
        <v>3818</v>
      </c>
      <c r="I27" s="18">
        <v>3066</v>
      </c>
      <c r="J27" s="18">
        <v>3056</v>
      </c>
      <c r="K27" s="18">
        <v>3227</v>
      </c>
      <c r="L27" s="18">
        <v>2738</v>
      </c>
      <c r="M27" s="100">
        <f t="shared" si="7"/>
        <v>-3.591549295774648E-2</v>
      </c>
      <c r="N27" s="100">
        <f t="shared" si="6"/>
        <v>-0.15153393244499536</v>
      </c>
      <c r="O27" s="14">
        <f t="shared" si="5"/>
        <v>0.11528906480272853</v>
      </c>
    </row>
    <row r="28" spans="1:15" x14ac:dyDescent="0.25">
      <c r="A28" s="85" t="s">
        <v>101</v>
      </c>
      <c r="B28" s="85">
        <v>3917</v>
      </c>
      <c r="C28" s="85">
        <v>4857</v>
      </c>
      <c r="D28" s="85">
        <v>5200</v>
      </c>
      <c r="E28" s="85">
        <v>4106</v>
      </c>
      <c r="F28" s="18">
        <v>6037</v>
      </c>
      <c r="G28" s="18">
        <v>7223</v>
      </c>
      <c r="H28" s="18">
        <v>7739</v>
      </c>
      <c r="I28" s="18">
        <v>8698</v>
      </c>
      <c r="J28" s="18">
        <v>11325</v>
      </c>
      <c r="K28" s="18">
        <v>16519</v>
      </c>
      <c r="L28" s="18">
        <v>17941</v>
      </c>
      <c r="M28" s="100">
        <f t="shared" si="7"/>
        <v>3.5802910390605054</v>
      </c>
      <c r="N28" s="100">
        <f t="shared" si="6"/>
        <v>8.608269265694049E-2</v>
      </c>
      <c r="O28" s="14">
        <f t="shared" si="5"/>
        <v>0.7554423344140806</v>
      </c>
    </row>
    <row r="29" spans="1:15" x14ac:dyDescent="0.25">
      <c r="A29" s="5" t="s">
        <v>4</v>
      </c>
      <c r="B29" s="5">
        <v>7669</v>
      </c>
      <c r="C29" s="5">
        <v>8805</v>
      </c>
      <c r="D29" s="5">
        <v>8856</v>
      </c>
      <c r="E29" s="5">
        <v>8732</v>
      </c>
      <c r="F29" s="17">
        <v>9694</v>
      </c>
      <c r="G29" s="17">
        <v>12588</v>
      </c>
      <c r="H29" s="17">
        <v>12926</v>
      </c>
      <c r="I29" s="17">
        <v>13529</v>
      </c>
      <c r="J29" s="17">
        <v>18953</v>
      </c>
      <c r="K29" s="17">
        <v>22653</v>
      </c>
      <c r="L29" s="17">
        <v>23749</v>
      </c>
      <c r="M29" s="83">
        <f t="shared" si="7"/>
        <v>2.096753162081106</v>
      </c>
      <c r="N29" s="83">
        <f t="shared" si="6"/>
        <v>4.8382112744448862E-2</v>
      </c>
      <c r="O29" s="16">
        <f t="shared" si="5"/>
        <v>1</v>
      </c>
    </row>
    <row r="30" spans="1:15" x14ac:dyDescent="0.2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</row>
    <row r="31" spans="1:15" ht="15.75" x14ac:dyDescent="0.25">
      <c r="A31" s="41" t="s">
        <v>264</v>
      </c>
      <c r="B31" s="41"/>
      <c r="C31" s="41"/>
      <c r="D31" s="41"/>
      <c r="E31" s="41"/>
      <c r="F31" s="40"/>
      <c r="G31" s="40"/>
      <c r="H31" s="40"/>
      <c r="I31" s="40"/>
      <c r="J31" s="40"/>
      <c r="K31" s="40"/>
      <c r="L31" s="40"/>
      <c r="M31" s="40"/>
      <c r="N31" s="40"/>
      <c r="O31" s="40"/>
    </row>
    <row r="32" spans="1:15" ht="25.5" x14ac:dyDescent="0.25">
      <c r="A32" s="88" t="s">
        <v>99</v>
      </c>
      <c r="B32" s="3">
        <v>2008</v>
      </c>
      <c r="C32" s="3">
        <v>2009</v>
      </c>
      <c r="D32" s="3">
        <v>2010</v>
      </c>
      <c r="E32" s="3">
        <v>2011</v>
      </c>
      <c r="F32" s="3">
        <v>2012</v>
      </c>
      <c r="G32" s="3">
        <v>2013</v>
      </c>
      <c r="H32" s="3">
        <v>2014</v>
      </c>
      <c r="I32" s="3">
        <v>2015</v>
      </c>
      <c r="J32" s="3">
        <v>2016</v>
      </c>
      <c r="K32" s="3">
        <v>2017</v>
      </c>
      <c r="L32" s="3">
        <v>2018</v>
      </c>
      <c r="M32" s="13" t="s">
        <v>395</v>
      </c>
      <c r="N32" s="13" t="s">
        <v>394</v>
      </c>
      <c r="O32" s="13" t="s">
        <v>313</v>
      </c>
    </row>
    <row r="33" spans="1:15" x14ac:dyDescent="0.25">
      <c r="A33" s="5" t="s">
        <v>235</v>
      </c>
      <c r="B33" s="5">
        <v>5025</v>
      </c>
      <c r="C33" s="5">
        <v>5563</v>
      </c>
      <c r="D33" s="5">
        <v>5304</v>
      </c>
      <c r="E33" s="5">
        <v>5576</v>
      </c>
      <c r="F33" s="23">
        <v>5875</v>
      </c>
      <c r="G33" s="23">
        <v>7822</v>
      </c>
      <c r="H33" s="23">
        <v>8151</v>
      </c>
      <c r="I33" s="23">
        <v>8297</v>
      </c>
      <c r="J33" s="23">
        <v>11663</v>
      </c>
      <c r="K33" s="23">
        <v>14340</v>
      </c>
      <c r="L33" s="23">
        <v>14333</v>
      </c>
      <c r="M33" s="83">
        <f>(L33-B33)/B33</f>
        <v>1.8523383084577114</v>
      </c>
      <c r="N33" s="83">
        <f>(L33-K33)/K33</f>
        <v>-4.881450488145049E-4</v>
      </c>
      <c r="O33" s="16">
        <f>L33/$L$9</f>
        <v>0.60352014821676703</v>
      </c>
    </row>
    <row r="34" spans="1:15" x14ac:dyDescent="0.25">
      <c r="A34" s="85" t="s">
        <v>100</v>
      </c>
      <c r="B34" s="85">
        <v>513</v>
      </c>
      <c r="C34" s="85">
        <v>448</v>
      </c>
      <c r="D34" s="85">
        <v>463</v>
      </c>
      <c r="E34" s="85">
        <v>456</v>
      </c>
      <c r="F34" s="24">
        <v>503</v>
      </c>
      <c r="G34" s="24">
        <v>613</v>
      </c>
      <c r="H34" s="24">
        <v>675</v>
      </c>
      <c r="I34" s="24">
        <v>749</v>
      </c>
      <c r="J34" s="24">
        <v>979</v>
      </c>
      <c r="K34" s="24">
        <v>936</v>
      </c>
      <c r="L34" s="24">
        <v>1088</v>
      </c>
      <c r="M34" s="100">
        <f t="shared" ref="M34:M41" si="8">(L34-B34)/B34</f>
        <v>1.1208576998050683</v>
      </c>
      <c r="N34" s="100">
        <f t="shared" ref="N34:N41" si="9">(L34-K34)/K34</f>
        <v>0.1623931623931624</v>
      </c>
      <c r="O34" s="14">
        <f t="shared" ref="O34:O41" si="10">L34/$L$9</f>
        <v>4.5812455261274157E-2</v>
      </c>
    </row>
    <row r="35" spans="1:15" x14ac:dyDescent="0.25">
      <c r="A35" s="85" t="s">
        <v>3</v>
      </c>
      <c r="B35" s="85">
        <v>2285</v>
      </c>
      <c r="C35" s="85">
        <v>2347</v>
      </c>
      <c r="D35" s="85">
        <v>1994</v>
      </c>
      <c r="E35" s="85">
        <v>2818</v>
      </c>
      <c r="F35" s="24">
        <v>2001</v>
      </c>
      <c r="G35" s="24">
        <v>3201</v>
      </c>
      <c r="H35" s="24">
        <v>2980</v>
      </c>
      <c r="I35" s="24">
        <v>2314</v>
      </c>
      <c r="J35" s="24">
        <v>4073</v>
      </c>
      <c r="K35" s="24">
        <v>3204</v>
      </c>
      <c r="L35" s="24">
        <v>2699</v>
      </c>
      <c r="M35" s="100">
        <f t="shared" si="8"/>
        <v>0.1811816192560175</v>
      </c>
      <c r="N35" s="100">
        <f t="shared" si="9"/>
        <v>-0.15761548064918851</v>
      </c>
      <c r="O35" s="14">
        <f t="shared" si="10"/>
        <v>0.11364689039538507</v>
      </c>
    </row>
    <row r="36" spans="1:15" x14ac:dyDescent="0.25">
      <c r="A36" s="85" t="s">
        <v>101</v>
      </c>
      <c r="B36" s="85">
        <v>2227</v>
      </c>
      <c r="C36" s="85">
        <v>2768</v>
      </c>
      <c r="D36" s="85">
        <v>2847</v>
      </c>
      <c r="E36" s="85">
        <v>2302</v>
      </c>
      <c r="F36" s="24">
        <v>3371</v>
      </c>
      <c r="G36" s="24">
        <v>4008</v>
      </c>
      <c r="H36" s="24">
        <v>4496</v>
      </c>
      <c r="I36" s="24">
        <v>5234</v>
      </c>
      <c r="J36" s="24">
        <v>6611</v>
      </c>
      <c r="K36" s="24">
        <v>10200</v>
      </c>
      <c r="L36" s="24">
        <v>10546</v>
      </c>
      <c r="M36" s="100">
        <f t="shared" si="8"/>
        <v>3.7355186349348899</v>
      </c>
      <c r="N36" s="100">
        <f t="shared" si="9"/>
        <v>3.3921568627450979E-2</v>
      </c>
      <c r="O36" s="14">
        <f t="shared" si="10"/>
        <v>0.44406080256010777</v>
      </c>
    </row>
    <row r="37" spans="1:15" x14ac:dyDescent="0.25">
      <c r="A37" s="5" t="s">
        <v>236</v>
      </c>
      <c r="B37" s="5">
        <v>2644</v>
      </c>
      <c r="C37" s="5">
        <v>3242</v>
      </c>
      <c r="D37" s="5">
        <v>3552</v>
      </c>
      <c r="E37" s="5">
        <v>3156</v>
      </c>
      <c r="F37" s="23">
        <v>3819</v>
      </c>
      <c r="G37" s="23">
        <v>4766</v>
      </c>
      <c r="H37" s="23">
        <v>4775</v>
      </c>
      <c r="I37" s="23">
        <v>5232</v>
      </c>
      <c r="J37" s="23">
        <v>7290</v>
      </c>
      <c r="K37" s="23">
        <v>8313</v>
      </c>
      <c r="L37" s="23">
        <v>9416</v>
      </c>
      <c r="M37" s="83">
        <f t="shared" si="8"/>
        <v>2.5612708018154313</v>
      </c>
      <c r="N37" s="83">
        <f t="shared" si="9"/>
        <v>0.13268374834596416</v>
      </c>
      <c r="O37" s="16">
        <f t="shared" si="10"/>
        <v>0.39647985178323297</v>
      </c>
    </row>
    <row r="38" spans="1:15" x14ac:dyDescent="0.25">
      <c r="A38" s="85" t="s">
        <v>100</v>
      </c>
      <c r="B38" s="85">
        <v>399</v>
      </c>
      <c r="C38" s="85">
        <v>408</v>
      </c>
      <c r="D38" s="85">
        <v>516</v>
      </c>
      <c r="E38" s="85">
        <v>477</v>
      </c>
      <c r="F38" s="24">
        <v>574</v>
      </c>
      <c r="G38" s="24">
        <v>617</v>
      </c>
      <c r="H38" s="24">
        <v>673</v>
      </c>
      <c r="I38" s="24">
        <v>760</v>
      </c>
      <c r="J38" s="24">
        <v>943</v>
      </c>
      <c r="K38" s="24">
        <v>797</v>
      </c>
      <c r="L38" s="24">
        <v>1106</v>
      </c>
      <c r="M38" s="100">
        <f t="shared" si="8"/>
        <v>1.7719298245614035</v>
      </c>
      <c r="N38" s="100">
        <f t="shared" si="9"/>
        <v>0.38770388958594731</v>
      </c>
      <c r="O38" s="14">
        <f t="shared" si="10"/>
        <v>4.6570381910817298E-2</v>
      </c>
    </row>
    <row r="39" spans="1:15" x14ac:dyDescent="0.25">
      <c r="A39" s="85" t="s">
        <v>3</v>
      </c>
      <c r="B39" s="85">
        <v>555</v>
      </c>
      <c r="C39" s="85">
        <v>735</v>
      </c>
      <c r="D39" s="85">
        <v>672</v>
      </c>
      <c r="E39" s="85">
        <v>862</v>
      </c>
      <c r="F39" s="24">
        <v>571</v>
      </c>
      <c r="G39" s="24">
        <v>919</v>
      </c>
      <c r="H39" s="24">
        <v>857</v>
      </c>
      <c r="I39" s="24">
        <v>881</v>
      </c>
      <c r="J39" s="24">
        <v>1250</v>
      </c>
      <c r="K39" s="24">
        <v>957</v>
      </c>
      <c r="L39" s="24">
        <v>803</v>
      </c>
      <c r="M39" s="100">
        <f t="shared" si="8"/>
        <v>0.44684684684684683</v>
      </c>
      <c r="N39" s="100">
        <f t="shared" si="9"/>
        <v>-0.16091954022988506</v>
      </c>
      <c r="O39" s="14">
        <f t="shared" si="10"/>
        <v>3.381194997684113E-2</v>
      </c>
    </row>
    <row r="40" spans="1:15" x14ac:dyDescent="0.25">
      <c r="A40" s="85" t="s">
        <v>101</v>
      </c>
      <c r="B40" s="85">
        <v>1690</v>
      </c>
      <c r="C40" s="85">
        <v>2099</v>
      </c>
      <c r="D40" s="85">
        <v>2364</v>
      </c>
      <c r="E40" s="85">
        <v>1817</v>
      </c>
      <c r="F40" s="24">
        <v>2674</v>
      </c>
      <c r="G40" s="24">
        <v>3230</v>
      </c>
      <c r="H40" s="24">
        <v>3245</v>
      </c>
      <c r="I40" s="24">
        <v>3591</v>
      </c>
      <c r="J40" s="24">
        <v>5097</v>
      </c>
      <c r="K40" s="24">
        <v>6559</v>
      </c>
      <c r="L40" s="24">
        <v>7507</v>
      </c>
      <c r="M40" s="100">
        <f t="shared" si="8"/>
        <v>3.4420118343195267</v>
      </c>
      <c r="N40" s="100">
        <f t="shared" si="9"/>
        <v>0.14453422777862479</v>
      </c>
      <c r="O40" s="14">
        <f t="shared" si="10"/>
        <v>0.31609751989557455</v>
      </c>
    </row>
    <row r="41" spans="1:15" x14ac:dyDescent="0.25">
      <c r="A41" s="5" t="s">
        <v>4</v>
      </c>
      <c r="B41" s="5">
        <f>SUM(B33,B37)</f>
        <v>7669</v>
      </c>
      <c r="C41" s="5">
        <f t="shared" ref="C41:L41" si="11">SUM(C33,C37)</f>
        <v>8805</v>
      </c>
      <c r="D41" s="5">
        <f t="shared" si="11"/>
        <v>8856</v>
      </c>
      <c r="E41" s="5">
        <f t="shared" si="11"/>
        <v>8732</v>
      </c>
      <c r="F41" s="5">
        <f t="shared" si="11"/>
        <v>9694</v>
      </c>
      <c r="G41" s="5">
        <f t="shared" si="11"/>
        <v>12588</v>
      </c>
      <c r="H41" s="5">
        <f t="shared" si="11"/>
        <v>12926</v>
      </c>
      <c r="I41" s="5">
        <f t="shared" si="11"/>
        <v>13529</v>
      </c>
      <c r="J41" s="5">
        <f t="shared" si="11"/>
        <v>18953</v>
      </c>
      <c r="K41" s="5">
        <f t="shared" si="11"/>
        <v>22653</v>
      </c>
      <c r="L41" s="5">
        <f t="shared" si="11"/>
        <v>23749</v>
      </c>
      <c r="M41" s="83">
        <f t="shared" si="8"/>
        <v>2.096753162081106</v>
      </c>
      <c r="N41" s="83">
        <f t="shared" si="9"/>
        <v>4.8382112744448862E-2</v>
      </c>
      <c r="O41" s="16">
        <f t="shared" si="10"/>
        <v>1</v>
      </c>
    </row>
    <row r="42" spans="1:15" x14ac:dyDescent="0.25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</row>
    <row r="43" spans="1:15" x14ac:dyDescent="0.25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</row>
    <row r="44" spans="1:15" x14ac:dyDescent="0.25">
      <c r="A44" s="70" t="s">
        <v>272</v>
      </c>
      <c r="B44" s="70"/>
      <c r="C44" s="70"/>
      <c r="D44" s="70"/>
      <c r="E44" s="70"/>
      <c r="F44" s="40"/>
      <c r="G44" s="40"/>
      <c r="H44" s="40"/>
      <c r="I44" s="40"/>
      <c r="J44" s="40"/>
      <c r="K44" s="40"/>
      <c r="L44" s="40"/>
      <c r="M44" s="40"/>
      <c r="N44" s="40"/>
      <c r="O44" s="40"/>
    </row>
    <row r="45" spans="1:15" x14ac:dyDescent="0.2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</row>
    <row r="46" spans="1:15" x14ac:dyDescent="0.25">
      <c r="A46" s="71" t="s">
        <v>21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</row>
    <row r="47" spans="1:15" x14ac:dyDescent="0.25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</row>
    <row r="48" spans="1:15" x14ac:dyDescent="0.2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</row>
    <row r="49" spans="2:15" x14ac:dyDescent="0.25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</row>
    <row r="50" spans="2:15" x14ac:dyDescent="0.25"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</row>
    <row r="51" spans="2:15" x14ac:dyDescent="0.25"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</row>
    <row r="52" spans="2:15" x14ac:dyDescent="0.25"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</row>
  </sheetData>
  <hyperlinks>
    <hyperlink ref="A46" location="Indice!A5" display="Volver al índice" xr:uid="{00000000-0004-0000-0800-000000000000}"/>
  </hyperlinks>
  <pageMargins left="0.7" right="0.7" top="0.75" bottom="0.75" header="0.3" footer="0.3"/>
  <pageSetup orientation="portrait" verticalDpi="0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47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10" defaultColWidth="10.85546875" defaultRowHeight="15" x14ac:dyDescent="0.25"/>
  <cols>
    <col min="1" max="1" width="55.28515625" style="1" customWidth="1"/>
    <col min="2" max="5" width="16.7109375" style="45" customWidth="1"/>
    <col min="6" max="16384" width="10.85546875" style="2"/>
  </cols>
  <sheetData>
    <row r="1" spans="1:5" ht="21" x14ac:dyDescent="0.25">
      <c r="A1" s="66" t="s">
        <v>389</v>
      </c>
      <c r="B1" s="46"/>
      <c r="C1" s="46"/>
      <c r="D1" s="46"/>
      <c r="E1" s="46"/>
    </row>
    <row r="2" spans="1:5" ht="18.75" x14ac:dyDescent="0.25">
      <c r="A2" s="38"/>
      <c r="B2" s="46"/>
      <c r="C2" s="46"/>
      <c r="D2" s="46"/>
      <c r="E2" s="46"/>
    </row>
    <row r="3" spans="1:5" x14ac:dyDescent="0.25">
      <c r="A3" s="40"/>
      <c r="B3" s="46"/>
      <c r="C3" s="46"/>
      <c r="D3" s="46"/>
      <c r="E3" s="46"/>
    </row>
    <row r="4" spans="1:5" ht="25.5" x14ac:dyDescent="0.25">
      <c r="A4" s="42" t="s">
        <v>107</v>
      </c>
      <c r="B4" s="52" t="s">
        <v>390</v>
      </c>
      <c r="C4" s="52" t="s">
        <v>391</v>
      </c>
      <c r="D4" s="52" t="s">
        <v>392</v>
      </c>
      <c r="E4" s="52" t="s">
        <v>393</v>
      </c>
    </row>
    <row r="5" spans="1:5" x14ac:dyDescent="0.25">
      <c r="A5" s="4" t="s">
        <v>321</v>
      </c>
      <c r="B5" s="43">
        <v>9</v>
      </c>
      <c r="C5" s="43"/>
      <c r="D5" s="43"/>
      <c r="E5" s="44">
        <v>9</v>
      </c>
    </row>
    <row r="6" spans="1:5" x14ac:dyDescent="0.25">
      <c r="A6" s="4" t="s">
        <v>322</v>
      </c>
      <c r="B6" s="43">
        <v>33</v>
      </c>
      <c r="C6" s="43"/>
      <c r="D6" s="43"/>
      <c r="E6" s="44">
        <v>33</v>
      </c>
    </row>
    <row r="7" spans="1:5" x14ac:dyDescent="0.25">
      <c r="A7" s="4" t="s">
        <v>108</v>
      </c>
      <c r="B7" s="43">
        <v>21</v>
      </c>
      <c r="C7" s="43"/>
      <c r="D7" s="43"/>
      <c r="E7" s="44">
        <v>21</v>
      </c>
    </row>
    <row r="8" spans="1:5" x14ac:dyDescent="0.25">
      <c r="A8" s="4" t="s">
        <v>109</v>
      </c>
      <c r="B8" s="43">
        <v>446</v>
      </c>
      <c r="C8" s="43"/>
      <c r="D8" s="43"/>
      <c r="E8" s="44">
        <v>446</v>
      </c>
    </row>
    <row r="9" spans="1:5" x14ac:dyDescent="0.25">
      <c r="A9" s="4" t="s">
        <v>268</v>
      </c>
      <c r="B9" s="43">
        <v>35</v>
      </c>
      <c r="C9" s="43"/>
      <c r="D9" s="43"/>
      <c r="E9" s="44">
        <v>35</v>
      </c>
    </row>
    <row r="10" spans="1:5" x14ac:dyDescent="0.25">
      <c r="A10" s="4" t="s">
        <v>110</v>
      </c>
      <c r="B10" s="43">
        <v>546</v>
      </c>
      <c r="C10" s="43"/>
      <c r="D10" s="43"/>
      <c r="E10" s="44">
        <v>546</v>
      </c>
    </row>
    <row r="11" spans="1:5" x14ac:dyDescent="0.25">
      <c r="A11" s="4" t="s">
        <v>111</v>
      </c>
      <c r="B11" s="43">
        <v>637</v>
      </c>
      <c r="C11" s="43"/>
      <c r="D11" s="43"/>
      <c r="E11" s="44">
        <v>637</v>
      </c>
    </row>
    <row r="12" spans="1:5" x14ac:dyDescent="0.25">
      <c r="A12" s="4" t="s">
        <v>112</v>
      </c>
      <c r="B12" s="43">
        <v>23</v>
      </c>
      <c r="C12" s="43"/>
      <c r="D12" s="43"/>
      <c r="E12" s="44">
        <v>23</v>
      </c>
    </row>
    <row r="13" spans="1:5" x14ac:dyDescent="0.25">
      <c r="A13" s="4" t="s">
        <v>113</v>
      </c>
      <c r="B13" s="43">
        <v>662</v>
      </c>
      <c r="C13" s="43"/>
      <c r="D13" s="43"/>
      <c r="E13" s="44">
        <v>662</v>
      </c>
    </row>
    <row r="14" spans="1:5" x14ac:dyDescent="0.25">
      <c r="A14" s="4" t="s">
        <v>323</v>
      </c>
      <c r="B14" s="43">
        <v>15</v>
      </c>
      <c r="C14" s="43"/>
      <c r="D14" s="43"/>
      <c r="E14" s="44">
        <v>15</v>
      </c>
    </row>
    <row r="15" spans="1:5" x14ac:dyDescent="0.25">
      <c r="A15" s="4" t="s">
        <v>114</v>
      </c>
      <c r="B15" s="43">
        <v>4</v>
      </c>
      <c r="C15" s="43"/>
      <c r="D15" s="43">
        <v>5</v>
      </c>
      <c r="E15" s="44">
        <v>9</v>
      </c>
    </row>
    <row r="16" spans="1:5" x14ac:dyDescent="0.25">
      <c r="A16" s="4" t="s">
        <v>115</v>
      </c>
      <c r="B16" s="43">
        <v>807</v>
      </c>
      <c r="C16" s="43"/>
      <c r="D16" s="43"/>
      <c r="E16" s="44">
        <v>807</v>
      </c>
    </row>
    <row r="17" spans="1:5" x14ac:dyDescent="0.25">
      <c r="A17" s="4" t="s">
        <v>324</v>
      </c>
      <c r="B17" s="43">
        <v>18</v>
      </c>
      <c r="C17" s="43"/>
      <c r="D17" s="43"/>
      <c r="E17" s="44">
        <v>18</v>
      </c>
    </row>
    <row r="18" spans="1:5" x14ac:dyDescent="0.25">
      <c r="A18" s="4" t="s">
        <v>116</v>
      </c>
      <c r="B18" s="43">
        <v>679</v>
      </c>
      <c r="C18" s="43"/>
      <c r="D18" s="43"/>
      <c r="E18" s="44">
        <v>679</v>
      </c>
    </row>
    <row r="19" spans="1:5" x14ac:dyDescent="0.25">
      <c r="A19" s="4" t="s">
        <v>117</v>
      </c>
      <c r="B19" s="43">
        <v>402</v>
      </c>
      <c r="C19" s="43"/>
      <c r="D19" s="43"/>
      <c r="E19" s="44">
        <v>402</v>
      </c>
    </row>
    <row r="20" spans="1:5" x14ac:dyDescent="0.25">
      <c r="A20" s="4" t="s">
        <v>118</v>
      </c>
      <c r="B20" s="43">
        <v>181</v>
      </c>
      <c r="C20" s="43"/>
      <c r="D20" s="43"/>
      <c r="E20" s="44">
        <v>181</v>
      </c>
    </row>
    <row r="21" spans="1:5" x14ac:dyDescent="0.25">
      <c r="A21" s="4" t="s">
        <v>119</v>
      </c>
      <c r="B21" s="43">
        <v>140</v>
      </c>
      <c r="C21" s="43"/>
      <c r="D21" s="43"/>
      <c r="E21" s="44">
        <v>140</v>
      </c>
    </row>
    <row r="22" spans="1:5" x14ac:dyDescent="0.25">
      <c r="A22" s="4" t="s">
        <v>325</v>
      </c>
      <c r="B22" s="43">
        <v>86</v>
      </c>
      <c r="C22" s="43"/>
      <c r="D22" s="43"/>
      <c r="E22" s="44">
        <v>86</v>
      </c>
    </row>
    <row r="23" spans="1:5" x14ac:dyDescent="0.25">
      <c r="A23" s="4" t="s">
        <v>326</v>
      </c>
      <c r="B23" s="43">
        <v>52</v>
      </c>
      <c r="C23" s="43"/>
      <c r="D23" s="43"/>
      <c r="E23" s="44">
        <v>52</v>
      </c>
    </row>
    <row r="24" spans="1:5" x14ac:dyDescent="0.25">
      <c r="A24" s="4" t="s">
        <v>120</v>
      </c>
      <c r="B24" s="43">
        <v>28</v>
      </c>
      <c r="C24" s="43"/>
      <c r="D24" s="43"/>
      <c r="E24" s="44">
        <v>28</v>
      </c>
    </row>
    <row r="25" spans="1:5" x14ac:dyDescent="0.25">
      <c r="A25" s="4" t="s">
        <v>121</v>
      </c>
      <c r="B25" s="43">
        <v>764</v>
      </c>
      <c r="C25" s="43"/>
      <c r="D25" s="43"/>
      <c r="E25" s="44">
        <v>764</v>
      </c>
    </row>
    <row r="26" spans="1:5" x14ac:dyDescent="0.25">
      <c r="A26" s="4" t="s">
        <v>122</v>
      </c>
      <c r="B26" s="43">
        <v>12787</v>
      </c>
      <c r="C26" s="43"/>
      <c r="D26" s="43"/>
      <c r="E26" s="44">
        <v>12787</v>
      </c>
    </row>
    <row r="27" spans="1:5" x14ac:dyDescent="0.25">
      <c r="A27" s="4" t="s">
        <v>123</v>
      </c>
      <c r="B27" s="43">
        <v>223</v>
      </c>
      <c r="C27" s="43"/>
      <c r="D27" s="43"/>
      <c r="E27" s="44">
        <v>223</v>
      </c>
    </row>
    <row r="28" spans="1:5" x14ac:dyDescent="0.25">
      <c r="A28" s="4" t="s">
        <v>124</v>
      </c>
      <c r="B28" s="43">
        <v>122</v>
      </c>
      <c r="C28" s="43"/>
      <c r="D28" s="43"/>
      <c r="E28" s="44">
        <v>122</v>
      </c>
    </row>
    <row r="29" spans="1:5" x14ac:dyDescent="0.25">
      <c r="A29" s="4" t="s">
        <v>125</v>
      </c>
      <c r="B29" s="43">
        <v>483</v>
      </c>
      <c r="C29" s="43"/>
      <c r="D29" s="43"/>
      <c r="E29" s="44">
        <v>483</v>
      </c>
    </row>
    <row r="30" spans="1:5" x14ac:dyDescent="0.25">
      <c r="A30" s="4" t="s">
        <v>126</v>
      </c>
      <c r="B30" s="43">
        <v>274</v>
      </c>
      <c r="C30" s="43"/>
      <c r="D30" s="43"/>
      <c r="E30" s="44">
        <v>274</v>
      </c>
    </row>
    <row r="31" spans="1:5" x14ac:dyDescent="0.25">
      <c r="A31" s="4" t="s">
        <v>127</v>
      </c>
      <c r="B31" s="43">
        <v>346</v>
      </c>
      <c r="C31" s="43"/>
      <c r="D31" s="43"/>
      <c r="E31" s="44">
        <v>346</v>
      </c>
    </row>
    <row r="32" spans="1:5" x14ac:dyDescent="0.25">
      <c r="A32" s="4" t="s">
        <v>128</v>
      </c>
      <c r="B32" s="43">
        <v>88</v>
      </c>
      <c r="C32" s="43"/>
      <c r="D32" s="43"/>
      <c r="E32" s="44">
        <v>88</v>
      </c>
    </row>
    <row r="33" spans="1:5" x14ac:dyDescent="0.25">
      <c r="A33" s="4" t="s">
        <v>129</v>
      </c>
      <c r="B33" s="43">
        <v>660</v>
      </c>
      <c r="C33" s="43"/>
      <c r="D33" s="43"/>
      <c r="E33" s="44">
        <v>660</v>
      </c>
    </row>
    <row r="34" spans="1:5" x14ac:dyDescent="0.25">
      <c r="A34" s="4" t="s">
        <v>130</v>
      </c>
      <c r="B34" s="43">
        <v>439</v>
      </c>
      <c r="C34" s="43"/>
      <c r="D34" s="43"/>
      <c r="E34" s="44">
        <v>439</v>
      </c>
    </row>
    <row r="35" spans="1:5" x14ac:dyDescent="0.25">
      <c r="A35" s="4" t="s">
        <v>310</v>
      </c>
      <c r="B35" s="43">
        <v>45</v>
      </c>
      <c r="C35" s="43"/>
      <c r="D35" s="43"/>
      <c r="E35" s="44">
        <v>45</v>
      </c>
    </row>
    <row r="36" spans="1:5" x14ac:dyDescent="0.25">
      <c r="A36" s="4" t="s">
        <v>131</v>
      </c>
      <c r="B36" s="43">
        <v>232</v>
      </c>
      <c r="C36" s="43"/>
      <c r="D36" s="43"/>
      <c r="E36" s="44">
        <v>232</v>
      </c>
    </row>
    <row r="37" spans="1:5" x14ac:dyDescent="0.25">
      <c r="A37" s="4" t="s">
        <v>132</v>
      </c>
      <c r="B37" s="43">
        <v>100</v>
      </c>
      <c r="C37" s="43"/>
      <c r="D37" s="43"/>
      <c r="E37" s="44">
        <v>100</v>
      </c>
    </row>
    <row r="38" spans="1:5" x14ac:dyDescent="0.25">
      <c r="A38" s="4" t="s">
        <v>133</v>
      </c>
      <c r="B38" s="43">
        <v>826</v>
      </c>
      <c r="C38" s="43"/>
      <c r="D38" s="43"/>
      <c r="E38" s="44">
        <v>826</v>
      </c>
    </row>
    <row r="39" spans="1:5" x14ac:dyDescent="0.25">
      <c r="A39" s="4" t="s">
        <v>134</v>
      </c>
      <c r="B39" s="43">
        <v>45</v>
      </c>
      <c r="C39" s="43"/>
      <c r="D39" s="43"/>
      <c r="E39" s="44">
        <v>45</v>
      </c>
    </row>
    <row r="40" spans="1:5" x14ac:dyDescent="0.25">
      <c r="A40" s="4" t="s">
        <v>135</v>
      </c>
      <c r="B40" s="43">
        <v>50</v>
      </c>
      <c r="C40" s="43"/>
      <c r="D40" s="43"/>
      <c r="E40" s="44">
        <v>50</v>
      </c>
    </row>
    <row r="41" spans="1:5" x14ac:dyDescent="0.25">
      <c r="A41" s="4" t="s">
        <v>327</v>
      </c>
      <c r="B41" s="43">
        <v>1011</v>
      </c>
      <c r="C41" s="43"/>
      <c r="D41" s="43"/>
      <c r="E41" s="44">
        <v>1011</v>
      </c>
    </row>
    <row r="42" spans="1:5" x14ac:dyDescent="0.25">
      <c r="A42" s="4" t="s">
        <v>328</v>
      </c>
      <c r="B42" s="43">
        <v>1068</v>
      </c>
      <c r="C42" s="43"/>
      <c r="D42" s="43"/>
      <c r="E42" s="44">
        <v>1068</v>
      </c>
    </row>
    <row r="43" spans="1:5" x14ac:dyDescent="0.25">
      <c r="A43" s="4" t="s">
        <v>136</v>
      </c>
      <c r="B43" s="43">
        <v>9543</v>
      </c>
      <c r="C43" s="43"/>
      <c r="D43" s="43"/>
      <c r="E43" s="44">
        <v>9543</v>
      </c>
    </row>
    <row r="44" spans="1:5" x14ac:dyDescent="0.25">
      <c r="A44" s="4" t="s">
        <v>137</v>
      </c>
      <c r="B44" s="43">
        <v>315</v>
      </c>
      <c r="C44" s="43"/>
      <c r="D44" s="43"/>
      <c r="E44" s="44">
        <v>315</v>
      </c>
    </row>
    <row r="45" spans="1:5" x14ac:dyDescent="0.25">
      <c r="A45" s="4" t="s">
        <v>329</v>
      </c>
      <c r="B45" s="43">
        <v>184</v>
      </c>
      <c r="C45" s="43"/>
      <c r="D45" s="43"/>
      <c r="E45" s="44">
        <v>184</v>
      </c>
    </row>
    <row r="46" spans="1:5" x14ac:dyDescent="0.25">
      <c r="A46" s="4" t="s">
        <v>330</v>
      </c>
      <c r="B46" s="43">
        <v>10</v>
      </c>
      <c r="C46" s="43"/>
      <c r="D46" s="43"/>
      <c r="E46" s="44">
        <v>10</v>
      </c>
    </row>
    <row r="47" spans="1:5" x14ac:dyDescent="0.25">
      <c r="A47" s="4" t="s">
        <v>138</v>
      </c>
      <c r="B47" s="43">
        <v>89</v>
      </c>
      <c r="C47" s="43"/>
      <c r="D47" s="43"/>
      <c r="E47" s="44">
        <v>89</v>
      </c>
    </row>
    <row r="48" spans="1:5" x14ac:dyDescent="0.25">
      <c r="A48" s="4" t="s">
        <v>139</v>
      </c>
      <c r="B48" s="43">
        <v>22374</v>
      </c>
      <c r="C48" s="43"/>
      <c r="D48" s="43"/>
      <c r="E48" s="44">
        <v>22374</v>
      </c>
    </row>
    <row r="49" spans="1:5" x14ac:dyDescent="0.25">
      <c r="A49" s="4" t="s">
        <v>140</v>
      </c>
      <c r="B49" s="43">
        <v>276</v>
      </c>
      <c r="C49" s="43"/>
      <c r="D49" s="43"/>
      <c r="E49" s="44">
        <v>276</v>
      </c>
    </row>
    <row r="50" spans="1:5" x14ac:dyDescent="0.25">
      <c r="A50" s="4" t="s">
        <v>331</v>
      </c>
      <c r="B50" s="43">
        <v>31</v>
      </c>
      <c r="C50" s="43"/>
      <c r="D50" s="43"/>
      <c r="E50" s="44">
        <v>31</v>
      </c>
    </row>
    <row r="51" spans="1:5" x14ac:dyDescent="0.25">
      <c r="A51" s="4" t="s">
        <v>141</v>
      </c>
      <c r="B51" s="43">
        <v>203</v>
      </c>
      <c r="C51" s="43"/>
      <c r="D51" s="43"/>
      <c r="E51" s="44">
        <v>203</v>
      </c>
    </row>
    <row r="52" spans="1:5" x14ac:dyDescent="0.25">
      <c r="A52" s="4" t="s">
        <v>142</v>
      </c>
      <c r="B52" s="43">
        <v>447</v>
      </c>
      <c r="C52" s="43"/>
      <c r="D52" s="43"/>
      <c r="E52" s="44">
        <v>447</v>
      </c>
    </row>
    <row r="53" spans="1:5" x14ac:dyDescent="0.25">
      <c r="A53" s="4" t="s">
        <v>311</v>
      </c>
      <c r="B53" s="43">
        <v>5</v>
      </c>
      <c r="C53" s="43"/>
      <c r="D53" s="43"/>
      <c r="E53" s="44">
        <v>5</v>
      </c>
    </row>
    <row r="54" spans="1:5" x14ac:dyDescent="0.25">
      <c r="A54" s="4" t="s">
        <v>143</v>
      </c>
      <c r="B54" s="43">
        <v>4292</v>
      </c>
      <c r="C54" s="43"/>
      <c r="D54" s="43"/>
      <c r="E54" s="44">
        <v>4292</v>
      </c>
    </row>
    <row r="55" spans="1:5" x14ac:dyDescent="0.25">
      <c r="A55" s="4" t="s">
        <v>144</v>
      </c>
      <c r="B55" s="43">
        <v>4</v>
      </c>
      <c r="C55" s="43"/>
      <c r="D55" s="43"/>
      <c r="E55" s="44">
        <v>4</v>
      </c>
    </row>
    <row r="56" spans="1:5" x14ac:dyDescent="0.25">
      <c r="A56" s="4" t="s">
        <v>145</v>
      </c>
      <c r="B56" s="43">
        <v>29</v>
      </c>
      <c r="C56" s="43"/>
      <c r="D56" s="43"/>
      <c r="E56" s="44">
        <v>29</v>
      </c>
    </row>
    <row r="57" spans="1:5" x14ac:dyDescent="0.25">
      <c r="A57" s="4" t="s">
        <v>146</v>
      </c>
      <c r="B57" s="43">
        <v>56</v>
      </c>
      <c r="C57" s="43"/>
      <c r="D57" s="43"/>
      <c r="E57" s="44">
        <v>56</v>
      </c>
    </row>
    <row r="58" spans="1:5" x14ac:dyDescent="0.25">
      <c r="A58" s="4" t="s">
        <v>147</v>
      </c>
      <c r="B58" s="43">
        <v>166</v>
      </c>
      <c r="C58" s="43"/>
      <c r="D58" s="43"/>
      <c r="E58" s="44">
        <v>166</v>
      </c>
    </row>
    <row r="59" spans="1:5" x14ac:dyDescent="0.25">
      <c r="A59" s="4" t="s">
        <v>148</v>
      </c>
      <c r="B59" s="43">
        <v>2797</v>
      </c>
      <c r="C59" s="43"/>
      <c r="D59" s="43"/>
      <c r="E59" s="44">
        <v>2797</v>
      </c>
    </row>
    <row r="60" spans="1:5" x14ac:dyDescent="0.25">
      <c r="A60" s="4" t="s">
        <v>149</v>
      </c>
      <c r="B60" s="43">
        <v>878</v>
      </c>
      <c r="C60" s="43"/>
      <c r="D60" s="43"/>
      <c r="E60" s="44">
        <v>878</v>
      </c>
    </row>
    <row r="61" spans="1:5" x14ac:dyDescent="0.25">
      <c r="A61" s="4" t="s">
        <v>150</v>
      </c>
      <c r="B61" s="43">
        <v>2519</v>
      </c>
      <c r="C61" s="43"/>
      <c r="D61" s="43"/>
      <c r="E61" s="44">
        <v>2519</v>
      </c>
    </row>
    <row r="62" spans="1:5" x14ac:dyDescent="0.25">
      <c r="A62" s="4" t="s">
        <v>151</v>
      </c>
      <c r="B62" s="43">
        <v>18619</v>
      </c>
      <c r="C62" s="43"/>
      <c r="D62" s="43"/>
      <c r="E62" s="44">
        <v>18619</v>
      </c>
    </row>
    <row r="63" spans="1:5" x14ac:dyDescent="0.25">
      <c r="A63" s="4" t="s">
        <v>152</v>
      </c>
      <c r="B63" s="43">
        <v>103</v>
      </c>
      <c r="C63" s="43"/>
      <c r="D63" s="43"/>
      <c r="E63" s="44">
        <v>103</v>
      </c>
    </row>
    <row r="64" spans="1:5" x14ac:dyDescent="0.25">
      <c r="A64" s="4" t="s">
        <v>312</v>
      </c>
      <c r="B64" s="43">
        <v>14</v>
      </c>
      <c r="C64" s="43"/>
      <c r="D64" s="43"/>
      <c r="E64" s="44">
        <v>14</v>
      </c>
    </row>
    <row r="65" spans="1:5" x14ac:dyDescent="0.25">
      <c r="A65" s="4" t="s">
        <v>153</v>
      </c>
      <c r="B65" s="43">
        <v>205</v>
      </c>
      <c r="C65" s="43"/>
      <c r="D65" s="43"/>
      <c r="E65" s="44">
        <v>205</v>
      </c>
    </row>
    <row r="66" spans="1:5" x14ac:dyDescent="0.25">
      <c r="A66" s="4" t="s">
        <v>154</v>
      </c>
      <c r="B66" s="43">
        <v>68</v>
      </c>
      <c r="C66" s="43"/>
      <c r="D66" s="43"/>
      <c r="E66" s="44">
        <v>68</v>
      </c>
    </row>
    <row r="67" spans="1:5" x14ac:dyDescent="0.25">
      <c r="A67" s="4" t="s">
        <v>155</v>
      </c>
      <c r="B67" s="43">
        <v>458</v>
      </c>
      <c r="C67" s="43"/>
      <c r="D67" s="43"/>
      <c r="E67" s="44">
        <v>458</v>
      </c>
    </row>
    <row r="68" spans="1:5" x14ac:dyDescent="0.25">
      <c r="A68" s="4" t="s">
        <v>156</v>
      </c>
      <c r="B68" s="43">
        <v>17</v>
      </c>
      <c r="C68" s="43"/>
      <c r="D68" s="43"/>
      <c r="E68" s="44">
        <v>17</v>
      </c>
    </row>
    <row r="69" spans="1:5" x14ac:dyDescent="0.25">
      <c r="A69" s="4" t="s">
        <v>157</v>
      </c>
      <c r="B69" s="43">
        <v>5767</v>
      </c>
      <c r="C69" s="43"/>
      <c r="D69" s="43"/>
      <c r="E69" s="44">
        <v>5767</v>
      </c>
    </row>
    <row r="70" spans="1:5" x14ac:dyDescent="0.25">
      <c r="A70" s="4" t="s">
        <v>158</v>
      </c>
      <c r="B70" s="43">
        <v>816</v>
      </c>
      <c r="C70" s="43"/>
      <c r="D70" s="43"/>
      <c r="E70" s="44">
        <v>816</v>
      </c>
    </row>
    <row r="71" spans="1:5" x14ac:dyDescent="0.25">
      <c r="A71" s="4" t="s">
        <v>159</v>
      </c>
      <c r="B71" s="43">
        <v>117</v>
      </c>
      <c r="C71" s="43"/>
      <c r="D71" s="43"/>
      <c r="E71" s="44">
        <v>117</v>
      </c>
    </row>
    <row r="72" spans="1:5" x14ac:dyDescent="0.25">
      <c r="A72" s="4" t="s">
        <v>160</v>
      </c>
      <c r="B72" s="43">
        <v>155</v>
      </c>
      <c r="C72" s="43"/>
      <c r="D72" s="43">
        <v>35</v>
      </c>
      <c r="E72" s="44">
        <v>190</v>
      </c>
    </row>
    <row r="73" spans="1:5" x14ac:dyDescent="0.25">
      <c r="A73" s="4" t="s">
        <v>161</v>
      </c>
      <c r="B73" s="43">
        <v>1307</v>
      </c>
      <c r="C73" s="43"/>
      <c r="D73" s="43"/>
      <c r="E73" s="44">
        <v>1307</v>
      </c>
    </row>
    <row r="74" spans="1:5" x14ac:dyDescent="0.25">
      <c r="A74" s="4" t="s">
        <v>162</v>
      </c>
      <c r="B74" s="43">
        <v>995</v>
      </c>
      <c r="C74" s="43"/>
      <c r="D74" s="43"/>
      <c r="E74" s="44">
        <v>995</v>
      </c>
    </row>
    <row r="75" spans="1:5" x14ac:dyDescent="0.25">
      <c r="A75" s="4" t="s">
        <v>163</v>
      </c>
      <c r="B75" s="43">
        <v>3481</v>
      </c>
      <c r="C75" s="43"/>
      <c r="D75" s="43"/>
      <c r="E75" s="44">
        <v>3481</v>
      </c>
    </row>
    <row r="76" spans="1:5" x14ac:dyDescent="0.25">
      <c r="A76" s="4" t="s">
        <v>319</v>
      </c>
      <c r="B76" s="43">
        <v>1922</v>
      </c>
      <c r="C76" s="43"/>
      <c r="D76" s="43">
        <v>836</v>
      </c>
      <c r="E76" s="44">
        <v>2758</v>
      </c>
    </row>
    <row r="77" spans="1:5" x14ac:dyDescent="0.25">
      <c r="A77" s="4" t="s">
        <v>164</v>
      </c>
      <c r="B77" s="43">
        <v>61</v>
      </c>
      <c r="C77" s="43"/>
      <c r="D77" s="43"/>
      <c r="E77" s="44">
        <v>61</v>
      </c>
    </row>
    <row r="78" spans="1:5" x14ac:dyDescent="0.25">
      <c r="A78" s="4" t="s">
        <v>165</v>
      </c>
      <c r="B78" s="43">
        <v>1594</v>
      </c>
      <c r="C78" s="43"/>
      <c r="D78" s="43"/>
      <c r="E78" s="44">
        <v>1594</v>
      </c>
    </row>
    <row r="79" spans="1:5" x14ac:dyDescent="0.25">
      <c r="A79" s="4" t="s">
        <v>166</v>
      </c>
      <c r="B79" s="43">
        <v>3082</v>
      </c>
      <c r="C79" s="43"/>
      <c r="D79" s="43"/>
      <c r="E79" s="44">
        <v>3082</v>
      </c>
    </row>
    <row r="80" spans="1:5" x14ac:dyDescent="0.25">
      <c r="A80" s="4" t="s">
        <v>167</v>
      </c>
      <c r="B80" s="43">
        <v>30</v>
      </c>
      <c r="C80" s="43"/>
      <c r="D80" s="43"/>
      <c r="E80" s="44">
        <v>30</v>
      </c>
    </row>
    <row r="81" spans="1:5" x14ac:dyDescent="0.25">
      <c r="A81" s="4" t="s">
        <v>168</v>
      </c>
      <c r="B81" s="43">
        <v>510</v>
      </c>
      <c r="C81" s="43"/>
      <c r="D81" s="43"/>
      <c r="E81" s="44">
        <v>510</v>
      </c>
    </row>
    <row r="82" spans="1:5" x14ac:dyDescent="0.25">
      <c r="A82" s="4" t="s">
        <v>169</v>
      </c>
      <c r="B82" s="43">
        <v>5218</v>
      </c>
      <c r="C82" s="43"/>
      <c r="D82" s="43"/>
      <c r="E82" s="44">
        <v>5218</v>
      </c>
    </row>
    <row r="83" spans="1:5" x14ac:dyDescent="0.25">
      <c r="A83" s="4" t="s">
        <v>170</v>
      </c>
      <c r="B83" s="43">
        <v>19</v>
      </c>
      <c r="C83" s="43"/>
      <c r="D83" s="43"/>
      <c r="E83" s="44">
        <v>19</v>
      </c>
    </row>
    <row r="84" spans="1:5" x14ac:dyDescent="0.25">
      <c r="A84" s="4" t="s">
        <v>171</v>
      </c>
      <c r="B84" s="43">
        <v>3118</v>
      </c>
      <c r="C84" s="43">
        <v>1480</v>
      </c>
      <c r="D84" s="43">
        <v>6216</v>
      </c>
      <c r="E84" s="44">
        <v>10814</v>
      </c>
    </row>
    <row r="85" spans="1:5" x14ac:dyDescent="0.25">
      <c r="A85" s="4" t="s">
        <v>172</v>
      </c>
      <c r="B85" s="43">
        <v>1639</v>
      </c>
      <c r="C85" s="43">
        <v>514</v>
      </c>
      <c r="D85" s="43">
        <v>176</v>
      </c>
      <c r="E85" s="44">
        <v>2329</v>
      </c>
    </row>
    <row r="86" spans="1:5" x14ac:dyDescent="0.25">
      <c r="A86" s="4" t="s">
        <v>173</v>
      </c>
      <c r="B86" s="43">
        <v>679</v>
      </c>
      <c r="C86" s="43">
        <v>56</v>
      </c>
      <c r="D86" s="43"/>
      <c r="E86" s="44">
        <v>735</v>
      </c>
    </row>
    <row r="87" spans="1:5" x14ac:dyDescent="0.25">
      <c r="A87" s="4" t="s">
        <v>174</v>
      </c>
      <c r="B87" s="43">
        <v>1210</v>
      </c>
      <c r="C87" s="43">
        <v>1307</v>
      </c>
      <c r="D87" s="43">
        <v>2400</v>
      </c>
      <c r="E87" s="44">
        <v>4917</v>
      </c>
    </row>
    <row r="88" spans="1:5" x14ac:dyDescent="0.25">
      <c r="A88" s="4" t="s">
        <v>175</v>
      </c>
      <c r="B88" s="43">
        <v>370</v>
      </c>
      <c r="C88" s="43">
        <v>40</v>
      </c>
      <c r="D88" s="43"/>
      <c r="E88" s="44">
        <v>410</v>
      </c>
    </row>
    <row r="89" spans="1:5" x14ac:dyDescent="0.25">
      <c r="A89" s="4" t="s">
        <v>176</v>
      </c>
      <c r="B89" s="43">
        <v>404</v>
      </c>
      <c r="C89" s="43">
        <v>132</v>
      </c>
      <c r="D89" s="43">
        <v>230</v>
      </c>
      <c r="E89" s="44">
        <v>766</v>
      </c>
    </row>
    <row r="90" spans="1:5" x14ac:dyDescent="0.25">
      <c r="A90" s="4" t="s">
        <v>177</v>
      </c>
      <c r="B90" s="43">
        <v>7582</v>
      </c>
      <c r="C90" s="43">
        <v>1839</v>
      </c>
      <c r="D90" s="43">
        <v>459</v>
      </c>
      <c r="E90" s="44">
        <v>9880</v>
      </c>
    </row>
    <row r="91" spans="1:5" x14ac:dyDescent="0.25">
      <c r="A91" s="4" t="s">
        <v>178</v>
      </c>
      <c r="B91" s="43">
        <v>3070</v>
      </c>
      <c r="C91" s="43">
        <v>357</v>
      </c>
      <c r="D91" s="43"/>
      <c r="E91" s="44">
        <v>3427</v>
      </c>
    </row>
    <row r="92" spans="1:5" x14ac:dyDescent="0.25">
      <c r="A92" s="4" t="s">
        <v>179</v>
      </c>
      <c r="B92" s="43">
        <v>1423</v>
      </c>
      <c r="C92" s="43">
        <v>231</v>
      </c>
      <c r="D92" s="43">
        <v>168</v>
      </c>
      <c r="E92" s="44">
        <v>1822</v>
      </c>
    </row>
    <row r="93" spans="1:5" x14ac:dyDescent="0.25">
      <c r="A93" s="4" t="s">
        <v>180</v>
      </c>
      <c r="B93" s="43">
        <v>2836</v>
      </c>
      <c r="C93" s="43">
        <v>105</v>
      </c>
      <c r="D93" s="43">
        <v>29</v>
      </c>
      <c r="E93" s="44">
        <v>2970</v>
      </c>
    </row>
    <row r="94" spans="1:5" x14ac:dyDescent="0.25">
      <c r="A94" s="4" t="s">
        <v>181</v>
      </c>
      <c r="B94" s="43">
        <v>499</v>
      </c>
      <c r="C94" s="43">
        <v>22</v>
      </c>
      <c r="D94" s="43">
        <v>258</v>
      </c>
      <c r="E94" s="44">
        <v>779</v>
      </c>
    </row>
    <row r="95" spans="1:5" x14ac:dyDescent="0.25">
      <c r="A95" s="4" t="s">
        <v>182</v>
      </c>
      <c r="B95" s="43">
        <v>1094</v>
      </c>
      <c r="C95" s="43">
        <v>9</v>
      </c>
      <c r="D95" s="43"/>
      <c r="E95" s="44">
        <v>1103</v>
      </c>
    </row>
    <row r="96" spans="1:5" x14ac:dyDescent="0.25">
      <c r="A96" s="4" t="s">
        <v>320</v>
      </c>
      <c r="B96" s="43">
        <v>765</v>
      </c>
      <c r="C96" s="43">
        <v>60</v>
      </c>
      <c r="D96" s="43">
        <v>223</v>
      </c>
      <c r="E96" s="44">
        <v>1048</v>
      </c>
    </row>
    <row r="97" spans="1:5" x14ac:dyDescent="0.25">
      <c r="A97" s="4" t="s">
        <v>183</v>
      </c>
      <c r="B97" s="43">
        <v>2419</v>
      </c>
      <c r="C97" s="43">
        <v>125</v>
      </c>
      <c r="D97" s="43">
        <v>268</v>
      </c>
      <c r="E97" s="44">
        <v>2812</v>
      </c>
    </row>
    <row r="98" spans="1:5" x14ac:dyDescent="0.25">
      <c r="A98" s="4" t="s">
        <v>184</v>
      </c>
      <c r="B98" s="43">
        <v>1051</v>
      </c>
      <c r="C98" s="43">
        <v>76</v>
      </c>
      <c r="D98" s="43">
        <v>508</v>
      </c>
      <c r="E98" s="44">
        <v>1635</v>
      </c>
    </row>
    <row r="99" spans="1:5" x14ac:dyDescent="0.25">
      <c r="A99" s="4" t="s">
        <v>185</v>
      </c>
      <c r="B99" s="43">
        <v>780</v>
      </c>
      <c r="C99" s="43">
        <v>85</v>
      </c>
      <c r="D99" s="43">
        <v>306</v>
      </c>
      <c r="E99" s="44">
        <v>1171</v>
      </c>
    </row>
    <row r="100" spans="1:5" x14ac:dyDescent="0.25">
      <c r="A100" s="4" t="s">
        <v>186</v>
      </c>
      <c r="B100" s="43">
        <v>1039</v>
      </c>
      <c r="C100" s="43">
        <v>178</v>
      </c>
      <c r="D100" s="43">
        <v>74</v>
      </c>
      <c r="E100" s="44">
        <v>1291</v>
      </c>
    </row>
    <row r="101" spans="1:5" x14ac:dyDescent="0.25">
      <c r="A101" s="4" t="s">
        <v>187</v>
      </c>
      <c r="B101" s="43">
        <v>2410</v>
      </c>
      <c r="C101" s="43">
        <v>273</v>
      </c>
      <c r="D101" s="43">
        <v>2123</v>
      </c>
      <c r="E101" s="44">
        <v>4806</v>
      </c>
    </row>
    <row r="102" spans="1:5" x14ac:dyDescent="0.25">
      <c r="A102" s="4" t="s">
        <v>188</v>
      </c>
      <c r="B102" s="43">
        <v>50</v>
      </c>
      <c r="C102" s="43"/>
      <c r="D102" s="43"/>
      <c r="E102" s="44">
        <v>50</v>
      </c>
    </row>
    <row r="103" spans="1:5" x14ac:dyDescent="0.25">
      <c r="A103" s="4" t="s">
        <v>189</v>
      </c>
      <c r="B103" s="43">
        <v>1504</v>
      </c>
      <c r="C103" s="43">
        <v>21</v>
      </c>
      <c r="D103" s="43">
        <v>147</v>
      </c>
      <c r="E103" s="44">
        <v>1672</v>
      </c>
    </row>
    <row r="104" spans="1:5" x14ac:dyDescent="0.25">
      <c r="A104" s="4" t="s">
        <v>190</v>
      </c>
      <c r="B104" s="43">
        <v>957</v>
      </c>
      <c r="C104" s="43">
        <v>80</v>
      </c>
      <c r="D104" s="43">
        <v>12</v>
      </c>
      <c r="E104" s="44">
        <v>1049</v>
      </c>
    </row>
    <row r="105" spans="1:5" x14ac:dyDescent="0.25">
      <c r="A105" s="4" t="s">
        <v>191</v>
      </c>
      <c r="B105" s="43">
        <v>535</v>
      </c>
      <c r="C105" s="43">
        <v>49</v>
      </c>
      <c r="D105" s="43"/>
      <c r="E105" s="44">
        <v>584</v>
      </c>
    </row>
    <row r="106" spans="1:5" x14ac:dyDescent="0.25">
      <c r="A106" s="4" t="s">
        <v>192</v>
      </c>
      <c r="B106" s="43">
        <v>762</v>
      </c>
      <c r="C106" s="43">
        <v>17</v>
      </c>
      <c r="D106" s="43"/>
      <c r="E106" s="44">
        <v>779</v>
      </c>
    </row>
    <row r="107" spans="1:5" x14ac:dyDescent="0.25">
      <c r="A107" s="4" t="s">
        <v>193</v>
      </c>
      <c r="B107" s="43">
        <v>3464</v>
      </c>
      <c r="C107" s="43">
        <v>2001</v>
      </c>
      <c r="D107" s="43">
        <v>620</v>
      </c>
      <c r="E107" s="44">
        <v>6085</v>
      </c>
    </row>
    <row r="108" spans="1:5" x14ac:dyDescent="0.25">
      <c r="A108" s="4" t="s">
        <v>194</v>
      </c>
      <c r="B108" s="43">
        <v>2778</v>
      </c>
      <c r="C108" s="43">
        <v>525</v>
      </c>
      <c r="D108" s="43">
        <v>783</v>
      </c>
      <c r="E108" s="44">
        <v>4086</v>
      </c>
    </row>
    <row r="109" spans="1:5" x14ac:dyDescent="0.25">
      <c r="A109" s="4" t="s">
        <v>195</v>
      </c>
      <c r="B109" s="43">
        <v>1018</v>
      </c>
      <c r="C109" s="43">
        <v>249</v>
      </c>
      <c r="D109" s="43">
        <v>95</v>
      </c>
      <c r="E109" s="44">
        <v>1362</v>
      </c>
    </row>
    <row r="110" spans="1:5" x14ac:dyDescent="0.25">
      <c r="A110" s="4" t="s">
        <v>196</v>
      </c>
      <c r="B110" s="43">
        <v>683</v>
      </c>
      <c r="C110" s="43">
        <v>24</v>
      </c>
      <c r="D110" s="43">
        <v>49</v>
      </c>
      <c r="E110" s="44">
        <v>756</v>
      </c>
    </row>
    <row r="111" spans="1:5" x14ac:dyDescent="0.25">
      <c r="A111" s="4" t="s">
        <v>197</v>
      </c>
      <c r="B111" s="43">
        <v>3326</v>
      </c>
      <c r="C111" s="43">
        <v>31</v>
      </c>
      <c r="D111" s="43">
        <v>111</v>
      </c>
      <c r="E111" s="44">
        <v>3468</v>
      </c>
    </row>
    <row r="112" spans="1:5" x14ac:dyDescent="0.25">
      <c r="A112" s="4" t="s">
        <v>198</v>
      </c>
      <c r="B112" s="43">
        <v>1007</v>
      </c>
      <c r="C112" s="43">
        <v>289</v>
      </c>
      <c r="D112" s="43">
        <v>1214</v>
      </c>
      <c r="E112" s="44">
        <v>2510</v>
      </c>
    </row>
    <row r="113" spans="1:5" x14ac:dyDescent="0.25">
      <c r="A113" s="4" t="s">
        <v>199</v>
      </c>
      <c r="B113" s="43">
        <v>2017</v>
      </c>
      <c r="C113" s="43">
        <v>22</v>
      </c>
      <c r="D113" s="43"/>
      <c r="E113" s="44">
        <v>2039</v>
      </c>
    </row>
    <row r="114" spans="1:5" x14ac:dyDescent="0.25">
      <c r="A114" s="4" t="s">
        <v>200</v>
      </c>
      <c r="B114" s="43">
        <v>489</v>
      </c>
      <c r="C114" s="43"/>
      <c r="D114" s="43"/>
      <c r="E114" s="44">
        <v>489</v>
      </c>
    </row>
    <row r="115" spans="1:5" x14ac:dyDescent="0.25">
      <c r="A115" s="4" t="s">
        <v>201</v>
      </c>
      <c r="B115" s="43">
        <v>504</v>
      </c>
      <c r="C115" s="43">
        <v>60</v>
      </c>
      <c r="D115" s="43">
        <v>25</v>
      </c>
      <c r="E115" s="44">
        <v>589</v>
      </c>
    </row>
    <row r="116" spans="1:5" x14ac:dyDescent="0.25">
      <c r="A116" s="4" t="s">
        <v>202</v>
      </c>
      <c r="B116" s="43">
        <v>2857</v>
      </c>
      <c r="C116" s="43">
        <v>665</v>
      </c>
      <c r="D116" s="43">
        <v>392</v>
      </c>
      <c r="E116" s="44">
        <v>3914</v>
      </c>
    </row>
    <row r="117" spans="1:5" x14ac:dyDescent="0.25">
      <c r="A117" s="4" t="s">
        <v>203</v>
      </c>
      <c r="B117" s="43">
        <v>1162</v>
      </c>
      <c r="C117" s="43">
        <v>226</v>
      </c>
      <c r="D117" s="43">
        <v>222</v>
      </c>
      <c r="E117" s="44">
        <v>1610</v>
      </c>
    </row>
    <row r="118" spans="1:5" x14ac:dyDescent="0.25">
      <c r="A118" s="4" t="s">
        <v>204</v>
      </c>
      <c r="B118" s="43">
        <v>1131</v>
      </c>
      <c r="C118" s="43">
        <v>83</v>
      </c>
      <c r="D118" s="43">
        <v>5</v>
      </c>
      <c r="E118" s="44">
        <v>1219</v>
      </c>
    </row>
    <row r="119" spans="1:5" x14ac:dyDescent="0.25">
      <c r="A119" s="4" t="s">
        <v>205</v>
      </c>
      <c r="B119" s="43">
        <v>1965</v>
      </c>
      <c r="C119" s="43">
        <v>101</v>
      </c>
      <c r="D119" s="43">
        <v>402</v>
      </c>
      <c r="E119" s="44">
        <v>2468</v>
      </c>
    </row>
    <row r="120" spans="1:5" x14ac:dyDescent="0.25">
      <c r="A120" s="4" t="s">
        <v>206</v>
      </c>
      <c r="B120" s="43">
        <v>1078</v>
      </c>
      <c r="C120" s="43">
        <v>119</v>
      </c>
      <c r="D120" s="43"/>
      <c r="E120" s="44">
        <v>1197</v>
      </c>
    </row>
    <row r="121" spans="1:5" x14ac:dyDescent="0.25">
      <c r="A121" s="4" t="s">
        <v>207</v>
      </c>
      <c r="B121" s="43">
        <v>1591</v>
      </c>
      <c r="C121" s="43">
        <v>146</v>
      </c>
      <c r="D121" s="43">
        <v>196</v>
      </c>
      <c r="E121" s="44">
        <v>1933</v>
      </c>
    </row>
    <row r="122" spans="1:5" x14ac:dyDescent="0.25">
      <c r="A122" s="4" t="s">
        <v>208</v>
      </c>
      <c r="B122" s="43">
        <v>1986</v>
      </c>
      <c r="C122" s="43">
        <v>467</v>
      </c>
      <c r="D122" s="43">
        <v>1654</v>
      </c>
      <c r="E122" s="44">
        <v>4107</v>
      </c>
    </row>
    <row r="123" spans="1:5" x14ac:dyDescent="0.25">
      <c r="A123" s="4" t="s">
        <v>209</v>
      </c>
      <c r="B123" s="43">
        <v>1946</v>
      </c>
      <c r="C123" s="43">
        <v>419</v>
      </c>
      <c r="D123" s="43">
        <v>657</v>
      </c>
      <c r="E123" s="44">
        <v>3022</v>
      </c>
    </row>
    <row r="124" spans="1:5" x14ac:dyDescent="0.25">
      <c r="A124" s="4" t="s">
        <v>210</v>
      </c>
      <c r="B124" s="43">
        <v>623</v>
      </c>
      <c r="C124" s="43">
        <v>379</v>
      </c>
      <c r="D124" s="43">
        <v>79</v>
      </c>
      <c r="E124" s="44">
        <v>1081</v>
      </c>
    </row>
    <row r="125" spans="1:5" x14ac:dyDescent="0.25">
      <c r="A125" s="4" t="s">
        <v>211</v>
      </c>
      <c r="B125" s="43">
        <v>626</v>
      </c>
      <c r="C125" s="43">
        <v>40</v>
      </c>
      <c r="D125" s="43">
        <v>16</v>
      </c>
      <c r="E125" s="44">
        <v>682</v>
      </c>
    </row>
    <row r="126" spans="1:5" x14ac:dyDescent="0.25">
      <c r="A126" s="4" t="s">
        <v>212</v>
      </c>
      <c r="B126" s="43">
        <v>1474</v>
      </c>
      <c r="C126" s="43">
        <v>44</v>
      </c>
      <c r="D126" s="43">
        <v>10</v>
      </c>
      <c r="E126" s="44">
        <v>1528</v>
      </c>
    </row>
    <row r="127" spans="1:5" x14ac:dyDescent="0.25">
      <c r="A127" s="4" t="s">
        <v>213</v>
      </c>
      <c r="B127" s="43">
        <v>616</v>
      </c>
      <c r="C127" s="43"/>
      <c r="D127" s="43"/>
      <c r="E127" s="44">
        <v>616</v>
      </c>
    </row>
    <row r="128" spans="1:5" x14ac:dyDescent="0.25">
      <c r="A128" s="4" t="s">
        <v>214</v>
      </c>
      <c r="B128" s="43">
        <v>2024</v>
      </c>
      <c r="C128" s="43">
        <v>1010</v>
      </c>
      <c r="D128" s="43">
        <v>858</v>
      </c>
      <c r="E128" s="44">
        <v>3892</v>
      </c>
    </row>
    <row r="129" spans="1:5" x14ac:dyDescent="0.25">
      <c r="A129" s="4" t="s">
        <v>215</v>
      </c>
      <c r="B129" s="43">
        <v>410</v>
      </c>
      <c r="C129" s="43">
        <v>58</v>
      </c>
      <c r="D129" s="43"/>
      <c r="E129" s="44">
        <v>468</v>
      </c>
    </row>
    <row r="130" spans="1:5" x14ac:dyDescent="0.25">
      <c r="A130" s="4" t="s">
        <v>216</v>
      </c>
      <c r="B130" s="43">
        <v>136</v>
      </c>
      <c r="C130" s="43">
        <v>450</v>
      </c>
      <c r="D130" s="43">
        <v>925</v>
      </c>
      <c r="E130" s="44">
        <v>1511</v>
      </c>
    </row>
    <row r="131" spans="1:5" x14ac:dyDescent="0.25">
      <c r="A131" s="4" t="s">
        <v>217</v>
      </c>
      <c r="B131" s="43">
        <v>789</v>
      </c>
      <c r="C131" s="43">
        <v>16</v>
      </c>
      <c r="D131" s="43"/>
      <c r="E131" s="44">
        <v>805</v>
      </c>
    </row>
    <row r="132" spans="1:5" x14ac:dyDescent="0.25">
      <c r="A132" s="4" t="s">
        <v>218</v>
      </c>
      <c r="B132" s="43">
        <v>3404</v>
      </c>
      <c r="C132" s="43">
        <v>524</v>
      </c>
      <c r="D132" s="43">
        <v>625</v>
      </c>
      <c r="E132" s="44">
        <v>4553</v>
      </c>
    </row>
    <row r="133" spans="1:5" x14ac:dyDescent="0.25">
      <c r="A133" s="4" t="s">
        <v>219</v>
      </c>
      <c r="B133" s="43">
        <v>4283</v>
      </c>
      <c r="C133" s="43">
        <v>575</v>
      </c>
      <c r="D133" s="43"/>
      <c r="E133" s="44">
        <v>4858</v>
      </c>
    </row>
    <row r="134" spans="1:5" x14ac:dyDescent="0.25">
      <c r="A134" s="4" t="s">
        <v>220</v>
      </c>
      <c r="B134" s="43">
        <v>1333</v>
      </c>
      <c r="C134" s="43">
        <v>23</v>
      </c>
      <c r="D134" s="43"/>
      <c r="E134" s="44">
        <v>1356</v>
      </c>
    </row>
    <row r="135" spans="1:5" x14ac:dyDescent="0.25">
      <c r="A135" s="4" t="s">
        <v>221</v>
      </c>
      <c r="B135" s="43">
        <v>2772</v>
      </c>
      <c r="C135" s="43">
        <v>279</v>
      </c>
      <c r="D135" s="43">
        <v>246</v>
      </c>
      <c r="E135" s="44">
        <v>3297</v>
      </c>
    </row>
    <row r="136" spans="1:5" x14ac:dyDescent="0.25">
      <c r="A136" s="4" t="s">
        <v>222</v>
      </c>
      <c r="B136" s="43">
        <v>6789</v>
      </c>
      <c r="C136" s="43">
        <v>61</v>
      </c>
      <c r="D136" s="43">
        <v>67</v>
      </c>
      <c r="E136" s="44">
        <v>6917</v>
      </c>
    </row>
    <row r="137" spans="1:5" x14ac:dyDescent="0.25">
      <c r="A137" s="4" t="s">
        <v>223</v>
      </c>
      <c r="B137" s="43">
        <v>707</v>
      </c>
      <c r="C137" s="43">
        <v>10</v>
      </c>
      <c r="D137" s="43">
        <v>25</v>
      </c>
      <c r="E137" s="44">
        <v>742</v>
      </c>
    </row>
    <row r="138" spans="1:5" x14ac:dyDescent="0.25">
      <c r="A138" s="4" t="s">
        <v>224</v>
      </c>
      <c r="B138" s="43">
        <v>336</v>
      </c>
      <c r="C138" s="43">
        <v>1</v>
      </c>
      <c r="D138" s="43"/>
      <c r="E138" s="44">
        <v>337</v>
      </c>
    </row>
    <row r="139" spans="1:5" x14ac:dyDescent="0.25">
      <c r="A139" s="5" t="s">
        <v>4</v>
      </c>
      <c r="B139" s="44">
        <v>204683</v>
      </c>
      <c r="C139" s="44">
        <v>15953</v>
      </c>
      <c r="D139" s="44">
        <v>23749</v>
      </c>
      <c r="E139" s="44">
        <f t="shared" ref="E139" si="0">SUM(B139:D139)</f>
        <v>244385</v>
      </c>
    </row>
    <row r="140" spans="1:5" x14ac:dyDescent="0.25">
      <c r="A140" s="40"/>
      <c r="B140" s="46"/>
      <c r="C140" s="46"/>
      <c r="D140" s="46"/>
      <c r="E140" s="46"/>
    </row>
    <row r="141" spans="1:5" x14ac:dyDescent="0.25">
      <c r="A141" s="40"/>
      <c r="B141" s="46"/>
      <c r="C141" s="46"/>
      <c r="D141" s="46"/>
      <c r="E141" s="46"/>
    </row>
    <row r="142" spans="1:5" x14ac:dyDescent="0.25">
      <c r="A142" s="40"/>
      <c r="B142" s="46"/>
      <c r="C142" s="46"/>
      <c r="D142" s="46"/>
      <c r="E142" s="46"/>
    </row>
    <row r="143" spans="1:5" x14ac:dyDescent="0.25">
      <c r="A143" s="40"/>
      <c r="B143" s="46"/>
      <c r="C143" s="46"/>
      <c r="D143" s="46"/>
      <c r="E143" s="46"/>
    </row>
    <row r="144" spans="1:5" x14ac:dyDescent="0.25">
      <c r="A144" s="70" t="s">
        <v>272</v>
      </c>
      <c r="B144" s="46"/>
      <c r="C144" s="46"/>
      <c r="D144" s="46"/>
      <c r="E144" s="46"/>
    </row>
    <row r="145" spans="1:5" x14ac:dyDescent="0.25">
      <c r="A145" s="40"/>
      <c r="B145" s="46"/>
      <c r="C145" s="46"/>
      <c r="D145" s="46"/>
      <c r="E145" s="46"/>
    </row>
    <row r="146" spans="1:5" x14ac:dyDescent="0.25">
      <c r="A146" s="71" t="s">
        <v>21</v>
      </c>
      <c r="B146" s="46"/>
      <c r="C146" s="46"/>
      <c r="D146" s="46"/>
      <c r="E146" s="46"/>
    </row>
    <row r="147" spans="1:5" x14ac:dyDescent="0.25">
      <c r="A147" s="40"/>
      <c r="B147" s="46"/>
      <c r="C147" s="46"/>
      <c r="D147" s="46"/>
      <c r="E147" s="46"/>
    </row>
  </sheetData>
  <hyperlinks>
    <hyperlink ref="A146" location="Indice!A5" display="Volver al índice" xr:uid="{00000000-0004-0000-0900-000000000000}"/>
  </hyperlink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Indice</vt:lpstr>
      <vt:lpstr>Titulación Total 2018</vt:lpstr>
      <vt:lpstr>Evolución Titulación Total</vt:lpstr>
      <vt:lpstr>Titulación Pregrado 2018</vt:lpstr>
      <vt:lpstr>Evolución Titulación Pregrado</vt:lpstr>
      <vt:lpstr>Titulación Posgrado 2018</vt:lpstr>
      <vt:lpstr>Evolución Titulación Posgrado</vt:lpstr>
      <vt:lpstr>Titulacion Postitulo 2018</vt:lpstr>
      <vt:lpstr>Evolucion Titulacion Postitulo</vt:lpstr>
      <vt:lpstr>Listado de Instituciones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Salamanca Velazquez</dc:creator>
  <cp:lastModifiedBy>Rodrigo Rolando Meneses</cp:lastModifiedBy>
  <dcterms:created xsi:type="dcterms:W3CDTF">2015-09-10T13:36:10Z</dcterms:created>
  <dcterms:modified xsi:type="dcterms:W3CDTF">2019-09-02T15:53:22Z</dcterms:modified>
</cp:coreProperties>
</file>